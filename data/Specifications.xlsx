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van\Python Projects\build_a_pc\data\"/>
    </mc:Choice>
  </mc:AlternateContent>
  <xr:revisionPtr revIDLastSave="0" documentId="13_ncr:1_{FCCE6A94-D17C-499A-A3DF-CF8478AA39CD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GPUs" sheetId="11" r:id="rId1"/>
    <sheet name="GPUs Products" sheetId="2" r:id="rId2"/>
    <sheet name="CPUs" sheetId="12" r:id="rId3"/>
    <sheet name="CPUs Products" sheetId="10" r:id="rId4"/>
    <sheet name="MBs" sheetId="13" r:id="rId5"/>
    <sheet name="MBs Products" sheetId="8" r:id="rId6"/>
    <sheet name="RAMs" sheetId="14" r:id="rId7"/>
    <sheet name="RAMs Products" sheetId="9" r:id="rId8"/>
  </sheets>
  <definedNames>
    <definedName name="_xlnm._FilterDatabase" localSheetId="2" hidden="1">CPUs!$A$8:$AI$131</definedName>
    <definedName name="_xlnm._FilterDatabase" localSheetId="3" hidden="1">'CPUs Products'!$A$8:$AI$131</definedName>
    <definedName name="_xlnm._FilterDatabase" localSheetId="0" hidden="1">GPUs!$A$8:$AG$616</definedName>
    <definedName name="_xlnm._FilterDatabase" localSheetId="1" hidden="1">'GPUs Products'!$A$8:$AG$616</definedName>
    <definedName name="_xlnm._FilterDatabase" localSheetId="4" hidden="1">MBs!$A$8:$S$587</definedName>
    <definedName name="_xlnm._FilterDatabase" localSheetId="5" hidden="1">'MBs Products'!$A$8:$S$587</definedName>
    <definedName name="_xlnm._FilterDatabase" localSheetId="6" hidden="1">RAMs!$A$8:$T$1364</definedName>
    <definedName name="_xlnm._FilterDatabase" localSheetId="7" hidden="1">'RAMs Products'!$A$8:$T$1364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" i="13" l="1"/>
  <c r="R10" i="13"/>
  <c r="Q11" i="13"/>
  <c r="R11" i="13"/>
  <c r="Q12" i="13"/>
  <c r="R12" i="13"/>
  <c r="Q13" i="13"/>
  <c r="R13" i="13"/>
  <c r="Q14" i="13"/>
  <c r="R14" i="13"/>
  <c r="Q15" i="13"/>
  <c r="R15" i="13"/>
  <c r="Q16" i="13"/>
  <c r="R16" i="13"/>
  <c r="Q17" i="13"/>
  <c r="R17" i="13"/>
  <c r="Q18" i="13"/>
  <c r="R18" i="13"/>
  <c r="Q19" i="13"/>
  <c r="R19" i="13"/>
  <c r="Q20" i="13"/>
  <c r="R20" i="13"/>
  <c r="Q21" i="13"/>
  <c r="R21" i="13"/>
  <c r="Q22" i="13"/>
  <c r="R22" i="13"/>
  <c r="Q23" i="13"/>
  <c r="R23" i="13"/>
  <c r="Q24" i="13"/>
  <c r="R24" i="13"/>
  <c r="Q25" i="13"/>
  <c r="R25" i="13"/>
  <c r="Q26" i="13"/>
  <c r="R26" i="13"/>
  <c r="Q27" i="13"/>
  <c r="R27" i="13"/>
  <c r="Q28" i="13"/>
  <c r="R28" i="13"/>
  <c r="Q29" i="13"/>
  <c r="R29" i="13"/>
  <c r="Q30" i="13"/>
  <c r="R30" i="13"/>
  <c r="Q31" i="13"/>
  <c r="R31" i="13"/>
  <c r="Q32" i="13"/>
  <c r="R32" i="13"/>
  <c r="H10" i="13"/>
  <c r="I10" i="13"/>
  <c r="J10" i="13"/>
  <c r="K10" i="13"/>
  <c r="H11" i="13"/>
  <c r="I11" i="13"/>
  <c r="J11" i="13"/>
  <c r="K11" i="13"/>
  <c r="H12" i="13"/>
  <c r="I12" i="13"/>
  <c r="J12" i="13"/>
  <c r="K12" i="13"/>
  <c r="H13" i="13"/>
  <c r="I13" i="13"/>
  <c r="J13" i="13"/>
  <c r="K13" i="13"/>
  <c r="H14" i="13"/>
  <c r="I14" i="13"/>
  <c r="J14" i="13"/>
  <c r="K14" i="13"/>
  <c r="H15" i="13"/>
  <c r="I15" i="13"/>
  <c r="J15" i="13"/>
  <c r="K15" i="13"/>
  <c r="H16" i="13"/>
  <c r="I16" i="13"/>
  <c r="J16" i="13"/>
  <c r="K16" i="13"/>
  <c r="H17" i="13"/>
  <c r="I17" i="13"/>
  <c r="J17" i="13"/>
  <c r="K17" i="13"/>
  <c r="H18" i="13"/>
  <c r="I18" i="13"/>
  <c r="J18" i="13"/>
  <c r="K18" i="13"/>
  <c r="H19" i="13"/>
  <c r="I19" i="13"/>
  <c r="J19" i="13"/>
  <c r="K19" i="13"/>
  <c r="H20" i="13"/>
  <c r="I20" i="13"/>
  <c r="J20" i="13"/>
  <c r="K20" i="13"/>
  <c r="H21" i="13"/>
  <c r="I21" i="13"/>
  <c r="J21" i="13"/>
  <c r="K21" i="13"/>
  <c r="H22" i="13"/>
  <c r="I22" i="13"/>
  <c r="J22" i="13"/>
  <c r="K22" i="13"/>
  <c r="H23" i="13"/>
  <c r="I23" i="13"/>
  <c r="J23" i="13"/>
  <c r="K23" i="13"/>
  <c r="H24" i="13"/>
  <c r="I24" i="13"/>
  <c r="J24" i="13"/>
  <c r="K24" i="13"/>
  <c r="H25" i="13"/>
  <c r="I25" i="13"/>
  <c r="J25" i="13"/>
  <c r="K25" i="13"/>
  <c r="H26" i="13"/>
  <c r="I26" i="13"/>
  <c r="J26" i="13"/>
  <c r="K26" i="13"/>
  <c r="H27" i="13"/>
  <c r="I27" i="13"/>
  <c r="J27" i="13"/>
  <c r="K27" i="13"/>
  <c r="H28" i="13"/>
  <c r="I28" i="13"/>
  <c r="J28" i="13"/>
  <c r="K28" i="13"/>
  <c r="H29" i="13"/>
  <c r="I29" i="13"/>
  <c r="J29" i="13"/>
  <c r="K29" i="13"/>
  <c r="H30" i="13"/>
  <c r="I30" i="13"/>
  <c r="J30" i="13"/>
  <c r="K30" i="13"/>
  <c r="H31" i="13"/>
  <c r="I31" i="13"/>
  <c r="J31" i="13"/>
  <c r="K31" i="13"/>
  <c r="H32" i="13"/>
  <c r="I32" i="13"/>
  <c r="J32" i="13"/>
  <c r="K32" i="13"/>
  <c r="R9" i="13"/>
  <c r="Q9" i="13"/>
  <c r="K9" i="13"/>
  <c r="J9" i="13"/>
  <c r="I9" i="13"/>
  <c r="H9" i="13"/>
  <c r="Z10" i="12"/>
  <c r="Z11" i="12"/>
  <c r="Z12" i="12"/>
  <c r="Z13" i="12"/>
  <c r="Z14" i="12"/>
  <c r="Z15" i="12"/>
  <c r="Z16" i="12"/>
  <c r="Z17" i="12"/>
  <c r="Z18" i="12"/>
  <c r="Z19" i="12"/>
  <c r="Z20" i="12"/>
  <c r="Z21" i="12"/>
  <c r="Z22" i="12"/>
  <c r="Z23" i="12"/>
  <c r="Z24" i="12"/>
  <c r="Z25" i="12"/>
  <c r="Z26" i="12"/>
  <c r="Z27" i="12"/>
  <c r="Z28" i="12"/>
  <c r="Z29" i="12"/>
  <c r="Z30" i="12"/>
  <c r="Z31" i="12"/>
  <c r="Z32" i="12"/>
  <c r="Z33" i="12"/>
  <c r="Z9" i="12"/>
  <c r="Y10" i="12"/>
  <c r="Y11" i="12"/>
  <c r="Y12" i="12"/>
  <c r="Y13" i="12"/>
  <c r="Y14" i="12"/>
  <c r="Y15" i="12"/>
  <c r="Y16" i="12"/>
  <c r="Y17" i="12"/>
  <c r="Y18" i="12"/>
  <c r="Y19" i="12"/>
  <c r="Y20" i="12"/>
  <c r="Y21" i="12"/>
  <c r="Y22" i="12"/>
  <c r="Y23" i="12"/>
  <c r="Y24" i="12"/>
  <c r="Y25" i="12"/>
  <c r="Y26" i="12"/>
  <c r="Y27" i="12"/>
  <c r="Y28" i="12"/>
  <c r="Y29" i="12"/>
  <c r="Y30" i="12"/>
  <c r="Y31" i="12"/>
  <c r="Y32" i="12"/>
  <c r="Y33" i="12"/>
  <c r="Y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28" i="12"/>
  <c r="T29" i="12"/>
  <c r="T30" i="12"/>
  <c r="T31" i="12"/>
  <c r="T32" i="12"/>
  <c r="T33" i="12"/>
  <c r="S10" i="12"/>
  <c r="S11" i="12"/>
  <c r="S12" i="12"/>
  <c r="S13" i="12"/>
  <c r="S14" i="12"/>
  <c r="S15" i="12"/>
  <c r="S16" i="12"/>
  <c r="S17" i="12"/>
  <c r="S18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T9" i="12"/>
  <c r="S9" i="12"/>
  <c r="R9" i="12"/>
  <c r="P9" i="12"/>
  <c r="O9" i="12"/>
  <c r="N9" i="12"/>
  <c r="J9" i="12"/>
  <c r="I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9" i="12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M132" i="14"/>
  <c r="M133" i="14"/>
  <c r="M134" i="14"/>
  <c r="M135" i="14"/>
  <c r="M136" i="14"/>
  <c r="M137" i="14"/>
  <c r="M138" i="14"/>
  <c r="M139" i="14"/>
  <c r="M140" i="14"/>
  <c r="M141" i="14"/>
  <c r="M142" i="14"/>
  <c r="M143" i="14"/>
  <c r="M144" i="14"/>
  <c r="M145" i="14"/>
  <c r="M146" i="14"/>
  <c r="M147" i="14"/>
  <c r="M148" i="14"/>
  <c r="M149" i="14"/>
  <c r="M150" i="14"/>
  <c r="M151" i="14"/>
  <c r="M152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M167" i="14"/>
  <c r="M168" i="14"/>
  <c r="M169" i="14"/>
  <c r="M170" i="14"/>
  <c r="M171" i="14"/>
  <c r="M172" i="14"/>
  <c r="M173" i="14"/>
  <c r="M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51" i="14"/>
  <c r="L52" i="14"/>
  <c r="L53" i="14"/>
  <c r="L54" i="14"/>
  <c r="L55" i="14"/>
  <c r="L56" i="14"/>
  <c r="L57" i="14"/>
  <c r="L58" i="14"/>
  <c r="L59" i="14"/>
  <c r="L60" i="14"/>
  <c r="L61" i="14"/>
  <c r="L62" i="14"/>
  <c r="L63" i="14"/>
  <c r="L64" i="14"/>
  <c r="L65" i="14"/>
  <c r="L66" i="14"/>
  <c r="L67" i="14"/>
  <c r="L68" i="14"/>
  <c r="L69" i="14"/>
  <c r="L70" i="14"/>
  <c r="L71" i="14"/>
  <c r="L72" i="14"/>
  <c r="L73" i="14"/>
  <c r="L74" i="14"/>
  <c r="L75" i="14"/>
  <c r="L76" i="14"/>
  <c r="L77" i="14"/>
  <c r="L78" i="14"/>
  <c r="L79" i="14"/>
  <c r="L80" i="14"/>
  <c r="L81" i="14"/>
  <c r="L82" i="14"/>
  <c r="L83" i="14"/>
  <c r="L84" i="14"/>
  <c r="L85" i="14"/>
  <c r="L86" i="14"/>
  <c r="L87" i="14"/>
  <c r="L88" i="14"/>
  <c r="L89" i="14"/>
  <c r="L90" i="14"/>
  <c r="L91" i="14"/>
  <c r="L92" i="14"/>
  <c r="L93" i="14"/>
  <c r="L94" i="14"/>
  <c r="L95" i="14"/>
  <c r="L96" i="14"/>
  <c r="L97" i="14"/>
  <c r="L98" i="14"/>
  <c r="L99" i="14"/>
  <c r="L100" i="14"/>
  <c r="L101" i="14"/>
  <c r="L102" i="14"/>
  <c r="L103" i="14"/>
  <c r="L104" i="14"/>
  <c r="L105" i="14"/>
  <c r="L106" i="14"/>
  <c r="L107" i="14"/>
  <c r="L108" i="14"/>
  <c r="L109" i="14"/>
  <c r="L110" i="14"/>
  <c r="L111" i="14"/>
  <c r="L112" i="14"/>
  <c r="L113" i="14"/>
  <c r="L114" i="14"/>
  <c r="L115" i="14"/>
  <c r="L116" i="14"/>
  <c r="L117" i="14"/>
  <c r="L118" i="14"/>
  <c r="L119" i="14"/>
  <c r="L120" i="14"/>
  <c r="L121" i="14"/>
  <c r="L122" i="14"/>
  <c r="L123" i="14"/>
  <c r="L124" i="14"/>
  <c r="L125" i="14"/>
  <c r="L126" i="14"/>
  <c r="L127" i="14"/>
  <c r="L128" i="14"/>
  <c r="L129" i="14"/>
  <c r="L130" i="14"/>
  <c r="L131" i="14"/>
  <c r="L132" i="14"/>
  <c r="L133" i="14"/>
  <c r="L134" i="14"/>
  <c r="L135" i="14"/>
  <c r="L136" i="14"/>
  <c r="L137" i="14"/>
  <c r="L138" i="14"/>
  <c r="L139" i="14"/>
  <c r="L140" i="14"/>
  <c r="L141" i="14"/>
  <c r="L142" i="14"/>
  <c r="L143" i="14"/>
  <c r="L144" i="14"/>
  <c r="L145" i="14"/>
  <c r="L146" i="14"/>
  <c r="L147" i="14"/>
  <c r="L148" i="14"/>
  <c r="L149" i="14"/>
  <c r="L150" i="14"/>
  <c r="L151" i="14"/>
  <c r="L152" i="14"/>
  <c r="L153" i="14"/>
  <c r="L154" i="14"/>
  <c r="L155" i="14"/>
  <c r="L156" i="14"/>
  <c r="L157" i="14"/>
  <c r="L158" i="14"/>
  <c r="L159" i="14"/>
  <c r="L160" i="14"/>
  <c r="L161" i="14"/>
  <c r="L162" i="14"/>
  <c r="L163" i="14"/>
  <c r="L164" i="14"/>
  <c r="L165" i="14"/>
  <c r="L166" i="14"/>
  <c r="L167" i="14"/>
  <c r="L168" i="14"/>
  <c r="L169" i="14"/>
  <c r="L170" i="14"/>
  <c r="L171" i="14"/>
  <c r="L172" i="14"/>
  <c r="L173" i="14"/>
  <c r="L9" i="14"/>
  <c r="S173" i="14"/>
  <c r="R173" i="14"/>
  <c r="Q173" i="14"/>
  <c r="P173" i="14"/>
  <c r="S172" i="14"/>
  <c r="R172" i="14"/>
  <c r="Q172" i="14"/>
  <c r="P172" i="14"/>
  <c r="S171" i="14"/>
  <c r="R171" i="14"/>
  <c r="Q171" i="14"/>
  <c r="P171" i="14"/>
  <c r="S170" i="14"/>
  <c r="R170" i="14"/>
  <c r="Q170" i="14"/>
  <c r="P170" i="14"/>
  <c r="S169" i="14"/>
  <c r="R169" i="14"/>
  <c r="Q169" i="14"/>
  <c r="P169" i="14"/>
  <c r="S168" i="14"/>
  <c r="R168" i="14"/>
  <c r="Q168" i="14"/>
  <c r="P168" i="14"/>
  <c r="S167" i="14"/>
  <c r="R167" i="14"/>
  <c r="Q167" i="14"/>
  <c r="P167" i="14"/>
  <c r="S166" i="14"/>
  <c r="R166" i="14"/>
  <c r="Q166" i="14"/>
  <c r="P166" i="14"/>
  <c r="S165" i="14"/>
  <c r="R165" i="14"/>
  <c r="Q165" i="14"/>
  <c r="P165" i="14"/>
  <c r="S164" i="14"/>
  <c r="R164" i="14"/>
  <c r="Q164" i="14"/>
  <c r="P164" i="14"/>
  <c r="S163" i="14"/>
  <c r="R163" i="14"/>
  <c r="Q163" i="14"/>
  <c r="P163" i="14"/>
  <c r="S162" i="14"/>
  <c r="R162" i="14"/>
  <c r="Q162" i="14"/>
  <c r="P162" i="14"/>
  <c r="S161" i="14"/>
  <c r="R161" i="14"/>
  <c r="Q161" i="14"/>
  <c r="P161" i="14"/>
  <c r="S160" i="14"/>
  <c r="R160" i="14"/>
  <c r="Q160" i="14"/>
  <c r="P160" i="14"/>
  <c r="S159" i="14"/>
  <c r="R159" i="14"/>
  <c r="Q159" i="14"/>
  <c r="P159" i="14"/>
  <c r="S158" i="14"/>
  <c r="R158" i="14"/>
  <c r="Q158" i="14"/>
  <c r="P158" i="14"/>
  <c r="S157" i="14"/>
  <c r="R157" i="14"/>
  <c r="Q157" i="14"/>
  <c r="P157" i="14"/>
  <c r="S156" i="14"/>
  <c r="R156" i="14"/>
  <c r="Q156" i="14"/>
  <c r="P156" i="14"/>
  <c r="S155" i="14"/>
  <c r="R155" i="14"/>
  <c r="Q155" i="14"/>
  <c r="P155" i="14"/>
  <c r="S154" i="14"/>
  <c r="R154" i="14"/>
  <c r="Q154" i="14"/>
  <c r="P154" i="14"/>
  <c r="S153" i="14"/>
  <c r="R153" i="14"/>
  <c r="Q153" i="14"/>
  <c r="P153" i="14"/>
  <c r="S152" i="14"/>
  <c r="R152" i="14"/>
  <c r="Q152" i="14"/>
  <c r="P152" i="14"/>
  <c r="S151" i="14"/>
  <c r="R151" i="14"/>
  <c r="Q151" i="14"/>
  <c r="P151" i="14"/>
  <c r="S150" i="14"/>
  <c r="R150" i="14"/>
  <c r="Q150" i="14"/>
  <c r="P150" i="14"/>
  <c r="S149" i="14"/>
  <c r="R149" i="14"/>
  <c r="Q149" i="14"/>
  <c r="P149" i="14"/>
  <c r="S148" i="14"/>
  <c r="R148" i="14"/>
  <c r="Q148" i="14"/>
  <c r="P148" i="14"/>
  <c r="S147" i="14"/>
  <c r="R147" i="14"/>
  <c r="Q147" i="14"/>
  <c r="P147" i="14"/>
  <c r="S146" i="14"/>
  <c r="R146" i="14"/>
  <c r="Q146" i="14"/>
  <c r="P146" i="14"/>
  <c r="S145" i="14"/>
  <c r="R145" i="14"/>
  <c r="Q145" i="14"/>
  <c r="P145" i="14"/>
  <c r="S144" i="14"/>
  <c r="R144" i="14"/>
  <c r="Q144" i="14"/>
  <c r="P144" i="14"/>
  <c r="S143" i="14"/>
  <c r="R143" i="14"/>
  <c r="Q143" i="14"/>
  <c r="P143" i="14"/>
  <c r="S142" i="14"/>
  <c r="R142" i="14"/>
  <c r="Q142" i="14"/>
  <c r="P142" i="14"/>
  <c r="S141" i="14"/>
  <c r="R141" i="14"/>
  <c r="Q141" i="14"/>
  <c r="P141" i="14"/>
  <c r="S140" i="14"/>
  <c r="R140" i="14"/>
  <c r="Q140" i="14"/>
  <c r="P140" i="14"/>
  <c r="S139" i="14"/>
  <c r="R139" i="14"/>
  <c r="Q139" i="14"/>
  <c r="P139" i="14"/>
  <c r="S138" i="14"/>
  <c r="R138" i="14"/>
  <c r="Q138" i="14"/>
  <c r="P138" i="14"/>
  <c r="S137" i="14"/>
  <c r="R137" i="14"/>
  <c r="Q137" i="14"/>
  <c r="P137" i="14"/>
  <c r="S136" i="14"/>
  <c r="R136" i="14"/>
  <c r="Q136" i="14"/>
  <c r="P136" i="14"/>
  <c r="S135" i="14"/>
  <c r="R135" i="14"/>
  <c r="Q135" i="14"/>
  <c r="P135" i="14"/>
  <c r="S134" i="14"/>
  <c r="R134" i="14"/>
  <c r="Q134" i="14"/>
  <c r="P134" i="14"/>
  <c r="S133" i="14"/>
  <c r="R133" i="14"/>
  <c r="Q133" i="14"/>
  <c r="P133" i="14"/>
  <c r="S132" i="14"/>
  <c r="R132" i="14"/>
  <c r="Q132" i="14"/>
  <c r="P132" i="14"/>
  <c r="S131" i="14"/>
  <c r="R131" i="14"/>
  <c r="Q131" i="14"/>
  <c r="P131" i="14"/>
  <c r="S130" i="14"/>
  <c r="R130" i="14"/>
  <c r="Q130" i="14"/>
  <c r="P130" i="14"/>
  <c r="S129" i="14"/>
  <c r="R129" i="14"/>
  <c r="Q129" i="14"/>
  <c r="P129" i="14"/>
  <c r="S128" i="14"/>
  <c r="R128" i="14"/>
  <c r="Q128" i="14"/>
  <c r="P128" i="14"/>
  <c r="S127" i="14"/>
  <c r="R127" i="14"/>
  <c r="Q127" i="14"/>
  <c r="P127" i="14"/>
  <c r="S126" i="14"/>
  <c r="R126" i="14"/>
  <c r="Q126" i="14"/>
  <c r="P126" i="14"/>
  <c r="S125" i="14"/>
  <c r="R125" i="14"/>
  <c r="Q125" i="14"/>
  <c r="P125" i="14"/>
  <c r="S124" i="14"/>
  <c r="R124" i="14"/>
  <c r="Q124" i="14"/>
  <c r="P124" i="14"/>
  <c r="S123" i="14"/>
  <c r="R123" i="14"/>
  <c r="Q123" i="14"/>
  <c r="P123" i="14"/>
  <c r="S122" i="14"/>
  <c r="R122" i="14"/>
  <c r="Q122" i="14"/>
  <c r="P122" i="14"/>
  <c r="S121" i="14"/>
  <c r="R121" i="14"/>
  <c r="Q121" i="14"/>
  <c r="P121" i="14"/>
  <c r="S120" i="14"/>
  <c r="R120" i="14"/>
  <c r="Q120" i="14"/>
  <c r="P120" i="14"/>
  <c r="S119" i="14"/>
  <c r="R119" i="14"/>
  <c r="Q119" i="14"/>
  <c r="P119" i="14"/>
  <c r="S118" i="14"/>
  <c r="R118" i="14"/>
  <c r="Q118" i="14"/>
  <c r="P118" i="14"/>
  <c r="S117" i="14"/>
  <c r="R117" i="14"/>
  <c r="Q117" i="14"/>
  <c r="P117" i="14"/>
  <c r="S116" i="14"/>
  <c r="R116" i="14"/>
  <c r="Q116" i="14"/>
  <c r="P116" i="14"/>
  <c r="S115" i="14"/>
  <c r="R115" i="14"/>
  <c r="Q115" i="14"/>
  <c r="P115" i="14"/>
  <c r="S114" i="14"/>
  <c r="R114" i="14"/>
  <c r="Q114" i="14"/>
  <c r="P114" i="14"/>
  <c r="S113" i="14"/>
  <c r="R113" i="14"/>
  <c r="Q113" i="14"/>
  <c r="P113" i="14"/>
  <c r="S112" i="14"/>
  <c r="R112" i="14"/>
  <c r="Q112" i="14"/>
  <c r="P112" i="14"/>
  <c r="S111" i="14"/>
  <c r="R111" i="14"/>
  <c r="Q111" i="14"/>
  <c r="P111" i="14"/>
  <c r="S110" i="14"/>
  <c r="R110" i="14"/>
  <c r="Q110" i="14"/>
  <c r="P110" i="14"/>
  <c r="S109" i="14"/>
  <c r="R109" i="14"/>
  <c r="Q109" i="14"/>
  <c r="P109" i="14"/>
  <c r="S108" i="14"/>
  <c r="R108" i="14"/>
  <c r="Q108" i="14"/>
  <c r="P108" i="14"/>
  <c r="S107" i="14"/>
  <c r="R107" i="14"/>
  <c r="Q107" i="14"/>
  <c r="P107" i="14"/>
  <c r="S106" i="14"/>
  <c r="R106" i="14"/>
  <c r="Q106" i="14"/>
  <c r="P106" i="14"/>
  <c r="S105" i="14"/>
  <c r="R105" i="14"/>
  <c r="Q105" i="14"/>
  <c r="P105" i="14"/>
  <c r="S104" i="14"/>
  <c r="R104" i="14"/>
  <c r="Q104" i="14"/>
  <c r="P104" i="14"/>
  <c r="S103" i="14"/>
  <c r="R103" i="14"/>
  <c r="Q103" i="14"/>
  <c r="P103" i="14"/>
  <c r="S102" i="14"/>
  <c r="R102" i="14"/>
  <c r="Q102" i="14"/>
  <c r="P102" i="14"/>
  <c r="S101" i="14"/>
  <c r="R101" i="14"/>
  <c r="Q101" i="14"/>
  <c r="P101" i="14"/>
  <c r="S100" i="14"/>
  <c r="R100" i="14"/>
  <c r="Q100" i="14"/>
  <c r="P100" i="14"/>
  <c r="S99" i="14"/>
  <c r="R99" i="14"/>
  <c r="Q99" i="14"/>
  <c r="P99" i="14"/>
  <c r="S98" i="14"/>
  <c r="R98" i="14"/>
  <c r="Q98" i="14"/>
  <c r="P98" i="14"/>
  <c r="S97" i="14"/>
  <c r="R97" i="14"/>
  <c r="Q97" i="14"/>
  <c r="P97" i="14"/>
  <c r="S96" i="14"/>
  <c r="R96" i="14"/>
  <c r="Q96" i="14"/>
  <c r="P96" i="14"/>
  <c r="S95" i="14"/>
  <c r="R95" i="14"/>
  <c r="Q95" i="14"/>
  <c r="P95" i="14"/>
  <c r="S94" i="14"/>
  <c r="R94" i="14"/>
  <c r="Q94" i="14"/>
  <c r="P94" i="14"/>
  <c r="S93" i="14"/>
  <c r="R93" i="14"/>
  <c r="Q93" i="14"/>
  <c r="P93" i="14"/>
  <c r="S92" i="14"/>
  <c r="R92" i="14"/>
  <c r="Q92" i="14"/>
  <c r="P92" i="14"/>
  <c r="S91" i="14"/>
  <c r="R91" i="14"/>
  <c r="Q91" i="14"/>
  <c r="P91" i="14"/>
  <c r="S90" i="14"/>
  <c r="R90" i="14"/>
  <c r="Q90" i="14"/>
  <c r="P90" i="14"/>
  <c r="S89" i="14"/>
  <c r="R89" i="14"/>
  <c r="Q89" i="14"/>
  <c r="P89" i="14"/>
  <c r="S88" i="14"/>
  <c r="R88" i="14"/>
  <c r="Q88" i="14"/>
  <c r="P88" i="14"/>
  <c r="S87" i="14"/>
  <c r="R87" i="14"/>
  <c r="Q87" i="14"/>
  <c r="P87" i="14"/>
  <c r="S86" i="14"/>
  <c r="R86" i="14"/>
  <c r="Q86" i="14"/>
  <c r="P86" i="14"/>
  <c r="S85" i="14"/>
  <c r="R85" i="14"/>
  <c r="Q85" i="14"/>
  <c r="P85" i="14"/>
  <c r="S84" i="14"/>
  <c r="R84" i="14"/>
  <c r="Q84" i="14"/>
  <c r="P84" i="14"/>
  <c r="S83" i="14"/>
  <c r="R83" i="14"/>
  <c r="Q83" i="14"/>
  <c r="P83" i="14"/>
  <c r="S82" i="14"/>
  <c r="R82" i="14"/>
  <c r="Q82" i="14"/>
  <c r="P82" i="14"/>
  <c r="S81" i="14"/>
  <c r="R81" i="14"/>
  <c r="Q81" i="14"/>
  <c r="P81" i="14"/>
  <c r="S80" i="14"/>
  <c r="R80" i="14"/>
  <c r="Q80" i="14"/>
  <c r="P80" i="14"/>
  <c r="S79" i="14"/>
  <c r="R79" i="14"/>
  <c r="Q79" i="14"/>
  <c r="P79" i="14"/>
  <c r="S78" i="14"/>
  <c r="R78" i="14"/>
  <c r="Q78" i="14"/>
  <c r="P78" i="14"/>
  <c r="S77" i="14"/>
  <c r="R77" i="14"/>
  <c r="Q77" i="14"/>
  <c r="P77" i="14"/>
  <c r="S76" i="14"/>
  <c r="R76" i="14"/>
  <c r="Q76" i="14"/>
  <c r="P76" i="14"/>
  <c r="S75" i="14"/>
  <c r="R75" i="14"/>
  <c r="Q75" i="14"/>
  <c r="P75" i="14"/>
  <c r="S74" i="14"/>
  <c r="R74" i="14"/>
  <c r="Q74" i="14"/>
  <c r="P74" i="14"/>
  <c r="S73" i="14"/>
  <c r="R73" i="14"/>
  <c r="Q73" i="14"/>
  <c r="P73" i="14"/>
  <c r="S72" i="14"/>
  <c r="R72" i="14"/>
  <c r="Q72" i="14"/>
  <c r="P72" i="14"/>
  <c r="S71" i="14"/>
  <c r="R71" i="14"/>
  <c r="Q71" i="14"/>
  <c r="P71" i="14"/>
  <c r="S70" i="14"/>
  <c r="R70" i="14"/>
  <c r="Q70" i="14"/>
  <c r="P70" i="14"/>
  <c r="S69" i="14"/>
  <c r="R69" i="14"/>
  <c r="Q69" i="14"/>
  <c r="P69" i="14"/>
  <c r="S68" i="14"/>
  <c r="R68" i="14"/>
  <c r="Q68" i="14"/>
  <c r="P68" i="14"/>
  <c r="S67" i="14"/>
  <c r="R67" i="14"/>
  <c r="Q67" i="14"/>
  <c r="P67" i="14"/>
  <c r="S66" i="14"/>
  <c r="R66" i="14"/>
  <c r="Q66" i="14"/>
  <c r="P66" i="14"/>
  <c r="S65" i="14"/>
  <c r="R65" i="14"/>
  <c r="Q65" i="14"/>
  <c r="P65" i="14"/>
  <c r="S64" i="14"/>
  <c r="R64" i="14"/>
  <c r="Q64" i="14"/>
  <c r="P64" i="14"/>
  <c r="S63" i="14"/>
  <c r="R63" i="14"/>
  <c r="Q63" i="14"/>
  <c r="P63" i="14"/>
  <c r="S62" i="14"/>
  <c r="R62" i="14"/>
  <c r="Q62" i="14"/>
  <c r="P62" i="14"/>
  <c r="S61" i="14"/>
  <c r="R61" i="14"/>
  <c r="Q61" i="14"/>
  <c r="P61" i="14"/>
  <c r="S60" i="14"/>
  <c r="R60" i="14"/>
  <c r="Q60" i="14"/>
  <c r="P60" i="14"/>
  <c r="S59" i="14"/>
  <c r="R59" i="14"/>
  <c r="Q59" i="14"/>
  <c r="P59" i="14"/>
  <c r="S58" i="14"/>
  <c r="R58" i="14"/>
  <c r="Q58" i="14"/>
  <c r="P58" i="14"/>
  <c r="S57" i="14"/>
  <c r="R57" i="14"/>
  <c r="Q57" i="14"/>
  <c r="P57" i="14"/>
  <c r="S56" i="14"/>
  <c r="R56" i="14"/>
  <c r="Q56" i="14"/>
  <c r="P56" i="14"/>
  <c r="S55" i="14"/>
  <c r="R55" i="14"/>
  <c r="Q55" i="14"/>
  <c r="P55" i="14"/>
  <c r="S54" i="14"/>
  <c r="R54" i="14"/>
  <c r="Q54" i="14"/>
  <c r="P54" i="14"/>
  <c r="S53" i="14"/>
  <c r="R53" i="14"/>
  <c r="Q53" i="14"/>
  <c r="P53" i="14"/>
  <c r="S52" i="14"/>
  <c r="R52" i="14"/>
  <c r="Q52" i="14"/>
  <c r="P52" i="14"/>
  <c r="S51" i="14"/>
  <c r="R51" i="14"/>
  <c r="Q51" i="14"/>
  <c r="P51" i="14"/>
  <c r="S50" i="14"/>
  <c r="R50" i="14"/>
  <c r="Q50" i="14"/>
  <c r="P50" i="14"/>
  <c r="S49" i="14"/>
  <c r="R49" i="14"/>
  <c r="Q49" i="14"/>
  <c r="P49" i="14"/>
  <c r="S48" i="14"/>
  <c r="R48" i="14"/>
  <c r="Q48" i="14"/>
  <c r="P48" i="14"/>
  <c r="S47" i="14"/>
  <c r="R47" i="14"/>
  <c r="Q47" i="14"/>
  <c r="P47" i="14"/>
  <c r="S46" i="14"/>
  <c r="R46" i="14"/>
  <c r="Q46" i="14"/>
  <c r="P46" i="14"/>
  <c r="S45" i="14"/>
  <c r="R45" i="14"/>
  <c r="Q45" i="14"/>
  <c r="P45" i="14"/>
  <c r="S44" i="14"/>
  <c r="R44" i="14"/>
  <c r="Q44" i="14"/>
  <c r="P44" i="14"/>
  <c r="S43" i="14"/>
  <c r="R43" i="14"/>
  <c r="Q43" i="14"/>
  <c r="P43" i="14"/>
  <c r="S42" i="14"/>
  <c r="R42" i="14"/>
  <c r="Q42" i="14"/>
  <c r="P42" i="14"/>
  <c r="S41" i="14"/>
  <c r="R41" i="14"/>
  <c r="Q41" i="14"/>
  <c r="P41" i="14"/>
  <c r="S40" i="14"/>
  <c r="R40" i="14"/>
  <c r="Q40" i="14"/>
  <c r="P40" i="14"/>
  <c r="S39" i="14"/>
  <c r="R39" i="14"/>
  <c r="Q39" i="14"/>
  <c r="P39" i="14"/>
  <c r="S38" i="14"/>
  <c r="R38" i="14"/>
  <c r="Q38" i="14"/>
  <c r="P38" i="14"/>
  <c r="S37" i="14"/>
  <c r="R37" i="14"/>
  <c r="Q37" i="14"/>
  <c r="P37" i="14"/>
  <c r="S36" i="14"/>
  <c r="R36" i="14"/>
  <c r="Q36" i="14"/>
  <c r="P36" i="14"/>
  <c r="S35" i="14"/>
  <c r="R35" i="14"/>
  <c r="Q35" i="14"/>
  <c r="P35" i="14"/>
  <c r="S34" i="14"/>
  <c r="R34" i="14"/>
  <c r="Q34" i="14"/>
  <c r="P34" i="14"/>
  <c r="S33" i="14"/>
  <c r="R33" i="14"/>
  <c r="Q33" i="14"/>
  <c r="P33" i="14"/>
  <c r="S32" i="14"/>
  <c r="R32" i="14"/>
  <c r="Q32" i="14"/>
  <c r="P32" i="14"/>
  <c r="S31" i="14"/>
  <c r="R31" i="14"/>
  <c r="Q31" i="14"/>
  <c r="P31" i="14"/>
  <c r="S30" i="14"/>
  <c r="R30" i="14"/>
  <c r="Q30" i="14"/>
  <c r="P30" i="14"/>
  <c r="S29" i="14"/>
  <c r="R29" i="14"/>
  <c r="Q29" i="14"/>
  <c r="P29" i="14"/>
  <c r="S28" i="14"/>
  <c r="R28" i="14"/>
  <c r="Q28" i="14"/>
  <c r="P28" i="14"/>
  <c r="S27" i="14"/>
  <c r="R27" i="14"/>
  <c r="Q27" i="14"/>
  <c r="P27" i="14"/>
  <c r="S26" i="14"/>
  <c r="R26" i="14"/>
  <c r="Q26" i="14"/>
  <c r="P26" i="14"/>
  <c r="S25" i="14"/>
  <c r="R25" i="14"/>
  <c r="Q25" i="14"/>
  <c r="P25" i="14"/>
  <c r="S24" i="14"/>
  <c r="R24" i="14"/>
  <c r="Q24" i="14"/>
  <c r="P24" i="14"/>
  <c r="S23" i="14"/>
  <c r="R23" i="14"/>
  <c r="Q23" i="14"/>
  <c r="P23" i="14"/>
  <c r="S22" i="14"/>
  <c r="R22" i="14"/>
  <c r="Q22" i="14"/>
  <c r="P22" i="14"/>
  <c r="S21" i="14"/>
  <c r="R21" i="14"/>
  <c r="Q21" i="14"/>
  <c r="P21" i="14"/>
  <c r="S20" i="14"/>
  <c r="R20" i="14"/>
  <c r="Q20" i="14"/>
  <c r="P20" i="14"/>
  <c r="S19" i="14"/>
  <c r="R19" i="14"/>
  <c r="Q19" i="14"/>
  <c r="P19" i="14"/>
  <c r="S18" i="14"/>
  <c r="R18" i="14"/>
  <c r="Q18" i="14"/>
  <c r="P18" i="14"/>
  <c r="S17" i="14"/>
  <c r="R17" i="14"/>
  <c r="Q17" i="14"/>
  <c r="P17" i="14"/>
  <c r="S16" i="14"/>
  <c r="R16" i="14"/>
  <c r="Q16" i="14"/>
  <c r="P16" i="14"/>
  <c r="S15" i="14"/>
  <c r="R15" i="14"/>
  <c r="Q15" i="14"/>
  <c r="P15" i="14"/>
  <c r="S14" i="14"/>
  <c r="R14" i="14"/>
  <c r="Q14" i="14"/>
  <c r="P14" i="14"/>
  <c r="S13" i="14"/>
  <c r="R13" i="14"/>
  <c r="Q13" i="14"/>
  <c r="P13" i="14"/>
  <c r="S12" i="14"/>
  <c r="R12" i="14"/>
  <c r="Q12" i="14"/>
  <c r="P12" i="14"/>
  <c r="S11" i="14"/>
  <c r="R11" i="14"/>
  <c r="Q11" i="14"/>
  <c r="P11" i="14"/>
  <c r="S10" i="14"/>
  <c r="R10" i="14"/>
  <c r="Q10" i="14"/>
  <c r="P10" i="14"/>
  <c r="T9" i="14" a="1"/>
  <c r="T9" i="14" s="1"/>
  <c r="Q10" i="11"/>
  <c r="R10" i="11"/>
  <c r="S10" i="11"/>
  <c r="T10" i="11"/>
  <c r="Q11" i="11"/>
  <c r="R11" i="11"/>
  <c r="S11" i="11"/>
  <c r="T11" i="11"/>
  <c r="Q12" i="11"/>
  <c r="R12" i="11"/>
  <c r="S12" i="11"/>
  <c r="T12" i="11"/>
  <c r="Q13" i="11"/>
  <c r="R13" i="11"/>
  <c r="S13" i="11"/>
  <c r="T13" i="11"/>
  <c r="Q14" i="11"/>
  <c r="R14" i="11"/>
  <c r="S14" i="11"/>
  <c r="T14" i="11"/>
  <c r="Q15" i="11"/>
  <c r="R15" i="11"/>
  <c r="S15" i="11"/>
  <c r="T15" i="11"/>
  <c r="Q16" i="11"/>
  <c r="R16" i="11"/>
  <c r="S16" i="11"/>
  <c r="T16" i="11"/>
  <c r="Q17" i="11"/>
  <c r="R17" i="11"/>
  <c r="S17" i="11"/>
  <c r="T17" i="11"/>
  <c r="Q18" i="11"/>
  <c r="R18" i="11"/>
  <c r="S18" i="11"/>
  <c r="T18" i="11"/>
  <c r="Q19" i="11"/>
  <c r="R19" i="11"/>
  <c r="S19" i="11"/>
  <c r="T19" i="11"/>
  <c r="Q20" i="11"/>
  <c r="R20" i="11"/>
  <c r="S20" i="11"/>
  <c r="T20" i="11"/>
  <c r="Q21" i="11"/>
  <c r="R21" i="11"/>
  <c r="S21" i="11"/>
  <c r="T21" i="11"/>
  <c r="Q22" i="11"/>
  <c r="R22" i="11"/>
  <c r="S22" i="11"/>
  <c r="T22" i="11"/>
  <c r="Q23" i="11"/>
  <c r="R23" i="11"/>
  <c r="S23" i="11"/>
  <c r="T23" i="11"/>
  <c r="Q24" i="11"/>
  <c r="R24" i="11"/>
  <c r="S24" i="11"/>
  <c r="T24" i="11"/>
  <c r="Q25" i="11"/>
  <c r="R25" i="11"/>
  <c r="S25" i="11"/>
  <c r="T25" i="11"/>
  <c r="Q26" i="11"/>
  <c r="R26" i="11"/>
  <c r="S26" i="11"/>
  <c r="T26" i="11"/>
  <c r="Q27" i="11"/>
  <c r="R27" i="11"/>
  <c r="S27" i="11"/>
  <c r="T27" i="11"/>
  <c r="Q28" i="11"/>
  <c r="R28" i="11"/>
  <c r="S28" i="11"/>
  <c r="T28" i="11"/>
  <c r="Q29" i="11"/>
  <c r="R29" i="11"/>
  <c r="S29" i="11"/>
  <c r="T29" i="11"/>
  <c r="Q30" i="11"/>
  <c r="R30" i="11"/>
  <c r="S30" i="11"/>
  <c r="T30" i="11"/>
  <c r="Q31" i="11"/>
  <c r="R31" i="11"/>
  <c r="S31" i="11"/>
  <c r="T31" i="11"/>
  <c r="Q32" i="11"/>
  <c r="R32" i="11"/>
  <c r="S32" i="11"/>
  <c r="T32" i="11"/>
  <c r="Q33" i="11"/>
  <c r="R33" i="11"/>
  <c r="S33" i="11"/>
  <c r="T33" i="11"/>
  <c r="Q34" i="11"/>
  <c r="R34" i="11"/>
  <c r="S34" i="11"/>
  <c r="T34" i="11"/>
  <c r="Q35" i="11"/>
  <c r="R35" i="11"/>
  <c r="S35" i="11"/>
  <c r="T35" i="11"/>
  <c r="Q36" i="11"/>
  <c r="R36" i="11"/>
  <c r="S36" i="11"/>
  <c r="T36" i="11"/>
  <c r="Q37" i="11"/>
  <c r="R37" i="11"/>
  <c r="S37" i="11"/>
  <c r="T37" i="11"/>
  <c r="Q38" i="11"/>
  <c r="R38" i="11"/>
  <c r="S38" i="11"/>
  <c r="T38" i="11"/>
  <c r="Q39" i="11"/>
  <c r="R39" i="11"/>
  <c r="S39" i="11"/>
  <c r="T39" i="11"/>
  <c r="Q40" i="11"/>
  <c r="R40" i="11"/>
  <c r="S40" i="11"/>
  <c r="T40" i="11"/>
  <c r="Q41" i="11"/>
  <c r="R41" i="11"/>
  <c r="S41" i="11"/>
  <c r="T41" i="11"/>
  <c r="Q42" i="11"/>
  <c r="R42" i="11"/>
  <c r="S42" i="11"/>
  <c r="T42" i="11"/>
  <c r="Q43" i="11"/>
  <c r="R43" i="11"/>
  <c r="S43" i="11"/>
  <c r="T43" i="11"/>
  <c r="Q44" i="11"/>
  <c r="R44" i="11"/>
  <c r="S44" i="11"/>
  <c r="T44" i="11"/>
  <c r="Q45" i="11"/>
  <c r="R45" i="11"/>
  <c r="S45" i="11"/>
  <c r="T45" i="11"/>
  <c r="Q46" i="11"/>
  <c r="R46" i="11"/>
  <c r="S46" i="11"/>
  <c r="T46" i="11"/>
  <c r="Q47" i="11"/>
  <c r="R47" i="11"/>
  <c r="S47" i="11"/>
  <c r="T47" i="11"/>
  <c r="Q48" i="11"/>
  <c r="R48" i="11"/>
  <c r="S48" i="11"/>
  <c r="T48" i="11"/>
  <c r="Q49" i="11"/>
  <c r="R49" i="11"/>
  <c r="S49" i="11"/>
  <c r="T49" i="11"/>
  <c r="Q50" i="11"/>
  <c r="R50" i="11"/>
  <c r="S50" i="11"/>
  <c r="T50" i="11"/>
  <c r="Q51" i="11"/>
  <c r="R51" i="11"/>
  <c r="S51" i="11"/>
  <c r="T51" i="11"/>
  <c r="Q52" i="11"/>
  <c r="R52" i="11"/>
  <c r="S52" i="11"/>
  <c r="T52" i="11"/>
  <c r="Q53" i="11"/>
  <c r="R53" i="11"/>
  <c r="S53" i="11"/>
  <c r="T53" i="11"/>
  <c r="Q54" i="11"/>
  <c r="R54" i="11"/>
  <c r="S54" i="11"/>
  <c r="T54" i="11"/>
  <c r="Q55" i="11"/>
  <c r="R55" i="11"/>
  <c r="S55" i="11"/>
  <c r="T55" i="11"/>
  <c r="Q56" i="11"/>
  <c r="R56" i="11"/>
  <c r="S56" i="11"/>
  <c r="T56" i="11"/>
  <c r="Y10" i="11"/>
  <c r="Z10" i="11"/>
  <c r="Y11" i="11"/>
  <c r="Z11" i="11"/>
  <c r="Y12" i="11"/>
  <c r="Z12" i="11"/>
  <c r="Y13" i="11"/>
  <c r="Z13" i="11"/>
  <c r="Y14" i="11"/>
  <c r="Z14" i="11"/>
  <c r="Y15" i="11"/>
  <c r="Z15" i="11"/>
  <c r="Y16" i="11"/>
  <c r="Z16" i="11"/>
  <c r="Y17" i="11"/>
  <c r="Z17" i="11"/>
  <c r="Y18" i="11"/>
  <c r="Z18" i="11"/>
  <c r="Y19" i="11"/>
  <c r="Z19" i="11"/>
  <c r="Y20" i="11"/>
  <c r="Z20" i="11"/>
  <c r="Y21" i="11"/>
  <c r="Z21" i="11"/>
  <c r="Y22" i="11"/>
  <c r="Z22" i="11"/>
  <c r="Y23" i="11"/>
  <c r="Z23" i="11"/>
  <c r="Y24" i="11"/>
  <c r="Z24" i="11"/>
  <c r="Y25" i="11"/>
  <c r="Z25" i="11"/>
  <c r="Y26" i="11"/>
  <c r="Z26" i="11"/>
  <c r="Y27" i="11"/>
  <c r="Z27" i="11"/>
  <c r="Y28" i="11"/>
  <c r="Z28" i="11"/>
  <c r="Y29" i="11"/>
  <c r="Z29" i="11"/>
  <c r="Y30" i="11"/>
  <c r="Z30" i="11"/>
  <c r="Y31" i="11"/>
  <c r="Z31" i="11"/>
  <c r="Y32" i="11"/>
  <c r="Z32" i="11"/>
  <c r="Y33" i="11"/>
  <c r="Z33" i="11"/>
  <c r="Y34" i="11"/>
  <c r="Z34" i="11"/>
  <c r="Y35" i="11"/>
  <c r="Z35" i="11"/>
  <c r="Y36" i="11"/>
  <c r="Z36" i="11"/>
  <c r="Y37" i="11"/>
  <c r="Z37" i="11"/>
  <c r="Y38" i="11"/>
  <c r="Z38" i="11"/>
  <c r="Y39" i="11"/>
  <c r="Z39" i="11"/>
  <c r="Y40" i="11"/>
  <c r="Z40" i="11"/>
  <c r="Y41" i="11"/>
  <c r="Z41" i="11"/>
  <c r="Y42" i="11"/>
  <c r="Z42" i="11"/>
  <c r="Y43" i="11"/>
  <c r="Z43" i="11"/>
  <c r="Y44" i="11"/>
  <c r="Z44" i="11"/>
  <c r="Y45" i="11"/>
  <c r="Z45" i="11"/>
  <c r="Y46" i="11"/>
  <c r="Z46" i="11"/>
  <c r="Y47" i="11"/>
  <c r="Z47" i="11"/>
  <c r="Y48" i="11"/>
  <c r="Z48" i="11"/>
  <c r="Y49" i="11"/>
  <c r="Z49" i="11"/>
  <c r="Y50" i="11"/>
  <c r="Z50" i="11"/>
  <c r="Y51" i="11"/>
  <c r="Z51" i="11"/>
  <c r="Y52" i="11"/>
  <c r="Z52" i="11"/>
  <c r="Y53" i="11"/>
  <c r="Z53" i="11"/>
  <c r="Y54" i="11"/>
  <c r="Z54" i="11"/>
  <c r="Y55" i="11"/>
  <c r="Z55" i="11"/>
  <c r="Y56" i="11"/>
  <c r="Z56" i="11"/>
  <c r="AI9" i="12" a="1"/>
  <c r="AI9" i="12" s="1"/>
  <c r="Z9" i="11"/>
  <c r="Y9" i="11"/>
  <c r="T9" i="11"/>
  <c r="S9" i="11"/>
  <c r="R9" i="11"/>
  <c r="Q9" i="11"/>
  <c r="AC34" i="11" s="1" a="1"/>
  <c r="AC34" i="11" s="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K9" i="11"/>
  <c r="J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9" i="11"/>
  <c r="AG9" i="11" a="1"/>
  <c r="AG9" i="11" s="1"/>
  <c r="AH131" i="10" a="1"/>
  <c r="AH131" i="10" s="1"/>
  <c r="AG131" i="10" a="1"/>
  <c r="AG131" i="10" s="1"/>
  <c r="AF131" i="10" a="1"/>
  <c r="AF131" i="10" s="1"/>
  <c r="AE131" i="10" a="1"/>
  <c r="AE131" i="10" s="1"/>
  <c r="AH130" i="10" a="1"/>
  <c r="AH130" i="10" s="1"/>
  <c r="AG130" i="10" a="1"/>
  <c r="AG130" i="10" s="1"/>
  <c r="AF130" i="10" a="1"/>
  <c r="AF130" i="10" s="1"/>
  <c r="AE130" i="10" a="1"/>
  <c r="AE130" i="10" s="1"/>
  <c r="AH129" i="10" a="1"/>
  <c r="AH129" i="10" s="1"/>
  <c r="AG129" i="10" a="1"/>
  <c r="AG129" i="10" s="1"/>
  <c r="AF129" i="10" a="1"/>
  <c r="AF129" i="10" s="1"/>
  <c r="AE129" i="10" a="1"/>
  <c r="AE129" i="10" s="1"/>
  <c r="AH128" i="10" a="1"/>
  <c r="AH128" i="10" s="1"/>
  <c r="AG128" i="10" a="1"/>
  <c r="AG128" i="10" s="1"/>
  <c r="AF128" i="10" a="1"/>
  <c r="AF128" i="10" s="1"/>
  <c r="AE128" i="10" a="1"/>
  <c r="AE128" i="10" s="1"/>
  <c r="AH127" i="10" a="1"/>
  <c r="AH127" i="10" s="1"/>
  <c r="AG127" i="10" a="1"/>
  <c r="AG127" i="10" s="1"/>
  <c r="AF127" i="10" a="1"/>
  <c r="AF127" i="10" s="1"/>
  <c r="AE127" i="10" a="1"/>
  <c r="AE127" i="10" s="1"/>
  <c r="AH126" i="10" a="1"/>
  <c r="AH126" i="10" s="1"/>
  <c r="AG126" i="10" a="1"/>
  <c r="AG126" i="10" s="1"/>
  <c r="AF126" i="10" a="1"/>
  <c r="AF126" i="10" s="1"/>
  <c r="AE126" i="10" a="1"/>
  <c r="AE126" i="10" s="1"/>
  <c r="AH125" i="10" a="1"/>
  <c r="AH125" i="10" s="1"/>
  <c r="AG125" i="10" a="1"/>
  <c r="AG125" i="10" s="1"/>
  <c r="AF125" i="10" a="1"/>
  <c r="AF125" i="10" s="1"/>
  <c r="AE125" i="10" a="1"/>
  <c r="AE125" i="10" s="1"/>
  <c r="AH124" i="10" a="1"/>
  <c r="AH124" i="10" s="1"/>
  <c r="AG124" i="10" a="1"/>
  <c r="AG124" i="10" s="1"/>
  <c r="AF124" i="10" a="1"/>
  <c r="AF124" i="10" s="1"/>
  <c r="AE124" i="10" a="1"/>
  <c r="AE124" i="10" s="1"/>
  <c r="AH123" i="10" a="1"/>
  <c r="AH123" i="10" s="1"/>
  <c r="AG123" i="10" a="1"/>
  <c r="AG123" i="10" s="1"/>
  <c r="AF123" i="10" a="1"/>
  <c r="AF123" i="10" s="1"/>
  <c r="AE123" i="10" a="1"/>
  <c r="AE123" i="10" s="1"/>
  <c r="AH122" i="10" a="1"/>
  <c r="AH122" i="10" s="1"/>
  <c r="AG122" i="10" a="1"/>
  <c r="AG122" i="10" s="1"/>
  <c r="AF122" i="10" a="1"/>
  <c r="AF122" i="10" s="1"/>
  <c r="AE122" i="10" a="1"/>
  <c r="AE122" i="10" s="1"/>
  <c r="AH121" i="10" a="1"/>
  <c r="AH121" i="10" s="1"/>
  <c r="AG121" i="10" a="1"/>
  <c r="AG121" i="10" s="1"/>
  <c r="AF121" i="10" a="1"/>
  <c r="AF121" i="10" s="1"/>
  <c r="AE121" i="10" a="1"/>
  <c r="AE121" i="10" s="1"/>
  <c r="AH120" i="10" a="1"/>
  <c r="AH120" i="10" s="1"/>
  <c r="AG120" i="10" a="1"/>
  <c r="AG120" i="10" s="1"/>
  <c r="AF120" i="10" a="1"/>
  <c r="AF120" i="10" s="1"/>
  <c r="AE120" i="10" a="1"/>
  <c r="AE120" i="10" s="1"/>
  <c r="AH119" i="10" a="1"/>
  <c r="AH119" i="10" s="1"/>
  <c r="AG119" i="10" a="1"/>
  <c r="AG119" i="10" s="1"/>
  <c r="AF119" i="10" a="1"/>
  <c r="AF119" i="10" s="1"/>
  <c r="AE119" i="10" a="1"/>
  <c r="AE119" i="10" s="1"/>
  <c r="AH118" i="10" a="1"/>
  <c r="AH118" i="10" s="1"/>
  <c r="AG118" i="10" a="1"/>
  <c r="AG118" i="10" s="1"/>
  <c r="AF118" i="10" a="1"/>
  <c r="AF118" i="10" s="1"/>
  <c r="AE118" i="10" a="1"/>
  <c r="AE118" i="10" s="1"/>
  <c r="AH117" i="10" a="1"/>
  <c r="AH117" i="10" s="1"/>
  <c r="AG117" i="10" a="1"/>
  <c r="AG117" i="10" s="1"/>
  <c r="AF117" i="10" a="1"/>
  <c r="AF117" i="10" s="1"/>
  <c r="AE117" i="10" a="1"/>
  <c r="AE117" i="10" s="1"/>
  <c r="AH116" i="10" a="1"/>
  <c r="AH116" i="10" s="1"/>
  <c r="AG116" i="10" a="1"/>
  <c r="AG116" i="10" s="1"/>
  <c r="AF116" i="10" a="1"/>
  <c r="AF116" i="10" s="1"/>
  <c r="AE116" i="10" a="1"/>
  <c r="AE116" i="10" s="1"/>
  <c r="AH115" i="10" a="1"/>
  <c r="AH115" i="10" s="1"/>
  <c r="AG115" i="10" a="1"/>
  <c r="AG115" i="10" s="1"/>
  <c r="AF115" i="10" a="1"/>
  <c r="AF115" i="10" s="1"/>
  <c r="AE115" i="10" a="1"/>
  <c r="AE115" i="10" s="1"/>
  <c r="AH114" i="10" a="1"/>
  <c r="AH114" i="10" s="1"/>
  <c r="AG114" i="10" a="1"/>
  <c r="AG114" i="10" s="1"/>
  <c r="AF114" i="10" a="1"/>
  <c r="AF114" i="10" s="1"/>
  <c r="AE114" i="10" a="1"/>
  <c r="AE114" i="10" s="1"/>
  <c r="AH113" i="10" a="1"/>
  <c r="AH113" i="10" s="1"/>
  <c r="AG113" i="10" a="1"/>
  <c r="AG113" i="10" s="1"/>
  <c r="AF113" i="10" a="1"/>
  <c r="AF113" i="10" s="1"/>
  <c r="AE113" i="10" a="1"/>
  <c r="AE113" i="10" s="1"/>
  <c r="AH112" i="10" a="1"/>
  <c r="AH112" i="10" s="1"/>
  <c r="AG112" i="10" a="1"/>
  <c r="AG112" i="10" s="1"/>
  <c r="AF112" i="10" a="1"/>
  <c r="AF112" i="10" s="1"/>
  <c r="AE112" i="10" a="1"/>
  <c r="AE112" i="10" s="1"/>
  <c r="AH111" i="10" a="1"/>
  <c r="AH111" i="10" s="1"/>
  <c r="AG111" i="10" a="1"/>
  <c r="AG111" i="10" s="1"/>
  <c r="AF111" i="10" a="1"/>
  <c r="AF111" i="10" s="1"/>
  <c r="AE111" i="10" a="1"/>
  <c r="AE111" i="10" s="1"/>
  <c r="AH110" i="10" a="1"/>
  <c r="AH110" i="10" s="1"/>
  <c r="AG110" i="10" a="1"/>
  <c r="AG110" i="10" s="1"/>
  <c r="AF110" i="10" a="1"/>
  <c r="AF110" i="10" s="1"/>
  <c r="AE110" i="10" a="1"/>
  <c r="AE110" i="10" s="1"/>
  <c r="AH109" i="10" a="1"/>
  <c r="AH109" i="10" s="1"/>
  <c r="AG109" i="10" a="1"/>
  <c r="AG109" i="10" s="1"/>
  <c r="AF109" i="10" a="1"/>
  <c r="AF109" i="10" s="1"/>
  <c r="AE109" i="10" a="1"/>
  <c r="AE109" i="10" s="1"/>
  <c r="AH108" i="10" a="1"/>
  <c r="AH108" i="10" s="1"/>
  <c r="AG108" i="10" a="1"/>
  <c r="AG108" i="10" s="1"/>
  <c r="AF108" i="10" a="1"/>
  <c r="AF108" i="10" s="1"/>
  <c r="AE108" i="10" a="1"/>
  <c r="AE108" i="10" s="1"/>
  <c r="AH107" i="10" a="1"/>
  <c r="AH107" i="10" s="1"/>
  <c r="AG107" i="10" a="1"/>
  <c r="AG107" i="10" s="1"/>
  <c r="AF107" i="10" a="1"/>
  <c r="AF107" i="10" s="1"/>
  <c r="AE107" i="10" a="1"/>
  <c r="AE107" i="10" s="1"/>
  <c r="AH106" i="10" a="1"/>
  <c r="AH106" i="10" s="1"/>
  <c r="AG106" i="10" a="1"/>
  <c r="AG106" i="10" s="1"/>
  <c r="AF106" i="10" a="1"/>
  <c r="AF106" i="10" s="1"/>
  <c r="AE106" i="10" a="1"/>
  <c r="AE106" i="10" s="1"/>
  <c r="AH105" i="10" a="1"/>
  <c r="AH105" i="10" s="1"/>
  <c r="AG105" i="10" a="1"/>
  <c r="AG105" i="10" s="1"/>
  <c r="AF105" i="10" a="1"/>
  <c r="AF105" i="10" s="1"/>
  <c r="AE105" i="10" a="1"/>
  <c r="AE105" i="10" s="1"/>
  <c r="AH104" i="10" a="1"/>
  <c r="AH104" i="10" s="1"/>
  <c r="AG104" i="10" a="1"/>
  <c r="AG104" i="10" s="1"/>
  <c r="AF104" i="10" a="1"/>
  <c r="AF104" i="10" s="1"/>
  <c r="AE104" i="10" a="1"/>
  <c r="AE104" i="10" s="1"/>
  <c r="AH103" i="10" a="1"/>
  <c r="AH103" i="10" s="1"/>
  <c r="AG103" i="10" a="1"/>
  <c r="AG103" i="10" s="1"/>
  <c r="AF103" i="10" a="1"/>
  <c r="AF103" i="10" s="1"/>
  <c r="AE103" i="10" a="1"/>
  <c r="AE103" i="10" s="1"/>
  <c r="AH102" i="10" a="1"/>
  <c r="AH102" i="10" s="1"/>
  <c r="AG102" i="10" a="1"/>
  <c r="AG102" i="10" s="1"/>
  <c r="AF102" i="10" a="1"/>
  <c r="AF102" i="10" s="1"/>
  <c r="AE102" i="10" a="1"/>
  <c r="AE102" i="10" s="1"/>
  <c r="AH101" i="10" a="1"/>
  <c r="AH101" i="10" s="1"/>
  <c r="AG101" i="10" a="1"/>
  <c r="AG101" i="10" s="1"/>
  <c r="AF101" i="10" a="1"/>
  <c r="AF101" i="10" s="1"/>
  <c r="AE101" i="10" a="1"/>
  <c r="AE101" i="10" s="1"/>
  <c r="AH100" i="10" a="1"/>
  <c r="AH100" i="10" s="1"/>
  <c r="AG100" i="10" a="1"/>
  <c r="AG100" i="10" s="1"/>
  <c r="AF100" i="10" a="1"/>
  <c r="AF100" i="10" s="1"/>
  <c r="AE100" i="10" a="1"/>
  <c r="AE100" i="10" s="1"/>
  <c r="AH99" i="10" a="1"/>
  <c r="AH99" i="10" s="1"/>
  <c r="AG99" i="10" a="1"/>
  <c r="AG99" i="10" s="1"/>
  <c r="AF99" i="10" a="1"/>
  <c r="AF99" i="10" s="1"/>
  <c r="AE99" i="10" a="1"/>
  <c r="AE99" i="10" s="1"/>
  <c r="AH98" i="10" a="1"/>
  <c r="AH98" i="10" s="1"/>
  <c r="AG98" i="10" a="1"/>
  <c r="AG98" i="10" s="1"/>
  <c r="AF98" i="10" a="1"/>
  <c r="AF98" i="10" s="1"/>
  <c r="AE98" i="10" a="1"/>
  <c r="AE98" i="10" s="1"/>
  <c r="AH97" i="10" a="1"/>
  <c r="AH97" i="10" s="1"/>
  <c r="AG97" i="10" a="1"/>
  <c r="AG97" i="10" s="1"/>
  <c r="AF97" i="10" a="1"/>
  <c r="AF97" i="10" s="1"/>
  <c r="AE97" i="10" a="1"/>
  <c r="AE97" i="10" s="1"/>
  <c r="AH96" i="10" a="1"/>
  <c r="AH96" i="10" s="1"/>
  <c r="AG96" i="10" a="1"/>
  <c r="AG96" i="10" s="1"/>
  <c r="AF96" i="10" a="1"/>
  <c r="AF96" i="10" s="1"/>
  <c r="AE96" i="10" a="1"/>
  <c r="AE96" i="10" s="1"/>
  <c r="AH95" i="10" a="1"/>
  <c r="AH95" i="10" s="1"/>
  <c r="AG95" i="10" a="1"/>
  <c r="AG95" i="10" s="1"/>
  <c r="AF95" i="10" a="1"/>
  <c r="AF95" i="10" s="1"/>
  <c r="AE95" i="10" a="1"/>
  <c r="AE95" i="10" s="1"/>
  <c r="AH94" i="10" a="1"/>
  <c r="AH94" i="10" s="1"/>
  <c r="AG94" i="10" a="1"/>
  <c r="AG94" i="10" s="1"/>
  <c r="AF94" i="10" a="1"/>
  <c r="AF94" i="10" s="1"/>
  <c r="AE94" i="10" a="1"/>
  <c r="AE94" i="10" s="1"/>
  <c r="AH93" i="10" a="1"/>
  <c r="AH93" i="10" s="1"/>
  <c r="AG93" i="10" a="1"/>
  <c r="AG93" i="10" s="1"/>
  <c r="AF93" i="10" a="1"/>
  <c r="AF93" i="10" s="1"/>
  <c r="AE93" i="10" a="1"/>
  <c r="AE93" i="10" s="1"/>
  <c r="AH92" i="10" a="1"/>
  <c r="AH92" i="10" s="1"/>
  <c r="AG92" i="10" a="1"/>
  <c r="AG92" i="10" s="1"/>
  <c r="AF92" i="10" a="1"/>
  <c r="AF92" i="10" s="1"/>
  <c r="AE92" i="10" a="1"/>
  <c r="AE92" i="10" s="1"/>
  <c r="AH91" i="10" a="1"/>
  <c r="AH91" i="10" s="1"/>
  <c r="AG91" i="10" a="1"/>
  <c r="AG91" i="10" s="1"/>
  <c r="AF91" i="10" a="1"/>
  <c r="AF91" i="10" s="1"/>
  <c r="AE91" i="10" a="1"/>
  <c r="AE91" i="10" s="1"/>
  <c r="AH90" i="10" a="1"/>
  <c r="AH90" i="10" s="1"/>
  <c r="AG90" i="10" a="1"/>
  <c r="AG90" i="10" s="1"/>
  <c r="AF90" i="10" a="1"/>
  <c r="AF90" i="10" s="1"/>
  <c r="AE90" i="10" a="1"/>
  <c r="AE90" i="10" s="1"/>
  <c r="AH89" i="10" a="1"/>
  <c r="AH89" i="10" s="1"/>
  <c r="AG89" i="10" a="1"/>
  <c r="AG89" i="10" s="1"/>
  <c r="AF89" i="10" a="1"/>
  <c r="AF89" i="10" s="1"/>
  <c r="AE89" i="10" a="1"/>
  <c r="AE89" i="10" s="1"/>
  <c r="AH88" i="10" a="1"/>
  <c r="AH88" i="10" s="1"/>
  <c r="AG88" i="10" a="1"/>
  <c r="AG88" i="10" s="1"/>
  <c r="AF88" i="10" a="1"/>
  <c r="AF88" i="10" s="1"/>
  <c r="AE88" i="10" a="1"/>
  <c r="AE88" i="10" s="1"/>
  <c r="AH87" i="10" a="1"/>
  <c r="AH87" i="10" s="1"/>
  <c r="AG87" i="10" a="1"/>
  <c r="AG87" i="10" s="1"/>
  <c r="AF87" i="10" a="1"/>
  <c r="AF87" i="10" s="1"/>
  <c r="AE87" i="10" a="1"/>
  <c r="AE87" i="10" s="1"/>
  <c r="AH86" i="10" a="1"/>
  <c r="AH86" i="10" s="1"/>
  <c r="AG86" i="10" a="1"/>
  <c r="AG86" i="10" s="1"/>
  <c r="AF86" i="10" a="1"/>
  <c r="AF86" i="10" s="1"/>
  <c r="AE86" i="10" a="1"/>
  <c r="AE86" i="10" s="1"/>
  <c r="AH85" i="10" a="1"/>
  <c r="AH85" i="10" s="1"/>
  <c r="AG85" i="10" a="1"/>
  <c r="AG85" i="10" s="1"/>
  <c r="AF85" i="10" a="1"/>
  <c r="AF85" i="10" s="1"/>
  <c r="AE85" i="10" a="1"/>
  <c r="AE85" i="10" s="1"/>
  <c r="AH84" i="10" a="1"/>
  <c r="AH84" i="10" s="1"/>
  <c r="AG84" i="10" a="1"/>
  <c r="AG84" i="10" s="1"/>
  <c r="AF84" i="10" a="1"/>
  <c r="AF84" i="10" s="1"/>
  <c r="AE84" i="10" a="1"/>
  <c r="AE84" i="10" s="1"/>
  <c r="AH83" i="10" a="1"/>
  <c r="AH83" i="10" s="1"/>
  <c r="AG83" i="10" a="1"/>
  <c r="AG83" i="10" s="1"/>
  <c r="AF83" i="10" a="1"/>
  <c r="AF83" i="10" s="1"/>
  <c r="AE83" i="10" a="1"/>
  <c r="AE83" i="10" s="1"/>
  <c r="AH82" i="10" a="1"/>
  <c r="AH82" i="10" s="1"/>
  <c r="AG82" i="10" a="1"/>
  <c r="AG82" i="10" s="1"/>
  <c r="AF82" i="10" a="1"/>
  <c r="AF82" i="10" s="1"/>
  <c r="AE82" i="10" a="1"/>
  <c r="AE82" i="10" s="1"/>
  <c r="AH81" i="10" a="1"/>
  <c r="AH81" i="10" s="1"/>
  <c r="AG81" i="10" a="1"/>
  <c r="AG81" i="10" s="1"/>
  <c r="AF81" i="10" a="1"/>
  <c r="AF81" i="10" s="1"/>
  <c r="AE81" i="10" a="1"/>
  <c r="AE81" i="10" s="1"/>
  <c r="AH80" i="10" a="1"/>
  <c r="AH80" i="10" s="1"/>
  <c r="AG80" i="10" a="1"/>
  <c r="AG80" i="10" s="1"/>
  <c r="AF80" i="10" a="1"/>
  <c r="AF80" i="10" s="1"/>
  <c r="AE80" i="10" a="1"/>
  <c r="AE80" i="10" s="1"/>
  <c r="AH79" i="10" a="1"/>
  <c r="AH79" i="10" s="1"/>
  <c r="AG79" i="10" a="1"/>
  <c r="AG79" i="10" s="1"/>
  <c r="AF79" i="10" a="1"/>
  <c r="AF79" i="10" s="1"/>
  <c r="AE79" i="10" a="1"/>
  <c r="AE79" i="10" s="1"/>
  <c r="AH78" i="10" a="1"/>
  <c r="AH78" i="10" s="1"/>
  <c r="AG78" i="10" a="1"/>
  <c r="AG78" i="10" s="1"/>
  <c r="AF78" i="10" a="1"/>
  <c r="AF78" i="10" s="1"/>
  <c r="AE78" i="10" a="1"/>
  <c r="AE78" i="10" s="1"/>
  <c r="AH77" i="10" a="1"/>
  <c r="AH77" i="10" s="1"/>
  <c r="AG77" i="10" a="1"/>
  <c r="AG77" i="10" s="1"/>
  <c r="AF77" i="10" a="1"/>
  <c r="AF77" i="10" s="1"/>
  <c r="AE77" i="10" a="1"/>
  <c r="AE77" i="10" s="1"/>
  <c r="AH76" i="10" a="1"/>
  <c r="AH76" i="10" s="1"/>
  <c r="AG76" i="10" a="1"/>
  <c r="AG76" i="10" s="1"/>
  <c r="AF76" i="10" a="1"/>
  <c r="AF76" i="10" s="1"/>
  <c r="AE76" i="10" a="1"/>
  <c r="AE76" i="10" s="1"/>
  <c r="AH75" i="10" a="1"/>
  <c r="AH75" i="10" s="1"/>
  <c r="AG75" i="10" a="1"/>
  <c r="AG75" i="10" s="1"/>
  <c r="AF75" i="10" a="1"/>
  <c r="AF75" i="10" s="1"/>
  <c r="AE75" i="10" a="1"/>
  <c r="AE75" i="10" s="1"/>
  <c r="AH74" i="10" a="1"/>
  <c r="AH74" i="10" s="1"/>
  <c r="AG74" i="10" a="1"/>
  <c r="AG74" i="10" s="1"/>
  <c r="AF74" i="10" a="1"/>
  <c r="AF74" i="10" s="1"/>
  <c r="AE74" i="10" a="1"/>
  <c r="AE74" i="10" s="1"/>
  <c r="AH73" i="10" a="1"/>
  <c r="AH73" i="10" s="1"/>
  <c r="AG73" i="10" a="1"/>
  <c r="AG73" i="10" s="1"/>
  <c r="AF73" i="10" a="1"/>
  <c r="AF73" i="10" s="1"/>
  <c r="AE73" i="10" a="1"/>
  <c r="AE73" i="10" s="1"/>
  <c r="AH72" i="10" a="1"/>
  <c r="AH72" i="10" s="1"/>
  <c r="AG72" i="10" a="1"/>
  <c r="AG72" i="10" s="1"/>
  <c r="AF72" i="10" a="1"/>
  <c r="AF72" i="10" s="1"/>
  <c r="AE72" i="10" a="1"/>
  <c r="AE72" i="10" s="1"/>
  <c r="AH71" i="10" a="1"/>
  <c r="AH71" i="10" s="1"/>
  <c r="AG71" i="10" a="1"/>
  <c r="AG71" i="10" s="1"/>
  <c r="AF71" i="10" a="1"/>
  <c r="AF71" i="10" s="1"/>
  <c r="AE71" i="10" a="1"/>
  <c r="AE71" i="10" s="1"/>
  <c r="AH70" i="10" a="1"/>
  <c r="AH70" i="10" s="1"/>
  <c r="AG70" i="10" a="1"/>
  <c r="AG70" i="10" s="1"/>
  <c r="AF70" i="10" a="1"/>
  <c r="AF70" i="10" s="1"/>
  <c r="AE70" i="10" a="1"/>
  <c r="AE70" i="10" s="1"/>
  <c r="AH69" i="10" a="1"/>
  <c r="AH69" i="10" s="1"/>
  <c r="AG69" i="10" a="1"/>
  <c r="AG69" i="10" s="1"/>
  <c r="AF69" i="10" a="1"/>
  <c r="AF69" i="10" s="1"/>
  <c r="AE69" i="10" a="1"/>
  <c r="AE69" i="10" s="1"/>
  <c r="AH68" i="10" a="1"/>
  <c r="AH68" i="10" s="1"/>
  <c r="AG68" i="10" a="1"/>
  <c r="AG68" i="10" s="1"/>
  <c r="AF68" i="10" a="1"/>
  <c r="AF68" i="10" s="1"/>
  <c r="AE68" i="10" a="1"/>
  <c r="AE68" i="10" s="1"/>
  <c r="AH67" i="10" a="1"/>
  <c r="AH67" i="10" s="1"/>
  <c r="AG67" i="10" a="1"/>
  <c r="AG67" i="10" s="1"/>
  <c r="AF67" i="10" a="1"/>
  <c r="AF67" i="10" s="1"/>
  <c r="AE67" i="10" a="1"/>
  <c r="AE67" i="10" s="1"/>
  <c r="AH66" i="10" a="1"/>
  <c r="AH66" i="10" s="1"/>
  <c r="AG66" i="10" a="1"/>
  <c r="AG66" i="10" s="1"/>
  <c r="AF66" i="10" a="1"/>
  <c r="AF66" i="10" s="1"/>
  <c r="AE66" i="10" a="1"/>
  <c r="AE66" i="10" s="1"/>
  <c r="AH65" i="10" a="1"/>
  <c r="AH65" i="10" s="1"/>
  <c r="AG65" i="10" a="1"/>
  <c r="AG65" i="10" s="1"/>
  <c r="AF65" i="10" a="1"/>
  <c r="AF65" i="10" s="1"/>
  <c r="AE65" i="10" a="1"/>
  <c r="AE65" i="10" s="1"/>
  <c r="AH64" i="10" a="1"/>
  <c r="AH64" i="10" s="1"/>
  <c r="AG64" i="10" a="1"/>
  <c r="AG64" i="10" s="1"/>
  <c r="AF64" i="10" a="1"/>
  <c r="AF64" i="10" s="1"/>
  <c r="AE64" i="10" a="1"/>
  <c r="AE64" i="10" s="1"/>
  <c r="AH63" i="10" a="1"/>
  <c r="AH63" i="10" s="1"/>
  <c r="AG63" i="10" a="1"/>
  <c r="AG63" i="10" s="1"/>
  <c r="AF63" i="10" a="1"/>
  <c r="AF63" i="10" s="1"/>
  <c r="AE63" i="10" a="1"/>
  <c r="AE63" i="10" s="1"/>
  <c r="AH62" i="10" a="1"/>
  <c r="AH62" i="10" s="1"/>
  <c r="AG62" i="10" a="1"/>
  <c r="AG62" i="10" s="1"/>
  <c r="AF62" i="10" a="1"/>
  <c r="AF62" i="10" s="1"/>
  <c r="AE62" i="10" a="1"/>
  <c r="AE62" i="10" s="1"/>
  <c r="AH61" i="10" a="1"/>
  <c r="AH61" i="10" s="1"/>
  <c r="AG61" i="10" a="1"/>
  <c r="AG61" i="10" s="1"/>
  <c r="AF61" i="10" a="1"/>
  <c r="AF61" i="10" s="1"/>
  <c r="AE61" i="10" a="1"/>
  <c r="AE61" i="10" s="1"/>
  <c r="AH60" i="10" a="1"/>
  <c r="AH60" i="10" s="1"/>
  <c r="AG60" i="10" a="1"/>
  <c r="AG60" i="10" s="1"/>
  <c r="AF60" i="10" a="1"/>
  <c r="AF60" i="10" s="1"/>
  <c r="AE60" i="10" a="1"/>
  <c r="AE60" i="10" s="1"/>
  <c r="AH59" i="10" a="1"/>
  <c r="AH59" i="10" s="1"/>
  <c r="AG59" i="10" a="1"/>
  <c r="AG59" i="10" s="1"/>
  <c r="AF59" i="10" a="1"/>
  <c r="AF59" i="10" s="1"/>
  <c r="AE59" i="10" a="1"/>
  <c r="AE59" i="10" s="1"/>
  <c r="AH58" i="10" a="1"/>
  <c r="AH58" i="10" s="1"/>
  <c r="AG58" i="10" a="1"/>
  <c r="AG58" i="10" s="1"/>
  <c r="AF58" i="10" a="1"/>
  <c r="AF58" i="10" s="1"/>
  <c r="AE58" i="10" a="1"/>
  <c r="AE58" i="10" s="1"/>
  <c r="AH57" i="10" a="1"/>
  <c r="AH57" i="10" s="1"/>
  <c r="AG57" i="10" a="1"/>
  <c r="AG57" i="10" s="1"/>
  <c r="AF57" i="10" a="1"/>
  <c r="AF57" i="10" s="1"/>
  <c r="AE57" i="10" a="1"/>
  <c r="AE57" i="10" s="1"/>
  <c r="AH56" i="10" a="1"/>
  <c r="AH56" i="10" s="1"/>
  <c r="AG56" i="10" a="1"/>
  <c r="AG56" i="10" s="1"/>
  <c r="AF56" i="10" a="1"/>
  <c r="AF56" i="10" s="1"/>
  <c r="AE56" i="10" a="1"/>
  <c r="AE56" i="10" s="1"/>
  <c r="AH55" i="10" a="1"/>
  <c r="AH55" i="10" s="1"/>
  <c r="AG55" i="10" a="1"/>
  <c r="AG55" i="10" s="1"/>
  <c r="AF55" i="10" a="1"/>
  <c r="AF55" i="10" s="1"/>
  <c r="AE55" i="10" a="1"/>
  <c r="AE55" i="10" s="1"/>
  <c r="AH54" i="10" a="1"/>
  <c r="AH54" i="10" s="1"/>
  <c r="AG54" i="10" a="1"/>
  <c r="AG54" i="10" s="1"/>
  <c r="AF54" i="10" a="1"/>
  <c r="AF54" i="10" s="1"/>
  <c r="AE54" i="10" a="1"/>
  <c r="AE54" i="10" s="1"/>
  <c r="AH53" i="10" a="1"/>
  <c r="AH53" i="10" s="1"/>
  <c r="AG53" i="10" a="1"/>
  <c r="AG53" i="10" s="1"/>
  <c r="AF53" i="10" a="1"/>
  <c r="AF53" i="10" s="1"/>
  <c r="AE53" i="10" a="1"/>
  <c r="AE53" i="10" s="1"/>
  <c r="AH52" i="10" a="1"/>
  <c r="AH52" i="10" s="1"/>
  <c r="AG52" i="10" a="1"/>
  <c r="AG52" i="10" s="1"/>
  <c r="AF52" i="10" a="1"/>
  <c r="AF52" i="10" s="1"/>
  <c r="AE52" i="10" a="1"/>
  <c r="AE52" i="10" s="1"/>
  <c r="AH51" i="10" a="1"/>
  <c r="AH51" i="10" s="1"/>
  <c r="AG51" i="10" a="1"/>
  <c r="AG51" i="10" s="1"/>
  <c r="AF51" i="10" a="1"/>
  <c r="AF51" i="10" s="1"/>
  <c r="AE51" i="10" a="1"/>
  <c r="AE51" i="10" s="1"/>
  <c r="AH50" i="10" a="1"/>
  <c r="AH50" i="10" s="1"/>
  <c r="AG50" i="10" a="1"/>
  <c r="AG50" i="10" s="1"/>
  <c r="AF50" i="10" a="1"/>
  <c r="AF50" i="10" s="1"/>
  <c r="AE50" i="10" a="1"/>
  <c r="AE50" i="10" s="1"/>
  <c r="AH49" i="10" a="1"/>
  <c r="AH49" i="10" s="1"/>
  <c r="AG49" i="10" a="1"/>
  <c r="AG49" i="10" s="1"/>
  <c r="AF49" i="10" a="1"/>
  <c r="AF49" i="10" s="1"/>
  <c r="AE49" i="10" a="1"/>
  <c r="AE49" i="10" s="1"/>
  <c r="AH48" i="10" a="1"/>
  <c r="AH48" i="10" s="1"/>
  <c r="AG48" i="10" a="1"/>
  <c r="AG48" i="10" s="1"/>
  <c r="AF48" i="10" a="1"/>
  <c r="AF48" i="10" s="1"/>
  <c r="AE48" i="10" a="1"/>
  <c r="AE48" i="10" s="1"/>
  <c r="AH47" i="10" a="1"/>
  <c r="AH47" i="10" s="1"/>
  <c r="AG47" i="10" a="1"/>
  <c r="AG47" i="10" s="1"/>
  <c r="AF47" i="10" a="1"/>
  <c r="AF47" i="10" s="1"/>
  <c r="AE47" i="10" a="1"/>
  <c r="AE47" i="10" s="1"/>
  <c r="AH46" i="10" a="1"/>
  <c r="AH46" i="10" s="1"/>
  <c r="AG46" i="10" a="1"/>
  <c r="AG46" i="10" s="1"/>
  <c r="AF46" i="10" a="1"/>
  <c r="AF46" i="10" s="1"/>
  <c r="AE46" i="10" a="1"/>
  <c r="AE46" i="10" s="1"/>
  <c r="AH45" i="10" a="1"/>
  <c r="AH45" i="10" s="1"/>
  <c r="AG45" i="10" a="1"/>
  <c r="AG45" i="10" s="1"/>
  <c r="AF45" i="10" a="1"/>
  <c r="AF45" i="10" s="1"/>
  <c r="AE45" i="10" a="1"/>
  <c r="AE45" i="10" s="1"/>
  <c r="AH44" i="10" a="1"/>
  <c r="AH44" i="10" s="1"/>
  <c r="AG44" i="10" a="1"/>
  <c r="AG44" i="10" s="1"/>
  <c r="AF44" i="10" a="1"/>
  <c r="AF44" i="10" s="1"/>
  <c r="AE44" i="10" a="1"/>
  <c r="AE44" i="10" s="1"/>
  <c r="AH43" i="10" a="1"/>
  <c r="AH43" i="10" s="1"/>
  <c r="AG43" i="10" a="1"/>
  <c r="AG43" i="10" s="1"/>
  <c r="AF43" i="10" a="1"/>
  <c r="AF43" i="10" s="1"/>
  <c r="AE43" i="10" a="1"/>
  <c r="AE43" i="10" s="1"/>
  <c r="AH42" i="10" a="1"/>
  <c r="AH42" i="10" s="1"/>
  <c r="AG42" i="10" a="1"/>
  <c r="AG42" i="10" s="1"/>
  <c r="AF42" i="10" a="1"/>
  <c r="AF42" i="10" s="1"/>
  <c r="AE42" i="10" a="1"/>
  <c r="AE42" i="10" s="1"/>
  <c r="AH41" i="10" a="1"/>
  <c r="AH41" i="10" s="1"/>
  <c r="AG41" i="10" a="1"/>
  <c r="AG41" i="10" s="1"/>
  <c r="AF41" i="10" a="1"/>
  <c r="AF41" i="10" s="1"/>
  <c r="AE41" i="10" a="1"/>
  <c r="AE41" i="10" s="1"/>
  <c r="AH40" i="10" a="1"/>
  <c r="AH40" i="10" s="1"/>
  <c r="AG40" i="10" a="1"/>
  <c r="AG40" i="10" s="1"/>
  <c r="AF40" i="10" a="1"/>
  <c r="AF40" i="10" s="1"/>
  <c r="AE40" i="10" a="1"/>
  <c r="AE40" i="10" s="1"/>
  <c r="AH39" i="10" a="1"/>
  <c r="AH39" i="10" s="1"/>
  <c r="AG39" i="10" a="1"/>
  <c r="AG39" i="10" s="1"/>
  <c r="AF39" i="10" a="1"/>
  <c r="AF39" i="10" s="1"/>
  <c r="AE39" i="10" a="1"/>
  <c r="AE39" i="10" s="1"/>
  <c r="AH38" i="10" a="1"/>
  <c r="AH38" i="10" s="1"/>
  <c r="AG38" i="10" a="1"/>
  <c r="AG38" i="10" s="1"/>
  <c r="AF38" i="10" a="1"/>
  <c r="AF38" i="10" s="1"/>
  <c r="AE38" i="10" a="1"/>
  <c r="AE38" i="10" s="1"/>
  <c r="AH37" i="10" a="1"/>
  <c r="AH37" i="10" s="1"/>
  <c r="AG37" i="10" a="1"/>
  <c r="AG37" i="10" s="1"/>
  <c r="AF37" i="10" a="1"/>
  <c r="AF37" i="10" s="1"/>
  <c r="AE37" i="10" a="1"/>
  <c r="AE37" i="10" s="1"/>
  <c r="AH36" i="10" a="1"/>
  <c r="AH36" i="10" s="1"/>
  <c r="AG36" i="10" a="1"/>
  <c r="AG36" i="10" s="1"/>
  <c r="AF36" i="10" a="1"/>
  <c r="AF36" i="10" s="1"/>
  <c r="AE36" i="10" a="1"/>
  <c r="AE36" i="10" s="1"/>
  <c r="AH35" i="10" a="1"/>
  <c r="AH35" i="10" s="1"/>
  <c r="AG35" i="10" a="1"/>
  <c r="AG35" i="10" s="1"/>
  <c r="AF35" i="10" a="1"/>
  <c r="AF35" i="10" s="1"/>
  <c r="AE35" i="10" a="1"/>
  <c r="AE35" i="10" s="1"/>
  <c r="AH34" i="10" a="1"/>
  <c r="AH34" i="10" s="1"/>
  <c r="AG34" i="10" a="1"/>
  <c r="AG34" i="10" s="1"/>
  <c r="AF34" i="10" a="1"/>
  <c r="AF34" i="10" s="1"/>
  <c r="AE34" i="10" a="1"/>
  <c r="AE34" i="10" s="1"/>
  <c r="AH33" i="10" a="1"/>
  <c r="AH33" i="10" s="1"/>
  <c r="AG33" i="10" a="1"/>
  <c r="AG33" i="10" s="1"/>
  <c r="AF33" i="10" a="1"/>
  <c r="AF33" i="10" s="1"/>
  <c r="AE33" i="10" a="1"/>
  <c r="AE33" i="10" s="1"/>
  <c r="AH32" i="10" a="1"/>
  <c r="AH32" i="10" s="1"/>
  <c r="AG32" i="10" a="1"/>
  <c r="AG32" i="10" s="1"/>
  <c r="AF32" i="10" a="1"/>
  <c r="AF32" i="10" s="1"/>
  <c r="AE32" i="10" a="1"/>
  <c r="AE32" i="10" s="1"/>
  <c r="AH31" i="10" a="1"/>
  <c r="AH31" i="10" s="1"/>
  <c r="AG31" i="10" a="1"/>
  <c r="AG31" i="10" s="1"/>
  <c r="AF31" i="10" a="1"/>
  <c r="AF31" i="10" s="1"/>
  <c r="AE31" i="10" a="1"/>
  <c r="AE31" i="10" s="1"/>
  <c r="AH30" i="10" a="1"/>
  <c r="AH30" i="10" s="1"/>
  <c r="AG30" i="10" a="1"/>
  <c r="AG30" i="10" s="1"/>
  <c r="AF30" i="10" a="1"/>
  <c r="AF30" i="10" s="1"/>
  <c r="AE30" i="10" a="1"/>
  <c r="AE30" i="10" s="1"/>
  <c r="AH29" i="10" a="1"/>
  <c r="AH29" i="10" s="1"/>
  <c r="AG29" i="10" a="1"/>
  <c r="AG29" i="10" s="1"/>
  <c r="AF29" i="10" a="1"/>
  <c r="AF29" i="10" s="1"/>
  <c r="AE29" i="10" a="1"/>
  <c r="AE29" i="10" s="1"/>
  <c r="AH28" i="10" a="1"/>
  <c r="AH28" i="10" s="1"/>
  <c r="AG28" i="10" a="1"/>
  <c r="AG28" i="10" s="1"/>
  <c r="AF28" i="10" a="1"/>
  <c r="AF28" i="10" s="1"/>
  <c r="AE28" i="10" a="1"/>
  <c r="AE28" i="10" s="1"/>
  <c r="AH27" i="10" a="1"/>
  <c r="AH27" i="10" s="1"/>
  <c r="AG27" i="10" a="1"/>
  <c r="AG27" i="10" s="1"/>
  <c r="AF27" i="10" a="1"/>
  <c r="AF27" i="10" s="1"/>
  <c r="AE27" i="10" a="1"/>
  <c r="AE27" i="10" s="1"/>
  <c r="AH26" i="10" a="1"/>
  <c r="AH26" i="10" s="1"/>
  <c r="AG26" i="10" a="1"/>
  <c r="AG26" i="10" s="1"/>
  <c r="AF26" i="10" a="1"/>
  <c r="AF26" i="10" s="1"/>
  <c r="AE26" i="10" a="1"/>
  <c r="AE26" i="10" s="1"/>
  <c r="AH25" i="10" a="1"/>
  <c r="AH25" i="10" s="1"/>
  <c r="AG25" i="10" a="1"/>
  <c r="AG25" i="10" s="1"/>
  <c r="AF25" i="10" a="1"/>
  <c r="AF25" i="10" s="1"/>
  <c r="AE25" i="10" a="1"/>
  <c r="AE25" i="10" s="1"/>
  <c r="AH24" i="10" a="1"/>
  <c r="AH24" i="10" s="1"/>
  <c r="AG24" i="10" a="1"/>
  <c r="AG24" i="10" s="1"/>
  <c r="AF24" i="10" a="1"/>
  <c r="AF24" i="10" s="1"/>
  <c r="AE24" i="10" a="1"/>
  <c r="AE24" i="10" s="1"/>
  <c r="AH23" i="10" a="1"/>
  <c r="AH23" i="10" s="1"/>
  <c r="AG23" i="10" a="1"/>
  <c r="AG23" i="10" s="1"/>
  <c r="AF23" i="10" a="1"/>
  <c r="AF23" i="10" s="1"/>
  <c r="AE23" i="10" a="1"/>
  <c r="AE23" i="10" s="1"/>
  <c r="AH22" i="10" a="1"/>
  <c r="AH22" i="10" s="1"/>
  <c r="AG22" i="10" a="1"/>
  <c r="AG22" i="10" s="1"/>
  <c r="AF22" i="10" a="1"/>
  <c r="AF22" i="10" s="1"/>
  <c r="AE22" i="10" a="1"/>
  <c r="AE22" i="10" s="1"/>
  <c r="AH21" i="10" a="1"/>
  <c r="AH21" i="10" s="1"/>
  <c r="AG21" i="10" a="1"/>
  <c r="AG21" i="10" s="1"/>
  <c r="AF21" i="10" a="1"/>
  <c r="AF21" i="10" s="1"/>
  <c r="AE21" i="10" a="1"/>
  <c r="AE21" i="10" s="1"/>
  <c r="AH20" i="10" a="1"/>
  <c r="AH20" i="10" s="1"/>
  <c r="AG20" i="10" a="1"/>
  <c r="AG20" i="10" s="1"/>
  <c r="AF20" i="10" a="1"/>
  <c r="AF20" i="10" s="1"/>
  <c r="AE20" i="10" a="1"/>
  <c r="AE20" i="10" s="1"/>
  <c r="AH19" i="10" a="1"/>
  <c r="AH19" i="10" s="1"/>
  <c r="AG19" i="10" a="1"/>
  <c r="AG19" i="10" s="1"/>
  <c r="AF19" i="10" a="1"/>
  <c r="AF19" i="10" s="1"/>
  <c r="AE19" i="10" a="1"/>
  <c r="AE19" i="10" s="1"/>
  <c r="AH18" i="10" a="1"/>
  <c r="AH18" i="10" s="1"/>
  <c r="AG18" i="10" a="1"/>
  <c r="AG18" i="10" s="1"/>
  <c r="AF18" i="10" a="1"/>
  <c r="AF18" i="10" s="1"/>
  <c r="AE18" i="10" a="1"/>
  <c r="AE18" i="10" s="1"/>
  <c r="AH17" i="10" a="1"/>
  <c r="AH17" i="10" s="1"/>
  <c r="AG17" i="10" a="1"/>
  <c r="AG17" i="10" s="1"/>
  <c r="AF17" i="10" a="1"/>
  <c r="AF17" i="10" s="1"/>
  <c r="AE17" i="10" a="1"/>
  <c r="AE17" i="10" s="1"/>
  <c r="AH16" i="10" a="1"/>
  <c r="AH16" i="10" s="1"/>
  <c r="AG16" i="10" a="1"/>
  <c r="AG16" i="10" s="1"/>
  <c r="AF16" i="10" a="1"/>
  <c r="AF16" i="10" s="1"/>
  <c r="AE16" i="10" a="1"/>
  <c r="AE16" i="10" s="1"/>
  <c r="AH15" i="10" a="1"/>
  <c r="AH15" i="10" s="1"/>
  <c r="AG15" i="10" a="1"/>
  <c r="AG15" i="10" s="1"/>
  <c r="AF15" i="10" a="1"/>
  <c r="AF15" i="10" s="1"/>
  <c r="AE15" i="10" a="1"/>
  <c r="AE15" i="10" s="1"/>
  <c r="AH14" i="10" a="1"/>
  <c r="AH14" i="10" s="1"/>
  <c r="AG14" i="10" a="1"/>
  <c r="AG14" i="10" s="1"/>
  <c r="AF14" i="10" a="1"/>
  <c r="AF14" i="10" s="1"/>
  <c r="AE14" i="10" a="1"/>
  <c r="AE14" i="10" s="1"/>
  <c r="AH13" i="10" a="1"/>
  <c r="AH13" i="10" s="1"/>
  <c r="AG13" i="10" a="1"/>
  <c r="AG13" i="10" s="1"/>
  <c r="AF13" i="10" a="1"/>
  <c r="AF13" i="10" s="1"/>
  <c r="AE13" i="10" a="1"/>
  <c r="AE13" i="10" s="1"/>
  <c r="AH12" i="10" a="1"/>
  <c r="AH12" i="10" s="1"/>
  <c r="AG12" i="10" a="1"/>
  <c r="AG12" i="10" s="1"/>
  <c r="AF12" i="10" a="1"/>
  <c r="AF12" i="10" s="1"/>
  <c r="AE12" i="10" a="1"/>
  <c r="AE12" i="10" s="1"/>
  <c r="AH11" i="10" a="1"/>
  <c r="AH11" i="10" s="1"/>
  <c r="AG11" i="10" a="1"/>
  <c r="AG11" i="10" s="1"/>
  <c r="AF11" i="10" a="1"/>
  <c r="AF11" i="10" s="1"/>
  <c r="AE11" i="10" a="1"/>
  <c r="AE11" i="10" s="1"/>
  <c r="AH10" i="10" a="1"/>
  <c r="AH10" i="10" s="1"/>
  <c r="AG10" i="10" a="1"/>
  <c r="AG10" i="10" s="1"/>
  <c r="AF10" i="10" a="1"/>
  <c r="AF10" i="10" s="1"/>
  <c r="AE10" i="10" a="1"/>
  <c r="AE10" i="10" s="1"/>
  <c r="AI9" i="10" a="1"/>
  <c r="AI9" i="10" s="1"/>
  <c r="S1364" i="9"/>
  <c r="R1364" i="9"/>
  <c r="Q1364" i="9"/>
  <c r="P1364" i="9"/>
  <c r="T1364" i="9" s="1" a="1"/>
  <c r="T1364" i="9" s="1"/>
  <c r="S1363" i="9"/>
  <c r="R1363" i="9"/>
  <c r="Q1363" i="9"/>
  <c r="P1363" i="9"/>
  <c r="T1363" i="9" s="1" a="1"/>
  <c r="T1363" i="9" s="1"/>
  <c r="T1362" i="9" a="1"/>
  <c r="T1362" i="9" s="1"/>
  <c r="S1362" i="9"/>
  <c r="R1362" i="9"/>
  <c r="Q1362" i="9"/>
  <c r="P1362" i="9"/>
  <c r="S1361" i="9"/>
  <c r="R1361" i="9"/>
  <c r="T1361" i="9" s="1" a="1"/>
  <c r="T1361" i="9" s="1"/>
  <c r="Q1361" i="9"/>
  <c r="P1361" i="9"/>
  <c r="S1360" i="9"/>
  <c r="R1360" i="9"/>
  <c r="Q1360" i="9"/>
  <c r="P1360" i="9"/>
  <c r="T1360" i="9" s="1" a="1"/>
  <c r="T1360" i="9" s="1"/>
  <c r="T1359" i="9" a="1"/>
  <c r="T1359" i="9" s="1"/>
  <c r="S1359" i="9"/>
  <c r="R1359" i="9"/>
  <c r="Q1359" i="9"/>
  <c r="P1359" i="9"/>
  <c r="S1358" i="9"/>
  <c r="R1358" i="9"/>
  <c r="Q1358" i="9"/>
  <c r="P1358" i="9"/>
  <c r="T1358" i="9" s="1" a="1"/>
  <c r="T1358" i="9" s="1"/>
  <c r="S1357" i="9"/>
  <c r="R1357" i="9"/>
  <c r="Q1357" i="9"/>
  <c r="P1357" i="9"/>
  <c r="S1356" i="9"/>
  <c r="R1356" i="9"/>
  <c r="Q1356" i="9"/>
  <c r="P1356" i="9"/>
  <c r="T1356" i="9" s="1" a="1"/>
  <c r="T1356" i="9" s="1"/>
  <c r="S1355" i="9"/>
  <c r="R1355" i="9"/>
  <c r="Q1355" i="9"/>
  <c r="P1355" i="9"/>
  <c r="T1355" i="9" s="1" a="1"/>
  <c r="T1355" i="9" s="1"/>
  <c r="T1354" i="9" a="1"/>
  <c r="T1354" i="9" s="1"/>
  <c r="S1354" i="9"/>
  <c r="R1354" i="9"/>
  <c r="Q1354" i="9"/>
  <c r="P1354" i="9"/>
  <c r="S1353" i="9"/>
  <c r="R1353" i="9"/>
  <c r="T1353" i="9" s="1" a="1"/>
  <c r="T1353" i="9" s="1"/>
  <c r="Q1353" i="9"/>
  <c r="P1353" i="9"/>
  <c r="S1352" i="9"/>
  <c r="R1352" i="9"/>
  <c r="Q1352" i="9"/>
  <c r="P1352" i="9"/>
  <c r="T1352" i="9" s="1" a="1"/>
  <c r="T1352" i="9" s="1"/>
  <c r="T1351" i="9" a="1"/>
  <c r="T1351" i="9" s="1"/>
  <c r="S1351" i="9"/>
  <c r="R1351" i="9"/>
  <c r="Q1351" i="9"/>
  <c r="P1351" i="9"/>
  <c r="S1350" i="9"/>
  <c r="R1350" i="9"/>
  <c r="Q1350" i="9"/>
  <c r="P1350" i="9"/>
  <c r="T1350" i="9" s="1" a="1"/>
  <c r="T1350" i="9" s="1"/>
  <c r="S1349" i="9"/>
  <c r="R1349" i="9"/>
  <c r="Q1349" i="9"/>
  <c r="P1349" i="9"/>
  <c r="T1349" i="9" s="1" a="1"/>
  <c r="T1349" i="9" s="1"/>
  <c r="S1348" i="9"/>
  <c r="R1348" i="9"/>
  <c r="Q1348" i="9"/>
  <c r="P1348" i="9"/>
  <c r="T1348" i="9" s="1" a="1"/>
  <c r="T1348" i="9" s="1"/>
  <c r="S1347" i="9"/>
  <c r="R1347" i="9"/>
  <c r="Q1347" i="9"/>
  <c r="P1347" i="9"/>
  <c r="T1347" i="9" s="1" a="1"/>
  <c r="T1347" i="9" s="1"/>
  <c r="T1346" i="9" a="1"/>
  <c r="T1346" i="9" s="1"/>
  <c r="S1346" i="9"/>
  <c r="R1346" i="9"/>
  <c r="Q1346" i="9"/>
  <c r="P1346" i="9"/>
  <c r="S1345" i="9"/>
  <c r="R1345" i="9"/>
  <c r="T1345" i="9" s="1" a="1"/>
  <c r="T1345" i="9" s="1"/>
  <c r="Q1345" i="9"/>
  <c r="P1345" i="9"/>
  <c r="S1344" i="9"/>
  <c r="R1344" i="9"/>
  <c r="Q1344" i="9"/>
  <c r="P1344" i="9"/>
  <c r="T1344" i="9" s="1" a="1"/>
  <c r="T1344" i="9" s="1"/>
  <c r="T1343" i="9" a="1"/>
  <c r="T1343" i="9" s="1"/>
  <c r="S1343" i="9"/>
  <c r="R1343" i="9"/>
  <c r="Q1343" i="9"/>
  <c r="P1343" i="9"/>
  <c r="T1342" i="9" a="1"/>
  <c r="T1342" i="9" s="1"/>
  <c r="S1342" i="9"/>
  <c r="R1342" i="9"/>
  <c r="Q1342" i="9"/>
  <c r="P1342" i="9"/>
  <c r="S1341" i="9"/>
  <c r="R1341" i="9"/>
  <c r="Q1341" i="9"/>
  <c r="P1341" i="9"/>
  <c r="T1341" i="9" s="1" a="1"/>
  <c r="T1341" i="9" s="1"/>
  <c r="S1340" i="9"/>
  <c r="R1340" i="9"/>
  <c r="Q1340" i="9"/>
  <c r="P1340" i="9"/>
  <c r="T1340" i="9" s="1" a="1"/>
  <c r="T1340" i="9" s="1"/>
  <c r="S1339" i="9"/>
  <c r="R1339" i="9"/>
  <c r="Q1339" i="9"/>
  <c r="P1339" i="9"/>
  <c r="T1339" i="9" s="1" a="1"/>
  <c r="T1339" i="9" s="1"/>
  <c r="T1338" i="9" a="1"/>
  <c r="T1338" i="9" s="1"/>
  <c r="S1338" i="9"/>
  <c r="R1338" i="9"/>
  <c r="Q1338" i="9"/>
  <c r="P1338" i="9"/>
  <c r="S1337" i="9"/>
  <c r="R1337" i="9"/>
  <c r="T1337" i="9" s="1" a="1"/>
  <c r="T1337" i="9" s="1"/>
  <c r="Q1337" i="9"/>
  <c r="P1337" i="9"/>
  <c r="S1336" i="9"/>
  <c r="R1336" i="9"/>
  <c r="Q1336" i="9"/>
  <c r="P1336" i="9"/>
  <c r="T1336" i="9" s="1" a="1"/>
  <c r="T1336" i="9" s="1"/>
  <c r="T1335" i="9" a="1"/>
  <c r="T1335" i="9" s="1"/>
  <c r="S1335" i="9"/>
  <c r="R1335" i="9"/>
  <c r="Q1335" i="9"/>
  <c r="P1335" i="9"/>
  <c r="T1334" i="9" a="1"/>
  <c r="T1334" i="9" s="1"/>
  <c r="S1334" i="9"/>
  <c r="R1334" i="9"/>
  <c r="Q1334" i="9"/>
  <c r="P1334" i="9"/>
  <c r="S1333" i="9"/>
  <c r="R1333" i="9"/>
  <c r="Q1333" i="9"/>
  <c r="P1333" i="9"/>
  <c r="S1332" i="9"/>
  <c r="R1332" i="9"/>
  <c r="Q1332" i="9"/>
  <c r="P1332" i="9"/>
  <c r="T1332" i="9" s="1" a="1"/>
  <c r="T1332" i="9" s="1"/>
  <c r="S1331" i="9"/>
  <c r="R1331" i="9"/>
  <c r="Q1331" i="9"/>
  <c r="P1331" i="9"/>
  <c r="T1331" i="9" s="1" a="1"/>
  <c r="T1331" i="9" s="1"/>
  <c r="T1330" i="9" a="1"/>
  <c r="T1330" i="9" s="1"/>
  <c r="S1330" i="9"/>
  <c r="R1330" i="9"/>
  <c r="Q1330" i="9"/>
  <c r="P1330" i="9"/>
  <c r="S1329" i="9"/>
  <c r="R1329" i="9"/>
  <c r="T1329" i="9" s="1" a="1"/>
  <c r="T1329" i="9" s="1"/>
  <c r="Q1329" i="9"/>
  <c r="P1329" i="9"/>
  <c r="S1328" i="9"/>
  <c r="R1328" i="9"/>
  <c r="Q1328" i="9"/>
  <c r="P1328" i="9"/>
  <c r="T1328" i="9" s="1" a="1"/>
  <c r="T1328" i="9" s="1"/>
  <c r="T1327" i="9" a="1"/>
  <c r="T1327" i="9" s="1"/>
  <c r="S1327" i="9"/>
  <c r="R1327" i="9"/>
  <c r="Q1327" i="9"/>
  <c r="P1327" i="9"/>
  <c r="T1326" i="9" a="1"/>
  <c r="T1326" i="9" s="1"/>
  <c r="S1326" i="9"/>
  <c r="R1326" i="9"/>
  <c r="Q1326" i="9"/>
  <c r="P1326" i="9"/>
  <c r="S1325" i="9"/>
  <c r="R1325" i="9"/>
  <c r="Q1325" i="9"/>
  <c r="P1325" i="9"/>
  <c r="T1325" i="9" s="1" a="1"/>
  <c r="T1325" i="9" s="1"/>
  <c r="S1324" i="9"/>
  <c r="R1324" i="9"/>
  <c r="Q1324" i="9"/>
  <c r="P1324" i="9"/>
  <c r="T1324" i="9" s="1" a="1"/>
  <c r="T1324" i="9" s="1"/>
  <c r="S1323" i="9"/>
  <c r="R1323" i="9"/>
  <c r="Q1323" i="9"/>
  <c r="P1323" i="9"/>
  <c r="T1323" i="9" s="1" a="1"/>
  <c r="T1323" i="9" s="1"/>
  <c r="T1322" i="9" a="1"/>
  <c r="T1322" i="9" s="1"/>
  <c r="S1322" i="9"/>
  <c r="R1322" i="9"/>
  <c r="Q1322" i="9"/>
  <c r="P1322" i="9"/>
  <c r="S1321" i="9"/>
  <c r="R1321" i="9"/>
  <c r="Q1321" i="9"/>
  <c r="T1321" i="9" s="1" a="1"/>
  <c r="T1321" i="9" s="1"/>
  <c r="P1321" i="9"/>
  <c r="S1320" i="9"/>
  <c r="R1320" i="9"/>
  <c r="Q1320" i="9"/>
  <c r="P1320" i="9"/>
  <c r="T1320" i="9" s="1" a="1"/>
  <c r="T1320" i="9" s="1"/>
  <c r="T1319" i="9" a="1"/>
  <c r="T1319" i="9" s="1"/>
  <c r="S1319" i="9"/>
  <c r="R1319" i="9"/>
  <c r="Q1319" i="9"/>
  <c r="P1319" i="9"/>
  <c r="S1318" i="9"/>
  <c r="T1318" i="9" s="1" a="1"/>
  <c r="T1318" i="9" s="1"/>
  <c r="R1318" i="9"/>
  <c r="Q1318" i="9"/>
  <c r="P1318" i="9"/>
  <c r="S1317" i="9"/>
  <c r="R1317" i="9"/>
  <c r="Q1317" i="9"/>
  <c r="P1317" i="9"/>
  <c r="T1317" i="9" s="1" a="1"/>
  <c r="T1317" i="9" s="1"/>
  <c r="S1316" i="9"/>
  <c r="R1316" i="9"/>
  <c r="Q1316" i="9"/>
  <c r="P1316" i="9"/>
  <c r="T1316" i="9" s="1" a="1"/>
  <c r="T1316" i="9" s="1"/>
  <c r="S1315" i="9"/>
  <c r="R1315" i="9"/>
  <c r="Q1315" i="9"/>
  <c r="P1315" i="9"/>
  <c r="T1315" i="9" s="1" a="1"/>
  <c r="T1315" i="9" s="1"/>
  <c r="T1314" i="9" a="1"/>
  <c r="T1314" i="9" s="1"/>
  <c r="S1314" i="9"/>
  <c r="R1314" i="9"/>
  <c r="Q1314" i="9"/>
  <c r="P1314" i="9"/>
  <c r="S1313" i="9"/>
  <c r="R1313" i="9"/>
  <c r="Q1313" i="9"/>
  <c r="T1313" i="9" s="1" a="1"/>
  <c r="T1313" i="9" s="1"/>
  <c r="P1313" i="9"/>
  <c r="S1312" i="9"/>
  <c r="R1312" i="9"/>
  <c r="Q1312" i="9"/>
  <c r="P1312" i="9"/>
  <c r="T1312" i="9" s="1" a="1"/>
  <c r="T1312" i="9" s="1"/>
  <c r="T1311" i="9" a="1"/>
  <c r="T1311" i="9" s="1"/>
  <c r="S1311" i="9"/>
  <c r="R1311" i="9"/>
  <c r="Q1311" i="9"/>
  <c r="P1311" i="9"/>
  <c r="S1310" i="9"/>
  <c r="T1310" i="9" s="1" a="1"/>
  <c r="T1310" i="9" s="1"/>
  <c r="R1310" i="9"/>
  <c r="Q1310" i="9"/>
  <c r="P1310" i="9"/>
  <c r="S1309" i="9"/>
  <c r="R1309" i="9"/>
  <c r="Q1309" i="9"/>
  <c r="P1309" i="9"/>
  <c r="S1308" i="9"/>
  <c r="R1308" i="9"/>
  <c r="Q1308" i="9"/>
  <c r="P1308" i="9"/>
  <c r="T1308" i="9" s="1" a="1"/>
  <c r="T1308" i="9" s="1"/>
  <c r="S1307" i="9"/>
  <c r="R1307" i="9"/>
  <c r="Q1307" i="9"/>
  <c r="P1307" i="9"/>
  <c r="T1307" i="9" s="1" a="1"/>
  <c r="T1307" i="9" s="1"/>
  <c r="T1306" i="9" a="1"/>
  <c r="T1306" i="9" s="1"/>
  <c r="S1306" i="9"/>
  <c r="R1306" i="9"/>
  <c r="Q1306" i="9"/>
  <c r="P1306" i="9"/>
  <c r="S1305" i="9"/>
  <c r="R1305" i="9"/>
  <c r="Q1305" i="9"/>
  <c r="T1305" i="9" s="1" a="1"/>
  <c r="T1305" i="9" s="1"/>
  <c r="P1305" i="9"/>
  <c r="S1304" i="9"/>
  <c r="R1304" i="9"/>
  <c r="Q1304" i="9"/>
  <c r="P1304" i="9"/>
  <c r="T1304" i="9" s="1" a="1"/>
  <c r="T1304" i="9" s="1"/>
  <c r="T1303" i="9" a="1"/>
  <c r="T1303" i="9" s="1"/>
  <c r="S1303" i="9"/>
  <c r="R1303" i="9"/>
  <c r="Q1303" i="9"/>
  <c r="P1303" i="9"/>
  <c r="S1302" i="9"/>
  <c r="T1302" i="9" s="1" a="1"/>
  <c r="T1302" i="9" s="1"/>
  <c r="R1302" i="9"/>
  <c r="Q1302" i="9"/>
  <c r="P1302" i="9"/>
  <c r="S1301" i="9"/>
  <c r="R1301" i="9"/>
  <c r="Q1301" i="9"/>
  <c r="P1301" i="9"/>
  <c r="S1300" i="9"/>
  <c r="R1300" i="9"/>
  <c r="Q1300" i="9"/>
  <c r="P1300" i="9"/>
  <c r="T1300" i="9" s="1" a="1"/>
  <c r="T1300" i="9" s="1"/>
  <c r="S1299" i="9"/>
  <c r="R1299" i="9"/>
  <c r="Q1299" i="9"/>
  <c r="P1299" i="9"/>
  <c r="T1299" i="9" s="1" a="1"/>
  <c r="T1299" i="9" s="1"/>
  <c r="T1298" i="9" a="1"/>
  <c r="T1298" i="9" s="1"/>
  <c r="S1298" i="9"/>
  <c r="R1298" i="9"/>
  <c r="Q1298" i="9"/>
  <c r="P1298" i="9"/>
  <c r="S1297" i="9"/>
  <c r="R1297" i="9"/>
  <c r="Q1297" i="9"/>
  <c r="T1297" i="9" s="1" a="1"/>
  <c r="T1297" i="9" s="1"/>
  <c r="P1297" i="9"/>
  <c r="S1296" i="9"/>
  <c r="R1296" i="9"/>
  <c r="Q1296" i="9"/>
  <c r="P1296" i="9"/>
  <c r="T1296" i="9" s="1" a="1"/>
  <c r="T1296" i="9" s="1"/>
  <c r="T1295" i="9" a="1"/>
  <c r="T1295" i="9" s="1"/>
  <c r="S1295" i="9"/>
  <c r="R1295" i="9"/>
  <c r="Q1295" i="9"/>
  <c r="P1295" i="9"/>
  <c r="S1294" i="9"/>
  <c r="T1294" i="9" s="1" a="1"/>
  <c r="T1294" i="9" s="1"/>
  <c r="R1294" i="9"/>
  <c r="Q1294" i="9"/>
  <c r="P1294" i="9"/>
  <c r="S1293" i="9"/>
  <c r="R1293" i="9"/>
  <c r="Q1293" i="9"/>
  <c r="P1293" i="9"/>
  <c r="T1293" i="9" s="1" a="1"/>
  <c r="T1293" i="9" s="1"/>
  <c r="S1292" i="9"/>
  <c r="R1292" i="9"/>
  <c r="Q1292" i="9"/>
  <c r="P1292" i="9"/>
  <c r="T1292" i="9" s="1" a="1"/>
  <c r="T1292" i="9" s="1"/>
  <c r="S1291" i="9"/>
  <c r="R1291" i="9"/>
  <c r="Q1291" i="9"/>
  <c r="P1291" i="9"/>
  <c r="T1291" i="9" s="1" a="1"/>
  <c r="T1291" i="9" s="1"/>
  <c r="T1290" i="9" a="1"/>
  <c r="T1290" i="9" s="1"/>
  <c r="S1290" i="9"/>
  <c r="R1290" i="9"/>
  <c r="Q1290" i="9"/>
  <c r="P1290" i="9"/>
  <c r="S1289" i="9"/>
  <c r="R1289" i="9"/>
  <c r="Q1289" i="9"/>
  <c r="T1289" i="9" s="1" a="1"/>
  <c r="T1289" i="9" s="1"/>
  <c r="P1289" i="9"/>
  <c r="S1288" i="9"/>
  <c r="R1288" i="9"/>
  <c r="Q1288" i="9"/>
  <c r="P1288" i="9"/>
  <c r="T1288" i="9" s="1" a="1"/>
  <c r="T1288" i="9" s="1"/>
  <c r="T1287" i="9" a="1"/>
  <c r="T1287" i="9" s="1"/>
  <c r="S1287" i="9"/>
  <c r="R1287" i="9"/>
  <c r="Q1287" i="9"/>
  <c r="P1287" i="9"/>
  <c r="S1286" i="9"/>
  <c r="T1286" i="9" s="1" a="1"/>
  <c r="T1286" i="9" s="1"/>
  <c r="R1286" i="9"/>
  <c r="Q1286" i="9"/>
  <c r="P1286" i="9"/>
  <c r="S1285" i="9"/>
  <c r="R1285" i="9"/>
  <c r="Q1285" i="9"/>
  <c r="P1285" i="9"/>
  <c r="T1285" i="9" s="1" a="1"/>
  <c r="T1285" i="9" s="1"/>
  <c r="S1284" i="9"/>
  <c r="R1284" i="9"/>
  <c r="Q1284" i="9"/>
  <c r="P1284" i="9"/>
  <c r="T1284" i="9" s="1" a="1"/>
  <c r="T1284" i="9" s="1"/>
  <c r="S1283" i="9"/>
  <c r="R1283" i="9"/>
  <c r="Q1283" i="9"/>
  <c r="P1283" i="9"/>
  <c r="T1283" i="9" s="1" a="1"/>
  <c r="T1283" i="9" s="1"/>
  <c r="T1282" i="9" a="1"/>
  <c r="T1282" i="9" s="1"/>
  <c r="S1282" i="9"/>
  <c r="R1282" i="9"/>
  <c r="Q1282" i="9"/>
  <c r="P1282" i="9"/>
  <c r="S1281" i="9"/>
  <c r="R1281" i="9"/>
  <c r="Q1281" i="9"/>
  <c r="T1281" i="9" s="1" a="1"/>
  <c r="T1281" i="9" s="1"/>
  <c r="P1281" i="9"/>
  <c r="S1280" i="9"/>
  <c r="R1280" i="9"/>
  <c r="Q1280" i="9"/>
  <c r="P1280" i="9"/>
  <c r="T1280" i="9" s="1" a="1"/>
  <c r="T1280" i="9" s="1"/>
  <c r="T1279" i="9" a="1"/>
  <c r="T1279" i="9" s="1"/>
  <c r="S1279" i="9"/>
  <c r="R1279" i="9"/>
  <c r="Q1279" i="9"/>
  <c r="P1279" i="9"/>
  <c r="S1278" i="9"/>
  <c r="T1278" i="9" s="1" a="1"/>
  <c r="T1278" i="9" s="1"/>
  <c r="R1278" i="9"/>
  <c r="Q1278" i="9"/>
  <c r="P1278" i="9"/>
  <c r="S1277" i="9"/>
  <c r="R1277" i="9"/>
  <c r="Q1277" i="9"/>
  <c r="P1277" i="9"/>
  <c r="S1276" i="9"/>
  <c r="R1276" i="9"/>
  <c r="Q1276" i="9"/>
  <c r="P1276" i="9"/>
  <c r="T1276" i="9" s="1" a="1"/>
  <c r="T1276" i="9" s="1"/>
  <c r="S1275" i="9"/>
  <c r="R1275" i="9"/>
  <c r="Q1275" i="9"/>
  <c r="P1275" i="9"/>
  <c r="T1275" i="9" s="1" a="1"/>
  <c r="T1275" i="9" s="1"/>
  <c r="T1274" i="9" a="1"/>
  <c r="T1274" i="9" s="1"/>
  <c r="S1274" i="9"/>
  <c r="R1274" i="9"/>
  <c r="Q1274" i="9"/>
  <c r="P1274" i="9"/>
  <c r="S1273" i="9"/>
  <c r="R1273" i="9"/>
  <c r="Q1273" i="9"/>
  <c r="T1273" i="9" s="1" a="1"/>
  <c r="T1273" i="9" s="1"/>
  <c r="P1273" i="9"/>
  <c r="S1272" i="9"/>
  <c r="R1272" i="9"/>
  <c r="Q1272" i="9"/>
  <c r="P1272" i="9"/>
  <c r="T1272" i="9" s="1" a="1"/>
  <c r="T1272" i="9" s="1"/>
  <c r="T1271" i="9" a="1"/>
  <c r="T1271" i="9" s="1"/>
  <c r="S1271" i="9"/>
  <c r="R1271" i="9"/>
  <c r="Q1271" i="9"/>
  <c r="P1271" i="9"/>
  <c r="S1270" i="9"/>
  <c r="T1270" i="9" s="1" a="1"/>
  <c r="T1270" i="9" s="1"/>
  <c r="R1270" i="9"/>
  <c r="Q1270" i="9"/>
  <c r="P1270" i="9"/>
  <c r="S1269" i="9"/>
  <c r="R1269" i="9"/>
  <c r="Q1269" i="9"/>
  <c r="P1269" i="9"/>
  <c r="S1268" i="9"/>
  <c r="R1268" i="9"/>
  <c r="Q1268" i="9"/>
  <c r="P1268" i="9"/>
  <c r="T1268" i="9" s="1" a="1"/>
  <c r="T1268" i="9" s="1"/>
  <c r="S1267" i="9"/>
  <c r="R1267" i="9"/>
  <c r="Q1267" i="9"/>
  <c r="P1267" i="9"/>
  <c r="T1267" i="9" s="1" a="1"/>
  <c r="T1267" i="9" s="1"/>
  <c r="T1266" i="9" a="1"/>
  <c r="T1266" i="9" s="1"/>
  <c r="S1266" i="9"/>
  <c r="R1266" i="9"/>
  <c r="Q1266" i="9"/>
  <c r="P1266" i="9"/>
  <c r="S1265" i="9"/>
  <c r="R1265" i="9"/>
  <c r="Q1265" i="9"/>
  <c r="T1265" i="9" s="1" a="1"/>
  <c r="T1265" i="9" s="1"/>
  <c r="P1265" i="9"/>
  <c r="S1264" i="9"/>
  <c r="R1264" i="9"/>
  <c r="Q1264" i="9"/>
  <c r="P1264" i="9"/>
  <c r="T1264" i="9" s="1" a="1"/>
  <c r="T1264" i="9" s="1"/>
  <c r="T1263" i="9" a="1"/>
  <c r="T1263" i="9" s="1"/>
  <c r="S1263" i="9"/>
  <c r="R1263" i="9"/>
  <c r="Q1263" i="9"/>
  <c r="P1263" i="9"/>
  <c r="S1262" i="9"/>
  <c r="T1262" i="9" s="1" a="1"/>
  <c r="T1262" i="9" s="1"/>
  <c r="R1262" i="9"/>
  <c r="Q1262" i="9"/>
  <c r="P1262" i="9"/>
  <c r="S1261" i="9"/>
  <c r="R1261" i="9"/>
  <c r="Q1261" i="9"/>
  <c r="P1261" i="9"/>
  <c r="T1261" i="9" s="1" a="1"/>
  <c r="T1261" i="9" s="1"/>
  <c r="S1260" i="9"/>
  <c r="R1260" i="9"/>
  <c r="Q1260" i="9"/>
  <c r="P1260" i="9"/>
  <c r="T1260" i="9" s="1" a="1"/>
  <c r="T1260" i="9" s="1"/>
  <c r="S1259" i="9"/>
  <c r="R1259" i="9"/>
  <c r="Q1259" i="9"/>
  <c r="P1259" i="9"/>
  <c r="T1259" i="9" s="1" a="1"/>
  <c r="T1259" i="9" s="1"/>
  <c r="T1258" i="9" a="1"/>
  <c r="T1258" i="9" s="1"/>
  <c r="S1258" i="9"/>
  <c r="R1258" i="9"/>
  <c r="Q1258" i="9"/>
  <c r="P1258" i="9"/>
  <c r="S1257" i="9"/>
  <c r="R1257" i="9"/>
  <c r="Q1257" i="9"/>
  <c r="T1257" i="9" s="1" a="1"/>
  <c r="T1257" i="9" s="1"/>
  <c r="P1257" i="9"/>
  <c r="S1256" i="9"/>
  <c r="R1256" i="9"/>
  <c r="Q1256" i="9"/>
  <c r="P1256" i="9"/>
  <c r="T1256" i="9" s="1" a="1"/>
  <c r="T1256" i="9" s="1"/>
  <c r="T1255" i="9" a="1"/>
  <c r="T1255" i="9" s="1"/>
  <c r="S1255" i="9"/>
  <c r="R1255" i="9"/>
  <c r="Q1255" i="9"/>
  <c r="P1255" i="9"/>
  <c r="S1254" i="9"/>
  <c r="T1254" i="9" s="1" a="1"/>
  <c r="T1254" i="9" s="1"/>
  <c r="R1254" i="9"/>
  <c r="Q1254" i="9"/>
  <c r="P1254" i="9"/>
  <c r="S1253" i="9"/>
  <c r="R1253" i="9"/>
  <c r="Q1253" i="9"/>
  <c r="P1253" i="9"/>
  <c r="S1252" i="9"/>
  <c r="R1252" i="9"/>
  <c r="Q1252" i="9"/>
  <c r="P1252" i="9"/>
  <c r="T1252" i="9" s="1" a="1"/>
  <c r="T1252" i="9" s="1"/>
  <c r="S1251" i="9"/>
  <c r="R1251" i="9"/>
  <c r="Q1251" i="9"/>
  <c r="P1251" i="9"/>
  <c r="T1251" i="9" s="1" a="1"/>
  <c r="T1251" i="9" s="1"/>
  <c r="T1250" i="9" a="1"/>
  <c r="T1250" i="9" s="1"/>
  <c r="S1250" i="9"/>
  <c r="R1250" i="9"/>
  <c r="Q1250" i="9"/>
  <c r="P1250" i="9"/>
  <c r="S1249" i="9"/>
  <c r="R1249" i="9"/>
  <c r="Q1249" i="9"/>
  <c r="T1249" i="9" s="1" a="1"/>
  <c r="T1249" i="9" s="1"/>
  <c r="P1249" i="9"/>
  <c r="S1248" i="9"/>
  <c r="R1248" i="9"/>
  <c r="Q1248" i="9"/>
  <c r="P1248" i="9"/>
  <c r="T1248" i="9" s="1" a="1"/>
  <c r="T1248" i="9" s="1"/>
  <c r="T1247" i="9" a="1"/>
  <c r="T1247" i="9" s="1"/>
  <c r="S1247" i="9"/>
  <c r="R1247" i="9"/>
  <c r="Q1247" i="9"/>
  <c r="P1247" i="9"/>
  <c r="S1246" i="9"/>
  <c r="T1246" i="9" s="1" a="1"/>
  <c r="T1246" i="9" s="1"/>
  <c r="R1246" i="9"/>
  <c r="Q1246" i="9"/>
  <c r="P1246" i="9"/>
  <c r="S1245" i="9"/>
  <c r="R1245" i="9"/>
  <c r="Q1245" i="9"/>
  <c r="P1245" i="9"/>
  <c r="S1244" i="9"/>
  <c r="R1244" i="9"/>
  <c r="Q1244" i="9"/>
  <c r="P1244" i="9"/>
  <c r="T1244" i="9" s="1" a="1"/>
  <c r="T1244" i="9" s="1"/>
  <c r="S1243" i="9"/>
  <c r="R1243" i="9"/>
  <c r="Q1243" i="9"/>
  <c r="P1243" i="9"/>
  <c r="T1243" i="9" s="1" a="1"/>
  <c r="T1243" i="9" s="1"/>
  <c r="T1242" i="9" a="1"/>
  <c r="T1242" i="9" s="1"/>
  <c r="S1242" i="9"/>
  <c r="R1242" i="9"/>
  <c r="Q1242" i="9"/>
  <c r="P1242" i="9"/>
  <c r="S1241" i="9"/>
  <c r="R1241" i="9"/>
  <c r="Q1241" i="9"/>
  <c r="T1241" i="9" s="1" a="1"/>
  <c r="T1241" i="9" s="1"/>
  <c r="P1241" i="9"/>
  <c r="S1240" i="9"/>
  <c r="R1240" i="9"/>
  <c r="Q1240" i="9"/>
  <c r="P1240" i="9"/>
  <c r="T1240" i="9" s="1" a="1"/>
  <c r="T1240" i="9" s="1"/>
  <c r="T1239" i="9" a="1"/>
  <c r="T1239" i="9" s="1"/>
  <c r="S1239" i="9"/>
  <c r="R1239" i="9"/>
  <c r="Q1239" i="9"/>
  <c r="P1239" i="9"/>
  <c r="S1238" i="9"/>
  <c r="T1238" i="9" s="1" a="1"/>
  <c r="T1238" i="9" s="1"/>
  <c r="R1238" i="9"/>
  <c r="Q1238" i="9"/>
  <c r="P1238" i="9"/>
  <c r="S1237" i="9"/>
  <c r="R1237" i="9"/>
  <c r="Q1237" i="9"/>
  <c r="P1237" i="9"/>
  <c r="S1236" i="9"/>
  <c r="R1236" i="9"/>
  <c r="Q1236" i="9"/>
  <c r="P1236" i="9"/>
  <c r="T1236" i="9" s="1" a="1"/>
  <c r="T1236" i="9" s="1"/>
  <c r="S1235" i="9"/>
  <c r="R1235" i="9"/>
  <c r="Q1235" i="9"/>
  <c r="P1235" i="9"/>
  <c r="T1235" i="9" s="1" a="1"/>
  <c r="T1235" i="9" s="1"/>
  <c r="T1234" i="9" a="1"/>
  <c r="T1234" i="9" s="1"/>
  <c r="S1234" i="9"/>
  <c r="R1234" i="9"/>
  <c r="Q1234" i="9"/>
  <c r="P1234" i="9"/>
  <c r="S1233" i="9"/>
  <c r="R1233" i="9"/>
  <c r="Q1233" i="9"/>
  <c r="T1233" i="9" s="1" a="1"/>
  <c r="T1233" i="9" s="1"/>
  <c r="P1233" i="9"/>
  <c r="S1232" i="9"/>
  <c r="R1232" i="9"/>
  <c r="Q1232" i="9"/>
  <c r="P1232" i="9"/>
  <c r="T1232" i="9" s="1" a="1"/>
  <c r="T1232" i="9" s="1"/>
  <c r="T1231" i="9" a="1"/>
  <c r="T1231" i="9" s="1"/>
  <c r="S1231" i="9"/>
  <c r="R1231" i="9"/>
  <c r="Q1231" i="9"/>
  <c r="P1231" i="9"/>
  <c r="S1230" i="9"/>
  <c r="T1230" i="9" s="1" a="1"/>
  <c r="T1230" i="9" s="1"/>
  <c r="R1230" i="9"/>
  <c r="Q1230" i="9"/>
  <c r="P1230" i="9"/>
  <c r="S1229" i="9"/>
  <c r="R1229" i="9"/>
  <c r="Q1229" i="9"/>
  <c r="P1229" i="9"/>
  <c r="T1229" i="9" s="1" a="1"/>
  <c r="T1229" i="9" s="1"/>
  <c r="S1228" i="9"/>
  <c r="R1228" i="9"/>
  <c r="Q1228" i="9"/>
  <c r="P1228" i="9"/>
  <c r="T1228" i="9" s="1" a="1"/>
  <c r="T1228" i="9" s="1"/>
  <c r="S1227" i="9"/>
  <c r="R1227" i="9"/>
  <c r="Q1227" i="9"/>
  <c r="P1227" i="9"/>
  <c r="T1227" i="9" s="1" a="1"/>
  <c r="T1227" i="9" s="1"/>
  <c r="T1226" i="9" a="1"/>
  <c r="T1226" i="9" s="1"/>
  <c r="S1226" i="9"/>
  <c r="R1226" i="9"/>
  <c r="Q1226" i="9"/>
  <c r="P1226" i="9"/>
  <c r="S1225" i="9"/>
  <c r="R1225" i="9"/>
  <c r="Q1225" i="9"/>
  <c r="T1225" i="9" s="1" a="1"/>
  <c r="T1225" i="9" s="1"/>
  <c r="P1225" i="9"/>
  <c r="S1224" i="9"/>
  <c r="R1224" i="9"/>
  <c r="Q1224" i="9"/>
  <c r="P1224" i="9"/>
  <c r="T1224" i="9" s="1" a="1"/>
  <c r="T1224" i="9" s="1"/>
  <c r="T1223" i="9" a="1"/>
  <c r="T1223" i="9" s="1"/>
  <c r="S1223" i="9"/>
  <c r="R1223" i="9"/>
  <c r="Q1223" i="9"/>
  <c r="P1223" i="9"/>
  <c r="S1222" i="9"/>
  <c r="T1222" i="9" s="1" a="1"/>
  <c r="T1222" i="9" s="1"/>
  <c r="R1222" i="9"/>
  <c r="Q1222" i="9"/>
  <c r="P1222" i="9"/>
  <c r="S1221" i="9"/>
  <c r="R1221" i="9"/>
  <c r="Q1221" i="9"/>
  <c r="P1221" i="9"/>
  <c r="T1221" i="9" s="1" a="1"/>
  <c r="T1221" i="9" s="1"/>
  <c r="S1220" i="9"/>
  <c r="R1220" i="9"/>
  <c r="Q1220" i="9"/>
  <c r="P1220" i="9"/>
  <c r="T1220" i="9" s="1" a="1"/>
  <c r="T1220" i="9" s="1"/>
  <c r="S1219" i="9"/>
  <c r="R1219" i="9"/>
  <c r="Q1219" i="9"/>
  <c r="P1219" i="9"/>
  <c r="T1219" i="9" s="1" a="1"/>
  <c r="T1219" i="9" s="1"/>
  <c r="T1218" i="9" a="1"/>
  <c r="T1218" i="9" s="1"/>
  <c r="S1218" i="9"/>
  <c r="R1218" i="9"/>
  <c r="Q1218" i="9"/>
  <c r="P1218" i="9"/>
  <c r="S1217" i="9"/>
  <c r="R1217" i="9"/>
  <c r="Q1217" i="9"/>
  <c r="T1217" i="9" s="1" a="1"/>
  <c r="T1217" i="9" s="1"/>
  <c r="P1217" i="9"/>
  <c r="S1216" i="9"/>
  <c r="R1216" i="9"/>
  <c r="Q1216" i="9"/>
  <c r="P1216" i="9"/>
  <c r="T1216" i="9" s="1" a="1"/>
  <c r="T1216" i="9" s="1"/>
  <c r="T1215" i="9" a="1"/>
  <c r="T1215" i="9" s="1"/>
  <c r="S1215" i="9"/>
  <c r="R1215" i="9"/>
  <c r="Q1215" i="9"/>
  <c r="P1215" i="9"/>
  <c r="S1214" i="9"/>
  <c r="T1214" i="9" s="1" a="1"/>
  <c r="T1214" i="9" s="1"/>
  <c r="R1214" i="9"/>
  <c r="Q1214" i="9"/>
  <c r="P1214" i="9"/>
  <c r="S1213" i="9"/>
  <c r="R1213" i="9"/>
  <c r="Q1213" i="9"/>
  <c r="P1213" i="9"/>
  <c r="S1212" i="9"/>
  <c r="R1212" i="9"/>
  <c r="Q1212" i="9"/>
  <c r="P1212" i="9"/>
  <c r="T1212" i="9" s="1" a="1"/>
  <c r="T1212" i="9" s="1"/>
  <c r="S1211" i="9"/>
  <c r="R1211" i="9"/>
  <c r="Q1211" i="9"/>
  <c r="P1211" i="9"/>
  <c r="T1211" i="9" s="1" a="1"/>
  <c r="T1211" i="9" s="1"/>
  <c r="T1210" i="9" a="1"/>
  <c r="T1210" i="9" s="1"/>
  <c r="S1210" i="9"/>
  <c r="R1210" i="9"/>
  <c r="Q1210" i="9"/>
  <c r="P1210" i="9"/>
  <c r="S1209" i="9"/>
  <c r="R1209" i="9"/>
  <c r="Q1209" i="9"/>
  <c r="T1209" i="9" s="1" a="1"/>
  <c r="T1209" i="9" s="1"/>
  <c r="P1209" i="9"/>
  <c r="S1208" i="9"/>
  <c r="R1208" i="9"/>
  <c r="Q1208" i="9"/>
  <c r="P1208" i="9"/>
  <c r="T1208" i="9" s="1" a="1"/>
  <c r="T1208" i="9" s="1"/>
  <c r="T1207" i="9" a="1"/>
  <c r="T1207" i="9" s="1"/>
  <c r="S1207" i="9"/>
  <c r="R1207" i="9"/>
  <c r="Q1207" i="9"/>
  <c r="P1207" i="9"/>
  <c r="S1206" i="9"/>
  <c r="T1206" i="9" s="1" a="1"/>
  <c r="T1206" i="9" s="1"/>
  <c r="R1206" i="9"/>
  <c r="Q1206" i="9"/>
  <c r="P1206" i="9"/>
  <c r="S1205" i="9"/>
  <c r="R1205" i="9"/>
  <c r="Q1205" i="9"/>
  <c r="P1205" i="9"/>
  <c r="S1204" i="9"/>
  <c r="R1204" i="9"/>
  <c r="Q1204" i="9"/>
  <c r="P1204" i="9"/>
  <c r="T1204" i="9" s="1" a="1"/>
  <c r="T1204" i="9" s="1"/>
  <c r="S1203" i="9"/>
  <c r="R1203" i="9"/>
  <c r="Q1203" i="9"/>
  <c r="P1203" i="9"/>
  <c r="T1203" i="9" s="1" a="1"/>
  <c r="T1203" i="9" s="1"/>
  <c r="T1202" i="9" a="1"/>
  <c r="T1202" i="9" s="1"/>
  <c r="S1202" i="9"/>
  <c r="R1202" i="9"/>
  <c r="Q1202" i="9"/>
  <c r="P1202" i="9"/>
  <c r="S1201" i="9"/>
  <c r="R1201" i="9"/>
  <c r="Q1201" i="9"/>
  <c r="T1201" i="9" s="1" a="1"/>
  <c r="T1201" i="9" s="1"/>
  <c r="P1201" i="9"/>
  <c r="S1200" i="9"/>
  <c r="R1200" i="9"/>
  <c r="Q1200" i="9"/>
  <c r="P1200" i="9"/>
  <c r="T1200" i="9" s="1" a="1"/>
  <c r="T1200" i="9" s="1"/>
  <c r="T1199" i="9" a="1"/>
  <c r="T1199" i="9" s="1"/>
  <c r="S1199" i="9"/>
  <c r="R1199" i="9"/>
  <c r="Q1199" i="9"/>
  <c r="P1199" i="9"/>
  <c r="S1198" i="9"/>
  <c r="T1198" i="9" s="1" a="1"/>
  <c r="T1198" i="9" s="1"/>
  <c r="R1198" i="9"/>
  <c r="Q1198" i="9"/>
  <c r="P1198" i="9"/>
  <c r="S1197" i="9"/>
  <c r="R1197" i="9"/>
  <c r="Q1197" i="9"/>
  <c r="P1197" i="9"/>
  <c r="T1197" i="9" s="1" a="1"/>
  <c r="T1197" i="9" s="1"/>
  <c r="S1196" i="9"/>
  <c r="R1196" i="9"/>
  <c r="Q1196" i="9"/>
  <c r="P1196" i="9"/>
  <c r="T1196" i="9" s="1" a="1"/>
  <c r="T1196" i="9" s="1"/>
  <c r="S1195" i="9"/>
  <c r="R1195" i="9"/>
  <c r="Q1195" i="9"/>
  <c r="P1195" i="9"/>
  <c r="T1195" i="9" s="1" a="1"/>
  <c r="T1195" i="9" s="1"/>
  <c r="T1194" i="9" a="1"/>
  <c r="T1194" i="9" s="1"/>
  <c r="S1194" i="9"/>
  <c r="R1194" i="9"/>
  <c r="Q1194" i="9"/>
  <c r="P1194" i="9"/>
  <c r="S1193" i="9"/>
  <c r="R1193" i="9"/>
  <c r="Q1193" i="9"/>
  <c r="T1193" i="9" s="1" a="1"/>
  <c r="T1193" i="9" s="1"/>
  <c r="P1193" i="9"/>
  <c r="S1192" i="9"/>
  <c r="R1192" i="9"/>
  <c r="Q1192" i="9"/>
  <c r="P1192" i="9"/>
  <c r="T1192" i="9" s="1" a="1"/>
  <c r="T1192" i="9" s="1"/>
  <c r="T1191" i="9" a="1"/>
  <c r="T1191" i="9" s="1"/>
  <c r="S1191" i="9"/>
  <c r="R1191" i="9"/>
  <c r="Q1191" i="9"/>
  <c r="P1191" i="9"/>
  <c r="S1190" i="9"/>
  <c r="T1190" i="9" s="1" a="1"/>
  <c r="T1190" i="9" s="1"/>
  <c r="R1190" i="9"/>
  <c r="Q1190" i="9"/>
  <c r="P1190" i="9"/>
  <c r="S1189" i="9"/>
  <c r="R1189" i="9"/>
  <c r="Q1189" i="9"/>
  <c r="P1189" i="9"/>
  <c r="S1188" i="9"/>
  <c r="R1188" i="9"/>
  <c r="Q1188" i="9"/>
  <c r="P1188" i="9"/>
  <c r="T1188" i="9" s="1" a="1"/>
  <c r="T1188" i="9" s="1"/>
  <c r="S1187" i="9"/>
  <c r="R1187" i="9"/>
  <c r="Q1187" i="9"/>
  <c r="P1187" i="9"/>
  <c r="T1187" i="9" s="1" a="1"/>
  <c r="T1187" i="9" s="1"/>
  <c r="T1186" i="9" a="1"/>
  <c r="T1186" i="9" s="1"/>
  <c r="S1186" i="9"/>
  <c r="R1186" i="9"/>
  <c r="Q1186" i="9"/>
  <c r="P1186" i="9"/>
  <c r="S1185" i="9"/>
  <c r="R1185" i="9"/>
  <c r="Q1185" i="9"/>
  <c r="T1185" i="9" s="1" a="1"/>
  <c r="T1185" i="9" s="1"/>
  <c r="P1185" i="9"/>
  <c r="S1184" i="9"/>
  <c r="R1184" i="9"/>
  <c r="Q1184" i="9"/>
  <c r="P1184" i="9"/>
  <c r="T1184" i="9" s="1" a="1"/>
  <c r="T1184" i="9" s="1"/>
  <c r="T1183" i="9" a="1"/>
  <c r="T1183" i="9" s="1"/>
  <c r="S1183" i="9"/>
  <c r="R1183" i="9"/>
  <c r="Q1183" i="9"/>
  <c r="P1183" i="9"/>
  <c r="S1182" i="9"/>
  <c r="T1182" i="9" s="1" a="1"/>
  <c r="T1182" i="9" s="1"/>
  <c r="R1182" i="9"/>
  <c r="Q1182" i="9"/>
  <c r="P1182" i="9"/>
  <c r="S1181" i="9"/>
  <c r="R1181" i="9"/>
  <c r="Q1181" i="9"/>
  <c r="P1181" i="9"/>
  <c r="S1180" i="9"/>
  <c r="R1180" i="9"/>
  <c r="Q1180" i="9"/>
  <c r="P1180" i="9"/>
  <c r="T1180" i="9" s="1" a="1"/>
  <c r="T1180" i="9" s="1"/>
  <c r="S1179" i="9"/>
  <c r="R1179" i="9"/>
  <c r="Q1179" i="9"/>
  <c r="P1179" i="9"/>
  <c r="T1179" i="9" s="1" a="1"/>
  <c r="T1179" i="9" s="1"/>
  <c r="T1178" i="9" a="1"/>
  <c r="T1178" i="9" s="1"/>
  <c r="S1178" i="9"/>
  <c r="R1178" i="9"/>
  <c r="Q1178" i="9"/>
  <c r="P1178" i="9"/>
  <c r="S1177" i="9"/>
  <c r="R1177" i="9"/>
  <c r="Q1177" i="9"/>
  <c r="T1177" i="9" s="1" a="1"/>
  <c r="T1177" i="9" s="1"/>
  <c r="P1177" i="9"/>
  <c r="S1176" i="9"/>
  <c r="R1176" i="9"/>
  <c r="Q1176" i="9"/>
  <c r="P1176" i="9"/>
  <c r="T1176" i="9" s="1" a="1"/>
  <c r="T1176" i="9" s="1"/>
  <c r="T1175" i="9" a="1"/>
  <c r="T1175" i="9" s="1"/>
  <c r="S1175" i="9"/>
  <c r="R1175" i="9"/>
  <c r="Q1175" i="9"/>
  <c r="P1175" i="9"/>
  <c r="S1174" i="9"/>
  <c r="T1174" i="9" s="1" a="1"/>
  <c r="T1174" i="9" s="1"/>
  <c r="R1174" i="9"/>
  <c r="Q1174" i="9"/>
  <c r="P1174" i="9"/>
  <c r="S1173" i="9"/>
  <c r="R1173" i="9"/>
  <c r="Q1173" i="9"/>
  <c r="P1173" i="9"/>
  <c r="S1172" i="9"/>
  <c r="R1172" i="9"/>
  <c r="Q1172" i="9"/>
  <c r="P1172" i="9"/>
  <c r="T1172" i="9" s="1" a="1"/>
  <c r="T1172" i="9" s="1"/>
  <c r="S1171" i="9"/>
  <c r="R1171" i="9"/>
  <c r="Q1171" i="9"/>
  <c r="P1171" i="9"/>
  <c r="T1171" i="9" s="1" a="1"/>
  <c r="T1171" i="9" s="1"/>
  <c r="T1170" i="9" a="1"/>
  <c r="T1170" i="9" s="1"/>
  <c r="S1170" i="9"/>
  <c r="R1170" i="9"/>
  <c r="Q1170" i="9"/>
  <c r="P1170" i="9"/>
  <c r="S1169" i="9"/>
  <c r="R1169" i="9"/>
  <c r="Q1169" i="9"/>
  <c r="T1169" i="9" s="1" a="1"/>
  <c r="T1169" i="9" s="1"/>
  <c r="P1169" i="9"/>
  <c r="S1168" i="9"/>
  <c r="R1168" i="9"/>
  <c r="Q1168" i="9"/>
  <c r="P1168" i="9"/>
  <c r="T1168" i="9" s="1" a="1"/>
  <c r="T1168" i="9" s="1"/>
  <c r="T1167" i="9" a="1"/>
  <c r="T1167" i="9" s="1"/>
  <c r="S1167" i="9"/>
  <c r="R1167" i="9"/>
  <c r="Q1167" i="9"/>
  <c r="P1167" i="9"/>
  <c r="S1166" i="9"/>
  <c r="T1166" i="9" s="1" a="1"/>
  <c r="T1166" i="9" s="1"/>
  <c r="R1166" i="9"/>
  <c r="Q1166" i="9"/>
  <c r="P1166" i="9"/>
  <c r="S1165" i="9"/>
  <c r="R1165" i="9"/>
  <c r="Q1165" i="9"/>
  <c r="P1165" i="9"/>
  <c r="T1165" i="9" s="1" a="1"/>
  <c r="T1165" i="9" s="1"/>
  <c r="S1164" i="9"/>
  <c r="R1164" i="9"/>
  <c r="Q1164" i="9"/>
  <c r="P1164" i="9"/>
  <c r="T1164" i="9" s="1" a="1"/>
  <c r="T1164" i="9" s="1"/>
  <c r="S1163" i="9"/>
  <c r="R1163" i="9"/>
  <c r="Q1163" i="9"/>
  <c r="P1163" i="9"/>
  <c r="T1163" i="9" s="1" a="1"/>
  <c r="T1163" i="9" s="1"/>
  <c r="T1162" i="9" a="1"/>
  <c r="T1162" i="9" s="1"/>
  <c r="S1162" i="9"/>
  <c r="R1162" i="9"/>
  <c r="Q1162" i="9"/>
  <c r="P1162" i="9"/>
  <c r="S1161" i="9"/>
  <c r="R1161" i="9"/>
  <c r="Q1161" i="9"/>
  <c r="T1161" i="9" s="1" a="1"/>
  <c r="T1161" i="9" s="1"/>
  <c r="P1161" i="9"/>
  <c r="S1160" i="9"/>
  <c r="R1160" i="9"/>
  <c r="Q1160" i="9"/>
  <c r="P1160" i="9"/>
  <c r="T1160" i="9" s="1" a="1"/>
  <c r="T1160" i="9" s="1"/>
  <c r="T1159" i="9" a="1"/>
  <c r="T1159" i="9" s="1"/>
  <c r="S1159" i="9"/>
  <c r="R1159" i="9"/>
  <c r="Q1159" i="9"/>
  <c r="P1159" i="9"/>
  <c r="S1158" i="9"/>
  <c r="T1158" i="9" s="1" a="1"/>
  <c r="T1158" i="9" s="1"/>
  <c r="R1158" i="9"/>
  <c r="Q1158" i="9"/>
  <c r="P1158" i="9"/>
  <c r="S1157" i="9"/>
  <c r="R1157" i="9"/>
  <c r="Q1157" i="9"/>
  <c r="P1157" i="9"/>
  <c r="T1157" i="9" s="1" a="1"/>
  <c r="T1157" i="9" s="1"/>
  <c r="S1156" i="9"/>
  <c r="R1156" i="9"/>
  <c r="Q1156" i="9"/>
  <c r="P1156" i="9"/>
  <c r="T1156" i="9" s="1" a="1"/>
  <c r="T1156" i="9" s="1"/>
  <c r="S1155" i="9"/>
  <c r="R1155" i="9"/>
  <c r="Q1155" i="9"/>
  <c r="P1155" i="9"/>
  <c r="T1155" i="9" s="1" a="1"/>
  <c r="T1155" i="9" s="1"/>
  <c r="T1154" i="9" a="1"/>
  <c r="T1154" i="9" s="1"/>
  <c r="S1154" i="9"/>
  <c r="R1154" i="9"/>
  <c r="Q1154" i="9"/>
  <c r="P1154" i="9"/>
  <c r="S1153" i="9"/>
  <c r="R1153" i="9"/>
  <c r="Q1153" i="9"/>
  <c r="T1153" i="9" s="1" a="1"/>
  <c r="T1153" i="9" s="1"/>
  <c r="P1153" i="9"/>
  <c r="S1152" i="9"/>
  <c r="R1152" i="9"/>
  <c r="Q1152" i="9"/>
  <c r="P1152" i="9"/>
  <c r="T1152" i="9" s="1" a="1"/>
  <c r="T1152" i="9" s="1"/>
  <c r="T1151" i="9" a="1"/>
  <c r="T1151" i="9" s="1"/>
  <c r="S1151" i="9"/>
  <c r="R1151" i="9"/>
  <c r="Q1151" i="9"/>
  <c r="P1151" i="9"/>
  <c r="S1150" i="9"/>
  <c r="T1150" i="9" s="1" a="1"/>
  <c r="T1150" i="9" s="1"/>
  <c r="R1150" i="9"/>
  <c r="Q1150" i="9"/>
  <c r="P1150" i="9"/>
  <c r="S1149" i="9"/>
  <c r="R1149" i="9"/>
  <c r="Q1149" i="9"/>
  <c r="P1149" i="9"/>
  <c r="S1148" i="9"/>
  <c r="R1148" i="9"/>
  <c r="Q1148" i="9"/>
  <c r="P1148" i="9"/>
  <c r="T1148" i="9" s="1" a="1"/>
  <c r="T1148" i="9" s="1"/>
  <c r="S1147" i="9"/>
  <c r="R1147" i="9"/>
  <c r="Q1147" i="9"/>
  <c r="P1147" i="9"/>
  <c r="T1147" i="9" s="1" a="1"/>
  <c r="T1147" i="9" s="1"/>
  <c r="T1146" i="9" a="1"/>
  <c r="T1146" i="9" s="1"/>
  <c r="S1146" i="9"/>
  <c r="R1146" i="9"/>
  <c r="Q1146" i="9"/>
  <c r="P1146" i="9"/>
  <c r="S1145" i="9"/>
  <c r="R1145" i="9"/>
  <c r="Q1145" i="9"/>
  <c r="T1145" i="9" s="1" a="1"/>
  <c r="T1145" i="9" s="1"/>
  <c r="P1145" i="9"/>
  <c r="S1144" i="9"/>
  <c r="R1144" i="9"/>
  <c r="Q1144" i="9"/>
  <c r="P1144" i="9"/>
  <c r="T1144" i="9" s="1" a="1"/>
  <c r="T1144" i="9" s="1"/>
  <c r="T1143" i="9" a="1"/>
  <c r="T1143" i="9" s="1"/>
  <c r="S1143" i="9"/>
  <c r="R1143" i="9"/>
  <c r="Q1143" i="9"/>
  <c r="P1143" i="9"/>
  <c r="S1142" i="9"/>
  <c r="T1142" i="9" s="1" a="1"/>
  <c r="T1142" i="9" s="1"/>
  <c r="R1142" i="9"/>
  <c r="Q1142" i="9"/>
  <c r="P1142" i="9"/>
  <c r="S1141" i="9"/>
  <c r="R1141" i="9"/>
  <c r="Q1141" i="9"/>
  <c r="P1141" i="9"/>
  <c r="S1140" i="9"/>
  <c r="R1140" i="9"/>
  <c r="Q1140" i="9"/>
  <c r="P1140" i="9"/>
  <c r="T1140" i="9" s="1" a="1"/>
  <c r="T1140" i="9" s="1"/>
  <c r="S1139" i="9"/>
  <c r="R1139" i="9"/>
  <c r="Q1139" i="9"/>
  <c r="P1139" i="9"/>
  <c r="T1139" i="9" s="1" a="1"/>
  <c r="T1139" i="9" s="1"/>
  <c r="T1138" i="9" a="1"/>
  <c r="T1138" i="9" s="1"/>
  <c r="S1138" i="9"/>
  <c r="R1138" i="9"/>
  <c r="Q1138" i="9"/>
  <c r="P1138" i="9"/>
  <c r="S1137" i="9"/>
  <c r="R1137" i="9"/>
  <c r="Q1137" i="9"/>
  <c r="T1137" i="9" s="1" a="1"/>
  <c r="T1137" i="9" s="1"/>
  <c r="P1137" i="9"/>
  <c r="S1136" i="9"/>
  <c r="R1136" i="9"/>
  <c r="Q1136" i="9"/>
  <c r="P1136" i="9"/>
  <c r="T1136" i="9" s="1" a="1"/>
  <c r="T1136" i="9" s="1"/>
  <c r="T1135" i="9" a="1"/>
  <c r="T1135" i="9" s="1"/>
  <c r="S1135" i="9"/>
  <c r="R1135" i="9"/>
  <c r="Q1135" i="9"/>
  <c r="P1135" i="9"/>
  <c r="S1134" i="9"/>
  <c r="T1134" i="9" s="1" a="1"/>
  <c r="T1134" i="9" s="1"/>
  <c r="R1134" i="9"/>
  <c r="Q1134" i="9"/>
  <c r="P1134" i="9"/>
  <c r="S1133" i="9"/>
  <c r="R1133" i="9"/>
  <c r="Q1133" i="9"/>
  <c r="P1133" i="9"/>
  <c r="T1133" i="9" s="1" a="1"/>
  <c r="T1133" i="9" s="1"/>
  <c r="S1132" i="9"/>
  <c r="R1132" i="9"/>
  <c r="Q1132" i="9"/>
  <c r="P1132" i="9"/>
  <c r="T1132" i="9" s="1" a="1"/>
  <c r="T1132" i="9" s="1"/>
  <c r="S1131" i="9"/>
  <c r="R1131" i="9"/>
  <c r="Q1131" i="9"/>
  <c r="P1131" i="9"/>
  <c r="T1131" i="9" s="1" a="1"/>
  <c r="T1131" i="9" s="1"/>
  <c r="T1130" i="9" a="1"/>
  <c r="T1130" i="9" s="1"/>
  <c r="S1130" i="9"/>
  <c r="R1130" i="9"/>
  <c r="Q1130" i="9"/>
  <c r="P1130" i="9"/>
  <c r="S1129" i="9"/>
  <c r="R1129" i="9"/>
  <c r="Q1129" i="9"/>
  <c r="T1129" i="9" s="1" a="1"/>
  <c r="T1129" i="9" s="1"/>
  <c r="P1129" i="9"/>
  <c r="S1128" i="9"/>
  <c r="R1128" i="9"/>
  <c r="Q1128" i="9"/>
  <c r="P1128" i="9"/>
  <c r="T1128" i="9" s="1" a="1"/>
  <c r="T1128" i="9" s="1"/>
  <c r="T1127" i="9" a="1"/>
  <c r="T1127" i="9" s="1"/>
  <c r="S1127" i="9"/>
  <c r="R1127" i="9"/>
  <c r="Q1127" i="9"/>
  <c r="P1127" i="9"/>
  <c r="S1126" i="9"/>
  <c r="T1126" i="9" s="1" a="1"/>
  <c r="T1126" i="9" s="1"/>
  <c r="R1126" i="9"/>
  <c r="Q1126" i="9"/>
  <c r="P1126" i="9"/>
  <c r="S1125" i="9"/>
  <c r="R1125" i="9"/>
  <c r="Q1125" i="9"/>
  <c r="P1125" i="9"/>
  <c r="S1124" i="9"/>
  <c r="R1124" i="9"/>
  <c r="Q1124" i="9"/>
  <c r="P1124" i="9"/>
  <c r="T1124" i="9" s="1" a="1"/>
  <c r="T1124" i="9" s="1"/>
  <c r="S1123" i="9"/>
  <c r="R1123" i="9"/>
  <c r="Q1123" i="9"/>
  <c r="P1123" i="9"/>
  <c r="T1123" i="9" s="1" a="1"/>
  <c r="T1123" i="9" s="1"/>
  <c r="T1122" i="9" a="1"/>
  <c r="T1122" i="9" s="1"/>
  <c r="S1122" i="9"/>
  <c r="R1122" i="9"/>
  <c r="Q1122" i="9"/>
  <c r="P1122" i="9"/>
  <c r="S1121" i="9"/>
  <c r="R1121" i="9"/>
  <c r="Q1121" i="9"/>
  <c r="T1121" i="9" s="1" a="1"/>
  <c r="T1121" i="9" s="1"/>
  <c r="P1121" i="9"/>
  <c r="S1120" i="9"/>
  <c r="R1120" i="9"/>
  <c r="Q1120" i="9"/>
  <c r="P1120" i="9"/>
  <c r="T1120" i="9" s="1" a="1"/>
  <c r="T1120" i="9" s="1"/>
  <c r="T1119" i="9" a="1"/>
  <c r="T1119" i="9" s="1"/>
  <c r="S1119" i="9"/>
  <c r="R1119" i="9"/>
  <c r="Q1119" i="9"/>
  <c r="P1119" i="9"/>
  <c r="S1118" i="9"/>
  <c r="T1118" i="9" s="1" a="1"/>
  <c r="T1118" i="9" s="1"/>
  <c r="R1118" i="9"/>
  <c r="Q1118" i="9"/>
  <c r="P1118" i="9"/>
  <c r="S1117" i="9"/>
  <c r="R1117" i="9"/>
  <c r="Q1117" i="9"/>
  <c r="P1117" i="9"/>
  <c r="S1116" i="9"/>
  <c r="R1116" i="9"/>
  <c r="Q1116" i="9"/>
  <c r="P1116" i="9"/>
  <c r="T1116" i="9" s="1" a="1"/>
  <c r="T1116" i="9" s="1"/>
  <c r="S1115" i="9"/>
  <c r="R1115" i="9"/>
  <c r="Q1115" i="9"/>
  <c r="P1115" i="9"/>
  <c r="T1115" i="9" s="1" a="1"/>
  <c r="T1115" i="9" s="1"/>
  <c r="T1114" i="9" a="1"/>
  <c r="T1114" i="9" s="1"/>
  <c r="S1114" i="9"/>
  <c r="R1114" i="9"/>
  <c r="Q1114" i="9"/>
  <c r="P1114" i="9"/>
  <c r="S1113" i="9"/>
  <c r="R1113" i="9"/>
  <c r="Q1113" i="9"/>
  <c r="T1113" i="9" s="1" a="1"/>
  <c r="T1113" i="9" s="1"/>
  <c r="P1113" i="9"/>
  <c r="S1112" i="9"/>
  <c r="R1112" i="9"/>
  <c r="Q1112" i="9"/>
  <c r="P1112" i="9"/>
  <c r="T1112" i="9" s="1" a="1"/>
  <c r="T1112" i="9" s="1"/>
  <c r="T1111" i="9" a="1"/>
  <c r="T1111" i="9" s="1"/>
  <c r="S1111" i="9"/>
  <c r="R1111" i="9"/>
  <c r="Q1111" i="9"/>
  <c r="P1111" i="9"/>
  <c r="S1110" i="9"/>
  <c r="T1110" i="9" s="1" a="1"/>
  <c r="T1110" i="9" s="1"/>
  <c r="R1110" i="9"/>
  <c r="Q1110" i="9"/>
  <c r="P1110" i="9"/>
  <c r="S1109" i="9"/>
  <c r="R1109" i="9"/>
  <c r="Q1109" i="9"/>
  <c r="P1109" i="9"/>
  <c r="S1108" i="9"/>
  <c r="R1108" i="9"/>
  <c r="Q1108" i="9"/>
  <c r="P1108" i="9"/>
  <c r="T1108" i="9" s="1" a="1"/>
  <c r="T1108" i="9" s="1"/>
  <c r="S1107" i="9"/>
  <c r="R1107" i="9"/>
  <c r="Q1107" i="9"/>
  <c r="P1107" i="9"/>
  <c r="T1107" i="9" s="1" a="1"/>
  <c r="T1107" i="9" s="1"/>
  <c r="T1106" i="9" a="1"/>
  <c r="T1106" i="9" s="1"/>
  <c r="S1106" i="9"/>
  <c r="R1106" i="9"/>
  <c r="Q1106" i="9"/>
  <c r="P1106" i="9"/>
  <c r="S1105" i="9"/>
  <c r="R1105" i="9"/>
  <c r="Q1105" i="9"/>
  <c r="T1105" i="9" s="1" a="1"/>
  <c r="T1105" i="9" s="1"/>
  <c r="P1105" i="9"/>
  <c r="S1104" i="9"/>
  <c r="R1104" i="9"/>
  <c r="Q1104" i="9"/>
  <c r="P1104" i="9"/>
  <c r="T1104" i="9" s="1" a="1"/>
  <c r="T1104" i="9" s="1"/>
  <c r="T1103" i="9" a="1"/>
  <c r="T1103" i="9" s="1"/>
  <c r="S1103" i="9"/>
  <c r="R1103" i="9"/>
  <c r="Q1103" i="9"/>
  <c r="P1103" i="9"/>
  <c r="S1102" i="9"/>
  <c r="T1102" i="9" s="1" a="1"/>
  <c r="T1102" i="9" s="1"/>
  <c r="R1102" i="9"/>
  <c r="Q1102" i="9"/>
  <c r="P1102" i="9"/>
  <c r="S1101" i="9"/>
  <c r="R1101" i="9"/>
  <c r="Q1101" i="9"/>
  <c r="P1101" i="9"/>
  <c r="T1101" i="9" s="1" a="1"/>
  <c r="T1101" i="9" s="1"/>
  <c r="S1100" i="9"/>
  <c r="R1100" i="9"/>
  <c r="Q1100" i="9"/>
  <c r="P1100" i="9"/>
  <c r="T1100" i="9" s="1" a="1"/>
  <c r="T1100" i="9" s="1"/>
  <c r="S1099" i="9"/>
  <c r="R1099" i="9"/>
  <c r="Q1099" i="9"/>
  <c r="P1099" i="9"/>
  <c r="T1099" i="9" s="1" a="1"/>
  <c r="T1099" i="9" s="1"/>
  <c r="T1098" i="9" a="1"/>
  <c r="T1098" i="9" s="1"/>
  <c r="S1098" i="9"/>
  <c r="R1098" i="9"/>
  <c r="Q1098" i="9"/>
  <c r="P1098" i="9"/>
  <c r="S1097" i="9"/>
  <c r="R1097" i="9"/>
  <c r="Q1097" i="9"/>
  <c r="T1097" i="9" s="1" a="1"/>
  <c r="T1097" i="9" s="1"/>
  <c r="P1097" i="9"/>
  <c r="S1096" i="9"/>
  <c r="R1096" i="9"/>
  <c r="Q1096" i="9"/>
  <c r="P1096" i="9"/>
  <c r="T1096" i="9" s="1" a="1"/>
  <c r="T1096" i="9" s="1"/>
  <c r="T1095" i="9" a="1"/>
  <c r="T1095" i="9" s="1"/>
  <c r="S1095" i="9"/>
  <c r="R1095" i="9"/>
  <c r="Q1095" i="9"/>
  <c r="P1095" i="9"/>
  <c r="S1094" i="9"/>
  <c r="T1094" i="9" s="1" a="1"/>
  <c r="T1094" i="9" s="1"/>
  <c r="R1094" i="9"/>
  <c r="Q1094" i="9"/>
  <c r="P1094" i="9"/>
  <c r="S1093" i="9"/>
  <c r="R1093" i="9"/>
  <c r="Q1093" i="9"/>
  <c r="P1093" i="9"/>
  <c r="T1093" i="9" s="1" a="1"/>
  <c r="T1093" i="9" s="1"/>
  <c r="S1092" i="9"/>
  <c r="R1092" i="9"/>
  <c r="Q1092" i="9"/>
  <c r="P1092" i="9"/>
  <c r="T1092" i="9" s="1" a="1"/>
  <c r="T1092" i="9" s="1"/>
  <c r="S1091" i="9"/>
  <c r="R1091" i="9"/>
  <c r="Q1091" i="9"/>
  <c r="P1091" i="9"/>
  <c r="T1091" i="9" s="1" a="1"/>
  <c r="T1091" i="9" s="1"/>
  <c r="T1090" i="9" a="1"/>
  <c r="T1090" i="9" s="1"/>
  <c r="S1090" i="9"/>
  <c r="R1090" i="9"/>
  <c r="Q1090" i="9"/>
  <c r="P1090" i="9"/>
  <c r="S1089" i="9"/>
  <c r="R1089" i="9"/>
  <c r="Q1089" i="9"/>
  <c r="T1089" i="9" s="1" a="1"/>
  <c r="T1089" i="9" s="1"/>
  <c r="P1089" i="9"/>
  <c r="S1088" i="9"/>
  <c r="R1088" i="9"/>
  <c r="Q1088" i="9"/>
  <c r="P1088" i="9"/>
  <c r="T1088" i="9" s="1" a="1"/>
  <c r="T1088" i="9" s="1"/>
  <c r="T1087" i="9" a="1"/>
  <c r="T1087" i="9" s="1"/>
  <c r="S1087" i="9"/>
  <c r="R1087" i="9"/>
  <c r="Q1087" i="9"/>
  <c r="P1087" i="9"/>
  <c r="S1086" i="9"/>
  <c r="T1086" i="9" s="1" a="1"/>
  <c r="T1086" i="9" s="1"/>
  <c r="R1086" i="9"/>
  <c r="Q1086" i="9"/>
  <c r="P1086" i="9"/>
  <c r="S1085" i="9"/>
  <c r="R1085" i="9"/>
  <c r="Q1085" i="9"/>
  <c r="P1085" i="9"/>
  <c r="S1084" i="9"/>
  <c r="R1084" i="9"/>
  <c r="Q1084" i="9"/>
  <c r="P1084" i="9"/>
  <c r="T1084" i="9" s="1" a="1"/>
  <c r="T1084" i="9" s="1"/>
  <c r="S1083" i="9"/>
  <c r="R1083" i="9"/>
  <c r="Q1083" i="9"/>
  <c r="P1083" i="9"/>
  <c r="T1083" i="9" s="1" a="1"/>
  <c r="T1083" i="9" s="1"/>
  <c r="T1082" i="9" a="1"/>
  <c r="T1082" i="9" s="1"/>
  <c r="S1082" i="9"/>
  <c r="R1082" i="9"/>
  <c r="Q1082" i="9"/>
  <c r="P1082" i="9"/>
  <c r="S1081" i="9"/>
  <c r="R1081" i="9"/>
  <c r="Q1081" i="9"/>
  <c r="T1081" i="9" s="1" a="1"/>
  <c r="T1081" i="9" s="1"/>
  <c r="P1081" i="9"/>
  <c r="S1080" i="9"/>
  <c r="R1080" i="9"/>
  <c r="Q1080" i="9"/>
  <c r="P1080" i="9"/>
  <c r="T1080" i="9" s="1" a="1"/>
  <c r="T1080" i="9" s="1"/>
  <c r="T1079" i="9" a="1"/>
  <c r="T1079" i="9" s="1"/>
  <c r="S1079" i="9"/>
  <c r="R1079" i="9"/>
  <c r="Q1079" i="9"/>
  <c r="P1079" i="9"/>
  <c r="S1078" i="9"/>
  <c r="T1078" i="9" s="1" a="1"/>
  <c r="T1078" i="9" s="1"/>
  <c r="R1078" i="9"/>
  <c r="Q1078" i="9"/>
  <c r="P1078" i="9"/>
  <c r="S1077" i="9"/>
  <c r="R1077" i="9"/>
  <c r="Q1077" i="9"/>
  <c r="P1077" i="9"/>
  <c r="S1076" i="9"/>
  <c r="R1076" i="9"/>
  <c r="Q1076" i="9"/>
  <c r="P1076" i="9"/>
  <c r="T1076" i="9" s="1" a="1"/>
  <c r="T1076" i="9" s="1"/>
  <c r="S1075" i="9"/>
  <c r="R1075" i="9"/>
  <c r="Q1075" i="9"/>
  <c r="P1075" i="9"/>
  <c r="T1075" i="9" s="1" a="1"/>
  <c r="T1075" i="9" s="1"/>
  <c r="T1074" i="9" a="1"/>
  <c r="T1074" i="9" s="1"/>
  <c r="S1074" i="9"/>
  <c r="R1074" i="9"/>
  <c r="Q1074" i="9"/>
  <c r="P1074" i="9"/>
  <c r="S1073" i="9"/>
  <c r="R1073" i="9"/>
  <c r="Q1073" i="9"/>
  <c r="T1073" i="9" s="1" a="1"/>
  <c r="T1073" i="9" s="1"/>
  <c r="P1073" i="9"/>
  <c r="S1072" i="9"/>
  <c r="R1072" i="9"/>
  <c r="Q1072" i="9"/>
  <c r="P1072" i="9"/>
  <c r="T1072" i="9" s="1" a="1"/>
  <c r="T1072" i="9" s="1"/>
  <c r="T1071" i="9" a="1"/>
  <c r="T1071" i="9" s="1"/>
  <c r="S1071" i="9"/>
  <c r="R1071" i="9"/>
  <c r="Q1071" i="9"/>
  <c r="P1071" i="9"/>
  <c r="S1070" i="9"/>
  <c r="T1070" i="9" s="1" a="1"/>
  <c r="T1070" i="9" s="1"/>
  <c r="R1070" i="9"/>
  <c r="Q1070" i="9"/>
  <c r="P1070" i="9"/>
  <c r="S1069" i="9"/>
  <c r="R1069" i="9"/>
  <c r="Q1069" i="9"/>
  <c r="P1069" i="9"/>
  <c r="T1069" i="9" s="1" a="1"/>
  <c r="T1069" i="9" s="1"/>
  <c r="S1068" i="9"/>
  <c r="R1068" i="9"/>
  <c r="Q1068" i="9"/>
  <c r="P1068" i="9"/>
  <c r="T1068" i="9" s="1" a="1"/>
  <c r="T1068" i="9" s="1"/>
  <c r="S1067" i="9"/>
  <c r="R1067" i="9"/>
  <c r="Q1067" i="9"/>
  <c r="P1067" i="9"/>
  <c r="T1067" i="9" s="1" a="1"/>
  <c r="T1067" i="9" s="1"/>
  <c r="T1066" i="9" a="1"/>
  <c r="T1066" i="9" s="1"/>
  <c r="S1066" i="9"/>
  <c r="R1066" i="9"/>
  <c r="Q1066" i="9"/>
  <c r="P1066" i="9"/>
  <c r="S1065" i="9"/>
  <c r="R1065" i="9"/>
  <c r="Q1065" i="9"/>
  <c r="T1065" i="9" s="1" a="1"/>
  <c r="T1065" i="9" s="1"/>
  <c r="P1065" i="9"/>
  <c r="S1064" i="9"/>
  <c r="R1064" i="9"/>
  <c r="Q1064" i="9"/>
  <c r="P1064" i="9"/>
  <c r="T1064" i="9" s="1" a="1"/>
  <c r="T1064" i="9" s="1"/>
  <c r="T1063" i="9" a="1"/>
  <c r="T1063" i="9" s="1"/>
  <c r="S1063" i="9"/>
  <c r="R1063" i="9"/>
  <c r="Q1063" i="9"/>
  <c r="P1063" i="9"/>
  <c r="S1062" i="9"/>
  <c r="T1062" i="9" s="1" a="1"/>
  <c r="T1062" i="9" s="1"/>
  <c r="R1062" i="9"/>
  <c r="Q1062" i="9"/>
  <c r="P1062" i="9"/>
  <c r="S1061" i="9"/>
  <c r="R1061" i="9"/>
  <c r="Q1061" i="9"/>
  <c r="P1061" i="9"/>
  <c r="S1060" i="9"/>
  <c r="R1060" i="9"/>
  <c r="Q1060" i="9"/>
  <c r="P1060" i="9"/>
  <c r="T1060" i="9" s="1" a="1"/>
  <c r="T1060" i="9" s="1"/>
  <c r="S1059" i="9"/>
  <c r="R1059" i="9"/>
  <c r="Q1059" i="9"/>
  <c r="P1059" i="9"/>
  <c r="T1059" i="9" s="1" a="1"/>
  <c r="T1059" i="9" s="1"/>
  <c r="T1058" i="9" a="1"/>
  <c r="T1058" i="9" s="1"/>
  <c r="S1058" i="9"/>
  <c r="R1058" i="9"/>
  <c r="Q1058" i="9"/>
  <c r="P1058" i="9"/>
  <c r="S1057" i="9"/>
  <c r="R1057" i="9"/>
  <c r="Q1057" i="9"/>
  <c r="T1057" i="9" s="1" a="1"/>
  <c r="T1057" i="9" s="1"/>
  <c r="P1057" i="9"/>
  <c r="S1056" i="9"/>
  <c r="R1056" i="9"/>
  <c r="Q1056" i="9"/>
  <c r="P1056" i="9"/>
  <c r="T1056" i="9" s="1" a="1"/>
  <c r="T1056" i="9" s="1"/>
  <c r="T1055" i="9" a="1"/>
  <c r="T1055" i="9" s="1"/>
  <c r="S1055" i="9"/>
  <c r="R1055" i="9"/>
  <c r="Q1055" i="9"/>
  <c r="P1055" i="9"/>
  <c r="S1054" i="9"/>
  <c r="T1054" i="9" s="1" a="1"/>
  <c r="T1054" i="9" s="1"/>
  <c r="R1054" i="9"/>
  <c r="Q1054" i="9"/>
  <c r="P1054" i="9"/>
  <c r="S1053" i="9"/>
  <c r="R1053" i="9"/>
  <c r="Q1053" i="9"/>
  <c r="P1053" i="9"/>
  <c r="S1052" i="9"/>
  <c r="R1052" i="9"/>
  <c r="Q1052" i="9"/>
  <c r="P1052" i="9"/>
  <c r="T1052" i="9" s="1" a="1"/>
  <c r="T1052" i="9" s="1"/>
  <c r="S1051" i="9"/>
  <c r="R1051" i="9"/>
  <c r="Q1051" i="9"/>
  <c r="P1051" i="9"/>
  <c r="T1051" i="9" s="1" a="1"/>
  <c r="T1051" i="9" s="1"/>
  <c r="T1050" i="9" a="1"/>
  <c r="T1050" i="9" s="1"/>
  <c r="S1050" i="9"/>
  <c r="R1050" i="9"/>
  <c r="Q1050" i="9"/>
  <c r="P1050" i="9"/>
  <c r="S1049" i="9"/>
  <c r="R1049" i="9"/>
  <c r="Q1049" i="9"/>
  <c r="T1049" i="9" s="1" a="1"/>
  <c r="T1049" i="9" s="1"/>
  <c r="P1049" i="9"/>
  <c r="S1048" i="9"/>
  <c r="R1048" i="9"/>
  <c r="Q1048" i="9"/>
  <c r="P1048" i="9"/>
  <c r="T1048" i="9" s="1" a="1"/>
  <c r="T1048" i="9" s="1"/>
  <c r="T1047" i="9" a="1"/>
  <c r="T1047" i="9" s="1"/>
  <c r="S1047" i="9"/>
  <c r="R1047" i="9"/>
  <c r="Q1047" i="9"/>
  <c r="P1047" i="9"/>
  <c r="S1046" i="9"/>
  <c r="T1046" i="9" s="1" a="1"/>
  <c r="T1046" i="9" s="1"/>
  <c r="R1046" i="9"/>
  <c r="Q1046" i="9"/>
  <c r="P1046" i="9"/>
  <c r="S1045" i="9"/>
  <c r="R1045" i="9"/>
  <c r="Q1045" i="9"/>
  <c r="P1045" i="9"/>
  <c r="S1044" i="9"/>
  <c r="R1044" i="9"/>
  <c r="Q1044" i="9"/>
  <c r="P1044" i="9"/>
  <c r="T1044" i="9" s="1" a="1"/>
  <c r="T1044" i="9" s="1"/>
  <c r="S1043" i="9"/>
  <c r="R1043" i="9"/>
  <c r="Q1043" i="9"/>
  <c r="P1043" i="9"/>
  <c r="T1043" i="9" s="1" a="1"/>
  <c r="T1043" i="9" s="1"/>
  <c r="T1042" i="9" a="1"/>
  <c r="T1042" i="9" s="1"/>
  <c r="S1042" i="9"/>
  <c r="R1042" i="9"/>
  <c r="Q1042" i="9"/>
  <c r="P1042" i="9"/>
  <c r="S1041" i="9"/>
  <c r="R1041" i="9"/>
  <c r="Q1041" i="9"/>
  <c r="T1041" i="9" s="1" a="1"/>
  <c r="T1041" i="9" s="1"/>
  <c r="P1041" i="9"/>
  <c r="S1040" i="9"/>
  <c r="R1040" i="9"/>
  <c r="Q1040" i="9"/>
  <c r="P1040" i="9"/>
  <c r="T1040" i="9" s="1" a="1"/>
  <c r="T1040" i="9" s="1"/>
  <c r="T1039" i="9" a="1"/>
  <c r="T1039" i="9" s="1"/>
  <c r="S1039" i="9"/>
  <c r="R1039" i="9"/>
  <c r="Q1039" i="9"/>
  <c r="P1039" i="9"/>
  <c r="S1038" i="9"/>
  <c r="T1038" i="9" s="1" a="1"/>
  <c r="T1038" i="9" s="1"/>
  <c r="R1038" i="9"/>
  <c r="Q1038" i="9"/>
  <c r="P1038" i="9"/>
  <c r="S1037" i="9"/>
  <c r="R1037" i="9"/>
  <c r="Q1037" i="9"/>
  <c r="P1037" i="9"/>
  <c r="T1037" i="9" s="1" a="1"/>
  <c r="T1037" i="9" s="1"/>
  <c r="S1036" i="9"/>
  <c r="R1036" i="9"/>
  <c r="Q1036" i="9"/>
  <c r="P1036" i="9"/>
  <c r="T1036" i="9" s="1" a="1"/>
  <c r="T1036" i="9" s="1"/>
  <c r="S1035" i="9"/>
  <c r="R1035" i="9"/>
  <c r="Q1035" i="9"/>
  <c r="P1035" i="9"/>
  <c r="T1035" i="9" s="1" a="1"/>
  <c r="T1035" i="9" s="1"/>
  <c r="T1034" i="9" a="1"/>
  <c r="T1034" i="9" s="1"/>
  <c r="S1034" i="9"/>
  <c r="R1034" i="9"/>
  <c r="Q1034" i="9"/>
  <c r="P1034" i="9"/>
  <c r="S1033" i="9"/>
  <c r="R1033" i="9"/>
  <c r="Q1033" i="9"/>
  <c r="T1033" i="9" s="1" a="1"/>
  <c r="T1033" i="9" s="1"/>
  <c r="P1033" i="9"/>
  <c r="S1032" i="9"/>
  <c r="R1032" i="9"/>
  <c r="Q1032" i="9"/>
  <c r="P1032" i="9"/>
  <c r="T1032" i="9" s="1" a="1"/>
  <c r="T1032" i="9" s="1"/>
  <c r="T1031" i="9" a="1"/>
  <c r="T1031" i="9" s="1"/>
  <c r="S1031" i="9"/>
  <c r="R1031" i="9"/>
  <c r="Q1031" i="9"/>
  <c r="P1031" i="9"/>
  <c r="S1030" i="9"/>
  <c r="T1030" i="9" s="1" a="1"/>
  <c r="T1030" i="9" s="1"/>
  <c r="R1030" i="9"/>
  <c r="Q1030" i="9"/>
  <c r="P1030" i="9"/>
  <c r="S1029" i="9"/>
  <c r="R1029" i="9"/>
  <c r="Q1029" i="9"/>
  <c r="P1029" i="9"/>
  <c r="T1029" i="9" s="1" a="1"/>
  <c r="T1029" i="9" s="1"/>
  <c r="S1028" i="9"/>
  <c r="R1028" i="9"/>
  <c r="Q1028" i="9"/>
  <c r="P1028" i="9"/>
  <c r="T1028" i="9" s="1" a="1"/>
  <c r="T1028" i="9" s="1"/>
  <c r="S1027" i="9"/>
  <c r="R1027" i="9"/>
  <c r="Q1027" i="9"/>
  <c r="P1027" i="9"/>
  <c r="T1027" i="9" s="1" a="1"/>
  <c r="T1027" i="9" s="1"/>
  <c r="T1026" i="9" a="1"/>
  <c r="T1026" i="9" s="1"/>
  <c r="S1026" i="9"/>
  <c r="R1026" i="9"/>
  <c r="Q1026" i="9"/>
  <c r="P1026" i="9"/>
  <c r="S1025" i="9"/>
  <c r="R1025" i="9"/>
  <c r="Q1025" i="9"/>
  <c r="T1025" i="9" s="1" a="1"/>
  <c r="T1025" i="9" s="1"/>
  <c r="P1025" i="9"/>
  <c r="S1024" i="9"/>
  <c r="R1024" i="9"/>
  <c r="Q1024" i="9"/>
  <c r="P1024" i="9"/>
  <c r="T1024" i="9" s="1" a="1"/>
  <c r="T1024" i="9" s="1"/>
  <c r="T1023" i="9" a="1"/>
  <c r="T1023" i="9" s="1"/>
  <c r="S1023" i="9"/>
  <c r="R1023" i="9"/>
  <c r="Q1023" i="9"/>
  <c r="P1023" i="9"/>
  <c r="S1022" i="9"/>
  <c r="T1022" i="9" s="1" a="1"/>
  <c r="T1022" i="9" s="1"/>
  <c r="R1022" i="9"/>
  <c r="Q1022" i="9"/>
  <c r="P1022" i="9"/>
  <c r="S1021" i="9"/>
  <c r="R1021" i="9"/>
  <c r="Q1021" i="9"/>
  <c r="P1021" i="9"/>
  <c r="S1020" i="9"/>
  <c r="R1020" i="9"/>
  <c r="Q1020" i="9"/>
  <c r="P1020" i="9"/>
  <c r="T1020" i="9" s="1" a="1"/>
  <c r="T1020" i="9" s="1"/>
  <c r="S1019" i="9"/>
  <c r="R1019" i="9"/>
  <c r="Q1019" i="9"/>
  <c r="P1019" i="9"/>
  <c r="T1019" i="9" s="1" a="1"/>
  <c r="T1019" i="9" s="1"/>
  <c r="T1018" i="9" a="1"/>
  <c r="T1018" i="9" s="1"/>
  <c r="S1018" i="9"/>
  <c r="R1018" i="9"/>
  <c r="Q1018" i="9"/>
  <c r="P1018" i="9"/>
  <c r="S1017" i="9"/>
  <c r="R1017" i="9"/>
  <c r="Q1017" i="9"/>
  <c r="T1017" i="9" s="1" a="1"/>
  <c r="T1017" i="9" s="1"/>
  <c r="P1017" i="9"/>
  <c r="S1016" i="9"/>
  <c r="R1016" i="9"/>
  <c r="Q1016" i="9"/>
  <c r="P1016" i="9"/>
  <c r="T1016" i="9" s="1" a="1"/>
  <c r="T1016" i="9" s="1"/>
  <c r="T1015" i="9" a="1"/>
  <c r="T1015" i="9" s="1"/>
  <c r="S1015" i="9"/>
  <c r="R1015" i="9"/>
  <c r="Q1015" i="9"/>
  <c r="P1015" i="9"/>
  <c r="S1014" i="9"/>
  <c r="T1014" i="9" s="1" a="1"/>
  <c r="T1014" i="9" s="1"/>
  <c r="R1014" i="9"/>
  <c r="Q1014" i="9"/>
  <c r="P1014" i="9"/>
  <c r="S1013" i="9"/>
  <c r="R1013" i="9"/>
  <c r="Q1013" i="9"/>
  <c r="P1013" i="9"/>
  <c r="T1013" i="9" s="1" a="1"/>
  <c r="T1013" i="9" s="1"/>
  <c r="S1012" i="9"/>
  <c r="R1012" i="9"/>
  <c r="Q1012" i="9"/>
  <c r="P1012" i="9"/>
  <c r="T1012" i="9" s="1" a="1"/>
  <c r="T1012" i="9" s="1"/>
  <c r="S1011" i="9"/>
  <c r="R1011" i="9"/>
  <c r="Q1011" i="9"/>
  <c r="P1011" i="9"/>
  <c r="T1011" i="9" s="1" a="1"/>
  <c r="T1011" i="9" s="1"/>
  <c r="T1010" i="9"/>
  <c r="T1010" i="9" a="1"/>
  <c r="S1010" i="9"/>
  <c r="R1010" i="9"/>
  <c r="Q1010" i="9"/>
  <c r="P1010" i="9"/>
  <c r="S1009" i="9"/>
  <c r="R1009" i="9"/>
  <c r="Q1009" i="9"/>
  <c r="T1009" i="9" s="1" a="1"/>
  <c r="T1009" i="9" s="1"/>
  <c r="P1009" i="9"/>
  <c r="S1008" i="9"/>
  <c r="R1008" i="9"/>
  <c r="Q1008" i="9"/>
  <c r="P1008" i="9"/>
  <c r="T1007" i="9" a="1"/>
  <c r="T1007" i="9" s="1"/>
  <c r="S1007" i="9"/>
  <c r="R1007" i="9"/>
  <c r="Q1007" i="9"/>
  <c r="P1007" i="9"/>
  <c r="S1006" i="9"/>
  <c r="T1006" i="9" s="1" a="1"/>
  <c r="T1006" i="9" s="1"/>
  <c r="R1006" i="9"/>
  <c r="Q1006" i="9"/>
  <c r="P1006" i="9"/>
  <c r="S1005" i="9"/>
  <c r="R1005" i="9"/>
  <c r="Q1005" i="9"/>
  <c r="P1005" i="9"/>
  <c r="T1005" i="9" s="1" a="1"/>
  <c r="T1005" i="9" s="1"/>
  <c r="S1004" i="9"/>
  <c r="R1004" i="9"/>
  <c r="Q1004" i="9"/>
  <c r="P1004" i="9"/>
  <c r="T1004" i="9" s="1" a="1"/>
  <c r="T1004" i="9" s="1"/>
  <c r="S1003" i="9"/>
  <c r="R1003" i="9"/>
  <c r="Q1003" i="9"/>
  <c r="P1003" i="9"/>
  <c r="T1003" i="9" s="1" a="1"/>
  <c r="T1003" i="9" s="1"/>
  <c r="T1002" i="9" a="1"/>
  <c r="T1002" i="9" s="1"/>
  <c r="S1002" i="9"/>
  <c r="R1002" i="9"/>
  <c r="Q1002" i="9"/>
  <c r="P1002" i="9"/>
  <c r="S1001" i="9"/>
  <c r="R1001" i="9"/>
  <c r="Q1001" i="9"/>
  <c r="T1001" i="9" s="1" a="1"/>
  <c r="T1001" i="9" s="1"/>
  <c r="P1001" i="9"/>
  <c r="S1000" i="9"/>
  <c r="R1000" i="9"/>
  <c r="Q1000" i="9"/>
  <c r="P1000" i="9"/>
  <c r="T1000" i="9" s="1" a="1"/>
  <c r="T1000" i="9" s="1"/>
  <c r="T999" i="9" a="1"/>
  <c r="T999" i="9" s="1"/>
  <c r="S999" i="9"/>
  <c r="R999" i="9"/>
  <c r="Q999" i="9"/>
  <c r="P999" i="9"/>
  <c r="S998" i="9"/>
  <c r="T998" i="9" s="1" a="1"/>
  <c r="T998" i="9" s="1"/>
  <c r="R998" i="9"/>
  <c r="Q998" i="9"/>
  <c r="P998" i="9"/>
  <c r="S997" i="9"/>
  <c r="R997" i="9"/>
  <c r="Q997" i="9"/>
  <c r="P997" i="9"/>
  <c r="S996" i="9"/>
  <c r="R996" i="9"/>
  <c r="Q996" i="9"/>
  <c r="P996" i="9"/>
  <c r="T996" i="9" s="1" a="1"/>
  <c r="T996" i="9" s="1"/>
  <c r="S995" i="9"/>
  <c r="R995" i="9"/>
  <c r="Q995" i="9"/>
  <c r="P995" i="9"/>
  <c r="T995" i="9" s="1" a="1"/>
  <c r="T995" i="9" s="1"/>
  <c r="T994" i="9" a="1"/>
  <c r="T994" i="9" s="1"/>
  <c r="S994" i="9"/>
  <c r="R994" i="9"/>
  <c r="Q994" i="9"/>
  <c r="P994" i="9"/>
  <c r="S993" i="9"/>
  <c r="R993" i="9"/>
  <c r="Q993" i="9"/>
  <c r="T993" i="9" s="1" a="1"/>
  <c r="T993" i="9" s="1"/>
  <c r="P993" i="9"/>
  <c r="S992" i="9"/>
  <c r="R992" i="9"/>
  <c r="Q992" i="9"/>
  <c r="P992" i="9"/>
  <c r="T991" i="9" a="1"/>
  <c r="T991" i="9" s="1"/>
  <c r="S991" i="9"/>
  <c r="R991" i="9"/>
  <c r="Q991" i="9"/>
  <c r="P991" i="9"/>
  <c r="S990" i="9"/>
  <c r="T990" i="9" s="1" a="1"/>
  <c r="T990" i="9" s="1"/>
  <c r="R990" i="9"/>
  <c r="Q990" i="9"/>
  <c r="P990" i="9"/>
  <c r="S989" i="9"/>
  <c r="R989" i="9"/>
  <c r="Q989" i="9"/>
  <c r="P989" i="9"/>
  <c r="T989" i="9" s="1" a="1"/>
  <c r="T989" i="9" s="1"/>
  <c r="S988" i="9"/>
  <c r="R988" i="9"/>
  <c r="Q988" i="9"/>
  <c r="P988" i="9"/>
  <c r="T988" i="9" s="1" a="1"/>
  <c r="T988" i="9" s="1"/>
  <c r="S987" i="9"/>
  <c r="R987" i="9"/>
  <c r="Q987" i="9"/>
  <c r="P987" i="9"/>
  <c r="T987" i="9" s="1" a="1"/>
  <c r="T987" i="9" s="1"/>
  <c r="T986" i="9" a="1"/>
  <c r="T986" i="9" s="1"/>
  <c r="S986" i="9"/>
  <c r="R986" i="9"/>
  <c r="Q986" i="9"/>
  <c r="P986" i="9"/>
  <c r="S985" i="9"/>
  <c r="R985" i="9"/>
  <c r="Q985" i="9"/>
  <c r="T985" i="9" s="1" a="1"/>
  <c r="T985" i="9" s="1"/>
  <c r="P985" i="9"/>
  <c r="S984" i="9"/>
  <c r="R984" i="9"/>
  <c r="Q984" i="9"/>
  <c r="P984" i="9"/>
  <c r="T984" i="9" s="1" a="1"/>
  <c r="T984" i="9" s="1"/>
  <c r="T983" i="9" a="1"/>
  <c r="T983" i="9" s="1"/>
  <c r="S983" i="9"/>
  <c r="R983" i="9"/>
  <c r="Q983" i="9"/>
  <c r="P983" i="9"/>
  <c r="S982" i="9"/>
  <c r="T982" i="9" s="1" a="1"/>
  <c r="T982" i="9" s="1"/>
  <c r="R982" i="9"/>
  <c r="Q982" i="9"/>
  <c r="P982" i="9"/>
  <c r="S981" i="9"/>
  <c r="R981" i="9"/>
  <c r="Q981" i="9"/>
  <c r="P981" i="9"/>
  <c r="S980" i="9"/>
  <c r="R980" i="9"/>
  <c r="Q980" i="9"/>
  <c r="P980" i="9"/>
  <c r="T980" i="9" s="1" a="1"/>
  <c r="T980" i="9" s="1"/>
  <c r="S979" i="9"/>
  <c r="R979" i="9"/>
  <c r="Q979" i="9"/>
  <c r="P979" i="9"/>
  <c r="T979" i="9" s="1" a="1"/>
  <c r="T979" i="9" s="1"/>
  <c r="T978" i="9" a="1"/>
  <c r="T978" i="9" s="1"/>
  <c r="S978" i="9"/>
  <c r="R978" i="9"/>
  <c r="Q978" i="9"/>
  <c r="P978" i="9"/>
  <c r="S977" i="9"/>
  <c r="R977" i="9"/>
  <c r="Q977" i="9"/>
  <c r="T977" i="9" s="1" a="1"/>
  <c r="T977" i="9" s="1"/>
  <c r="P977" i="9"/>
  <c r="S976" i="9"/>
  <c r="R976" i="9"/>
  <c r="Q976" i="9"/>
  <c r="P976" i="9"/>
  <c r="T975" i="9" a="1"/>
  <c r="T975" i="9" s="1"/>
  <c r="S975" i="9"/>
  <c r="R975" i="9"/>
  <c r="Q975" i="9"/>
  <c r="P975" i="9"/>
  <c r="S974" i="9"/>
  <c r="T974" i="9" s="1" a="1"/>
  <c r="T974" i="9" s="1"/>
  <c r="R974" i="9"/>
  <c r="Q974" i="9"/>
  <c r="P974" i="9"/>
  <c r="S973" i="9"/>
  <c r="R973" i="9"/>
  <c r="Q973" i="9"/>
  <c r="P973" i="9"/>
  <c r="S972" i="9"/>
  <c r="R972" i="9"/>
  <c r="Q972" i="9"/>
  <c r="P972" i="9"/>
  <c r="T972" i="9" s="1" a="1"/>
  <c r="T972" i="9" s="1"/>
  <c r="S971" i="9"/>
  <c r="R971" i="9"/>
  <c r="Q971" i="9"/>
  <c r="P971" i="9"/>
  <c r="T971" i="9" s="1" a="1"/>
  <c r="T971" i="9" s="1"/>
  <c r="T970" i="9" a="1"/>
  <c r="T970" i="9" s="1"/>
  <c r="S970" i="9"/>
  <c r="R970" i="9"/>
  <c r="Q970" i="9"/>
  <c r="P970" i="9"/>
  <c r="S969" i="9"/>
  <c r="R969" i="9"/>
  <c r="Q969" i="9"/>
  <c r="T969" i="9" s="1" a="1"/>
  <c r="T969" i="9" s="1"/>
  <c r="P969" i="9"/>
  <c r="S968" i="9"/>
  <c r="R968" i="9"/>
  <c r="Q968" i="9"/>
  <c r="P968" i="9"/>
  <c r="T967" i="9" a="1"/>
  <c r="T967" i="9" s="1"/>
  <c r="S967" i="9"/>
  <c r="R967" i="9"/>
  <c r="Q967" i="9"/>
  <c r="P967" i="9"/>
  <c r="S966" i="9"/>
  <c r="T966" i="9" s="1" a="1"/>
  <c r="T966" i="9" s="1"/>
  <c r="R966" i="9"/>
  <c r="Q966" i="9"/>
  <c r="P966" i="9"/>
  <c r="S965" i="9"/>
  <c r="R965" i="9"/>
  <c r="Q965" i="9"/>
  <c r="P965" i="9"/>
  <c r="S964" i="9"/>
  <c r="R964" i="9"/>
  <c r="Q964" i="9"/>
  <c r="P964" i="9"/>
  <c r="T964" i="9" s="1" a="1"/>
  <c r="T964" i="9" s="1"/>
  <c r="S963" i="9"/>
  <c r="R963" i="9"/>
  <c r="Q963" i="9"/>
  <c r="P963" i="9"/>
  <c r="T963" i="9" s="1" a="1"/>
  <c r="T963" i="9" s="1"/>
  <c r="T962" i="9"/>
  <c r="T962" i="9" a="1"/>
  <c r="S962" i="9"/>
  <c r="R962" i="9"/>
  <c r="Q962" i="9"/>
  <c r="P962" i="9"/>
  <c r="S961" i="9"/>
  <c r="R961" i="9"/>
  <c r="Q961" i="9"/>
  <c r="T961" i="9" s="1" a="1"/>
  <c r="T961" i="9" s="1"/>
  <c r="P961" i="9"/>
  <c r="S960" i="9"/>
  <c r="R960" i="9"/>
  <c r="Q960" i="9"/>
  <c r="P960" i="9"/>
  <c r="T959" i="9" a="1"/>
  <c r="T959" i="9" s="1"/>
  <c r="S959" i="9"/>
  <c r="R959" i="9"/>
  <c r="Q959" i="9"/>
  <c r="P959" i="9"/>
  <c r="S958" i="9"/>
  <c r="T958" i="9" s="1" a="1"/>
  <c r="T958" i="9" s="1"/>
  <c r="R958" i="9"/>
  <c r="Q958" i="9"/>
  <c r="P958" i="9"/>
  <c r="S957" i="9"/>
  <c r="R957" i="9"/>
  <c r="Q957" i="9"/>
  <c r="P957" i="9"/>
  <c r="S956" i="9"/>
  <c r="R956" i="9"/>
  <c r="Q956" i="9"/>
  <c r="P956" i="9"/>
  <c r="T956" i="9" s="1" a="1"/>
  <c r="T956" i="9" s="1"/>
  <c r="S955" i="9"/>
  <c r="R955" i="9"/>
  <c r="Q955" i="9"/>
  <c r="P955" i="9"/>
  <c r="T955" i="9" s="1" a="1"/>
  <c r="T955" i="9" s="1"/>
  <c r="T954" i="9" a="1"/>
  <c r="T954" i="9" s="1"/>
  <c r="S954" i="9"/>
  <c r="R954" i="9"/>
  <c r="Q954" i="9"/>
  <c r="P954" i="9"/>
  <c r="S953" i="9"/>
  <c r="R953" i="9"/>
  <c r="Q953" i="9"/>
  <c r="T953" i="9" s="1" a="1"/>
  <c r="T953" i="9" s="1"/>
  <c r="P953" i="9"/>
  <c r="S952" i="9"/>
  <c r="R952" i="9"/>
  <c r="Q952" i="9"/>
  <c r="P952" i="9"/>
  <c r="T952" i="9" s="1" a="1"/>
  <c r="T952" i="9" s="1"/>
  <c r="T951" i="9" a="1"/>
  <c r="T951" i="9" s="1"/>
  <c r="S951" i="9"/>
  <c r="R951" i="9"/>
  <c r="Q951" i="9"/>
  <c r="P951" i="9"/>
  <c r="S950" i="9"/>
  <c r="T950" i="9" s="1" a="1"/>
  <c r="T950" i="9" s="1"/>
  <c r="R950" i="9"/>
  <c r="Q950" i="9"/>
  <c r="P950" i="9"/>
  <c r="S949" i="9"/>
  <c r="R949" i="9"/>
  <c r="Q949" i="9"/>
  <c r="P949" i="9"/>
  <c r="S948" i="9"/>
  <c r="R948" i="9"/>
  <c r="Q948" i="9"/>
  <c r="P948" i="9"/>
  <c r="T948" i="9" s="1" a="1"/>
  <c r="T948" i="9" s="1"/>
  <c r="S947" i="9"/>
  <c r="R947" i="9"/>
  <c r="Q947" i="9"/>
  <c r="P947" i="9"/>
  <c r="T947" i="9" s="1" a="1"/>
  <c r="T947" i="9" s="1"/>
  <c r="T946" i="9"/>
  <c r="T946" i="9" a="1"/>
  <c r="S946" i="9"/>
  <c r="R946" i="9"/>
  <c r="Q946" i="9"/>
  <c r="P946" i="9"/>
  <c r="S945" i="9"/>
  <c r="R945" i="9"/>
  <c r="Q945" i="9"/>
  <c r="T945" i="9" s="1" a="1"/>
  <c r="T945" i="9" s="1"/>
  <c r="P945" i="9"/>
  <c r="S944" i="9"/>
  <c r="R944" i="9"/>
  <c r="Q944" i="9"/>
  <c r="P944" i="9"/>
  <c r="T943" i="9" a="1"/>
  <c r="T943" i="9" s="1"/>
  <c r="S943" i="9"/>
  <c r="R943" i="9"/>
  <c r="Q943" i="9"/>
  <c r="P943" i="9"/>
  <c r="S942" i="9"/>
  <c r="T942" i="9" s="1" a="1"/>
  <c r="T942" i="9" s="1"/>
  <c r="R942" i="9"/>
  <c r="Q942" i="9"/>
  <c r="P942" i="9"/>
  <c r="S941" i="9"/>
  <c r="R941" i="9"/>
  <c r="Q941" i="9"/>
  <c r="P941" i="9"/>
  <c r="T941" i="9" s="1" a="1"/>
  <c r="T941" i="9" s="1"/>
  <c r="S940" i="9"/>
  <c r="R940" i="9"/>
  <c r="Q940" i="9"/>
  <c r="P940" i="9"/>
  <c r="T940" i="9" s="1" a="1"/>
  <c r="T940" i="9" s="1"/>
  <c r="S939" i="9"/>
  <c r="R939" i="9"/>
  <c r="Q939" i="9"/>
  <c r="P939" i="9"/>
  <c r="T939" i="9" s="1" a="1"/>
  <c r="T939" i="9" s="1"/>
  <c r="T938" i="9"/>
  <c r="T938" i="9" a="1"/>
  <c r="S938" i="9"/>
  <c r="R938" i="9"/>
  <c r="Q938" i="9"/>
  <c r="P938" i="9"/>
  <c r="S937" i="9"/>
  <c r="R937" i="9"/>
  <c r="Q937" i="9"/>
  <c r="T937" i="9" s="1" a="1"/>
  <c r="T937" i="9" s="1"/>
  <c r="P937" i="9"/>
  <c r="S936" i="9"/>
  <c r="R936" i="9"/>
  <c r="Q936" i="9"/>
  <c r="P936" i="9"/>
  <c r="T935" i="9" a="1"/>
  <c r="T935" i="9" s="1"/>
  <c r="S935" i="9"/>
  <c r="R935" i="9"/>
  <c r="Q935" i="9"/>
  <c r="P935" i="9"/>
  <c r="S934" i="9"/>
  <c r="T934" i="9" s="1" a="1"/>
  <c r="T934" i="9" s="1"/>
  <c r="R934" i="9"/>
  <c r="Q934" i="9"/>
  <c r="P934" i="9"/>
  <c r="S933" i="9"/>
  <c r="R933" i="9"/>
  <c r="Q933" i="9"/>
  <c r="P933" i="9"/>
  <c r="S932" i="9"/>
  <c r="R932" i="9"/>
  <c r="Q932" i="9"/>
  <c r="P932" i="9"/>
  <c r="T932" i="9" s="1" a="1"/>
  <c r="T932" i="9" s="1"/>
  <c r="S931" i="9"/>
  <c r="R931" i="9"/>
  <c r="Q931" i="9"/>
  <c r="P931" i="9"/>
  <c r="T931" i="9" s="1" a="1"/>
  <c r="T931" i="9" s="1"/>
  <c r="T930" i="9" a="1"/>
  <c r="T930" i="9" s="1"/>
  <c r="S930" i="9"/>
  <c r="R930" i="9"/>
  <c r="Q930" i="9"/>
  <c r="P930" i="9"/>
  <c r="S929" i="9"/>
  <c r="R929" i="9"/>
  <c r="Q929" i="9"/>
  <c r="T929" i="9" s="1" a="1"/>
  <c r="T929" i="9" s="1"/>
  <c r="P929" i="9"/>
  <c r="S928" i="9"/>
  <c r="R928" i="9"/>
  <c r="Q928" i="9"/>
  <c r="P928" i="9"/>
  <c r="T928" i="9" s="1" a="1"/>
  <c r="T928" i="9" s="1"/>
  <c r="T927" i="9" a="1"/>
  <c r="T927" i="9" s="1"/>
  <c r="S927" i="9"/>
  <c r="R927" i="9"/>
  <c r="Q927" i="9"/>
  <c r="P927" i="9"/>
  <c r="S926" i="9"/>
  <c r="T926" i="9" s="1" a="1"/>
  <c r="T926" i="9" s="1"/>
  <c r="R926" i="9"/>
  <c r="Q926" i="9"/>
  <c r="P926" i="9"/>
  <c r="S925" i="9"/>
  <c r="R925" i="9"/>
  <c r="Q925" i="9"/>
  <c r="P925" i="9"/>
  <c r="T925" i="9" s="1" a="1"/>
  <c r="T925" i="9" s="1"/>
  <c r="S924" i="9"/>
  <c r="R924" i="9"/>
  <c r="Q924" i="9"/>
  <c r="P924" i="9"/>
  <c r="T924" i="9" s="1" a="1"/>
  <c r="T924" i="9" s="1"/>
  <c r="S923" i="9"/>
  <c r="R923" i="9"/>
  <c r="Q923" i="9"/>
  <c r="P923" i="9"/>
  <c r="T923" i="9" s="1" a="1"/>
  <c r="T923" i="9" s="1"/>
  <c r="T922" i="9" a="1"/>
  <c r="T922" i="9" s="1"/>
  <c r="S922" i="9"/>
  <c r="R922" i="9"/>
  <c r="Q922" i="9"/>
  <c r="P922" i="9"/>
  <c r="S921" i="9"/>
  <c r="R921" i="9"/>
  <c r="Q921" i="9"/>
  <c r="T921" i="9" s="1" a="1"/>
  <c r="T921" i="9" s="1"/>
  <c r="P921" i="9"/>
  <c r="S920" i="9"/>
  <c r="R920" i="9"/>
  <c r="Q920" i="9"/>
  <c r="P920" i="9"/>
  <c r="T920" i="9" s="1" a="1"/>
  <c r="T920" i="9" s="1"/>
  <c r="T919" i="9" a="1"/>
  <c r="T919" i="9" s="1"/>
  <c r="S919" i="9"/>
  <c r="R919" i="9"/>
  <c r="Q919" i="9"/>
  <c r="P919" i="9"/>
  <c r="S918" i="9"/>
  <c r="T918" i="9" s="1" a="1"/>
  <c r="T918" i="9" s="1"/>
  <c r="R918" i="9"/>
  <c r="Q918" i="9"/>
  <c r="P918" i="9"/>
  <c r="S917" i="9"/>
  <c r="R917" i="9"/>
  <c r="Q917" i="9"/>
  <c r="P917" i="9"/>
  <c r="T917" i="9" s="1" a="1"/>
  <c r="T917" i="9" s="1"/>
  <c r="S916" i="9"/>
  <c r="R916" i="9"/>
  <c r="Q916" i="9"/>
  <c r="P916" i="9"/>
  <c r="T916" i="9" s="1" a="1"/>
  <c r="T916" i="9" s="1"/>
  <c r="S915" i="9"/>
  <c r="R915" i="9"/>
  <c r="Q915" i="9"/>
  <c r="P915" i="9"/>
  <c r="T915" i="9" s="1" a="1"/>
  <c r="T915" i="9" s="1"/>
  <c r="T914" i="9"/>
  <c r="T914" i="9" a="1"/>
  <c r="S914" i="9"/>
  <c r="R914" i="9"/>
  <c r="Q914" i="9"/>
  <c r="P914" i="9"/>
  <c r="S913" i="9"/>
  <c r="R913" i="9"/>
  <c r="Q913" i="9"/>
  <c r="T913" i="9" s="1" a="1"/>
  <c r="T913" i="9" s="1"/>
  <c r="P913" i="9"/>
  <c r="S912" i="9"/>
  <c r="R912" i="9"/>
  <c r="Q912" i="9"/>
  <c r="P912" i="9"/>
  <c r="T911" i="9" a="1"/>
  <c r="T911" i="9" s="1"/>
  <c r="S911" i="9"/>
  <c r="R911" i="9"/>
  <c r="Q911" i="9"/>
  <c r="P911" i="9"/>
  <c r="S910" i="9"/>
  <c r="T910" i="9" s="1" a="1"/>
  <c r="T910" i="9" s="1"/>
  <c r="R910" i="9"/>
  <c r="Q910" i="9"/>
  <c r="P910" i="9"/>
  <c r="S909" i="9"/>
  <c r="R909" i="9"/>
  <c r="Q909" i="9"/>
  <c r="P909" i="9"/>
  <c r="S908" i="9"/>
  <c r="R908" i="9"/>
  <c r="Q908" i="9"/>
  <c r="P908" i="9"/>
  <c r="T908" i="9" s="1" a="1"/>
  <c r="T908" i="9" s="1"/>
  <c r="S907" i="9"/>
  <c r="R907" i="9"/>
  <c r="Q907" i="9"/>
  <c r="P907" i="9"/>
  <c r="T907" i="9" s="1" a="1"/>
  <c r="T907" i="9" s="1"/>
  <c r="T906" i="9" a="1"/>
  <c r="T906" i="9" s="1"/>
  <c r="S906" i="9"/>
  <c r="R906" i="9"/>
  <c r="Q906" i="9"/>
  <c r="P906" i="9"/>
  <c r="S905" i="9"/>
  <c r="R905" i="9"/>
  <c r="Q905" i="9"/>
  <c r="T905" i="9" s="1" a="1"/>
  <c r="T905" i="9" s="1"/>
  <c r="P905" i="9"/>
  <c r="S904" i="9"/>
  <c r="R904" i="9"/>
  <c r="Q904" i="9"/>
  <c r="P904" i="9"/>
  <c r="T904" i="9" s="1" a="1"/>
  <c r="T904" i="9" s="1"/>
  <c r="T903" i="9" a="1"/>
  <c r="T903" i="9" s="1"/>
  <c r="S903" i="9"/>
  <c r="R903" i="9"/>
  <c r="Q903" i="9"/>
  <c r="P903" i="9"/>
  <c r="S902" i="9"/>
  <c r="T902" i="9" s="1" a="1"/>
  <c r="T902" i="9" s="1"/>
  <c r="R902" i="9"/>
  <c r="Q902" i="9"/>
  <c r="P902" i="9"/>
  <c r="S901" i="9"/>
  <c r="R901" i="9"/>
  <c r="Q901" i="9"/>
  <c r="P901" i="9"/>
  <c r="T901" i="9" s="1" a="1"/>
  <c r="T901" i="9" s="1"/>
  <c r="S900" i="9"/>
  <c r="R900" i="9"/>
  <c r="Q900" i="9"/>
  <c r="P900" i="9"/>
  <c r="T900" i="9" s="1" a="1"/>
  <c r="T900" i="9" s="1"/>
  <c r="S899" i="9"/>
  <c r="R899" i="9"/>
  <c r="Q899" i="9"/>
  <c r="P899" i="9"/>
  <c r="T899" i="9" s="1" a="1"/>
  <c r="T899" i="9" s="1"/>
  <c r="T898" i="9" a="1"/>
  <c r="T898" i="9" s="1"/>
  <c r="S898" i="9"/>
  <c r="R898" i="9"/>
  <c r="Q898" i="9"/>
  <c r="P898" i="9"/>
  <c r="S897" i="9"/>
  <c r="R897" i="9"/>
  <c r="Q897" i="9"/>
  <c r="T897" i="9" s="1" a="1"/>
  <c r="T897" i="9" s="1"/>
  <c r="P897" i="9"/>
  <c r="S896" i="9"/>
  <c r="R896" i="9"/>
  <c r="Q896" i="9"/>
  <c r="P896" i="9"/>
  <c r="T896" i="9" s="1" a="1"/>
  <c r="T896" i="9" s="1"/>
  <c r="T895" i="9" a="1"/>
  <c r="T895" i="9" s="1"/>
  <c r="S895" i="9"/>
  <c r="R895" i="9"/>
  <c r="Q895" i="9"/>
  <c r="P895" i="9"/>
  <c r="S894" i="9"/>
  <c r="T894" i="9" s="1" a="1"/>
  <c r="T894" i="9" s="1"/>
  <c r="R894" i="9"/>
  <c r="Q894" i="9"/>
  <c r="P894" i="9"/>
  <c r="S893" i="9"/>
  <c r="R893" i="9"/>
  <c r="Q893" i="9"/>
  <c r="P893" i="9"/>
  <c r="S892" i="9"/>
  <c r="R892" i="9"/>
  <c r="Q892" i="9"/>
  <c r="P892" i="9"/>
  <c r="T892" i="9" s="1" a="1"/>
  <c r="T892" i="9" s="1"/>
  <c r="S891" i="9"/>
  <c r="R891" i="9"/>
  <c r="Q891" i="9"/>
  <c r="P891" i="9"/>
  <c r="T891" i="9" s="1" a="1"/>
  <c r="T891" i="9" s="1"/>
  <c r="T890" i="9" a="1"/>
  <c r="T890" i="9" s="1"/>
  <c r="S890" i="9"/>
  <c r="R890" i="9"/>
  <c r="Q890" i="9"/>
  <c r="P890" i="9"/>
  <c r="S889" i="9"/>
  <c r="R889" i="9"/>
  <c r="Q889" i="9"/>
  <c r="T889" i="9" s="1" a="1"/>
  <c r="T889" i="9" s="1"/>
  <c r="P889" i="9"/>
  <c r="S888" i="9"/>
  <c r="R888" i="9"/>
  <c r="Q888" i="9"/>
  <c r="P888" i="9"/>
  <c r="T888" i="9" s="1" a="1"/>
  <c r="T888" i="9" s="1"/>
  <c r="T887" i="9" a="1"/>
  <c r="T887" i="9" s="1"/>
  <c r="S887" i="9"/>
  <c r="R887" i="9"/>
  <c r="Q887" i="9"/>
  <c r="P887" i="9"/>
  <c r="S886" i="9"/>
  <c r="T886" i="9" s="1" a="1"/>
  <c r="T886" i="9" s="1"/>
  <c r="R886" i="9"/>
  <c r="Q886" i="9"/>
  <c r="P886" i="9"/>
  <c r="S885" i="9"/>
  <c r="R885" i="9"/>
  <c r="Q885" i="9"/>
  <c r="P885" i="9"/>
  <c r="T885" i="9" s="1" a="1"/>
  <c r="T885" i="9" s="1"/>
  <c r="S884" i="9"/>
  <c r="R884" i="9"/>
  <c r="Q884" i="9"/>
  <c r="P884" i="9"/>
  <c r="T884" i="9" s="1" a="1"/>
  <c r="T884" i="9" s="1"/>
  <c r="S883" i="9"/>
  <c r="R883" i="9"/>
  <c r="Q883" i="9"/>
  <c r="P883" i="9"/>
  <c r="T883" i="9" s="1" a="1"/>
  <c r="T883" i="9" s="1"/>
  <c r="T882" i="9"/>
  <c r="T882" i="9" a="1"/>
  <c r="S882" i="9"/>
  <c r="R882" i="9"/>
  <c r="Q882" i="9"/>
  <c r="P882" i="9"/>
  <c r="S881" i="9"/>
  <c r="R881" i="9"/>
  <c r="Q881" i="9"/>
  <c r="T881" i="9" s="1" a="1"/>
  <c r="T881" i="9" s="1"/>
  <c r="P881" i="9"/>
  <c r="S880" i="9"/>
  <c r="R880" i="9"/>
  <c r="Q880" i="9"/>
  <c r="P880" i="9"/>
  <c r="T879" i="9" a="1"/>
  <c r="T879" i="9" s="1"/>
  <c r="S879" i="9"/>
  <c r="R879" i="9"/>
  <c r="Q879" i="9"/>
  <c r="P879" i="9"/>
  <c r="S878" i="9"/>
  <c r="T878" i="9" s="1" a="1"/>
  <c r="T878" i="9" s="1"/>
  <c r="R878" i="9"/>
  <c r="Q878" i="9"/>
  <c r="P878" i="9"/>
  <c r="S877" i="9"/>
  <c r="R877" i="9"/>
  <c r="Q877" i="9"/>
  <c r="P877" i="9"/>
  <c r="T877" i="9" s="1" a="1"/>
  <c r="T877" i="9" s="1"/>
  <c r="S876" i="9"/>
  <c r="R876" i="9"/>
  <c r="Q876" i="9"/>
  <c r="P876" i="9"/>
  <c r="T876" i="9" s="1" a="1"/>
  <c r="T876" i="9" s="1"/>
  <c r="S875" i="9"/>
  <c r="R875" i="9"/>
  <c r="Q875" i="9"/>
  <c r="P875" i="9"/>
  <c r="T875" i="9" s="1" a="1"/>
  <c r="T875" i="9" s="1"/>
  <c r="T874" i="9" a="1"/>
  <c r="T874" i="9" s="1"/>
  <c r="S874" i="9"/>
  <c r="R874" i="9"/>
  <c r="Q874" i="9"/>
  <c r="P874" i="9"/>
  <c r="S873" i="9"/>
  <c r="R873" i="9"/>
  <c r="Q873" i="9"/>
  <c r="T873" i="9" s="1" a="1"/>
  <c r="T873" i="9" s="1"/>
  <c r="P873" i="9"/>
  <c r="S872" i="9"/>
  <c r="R872" i="9"/>
  <c r="Q872" i="9"/>
  <c r="P872" i="9"/>
  <c r="T872" i="9" s="1" a="1"/>
  <c r="T872" i="9" s="1"/>
  <c r="T871" i="9" a="1"/>
  <c r="T871" i="9" s="1"/>
  <c r="S871" i="9"/>
  <c r="R871" i="9"/>
  <c r="Q871" i="9"/>
  <c r="P871" i="9"/>
  <c r="S870" i="9"/>
  <c r="T870" i="9" s="1" a="1"/>
  <c r="T870" i="9" s="1"/>
  <c r="R870" i="9"/>
  <c r="Q870" i="9"/>
  <c r="P870" i="9"/>
  <c r="S869" i="9"/>
  <c r="R869" i="9"/>
  <c r="Q869" i="9"/>
  <c r="P869" i="9"/>
  <c r="S868" i="9"/>
  <c r="R868" i="9"/>
  <c r="Q868" i="9"/>
  <c r="P868" i="9"/>
  <c r="T868" i="9" s="1" a="1"/>
  <c r="T868" i="9" s="1"/>
  <c r="T867" i="9"/>
  <c r="S867" i="9"/>
  <c r="R867" i="9"/>
  <c r="Q867" i="9"/>
  <c r="P867" i="9"/>
  <c r="T867" i="9" s="1" a="1"/>
  <c r="T866" i="9" a="1"/>
  <c r="T866" i="9" s="1"/>
  <c r="S866" i="9"/>
  <c r="R866" i="9"/>
  <c r="Q866" i="9"/>
  <c r="P866" i="9"/>
  <c r="S865" i="9"/>
  <c r="R865" i="9"/>
  <c r="Q865" i="9"/>
  <c r="T865" i="9" s="1" a="1"/>
  <c r="T865" i="9" s="1"/>
  <c r="P865" i="9"/>
  <c r="S864" i="9"/>
  <c r="R864" i="9"/>
  <c r="Q864" i="9"/>
  <c r="P864" i="9"/>
  <c r="T864" i="9" s="1" a="1"/>
  <c r="T864" i="9" s="1"/>
  <c r="T863" i="9" a="1"/>
  <c r="T863" i="9" s="1"/>
  <c r="S863" i="9"/>
  <c r="R863" i="9"/>
  <c r="Q863" i="9"/>
  <c r="P863" i="9"/>
  <c r="S862" i="9"/>
  <c r="T862" i="9" s="1" a="1"/>
  <c r="T862" i="9" s="1"/>
  <c r="R862" i="9"/>
  <c r="Q862" i="9"/>
  <c r="P862" i="9"/>
  <c r="S861" i="9"/>
  <c r="R861" i="9"/>
  <c r="Q861" i="9"/>
  <c r="P861" i="9"/>
  <c r="T861" i="9" s="1" a="1"/>
  <c r="T861" i="9" s="1"/>
  <c r="S860" i="9"/>
  <c r="R860" i="9"/>
  <c r="Q860" i="9"/>
  <c r="P860" i="9"/>
  <c r="T860" i="9" s="1" a="1"/>
  <c r="T860" i="9" s="1"/>
  <c r="S859" i="9"/>
  <c r="R859" i="9"/>
  <c r="Q859" i="9"/>
  <c r="P859" i="9"/>
  <c r="T859" i="9" s="1" a="1"/>
  <c r="T859" i="9" s="1"/>
  <c r="S858" i="9"/>
  <c r="R858" i="9"/>
  <c r="T858" i="9" s="1" a="1"/>
  <c r="T858" i="9" s="1"/>
  <c r="Q858" i="9"/>
  <c r="P858" i="9"/>
  <c r="S857" i="9"/>
  <c r="R857" i="9"/>
  <c r="Q857" i="9"/>
  <c r="T857" i="9" s="1" a="1"/>
  <c r="T857" i="9" s="1"/>
  <c r="P857" i="9"/>
  <c r="S856" i="9"/>
  <c r="R856" i="9"/>
  <c r="Q856" i="9"/>
  <c r="P856" i="9"/>
  <c r="T855" i="9" a="1"/>
  <c r="T855" i="9" s="1"/>
  <c r="S855" i="9"/>
  <c r="R855" i="9"/>
  <c r="Q855" i="9"/>
  <c r="P855" i="9"/>
  <c r="S854" i="9"/>
  <c r="T854" i="9" s="1" a="1"/>
  <c r="T854" i="9" s="1"/>
  <c r="R854" i="9"/>
  <c r="Q854" i="9"/>
  <c r="P854" i="9"/>
  <c r="S853" i="9"/>
  <c r="R853" i="9"/>
  <c r="Q853" i="9"/>
  <c r="P853" i="9"/>
  <c r="S852" i="9"/>
  <c r="R852" i="9"/>
  <c r="Q852" i="9"/>
  <c r="P852" i="9"/>
  <c r="T852" i="9" s="1" a="1"/>
  <c r="T852" i="9" s="1"/>
  <c r="T851" i="9"/>
  <c r="S851" i="9"/>
  <c r="R851" i="9"/>
  <c r="Q851" i="9"/>
  <c r="P851" i="9"/>
  <c r="T851" i="9" s="1" a="1"/>
  <c r="S850" i="9"/>
  <c r="R850" i="9"/>
  <c r="T850" i="9" s="1" a="1"/>
  <c r="T850" i="9" s="1"/>
  <c r="Q850" i="9"/>
  <c r="P850" i="9"/>
  <c r="S849" i="9"/>
  <c r="R849" i="9"/>
  <c r="Q849" i="9"/>
  <c r="T849" i="9" s="1" a="1"/>
  <c r="T849" i="9" s="1"/>
  <c r="P849" i="9"/>
  <c r="S848" i="9"/>
  <c r="R848" i="9"/>
  <c r="Q848" i="9"/>
  <c r="P848" i="9"/>
  <c r="T847" i="9" a="1"/>
  <c r="T847" i="9" s="1"/>
  <c r="S847" i="9"/>
  <c r="R847" i="9"/>
  <c r="Q847" i="9"/>
  <c r="P847" i="9"/>
  <c r="S846" i="9"/>
  <c r="T846" i="9" s="1" a="1"/>
  <c r="T846" i="9" s="1"/>
  <c r="R846" i="9"/>
  <c r="Q846" i="9"/>
  <c r="P846" i="9"/>
  <c r="S845" i="9"/>
  <c r="R845" i="9"/>
  <c r="Q845" i="9"/>
  <c r="P845" i="9"/>
  <c r="S844" i="9"/>
  <c r="R844" i="9"/>
  <c r="Q844" i="9"/>
  <c r="P844" i="9"/>
  <c r="T844" i="9" s="1" a="1"/>
  <c r="T844" i="9" s="1"/>
  <c r="S843" i="9"/>
  <c r="R843" i="9"/>
  <c r="Q843" i="9"/>
  <c r="P843" i="9"/>
  <c r="T843" i="9" s="1" a="1"/>
  <c r="T843" i="9" s="1"/>
  <c r="T842" i="9" a="1"/>
  <c r="T842" i="9" s="1"/>
  <c r="S842" i="9"/>
  <c r="R842" i="9"/>
  <c r="Q842" i="9"/>
  <c r="P842" i="9"/>
  <c r="S841" i="9"/>
  <c r="R841" i="9"/>
  <c r="Q841" i="9"/>
  <c r="T841" i="9" s="1" a="1"/>
  <c r="T841" i="9" s="1"/>
  <c r="P841" i="9"/>
  <c r="S840" i="9"/>
  <c r="R840" i="9"/>
  <c r="Q840" i="9"/>
  <c r="P840" i="9"/>
  <c r="T840" i="9" s="1" a="1"/>
  <c r="T840" i="9" s="1"/>
  <c r="T839" i="9" a="1"/>
  <c r="T839" i="9" s="1"/>
  <c r="S839" i="9"/>
  <c r="R839" i="9"/>
  <c r="Q839" i="9"/>
  <c r="P839" i="9"/>
  <c r="S838" i="9"/>
  <c r="T838" i="9" s="1" a="1"/>
  <c r="T838" i="9" s="1"/>
  <c r="R838" i="9"/>
  <c r="Q838" i="9"/>
  <c r="P838" i="9"/>
  <c r="S837" i="9"/>
  <c r="R837" i="9"/>
  <c r="Q837" i="9"/>
  <c r="P837" i="9"/>
  <c r="S836" i="9"/>
  <c r="R836" i="9"/>
  <c r="Q836" i="9"/>
  <c r="P836" i="9"/>
  <c r="T836" i="9" s="1" a="1"/>
  <c r="T836" i="9" s="1"/>
  <c r="T835" i="9"/>
  <c r="S835" i="9"/>
  <c r="R835" i="9"/>
  <c r="Q835" i="9"/>
  <c r="P835" i="9"/>
  <c r="T835" i="9" s="1" a="1"/>
  <c r="S834" i="9"/>
  <c r="R834" i="9"/>
  <c r="T834" i="9" s="1" a="1"/>
  <c r="T834" i="9" s="1"/>
  <c r="Q834" i="9"/>
  <c r="P834" i="9"/>
  <c r="S833" i="9"/>
  <c r="R833" i="9"/>
  <c r="Q833" i="9"/>
  <c r="T833" i="9" s="1" a="1"/>
  <c r="T833" i="9" s="1"/>
  <c r="P833" i="9"/>
  <c r="S832" i="9"/>
  <c r="R832" i="9"/>
  <c r="Q832" i="9"/>
  <c r="P832" i="9"/>
  <c r="T831" i="9" a="1"/>
  <c r="T831" i="9" s="1"/>
  <c r="S831" i="9"/>
  <c r="R831" i="9"/>
  <c r="Q831" i="9"/>
  <c r="P831" i="9"/>
  <c r="S830" i="9"/>
  <c r="T830" i="9" s="1" a="1"/>
  <c r="T830" i="9" s="1"/>
  <c r="R830" i="9"/>
  <c r="Q830" i="9"/>
  <c r="P830" i="9"/>
  <c r="S829" i="9"/>
  <c r="R829" i="9"/>
  <c r="Q829" i="9"/>
  <c r="P829" i="9"/>
  <c r="T829" i="9" s="1" a="1"/>
  <c r="T829" i="9" s="1"/>
  <c r="S828" i="9"/>
  <c r="R828" i="9"/>
  <c r="Q828" i="9"/>
  <c r="P828" i="9"/>
  <c r="T828" i="9" s="1" a="1"/>
  <c r="T828" i="9" s="1"/>
  <c r="S827" i="9"/>
  <c r="R827" i="9"/>
  <c r="Q827" i="9"/>
  <c r="P827" i="9"/>
  <c r="T827" i="9" s="1" a="1"/>
  <c r="T827" i="9" s="1"/>
  <c r="S826" i="9"/>
  <c r="R826" i="9"/>
  <c r="T826" i="9" s="1" a="1"/>
  <c r="T826" i="9" s="1"/>
  <c r="Q826" i="9"/>
  <c r="P826" i="9"/>
  <c r="S825" i="9"/>
  <c r="R825" i="9"/>
  <c r="Q825" i="9"/>
  <c r="T825" i="9" s="1" a="1"/>
  <c r="T825" i="9" s="1"/>
  <c r="P825" i="9"/>
  <c r="S824" i="9"/>
  <c r="R824" i="9"/>
  <c r="Q824" i="9"/>
  <c r="P824" i="9"/>
  <c r="T823" i="9" a="1"/>
  <c r="T823" i="9" s="1"/>
  <c r="S823" i="9"/>
  <c r="R823" i="9"/>
  <c r="Q823" i="9"/>
  <c r="P823" i="9"/>
  <c r="T822" i="9" a="1"/>
  <c r="T822" i="9" s="1"/>
  <c r="S822" i="9"/>
  <c r="R822" i="9"/>
  <c r="Q822" i="9"/>
  <c r="P822" i="9"/>
  <c r="S821" i="9"/>
  <c r="R821" i="9"/>
  <c r="Q821" i="9"/>
  <c r="P821" i="9"/>
  <c r="T821" i="9" s="1" a="1"/>
  <c r="T821" i="9" s="1"/>
  <c r="S820" i="9"/>
  <c r="R820" i="9"/>
  <c r="Q820" i="9"/>
  <c r="P820" i="9"/>
  <c r="T820" i="9" s="1" a="1"/>
  <c r="T820" i="9" s="1"/>
  <c r="S819" i="9"/>
  <c r="R819" i="9"/>
  <c r="Q819" i="9"/>
  <c r="P819" i="9"/>
  <c r="T819" i="9" s="1" a="1"/>
  <c r="T819" i="9" s="1"/>
  <c r="S818" i="9"/>
  <c r="R818" i="9"/>
  <c r="T818" i="9" s="1" a="1"/>
  <c r="T818" i="9" s="1"/>
  <c r="Q818" i="9"/>
  <c r="P818" i="9"/>
  <c r="S817" i="9"/>
  <c r="R817" i="9"/>
  <c r="Q817" i="9"/>
  <c r="T817" i="9" s="1" a="1"/>
  <c r="T817" i="9" s="1"/>
  <c r="P817" i="9"/>
  <c r="S816" i="9"/>
  <c r="R816" i="9"/>
  <c r="Q816" i="9"/>
  <c r="P816" i="9"/>
  <c r="T816" i="9" s="1" a="1"/>
  <c r="T816" i="9" s="1"/>
  <c r="T815" i="9" a="1"/>
  <c r="T815" i="9" s="1"/>
  <c r="S815" i="9"/>
  <c r="R815" i="9"/>
  <c r="Q815" i="9"/>
  <c r="P815" i="9"/>
  <c r="T814" i="9" a="1"/>
  <c r="T814" i="9" s="1"/>
  <c r="S814" i="9"/>
  <c r="R814" i="9"/>
  <c r="Q814" i="9"/>
  <c r="P814" i="9"/>
  <c r="S813" i="9"/>
  <c r="R813" i="9"/>
  <c r="Q813" i="9"/>
  <c r="P813" i="9"/>
  <c r="T813" i="9" s="1" a="1"/>
  <c r="T813" i="9" s="1"/>
  <c r="S812" i="9"/>
  <c r="R812" i="9"/>
  <c r="Q812" i="9"/>
  <c r="P812" i="9"/>
  <c r="T812" i="9" s="1" a="1"/>
  <c r="T812" i="9" s="1"/>
  <c r="S811" i="9"/>
  <c r="R811" i="9"/>
  <c r="Q811" i="9"/>
  <c r="P811" i="9"/>
  <c r="T811" i="9" s="1" a="1"/>
  <c r="T811" i="9" s="1"/>
  <c r="T810" i="9" a="1"/>
  <c r="T810" i="9" s="1"/>
  <c r="S810" i="9"/>
  <c r="R810" i="9"/>
  <c r="Q810" i="9"/>
  <c r="P810" i="9"/>
  <c r="S809" i="9"/>
  <c r="R809" i="9"/>
  <c r="Q809" i="9"/>
  <c r="T809" i="9" s="1" a="1"/>
  <c r="T809" i="9" s="1"/>
  <c r="P809" i="9"/>
  <c r="S808" i="9"/>
  <c r="R808" i="9"/>
  <c r="Q808" i="9"/>
  <c r="P808" i="9"/>
  <c r="T808" i="9" s="1" a="1"/>
  <c r="T808" i="9" s="1"/>
  <c r="T807" i="9"/>
  <c r="T807" i="9" a="1"/>
  <c r="S807" i="9"/>
  <c r="R807" i="9"/>
  <c r="Q807" i="9"/>
  <c r="P807" i="9"/>
  <c r="S806" i="9"/>
  <c r="T806" i="9" s="1" a="1"/>
  <c r="T806" i="9" s="1"/>
  <c r="R806" i="9"/>
  <c r="Q806" i="9"/>
  <c r="P806" i="9"/>
  <c r="S805" i="9"/>
  <c r="R805" i="9"/>
  <c r="Q805" i="9"/>
  <c r="P805" i="9"/>
  <c r="T805" i="9" s="1" a="1"/>
  <c r="T805" i="9" s="1"/>
  <c r="S804" i="9"/>
  <c r="R804" i="9"/>
  <c r="Q804" i="9"/>
  <c r="P804" i="9"/>
  <c r="T804" i="9" s="1" a="1"/>
  <c r="T804" i="9" s="1"/>
  <c r="S803" i="9"/>
  <c r="R803" i="9"/>
  <c r="Q803" i="9"/>
  <c r="P803" i="9"/>
  <c r="T803" i="9" s="1" a="1"/>
  <c r="T803" i="9" s="1"/>
  <c r="S802" i="9"/>
  <c r="R802" i="9"/>
  <c r="T802" i="9" s="1" a="1"/>
  <c r="T802" i="9" s="1"/>
  <c r="Q802" i="9"/>
  <c r="P802" i="9"/>
  <c r="S801" i="9"/>
  <c r="R801" i="9"/>
  <c r="Q801" i="9"/>
  <c r="P801" i="9"/>
  <c r="T800" i="9" a="1"/>
  <c r="T800" i="9" s="1"/>
  <c r="S800" i="9"/>
  <c r="R800" i="9"/>
  <c r="Q800" i="9"/>
  <c r="P800" i="9"/>
  <c r="T799" i="9"/>
  <c r="T799" i="9" a="1"/>
  <c r="S799" i="9"/>
  <c r="R799" i="9"/>
  <c r="Q799" i="9"/>
  <c r="P799" i="9"/>
  <c r="S798" i="9"/>
  <c r="R798" i="9"/>
  <c r="Q798" i="9"/>
  <c r="P798" i="9"/>
  <c r="T798" i="9" s="1" a="1"/>
  <c r="T798" i="9" s="1"/>
  <c r="T797" i="9" a="1"/>
  <c r="T797" i="9" s="1"/>
  <c r="S797" i="9"/>
  <c r="R797" i="9"/>
  <c r="Q797" i="9"/>
  <c r="P797" i="9"/>
  <c r="S796" i="9"/>
  <c r="R796" i="9"/>
  <c r="Q796" i="9"/>
  <c r="P796" i="9"/>
  <c r="T796" i="9" s="1" a="1"/>
  <c r="T796" i="9" s="1"/>
  <c r="S795" i="9"/>
  <c r="R795" i="9"/>
  <c r="Q795" i="9"/>
  <c r="P795" i="9"/>
  <c r="T794" i="9" a="1"/>
  <c r="T794" i="9" s="1"/>
  <c r="S794" i="9"/>
  <c r="R794" i="9"/>
  <c r="Q794" i="9"/>
  <c r="P794" i="9"/>
  <c r="S793" i="9"/>
  <c r="R793" i="9"/>
  <c r="Q793" i="9"/>
  <c r="T793" i="9" s="1" a="1"/>
  <c r="T793" i="9" s="1"/>
  <c r="P793" i="9"/>
  <c r="S792" i="9"/>
  <c r="R792" i="9"/>
  <c r="Q792" i="9"/>
  <c r="T792" i="9" s="1" a="1"/>
  <c r="T792" i="9" s="1"/>
  <c r="P792" i="9"/>
  <c r="T791" i="9" a="1"/>
  <c r="T791" i="9" s="1"/>
  <c r="S791" i="9"/>
  <c r="R791" i="9"/>
  <c r="Q791" i="9"/>
  <c r="P791" i="9"/>
  <c r="S790" i="9"/>
  <c r="T790" i="9" s="1" a="1"/>
  <c r="T790" i="9" s="1"/>
  <c r="R790" i="9"/>
  <c r="Q790" i="9"/>
  <c r="P790" i="9"/>
  <c r="S789" i="9"/>
  <c r="R789" i="9"/>
  <c r="Q789" i="9"/>
  <c r="T789" i="9" s="1" a="1"/>
  <c r="T789" i="9" s="1"/>
  <c r="P789" i="9"/>
  <c r="T788" i="9" a="1"/>
  <c r="T788" i="9" s="1"/>
  <c r="S788" i="9"/>
  <c r="R788" i="9"/>
  <c r="Q788" i="9"/>
  <c r="P788" i="9"/>
  <c r="S787" i="9"/>
  <c r="R787" i="9"/>
  <c r="Q787" i="9"/>
  <c r="P787" i="9"/>
  <c r="T787" i="9" s="1" a="1"/>
  <c r="T787" i="9" s="1"/>
  <c r="T786" i="9" a="1"/>
  <c r="T786" i="9" s="1"/>
  <c r="S786" i="9"/>
  <c r="R786" i="9"/>
  <c r="Q786" i="9"/>
  <c r="P786" i="9"/>
  <c r="S785" i="9"/>
  <c r="R785" i="9"/>
  <c r="Q785" i="9"/>
  <c r="T785" i="9" s="1" a="1"/>
  <c r="T785" i="9" s="1"/>
  <c r="P785" i="9"/>
  <c r="S784" i="9"/>
  <c r="R784" i="9"/>
  <c r="Q784" i="9"/>
  <c r="P784" i="9"/>
  <c r="T784" i="9" s="1" a="1"/>
  <c r="T784" i="9" s="1"/>
  <c r="S783" i="9"/>
  <c r="R783" i="9"/>
  <c r="T783" i="9" s="1" a="1"/>
  <c r="T783" i="9" s="1"/>
  <c r="Q783" i="9"/>
  <c r="P783" i="9"/>
  <c r="T782" i="9" a="1"/>
  <c r="T782" i="9" s="1"/>
  <c r="S782" i="9"/>
  <c r="R782" i="9"/>
  <c r="Q782" i="9"/>
  <c r="P782" i="9"/>
  <c r="S781" i="9"/>
  <c r="R781" i="9"/>
  <c r="Q781" i="9"/>
  <c r="P781" i="9"/>
  <c r="T781" i="9" s="1" a="1"/>
  <c r="T781" i="9" s="1"/>
  <c r="S780" i="9"/>
  <c r="R780" i="9"/>
  <c r="Q780" i="9"/>
  <c r="P780" i="9"/>
  <c r="T780" i="9" s="1" a="1"/>
  <c r="T780" i="9" s="1"/>
  <c r="S779" i="9"/>
  <c r="R779" i="9"/>
  <c r="Q779" i="9"/>
  <c r="P779" i="9"/>
  <c r="T779" i="9" s="1" a="1"/>
  <c r="T779" i="9" s="1"/>
  <c r="S778" i="9"/>
  <c r="R778" i="9"/>
  <c r="Q778" i="9"/>
  <c r="P778" i="9"/>
  <c r="T778" i="9" s="1" a="1"/>
  <c r="T778" i="9" s="1"/>
  <c r="S777" i="9"/>
  <c r="R777" i="9"/>
  <c r="T777" i="9" s="1" a="1"/>
  <c r="T777" i="9" s="1"/>
  <c r="Q777" i="9"/>
  <c r="P777" i="9"/>
  <c r="S776" i="9"/>
  <c r="R776" i="9"/>
  <c r="Q776" i="9"/>
  <c r="P776" i="9"/>
  <c r="T776" i="9" s="1" a="1"/>
  <c r="T776" i="9" s="1"/>
  <c r="S775" i="9"/>
  <c r="R775" i="9"/>
  <c r="Q775" i="9"/>
  <c r="P775" i="9"/>
  <c r="T775" i="9" s="1" a="1"/>
  <c r="T775" i="9" s="1"/>
  <c r="S774" i="9"/>
  <c r="R774" i="9"/>
  <c r="Q774" i="9"/>
  <c r="P774" i="9"/>
  <c r="T774" i="9" s="1" a="1"/>
  <c r="T774" i="9" s="1"/>
  <c r="S773" i="9"/>
  <c r="R773" i="9"/>
  <c r="Q773" i="9"/>
  <c r="P773" i="9"/>
  <c r="T773" i="9" s="1" a="1"/>
  <c r="T773" i="9" s="1"/>
  <c r="S772" i="9"/>
  <c r="R772" i="9"/>
  <c r="Q772" i="9"/>
  <c r="P772" i="9"/>
  <c r="T772" i="9" s="1" a="1"/>
  <c r="T772" i="9" s="1"/>
  <c r="T771" i="9"/>
  <c r="S771" i="9"/>
  <c r="R771" i="9"/>
  <c r="Q771" i="9"/>
  <c r="P771" i="9"/>
  <c r="T771" i="9" s="1" a="1"/>
  <c r="S770" i="9"/>
  <c r="R770" i="9"/>
  <c r="Q770" i="9"/>
  <c r="P770" i="9"/>
  <c r="T770" i="9" s="1" a="1"/>
  <c r="T770" i="9" s="1"/>
  <c r="S769" i="9"/>
  <c r="R769" i="9"/>
  <c r="Q769" i="9"/>
  <c r="T769" i="9" s="1" a="1"/>
  <c r="T769" i="9" s="1"/>
  <c r="P769" i="9"/>
  <c r="S768" i="9"/>
  <c r="R768" i="9"/>
  <c r="Q768" i="9"/>
  <c r="T768" i="9" s="1" a="1"/>
  <c r="T768" i="9" s="1"/>
  <c r="P768" i="9"/>
  <c r="S767" i="9"/>
  <c r="R767" i="9"/>
  <c r="Q767" i="9"/>
  <c r="P767" i="9"/>
  <c r="T767" i="9" s="1" a="1"/>
  <c r="T767" i="9" s="1"/>
  <c r="S766" i="9"/>
  <c r="R766" i="9"/>
  <c r="Q766" i="9"/>
  <c r="P766" i="9"/>
  <c r="T766" i="9" s="1" a="1"/>
  <c r="T766" i="9" s="1"/>
  <c r="S765" i="9"/>
  <c r="R765" i="9"/>
  <c r="Q765" i="9"/>
  <c r="T765" i="9" s="1" a="1"/>
  <c r="T765" i="9" s="1"/>
  <c r="P765" i="9"/>
  <c r="S764" i="9"/>
  <c r="R764" i="9"/>
  <c r="Q764" i="9"/>
  <c r="P764" i="9"/>
  <c r="T764" i="9" s="1" a="1"/>
  <c r="T764" i="9" s="1"/>
  <c r="T763" i="9"/>
  <c r="S763" i="9"/>
  <c r="R763" i="9"/>
  <c r="Q763" i="9"/>
  <c r="P763" i="9"/>
  <c r="T763" i="9" s="1" a="1"/>
  <c r="S762" i="9"/>
  <c r="R762" i="9"/>
  <c r="Q762" i="9"/>
  <c r="P762" i="9"/>
  <c r="T762" i="9" s="1" a="1"/>
  <c r="T762" i="9" s="1"/>
  <c r="S761" i="9"/>
  <c r="R761" i="9"/>
  <c r="T761" i="9" s="1" a="1"/>
  <c r="T761" i="9" s="1"/>
  <c r="Q761" i="9"/>
  <c r="P761" i="9"/>
  <c r="T760" i="9" a="1"/>
  <c r="T760" i="9" s="1"/>
  <c r="S760" i="9"/>
  <c r="R760" i="9"/>
  <c r="Q760" i="9"/>
  <c r="P760" i="9"/>
  <c r="S759" i="9"/>
  <c r="R759" i="9"/>
  <c r="Q759" i="9"/>
  <c r="P759" i="9"/>
  <c r="T759" i="9" s="1" a="1"/>
  <c r="T759" i="9" s="1"/>
  <c r="S758" i="9"/>
  <c r="R758" i="9"/>
  <c r="Q758" i="9"/>
  <c r="P758" i="9"/>
  <c r="T758" i="9" s="1" a="1"/>
  <c r="T758" i="9" s="1"/>
  <c r="T757" i="9" a="1"/>
  <c r="T757" i="9" s="1"/>
  <c r="S757" i="9"/>
  <c r="R757" i="9"/>
  <c r="Q757" i="9"/>
  <c r="P757" i="9"/>
  <c r="S756" i="9"/>
  <c r="R756" i="9"/>
  <c r="Q756" i="9"/>
  <c r="P756" i="9"/>
  <c r="T756" i="9" s="1" a="1"/>
  <c r="T756" i="9" s="1"/>
  <c r="S755" i="9"/>
  <c r="R755" i="9"/>
  <c r="Q755" i="9"/>
  <c r="P755" i="9"/>
  <c r="T754" i="9" a="1"/>
  <c r="T754" i="9" s="1"/>
  <c r="S754" i="9"/>
  <c r="R754" i="9"/>
  <c r="Q754" i="9"/>
  <c r="P754" i="9"/>
  <c r="S753" i="9"/>
  <c r="R753" i="9"/>
  <c r="T753" i="9" s="1" a="1"/>
  <c r="T753" i="9" s="1"/>
  <c r="Q753" i="9"/>
  <c r="P753" i="9"/>
  <c r="S752" i="9"/>
  <c r="R752" i="9"/>
  <c r="Q752" i="9"/>
  <c r="P752" i="9"/>
  <c r="T752" i="9" s="1" a="1"/>
  <c r="T752" i="9" s="1"/>
  <c r="T751" i="9" a="1"/>
  <c r="T751" i="9" s="1"/>
  <c r="S751" i="9"/>
  <c r="R751" i="9"/>
  <c r="Q751" i="9"/>
  <c r="P751" i="9"/>
  <c r="S750" i="9"/>
  <c r="R750" i="9"/>
  <c r="Q750" i="9"/>
  <c r="P750" i="9"/>
  <c r="T750" i="9" s="1" a="1"/>
  <c r="T750" i="9" s="1"/>
  <c r="S749" i="9"/>
  <c r="R749" i="9"/>
  <c r="Q749" i="9"/>
  <c r="P749" i="9"/>
  <c r="T749" i="9" s="1" a="1"/>
  <c r="T749" i="9" s="1"/>
  <c r="T748" i="9" a="1"/>
  <c r="T748" i="9" s="1"/>
  <c r="S748" i="9"/>
  <c r="R748" i="9"/>
  <c r="Q748" i="9"/>
  <c r="P748" i="9"/>
  <c r="S747" i="9"/>
  <c r="R747" i="9"/>
  <c r="Q747" i="9"/>
  <c r="P747" i="9"/>
  <c r="T747" i="9" s="1" a="1"/>
  <c r="T747" i="9" s="1"/>
  <c r="S746" i="9"/>
  <c r="R746" i="9"/>
  <c r="Q746" i="9"/>
  <c r="P746" i="9"/>
  <c r="T746" i="9" s="1" a="1"/>
  <c r="T746" i="9" s="1"/>
  <c r="T745" i="9" a="1"/>
  <c r="T745" i="9" s="1"/>
  <c r="S745" i="9"/>
  <c r="R745" i="9"/>
  <c r="Q745" i="9"/>
  <c r="P745" i="9"/>
  <c r="S744" i="9"/>
  <c r="R744" i="9"/>
  <c r="Q744" i="9"/>
  <c r="P744" i="9"/>
  <c r="T744" i="9" s="1" a="1"/>
  <c r="T744" i="9" s="1"/>
  <c r="S743" i="9"/>
  <c r="R743" i="9"/>
  <c r="Q743" i="9"/>
  <c r="P743" i="9"/>
  <c r="T743" i="9" s="1" a="1"/>
  <c r="T743" i="9" s="1"/>
  <c r="T742" i="9" a="1"/>
  <c r="T742" i="9" s="1"/>
  <c r="S742" i="9"/>
  <c r="R742" i="9"/>
  <c r="Q742" i="9"/>
  <c r="P742" i="9"/>
  <c r="S741" i="9"/>
  <c r="R741" i="9"/>
  <c r="Q741" i="9"/>
  <c r="P741" i="9"/>
  <c r="T741" i="9" s="1" a="1"/>
  <c r="T741" i="9" s="1"/>
  <c r="S740" i="9"/>
  <c r="R740" i="9"/>
  <c r="Q740" i="9"/>
  <c r="P740" i="9"/>
  <c r="T740" i="9" s="1" a="1"/>
  <c r="T740" i="9" s="1"/>
  <c r="T739" i="9" a="1"/>
  <c r="T739" i="9" s="1"/>
  <c r="S739" i="9"/>
  <c r="R739" i="9"/>
  <c r="Q739" i="9"/>
  <c r="P739" i="9"/>
  <c r="S738" i="9"/>
  <c r="R738" i="9"/>
  <c r="Q738" i="9"/>
  <c r="P738" i="9"/>
  <c r="T738" i="9" s="1" a="1"/>
  <c r="T738" i="9" s="1"/>
  <c r="S737" i="9"/>
  <c r="R737" i="9"/>
  <c r="Q737" i="9"/>
  <c r="P737" i="9"/>
  <c r="T737" i="9" s="1" a="1"/>
  <c r="T737" i="9" s="1"/>
  <c r="T736" i="9" a="1"/>
  <c r="T736" i="9" s="1"/>
  <c r="S736" i="9"/>
  <c r="R736" i="9"/>
  <c r="Q736" i="9"/>
  <c r="P736" i="9"/>
  <c r="S735" i="9"/>
  <c r="R735" i="9"/>
  <c r="Q735" i="9"/>
  <c r="P735" i="9"/>
  <c r="T735" i="9" s="1" a="1"/>
  <c r="T735" i="9" s="1"/>
  <c r="S734" i="9"/>
  <c r="R734" i="9"/>
  <c r="Q734" i="9"/>
  <c r="P734" i="9"/>
  <c r="T734" i="9" s="1" a="1"/>
  <c r="T734" i="9" s="1"/>
  <c r="S733" i="9"/>
  <c r="R733" i="9"/>
  <c r="Q733" i="9"/>
  <c r="P733" i="9"/>
  <c r="T733" i="9" s="1" a="1"/>
  <c r="T733" i="9" s="1"/>
  <c r="S732" i="9"/>
  <c r="R732" i="9"/>
  <c r="Q732" i="9"/>
  <c r="P732" i="9"/>
  <c r="T732" i="9" s="1" a="1"/>
  <c r="T732" i="9" s="1"/>
  <c r="S731" i="9"/>
  <c r="R731" i="9"/>
  <c r="Q731" i="9"/>
  <c r="P731" i="9"/>
  <c r="T731" i="9" s="1" a="1"/>
  <c r="T731" i="9" s="1"/>
  <c r="S730" i="9"/>
  <c r="R730" i="9"/>
  <c r="T730" i="9" s="1" a="1"/>
  <c r="T730" i="9" s="1"/>
  <c r="Q730" i="9"/>
  <c r="P730" i="9"/>
  <c r="S729" i="9"/>
  <c r="R729" i="9"/>
  <c r="Q729" i="9"/>
  <c r="P729" i="9"/>
  <c r="T729" i="9" s="1" a="1"/>
  <c r="T729" i="9" s="1"/>
  <c r="S728" i="9"/>
  <c r="R728" i="9"/>
  <c r="T728" i="9" s="1" a="1"/>
  <c r="T728" i="9" s="1"/>
  <c r="Q728" i="9"/>
  <c r="P728" i="9"/>
  <c r="S727" i="9"/>
  <c r="R727" i="9"/>
  <c r="Q727" i="9"/>
  <c r="T727" i="9" s="1" a="1"/>
  <c r="T727" i="9" s="1"/>
  <c r="P727" i="9"/>
  <c r="S726" i="9"/>
  <c r="R726" i="9"/>
  <c r="Q726" i="9"/>
  <c r="P726" i="9"/>
  <c r="T726" i="9" s="1" a="1"/>
  <c r="T726" i="9" s="1"/>
  <c r="S725" i="9"/>
  <c r="T725" i="9" s="1" a="1"/>
  <c r="T725" i="9" s="1"/>
  <c r="R725" i="9"/>
  <c r="Q725" i="9"/>
  <c r="P725" i="9"/>
  <c r="T724" i="9" a="1"/>
  <c r="T724" i="9" s="1"/>
  <c r="S724" i="9"/>
  <c r="R724" i="9"/>
  <c r="Q724" i="9"/>
  <c r="P724" i="9"/>
  <c r="S723" i="9"/>
  <c r="R723" i="9"/>
  <c r="Q723" i="9"/>
  <c r="P723" i="9"/>
  <c r="T723" i="9" s="1" a="1"/>
  <c r="T723" i="9" s="1"/>
  <c r="T722" i="9" a="1"/>
  <c r="T722" i="9" s="1"/>
  <c r="S722" i="9"/>
  <c r="R722" i="9"/>
  <c r="Q722" i="9"/>
  <c r="P722" i="9"/>
  <c r="S721" i="9"/>
  <c r="R721" i="9"/>
  <c r="Q721" i="9"/>
  <c r="P721" i="9"/>
  <c r="T721" i="9" s="1" a="1"/>
  <c r="T721" i="9" s="1"/>
  <c r="S720" i="9"/>
  <c r="R720" i="9"/>
  <c r="Q720" i="9"/>
  <c r="P720" i="9"/>
  <c r="T720" i="9" s="1" a="1"/>
  <c r="T720" i="9" s="1"/>
  <c r="S719" i="9"/>
  <c r="R719" i="9"/>
  <c r="T719" i="9" s="1" a="1"/>
  <c r="T719" i="9" s="1"/>
  <c r="Q719" i="9"/>
  <c r="P719" i="9"/>
  <c r="T718" i="9" a="1"/>
  <c r="T718" i="9" s="1"/>
  <c r="S718" i="9"/>
  <c r="R718" i="9"/>
  <c r="Q718" i="9"/>
  <c r="P718" i="9"/>
  <c r="S717" i="9"/>
  <c r="R717" i="9"/>
  <c r="Q717" i="9"/>
  <c r="T717" i="9" s="1" a="1"/>
  <c r="T717" i="9" s="1"/>
  <c r="P717" i="9"/>
  <c r="S716" i="9"/>
  <c r="R716" i="9"/>
  <c r="T716" i="9" s="1" a="1"/>
  <c r="T716" i="9" s="1"/>
  <c r="Q716" i="9"/>
  <c r="P716" i="9"/>
  <c r="S715" i="9"/>
  <c r="R715" i="9"/>
  <c r="Q715" i="9"/>
  <c r="P715" i="9"/>
  <c r="T715" i="9" s="1" a="1"/>
  <c r="T715" i="9" s="1"/>
  <c r="S714" i="9"/>
  <c r="R714" i="9"/>
  <c r="T714" i="9" s="1" a="1"/>
  <c r="T714" i="9" s="1"/>
  <c r="Q714" i="9"/>
  <c r="P714" i="9"/>
  <c r="S713" i="9"/>
  <c r="R713" i="9"/>
  <c r="Q713" i="9"/>
  <c r="T713" i="9" s="1" a="1"/>
  <c r="T713" i="9" s="1"/>
  <c r="P713" i="9"/>
  <c r="S712" i="9"/>
  <c r="R712" i="9"/>
  <c r="Q712" i="9"/>
  <c r="P712" i="9"/>
  <c r="T712" i="9" s="1" a="1"/>
  <c r="T712" i="9" s="1"/>
  <c r="T711" i="9" a="1"/>
  <c r="T711" i="9" s="1"/>
  <c r="S711" i="9"/>
  <c r="R711" i="9"/>
  <c r="Q711" i="9"/>
  <c r="P711" i="9"/>
  <c r="S710" i="9"/>
  <c r="R710" i="9"/>
  <c r="Q710" i="9"/>
  <c r="P710" i="9"/>
  <c r="T710" i="9" s="1" a="1"/>
  <c r="T710" i="9" s="1"/>
  <c r="S709" i="9"/>
  <c r="R709" i="9"/>
  <c r="Q709" i="9"/>
  <c r="P709" i="9"/>
  <c r="T709" i="9" s="1" a="1"/>
  <c r="T709" i="9" s="1"/>
  <c r="T708" i="9" a="1"/>
  <c r="T708" i="9" s="1"/>
  <c r="S708" i="9"/>
  <c r="R708" i="9"/>
  <c r="Q708" i="9"/>
  <c r="P708" i="9"/>
  <c r="S707" i="9"/>
  <c r="R707" i="9"/>
  <c r="Q707" i="9"/>
  <c r="T707" i="9" s="1" a="1"/>
  <c r="T707" i="9" s="1"/>
  <c r="P707" i="9"/>
  <c r="S706" i="9"/>
  <c r="R706" i="9"/>
  <c r="Q706" i="9"/>
  <c r="P706" i="9"/>
  <c r="T706" i="9" s="1" a="1"/>
  <c r="T706" i="9" s="1"/>
  <c r="S705" i="9"/>
  <c r="R705" i="9"/>
  <c r="Q705" i="9"/>
  <c r="P705" i="9"/>
  <c r="T705" i="9" s="1" a="1"/>
  <c r="T705" i="9" s="1"/>
  <c r="S704" i="9"/>
  <c r="R704" i="9"/>
  <c r="Q704" i="9"/>
  <c r="P704" i="9"/>
  <c r="T704" i="9" s="1" a="1"/>
  <c r="T704" i="9" s="1"/>
  <c r="S703" i="9"/>
  <c r="R703" i="9"/>
  <c r="T703" i="9" s="1" a="1"/>
  <c r="T703" i="9" s="1"/>
  <c r="Q703" i="9"/>
  <c r="P703" i="9"/>
  <c r="S702" i="9"/>
  <c r="R702" i="9"/>
  <c r="Q702" i="9"/>
  <c r="P702" i="9"/>
  <c r="T702" i="9" s="1" a="1"/>
  <c r="T702" i="9" s="1"/>
  <c r="S701" i="9"/>
  <c r="R701" i="9"/>
  <c r="Q701" i="9"/>
  <c r="P701" i="9"/>
  <c r="T701" i="9" s="1" a="1"/>
  <c r="T701" i="9" s="1"/>
  <c r="S700" i="9"/>
  <c r="R700" i="9"/>
  <c r="T700" i="9" s="1" a="1"/>
  <c r="T700" i="9" s="1"/>
  <c r="Q700" i="9"/>
  <c r="P700" i="9"/>
  <c r="T699" i="9" a="1"/>
  <c r="T699" i="9" s="1"/>
  <c r="S699" i="9"/>
  <c r="R699" i="9"/>
  <c r="Q699" i="9"/>
  <c r="P699" i="9"/>
  <c r="S698" i="9"/>
  <c r="R698" i="9"/>
  <c r="Q698" i="9"/>
  <c r="P698" i="9"/>
  <c r="T698" i="9" s="1" a="1"/>
  <c r="T698" i="9" s="1"/>
  <c r="T697" i="9" a="1"/>
  <c r="T697" i="9" s="1"/>
  <c r="S697" i="9"/>
  <c r="R697" i="9"/>
  <c r="Q697" i="9"/>
  <c r="P697" i="9"/>
  <c r="S696" i="9"/>
  <c r="R696" i="9"/>
  <c r="Q696" i="9"/>
  <c r="T696" i="9" s="1" a="1"/>
  <c r="T696" i="9" s="1"/>
  <c r="P696" i="9"/>
  <c r="S695" i="9"/>
  <c r="R695" i="9"/>
  <c r="Q695" i="9"/>
  <c r="P695" i="9"/>
  <c r="T695" i="9" s="1" a="1"/>
  <c r="T695" i="9" s="1"/>
  <c r="S694" i="9"/>
  <c r="R694" i="9"/>
  <c r="Q694" i="9"/>
  <c r="P694" i="9"/>
  <c r="T694" i="9" s="1" a="1"/>
  <c r="T694" i="9" s="1"/>
  <c r="T693" i="9" a="1"/>
  <c r="T693" i="9" s="1"/>
  <c r="S693" i="9"/>
  <c r="R693" i="9"/>
  <c r="Q693" i="9"/>
  <c r="P693" i="9"/>
  <c r="S692" i="9"/>
  <c r="R692" i="9"/>
  <c r="Q692" i="9"/>
  <c r="P692" i="9"/>
  <c r="T692" i="9" s="1" a="1"/>
  <c r="T692" i="9" s="1"/>
  <c r="S691" i="9"/>
  <c r="R691" i="9"/>
  <c r="T691" i="9" s="1" a="1"/>
  <c r="T691" i="9" s="1"/>
  <c r="Q691" i="9"/>
  <c r="P691" i="9"/>
  <c r="S690" i="9"/>
  <c r="R690" i="9"/>
  <c r="Q690" i="9"/>
  <c r="P690" i="9"/>
  <c r="T690" i="9" s="1" a="1"/>
  <c r="T690" i="9" s="1"/>
  <c r="S689" i="9"/>
  <c r="R689" i="9"/>
  <c r="T689" i="9" s="1" a="1"/>
  <c r="T689" i="9" s="1"/>
  <c r="Q689" i="9"/>
  <c r="P689" i="9"/>
  <c r="T688" i="9" a="1"/>
  <c r="T688" i="9" s="1"/>
  <c r="S688" i="9"/>
  <c r="R688" i="9"/>
  <c r="Q688" i="9"/>
  <c r="P688" i="9"/>
  <c r="S687" i="9"/>
  <c r="R687" i="9"/>
  <c r="Q687" i="9"/>
  <c r="P687" i="9"/>
  <c r="T687" i="9" s="1" a="1"/>
  <c r="T687" i="9" s="1"/>
  <c r="T686" i="9" a="1"/>
  <c r="T686" i="9" s="1"/>
  <c r="S686" i="9"/>
  <c r="R686" i="9"/>
  <c r="Q686" i="9"/>
  <c r="P686" i="9"/>
  <c r="S685" i="9"/>
  <c r="R685" i="9"/>
  <c r="Q685" i="9"/>
  <c r="P685" i="9"/>
  <c r="T685" i="9" s="1" a="1"/>
  <c r="T685" i="9" s="1"/>
  <c r="S684" i="9"/>
  <c r="R684" i="9"/>
  <c r="Q684" i="9"/>
  <c r="P684" i="9"/>
  <c r="T684" i="9" s="1" a="1"/>
  <c r="T684" i="9" s="1"/>
  <c r="S683" i="9"/>
  <c r="R683" i="9"/>
  <c r="T683" i="9" s="1" a="1"/>
  <c r="T683" i="9" s="1"/>
  <c r="Q683" i="9"/>
  <c r="P683" i="9"/>
  <c r="S682" i="9"/>
  <c r="R682" i="9"/>
  <c r="Q682" i="9"/>
  <c r="P682" i="9"/>
  <c r="T682" i="9" s="1" a="1"/>
  <c r="T682" i="9" s="1"/>
  <c r="S681" i="9"/>
  <c r="R681" i="9"/>
  <c r="T681" i="9" s="1" a="1"/>
  <c r="T681" i="9" s="1"/>
  <c r="Q681" i="9"/>
  <c r="P681" i="9"/>
  <c r="T680" i="9" a="1"/>
  <c r="T680" i="9" s="1"/>
  <c r="S680" i="9"/>
  <c r="R680" i="9"/>
  <c r="Q680" i="9"/>
  <c r="P680" i="9"/>
  <c r="S679" i="9"/>
  <c r="R679" i="9"/>
  <c r="Q679" i="9"/>
  <c r="P679" i="9"/>
  <c r="T679" i="9" s="1" a="1"/>
  <c r="T679" i="9" s="1"/>
  <c r="T678" i="9" a="1"/>
  <c r="T678" i="9" s="1"/>
  <c r="S678" i="9"/>
  <c r="R678" i="9"/>
  <c r="Q678" i="9"/>
  <c r="P678" i="9"/>
  <c r="S677" i="9"/>
  <c r="R677" i="9"/>
  <c r="Q677" i="9"/>
  <c r="P677" i="9"/>
  <c r="T677" i="9" s="1" a="1"/>
  <c r="T677" i="9" s="1"/>
  <c r="S676" i="9"/>
  <c r="R676" i="9"/>
  <c r="Q676" i="9"/>
  <c r="P676" i="9"/>
  <c r="T676" i="9" s="1" a="1"/>
  <c r="T676" i="9" s="1"/>
  <c r="S675" i="9"/>
  <c r="R675" i="9"/>
  <c r="T675" i="9" s="1" a="1"/>
  <c r="T675" i="9" s="1"/>
  <c r="Q675" i="9"/>
  <c r="P675" i="9"/>
  <c r="S674" i="9"/>
  <c r="R674" i="9"/>
  <c r="Q674" i="9"/>
  <c r="P674" i="9"/>
  <c r="T674" i="9" s="1" a="1"/>
  <c r="T674" i="9" s="1"/>
  <c r="S673" i="9"/>
  <c r="R673" i="9"/>
  <c r="T673" i="9" s="1" a="1"/>
  <c r="T673" i="9" s="1"/>
  <c r="Q673" i="9"/>
  <c r="P673" i="9"/>
  <c r="T672" i="9" a="1"/>
  <c r="T672" i="9" s="1"/>
  <c r="S672" i="9"/>
  <c r="R672" i="9"/>
  <c r="Q672" i="9"/>
  <c r="P672" i="9"/>
  <c r="S671" i="9"/>
  <c r="R671" i="9"/>
  <c r="Q671" i="9"/>
  <c r="P671" i="9"/>
  <c r="T671" i="9" s="1" a="1"/>
  <c r="T671" i="9" s="1"/>
  <c r="T670" i="9" a="1"/>
  <c r="T670" i="9" s="1"/>
  <c r="S670" i="9"/>
  <c r="R670" i="9"/>
  <c r="Q670" i="9"/>
  <c r="P670" i="9"/>
  <c r="S669" i="9"/>
  <c r="R669" i="9"/>
  <c r="Q669" i="9"/>
  <c r="P669" i="9"/>
  <c r="T669" i="9" s="1" a="1"/>
  <c r="T669" i="9" s="1"/>
  <c r="S668" i="9"/>
  <c r="R668" i="9"/>
  <c r="Q668" i="9"/>
  <c r="P668" i="9"/>
  <c r="T668" i="9" s="1" a="1"/>
  <c r="T668" i="9" s="1"/>
  <c r="S667" i="9"/>
  <c r="R667" i="9"/>
  <c r="T667" i="9" s="1" a="1"/>
  <c r="T667" i="9" s="1"/>
  <c r="Q667" i="9"/>
  <c r="P667" i="9"/>
  <c r="S666" i="9"/>
  <c r="R666" i="9"/>
  <c r="Q666" i="9"/>
  <c r="P666" i="9"/>
  <c r="T666" i="9" s="1" a="1"/>
  <c r="T666" i="9" s="1"/>
  <c r="S665" i="9"/>
  <c r="R665" i="9"/>
  <c r="T665" i="9" s="1" a="1"/>
  <c r="T665" i="9" s="1"/>
  <c r="Q665" i="9"/>
  <c r="P665" i="9"/>
  <c r="T664" i="9" a="1"/>
  <c r="T664" i="9" s="1"/>
  <c r="S664" i="9"/>
  <c r="R664" i="9"/>
  <c r="Q664" i="9"/>
  <c r="P664" i="9"/>
  <c r="S663" i="9"/>
  <c r="R663" i="9"/>
  <c r="Q663" i="9"/>
  <c r="P663" i="9"/>
  <c r="T663" i="9" s="1" a="1"/>
  <c r="T663" i="9" s="1"/>
  <c r="T662" i="9" a="1"/>
  <c r="T662" i="9" s="1"/>
  <c r="S662" i="9"/>
  <c r="R662" i="9"/>
  <c r="Q662" i="9"/>
  <c r="P662" i="9"/>
  <c r="S661" i="9"/>
  <c r="R661" i="9"/>
  <c r="Q661" i="9"/>
  <c r="T661" i="9" s="1" a="1"/>
  <c r="T661" i="9" s="1"/>
  <c r="P661" i="9"/>
  <c r="S660" i="9"/>
  <c r="R660" i="9"/>
  <c r="Q660" i="9"/>
  <c r="P660" i="9"/>
  <c r="T660" i="9" s="1" a="1"/>
  <c r="T660" i="9" s="1"/>
  <c r="S659" i="9"/>
  <c r="R659" i="9"/>
  <c r="T659" i="9" s="1" a="1"/>
  <c r="T659" i="9" s="1"/>
  <c r="Q659" i="9"/>
  <c r="P659" i="9"/>
  <c r="S658" i="9"/>
  <c r="R658" i="9"/>
  <c r="Q658" i="9"/>
  <c r="P658" i="9"/>
  <c r="T658" i="9" s="1" a="1"/>
  <c r="T658" i="9" s="1"/>
  <c r="S657" i="9"/>
  <c r="R657" i="9"/>
  <c r="T657" i="9" s="1" a="1"/>
  <c r="T657" i="9" s="1"/>
  <c r="Q657" i="9"/>
  <c r="P657" i="9"/>
  <c r="T656" i="9" a="1"/>
  <c r="T656" i="9" s="1"/>
  <c r="S656" i="9"/>
  <c r="R656" i="9"/>
  <c r="Q656" i="9"/>
  <c r="P656" i="9"/>
  <c r="S655" i="9"/>
  <c r="R655" i="9"/>
  <c r="Q655" i="9"/>
  <c r="P655" i="9"/>
  <c r="T655" i="9" s="1" a="1"/>
  <c r="T655" i="9" s="1"/>
  <c r="T654" i="9" a="1"/>
  <c r="T654" i="9" s="1"/>
  <c r="S654" i="9"/>
  <c r="R654" i="9"/>
  <c r="Q654" i="9"/>
  <c r="P654" i="9"/>
  <c r="S653" i="9"/>
  <c r="R653" i="9"/>
  <c r="Q653" i="9"/>
  <c r="T653" i="9" s="1" a="1"/>
  <c r="T653" i="9" s="1"/>
  <c r="P653" i="9"/>
  <c r="S652" i="9"/>
  <c r="R652" i="9"/>
  <c r="Q652" i="9"/>
  <c r="P652" i="9"/>
  <c r="T652" i="9" s="1" a="1"/>
  <c r="T652" i="9" s="1"/>
  <c r="S651" i="9"/>
  <c r="R651" i="9"/>
  <c r="T651" i="9" s="1" a="1"/>
  <c r="T651" i="9" s="1"/>
  <c r="Q651" i="9"/>
  <c r="P651" i="9"/>
  <c r="S650" i="9"/>
  <c r="R650" i="9"/>
  <c r="Q650" i="9"/>
  <c r="P650" i="9"/>
  <c r="T650" i="9" s="1" a="1"/>
  <c r="T650" i="9" s="1"/>
  <c r="S649" i="9"/>
  <c r="R649" i="9"/>
  <c r="T649" i="9" s="1" a="1"/>
  <c r="T649" i="9" s="1"/>
  <c r="Q649" i="9"/>
  <c r="P649" i="9"/>
  <c r="T648" i="9" a="1"/>
  <c r="T648" i="9" s="1"/>
  <c r="S648" i="9"/>
  <c r="R648" i="9"/>
  <c r="Q648" i="9"/>
  <c r="P648" i="9"/>
  <c r="S647" i="9"/>
  <c r="R647" i="9"/>
  <c r="Q647" i="9"/>
  <c r="P647" i="9"/>
  <c r="T647" i="9" s="1" a="1"/>
  <c r="T647" i="9" s="1"/>
  <c r="T646" i="9" a="1"/>
  <c r="T646" i="9" s="1"/>
  <c r="S646" i="9"/>
  <c r="R646" i="9"/>
  <c r="Q646" i="9"/>
  <c r="P646" i="9"/>
  <c r="S645" i="9"/>
  <c r="R645" i="9"/>
  <c r="Q645" i="9"/>
  <c r="T645" i="9" s="1" a="1"/>
  <c r="T645" i="9" s="1"/>
  <c r="P645" i="9"/>
  <c r="S644" i="9"/>
  <c r="R644" i="9"/>
  <c r="Q644" i="9"/>
  <c r="P644" i="9"/>
  <c r="T644" i="9" s="1" a="1"/>
  <c r="T644" i="9" s="1"/>
  <c r="S643" i="9"/>
  <c r="R643" i="9"/>
  <c r="T643" i="9" s="1" a="1"/>
  <c r="T643" i="9" s="1"/>
  <c r="Q643" i="9"/>
  <c r="P643" i="9"/>
  <c r="S642" i="9"/>
  <c r="R642" i="9"/>
  <c r="Q642" i="9"/>
  <c r="P642" i="9"/>
  <c r="T642" i="9" s="1" a="1"/>
  <c r="T642" i="9" s="1"/>
  <c r="S641" i="9"/>
  <c r="R641" i="9"/>
  <c r="T641" i="9" s="1" a="1"/>
  <c r="T641" i="9" s="1"/>
  <c r="Q641" i="9"/>
  <c r="P641" i="9"/>
  <c r="T640" i="9" a="1"/>
  <c r="T640" i="9" s="1"/>
  <c r="S640" i="9"/>
  <c r="R640" i="9"/>
  <c r="Q640" i="9"/>
  <c r="P640" i="9"/>
  <c r="S639" i="9"/>
  <c r="R639" i="9"/>
  <c r="Q639" i="9"/>
  <c r="P639" i="9"/>
  <c r="T639" i="9" s="1" a="1"/>
  <c r="T639" i="9" s="1"/>
  <c r="T638" i="9" a="1"/>
  <c r="T638" i="9" s="1"/>
  <c r="S638" i="9"/>
  <c r="R638" i="9"/>
  <c r="Q638" i="9"/>
  <c r="P638" i="9"/>
  <c r="S637" i="9"/>
  <c r="R637" i="9"/>
  <c r="Q637" i="9"/>
  <c r="T637" i="9" s="1" a="1"/>
  <c r="T637" i="9" s="1"/>
  <c r="P637" i="9"/>
  <c r="S636" i="9"/>
  <c r="R636" i="9"/>
  <c r="Q636" i="9"/>
  <c r="P636" i="9"/>
  <c r="T636" i="9" s="1" a="1"/>
  <c r="T636" i="9" s="1"/>
  <c r="S635" i="9"/>
  <c r="R635" i="9"/>
  <c r="T635" i="9" s="1" a="1"/>
  <c r="T635" i="9" s="1"/>
  <c r="Q635" i="9"/>
  <c r="P635" i="9"/>
  <c r="S634" i="9"/>
  <c r="R634" i="9"/>
  <c r="Q634" i="9"/>
  <c r="P634" i="9"/>
  <c r="T634" i="9" s="1" a="1"/>
  <c r="T634" i="9" s="1"/>
  <c r="S633" i="9"/>
  <c r="R633" i="9"/>
  <c r="T633" i="9" s="1" a="1"/>
  <c r="T633" i="9" s="1"/>
  <c r="Q633" i="9"/>
  <c r="P633" i="9"/>
  <c r="T632" i="9" a="1"/>
  <c r="T632" i="9" s="1"/>
  <c r="S632" i="9"/>
  <c r="R632" i="9"/>
  <c r="Q632" i="9"/>
  <c r="P632" i="9"/>
  <c r="S631" i="9"/>
  <c r="R631" i="9"/>
  <c r="Q631" i="9"/>
  <c r="P631" i="9"/>
  <c r="T631" i="9" s="1" a="1"/>
  <c r="T631" i="9" s="1"/>
  <c r="T630" i="9" a="1"/>
  <c r="T630" i="9" s="1"/>
  <c r="S630" i="9"/>
  <c r="R630" i="9"/>
  <c r="Q630" i="9"/>
  <c r="P630" i="9"/>
  <c r="S629" i="9"/>
  <c r="R629" i="9"/>
  <c r="Q629" i="9"/>
  <c r="T629" i="9" s="1" a="1"/>
  <c r="T629" i="9" s="1"/>
  <c r="P629" i="9"/>
  <c r="S628" i="9"/>
  <c r="R628" i="9"/>
  <c r="Q628" i="9"/>
  <c r="P628" i="9"/>
  <c r="T628" i="9" s="1" a="1"/>
  <c r="T628" i="9" s="1"/>
  <c r="S627" i="9"/>
  <c r="R627" i="9"/>
  <c r="T627" i="9" s="1" a="1"/>
  <c r="T627" i="9" s="1"/>
  <c r="Q627" i="9"/>
  <c r="P627" i="9"/>
  <c r="S626" i="9"/>
  <c r="R626" i="9"/>
  <c r="Q626" i="9"/>
  <c r="P626" i="9"/>
  <c r="T626" i="9" s="1" a="1"/>
  <c r="T626" i="9" s="1"/>
  <c r="S625" i="9"/>
  <c r="R625" i="9"/>
  <c r="T625" i="9" s="1" a="1"/>
  <c r="T625" i="9" s="1"/>
  <c r="Q625" i="9"/>
  <c r="P625" i="9"/>
  <c r="T624" i="9" a="1"/>
  <c r="T624" i="9" s="1"/>
  <c r="S624" i="9"/>
  <c r="R624" i="9"/>
  <c r="Q624" i="9"/>
  <c r="P624" i="9"/>
  <c r="S623" i="9"/>
  <c r="R623" i="9"/>
  <c r="Q623" i="9"/>
  <c r="P623" i="9"/>
  <c r="T623" i="9" s="1" a="1"/>
  <c r="T623" i="9" s="1"/>
  <c r="T622" i="9" a="1"/>
  <c r="T622" i="9" s="1"/>
  <c r="S622" i="9"/>
  <c r="R622" i="9"/>
  <c r="Q622" i="9"/>
  <c r="P622" i="9"/>
  <c r="S621" i="9"/>
  <c r="R621" i="9"/>
  <c r="Q621" i="9"/>
  <c r="T621" i="9" s="1" a="1"/>
  <c r="T621" i="9" s="1"/>
  <c r="P621" i="9"/>
  <c r="S620" i="9"/>
  <c r="R620" i="9"/>
  <c r="Q620" i="9"/>
  <c r="P620" i="9"/>
  <c r="T620" i="9" s="1" a="1"/>
  <c r="T620" i="9" s="1"/>
  <c r="S619" i="9"/>
  <c r="R619" i="9"/>
  <c r="T619" i="9" s="1" a="1"/>
  <c r="T619" i="9" s="1"/>
  <c r="Q619" i="9"/>
  <c r="P619" i="9"/>
  <c r="S618" i="9"/>
  <c r="R618" i="9"/>
  <c r="Q618" i="9"/>
  <c r="P618" i="9"/>
  <c r="T618" i="9" s="1" a="1"/>
  <c r="T618" i="9" s="1"/>
  <c r="S617" i="9"/>
  <c r="R617" i="9"/>
  <c r="T617" i="9" s="1" a="1"/>
  <c r="T617" i="9" s="1"/>
  <c r="Q617" i="9"/>
  <c r="P617" i="9"/>
  <c r="T616" i="9" a="1"/>
  <c r="T616" i="9" s="1"/>
  <c r="S616" i="9"/>
  <c r="R616" i="9"/>
  <c r="Q616" i="9"/>
  <c r="P616" i="9"/>
  <c r="S615" i="9"/>
  <c r="R615" i="9"/>
  <c r="Q615" i="9"/>
  <c r="P615" i="9"/>
  <c r="T615" i="9" s="1" a="1"/>
  <c r="T615" i="9" s="1"/>
  <c r="T614" i="9" a="1"/>
  <c r="T614" i="9" s="1"/>
  <c r="S614" i="9"/>
  <c r="R614" i="9"/>
  <c r="Q614" i="9"/>
  <c r="P614" i="9"/>
  <c r="S613" i="9"/>
  <c r="R613" i="9"/>
  <c r="Q613" i="9"/>
  <c r="T613" i="9" s="1" a="1"/>
  <c r="T613" i="9" s="1"/>
  <c r="P613" i="9"/>
  <c r="S612" i="9"/>
  <c r="R612" i="9"/>
  <c r="Q612" i="9"/>
  <c r="P612" i="9"/>
  <c r="T612" i="9" s="1" a="1"/>
  <c r="T612" i="9" s="1"/>
  <c r="S611" i="9"/>
  <c r="R611" i="9"/>
  <c r="T611" i="9" s="1" a="1"/>
  <c r="T611" i="9" s="1"/>
  <c r="Q611" i="9"/>
  <c r="P611" i="9"/>
  <c r="S610" i="9"/>
  <c r="R610" i="9"/>
  <c r="Q610" i="9"/>
  <c r="P610" i="9"/>
  <c r="T610" i="9" s="1" a="1"/>
  <c r="T610" i="9" s="1"/>
  <c r="S609" i="9"/>
  <c r="R609" i="9"/>
  <c r="T609" i="9" s="1" a="1"/>
  <c r="T609" i="9" s="1"/>
  <c r="Q609" i="9"/>
  <c r="P609" i="9"/>
  <c r="T608" i="9" a="1"/>
  <c r="T608" i="9" s="1"/>
  <c r="S608" i="9"/>
  <c r="R608" i="9"/>
  <c r="Q608" i="9"/>
  <c r="P608" i="9"/>
  <c r="S607" i="9"/>
  <c r="R607" i="9"/>
  <c r="Q607" i="9"/>
  <c r="P607" i="9"/>
  <c r="T607" i="9" s="1" a="1"/>
  <c r="T607" i="9" s="1"/>
  <c r="T606" i="9" a="1"/>
  <c r="T606" i="9" s="1"/>
  <c r="S606" i="9"/>
  <c r="R606" i="9"/>
  <c r="Q606" i="9"/>
  <c r="P606" i="9"/>
  <c r="S605" i="9"/>
  <c r="R605" i="9"/>
  <c r="Q605" i="9"/>
  <c r="T605" i="9" s="1" a="1"/>
  <c r="T605" i="9" s="1"/>
  <c r="P605" i="9"/>
  <c r="S604" i="9"/>
  <c r="R604" i="9"/>
  <c r="Q604" i="9"/>
  <c r="P604" i="9"/>
  <c r="T604" i="9" s="1" a="1"/>
  <c r="T604" i="9" s="1"/>
  <c r="S603" i="9"/>
  <c r="R603" i="9"/>
  <c r="T603" i="9" s="1" a="1"/>
  <c r="T603" i="9" s="1"/>
  <c r="Q603" i="9"/>
  <c r="P603" i="9"/>
  <c r="S602" i="9"/>
  <c r="R602" i="9"/>
  <c r="Q602" i="9"/>
  <c r="P602" i="9"/>
  <c r="T602" i="9" s="1" a="1"/>
  <c r="T602" i="9" s="1"/>
  <c r="S601" i="9"/>
  <c r="R601" i="9"/>
  <c r="T601" i="9" s="1" a="1"/>
  <c r="T601" i="9" s="1"/>
  <c r="Q601" i="9"/>
  <c r="P601" i="9"/>
  <c r="T600" i="9" a="1"/>
  <c r="T600" i="9" s="1"/>
  <c r="S600" i="9"/>
  <c r="R600" i="9"/>
  <c r="Q600" i="9"/>
  <c r="P600" i="9"/>
  <c r="S599" i="9"/>
  <c r="R599" i="9"/>
  <c r="Q599" i="9"/>
  <c r="P599" i="9"/>
  <c r="T599" i="9" s="1" a="1"/>
  <c r="T599" i="9" s="1"/>
  <c r="T598" i="9" a="1"/>
  <c r="T598" i="9" s="1"/>
  <c r="S598" i="9"/>
  <c r="R598" i="9"/>
  <c r="Q598" i="9"/>
  <c r="P598" i="9"/>
  <c r="S597" i="9"/>
  <c r="R597" i="9"/>
  <c r="Q597" i="9"/>
  <c r="T597" i="9" s="1" a="1"/>
  <c r="T597" i="9" s="1"/>
  <c r="P597" i="9"/>
  <c r="S596" i="9"/>
  <c r="R596" i="9"/>
  <c r="Q596" i="9"/>
  <c r="P596" i="9"/>
  <c r="T596" i="9" s="1" a="1"/>
  <c r="T596" i="9" s="1"/>
  <c r="S595" i="9"/>
  <c r="R595" i="9"/>
  <c r="T595" i="9" s="1" a="1"/>
  <c r="T595" i="9" s="1"/>
  <c r="Q595" i="9"/>
  <c r="P595" i="9"/>
  <c r="S594" i="9"/>
  <c r="R594" i="9"/>
  <c r="Q594" i="9"/>
  <c r="P594" i="9"/>
  <c r="T594" i="9" s="1" a="1"/>
  <c r="T594" i="9" s="1"/>
  <c r="S593" i="9"/>
  <c r="R593" i="9"/>
  <c r="T593" i="9" s="1" a="1"/>
  <c r="T593" i="9" s="1"/>
  <c r="Q593" i="9"/>
  <c r="P593" i="9"/>
  <c r="T592" i="9" a="1"/>
  <c r="T592" i="9" s="1"/>
  <c r="S592" i="9"/>
  <c r="R592" i="9"/>
  <c r="Q592" i="9"/>
  <c r="P592" i="9"/>
  <c r="S591" i="9"/>
  <c r="R591" i="9"/>
  <c r="Q591" i="9"/>
  <c r="P591" i="9"/>
  <c r="T591" i="9" s="1" a="1"/>
  <c r="T591" i="9" s="1"/>
  <c r="T590" i="9" a="1"/>
  <c r="T590" i="9" s="1"/>
  <c r="S590" i="9"/>
  <c r="R590" i="9"/>
  <c r="Q590" i="9"/>
  <c r="P590" i="9"/>
  <c r="S589" i="9"/>
  <c r="R589" i="9"/>
  <c r="Q589" i="9"/>
  <c r="T589" i="9" s="1" a="1"/>
  <c r="T589" i="9" s="1"/>
  <c r="P589" i="9"/>
  <c r="S588" i="9"/>
  <c r="R588" i="9"/>
  <c r="Q588" i="9"/>
  <c r="P588" i="9"/>
  <c r="T588" i="9" s="1" a="1"/>
  <c r="T588" i="9" s="1"/>
  <c r="S587" i="9"/>
  <c r="R587" i="9"/>
  <c r="T587" i="9" s="1" a="1"/>
  <c r="T587" i="9" s="1"/>
  <c r="Q587" i="9"/>
  <c r="P587" i="9"/>
  <c r="S586" i="9"/>
  <c r="R586" i="9"/>
  <c r="Q586" i="9"/>
  <c r="P586" i="9"/>
  <c r="T586" i="9" s="1" a="1"/>
  <c r="T586" i="9" s="1"/>
  <c r="S585" i="9"/>
  <c r="R585" i="9"/>
  <c r="T585" i="9" s="1" a="1"/>
  <c r="T585" i="9" s="1"/>
  <c r="Q585" i="9"/>
  <c r="P585" i="9"/>
  <c r="T584" i="9" a="1"/>
  <c r="T584" i="9" s="1"/>
  <c r="S584" i="9"/>
  <c r="R584" i="9"/>
  <c r="Q584" i="9"/>
  <c r="P584" i="9"/>
  <c r="S583" i="9"/>
  <c r="R583" i="9"/>
  <c r="Q583" i="9"/>
  <c r="P583" i="9"/>
  <c r="T583" i="9" s="1" a="1"/>
  <c r="T583" i="9" s="1"/>
  <c r="T582" i="9" a="1"/>
  <c r="T582" i="9" s="1"/>
  <c r="S582" i="9"/>
  <c r="R582" i="9"/>
  <c r="Q582" i="9"/>
  <c r="P582" i="9"/>
  <c r="S581" i="9"/>
  <c r="R581" i="9"/>
  <c r="Q581" i="9"/>
  <c r="T581" i="9" s="1" a="1"/>
  <c r="T581" i="9" s="1"/>
  <c r="P581" i="9"/>
  <c r="S580" i="9"/>
  <c r="R580" i="9"/>
  <c r="Q580" i="9"/>
  <c r="P580" i="9"/>
  <c r="T580" i="9" s="1" a="1"/>
  <c r="T580" i="9" s="1"/>
  <c r="S579" i="9"/>
  <c r="R579" i="9"/>
  <c r="T579" i="9" s="1" a="1"/>
  <c r="T579" i="9" s="1"/>
  <c r="Q579" i="9"/>
  <c r="P579" i="9"/>
  <c r="S578" i="9"/>
  <c r="R578" i="9"/>
  <c r="Q578" i="9"/>
  <c r="P578" i="9"/>
  <c r="T578" i="9" s="1" a="1"/>
  <c r="T578" i="9" s="1"/>
  <c r="S577" i="9"/>
  <c r="R577" i="9"/>
  <c r="T577" i="9" s="1" a="1"/>
  <c r="T577" i="9" s="1"/>
  <c r="Q577" i="9"/>
  <c r="P577" i="9"/>
  <c r="T576" i="9" a="1"/>
  <c r="T576" i="9" s="1"/>
  <c r="S576" i="9"/>
  <c r="R576" i="9"/>
  <c r="Q576" i="9"/>
  <c r="P576" i="9"/>
  <c r="S575" i="9"/>
  <c r="R575" i="9"/>
  <c r="Q575" i="9"/>
  <c r="P575" i="9"/>
  <c r="T575" i="9" s="1" a="1"/>
  <c r="T575" i="9" s="1"/>
  <c r="T574" i="9" a="1"/>
  <c r="T574" i="9" s="1"/>
  <c r="S574" i="9"/>
  <c r="R574" i="9"/>
  <c r="Q574" i="9"/>
  <c r="P574" i="9"/>
  <c r="S573" i="9"/>
  <c r="R573" i="9"/>
  <c r="Q573" i="9"/>
  <c r="T573" i="9" s="1" a="1"/>
  <c r="T573" i="9" s="1"/>
  <c r="P573" i="9"/>
  <c r="S572" i="9"/>
  <c r="R572" i="9"/>
  <c r="Q572" i="9"/>
  <c r="P572" i="9"/>
  <c r="T572" i="9" s="1" a="1"/>
  <c r="T572" i="9" s="1"/>
  <c r="S571" i="9"/>
  <c r="R571" i="9"/>
  <c r="T571" i="9" s="1" a="1"/>
  <c r="T571" i="9" s="1"/>
  <c r="Q571" i="9"/>
  <c r="P571" i="9"/>
  <c r="S570" i="9"/>
  <c r="R570" i="9"/>
  <c r="Q570" i="9"/>
  <c r="P570" i="9"/>
  <c r="T570" i="9" s="1" a="1"/>
  <c r="T570" i="9" s="1"/>
  <c r="S569" i="9"/>
  <c r="R569" i="9"/>
  <c r="T569" i="9" s="1" a="1"/>
  <c r="T569" i="9" s="1"/>
  <c r="Q569" i="9"/>
  <c r="P569" i="9"/>
  <c r="T568" i="9" a="1"/>
  <c r="T568" i="9" s="1"/>
  <c r="S568" i="9"/>
  <c r="R568" i="9"/>
  <c r="Q568" i="9"/>
  <c r="P568" i="9"/>
  <c r="S567" i="9"/>
  <c r="R567" i="9"/>
  <c r="Q567" i="9"/>
  <c r="P567" i="9"/>
  <c r="T567" i="9" s="1" a="1"/>
  <c r="T567" i="9" s="1"/>
  <c r="T566" i="9" a="1"/>
  <c r="T566" i="9" s="1"/>
  <c r="S566" i="9"/>
  <c r="R566" i="9"/>
  <c r="Q566" i="9"/>
  <c r="P566" i="9"/>
  <c r="S565" i="9"/>
  <c r="R565" i="9"/>
  <c r="Q565" i="9"/>
  <c r="T565" i="9" s="1" a="1"/>
  <c r="T565" i="9" s="1"/>
  <c r="P565" i="9"/>
  <c r="S564" i="9"/>
  <c r="R564" i="9"/>
  <c r="Q564" i="9"/>
  <c r="P564" i="9"/>
  <c r="T564" i="9" s="1" a="1"/>
  <c r="T564" i="9" s="1"/>
  <c r="S563" i="9"/>
  <c r="R563" i="9"/>
  <c r="T563" i="9" s="1" a="1"/>
  <c r="T563" i="9" s="1"/>
  <c r="Q563" i="9"/>
  <c r="P563" i="9"/>
  <c r="S562" i="9"/>
  <c r="R562" i="9"/>
  <c r="Q562" i="9"/>
  <c r="P562" i="9"/>
  <c r="T562" i="9" s="1" a="1"/>
  <c r="T562" i="9" s="1"/>
  <c r="S561" i="9"/>
  <c r="R561" i="9"/>
  <c r="T561" i="9" s="1" a="1"/>
  <c r="T561" i="9" s="1"/>
  <c r="Q561" i="9"/>
  <c r="P561" i="9"/>
  <c r="T560" i="9" a="1"/>
  <c r="T560" i="9" s="1"/>
  <c r="S560" i="9"/>
  <c r="R560" i="9"/>
  <c r="Q560" i="9"/>
  <c r="P560" i="9"/>
  <c r="S559" i="9"/>
  <c r="R559" i="9"/>
  <c r="Q559" i="9"/>
  <c r="P559" i="9"/>
  <c r="T559" i="9" s="1" a="1"/>
  <c r="T559" i="9" s="1"/>
  <c r="T558" i="9" a="1"/>
  <c r="T558" i="9" s="1"/>
  <c r="S558" i="9"/>
  <c r="R558" i="9"/>
  <c r="Q558" i="9"/>
  <c r="P558" i="9"/>
  <c r="S557" i="9"/>
  <c r="R557" i="9"/>
  <c r="Q557" i="9"/>
  <c r="T557" i="9" s="1" a="1"/>
  <c r="T557" i="9" s="1"/>
  <c r="P557" i="9"/>
  <c r="S556" i="9"/>
  <c r="R556" i="9"/>
  <c r="Q556" i="9"/>
  <c r="P556" i="9"/>
  <c r="T556" i="9" s="1" a="1"/>
  <c r="T556" i="9" s="1"/>
  <c r="S555" i="9"/>
  <c r="R555" i="9"/>
  <c r="T555" i="9" s="1" a="1"/>
  <c r="T555" i="9" s="1"/>
  <c r="Q555" i="9"/>
  <c r="P555" i="9"/>
  <c r="S554" i="9"/>
  <c r="R554" i="9"/>
  <c r="Q554" i="9"/>
  <c r="P554" i="9"/>
  <c r="T554" i="9" s="1" a="1"/>
  <c r="T554" i="9" s="1"/>
  <c r="S553" i="9"/>
  <c r="R553" i="9"/>
  <c r="T553" i="9" s="1" a="1"/>
  <c r="T553" i="9" s="1"/>
  <c r="Q553" i="9"/>
  <c r="P553" i="9"/>
  <c r="T552" i="9" a="1"/>
  <c r="T552" i="9" s="1"/>
  <c r="S552" i="9"/>
  <c r="R552" i="9"/>
  <c r="Q552" i="9"/>
  <c r="P552" i="9"/>
  <c r="S551" i="9"/>
  <c r="R551" i="9"/>
  <c r="Q551" i="9"/>
  <c r="P551" i="9"/>
  <c r="T551" i="9" s="1" a="1"/>
  <c r="T551" i="9" s="1"/>
  <c r="T550" i="9" a="1"/>
  <c r="T550" i="9" s="1"/>
  <c r="S550" i="9"/>
  <c r="R550" i="9"/>
  <c r="Q550" i="9"/>
  <c r="P550" i="9"/>
  <c r="S549" i="9"/>
  <c r="R549" i="9"/>
  <c r="Q549" i="9"/>
  <c r="T549" i="9" s="1" a="1"/>
  <c r="T549" i="9" s="1"/>
  <c r="P549" i="9"/>
  <c r="S548" i="9"/>
  <c r="R548" i="9"/>
  <c r="Q548" i="9"/>
  <c r="P548" i="9"/>
  <c r="T548" i="9" s="1" a="1"/>
  <c r="T548" i="9" s="1"/>
  <c r="S547" i="9"/>
  <c r="R547" i="9"/>
  <c r="T547" i="9" s="1" a="1"/>
  <c r="T547" i="9" s="1"/>
  <c r="Q547" i="9"/>
  <c r="P547" i="9"/>
  <c r="S546" i="9"/>
  <c r="R546" i="9"/>
  <c r="Q546" i="9"/>
  <c r="P546" i="9"/>
  <c r="T546" i="9" s="1" a="1"/>
  <c r="T546" i="9" s="1"/>
  <c r="S545" i="9"/>
  <c r="R545" i="9"/>
  <c r="T545" i="9" s="1" a="1"/>
  <c r="T545" i="9" s="1"/>
  <c r="Q545" i="9"/>
  <c r="P545" i="9"/>
  <c r="T544" i="9" a="1"/>
  <c r="T544" i="9" s="1"/>
  <c r="S544" i="9"/>
  <c r="R544" i="9"/>
  <c r="Q544" i="9"/>
  <c r="P544" i="9"/>
  <c r="S543" i="9"/>
  <c r="R543" i="9"/>
  <c r="Q543" i="9"/>
  <c r="P543" i="9"/>
  <c r="T543" i="9" s="1" a="1"/>
  <c r="T543" i="9" s="1"/>
  <c r="T542" i="9" a="1"/>
  <c r="T542" i="9" s="1"/>
  <c r="S542" i="9"/>
  <c r="R542" i="9"/>
  <c r="Q542" i="9"/>
  <c r="P542" i="9"/>
  <c r="S541" i="9"/>
  <c r="R541" i="9"/>
  <c r="Q541" i="9"/>
  <c r="T541" i="9" s="1" a="1"/>
  <c r="T541" i="9" s="1"/>
  <c r="P541" i="9"/>
  <c r="S540" i="9"/>
  <c r="R540" i="9"/>
  <c r="Q540" i="9"/>
  <c r="P540" i="9"/>
  <c r="T540" i="9" s="1" a="1"/>
  <c r="T540" i="9" s="1"/>
  <c r="S539" i="9"/>
  <c r="R539" i="9"/>
  <c r="Q539" i="9"/>
  <c r="P539" i="9"/>
  <c r="T539" i="9" s="1" a="1"/>
  <c r="T539" i="9" s="1"/>
  <c r="S538" i="9"/>
  <c r="R538" i="9"/>
  <c r="Q538" i="9"/>
  <c r="P538" i="9"/>
  <c r="T538" i="9" s="1" a="1"/>
  <c r="T538" i="9" s="1"/>
  <c r="S537" i="9"/>
  <c r="R537" i="9"/>
  <c r="T537" i="9" s="1" a="1"/>
  <c r="T537" i="9" s="1"/>
  <c r="Q537" i="9"/>
  <c r="P537" i="9"/>
  <c r="T536" i="9" a="1"/>
  <c r="T536" i="9" s="1"/>
  <c r="S536" i="9"/>
  <c r="R536" i="9"/>
  <c r="Q536" i="9"/>
  <c r="P536" i="9"/>
  <c r="S535" i="9"/>
  <c r="R535" i="9"/>
  <c r="Q535" i="9"/>
  <c r="P535" i="9"/>
  <c r="T535" i="9" s="1" a="1"/>
  <c r="T535" i="9" s="1"/>
  <c r="T534" i="9" a="1"/>
  <c r="T534" i="9" s="1"/>
  <c r="S534" i="9"/>
  <c r="R534" i="9"/>
  <c r="Q534" i="9"/>
  <c r="P534" i="9"/>
  <c r="S533" i="9"/>
  <c r="R533" i="9"/>
  <c r="Q533" i="9"/>
  <c r="T533" i="9" s="1" a="1"/>
  <c r="T533" i="9" s="1"/>
  <c r="P533" i="9"/>
  <c r="S532" i="9"/>
  <c r="R532" i="9"/>
  <c r="Q532" i="9"/>
  <c r="P532" i="9"/>
  <c r="T532" i="9" s="1" a="1"/>
  <c r="T532" i="9" s="1"/>
  <c r="S531" i="9"/>
  <c r="R531" i="9"/>
  <c r="Q531" i="9"/>
  <c r="P531" i="9"/>
  <c r="T531" i="9" s="1" a="1"/>
  <c r="T531" i="9" s="1"/>
  <c r="S530" i="9"/>
  <c r="R530" i="9"/>
  <c r="Q530" i="9"/>
  <c r="P530" i="9"/>
  <c r="T530" i="9" s="1" a="1"/>
  <c r="T530" i="9" s="1"/>
  <c r="S529" i="9"/>
  <c r="R529" i="9"/>
  <c r="T529" i="9" s="1" a="1"/>
  <c r="T529" i="9" s="1"/>
  <c r="Q529" i="9"/>
  <c r="P529" i="9"/>
  <c r="T528" i="9" a="1"/>
  <c r="T528" i="9" s="1"/>
  <c r="S528" i="9"/>
  <c r="R528" i="9"/>
  <c r="Q528" i="9"/>
  <c r="P528" i="9"/>
  <c r="S527" i="9"/>
  <c r="R527" i="9"/>
  <c r="Q527" i="9"/>
  <c r="P527" i="9"/>
  <c r="T527" i="9" s="1" a="1"/>
  <c r="T527" i="9" s="1"/>
  <c r="T526" i="9" a="1"/>
  <c r="T526" i="9" s="1"/>
  <c r="S526" i="9"/>
  <c r="R526" i="9"/>
  <c r="Q526" i="9"/>
  <c r="P526" i="9"/>
  <c r="S525" i="9"/>
  <c r="R525" i="9"/>
  <c r="Q525" i="9"/>
  <c r="T525" i="9" s="1" a="1"/>
  <c r="T525" i="9" s="1"/>
  <c r="P525" i="9"/>
  <c r="S524" i="9"/>
  <c r="R524" i="9"/>
  <c r="Q524" i="9"/>
  <c r="P524" i="9"/>
  <c r="T524" i="9" s="1" a="1"/>
  <c r="T524" i="9" s="1"/>
  <c r="S523" i="9"/>
  <c r="R523" i="9"/>
  <c r="Q523" i="9"/>
  <c r="P523" i="9"/>
  <c r="T523" i="9" s="1" a="1"/>
  <c r="T523" i="9" s="1"/>
  <c r="S522" i="9"/>
  <c r="R522" i="9"/>
  <c r="Q522" i="9"/>
  <c r="P522" i="9"/>
  <c r="T522" i="9" s="1" a="1"/>
  <c r="T522" i="9" s="1"/>
  <c r="S521" i="9"/>
  <c r="R521" i="9"/>
  <c r="T521" i="9" s="1" a="1"/>
  <c r="T521" i="9" s="1"/>
  <c r="Q521" i="9"/>
  <c r="P521" i="9"/>
  <c r="T520" i="9" a="1"/>
  <c r="T520" i="9" s="1"/>
  <c r="S520" i="9"/>
  <c r="R520" i="9"/>
  <c r="Q520" i="9"/>
  <c r="P520" i="9"/>
  <c r="S519" i="9"/>
  <c r="R519" i="9"/>
  <c r="Q519" i="9"/>
  <c r="P519" i="9"/>
  <c r="T519" i="9" s="1" a="1"/>
  <c r="T519" i="9" s="1"/>
  <c r="T518" i="9" a="1"/>
  <c r="T518" i="9" s="1"/>
  <c r="S518" i="9"/>
  <c r="R518" i="9"/>
  <c r="Q518" i="9"/>
  <c r="P518" i="9"/>
  <c r="S517" i="9"/>
  <c r="R517" i="9"/>
  <c r="Q517" i="9"/>
  <c r="T517" i="9" s="1" a="1"/>
  <c r="T517" i="9" s="1"/>
  <c r="P517" i="9"/>
  <c r="S516" i="9"/>
  <c r="R516" i="9"/>
  <c r="Q516" i="9"/>
  <c r="P516" i="9"/>
  <c r="T516" i="9" s="1" a="1"/>
  <c r="T516" i="9" s="1"/>
  <c r="S515" i="9"/>
  <c r="R515" i="9"/>
  <c r="Q515" i="9"/>
  <c r="P515" i="9"/>
  <c r="T515" i="9" s="1" a="1"/>
  <c r="T515" i="9" s="1"/>
  <c r="S514" i="9"/>
  <c r="R514" i="9"/>
  <c r="Q514" i="9"/>
  <c r="P514" i="9"/>
  <c r="T514" i="9" s="1" a="1"/>
  <c r="T514" i="9" s="1"/>
  <c r="S513" i="9"/>
  <c r="R513" i="9"/>
  <c r="T513" i="9" s="1" a="1"/>
  <c r="T513" i="9" s="1"/>
  <c r="Q513" i="9"/>
  <c r="P513" i="9"/>
  <c r="T512" i="9" a="1"/>
  <c r="T512" i="9" s="1"/>
  <c r="S512" i="9"/>
  <c r="R512" i="9"/>
  <c r="Q512" i="9"/>
  <c r="P512" i="9"/>
  <c r="S511" i="9"/>
  <c r="R511" i="9"/>
  <c r="Q511" i="9"/>
  <c r="P511" i="9"/>
  <c r="T511" i="9" s="1" a="1"/>
  <c r="T511" i="9" s="1"/>
  <c r="T510" i="9" a="1"/>
  <c r="T510" i="9" s="1"/>
  <c r="S510" i="9"/>
  <c r="R510" i="9"/>
  <c r="Q510" i="9"/>
  <c r="P510" i="9"/>
  <c r="S509" i="9"/>
  <c r="R509" i="9"/>
  <c r="Q509" i="9"/>
  <c r="T509" i="9" s="1" a="1"/>
  <c r="T509" i="9" s="1"/>
  <c r="P509" i="9"/>
  <c r="S508" i="9"/>
  <c r="R508" i="9"/>
  <c r="Q508" i="9"/>
  <c r="P508" i="9"/>
  <c r="T508" i="9" s="1" a="1"/>
  <c r="T508" i="9" s="1"/>
  <c r="S507" i="9"/>
  <c r="R507" i="9"/>
  <c r="Q507" i="9"/>
  <c r="P507" i="9"/>
  <c r="T507" i="9" s="1" a="1"/>
  <c r="T507" i="9" s="1"/>
  <c r="S506" i="9"/>
  <c r="R506" i="9"/>
  <c r="Q506" i="9"/>
  <c r="P506" i="9"/>
  <c r="T506" i="9" s="1" a="1"/>
  <c r="T506" i="9" s="1"/>
  <c r="S505" i="9"/>
  <c r="R505" i="9"/>
  <c r="T505" i="9" s="1" a="1"/>
  <c r="T505" i="9" s="1"/>
  <c r="Q505" i="9"/>
  <c r="P505" i="9"/>
  <c r="T504" i="9" a="1"/>
  <c r="T504" i="9" s="1"/>
  <c r="S504" i="9"/>
  <c r="R504" i="9"/>
  <c r="Q504" i="9"/>
  <c r="P504" i="9"/>
  <c r="S503" i="9"/>
  <c r="R503" i="9"/>
  <c r="Q503" i="9"/>
  <c r="P503" i="9"/>
  <c r="T503" i="9" s="1" a="1"/>
  <c r="T503" i="9" s="1"/>
  <c r="T502" i="9" a="1"/>
  <c r="T502" i="9" s="1"/>
  <c r="S502" i="9"/>
  <c r="R502" i="9"/>
  <c r="Q502" i="9"/>
  <c r="P502" i="9"/>
  <c r="S501" i="9"/>
  <c r="R501" i="9"/>
  <c r="Q501" i="9"/>
  <c r="T501" i="9" s="1" a="1"/>
  <c r="T501" i="9" s="1"/>
  <c r="P501" i="9"/>
  <c r="S500" i="9"/>
  <c r="R500" i="9"/>
  <c r="Q500" i="9"/>
  <c r="P500" i="9"/>
  <c r="T500" i="9" s="1" a="1"/>
  <c r="T500" i="9" s="1"/>
  <c r="S499" i="9"/>
  <c r="R499" i="9"/>
  <c r="Q499" i="9"/>
  <c r="P499" i="9"/>
  <c r="T499" i="9" s="1" a="1"/>
  <c r="T499" i="9" s="1"/>
  <c r="S498" i="9"/>
  <c r="R498" i="9"/>
  <c r="Q498" i="9"/>
  <c r="P498" i="9"/>
  <c r="T498" i="9" s="1" a="1"/>
  <c r="T498" i="9" s="1"/>
  <c r="S497" i="9"/>
  <c r="R497" i="9"/>
  <c r="T497" i="9" s="1" a="1"/>
  <c r="T497" i="9" s="1"/>
  <c r="Q497" i="9"/>
  <c r="P497" i="9"/>
  <c r="T496" i="9" a="1"/>
  <c r="T496" i="9" s="1"/>
  <c r="S496" i="9"/>
  <c r="R496" i="9"/>
  <c r="Q496" i="9"/>
  <c r="P496" i="9"/>
  <c r="S495" i="9"/>
  <c r="R495" i="9"/>
  <c r="Q495" i="9"/>
  <c r="P495" i="9"/>
  <c r="T495" i="9" s="1" a="1"/>
  <c r="T495" i="9" s="1"/>
  <c r="T494" i="9" a="1"/>
  <c r="T494" i="9" s="1"/>
  <c r="S494" i="9"/>
  <c r="R494" i="9"/>
  <c r="Q494" i="9"/>
  <c r="P494" i="9"/>
  <c r="S493" i="9"/>
  <c r="R493" i="9"/>
  <c r="Q493" i="9"/>
  <c r="T493" i="9" s="1" a="1"/>
  <c r="T493" i="9" s="1"/>
  <c r="P493" i="9"/>
  <c r="S492" i="9"/>
  <c r="R492" i="9"/>
  <c r="Q492" i="9"/>
  <c r="P492" i="9"/>
  <c r="T492" i="9" s="1" a="1"/>
  <c r="T492" i="9" s="1"/>
  <c r="S491" i="9"/>
  <c r="R491" i="9"/>
  <c r="Q491" i="9"/>
  <c r="P491" i="9"/>
  <c r="T491" i="9" s="1" a="1"/>
  <c r="T491" i="9" s="1"/>
  <c r="S490" i="9"/>
  <c r="R490" i="9"/>
  <c r="Q490" i="9"/>
  <c r="P490" i="9"/>
  <c r="T490" i="9" s="1" a="1"/>
  <c r="T490" i="9" s="1"/>
  <c r="S489" i="9"/>
  <c r="R489" i="9"/>
  <c r="T489" i="9" s="1" a="1"/>
  <c r="T489" i="9" s="1"/>
  <c r="Q489" i="9"/>
  <c r="P489" i="9"/>
  <c r="T488" i="9" a="1"/>
  <c r="T488" i="9" s="1"/>
  <c r="S488" i="9"/>
  <c r="R488" i="9"/>
  <c r="Q488" i="9"/>
  <c r="P488" i="9"/>
  <c r="S487" i="9"/>
  <c r="R487" i="9"/>
  <c r="Q487" i="9"/>
  <c r="P487" i="9"/>
  <c r="T487" i="9" s="1" a="1"/>
  <c r="T487" i="9" s="1"/>
  <c r="T486" i="9" a="1"/>
  <c r="T486" i="9" s="1"/>
  <c r="S486" i="9"/>
  <c r="R486" i="9"/>
  <c r="Q486" i="9"/>
  <c r="P486" i="9"/>
  <c r="S485" i="9"/>
  <c r="R485" i="9"/>
  <c r="Q485" i="9"/>
  <c r="T485" i="9" s="1" a="1"/>
  <c r="T485" i="9" s="1"/>
  <c r="P485" i="9"/>
  <c r="S484" i="9"/>
  <c r="R484" i="9"/>
  <c r="Q484" i="9"/>
  <c r="P484" i="9"/>
  <c r="T484" i="9" s="1" a="1"/>
  <c r="T484" i="9" s="1"/>
  <c r="S483" i="9"/>
  <c r="R483" i="9"/>
  <c r="Q483" i="9"/>
  <c r="P483" i="9"/>
  <c r="T483" i="9" s="1" a="1"/>
  <c r="T483" i="9" s="1"/>
  <c r="S482" i="9"/>
  <c r="R482" i="9"/>
  <c r="Q482" i="9"/>
  <c r="P482" i="9"/>
  <c r="T482" i="9" s="1" a="1"/>
  <c r="T482" i="9" s="1"/>
  <c r="S481" i="9"/>
  <c r="R481" i="9"/>
  <c r="T481" i="9" s="1" a="1"/>
  <c r="T481" i="9" s="1"/>
  <c r="Q481" i="9"/>
  <c r="P481" i="9"/>
  <c r="T480" i="9" a="1"/>
  <c r="T480" i="9" s="1"/>
  <c r="S480" i="9"/>
  <c r="R480" i="9"/>
  <c r="Q480" i="9"/>
  <c r="P480" i="9"/>
  <c r="S479" i="9"/>
  <c r="R479" i="9"/>
  <c r="Q479" i="9"/>
  <c r="P479" i="9"/>
  <c r="T479" i="9" s="1" a="1"/>
  <c r="T479" i="9" s="1"/>
  <c r="T478" i="9" a="1"/>
  <c r="T478" i="9" s="1"/>
  <c r="S478" i="9"/>
  <c r="R478" i="9"/>
  <c r="Q478" i="9"/>
  <c r="P478" i="9"/>
  <c r="T477" i="9" a="1"/>
  <c r="T477" i="9" s="1"/>
  <c r="S477" i="9"/>
  <c r="R477" i="9"/>
  <c r="Q477" i="9"/>
  <c r="P477" i="9"/>
  <c r="S476" i="9"/>
  <c r="R476" i="9"/>
  <c r="Q476" i="9"/>
  <c r="P476" i="9"/>
  <c r="T476" i="9" s="1" a="1"/>
  <c r="T476" i="9" s="1"/>
  <c r="S475" i="9"/>
  <c r="R475" i="9"/>
  <c r="Q475" i="9"/>
  <c r="P475" i="9"/>
  <c r="T475" i="9" s="1" a="1"/>
  <c r="T475" i="9" s="1"/>
  <c r="S474" i="9"/>
  <c r="R474" i="9"/>
  <c r="Q474" i="9"/>
  <c r="P474" i="9"/>
  <c r="T474" i="9" s="1" a="1"/>
  <c r="T474" i="9" s="1"/>
  <c r="S473" i="9"/>
  <c r="R473" i="9"/>
  <c r="T473" i="9" s="1" a="1"/>
  <c r="T473" i="9" s="1"/>
  <c r="Q473" i="9"/>
  <c r="P473" i="9"/>
  <c r="T472" i="9" a="1"/>
  <c r="T472" i="9" s="1"/>
  <c r="S472" i="9"/>
  <c r="R472" i="9"/>
  <c r="Q472" i="9"/>
  <c r="P472" i="9"/>
  <c r="S471" i="9"/>
  <c r="R471" i="9"/>
  <c r="Q471" i="9"/>
  <c r="P471" i="9"/>
  <c r="T471" i="9" s="1" a="1"/>
  <c r="T471" i="9" s="1"/>
  <c r="T470" i="9" a="1"/>
  <c r="T470" i="9" s="1"/>
  <c r="S470" i="9"/>
  <c r="R470" i="9"/>
  <c r="Q470" i="9"/>
  <c r="P470" i="9"/>
  <c r="T469" i="9" a="1"/>
  <c r="T469" i="9" s="1"/>
  <c r="S469" i="9"/>
  <c r="R469" i="9"/>
  <c r="Q469" i="9"/>
  <c r="P469" i="9"/>
  <c r="S468" i="9"/>
  <c r="R468" i="9"/>
  <c r="Q468" i="9"/>
  <c r="P468" i="9"/>
  <c r="T468" i="9" s="1" a="1"/>
  <c r="T468" i="9" s="1"/>
  <c r="S467" i="9"/>
  <c r="R467" i="9"/>
  <c r="Q467" i="9"/>
  <c r="P467" i="9"/>
  <c r="T467" i="9" s="1" a="1"/>
  <c r="T467" i="9" s="1"/>
  <c r="S466" i="9"/>
  <c r="R466" i="9"/>
  <c r="Q466" i="9"/>
  <c r="P466" i="9"/>
  <c r="T466" i="9" s="1" a="1"/>
  <c r="T466" i="9" s="1"/>
  <c r="S465" i="9"/>
  <c r="R465" i="9"/>
  <c r="T465" i="9" s="1" a="1"/>
  <c r="T465" i="9" s="1"/>
  <c r="Q465" i="9"/>
  <c r="P465" i="9"/>
  <c r="T464" i="9" a="1"/>
  <c r="T464" i="9" s="1"/>
  <c r="S464" i="9"/>
  <c r="R464" i="9"/>
  <c r="Q464" i="9"/>
  <c r="P464" i="9"/>
  <c r="S463" i="9"/>
  <c r="R463" i="9"/>
  <c r="Q463" i="9"/>
  <c r="P463" i="9"/>
  <c r="T463" i="9" s="1" a="1"/>
  <c r="T463" i="9" s="1"/>
  <c r="T462" i="9" a="1"/>
  <c r="T462" i="9" s="1"/>
  <c r="S462" i="9"/>
  <c r="R462" i="9"/>
  <c r="Q462" i="9"/>
  <c r="P462" i="9"/>
  <c r="T461" i="9" a="1"/>
  <c r="T461" i="9" s="1"/>
  <c r="S461" i="9"/>
  <c r="R461" i="9"/>
  <c r="Q461" i="9"/>
  <c r="P461" i="9"/>
  <c r="S460" i="9"/>
  <c r="R460" i="9"/>
  <c r="Q460" i="9"/>
  <c r="P460" i="9"/>
  <c r="T460" i="9" s="1" a="1"/>
  <c r="T460" i="9" s="1"/>
  <c r="S459" i="9"/>
  <c r="R459" i="9"/>
  <c r="Q459" i="9"/>
  <c r="P459" i="9"/>
  <c r="T459" i="9" s="1" a="1"/>
  <c r="T459" i="9" s="1"/>
  <c r="S458" i="9"/>
  <c r="R458" i="9"/>
  <c r="Q458" i="9"/>
  <c r="P458" i="9"/>
  <c r="T458" i="9" s="1" a="1"/>
  <c r="T458" i="9" s="1"/>
  <c r="S457" i="9"/>
  <c r="R457" i="9"/>
  <c r="T457" i="9" s="1" a="1"/>
  <c r="T457" i="9" s="1"/>
  <c r="Q457" i="9"/>
  <c r="P457" i="9"/>
  <c r="T456" i="9" a="1"/>
  <c r="T456" i="9" s="1"/>
  <c r="S456" i="9"/>
  <c r="R456" i="9"/>
  <c r="Q456" i="9"/>
  <c r="P456" i="9"/>
  <c r="S455" i="9"/>
  <c r="R455" i="9"/>
  <c r="Q455" i="9"/>
  <c r="P455" i="9"/>
  <c r="T455" i="9" s="1" a="1"/>
  <c r="T455" i="9" s="1"/>
  <c r="T454" i="9" a="1"/>
  <c r="T454" i="9" s="1"/>
  <c r="S454" i="9"/>
  <c r="R454" i="9"/>
  <c r="Q454" i="9"/>
  <c r="P454" i="9"/>
  <c r="T453" i="9" a="1"/>
  <c r="T453" i="9" s="1"/>
  <c r="S453" i="9"/>
  <c r="R453" i="9"/>
  <c r="Q453" i="9"/>
  <c r="P453" i="9"/>
  <c r="S452" i="9"/>
  <c r="R452" i="9"/>
  <c r="Q452" i="9"/>
  <c r="P452" i="9"/>
  <c r="T452" i="9" s="1" a="1"/>
  <c r="T452" i="9" s="1"/>
  <c r="S451" i="9"/>
  <c r="R451" i="9"/>
  <c r="Q451" i="9"/>
  <c r="P451" i="9"/>
  <c r="T451" i="9" s="1" a="1"/>
  <c r="T451" i="9" s="1"/>
  <c r="S450" i="9"/>
  <c r="R450" i="9"/>
  <c r="Q450" i="9"/>
  <c r="P450" i="9"/>
  <c r="T450" i="9" s="1" a="1"/>
  <c r="T450" i="9" s="1"/>
  <c r="S449" i="9"/>
  <c r="R449" i="9"/>
  <c r="T449" i="9" s="1" a="1"/>
  <c r="T449" i="9" s="1"/>
  <c r="Q449" i="9"/>
  <c r="P449" i="9"/>
  <c r="T448" i="9" a="1"/>
  <c r="T448" i="9" s="1"/>
  <c r="S448" i="9"/>
  <c r="R448" i="9"/>
  <c r="Q448" i="9"/>
  <c r="P448" i="9"/>
  <c r="S447" i="9"/>
  <c r="R447" i="9"/>
  <c r="Q447" i="9"/>
  <c r="P447" i="9"/>
  <c r="T447" i="9" s="1" a="1"/>
  <c r="T447" i="9" s="1"/>
  <c r="T446" i="9" a="1"/>
  <c r="T446" i="9" s="1"/>
  <c r="S446" i="9"/>
  <c r="R446" i="9"/>
  <c r="Q446" i="9"/>
  <c r="P446" i="9"/>
  <c r="T445" i="9" a="1"/>
  <c r="T445" i="9" s="1"/>
  <c r="S445" i="9"/>
  <c r="R445" i="9"/>
  <c r="Q445" i="9"/>
  <c r="P445" i="9"/>
  <c r="S444" i="9"/>
  <c r="R444" i="9"/>
  <c r="Q444" i="9"/>
  <c r="P444" i="9"/>
  <c r="T444" i="9" s="1" a="1"/>
  <c r="T444" i="9" s="1"/>
  <c r="S443" i="9"/>
  <c r="R443" i="9"/>
  <c r="Q443" i="9"/>
  <c r="P443" i="9"/>
  <c r="T443" i="9" s="1" a="1"/>
  <c r="T443" i="9" s="1"/>
  <c r="S442" i="9"/>
  <c r="R442" i="9"/>
  <c r="Q442" i="9"/>
  <c r="P442" i="9"/>
  <c r="T442" i="9" s="1" a="1"/>
  <c r="T442" i="9" s="1"/>
  <c r="S441" i="9"/>
  <c r="R441" i="9"/>
  <c r="T441" i="9" s="1" a="1"/>
  <c r="T441" i="9" s="1"/>
  <c r="Q441" i="9"/>
  <c r="P441" i="9"/>
  <c r="T440" i="9" a="1"/>
  <c r="T440" i="9" s="1"/>
  <c r="S440" i="9"/>
  <c r="R440" i="9"/>
  <c r="Q440" i="9"/>
  <c r="P440" i="9"/>
  <c r="S439" i="9"/>
  <c r="R439" i="9"/>
  <c r="Q439" i="9"/>
  <c r="P439" i="9"/>
  <c r="T439" i="9" s="1" a="1"/>
  <c r="T439" i="9" s="1"/>
  <c r="T438" i="9" a="1"/>
  <c r="T438" i="9" s="1"/>
  <c r="S438" i="9"/>
  <c r="R438" i="9"/>
  <c r="Q438" i="9"/>
  <c r="P438" i="9"/>
  <c r="T437" i="9" a="1"/>
  <c r="T437" i="9" s="1"/>
  <c r="S437" i="9"/>
  <c r="R437" i="9"/>
  <c r="Q437" i="9"/>
  <c r="P437" i="9"/>
  <c r="S436" i="9"/>
  <c r="R436" i="9"/>
  <c r="Q436" i="9"/>
  <c r="P436" i="9"/>
  <c r="T436" i="9" s="1" a="1"/>
  <c r="T436" i="9" s="1"/>
  <c r="S435" i="9"/>
  <c r="R435" i="9"/>
  <c r="Q435" i="9"/>
  <c r="P435" i="9"/>
  <c r="T435" i="9" s="1" a="1"/>
  <c r="T435" i="9" s="1"/>
  <c r="S434" i="9"/>
  <c r="R434" i="9"/>
  <c r="Q434" i="9"/>
  <c r="P434" i="9"/>
  <c r="T434" i="9" s="1" a="1"/>
  <c r="T434" i="9" s="1"/>
  <c r="S433" i="9"/>
  <c r="R433" i="9"/>
  <c r="T433" i="9" s="1" a="1"/>
  <c r="T433" i="9" s="1"/>
  <c r="Q433" i="9"/>
  <c r="P433" i="9"/>
  <c r="T432" i="9" a="1"/>
  <c r="T432" i="9" s="1"/>
  <c r="S432" i="9"/>
  <c r="R432" i="9"/>
  <c r="Q432" i="9"/>
  <c r="P432" i="9"/>
  <c r="S431" i="9"/>
  <c r="R431" i="9"/>
  <c r="Q431" i="9"/>
  <c r="P431" i="9"/>
  <c r="T431" i="9" s="1" a="1"/>
  <c r="T431" i="9" s="1"/>
  <c r="T430" i="9" a="1"/>
  <c r="T430" i="9" s="1"/>
  <c r="S430" i="9"/>
  <c r="R430" i="9"/>
  <c r="Q430" i="9"/>
  <c r="P430" i="9"/>
  <c r="T429" i="9" a="1"/>
  <c r="T429" i="9" s="1"/>
  <c r="S429" i="9"/>
  <c r="R429" i="9"/>
  <c r="Q429" i="9"/>
  <c r="P429" i="9"/>
  <c r="S428" i="9"/>
  <c r="R428" i="9"/>
  <c r="Q428" i="9"/>
  <c r="P428" i="9"/>
  <c r="T428" i="9" s="1" a="1"/>
  <c r="T428" i="9" s="1"/>
  <c r="S427" i="9"/>
  <c r="R427" i="9"/>
  <c r="Q427" i="9"/>
  <c r="P427" i="9"/>
  <c r="T427" i="9" s="1" a="1"/>
  <c r="T427" i="9" s="1"/>
  <c r="S426" i="9"/>
  <c r="R426" i="9"/>
  <c r="Q426" i="9"/>
  <c r="P426" i="9"/>
  <c r="T426" i="9" s="1" a="1"/>
  <c r="T426" i="9" s="1"/>
  <c r="S425" i="9"/>
  <c r="R425" i="9"/>
  <c r="T425" i="9" s="1" a="1"/>
  <c r="T425" i="9" s="1"/>
  <c r="Q425" i="9"/>
  <c r="P425" i="9"/>
  <c r="T424" i="9" a="1"/>
  <c r="T424" i="9" s="1"/>
  <c r="S424" i="9"/>
  <c r="R424" i="9"/>
  <c r="Q424" i="9"/>
  <c r="P424" i="9"/>
  <c r="S423" i="9"/>
  <c r="R423" i="9"/>
  <c r="Q423" i="9"/>
  <c r="P423" i="9"/>
  <c r="T423" i="9" s="1" a="1"/>
  <c r="T423" i="9" s="1"/>
  <c r="T422" i="9" a="1"/>
  <c r="T422" i="9" s="1"/>
  <c r="S422" i="9"/>
  <c r="R422" i="9"/>
  <c r="Q422" i="9"/>
  <c r="P422" i="9"/>
  <c r="T421" i="9" a="1"/>
  <c r="T421" i="9" s="1"/>
  <c r="S421" i="9"/>
  <c r="R421" i="9"/>
  <c r="Q421" i="9"/>
  <c r="P421" i="9"/>
  <c r="S420" i="9"/>
  <c r="R420" i="9"/>
  <c r="Q420" i="9"/>
  <c r="P420" i="9"/>
  <c r="T420" i="9" s="1" a="1"/>
  <c r="T420" i="9" s="1"/>
  <c r="S419" i="9"/>
  <c r="R419" i="9"/>
  <c r="Q419" i="9"/>
  <c r="P419" i="9"/>
  <c r="T419" i="9" s="1" a="1"/>
  <c r="T419" i="9" s="1"/>
  <c r="S418" i="9"/>
  <c r="R418" i="9"/>
  <c r="Q418" i="9"/>
  <c r="P418" i="9"/>
  <c r="T418" i="9" s="1" a="1"/>
  <c r="T418" i="9" s="1"/>
  <c r="S417" i="9"/>
  <c r="R417" i="9"/>
  <c r="T417" i="9" s="1" a="1"/>
  <c r="T417" i="9" s="1"/>
  <c r="Q417" i="9"/>
  <c r="P417" i="9"/>
  <c r="T416" i="9" a="1"/>
  <c r="T416" i="9" s="1"/>
  <c r="S416" i="9"/>
  <c r="R416" i="9"/>
  <c r="Q416" i="9"/>
  <c r="P416" i="9"/>
  <c r="S415" i="9"/>
  <c r="R415" i="9"/>
  <c r="Q415" i="9"/>
  <c r="P415" i="9"/>
  <c r="T415" i="9" s="1" a="1"/>
  <c r="T415" i="9" s="1"/>
  <c r="T414" i="9" a="1"/>
  <c r="T414" i="9" s="1"/>
  <c r="S414" i="9"/>
  <c r="R414" i="9"/>
  <c r="Q414" i="9"/>
  <c r="P414" i="9"/>
  <c r="T413" i="9" a="1"/>
  <c r="T413" i="9" s="1"/>
  <c r="S413" i="9"/>
  <c r="R413" i="9"/>
  <c r="Q413" i="9"/>
  <c r="P413" i="9"/>
  <c r="S412" i="9"/>
  <c r="R412" i="9"/>
  <c r="Q412" i="9"/>
  <c r="P412" i="9"/>
  <c r="T412" i="9" s="1" a="1"/>
  <c r="T412" i="9" s="1"/>
  <c r="S411" i="9"/>
  <c r="R411" i="9"/>
  <c r="Q411" i="9"/>
  <c r="P411" i="9"/>
  <c r="T411" i="9" s="1" a="1"/>
  <c r="T411" i="9" s="1"/>
  <c r="S410" i="9"/>
  <c r="R410" i="9"/>
  <c r="Q410" i="9"/>
  <c r="P410" i="9"/>
  <c r="T410" i="9" s="1" a="1"/>
  <c r="T410" i="9" s="1"/>
  <c r="S409" i="9"/>
  <c r="R409" i="9"/>
  <c r="T409" i="9" s="1" a="1"/>
  <c r="T409" i="9" s="1"/>
  <c r="Q409" i="9"/>
  <c r="P409" i="9"/>
  <c r="T408" i="9" a="1"/>
  <c r="T408" i="9" s="1"/>
  <c r="S408" i="9"/>
  <c r="R408" i="9"/>
  <c r="Q408" i="9"/>
  <c r="P408" i="9"/>
  <c r="S407" i="9"/>
  <c r="R407" i="9"/>
  <c r="Q407" i="9"/>
  <c r="P407" i="9"/>
  <c r="T407" i="9" s="1" a="1"/>
  <c r="T407" i="9" s="1"/>
  <c r="T406" i="9" a="1"/>
  <c r="T406" i="9" s="1"/>
  <c r="S406" i="9"/>
  <c r="R406" i="9"/>
  <c r="Q406" i="9"/>
  <c r="P406" i="9"/>
  <c r="T405" i="9" a="1"/>
  <c r="T405" i="9" s="1"/>
  <c r="S405" i="9"/>
  <c r="R405" i="9"/>
  <c r="Q405" i="9"/>
  <c r="P405" i="9"/>
  <c r="S404" i="9"/>
  <c r="R404" i="9"/>
  <c r="Q404" i="9"/>
  <c r="P404" i="9"/>
  <c r="T404" i="9" s="1" a="1"/>
  <c r="T404" i="9" s="1"/>
  <c r="S403" i="9"/>
  <c r="R403" i="9"/>
  <c r="Q403" i="9"/>
  <c r="P403" i="9"/>
  <c r="T403" i="9" s="1" a="1"/>
  <c r="T403" i="9" s="1"/>
  <c r="S402" i="9"/>
  <c r="R402" i="9"/>
  <c r="Q402" i="9"/>
  <c r="P402" i="9"/>
  <c r="T402" i="9" s="1" a="1"/>
  <c r="T402" i="9" s="1"/>
  <c r="S401" i="9"/>
  <c r="R401" i="9"/>
  <c r="T401" i="9" s="1" a="1"/>
  <c r="T401" i="9" s="1"/>
  <c r="Q401" i="9"/>
  <c r="P401" i="9"/>
  <c r="T400" i="9" a="1"/>
  <c r="T400" i="9" s="1"/>
  <c r="S400" i="9"/>
  <c r="R400" i="9"/>
  <c r="Q400" i="9"/>
  <c r="P400" i="9"/>
  <c r="S399" i="9"/>
  <c r="R399" i="9"/>
  <c r="Q399" i="9"/>
  <c r="P399" i="9"/>
  <c r="T399" i="9" s="1" a="1"/>
  <c r="T399" i="9" s="1"/>
  <c r="T398" i="9" a="1"/>
  <c r="T398" i="9" s="1"/>
  <c r="S398" i="9"/>
  <c r="R398" i="9"/>
  <c r="Q398" i="9"/>
  <c r="P398" i="9"/>
  <c r="T397" i="9" a="1"/>
  <c r="T397" i="9" s="1"/>
  <c r="S397" i="9"/>
  <c r="R397" i="9"/>
  <c r="Q397" i="9"/>
  <c r="P397" i="9"/>
  <c r="S396" i="9"/>
  <c r="R396" i="9"/>
  <c r="Q396" i="9"/>
  <c r="P396" i="9"/>
  <c r="T396" i="9" s="1" a="1"/>
  <c r="T396" i="9" s="1"/>
  <c r="S395" i="9"/>
  <c r="R395" i="9"/>
  <c r="Q395" i="9"/>
  <c r="P395" i="9"/>
  <c r="T395" i="9" s="1" a="1"/>
  <c r="T395" i="9" s="1"/>
  <c r="S394" i="9"/>
  <c r="R394" i="9"/>
  <c r="Q394" i="9"/>
  <c r="P394" i="9"/>
  <c r="T394" i="9" s="1" a="1"/>
  <c r="T394" i="9" s="1"/>
  <c r="S393" i="9"/>
  <c r="R393" i="9"/>
  <c r="T393" i="9" s="1" a="1"/>
  <c r="T393" i="9" s="1"/>
  <c r="Q393" i="9"/>
  <c r="P393" i="9"/>
  <c r="T392" i="9" a="1"/>
  <c r="T392" i="9" s="1"/>
  <c r="S392" i="9"/>
  <c r="R392" i="9"/>
  <c r="Q392" i="9"/>
  <c r="P392" i="9"/>
  <c r="S391" i="9"/>
  <c r="R391" i="9"/>
  <c r="Q391" i="9"/>
  <c r="P391" i="9"/>
  <c r="T391" i="9" s="1" a="1"/>
  <c r="T391" i="9" s="1"/>
  <c r="T390" i="9" a="1"/>
  <c r="T390" i="9" s="1"/>
  <c r="S390" i="9"/>
  <c r="R390" i="9"/>
  <c r="Q390" i="9"/>
  <c r="P390" i="9"/>
  <c r="T389" i="9" a="1"/>
  <c r="T389" i="9" s="1"/>
  <c r="S389" i="9"/>
  <c r="R389" i="9"/>
  <c r="Q389" i="9"/>
  <c r="P389" i="9"/>
  <c r="S388" i="9"/>
  <c r="R388" i="9"/>
  <c r="Q388" i="9"/>
  <c r="P388" i="9"/>
  <c r="T388" i="9" s="1" a="1"/>
  <c r="T388" i="9" s="1"/>
  <c r="S387" i="9"/>
  <c r="R387" i="9"/>
  <c r="Q387" i="9"/>
  <c r="P387" i="9"/>
  <c r="T387" i="9" s="1" a="1"/>
  <c r="T387" i="9" s="1"/>
  <c r="S386" i="9"/>
  <c r="R386" i="9"/>
  <c r="Q386" i="9"/>
  <c r="P386" i="9"/>
  <c r="T386" i="9" s="1" a="1"/>
  <c r="T386" i="9" s="1"/>
  <c r="S385" i="9"/>
  <c r="R385" i="9"/>
  <c r="T385" i="9" s="1" a="1"/>
  <c r="T385" i="9" s="1"/>
  <c r="Q385" i="9"/>
  <c r="P385" i="9"/>
  <c r="T384" i="9" a="1"/>
  <c r="T384" i="9" s="1"/>
  <c r="S384" i="9"/>
  <c r="R384" i="9"/>
  <c r="Q384" i="9"/>
  <c r="P384" i="9"/>
  <c r="S383" i="9"/>
  <c r="R383" i="9"/>
  <c r="Q383" i="9"/>
  <c r="P383" i="9"/>
  <c r="T383" i="9" s="1" a="1"/>
  <c r="T383" i="9" s="1"/>
  <c r="T382" i="9" a="1"/>
  <c r="T382" i="9" s="1"/>
  <c r="S382" i="9"/>
  <c r="R382" i="9"/>
  <c r="Q382" i="9"/>
  <c r="P382" i="9"/>
  <c r="T381" i="9" a="1"/>
  <c r="T381" i="9" s="1"/>
  <c r="S381" i="9"/>
  <c r="R381" i="9"/>
  <c r="Q381" i="9"/>
  <c r="P381" i="9"/>
  <c r="S380" i="9"/>
  <c r="R380" i="9"/>
  <c r="Q380" i="9"/>
  <c r="P380" i="9"/>
  <c r="T380" i="9" s="1" a="1"/>
  <c r="T380" i="9" s="1"/>
  <c r="S379" i="9"/>
  <c r="R379" i="9"/>
  <c r="Q379" i="9"/>
  <c r="P379" i="9"/>
  <c r="T379" i="9" s="1" a="1"/>
  <c r="T379" i="9" s="1"/>
  <c r="S378" i="9"/>
  <c r="R378" i="9"/>
  <c r="Q378" i="9"/>
  <c r="P378" i="9"/>
  <c r="T378" i="9" s="1" a="1"/>
  <c r="T378" i="9" s="1"/>
  <c r="S377" i="9"/>
  <c r="R377" i="9"/>
  <c r="T377" i="9" s="1" a="1"/>
  <c r="T377" i="9" s="1"/>
  <c r="Q377" i="9"/>
  <c r="P377" i="9"/>
  <c r="T376" i="9" a="1"/>
  <c r="T376" i="9" s="1"/>
  <c r="S376" i="9"/>
  <c r="R376" i="9"/>
  <c r="Q376" i="9"/>
  <c r="P376" i="9"/>
  <c r="S375" i="9"/>
  <c r="R375" i="9"/>
  <c r="Q375" i="9"/>
  <c r="P375" i="9"/>
  <c r="T375" i="9" s="1" a="1"/>
  <c r="T375" i="9" s="1"/>
  <c r="T374" i="9" a="1"/>
  <c r="T374" i="9" s="1"/>
  <c r="S374" i="9"/>
  <c r="R374" i="9"/>
  <c r="Q374" i="9"/>
  <c r="P374" i="9"/>
  <c r="T373" i="9" a="1"/>
  <c r="T373" i="9" s="1"/>
  <c r="S373" i="9"/>
  <c r="R373" i="9"/>
  <c r="Q373" i="9"/>
  <c r="P373" i="9"/>
  <c r="S372" i="9"/>
  <c r="R372" i="9"/>
  <c r="Q372" i="9"/>
  <c r="P372" i="9"/>
  <c r="T372" i="9" s="1" a="1"/>
  <c r="T372" i="9" s="1"/>
  <c r="S371" i="9"/>
  <c r="R371" i="9"/>
  <c r="Q371" i="9"/>
  <c r="P371" i="9"/>
  <c r="T371" i="9" s="1" a="1"/>
  <c r="T371" i="9" s="1"/>
  <c r="S370" i="9"/>
  <c r="R370" i="9"/>
  <c r="Q370" i="9"/>
  <c r="P370" i="9"/>
  <c r="T370" i="9" s="1" a="1"/>
  <c r="T370" i="9" s="1"/>
  <c r="S369" i="9"/>
  <c r="R369" i="9"/>
  <c r="T369" i="9" s="1" a="1"/>
  <c r="T369" i="9" s="1"/>
  <c r="Q369" i="9"/>
  <c r="P369" i="9"/>
  <c r="T368" i="9" a="1"/>
  <c r="T368" i="9" s="1"/>
  <c r="S368" i="9"/>
  <c r="R368" i="9"/>
  <c r="Q368" i="9"/>
  <c r="P368" i="9"/>
  <c r="S367" i="9"/>
  <c r="R367" i="9"/>
  <c r="Q367" i="9"/>
  <c r="P367" i="9"/>
  <c r="T367" i="9" s="1" a="1"/>
  <c r="T367" i="9" s="1"/>
  <c r="T366" i="9" a="1"/>
  <c r="T366" i="9" s="1"/>
  <c r="S366" i="9"/>
  <c r="R366" i="9"/>
  <c r="Q366" i="9"/>
  <c r="P366" i="9"/>
  <c r="T365" i="9" a="1"/>
  <c r="T365" i="9" s="1"/>
  <c r="S365" i="9"/>
  <c r="R365" i="9"/>
  <c r="Q365" i="9"/>
  <c r="P365" i="9"/>
  <c r="S364" i="9"/>
  <c r="R364" i="9"/>
  <c r="Q364" i="9"/>
  <c r="P364" i="9"/>
  <c r="T364" i="9" s="1" a="1"/>
  <c r="T364" i="9" s="1"/>
  <c r="S363" i="9"/>
  <c r="R363" i="9"/>
  <c r="Q363" i="9"/>
  <c r="P363" i="9"/>
  <c r="T363" i="9" s="1" a="1"/>
  <c r="T363" i="9" s="1"/>
  <c r="S362" i="9"/>
  <c r="R362" i="9"/>
  <c r="Q362" i="9"/>
  <c r="P362" i="9"/>
  <c r="T362" i="9" s="1" a="1"/>
  <c r="T362" i="9" s="1"/>
  <c r="S361" i="9"/>
  <c r="R361" i="9"/>
  <c r="T361" i="9" s="1" a="1"/>
  <c r="T361" i="9" s="1"/>
  <c r="Q361" i="9"/>
  <c r="P361" i="9"/>
  <c r="T360" i="9" a="1"/>
  <c r="T360" i="9" s="1"/>
  <c r="S360" i="9"/>
  <c r="R360" i="9"/>
  <c r="Q360" i="9"/>
  <c r="P360" i="9"/>
  <c r="S359" i="9"/>
  <c r="R359" i="9"/>
  <c r="Q359" i="9"/>
  <c r="P359" i="9"/>
  <c r="T359" i="9" s="1" a="1"/>
  <c r="T359" i="9" s="1"/>
  <c r="T358" i="9" a="1"/>
  <c r="T358" i="9" s="1"/>
  <c r="S358" i="9"/>
  <c r="R358" i="9"/>
  <c r="Q358" i="9"/>
  <c r="P358" i="9"/>
  <c r="T357" i="9" a="1"/>
  <c r="T357" i="9" s="1"/>
  <c r="S357" i="9"/>
  <c r="R357" i="9"/>
  <c r="Q357" i="9"/>
  <c r="P357" i="9"/>
  <c r="S356" i="9"/>
  <c r="R356" i="9"/>
  <c r="Q356" i="9"/>
  <c r="P356" i="9"/>
  <c r="T356" i="9" s="1" a="1"/>
  <c r="T356" i="9" s="1"/>
  <c r="S355" i="9"/>
  <c r="R355" i="9"/>
  <c r="Q355" i="9"/>
  <c r="P355" i="9"/>
  <c r="T355" i="9" s="1" a="1"/>
  <c r="T355" i="9" s="1"/>
  <c r="S354" i="9"/>
  <c r="R354" i="9"/>
  <c r="Q354" i="9"/>
  <c r="P354" i="9"/>
  <c r="T354" i="9" s="1" a="1"/>
  <c r="T354" i="9" s="1"/>
  <c r="S353" i="9"/>
  <c r="R353" i="9"/>
  <c r="T353" i="9" s="1" a="1"/>
  <c r="T353" i="9" s="1"/>
  <c r="Q353" i="9"/>
  <c r="P353" i="9"/>
  <c r="T352" i="9" a="1"/>
  <c r="T352" i="9" s="1"/>
  <c r="S352" i="9"/>
  <c r="R352" i="9"/>
  <c r="Q352" i="9"/>
  <c r="P352" i="9"/>
  <c r="S351" i="9"/>
  <c r="R351" i="9"/>
  <c r="Q351" i="9"/>
  <c r="P351" i="9"/>
  <c r="T351" i="9" s="1" a="1"/>
  <c r="T351" i="9" s="1"/>
  <c r="T350" i="9" a="1"/>
  <c r="T350" i="9" s="1"/>
  <c r="S350" i="9"/>
  <c r="R350" i="9"/>
  <c r="Q350" i="9"/>
  <c r="P350" i="9"/>
  <c r="T349" i="9" a="1"/>
  <c r="T349" i="9" s="1"/>
  <c r="S349" i="9"/>
  <c r="R349" i="9"/>
  <c r="Q349" i="9"/>
  <c r="P349" i="9"/>
  <c r="S348" i="9"/>
  <c r="R348" i="9"/>
  <c r="Q348" i="9"/>
  <c r="P348" i="9"/>
  <c r="T348" i="9" s="1" a="1"/>
  <c r="T348" i="9" s="1"/>
  <c r="S347" i="9"/>
  <c r="R347" i="9"/>
  <c r="Q347" i="9"/>
  <c r="P347" i="9"/>
  <c r="T347" i="9" s="1" a="1"/>
  <c r="T347" i="9" s="1"/>
  <c r="S346" i="9"/>
  <c r="R346" i="9"/>
  <c r="Q346" i="9"/>
  <c r="P346" i="9"/>
  <c r="T346" i="9" s="1" a="1"/>
  <c r="T346" i="9" s="1"/>
  <c r="S345" i="9"/>
  <c r="R345" i="9"/>
  <c r="T345" i="9" s="1" a="1"/>
  <c r="T345" i="9" s="1"/>
  <c r="Q345" i="9"/>
  <c r="P345" i="9"/>
  <c r="T344" i="9" a="1"/>
  <c r="T344" i="9" s="1"/>
  <c r="S344" i="9"/>
  <c r="R344" i="9"/>
  <c r="Q344" i="9"/>
  <c r="P344" i="9"/>
  <c r="S343" i="9"/>
  <c r="R343" i="9"/>
  <c r="Q343" i="9"/>
  <c r="P343" i="9"/>
  <c r="T343" i="9" s="1" a="1"/>
  <c r="T343" i="9" s="1"/>
  <c r="T342" i="9" a="1"/>
  <c r="T342" i="9" s="1"/>
  <c r="S342" i="9"/>
  <c r="R342" i="9"/>
  <c r="Q342" i="9"/>
  <c r="P342" i="9"/>
  <c r="T341" i="9" a="1"/>
  <c r="T341" i="9" s="1"/>
  <c r="S341" i="9"/>
  <c r="R341" i="9"/>
  <c r="Q341" i="9"/>
  <c r="P341" i="9"/>
  <c r="S340" i="9"/>
  <c r="R340" i="9"/>
  <c r="Q340" i="9"/>
  <c r="P340" i="9"/>
  <c r="T340" i="9" s="1" a="1"/>
  <c r="T340" i="9" s="1"/>
  <c r="S339" i="9"/>
  <c r="R339" i="9"/>
  <c r="Q339" i="9"/>
  <c r="P339" i="9"/>
  <c r="T339" i="9" s="1" a="1"/>
  <c r="T339" i="9" s="1"/>
  <c r="S338" i="9"/>
  <c r="R338" i="9"/>
  <c r="Q338" i="9"/>
  <c r="P338" i="9"/>
  <c r="T338" i="9" s="1" a="1"/>
  <c r="T338" i="9" s="1"/>
  <c r="S337" i="9"/>
  <c r="R337" i="9"/>
  <c r="T337" i="9" s="1" a="1"/>
  <c r="T337" i="9" s="1"/>
  <c r="Q337" i="9"/>
  <c r="P337" i="9"/>
  <c r="T336" i="9" a="1"/>
  <c r="T336" i="9" s="1"/>
  <c r="S336" i="9"/>
  <c r="R336" i="9"/>
  <c r="Q336" i="9"/>
  <c r="P336" i="9"/>
  <c r="S335" i="9"/>
  <c r="R335" i="9"/>
  <c r="Q335" i="9"/>
  <c r="P335" i="9"/>
  <c r="T335" i="9" s="1" a="1"/>
  <c r="T335" i="9" s="1"/>
  <c r="T334" i="9" a="1"/>
  <c r="T334" i="9" s="1"/>
  <c r="S334" i="9"/>
  <c r="R334" i="9"/>
  <c r="Q334" i="9"/>
  <c r="P334" i="9"/>
  <c r="T333" i="9" a="1"/>
  <c r="T333" i="9" s="1"/>
  <c r="S333" i="9"/>
  <c r="R333" i="9"/>
  <c r="Q333" i="9"/>
  <c r="P333" i="9"/>
  <c r="S332" i="9"/>
  <c r="R332" i="9"/>
  <c r="Q332" i="9"/>
  <c r="P332" i="9"/>
  <c r="T332" i="9" s="1" a="1"/>
  <c r="T332" i="9" s="1"/>
  <c r="S331" i="9"/>
  <c r="R331" i="9"/>
  <c r="Q331" i="9"/>
  <c r="P331" i="9"/>
  <c r="T331" i="9" s="1" a="1"/>
  <c r="T331" i="9" s="1"/>
  <c r="S330" i="9"/>
  <c r="R330" i="9"/>
  <c r="Q330" i="9"/>
  <c r="P330" i="9"/>
  <c r="T330" i="9" s="1" a="1"/>
  <c r="T330" i="9" s="1"/>
  <c r="S329" i="9"/>
  <c r="R329" i="9"/>
  <c r="T329" i="9" s="1" a="1"/>
  <c r="T329" i="9" s="1"/>
  <c r="Q329" i="9"/>
  <c r="P329" i="9"/>
  <c r="T328" i="9" a="1"/>
  <c r="T328" i="9" s="1"/>
  <c r="S328" i="9"/>
  <c r="R328" i="9"/>
  <c r="Q328" i="9"/>
  <c r="P328" i="9"/>
  <c r="S327" i="9"/>
  <c r="R327" i="9"/>
  <c r="Q327" i="9"/>
  <c r="P327" i="9"/>
  <c r="T326" i="9" a="1"/>
  <c r="T326" i="9" s="1"/>
  <c r="S326" i="9"/>
  <c r="R326" i="9"/>
  <c r="Q326" i="9"/>
  <c r="P326" i="9"/>
  <c r="T325" i="9" a="1"/>
  <c r="T325" i="9" s="1"/>
  <c r="S325" i="9"/>
  <c r="R325" i="9"/>
  <c r="Q325" i="9"/>
  <c r="P325" i="9"/>
  <c r="S324" i="9"/>
  <c r="R324" i="9"/>
  <c r="Q324" i="9"/>
  <c r="P324" i="9"/>
  <c r="T324" i="9" s="1" a="1"/>
  <c r="T324" i="9" s="1"/>
  <c r="S323" i="9"/>
  <c r="R323" i="9"/>
  <c r="Q323" i="9"/>
  <c r="P323" i="9"/>
  <c r="T323" i="9" s="1" a="1"/>
  <c r="T323" i="9" s="1"/>
  <c r="S322" i="9"/>
  <c r="R322" i="9"/>
  <c r="Q322" i="9"/>
  <c r="P322" i="9"/>
  <c r="T322" i="9" s="1" a="1"/>
  <c r="T322" i="9" s="1"/>
  <c r="S321" i="9"/>
  <c r="R321" i="9"/>
  <c r="T321" i="9" s="1" a="1"/>
  <c r="T321" i="9" s="1"/>
  <c r="Q321" i="9"/>
  <c r="P321" i="9"/>
  <c r="T320" i="9" a="1"/>
  <c r="T320" i="9" s="1"/>
  <c r="S320" i="9"/>
  <c r="R320" i="9"/>
  <c r="Q320" i="9"/>
  <c r="P320" i="9"/>
  <c r="S319" i="9"/>
  <c r="R319" i="9"/>
  <c r="Q319" i="9"/>
  <c r="P319" i="9"/>
  <c r="T318" i="9" a="1"/>
  <c r="T318" i="9" s="1"/>
  <c r="S318" i="9"/>
  <c r="R318" i="9"/>
  <c r="Q318" i="9"/>
  <c r="P318" i="9"/>
  <c r="T317" i="9" a="1"/>
  <c r="T317" i="9" s="1"/>
  <c r="S317" i="9"/>
  <c r="R317" i="9"/>
  <c r="Q317" i="9"/>
  <c r="P317" i="9"/>
  <c r="S316" i="9"/>
  <c r="R316" i="9"/>
  <c r="Q316" i="9"/>
  <c r="P316" i="9"/>
  <c r="T316" i="9" s="1" a="1"/>
  <c r="T316" i="9" s="1"/>
  <c r="S315" i="9"/>
  <c r="R315" i="9"/>
  <c r="Q315" i="9"/>
  <c r="P315" i="9"/>
  <c r="T315" i="9" s="1" a="1"/>
  <c r="T315" i="9" s="1"/>
  <c r="S314" i="9"/>
  <c r="R314" i="9"/>
  <c r="Q314" i="9"/>
  <c r="P314" i="9"/>
  <c r="T314" i="9" s="1" a="1"/>
  <c r="T314" i="9" s="1"/>
  <c r="S313" i="9"/>
  <c r="R313" i="9"/>
  <c r="T313" i="9" s="1" a="1"/>
  <c r="T313" i="9" s="1"/>
  <c r="Q313" i="9"/>
  <c r="P313" i="9"/>
  <c r="T312" i="9" a="1"/>
  <c r="T312" i="9" s="1"/>
  <c r="S312" i="9"/>
  <c r="R312" i="9"/>
  <c r="Q312" i="9"/>
  <c r="P312" i="9"/>
  <c r="S311" i="9"/>
  <c r="R311" i="9"/>
  <c r="Q311" i="9"/>
  <c r="P311" i="9"/>
  <c r="T310" i="9" a="1"/>
  <c r="T310" i="9" s="1"/>
  <c r="S310" i="9"/>
  <c r="R310" i="9"/>
  <c r="Q310" i="9"/>
  <c r="P310" i="9"/>
  <c r="T309" i="9" a="1"/>
  <c r="T309" i="9" s="1"/>
  <c r="S309" i="9"/>
  <c r="R309" i="9"/>
  <c r="Q309" i="9"/>
  <c r="P309" i="9"/>
  <c r="T308" i="9" a="1"/>
  <c r="T308" i="9" s="1"/>
  <c r="S308" i="9"/>
  <c r="R308" i="9"/>
  <c r="Q308" i="9"/>
  <c r="P308" i="9"/>
  <c r="S307" i="9"/>
  <c r="R307" i="9"/>
  <c r="Q307" i="9"/>
  <c r="P307" i="9"/>
  <c r="T307" i="9" s="1" a="1"/>
  <c r="T307" i="9" s="1"/>
  <c r="S306" i="9"/>
  <c r="R306" i="9"/>
  <c r="Q306" i="9"/>
  <c r="P306" i="9"/>
  <c r="T306" i="9" s="1" a="1"/>
  <c r="T306" i="9" s="1"/>
  <c r="S305" i="9"/>
  <c r="R305" i="9"/>
  <c r="T305" i="9" s="1" a="1"/>
  <c r="T305" i="9" s="1"/>
  <c r="Q305" i="9"/>
  <c r="P305" i="9"/>
  <c r="T304" i="9" a="1"/>
  <c r="T304" i="9" s="1"/>
  <c r="S304" i="9"/>
  <c r="R304" i="9"/>
  <c r="Q304" i="9"/>
  <c r="P304" i="9"/>
  <c r="S303" i="9"/>
  <c r="R303" i="9"/>
  <c r="Q303" i="9"/>
  <c r="P303" i="9"/>
  <c r="T302" i="9" a="1"/>
  <c r="T302" i="9" s="1"/>
  <c r="S302" i="9"/>
  <c r="R302" i="9"/>
  <c r="Q302" i="9"/>
  <c r="P302" i="9"/>
  <c r="T301" i="9" a="1"/>
  <c r="T301" i="9" s="1"/>
  <c r="S301" i="9"/>
  <c r="R301" i="9"/>
  <c r="Q301" i="9"/>
  <c r="P301" i="9"/>
  <c r="S300" i="9"/>
  <c r="R300" i="9"/>
  <c r="Q300" i="9"/>
  <c r="P300" i="9"/>
  <c r="T300" i="9" s="1" a="1"/>
  <c r="T300" i="9" s="1"/>
  <c r="S299" i="9"/>
  <c r="R299" i="9"/>
  <c r="Q299" i="9"/>
  <c r="P299" i="9"/>
  <c r="T299" i="9" s="1" a="1"/>
  <c r="T299" i="9" s="1"/>
  <c r="S298" i="9"/>
  <c r="R298" i="9"/>
  <c r="Q298" i="9"/>
  <c r="P298" i="9"/>
  <c r="T298" i="9" s="1" a="1"/>
  <c r="T298" i="9" s="1"/>
  <c r="S297" i="9"/>
  <c r="R297" i="9"/>
  <c r="T297" i="9" s="1" a="1"/>
  <c r="T297" i="9" s="1"/>
  <c r="Q297" i="9"/>
  <c r="P297" i="9"/>
  <c r="T296" i="9" a="1"/>
  <c r="T296" i="9" s="1"/>
  <c r="S296" i="9"/>
  <c r="R296" i="9"/>
  <c r="Q296" i="9"/>
  <c r="P296" i="9"/>
  <c r="S295" i="9"/>
  <c r="R295" i="9"/>
  <c r="Q295" i="9"/>
  <c r="P295" i="9"/>
  <c r="T294" i="9" a="1"/>
  <c r="T294" i="9" s="1"/>
  <c r="S294" i="9"/>
  <c r="R294" i="9"/>
  <c r="Q294" i="9"/>
  <c r="P294" i="9"/>
  <c r="T293" i="9" a="1"/>
  <c r="T293" i="9" s="1"/>
  <c r="S293" i="9"/>
  <c r="R293" i="9"/>
  <c r="Q293" i="9"/>
  <c r="P293" i="9"/>
  <c r="S292" i="9"/>
  <c r="R292" i="9"/>
  <c r="Q292" i="9"/>
  <c r="P292" i="9"/>
  <c r="T292" i="9" s="1" a="1"/>
  <c r="T292" i="9" s="1"/>
  <c r="S291" i="9"/>
  <c r="R291" i="9"/>
  <c r="Q291" i="9"/>
  <c r="P291" i="9"/>
  <c r="T291" i="9" s="1" a="1"/>
  <c r="T291" i="9" s="1"/>
  <c r="S290" i="9"/>
  <c r="R290" i="9"/>
  <c r="Q290" i="9"/>
  <c r="P290" i="9"/>
  <c r="T290" i="9" s="1" a="1"/>
  <c r="T290" i="9" s="1"/>
  <c r="S289" i="9"/>
  <c r="R289" i="9"/>
  <c r="T289" i="9" s="1" a="1"/>
  <c r="T289" i="9" s="1"/>
  <c r="Q289" i="9"/>
  <c r="P289" i="9"/>
  <c r="T288" i="9" a="1"/>
  <c r="T288" i="9" s="1"/>
  <c r="S288" i="9"/>
  <c r="R288" i="9"/>
  <c r="Q288" i="9"/>
  <c r="P288" i="9"/>
  <c r="S287" i="9"/>
  <c r="R287" i="9"/>
  <c r="Q287" i="9"/>
  <c r="P287" i="9"/>
  <c r="S286" i="9"/>
  <c r="R286" i="9"/>
  <c r="Q286" i="9"/>
  <c r="P286" i="9"/>
  <c r="T286" i="9" s="1" a="1"/>
  <c r="T286" i="9" s="1"/>
  <c r="T285" i="9" a="1"/>
  <c r="T285" i="9" s="1"/>
  <c r="S285" i="9"/>
  <c r="R285" i="9"/>
  <c r="Q285" i="9"/>
  <c r="P285" i="9"/>
  <c r="S284" i="9"/>
  <c r="R284" i="9"/>
  <c r="Q284" i="9"/>
  <c r="P284" i="9"/>
  <c r="T284" i="9" s="1" a="1"/>
  <c r="T284" i="9" s="1"/>
  <c r="S283" i="9"/>
  <c r="R283" i="9"/>
  <c r="Q283" i="9"/>
  <c r="P283" i="9"/>
  <c r="S282" i="9"/>
  <c r="R282" i="9"/>
  <c r="Q282" i="9"/>
  <c r="P282" i="9"/>
  <c r="T282" i="9" s="1" a="1"/>
  <c r="T282" i="9" s="1"/>
  <c r="S281" i="9"/>
  <c r="R281" i="9"/>
  <c r="T281" i="9" s="1" a="1"/>
  <c r="T281" i="9" s="1"/>
  <c r="Q281" i="9"/>
  <c r="P281" i="9"/>
  <c r="T280" i="9" a="1"/>
  <c r="T280" i="9" s="1"/>
  <c r="S280" i="9"/>
  <c r="R280" i="9"/>
  <c r="Q280" i="9"/>
  <c r="P280" i="9"/>
  <c r="S279" i="9"/>
  <c r="R279" i="9"/>
  <c r="Q279" i="9"/>
  <c r="P279" i="9"/>
  <c r="S278" i="9"/>
  <c r="R278" i="9"/>
  <c r="Q278" i="9"/>
  <c r="P278" i="9"/>
  <c r="T278" i="9" s="1" a="1"/>
  <c r="T278" i="9" s="1"/>
  <c r="T277" i="9" a="1"/>
  <c r="T277" i="9" s="1"/>
  <c r="S277" i="9"/>
  <c r="R277" i="9"/>
  <c r="Q277" i="9"/>
  <c r="P277" i="9"/>
  <c r="T276" i="9" a="1"/>
  <c r="T276" i="9" s="1"/>
  <c r="S276" i="9"/>
  <c r="R276" i="9"/>
  <c r="Q276" i="9"/>
  <c r="P276" i="9"/>
  <c r="S275" i="9"/>
  <c r="R275" i="9"/>
  <c r="Q275" i="9"/>
  <c r="P275" i="9"/>
  <c r="S274" i="9"/>
  <c r="R274" i="9"/>
  <c r="Q274" i="9"/>
  <c r="P274" i="9"/>
  <c r="T274" i="9" s="1" a="1"/>
  <c r="T274" i="9" s="1"/>
  <c r="S273" i="9"/>
  <c r="R273" i="9"/>
  <c r="T273" i="9" s="1" a="1"/>
  <c r="T273" i="9" s="1"/>
  <c r="Q273" i="9"/>
  <c r="P273" i="9"/>
  <c r="T272" i="9" a="1"/>
  <c r="T272" i="9" s="1"/>
  <c r="S272" i="9"/>
  <c r="R272" i="9"/>
  <c r="Q272" i="9"/>
  <c r="P272" i="9"/>
  <c r="S271" i="9"/>
  <c r="R271" i="9"/>
  <c r="Q271" i="9"/>
  <c r="P271" i="9"/>
  <c r="S270" i="9"/>
  <c r="R270" i="9"/>
  <c r="Q270" i="9"/>
  <c r="P270" i="9"/>
  <c r="T270" i="9" s="1" a="1"/>
  <c r="T270" i="9" s="1"/>
  <c r="T269" i="9" a="1"/>
  <c r="T269" i="9" s="1"/>
  <c r="S269" i="9"/>
  <c r="R269" i="9"/>
  <c r="Q269" i="9"/>
  <c r="P269" i="9"/>
  <c r="S268" i="9"/>
  <c r="R268" i="9"/>
  <c r="Q268" i="9"/>
  <c r="T268" i="9" s="1" a="1"/>
  <c r="T268" i="9" s="1"/>
  <c r="P268" i="9"/>
  <c r="S267" i="9"/>
  <c r="R267" i="9"/>
  <c r="Q267" i="9"/>
  <c r="P267" i="9"/>
  <c r="S266" i="9"/>
  <c r="R266" i="9"/>
  <c r="Q266" i="9"/>
  <c r="P266" i="9"/>
  <c r="T266" i="9" s="1" a="1"/>
  <c r="T266" i="9" s="1"/>
  <c r="S265" i="9"/>
  <c r="R265" i="9"/>
  <c r="Q265" i="9"/>
  <c r="P265" i="9"/>
  <c r="T264" i="9" a="1"/>
  <c r="T264" i="9" s="1"/>
  <c r="S264" i="9"/>
  <c r="R264" i="9"/>
  <c r="Q264" i="9"/>
  <c r="P264" i="9"/>
  <c r="S263" i="9"/>
  <c r="R263" i="9"/>
  <c r="Q263" i="9"/>
  <c r="P263" i="9"/>
  <c r="T263" i="9" s="1" a="1"/>
  <c r="T263" i="9" s="1"/>
  <c r="T262" i="9" a="1"/>
  <c r="T262" i="9" s="1"/>
  <c r="S262" i="9"/>
  <c r="R262" i="9"/>
  <c r="Q262" i="9"/>
  <c r="P262" i="9"/>
  <c r="T261" i="9" a="1"/>
  <c r="T261" i="9" s="1"/>
  <c r="S261" i="9"/>
  <c r="R261" i="9"/>
  <c r="Q261" i="9"/>
  <c r="P261" i="9"/>
  <c r="S260" i="9"/>
  <c r="R260" i="9"/>
  <c r="Q260" i="9"/>
  <c r="P260" i="9"/>
  <c r="T260" i="9" s="1" a="1"/>
  <c r="T260" i="9" s="1"/>
  <c r="S259" i="9"/>
  <c r="R259" i="9"/>
  <c r="Q259" i="9"/>
  <c r="P259" i="9"/>
  <c r="T259" i="9" s="1" a="1"/>
  <c r="T259" i="9" s="1"/>
  <c r="S258" i="9"/>
  <c r="R258" i="9"/>
  <c r="Q258" i="9"/>
  <c r="P258" i="9"/>
  <c r="T258" i="9" s="1" a="1"/>
  <c r="T258" i="9" s="1"/>
  <c r="S257" i="9"/>
  <c r="R257" i="9"/>
  <c r="Q257" i="9"/>
  <c r="P257" i="9"/>
  <c r="S256" i="9"/>
  <c r="R256" i="9"/>
  <c r="T256" i="9" s="1" a="1"/>
  <c r="T256" i="9" s="1"/>
  <c r="Q256" i="9"/>
  <c r="P256" i="9"/>
  <c r="S255" i="9"/>
  <c r="R255" i="9"/>
  <c r="Q255" i="9"/>
  <c r="P255" i="9"/>
  <c r="S254" i="9"/>
  <c r="R254" i="9"/>
  <c r="Q254" i="9"/>
  <c r="P254" i="9"/>
  <c r="T254" i="9" s="1" a="1"/>
  <c r="T254" i="9" s="1"/>
  <c r="T253" i="9" a="1"/>
  <c r="T253" i="9" s="1"/>
  <c r="S253" i="9"/>
  <c r="R253" i="9"/>
  <c r="Q253" i="9"/>
  <c r="P253" i="9"/>
  <c r="S252" i="9"/>
  <c r="R252" i="9"/>
  <c r="T252" i="9" s="1" a="1"/>
  <c r="T252" i="9" s="1"/>
  <c r="Q252" i="9"/>
  <c r="P252" i="9"/>
  <c r="S251" i="9"/>
  <c r="R251" i="9"/>
  <c r="Q251" i="9"/>
  <c r="P251" i="9"/>
  <c r="S250" i="9"/>
  <c r="R250" i="9"/>
  <c r="Q250" i="9"/>
  <c r="P250" i="9"/>
  <c r="T250" i="9" s="1" a="1"/>
  <c r="T250" i="9" s="1"/>
  <c r="T249" i="9" a="1"/>
  <c r="T249" i="9" s="1"/>
  <c r="S249" i="9"/>
  <c r="R249" i="9"/>
  <c r="Q249" i="9"/>
  <c r="P249" i="9"/>
  <c r="S248" i="9"/>
  <c r="R248" i="9"/>
  <c r="T248" i="9" s="1" a="1"/>
  <c r="T248" i="9" s="1"/>
  <c r="Q248" i="9"/>
  <c r="P248" i="9"/>
  <c r="S247" i="9"/>
  <c r="R247" i="9"/>
  <c r="Q247" i="9"/>
  <c r="P247" i="9"/>
  <c r="T246" i="9"/>
  <c r="T246" i="9" a="1"/>
  <c r="S246" i="9"/>
  <c r="R246" i="9"/>
  <c r="Q246" i="9"/>
  <c r="P246" i="9"/>
  <c r="T245" i="9" a="1"/>
  <c r="T245" i="9" s="1"/>
  <c r="S245" i="9"/>
  <c r="R245" i="9"/>
  <c r="Q245" i="9"/>
  <c r="P245" i="9"/>
  <c r="S244" i="9"/>
  <c r="R244" i="9"/>
  <c r="Q244" i="9"/>
  <c r="P244" i="9"/>
  <c r="T244" i="9" s="1" a="1"/>
  <c r="T244" i="9" s="1"/>
  <c r="S243" i="9"/>
  <c r="R243" i="9"/>
  <c r="Q243" i="9"/>
  <c r="P243" i="9"/>
  <c r="S242" i="9"/>
  <c r="R242" i="9"/>
  <c r="Q242" i="9"/>
  <c r="P242" i="9"/>
  <c r="T242" i="9" s="1" a="1"/>
  <c r="T242" i="9" s="1"/>
  <c r="S241" i="9"/>
  <c r="R241" i="9"/>
  <c r="T241" i="9" s="1" a="1"/>
  <c r="T241" i="9" s="1"/>
  <c r="Q241" i="9"/>
  <c r="P241" i="9"/>
  <c r="T240" i="9" a="1"/>
  <c r="T240" i="9" s="1"/>
  <c r="S240" i="9"/>
  <c r="R240" i="9"/>
  <c r="Q240" i="9"/>
  <c r="P240" i="9"/>
  <c r="S239" i="9"/>
  <c r="R239" i="9"/>
  <c r="Q239" i="9"/>
  <c r="P239" i="9"/>
  <c r="T239" i="9" s="1" a="1"/>
  <c r="T239" i="9" s="1"/>
  <c r="S238" i="9"/>
  <c r="R238" i="9"/>
  <c r="Q238" i="9"/>
  <c r="P238" i="9"/>
  <c r="T238" i="9" s="1" a="1"/>
  <c r="T238" i="9" s="1"/>
  <c r="T237" i="9" a="1"/>
  <c r="T237" i="9" s="1"/>
  <c r="S237" i="9"/>
  <c r="R237" i="9"/>
  <c r="Q237" i="9"/>
  <c r="P237" i="9"/>
  <c r="S236" i="9"/>
  <c r="R236" i="9"/>
  <c r="Q236" i="9"/>
  <c r="P236" i="9"/>
  <c r="T236" i="9" s="1" a="1"/>
  <c r="T236" i="9" s="1"/>
  <c r="S235" i="9"/>
  <c r="R235" i="9"/>
  <c r="Q235" i="9"/>
  <c r="P235" i="9"/>
  <c r="T235" i="9" s="1" a="1"/>
  <c r="T235" i="9" s="1"/>
  <c r="S234" i="9"/>
  <c r="R234" i="9"/>
  <c r="Q234" i="9"/>
  <c r="P234" i="9"/>
  <c r="T234" i="9" s="1" a="1"/>
  <c r="T234" i="9" s="1"/>
  <c r="S233" i="9"/>
  <c r="R233" i="9"/>
  <c r="T233" i="9" s="1" a="1"/>
  <c r="T233" i="9" s="1"/>
  <c r="Q233" i="9"/>
  <c r="P233" i="9"/>
  <c r="T232" i="9" a="1"/>
  <c r="T232" i="9" s="1"/>
  <c r="S232" i="9"/>
  <c r="R232" i="9"/>
  <c r="Q232" i="9"/>
  <c r="P232" i="9"/>
  <c r="S231" i="9"/>
  <c r="R231" i="9"/>
  <c r="Q231" i="9"/>
  <c r="P231" i="9"/>
  <c r="T231" i="9" s="1" a="1"/>
  <c r="T231" i="9" s="1"/>
  <c r="S230" i="9"/>
  <c r="R230" i="9"/>
  <c r="Q230" i="9"/>
  <c r="P230" i="9"/>
  <c r="T230" i="9" s="1" a="1"/>
  <c r="T230" i="9" s="1"/>
  <c r="T229" i="9" a="1"/>
  <c r="T229" i="9" s="1"/>
  <c r="S229" i="9"/>
  <c r="R229" i="9"/>
  <c r="Q229" i="9"/>
  <c r="P229" i="9"/>
  <c r="S228" i="9"/>
  <c r="R228" i="9"/>
  <c r="Q228" i="9"/>
  <c r="P228" i="9"/>
  <c r="T228" i="9" s="1" a="1"/>
  <c r="T228" i="9" s="1"/>
  <c r="S227" i="9"/>
  <c r="R227" i="9"/>
  <c r="Q227" i="9"/>
  <c r="P227" i="9"/>
  <c r="T227" i="9" s="1" a="1"/>
  <c r="T227" i="9" s="1"/>
  <c r="S226" i="9"/>
  <c r="R226" i="9"/>
  <c r="Q226" i="9"/>
  <c r="P226" i="9"/>
  <c r="T226" i="9" s="1" a="1"/>
  <c r="T226" i="9" s="1"/>
  <c r="S225" i="9"/>
  <c r="R225" i="9"/>
  <c r="Q225" i="9"/>
  <c r="P225" i="9"/>
  <c r="T225" i="9" s="1" a="1"/>
  <c r="T225" i="9" s="1"/>
  <c r="T224" i="9" a="1"/>
  <c r="T224" i="9" s="1"/>
  <c r="S224" i="9"/>
  <c r="R224" i="9"/>
  <c r="Q224" i="9"/>
  <c r="P224" i="9"/>
  <c r="S223" i="9"/>
  <c r="R223" i="9"/>
  <c r="Q223" i="9"/>
  <c r="P223" i="9"/>
  <c r="T223" i="9" s="1" a="1"/>
  <c r="T223" i="9" s="1"/>
  <c r="S222" i="9"/>
  <c r="R222" i="9"/>
  <c r="Q222" i="9"/>
  <c r="P222" i="9"/>
  <c r="T222" i="9" s="1" a="1"/>
  <c r="T222" i="9" s="1"/>
  <c r="T221" i="9" a="1"/>
  <c r="T221" i="9" s="1"/>
  <c r="S221" i="9"/>
  <c r="R221" i="9"/>
  <c r="Q221" i="9"/>
  <c r="P221" i="9"/>
  <c r="S220" i="9"/>
  <c r="R220" i="9"/>
  <c r="Q220" i="9"/>
  <c r="P220" i="9"/>
  <c r="T220" i="9" s="1" a="1"/>
  <c r="T220" i="9" s="1"/>
  <c r="S219" i="9"/>
  <c r="R219" i="9"/>
  <c r="Q219" i="9"/>
  <c r="P219" i="9"/>
  <c r="T219" i="9" s="1" a="1"/>
  <c r="T219" i="9" s="1"/>
  <c r="S218" i="9"/>
  <c r="R218" i="9"/>
  <c r="Q218" i="9"/>
  <c r="P218" i="9"/>
  <c r="T218" i="9" s="1" a="1"/>
  <c r="T218" i="9" s="1"/>
  <c r="S217" i="9"/>
  <c r="R217" i="9"/>
  <c r="Q217" i="9"/>
  <c r="P217" i="9"/>
  <c r="T217" i="9" s="1" a="1"/>
  <c r="T217" i="9" s="1"/>
  <c r="T216" i="9" a="1"/>
  <c r="T216" i="9" s="1"/>
  <c r="S216" i="9"/>
  <c r="R216" i="9"/>
  <c r="Q216" i="9"/>
  <c r="P216" i="9"/>
  <c r="S215" i="9"/>
  <c r="R215" i="9"/>
  <c r="Q215" i="9"/>
  <c r="P215" i="9"/>
  <c r="T215" i="9" s="1" a="1"/>
  <c r="T215" i="9" s="1"/>
  <c r="S214" i="9"/>
  <c r="R214" i="9"/>
  <c r="Q214" i="9"/>
  <c r="P214" i="9"/>
  <c r="T214" i="9" s="1" a="1"/>
  <c r="T214" i="9" s="1"/>
  <c r="T213" i="9" a="1"/>
  <c r="T213" i="9" s="1"/>
  <c r="S213" i="9"/>
  <c r="R213" i="9"/>
  <c r="Q213" i="9"/>
  <c r="P213" i="9"/>
  <c r="S212" i="9"/>
  <c r="R212" i="9"/>
  <c r="T212" i="9" s="1" a="1"/>
  <c r="T212" i="9" s="1"/>
  <c r="Q212" i="9"/>
  <c r="P212" i="9"/>
  <c r="S211" i="9"/>
  <c r="R211" i="9"/>
  <c r="Q211" i="9"/>
  <c r="P211" i="9"/>
  <c r="T211" i="9" s="1" a="1"/>
  <c r="T211" i="9" s="1"/>
  <c r="S210" i="9"/>
  <c r="R210" i="9"/>
  <c r="Q210" i="9"/>
  <c r="P210" i="9"/>
  <c r="S209" i="9"/>
  <c r="R209" i="9"/>
  <c r="Q209" i="9"/>
  <c r="P209" i="9"/>
  <c r="T209" i="9" s="1" a="1"/>
  <c r="T209" i="9" s="1"/>
  <c r="S208" i="9"/>
  <c r="R208" i="9"/>
  <c r="Q208" i="9"/>
  <c r="P208" i="9"/>
  <c r="T208" i="9" s="1" a="1"/>
  <c r="T208" i="9" s="1"/>
  <c r="T207" i="9" a="1"/>
  <c r="T207" i="9" s="1"/>
  <c r="S207" i="9"/>
  <c r="R207" i="9"/>
  <c r="Q207" i="9"/>
  <c r="P207" i="9"/>
  <c r="S206" i="9"/>
  <c r="R206" i="9"/>
  <c r="T206" i="9" s="1" a="1"/>
  <c r="T206" i="9" s="1"/>
  <c r="Q206" i="9"/>
  <c r="P206" i="9"/>
  <c r="S205" i="9"/>
  <c r="R205" i="9"/>
  <c r="Q205" i="9"/>
  <c r="P205" i="9"/>
  <c r="T205" i="9" s="1" a="1"/>
  <c r="T205" i="9" s="1"/>
  <c r="S204" i="9"/>
  <c r="R204" i="9"/>
  <c r="Q204" i="9"/>
  <c r="P204" i="9"/>
  <c r="T204" i="9" s="1" a="1"/>
  <c r="T204" i="9" s="1"/>
  <c r="S203" i="9"/>
  <c r="R203" i="9"/>
  <c r="T203" i="9" s="1" a="1"/>
  <c r="T203" i="9" s="1"/>
  <c r="Q203" i="9"/>
  <c r="P203" i="9"/>
  <c r="S202" i="9"/>
  <c r="R202" i="9"/>
  <c r="Q202" i="9"/>
  <c r="P202" i="9"/>
  <c r="T202" i="9" s="1" a="1"/>
  <c r="T202" i="9" s="1"/>
  <c r="S201" i="9"/>
  <c r="R201" i="9"/>
  <c r="Q201" i="9"/>
  <c r="P201" i="9"/>
  <c r="T201" i="9" s="1" a="1"/>
  <c r="T201" i="9" s="1"/>
  <c r="S200" i="9"/>
  <c r="R200" i="9"/>
  <c r="Q200" i="9"/>
  <c r="P200" i="9"/>
  <c r="T200" i="9" s="1" a="1"/>
  <c r="T200" i="9" s="1"/>
  <c r="S199" i="9"/>
  <c r="R199" i="9"/>
  <c r="Q199" i="9"/>
  <c r="T199" i="9" s="1" a="1"/>
  <c r="T199" i="9" s="1"/>
  <c r="P199" i="9"/>
  <c r="S198" i="9"/>
  <c r="R198" i="9"/>
  <c r="Q198" i="9"/>
  <c r="P198" i="9"/>
  <c r="T198" i="9" s="1" a="1"/>
  <c r="T198" i="9" s="1"/>
  <c r="T197" i="9" a="1"/>
  <c r="T197" i="9" s="1"/>
  <c r="S197" i="9"/>
  <c r="R197" i="9"/>
  <c r="Q197" i="9"/>
  <c r="P197" i="9"/>
  <c r="S196" i="9"/>
  <c r="R196" i="9"/>
  <c r="T196" i="9" s="1" a="1"/>
  <c r="T196" i="9" s="1"/>
  <c r="Q196" i="9"/>
  <c r="P196" i="9"/>
  <c r="S195" i="9"/>
  <c r="R195" i="9"/>
  <c r="Q195" i="9"/>
  <c r="P195" i="9"/>
  <c r="T195" i="9" s="1" a="1"/>
  <c r="T195" i="9" s="1"/>
  <c r="S194" i="9"/>
  <c r="R194" i="9"/>
  <c r="Q194" i="9"/>
  <c r="P194" i="9"/>
  <c r="T194" i="9" s="1" a="1"/>
  <c r="T194" i="9" s="1"/>
  <c r="S193" i="9"/>
  <c r="T193" i="9" s="1" a="1"/>
  <c r="T193" i="9" s="1"/>
  <c r="R193" i="9"/>
  <c r="Q193" i="9"/>
  <c r="P193" i="9"/>
  <c r="S192" i="9"/>
  <c r="R192" i="9"/>
  <c r="Q192" i="9"/>
  <c r="P192" i="9"/>
  <c r="T192" i="9" s="1" a="1"/>
  <c r="T192" i="9" s="1"/>
  <c r="S191" i="9"/>
  <c r="R191" i="9"/>
  <c r="Q191" i="9"/>
  <c r="P191" i="9"/>
  <c r="T191" i="9" s="1" a="1"/>
  <c r="T191" i="9" s="1"/>
  <c r="T190" i="9" a="1"/>
  <c r="T190" i="9" s="1"/>
  <c r="S190" i="9"/>
  <c r="R190" i="9"/>
  <c r="Q190" i="9"/>
  <c r="P190" i="9"/>
  <c r="S189" i="9"/>
  <c r="R189" i="9"/>
  <c r="T189" i="9" s="1" a="1"/>
  <c r="T189" i="9" s="1"/>
  <c r="Q189" i="9"/>
  <c r="P189" i="9"/>
  <c r="S188" i="9"/>
  <c r="R188" i="9"/>
  <c r="Q188" i="9"/>
  <c r="P188" i="9"/>
  <c r="T188" i="9" s="1" a="1"/>
  <c r="T188" i="9" s="1"/>
  <c r="S187" i="9"/>
  <c r="R187" i="9"/>
  <c r="Q187" i="9"/>
  <c r="P187" i="9"/>
  <c r="T187" i="9" s="1" a="1"/>
  <c r="T187" i="9" s="1"/>
  <c r="S186" i="9"/>
  <c r="R186" i="9"/>
  <c r="Q186" i="9"/>
  <c r="P186" i="9"/>
  <c r="T186" i="9" s="1" a="1"/>
  <c r="T186" i="9" s="1"/>
  <c r="S185" i="9"/>
  <c r="T185" i="9" s="1" a="1"/>
  <c r="T185" i="9" s="1"/>
  <c r="R185" i="9"/>
  <c r="Q185" i="9"/>
  <c r="P185" i="9"/>
  <c r="S184" i="9"/>
  <c r="R184" i="9"/>
  <c r="Q184" i="9"/>
  <c r="P184" i="9"/>
  <c r="T184" i="9" s="1" a="1"/>
  <c r="T184" i="9" s="1"/>
  <c r="T183" i="9" a="1"/>
  <c r="T183" i="9" s="1"/>
  <c r="S183" i="9"/>
  <c r="R183" i="9"/>
  <c r="Q183" i="9"/>
  <c r="P183" i="9"/>
  <c r="S182" i="9"/>
  <c r="R182" i="9"/>
  <c r="T182" i="9" s="1" a="1"/>
  <c r="T182" i="9" s="1"/>
  <c r="Q182" i="9"/>
  <c r="P182" i="9"/>
  <c r="S181" i="9"/>
  <c r="R181" i="9"/>
  <c r="Q181" i="9"/>
  <c r="P181" i="9"/>
  <c r="T181" i="9" s="1" a="1"/>
  <c r="T181" i="9" s="1"/>
  <c r="S180" i="9"/>
  <c r="R180" i="9"/>
  <c r="Q180" i="9"/>
  <c r="P180" i="9"/>
  <c r="T180" i="9" s="1" a="1"/>
  <c r="T180" i="9" s="1"/>
  <c r="T179" i="9" a="1"/>
  <c r="T179" i="9" s="1"/>
  <c r="S179" i="9"/>
  <c r="R179" i="9"/>
  <c r="Q179" i="9"/>
  <c r="P179" i="9"/>
  <c r="S178" i="9"/>
  <c r="R178" i="9"/>
  <c r="Q178" i="9"/>
  <c r="P178" i="9"/>
  <c r="T178" i="9" s="1" a="1"/>
  <c r="T178" i="9" s="1"/>
  <c r="S177" i="9"/>
  <c r="R177" i="9"/>
  <c r="Q177" i="9"/>
  <c r="P177" i="9"/>
  <c r="T177" i="9" s="1" a="1"/>
  <c r="T177" i="9" s="1"/>
  <c r="T176" i="9" a="1"/>
  <c r="T176" i="9" s="1"/>
  <c r="S176" i="9"/>
  <c r="R176" i="9"/>
  <c r="Q176" i="9"/>
  <c r="P176" i="9"/>
  <c r="S175" i="9"/>
  <c r="R175" i="9"/>
  <c r="T175" i="9" s="1" a="1"/>
  <c r="T175" i="9" s="1"/>
  <c r="Q175" i="9"/>
  <c r="P175" i="9"/>
  <c r="S174" i="9"/>
  <c r="R174" i="9"/>
  <c r="Q174" i="9"/>
  <c r="P174" i="9"/>
  <c r="T174" i="9" s="1" a="1"/>
  <c r="T174" i="9" s="1"/>
  <c r="S173" i="9"/>
  <c r="R173" i="9"/>
  <c r="Q173" i="9"/>
  <c r="P173" i="9"/>
  <c r="T173" i="9" s="1" a="1"/>
  <c r="T173" i="9" s="1"/>
  <c r="T172" i="9" a="1"/>
  <c r="T172" i="9" s="1"/>
  <c r="S172" i="9"/>
  <c r="R172" i="9"/>
  <c r="Q172" i="9"/>
  <c r="P172" i="9"/>
  <c r="S171" i="9"/>
  <c r="R171" i="9"/>
  <c r="Q171" i="9"/>
  <c r="T171" i="9" s="1" a="1"/>
  <c r="T171" i="9" s="1"/>
  <c r="P171" i="9"/>
  <c r="S170" i="9"/>
  <c r="R170" i="9"/>
  <c r="Q170" i="9"/>
  <c r="P170" i="9"/>
  <c r="T170" i="9" s="1" a="1"/>
  <c r="T170" i="9" s="1"/>
  <c r="S169" i="9"/>
  <c r="R169" i="9"/>
  <c r="Q169" i="9"/>
  <c r="P169" i="9"/>
  <c r="T169" i="9" s="1" a="1"/>
  <c r="T169" i="9" s="1"/>
  <c r="S168" i="9"/>
  <c r="R168" i="9"/>
  <c r="T168" i="9" s="1" a="1"/>
  <c r="T168" i="9" s="1"/>
  <c r="Q168" i="9"/>
  <c r="P168" i="9"/>
  <c r="S167" i="9"/>
  <c r="R167" i="9"/>
  <c r="Q167" i="9"/>
  <c r="P167" i="9"/>
  <c r="T167" i="9" s="1" a="1"/>
  <c r="T167" i="9" s="1"/>
  <c r="S166" i="9"/>
  <c r="R166" i="9"/>
  <c r="Q166" i="9"/>
  <c r="P166" i="9"/>
  <c r="T166" i="9" s="1" a="1"/>
  <c r="T166" i="9" s="1"/>
  <c r="T165" i="9" a="1"/>
  <c r="T165" i="9" s="1"/>
  <c r="S165" i="9"/>
  <c r="R165" i="9"/>
  <c r="Q165" i="9"/>
  <c r="P165" i="9"/>
  <c r="S164" i="9"/>
  <c r="R164" i="9"/>
  <c r="T164" i="9" s="1" a="1"/>
  <c r="T164" i="9" s="1"/>
  <c r="Q164" i="9"/>
  <c r="P164" i="9"/>
  <c r="S163" i="9"/>
  <c r="R163" i="9"/>
  <c r="Q163" i="9"/>
  <c r="P163" i="9"/>
  <c r="T163" i="9" s="1" a="1"/>
  <c r="T163" i="9" s="1"/>
  <c r="S162" i="9"/>
  <c r="R162" i="9"/>
  <c r="Q162" i="9"/>
  <c r="P162" i="9"/>
  <c r="T162" i="9" s="1" a="1"/>
  <c r="T162" i="9" s="1"/>
  <c r="S161" i="9"/>
  <c r="R161" i="9"/>
  <c r="T161" i="9" s="1" a="1"/>
  <c r="T161" i="9" s="1"/>
  <c r="Q161" i="9"/>
  <c r="P161" i="9"/>
  <c r="S160" i="9"/>
  <c r="R160" i="9"/>
  <c r="Q160" i="9"/>
  <c r="P160" i="9"/>
  <c r="T160" i="9" s="1" a="1"/>
  <c r="T160" i="9" s="1"/>
  <c r="S159" i="9"/>
  <c r="R159" i="9"/>
  <c r="Q159" i="9"/>
  <c r="P159" i="9"/>
  <c r="T159" i="9" s="1" a="1"/>
  <c r="T159" i="9" s="1"/>
  <c r="T158" i="9" a="1"/>
  <c r="T158" i="9" s="1"/>
  <c r="S158" i="9"/>
  <c r="R158" i="9"/>
  <c r="Q158" i="9"/>
  <c r="P158" i="9"/>
  <c r="S157" i="9"/>
  <c r="R157" i="9"/>
  <c r="T157" i="9" s="1" a="1"/>
  <c r="T157" i="9" s="1"/>
  <c r="Q157" i="9"/>
  <c r="P157" i="9"/>
  <c r="S156" i="9"/>
  <c r="R156" i="9"/>
  <c r="Q156" i="9"/>
  <c r="P156" i="9"/>
  <c r="T156" i="9" s="1" a="1"/>
  <c r="T156" i="9" s="1"/>
  <c r="S155" i="9"/>
  <c r="R155" i="9"/>
  <c r="Q155" i="9"/>
  <c r="P155" i="9"/>
  <c r="T155" i="9" s="1" a="1"/>
  <c r="T155" i="9" s="1"/>
  <c r="S154" i="9"/>
  <c r="T154" i="9" s="1" a="1"/>
  <c r="T154" i="9" s="1"/>
  <c r="R154" i="9"/>
  <c r="Q154" i="9"/>
  <c r="P154" i="9"/>
  <c r="S153" i="9"/>
  <c r="R153" i="9"/>
  <c r="Q153" i="9"/>
  <c r="P153" i="9"/>
  <c r="T153" i="9" s="1" a="1"/>
  <c r="T153" i="9" s="1"/>
  <c r="S152" i="9"/>
  <c r="R152" i="9"/>
  <c r="Q152" i="9"/>
  <c r="P152" i="9"/>
  <c r="T152" i="9" s="1" a="1"/>
  <c r="T152" i="9" s="1"/>
  <c r="T151" i="9" a="1"/>
  <c r="T151" i="9" s="1"/>
  <c r="S151" i="9"/>
  <c r="R151" i="9"/>
  <c r="Q151" i="9"/>
  <c r="P151" i="9"/>
  <c r="S150" i="9"/>
  <c r="R150" i="9"/>
  <c r="T150" i="9" s="1" a="1"/>
  <c r="T150" i="9" s="1"/>
  <c r="Q150" i="9"/>
  <c r="P150" i="9"/>
  <c r="S149" i="9"/>
  <c r="R149" i="9"/>
  <c r="Q149" i="9"/>
  <c r="P149" i="9"/>
  <c r="T149" i="9" s="1" a="1"/>
  <c r="T149" i="9" s="1"/>
  <c r="S148" i="9"/>
  <c r="R148" i="9"/>
  <c r="Q148" i="9"/>
  <c r="P148" i="9"/>
  <c r="T148" i="9" s="1" a="1"/>
  <c r="T148" i="9" s="1"/>
  <c r="S147" i="9"/>
  <c r="R147" i="9"/>
  <c r="Q147" i="9"/>
  <c r="P147" i="9"/>
  <c r="T147" i="9" s="1" a="1"/>
  <c r="T147" i="9" s="1"/>
  <c r="S146" i="9"/>
  <c r="R146" i="9"/>
  <c r="Q146" i="9"/>
  <c r="T146" i="9" s="1" a="1"/>
  <c r="T146" i="9" s="1"/>
  <c r="P146" i="9"/>
  <c r="S145" i="9"/>
  <c r="R145" i="9"/>
  <c r="Q145" i="9"/>
  <c r="P145" i="9"/>
  <c r="T145" i="9" s="1" a="1"/>
  <c r="T145" i="9" s="1"/>
  <c r="T144" i="9" a="1"/>
  <c r="T144" i="9" s="1"/>
  <c r="S144" i="9"/>
  <c r="R144" i="9"/>
  <c r="Q144" i="9"/>
  <c r="P144" i="9"/>
  <c r="S143" i="9"/>
  <c r="R143" i="9"/>
  <c r="T143" i="9" s="1" a="1"/>
  <c r="T143" i="9" s="1"/>
  <c r="Q143" i="9"/>
  <c r="P143" i="9"/>
  <c r="S142" i="9"/>
  <c r="R142" i="9"/>
  <c r="Q142" i="9"/>
  <c r="P142" i="9"/>
  <c r="T142" i="9" s="1" a="1"/>
  <c r="T142" i="9" s="1"/>
  <c r="S141" i="9"/>
  <c r="R141" i="9"/>
  <c r="Q141" i="9"/>
  <c r="P141" i="9"/>
  <c r="T141" i="9" s="1" a="1"/>
  <c r="T141" i="9" s="1"/>
  <c r="T140" i="9" a="1"/>
  <c r="T140" i="9" s="1"/>
  <c r="S140" i="9"/>
  <c r="R140" i="9"/>
  <c r="Q140" i="9"/>
  <c r="P140" i="9"/>
  <c r="S139" i="9"/>
  <c r="R139" i="9"/>
  <c r="T139" i="9" s="1" a="1"/>
  <c r="T139" i="9" s="1"/>
  <c r="Q139" i="9"/>
  <c r="P139" i="9"/>
  <c r="S138" i="9"/>
  <c r="R138" i="9"/>
  <c r="Q138" i="9"/>
  <c r="P138" i="9"/>
  <c r="T138" i="9" s="1" a="1"/>
  <c r="T138" i="9" s="1"/>
  <c r="S137" i="9"/>
  <c r="R137" i="9"/>
  <c r="Q137" i="9"/>
  <c r="P137" i="9"/>
  <c r="T137" i="9" s="1" a="1"/>
  <c r="T137" i="9" s="1"/>
  <c r="T136" i="9" a="1"/>
  <c r="T136" i="9" s="1"/>
  <c r="S136" i="9"/>
  <c r="R136" i="9"/>
  <c r="Q136" i="9"/>
  <c r="P136" i="9"/>
  <c r="S135" i="9"/>
  <c r="R135" i="9"/>
  <c r="T135" i="9" s="1" a="1"/>
  <c r="T135" i="9" s="1"/>
  <c r="Q135" i="9"/>
  <c r="P135" i="9"/>
  <c r="S134" i="9"/>
  <c r="R134" i="9"/>
  <c r="Q134" i="9"/>
  <c r="P134" i="9"/>
  <c r="T134" i="9" s="1" a="1"/>
  <c r="T134" i="9" s="1"/>
  <c r="S133" i="9"/>
  <c r="R133" i="9"/>
  <c r="Q133" i="9"/>
  <c r="P133" i="9"/>
  <c r="T133" i="9" s="1" a="1"/>
  <c r="T133" i="9" s="1"/>
  <c r="T132" i="9" a="1"/>
  <c r="T132" i="9" s="1"/>
  <c r="S132" i="9"/>
  <c r="R132" i="9"/>
  <c r="Q132" i="9"/>
  <c r="P132" i="9"/>
  <c r="S131" i="9"/>
  <c r="R131" i="9"/>
  <c r="T131" i="9" s="1" a="1"/>
  <c r="T131" i="9" s="1"/>
  <c r="Q131" i="9"/>
  <c r="P131" i="9"/>
  <c r="S130" i="9"/>
  <c r="R130" i="9"/>
  <c r="Q130" i="9"/>
  <c r="P130" i="9"/>
  <c r="T130" i="9" s="1" a="1"/>
  <c r="T130" i="9" s="1"/>
  <c r="S129" i="9"/>
  <c r="R129" i="9"/>
  <c r="Q129" i="9"/>
  <c r="P129" i="9"/>
  <c r="T129" i="9" s="1" a="1"/>
  <c r="T129" i="9" s="1"/>
  <c r="T128" i="9" a="1"/>
  <c r="T128" i="9" s="1"/>
  <c r="S128" i="9"/>
  <c r="R128" i="9"/>
  <c r="Q128" i="9"/>
  <c r="P128" i="9"/>
  <c r="S127" i="9"/>
  <c r="R127" i="9"/>
  <c r="T127" i="9" s="1" a="1"/>
  <c r="T127" i="9" s="1"/>
  <c r="Q127" i="9"/>
  <c r="P127" i="9"/>
  <c r="S126" i="9"/>
  <c r="R126" i="9"/>
  <c r="Q126" i="9"/>
  <c r="P126" i="9"/>
  <c r="T126" i="9" s="1" a="1"/>
  <c r="T126" i="9" s="1"/>
  <c r="S125" i="9"/>
  <c r="R125" i="9"/>
  <c r="Q125" i="9"/>
  <c r="P125" i="9"/>
  <c r="T125" i="9" s="1" a="1"/>
  <c r="T125" i="9" s="1"/>
  <c r="T124" i="9" a="1"/>
  <c r="T124" i="9" s="1"/>
  <c r="S124" i="9"/>
  <c r="R124" i="9"/>
  <c r="Q124" i="9"/>
  <c r="P124" i="9"/>
  <c r="S123" i="9"/>
  <c r="R123" i="9"/>
  <c r="T123" i="9" s="1" a="1"/>
  <c r="T123" i="9" s="1"/>
  <c r="Q123" i="9"/>
  <c r="P123" i="9"/>
  <c r="S122" i="9"/>
  <c r="R122" i="9"/>
  <c r="Q122" i="9"/>
  <c r="P122" i="9"/>
  <c r="T122" i="9" s="1" a="1"/>
  <c r="T122" i="9" s="1"/>
  <c r="S121" i="9"/>
  <c r="R121" i="9"/>
  <c r="Q121" i="9"/>
  <c r="P121" i="9"/>
  <c r="T121" i="9" s="1" a="1"/>
  <c r="T121" i="9" s="1"/>
  <c r="T120" i="9" a="1"/>
  <c r="T120" i="9" s="1"/>
  <c r="S120" i="9"/>
  <c r="R120" i="9"/>
  <c r="Q120" i="9"/>
  <c r="P120" i="9"/>
  <c r="S119" i="9"/>
  <c r="R119" i="9"/>
  <c r="T119" i="9" s="1" a="1"/>
  <c r="T119" i="9" s="1"/>
  <c r="Q119" i="9"/>
  <c r="P119" i="9"/>
  <c r="S118" i="9"/>
  <c r="R118" i="9"/>
  <c r="Q118" i="9"/>
  <c r="P118" i="9"/>
  <c r="T118" i="9" s="1" a="1"/>
  <c r="T118" i="9" s="1"/>
  <c r="S117" i="9"/>
  <c r="R117" i="9"/>
  <c r="Q117" i="9"/>
  <c r="P117" i="9"/>
  <c r="T117" i="9" s="1" a="1"/>
  <c r="T117" i="9" s="1"/>
  <c r="T116" i="9" a="1"/>
  <c r="T116" i="9" s="1"/>
  <c r="S116" i="9"/>
  <c r="R116" i="9"/>
  <c r="Q116" i="9"/>
  <c r="P116" i="9"/>
  <c r="S115" i="9"/>
  <c r="R115" i="9"/>
  <c r="T115" i="9" s="1" a="1"/>
  <c r="T115" i="9" s="1"/>
  <c r="Q115" i="9"/>
  <c r="P115" i="9"/>
  <c r="S114" i="9"/>
  <c r="R114" i="9"/>
  <c r="Q114" i="9"/>
  <c r="P114" i="9"/>
  <c r="T114" i="9" s="1" a="1"/>
  <c r="T114" i="9" s="1"/>
  <c r="S113" i="9"/>
  <c r="R113" i="9"/>
  <c r="Q113" i="9"/>
  <c r="P113" i="9"/>
  <c r="T113" i="9" s="1" a="1"/>
  <c r="T113" i="9" s="1"/>
  <c r="T112" i="9" a="1"/>
  <c r="T112" i="9" s="1"/>
  <c r="S112" i="9"/>
  <c r="R112" i="9"/>
  <c r="Q112" i="9"/>
  <c r="P112" i="9"/>
  <c r="S111" i="9"/>
  <c r="R111" i="9"/>
  <c r="T111" i="9" s="1" a="1"/>
  <c r="T111" i="9" s="1"/>
  <c r="Q111" i="9"/>
  <c r="P111" i="9"/>
  <c r="S110" i="9"/>
  <c r="R110" i="9"/>
  <c r="Q110" i="9"/>
  <c r="P110" i="9"/>
  <c r="T110" i="9" s="1" a="1"/>
  <c r="T110" i="9" s="1"/>
  <c r="S109" i="9"/>
  <c r="R109" i="9"/>
  <c r="Q109" i="9"/>
  <c r="P109" i="9"/>
  <c r="T109" i="9" s="1" a="1"/>
  <c r="T109" i="9" s="1"/>
  <c r="T108" i="9" a="1"/>
  <c r="T108" i="9" s="1"/>
  <c r="S108" i="9"/>
  <c r="R108" i="9"/>
  <c r="Q108" i="9"/>
  <c r="P108" i="9"/>
  <c r="S107" i="9"/>
  <c r="R107" i="9"/>
  <c r="T107" i="9" s="1" a="1"/>
  <c r="T107" i="9" s="1"/>
  <c r="Q107" i="9"/>
  <c r="P107" i="9"/>
  <c r="S106" i="9"/>
  <c r="R106" i="9"/>
  <c r="Q106" i="9"/>
  <c r="P106" i="9"/>
  <c r="T106" i="9" s="1" a="1"/>
  <c r="T106" i="9" s="1"/>
  <c r="S105" i="9"/>
  <c r="R105" i="9"/>
  <c r="Q105" i="9"/>
  <c r="P105" i="9"/>
  <c r="T105" i="9" s="1" a="1"/>
  <c r="T105" i="9" s="1"/>
  <c r="T104" i="9" a="1"/>
  <c r="T104" i="9" s="1"/>
  <c r="S104" i="9"/>
  <c r="R104" i="9"/>
  <c r="Q104" i="9"/>
  <c r="P104" i="9"/>
  <c r="S103" i="9"/>
  <c r="R103" i="9"/>
  <c r="T103" i="9" s="1" a="1"/>
  <c r="T103" i="9" s="1"/>
  <c r="Q103" i="9"/>
  <c r="P103" i="9"/>
  <c r="S102" i="9"/>
  <c r="R102" i="9"/>
  <c r="Q102" i="9"/>
  <c r="P102" i="9"/>
  <c r="T102" i="9" s="1" a="1"/>
  <c r="T102" i="9" s="1"/>
  <c r="S101" i="9"/>
  <c r="R101" i="9"/>
  <c r="Q101" i="9"/>
  <c r="P101" i="9"/>
  <c r="T101" i="9" s="1" a="1"/>
  <c r="T101" i="9" s="1"/>
  <c r="T100" i="9" a="1"/>
  <c r="T100" i="9" s="1"/>
  <c r="S100" i="9"/>
  <c r="R100" i="9"/>
  <c r="Q100" i="9"/>
  <c r="P100" i="9"/>
  <c r="S99" i="9"/>
  <c r="R99" i="9"/>
  <c r="T99" i="9" s="1" a="1"/>
  <c r="T99" i="9" s="1"/>
  <c r="Q99" i="9"/>
  <c r="P99" i="9"/>
  <c r="S98" i="9"/>
  <c r="R98" i="9"/>
  <c r="Q98" i="9"/>
  <c r="P98" i="9"/>
  <c r="T98" i="9" s="1" a="1"/>
  <c r="T98" i="9" s="1"/>
  <c r="S97" i="9"/>
  <c r="R97" i="9"/>
  <c r="Q97" i="9"/>
  <c r="P97" i="9"/>
  <c r="T97" i="9" s="1" a="1"/>
  <c r="T97" i="9" s="1"/>
  <c r="T96" i="9" a="1"/>
  <c r="T96" i="9" s="1"/>
  <c r="S96" i="9"/>
  <c r="R96" i="9"/>
  <c r="Q96" i="9"/>
  <c r="P96" i="9"/>
  <c r="S95" i="9"/>
  <c r="R95" i="9"/>
  <c r="T95" i="9" s="1" a="1"/>
  <c r="T95" i="9" s="1"/>
  <c r="Q95" i="9"/>
  <c r="P95" i="9"/>
  <c r="S94" i="9"/>
  <c r="R94" i="9"/>
  <c r="Q94" i="9"/>
  <c r="P94" i="9"/>
  <c r="T94" i="9" s="1" a="1"/>
  <c r="T94" i="9" s="1"/>
  <c r="S93" i="9"/>
  <c r="R93" i="9"/>
  <c r="Q93" i="9"/>
  <c r="P93" i="9"/>
  <c r="T93" i="9" s="1" a="1"/>
  <c r="T93" i="9" s="1"/>
  <c r="T92" i="9" a="1"/>
  <c r="T92" i="9" s="1"/>
  <c r="S92" i="9"/>
  <c r="R92" i="9"/>
  <c r="Q92" i="9"/>
  <c r="P92" i="9"/>
  <c r="S91" i="9"/>
  <c r="R91" i="9"/>
  <c r="T91" i="9" s="1" a="1"/>
  <c r="T91" i="9" s="1"/>
  <c r="Q91" i="9"/>
  <c r="P91" i="9"/>
  <c r="S90" i="9"/>
  <c r="R90" i="9"/>
  <c r="Q90" i="9"/>
  <c r="P90" i="9"/>
  <c r="T90" i="9" s="1" a="1"/>
  <c r="T90" i="9" s="1"/>
  <c r="S89" i="9"/>
  <c r="R89" i="9"/>
  <c r="Q89" i="9"/>
  <c r="P89" i="9"/>
  <c r="T89" i="9" s="1" a="1"/>
  <c r="T89" i="9" s="1"/>
  <c r="T88" i="9" a="1"/>
  <c r="T88" i="9" s="1"/>
  <c r="S88" i="9"/>
  <c r="R88" i="9"/>
  <c r="Q88" i="9"/>
  <c r="P88" i="9"/>
  <c r="S87" i="9"/>
  <c r="R87" i="9"/>
  <c r="T87" i="9" s="1" a="1"/>
  <c r="T87" i="9" s="1"/>
  <c r="Q87" i="9"/>
  <c r="P87" i="9"/>
  <c r="S86" i="9"/>
  <c r="R86" i="9"/>
  <c r="Q86" i="9"/>
  <c r="P86" i="9"/>
  <c r="T86" i="9" s="1" a="1"/>
  <c r="T86" i="9" s="1"/>
  <c r="S85" i="9"/>
  <c r="R85" i="9"/>
  <c r="Q85" i="9"/>
  <c r="P85" i="9"/>
  <c r="T85" i="9" s="1" a="1"/>
  <c r="T85" i="9" s="1"/>
  <c r="T84" i="9" a="1"/>
  <c r="T84" i="9" s="1"/>
  <c r="S84" i="9"/>
  <c r="R84" i="9"/>
  <c r="Q84" i="9"/>
  <c r="P84" i="9"/>
  <c r="S83" i="9"/>
  <c r="R83" i="9"/>
  <c r="T83" i="9" s="1" a="1"/>
  <c r="T83" i="9" s="1"/>
  <c r="Q83" i="9"/>
  <c r="P83" i="9"/>
  <c r="S82" i="9"/>
  <c r="R82" i="9"/>
  <c r="Q82" i="9"/>
  <c r="P82" i="9"/>
  <c r="T82" i="9" s="1" a="1"/>
  <c r="T82" i="9" s="1"/>
  <c r="S81" i="9"/>
  <c r="R81" i="9"/>
  <c r="Q81" i="9"/>
  <c r="P81" i="9"/>
  <c r="T81" i="9" s="1" a="1"/>
  <c r="T81" i="9" s="1"/>
  <c r="T80" i="9" a="1"/>
  <c r="T80" i="9" s="1"/>
  <c r="S80" i="9"/>
  <c r="R80" i="9"/>
  <c r="Q80" i="9"/>
  <c r="P80" i="9"/>
  <c r="S79" i="9"/>
  <c r="R79" i="9"/>
  <c r="T79" i="9" s="1" a="1"/>
  <c r="T79" i="9" s="1"/>
  <c r="Q79" i="9"/>
  <c r="P79" i="9"/>
  <c r="S78" i="9"/>
  <c r="R78" i="9"/>
  <c r="Q78" i="9"/>
  <c r="P78" i="9"/>
  <c r="T78" i="9" s="1" a="1"/>
  <c r="T78" i="9" s="1"/>
  <c r="S77" i="9"/>
  <c r="R77" i="9"/>
  <c r="Q77" i="9"/>
  <c r="P77" i="9"/>
  <c r="T77" i="9" s="1" a="1"/>
  <c r="T77" i="9" s="1"/>
  <c r="T76" i="9" a="1"/>
  <c r="T76" i="9" s="1"/>
  <c r="S76" i="9"/>
  <c r="R76" i="9"/>
  <c r="Q76" i="9"/>
  <c r="P76" i="9"/>
  <c r="S75" i="9"/>
  <c r="R75" i="9"/>
  <c r="T75" i="9" s="1" a="1"/>
  <c r="T75" i="9" s="1"/>
  <c r="Q75" i="9"/>
  <c r="P75" i="9"/>
  <c r="S74" i="9"/>
  <c r="R74" i="9"/>
  <c r="Q74" i="9"/>
  <c r="P74" i="9"/>
  <c r="T74" i="9" s="1" a="1"/>
  <c r="T74" i="9" s="1"/>
  <c r="S73" i="9"/>
  <c r="R73" i="9"/>
  <c r="Q73" i="9"/>
  <c r="P73" i="9"/>
  <c r="T73" i="9" s="1" a="1"/>
  <c r="T73" i="9" s="1"/>
  <c r="T72" i="9" a="1"/>
  <c r="T72" i="9" s="1"/>
  <c r="S72" i="9"/>
  <c r="R72" i="9"/>
  <c r="Q72" i="9"/>
  <c r="P72" i="9"/>
  <c r="S71" i="9"/>
  <c r="R71" i="9"/>
  <c r="T71" i="9" s="1" a="1"/>
  <c r="T71" i="9" s="1"/>
  <c r="Q71" i="9"/>
  <c r="P71" i="9"/>
  <c r="S70" i="9"/>
  <c r="R70" i="9"/>
  <c r="Q70" i="9"/>
  <c r="P70" i="9"/>
  <c r="T70" i="9" s="1" a="1"/>
  <c r="T70" i="9" s="1"/>
  <c r="S69" i="9"/>
  <c r="R69" i="9"/>
  <c r="Q69" i="9"/>
  <c r="P69" i="9"/>
  <c r="T69" i="9" s="1" a="1"/>
  <c r="T69" i="9" s="1"/>
  <c r="T68" i="9" a="1"/>
  <c r="T68" i="9" s="1"/>
  <c r="S68" i="9"/>
  <c r="R68" i="9"/>
  <c r="Q68" i="9"/>
  <c r="P68" i="9"/>
  <c r="S67" i="9"/>
  <c r="R67" i="9"/>
  <c r="T67" i="9" s="1" a="1"/>
  <c r="T67" i="9" s="1"/>
  <c r="Q67" i="9"/>
  <c r="P67" i="9"/>
  <c r="S66" i="9"/>
  <c r="R66" i="9"/>
  <c r="Q66" i="9"/>
  <c r="P66" i="9"/>
  <c r="T66" i="9" s="1" a="1"/>
  <c r="T66" i="9" s="1"/>
  <c r="S65" i="9"/>
  <c r="R65" i="9"/>
  <c r="Q65" i="9"/>
  <c r="P65" i="9"/>
  <c r="T65" i="9" s="1" a="1"/>
  <c r="T65" i="9" s="1"/>
  <c r="T64" i="9" a="1"/>
  <c r="T64" i="9" s="1"/>
  <c r="S64" i="9"/>
  <c r="R64" i="9"/>
  <c r="Q64" i="9"/>
  <c r="P64" i="9"/>
  <c r="S63" i="9"/>
  <c r="R63" i="9"/>
  <c r="T63" i="9" s="1" a="1"/>
  <c r="T63" i="9" s="1"/>
  <c r="Q63" i="9"/>
  <c r="P63" i="9"/>
  <c r="S62" i="9"/>
  <c r="R62" i="9"/>
  <c r="Q62" i="9"/>
  <c r="P62" i="9"/>
  <c r="T62" i="9" s="1" a="1"/>
  <c r="T62" i="9" s="1"/>
  <c r="S61" i="9"/>
  <c r="R61" i="9"/>
  <c r="Q61" i="9"/>
  <c r="P61" i="9"/>
  <c r="T61" i="9" s="1" a="1"/>
  <c r="T61" i="9" s="1"/>
  <c r="T60" i="9" a="1"/>
  <c r="T60" i="9" s="1"/>
  <c r="S60" i="9"/>
  <c r="R60" i="9"/>
  <c r="Q60" i="9"/>
  <c r="P60" i="9"/>
  <c r="S59" i="9"/>
  <c r="R59" i="9"/>
  <c r="T59" i="9" s="1" a="1"/>
  <c r="T59" i="9" s="1"/>
  <c r="Q59" i="9"/>
  <c r="P59" i="9"/>
  <c r="S58" i="9"/>
  <c r="R58" i="9"/>
  <c r="Q58" i="9"/>
  <c r="P58" i="9"/>
  <c r="T58" i="9" s="1" a="1"/>
  <c r="T58" i="9" s="1"/>
  <c r="S57" i="9"/>
  <c r="R57" i="9"/>
  <c r="Q57" i="9"/>
  <c r="P57" i="9"/>
  <c r="T57" i="9" s="1" a="1"/>
  <c r="T57" i="9" s="1"/>
  <c r="T56" i="9" a="1"/>
  <c r="T56" i="9" s="1"/>
  <c r="S56" i="9"/>
  <c r="R56" i="9"/>
  <c r="Q56" i="9"/>
  <c r="P56" i="9"/>
  <c r="S55" i="9"/>
  <c r="R55" i="9"/>
  <c r="T55" i="9" s="1" a="1"/>
  <c r="T55" i="9" s="1"/>
  <c r="Q55" i="9"/>
  <c r="P55" i="9"/>
  <c r="S54" i="9"/>
  <c r="R54" i="9"/>
  <c r="Q54" i="9"/>
  <c r="P54" i="9"/>
  <c r="T54" i="9" s="1" a="1"/>
  <c r="T54" i="9" s="1"/>
  <c r="S53" i="9"/>
  <c r="R53" i="9"/>
  <c r="Q53" i="9"/>
  <c r="P53" i="9"/>
  <c r="T53" i="9" s="1" a="1"/>
  <c r="T53" i="9" s="1"/>
  <c r="T52" i="9" a="1"/>
  <c r="T52" i="9" s="1"/>
  <c r="S52" i="9"/>
  <c r="R52" i="9"/>
  <c r="Q52" i="9"/>
  <c r="P52" i="9"/>
  <c r="S51" i="9"/>
  <c r="R51" i="9"/>
  <c r="T51" i="9" s="1" a="1"/>
  <c r="T51" i="9" s="1"/>
  <c r="Q51" i="9"/>
  <c r="P51" i="9"/>
  <c r="S50" i="9"/>
  <c r="R50" i="9"/>
  <c r="Q50" i="9"/>
  <c r="P50" i="9"/>
  <c r="T50" i="9" s="1" a="1"/>
  <c r="T50" i="9" s="1"/>
  <c r="S49" i="9"/>
  <c r="R49" i="9"/>
  <c r="Q49" i="9"/>
  <c r="P49" i="9"/>
  <c r="T49" i="9" s="1" a="1"/>
  <c r="T49" i="9" s="1"/>
  <c r="T48" i="9" a="1"/>
  <c r="T48" i="9" s="1"/>
  <c r="S48" i="9"/>
  <c r="R48" i="9"/>
  <c r="Q48" i="9"/>
  <c r="P48" i="9"/>
  <c r="S47" i="9"/>
  <c r="R47" i="9"/>
  <c r="T47" i="9" s="1" a="1"/>
  <c r="T47" i="9" s="1"/>
  <c r="Q47" i="9"/>
  <c r="P47" i="9"/>
  <c r="S46" i="9"/>
  <c r="R46" i="9"/>
  <c r="Q46" i="9"/>
  <c r="P46" i="9"/>
  <c r="T46" i="9" s="1" a="1"/>
  <c r="T46" i="9" s="1"/>
  <c r="S45" i="9"/>
  <c r="R45" i="9"/>
  <c r="Q45" i="9"/>
  <c r="P45" i="9"/>
  <c r="T45" i="9" s="1" a="1"/>
  <c r="T45" i="9" s="1"/>
  <c r="T44" i="9" a="1"/>
  <c r="T44" i="9" s="1"/>
  <c r="S44" i="9"/>
  <c r="R44" i="9"/>
  <c r="Q44" i="9"/>
  <c r="P44" i="9"/>
  <c r="S43" i="9"/>
  <c r="R43" i="9"/>
  <c r="T43" i="9" s="1" a="1"/>
  <c r="T43" i="9" s="1"/>
  <c r="Q43" i="9"/>
  <c r="P43" i="9"/>
  <c r="S42" i="9"/>
  <c r="R42" i="9"/>
  <c r="Q42" i="9"/>
  <c r="P42" i="9"/>
  <c r="T42" i="9" s="1" a="1"/>
  <c r="T42" i="9" s="1"/>
  <c r="S41" i="9"/>
  <c r="R41" i="9"/>
  <c r="Q41" i="9"/>
  <c r="P41" i="9"/>
  <c r="T41" i="9" s="1" a="1"/>
  <c r="T41" i="9" s="1"/>
  <c r="T40" i="9" a="1"/>
  <c r="T40" i="9" s="1"/>
  <c r="S40" i="9"/>
  <c r="R40" i="9"/>
  <c r="Q40" i="9"/>
  <c r="P40" i="9"/>
  <c r="S39" i="9"/>
  <c r="R39" i="9"/>
  <c r="T39" i="9" s="1" a="1"/>
  <c r="T39" i="9" s="1"/>
  <c r="Q39" i="9"/>
  <c r="P39" i="9"/>
  <c r="S38" i="9"/>
  <c r="R38" i="9"/>
  <c r="Q38" i="9"/>
  <c r="P38" i="9"/>
  <c r="T38" i="9" s="1" a="1"/>
  <c r="T38" i="9" s="1"/>
  <c r="S37" i="9"/>
  <c r="R37" i="9"/>
  <c r="Q37" i="9"/>
  <c r="P37" i="9"/>
  <c r="T37" i="9" s="1" a="1"/>
  <c r="T37" i="9" s="1"/>
  <c r="T36" i="9" a="1"/>
  <c r="T36" i="9" s="1"/>
  <c r="S36" i="9"/>
  <c r="R36" i="9"/>
  <c r="Q36" i="9"/>
  <c r="P36" i="9"/>
  <c r="S35" i="9"/>
  <c r="R35" i="9"/>
  <c r="T35" i="9" s="1" a="1"/>
  <c r="T35" i="9" s="1"/>
  <c r="Q35" i="9"/>
  <c r="P35" i="9"/>
  <c r="S34" i="9"/>
  <c r="R34" i="9"/>
  <c r="Q34" i="9"/>
  <c r="P34" i="9"/>
  <c r="T34" i="9" s="1" a="1"/>
  <c r="T34" i="9" s="1"/>
  <c r="S33" i="9"/>
  <c r="R33" i="9"/>
  <c r="Q33" i="9"/>
  <c r="P33" i="9"/>
  <c r="T33" i="9" s="1" a="1"/>
  <c r="T33" i="9" s="1"/>
  <c r="T32" i="9" a="1"/>
  <c r="T32" i="9" s="1"/>
  <c r="S32" i="9"/>
  <c r="R32" i="9"/>
  <c r="Q32" i="9"/>
  <c r="P32" i="9"/>
  <c r="S31" i="9"/>
  <c r="R31" i="9"/>
  <c r="T31" i="9" s="1" a="1"/>
  <c r="T31" i="9" s="1"/>
  <c r="Q31" i="9"/>
  <c r="P31" i="9"/>
  <c r="S30" i="9"/>
  <c r="R30" i="9"/>
  <c r="Q30" i="9"/>
  <c r="P30" i="9"/>
  <c r="T30" i="9" s="1" a="1"/>
  <c r="T30" i="9" s="1"/>
  <c r="S29" i="9"/>
  <c r="R29" i="9"/>
  <c r="Q29" i="9"/>
  <c r="P29" i="9"/>
  <c r="T29" i="9" s="1" a="1"/>
  <c r="T29" i="9" s="1"/>
  <c r="T28" i="9" a="1"/>
  <c r="T28" i="9" s="1"/>
  <c r="S28" i="9"/>
  <c r="R28" i="9"/>
  <c r="Q28" i="9"/>
  <c r="P28" i="9"/>
  <c r="S27" i="9"/>
  <c r="R27" i="9"/>
  <c r="T27" i="9" s="1" a="1"/>
  <c r="T27" i="9" s="1"/>
  <c r="Q27" i="9"/>
  <c r="P27" i="9"/>
  <c r="S26" i="9"/>
  <c r="R26" i="9"/>
  <c r="Q26" i="9"/>
  <c r="P26" i="9"/>
  <c r="T26" i="9" s="1" a="1"/>
  <c r="T26" i="9" s="1"/>
  <c r="S25" i="9"/>
  <c r="R25" i="9"/>
  <c r="Q25" i="9"/>
  <c r="P25" i="9"/>
  <c r="T25" i="9" s="1" a="1"/>
  <c r="T25" i="9" s="1"/>
  <c r="T24" i="9" a="1"/>
  <c r="T24" i="9" s="1"/>
  <c r="S24" i="9"/>
  <c r="R24" i="9"/>
  <c r="Q24" i="9"/>
  <c r="P24" i="9"/>
  <c r="S23" i="9"/>
  <c r="R23" i="9"/>
  <c r="T23" i="9" s="1" a="1"/>
  <c r="T23" i="9" s="1"/>
  <c r="Q23" i="9"/>
  <c r="P23" i="9"/>
  <c r="S22" i="9"/>
  <c r="R22" i="9"/>
  <c r="Q22" i="9"/>
  <c r="P22" i="9"/>
  <c r="T22" i="9" s="1" a="1"/>
  <c r="T22" i="9" s="1"/>
  <c r="S21" i="9"/>
  <c r="R21" i="9"/>
  <c r="Q21" i="9"/>
  <c r="P21" i="9"/>
  <c r="T21" i="9" s="1" a="1"/>
  <c r="T21" i="9" s="1"/>
  <c r="T20" i="9" a="1"/>
  <c r="T20" i="9" s="1"/>
  <c r="S20" i="9"/>
  <c r="R20" i="9"/>
  <c r="Q20" i="9"/>
  <c r="P20" i="9"/>
  <c r="S19" i="9"/>
  <c r="R19" i="9"/>
  <c r="T19" i="9" s="1" a="1"/>
  <c r="T19" i="9" s="1"/>
  <c r="Q19" i="9"/>
  <c r="P19" i="9"/>
  <c r="S18" i="9"/>
  <c r="R18" i="9"/>
  <c r="Q18" i="9"/>
  <c r="P18" i="9"/>
  <c r="T18" i="9" s="1" a="1"/>
  <c r="T18" i="9" s="1"/>
  <c r="S17" i="9"/>
  <c r="R17" i="9"/>
  <c r="Q17" i="9"/>
  <c r="P17" i="9"/>
  <c r="T17" i="9" s="1" a="1"/>
  <c r="T17" i="9" s="1"/>
  <c r="T16" i="9" a="1"/>
  <c r="T16" i="9" s="1"/>
  <c r="S16" i="9"/>
  <c r="R16" i="9"/>
  <c r="Q16" i="9"/>
  <c r="P16" i="9"/>
  <c r="S15" i="9"/>
  <c r="R15" i="9"/>
  <c r="T15" i="9" s="1" a="1"/>
  <c r="T15" i="9" s="1"/>
  <c r="Q15" i="9"/>
  <c r="P15" i="9"/>
  <c r="S14" i="9"/>
  <c r="R14" i="9"/>
  <c r="Q14" i="9"/>
  <c r="P14" i="9"/>
  <c r="T14" i="9" s="1" a="1"/>
  <c r="T14" i="9" s="1"/>
  <c r="S13" i="9"/>
  <c r="R13" i="9"/>
  <c r="Q13" i="9"/>
  <c r="P13" i="9"/>
  <c r="T13" i="9" s="1" a="1"/>
  <c r="T13" i="9" s="1"/>
  <c r="T12" i="9" a="1"/>
  <c r="T12" i="9" s="1"/>
  <c r="S12" i="9"/>
  <c r="R12" i="9"/>
  <c r="Q12" i="9"/>
  <c r="P12" i="9"/>
  <c r="S11" i="9"/>
  <c r="R11" i="9"/>
  <c r="T11" i="9" s="1" a="1"/>
  <c r="T11" i="9" s="1"/>
  <c r="Q11" i="9"/>
  <c r="P11" i="9"/>
  <c r="S10" i="9"/>
  <c r="R10" i="9"/>
  <c r="Q10" i="9"/>
  <c r="P10" i="9"/>
  <c r="T10" i="9" s="1" a="1"/>
  <c r="T10" i="9" s="1"/>
  <c r="T9" i="9" a="1"/>
  <c r="T9" i="9" s="1"/>
  <c r="C587" i="8"/>
  <c r="C586" i="8"/>
  <c r="C585" i="8"/>
  <c r="C584" i="8"/>
  <c r="C583" i="8"/>
  <c r="C582" i="8"/>
  <c r="C581" i="8"/>
  <c r="C580" i="8"/>
  <c r="C579" i="8"/>
  <c r="C578" i="8"/>
  <c r="C577" i="8"/>
  <c r="C576" i="8"/>
  <c r="C575" i="8"/>
  <c r="C574" i="8"/>
  <c r="C573" i="8"/>
  <c r="C572" i="8"/>
  <c r="C571" i="8"/>
  <c r="C570" i="8"/>
  <c r="C569" i="8"/>
  <c r="C568" i="8"/>
  <c r="C567" i="8"/>
  <c r="C566" i="8"/>
  <c r="C565" i="8"/>
  <c r="C564" i="8"/>
  <c r="C563" i="8"/>
  <c r="C562" i="8"/>
  <c r="C561" i="8"/>
  <c r="C560" i="8"/>
  <c r="C559" i="8"/>
  <c r="C558" i="8"/>
  <c r="C557" i="8"/>
  <c r="C556" i="8"/>
  <c r="C555" i="8"/>
  <c r="C554" i="8"/>
  <c r="C553" i="8"/>
  <c r="C552" i="8"/>
  <c r="C551" i="8"/>
  <c r="C550" i="8"/>
  <c r="C549" i="8"/>
  <c r="C548" i="8"/>
  <c r="C547" i="8"/>
  <c r="C546" i="8"/>
  <c r="C545" i="8"/>
  <c r="C544" i="8"/>
  <c r="C543" i="8"/>
  <c r="C542" i="8"/>
  <c r="C541" i="8"/>
  <c r="C540" i="8"/>
  <c r="C539" i="8"/>
  <c r="C538" i="8"/>
  <c r="C537" i="8"/>
  <c r="C536" i="8"/>
  <c r="C535" i="8"/>
  <c r="C534" i="8"/>
  <c r="C533" i="8"/>
  <c r="C532" i="8"/>
  <c r="C531" i="8"/>
  <c r="C530" i="8"/>
  <c r="C529" i="8"/>
  <c r="C528" i="8"/>
  <c r="C527" i="8"/>
  <c r="C526" i="8"/>
  <c r="C525" i="8"/>
  <c r="C524" i="8"/>
  <c r="C523" i="8"/>
  <c r="C522" i="8"/>
  <c r="C521" i="8"/>
  <c r="C520" i="8"/>
  <c r="C519" i="8"/>
  <c r="C518" i="8"/>
  <c r="C517" i="8"/>
  <c r="C516" i="8"/>
  <c r="C515" i="8"/>
  <c r="C514" i="8"/>
  <c r="C513" i="8"/>
  <c r="C512" i="8"/>
  <c r="C511" i="8"/>
  <c r="C510" i="8"/>
  <c r="C509" i="8"/>
  <c r="C508" i="8"/>
  <c r="C507" i="8"/>
  <c r="C506" i="8"/>
  <c r="C505" i="8"/>
  <c r="C504" i="8"/>
  <c r="C503" i="8"/>
  <c r="C502" i="8"/>
  <c r="C501" i="8"/>
  <c r="C500" i="8"/>
  <c r="C499" i="8"/>
  <c r="C498" i="8"/>
  <c r="C497" i="8"/>
  <c r="C496" i="8"/>
  <c r="C495" i="8"/>
  <c r="C494" i="8"/>
  <c r="C493" i="8"/>
  <c r="C492" i="8"/>
  <c r="C491" i="8"/>
  <c r="C490" i="8"/>
  <c r="C489" i="8"/>
  <c r="C488" i="8"/>
  <c r="C487" i="8"/>
  <c r="C486" i="8"/>
  <c r="C485" i="8"/>
  <c r="C484" i="8"/>
  <c r="C483" i="8"/>
  <c r="C482" i="8"/>
  <c r="C481" i="8"/>
  <c r="C480" i="8"/>
  <c r="C479" i="8"/>
  <c r="C478" i="8"/>
  <c r="C477" i="8"/>
  <c r="C476" i="8"/>
  <c r="C475" i="8"/>
  <c r="C474" i="8"/>
  <c r="C473" i="8"/>
  <c r="C472" i="8"/>
  <c r="C471" i="8"/>
  <c r="C470" i="8"/>
  <c r="C469" i="8"/>
  <c r="C468" i="8"/>
  <c r="C467" i="8"/>
  <c r="C466" i="8"/>
  <c r="C465" i="8"/>
  <c r="C464" i="8"/>
  <c r="C463" i="8"/>
  <c r="C462" i="8"/>
  <c r="C461" i="8"/>
  <c r="C460" i="8"/>
  <c r="C459" i="8"/>
  <c r="C458" i="8"/>
  <c r="C457" i="8"/>
  <c r="C456" i="8"/>
  <c r="C455" i="8"/>
  <c r="C454" i="8"/>
  <c r="C453" i="8"/>
  <c r="C452" i="8"/>
  <c r="C451" i="8"/>
  <c r="C450" i="8"/>
  <c r="C449" i="8"/>
  <c r="C448" i="8"/>
  <c r="C447" i="8"/>
  <c r="C446" i="8"/>
  <c r="C445" i="8"/>
  <c r="C444" i="8"/>
  <c r="C443" i="8"/>
  <c r="C442" i="8"/>
  <c r="C441" i="8"/>
  <c r="C440" i="8"/>
  <c r="C439" i="8"/>
  <c r="C438" i="8"/>
  <c r="C437" i="8"/>
  <c r="C436" i="8"/>
  <c r="C435" i="8"/>
  <c r="C434" i="8"/>
  <c r="C433" i="8"/>
  <c r="C432" i="8"/>
  <c r="C431" i="8"/>
  <c r="C430" i="8"/>
  <c r="C429" i="8"/>
  <c r="C428" i="8"/>
  <c r="C427" i="8"/>
  <c r="C426" i="8"/>
  <c r="C425" i="8"/>
  <c r="C424" i="8"/>
  <c r="C423" i="8"/>
  <c r="C422" i="8"/>
  <c r="C421" i="8"/>
  <c r="C420" i="8"/>
  <c r="C419" i="8"/>
  <c r="C418" i="8"/>
  <c r="C417" i="8"/>
  <c r="C416" i="8"/>
  <c r="C415" i="8"/>
  <c r="C414" i="8"/>
  <c r="C413" i="8"/>
  <c r="C412" i="8"/>
  <c r="C411" i="8"/>
  <c r="C410" i="8"/>
  <c r="C409" i="8"/>
  <c r="C408" i="8"/>
  <c r="C407" i="8"/>
  <c r="C406" i="8"/>
  <c r="C405" i="8"/>
  <c r="C404" i="8"/>
  <c r="C403" i="8"/>
  <c r="C402" i="8"/>
  <c r="C401" i="8"/>
  <c r="C400" i="8"/>
  <c r="C399" i="8"/>
  <c r="C398" i="8"/>
  <c r="C397" i="8"/>
  <c r="C396" i="8"/>
  <c r="C395" i="8"/>
  <c r="C394" i="8"/>
  <c r="C393" i="8"/>
  <c r="C392" i="8"/>
  <c r="C391" i="8"/>
  <c r="C390" i="8"/>
  <c r="C389" i="8"/>
  <c r="C388" i="8"/>
  <c r="C387" i="8"/>
  <c r="C386" i="8"/>
  <c r="C385" i="8"/>
  <c r="C384" i="8"/>
  <c r="C383" i="8"/>
  <c r="C382" i="8"/>
  <c r="C381" i="8"/>
  <c r="C380" i="8"/>
  <c r="C379" i="8"/>
  <c r="C378" i="8"/>
  <c r="C377" i="8"/>
  <c r="C376" i="8"/>
  <c r="C375" i="8"/>
  <c r="C374" i="8"/>
  <c r="C373" i="8"/>
  <c r="C372" i="8"/>
  <c r="C371" i="8"/>
  <c r="C370" i="8"/>
  <c r="C369" i="8"/>
  <c r="C368" i="8"/>
  <c r="C367" i="8"/>
  <c r="C366" i="8"/>
  <c r="C365" i="8"/>
  <c r="C364" i="8"/>
  <c r="C363" i="8"/>
  <c r="C362" i="8"/>
  <c r="C361" i="8"/>
  <c r="C360" i="8"/>
  <c r="C359" i="8"/>
  <c r="C358" i="8"/>
  <c r="C357" i="8"/>
  <c r="C356" i="8"/>
  <c r="C355" i="8"/>
  <c r="C354" i="8"/>
  <c r="C353" i="8"/>
  <c r="C352" i="8"/>
  <c r="C351" i="8"/>
  <c r="C350" i="8"/>
  <c r="C349" i="8"/>
  <c r="C348" i="8"/>
  <c r="C347" i="8"/>
  <c r="C346" i="8"/>
  <c r="C345" i="8"/>
  <c r="C344" i="8"/>
  <c r="C343" i="8"/>
  <c r="C342" i="8"/>
  <c r="C341" i="8"/>
  <c r="C340" i="8"/>
  <c r="C339" i="8"/>
  <c r="C338" i="8"/>
  <c r="C337" i="8"/>
  <c r="C336" i="8"/>
  <c r="C335" i="8"/>
  <c r="C334" i="8"/>
  <c r="C333" i="8"/>
  <c r="C332" i="8"/>
  <c r="C331" i="8"/>
  <c r="C330" i="8"/>
  <c r="C329" i="8"/>
  <c r="C328" i="8"/>
  <c r="C327" i="8"/>
  <c r="C326" i="8"/>
  <c r="C325" i="8"/>
  <c r="C324" i="8"/>
  <c r="C323" i="8"/>
  <c r="C322" i="8"/>
  <c r="C321" i="8"/>
  <c r="C320" i="8"/>
  <c r="C319" i="8"/>
  <c r="C318" i="8"/>
  <c r="C317" i="8"/>
  <c r="C316" i="8"/>
  <c r="C315" i="8"/>
  <c r="C314" i="8"/>
  <c r="C313" i="8"/>
  <c r="C312" i="8"/>
  <c r="C311" i="8"/>
  <c r="C310" i="8"/>
  <c r="C309" i="8"/>
  <c r="C308" i="8"/>
  <c r="C307" i="8"/>
  <c r="C306" i="8"/>
  <c r="C305" i="8"/>
  <c r="C304" i="8"/>
  <c r="C303" i="8"/>
  <c r="C302" i="8"/>
  <c r="C301" i="8"/>
  <c r="C300" i="8"/>
  <c r="C299" i="8"/>
  <c r="C298" i="8"/>
  <c r="C297" i="8"/>
  <c r="C296" i="8"/>
  <c r="C295" i="8"/>
  <c r="C294" i="8"/>
  <c r="C293" i="8"/>
  <c r="C292" i="8"/>
  <c r="C291" i="8"/>
  <c r="C290" i="8"/>
  <c r="C289" i="8"/>
  <c r="C288" i="8"/>
  <c r="C287" i="8"/>
  <c r="C286" i="8"/>
  <c r="C285" i="8"/>
  <c r="C284" i="8"/>
  <c r="C283" i="8"/>
  <c r="C282" i="8"/>
  <c r="C281" i="8"/>
  <c r="C280" i="8"/>
  <c r="C279" i="8"/>
  <c r="C278" i="8"/>
  <c r="C277" i="8"/>
  <c r="C276" i="8"/>
  <c r="C275" i="8"/>
  <c r="C274" i="8"/>
  <c r="C273" i="8"/>
  <c r="C272" i="8"/>
  <c r="C271" i="8"/>
  <c r="C270" i="8"/>
  <c r="C269" i="8"/>
  <c r="C268" i="8"/>
  <c r="C267" i="8"/>
  <c r="C266" i="8"/>
  <c r="C265" i="8"/>
  <c r="C264" i="8"/>
  <c r="C263" i="8"/>
  <c r="C262" i="8"/>
  <c r="C261" i="8"/>
  <c r="C260" i="8"/>
  <c r="C259" i="8"/>
  <c r="C258" i="8"/>
  <c r="C257" i="8"/>
  <c r="C256" i="8"/>
  <c r="C255" i="8"/>
  <c r="C254" i="8"/>
  <c r="C253" i="8"/>
  <c r="C252" i="8"/>
  <c r="C251" i="8"/>
  <c r="C250" i="8"/>
  <c r="C249" i="8"/>
  <c r="C248" i="8"/>
  <c r="C247" i="8"/>
  <c r="C246" i="8"/>
  <c r="C245" i="8"/>
  <c r="C244" i="8"/>
  <c r="C243" i="8"/>
  <c r="C242" i="8"/>
  <c r="C241" i="8"/>
  <c r="C240" i="8"/>
  <c r="C239" i="8"/>
  <c r="C238" i="8"/>
  <c r="C237" i="8"/>
  <c r="C236" i="8"/>
  <c r="C235" i="8"/>
  <c r="C234" i="8"/>
  <c r="C233" i="8"/>
  <c r="C232" i="8"/>
  <c r="C231" i="8"/>
  <c r="C230" i="8"/>
  <c r="C229" i="8"/>
  <c r="C228" i="8"/>
  <c r="C227" i="8"/>
  <c r="C226" i="8"/>
  <c r="C225" i="8"/>
  <c r="C224" i="8"/>
  <c r="C223" i="8"/>
  <c r="C222" i="8"/>
  <c r="C221" i="8"/>
  <c r="C220" i="8"/>
  <c r="C219" i="8"/>
  <c r="C218" i="8"/>
  <c r="C217" i="8"/>
  <c r="C216" i="8"/>
  <c r="C215" i="8"/>
  <c r="C214" i="8"/>
  <c r="C213" i="8"/>
  <c r="C212" i="8"/>
  <c r="C211" i="8"/>
  <c r="C210" i="8"/>
  <c r="C209" i="8"/>
  <c r="C208" i="8"/>
  <c r="C207" i="8"/>
  <c r="C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C193" i="8"/>
  <c r="C192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AC616" i="2" a="1"/>
  <c r="AC616" i="2" s="1"/>
  <c r="AC11" i="2" a="1"/>
  <c r="AC11" i="2" s="1"/>
  <c r="AC12" i="2" a="1"/>
  <c r="AC12" i="2" s="1"/>
  <c r="AC13" i="2" a="1"/>
  <c r="AC13" i="2" s="1"/>
  <c r="AC14" i="2" a="1"/>
  <c r="AC14" i="2" s="1"/>
  <c r="AC15" i="2" a="1"/>
  <c r="AC15" i="2"/>
  <c r="AC16" i="2" a="1"/>
  <c r="AC16" i="2" s="1"/>
  <c r="AC17" i="2" a="1"/>
  <c r="AC17" i="2" s="1"/>
  <c r="AC18" i="2" a="1"/>
  <c r="AC18" i="2"/>
  <c r="AC19" i="2" a="1"/>
  <c r="AC19" i="2" s="1"/>
  <c r="AC20" i="2" a="1"/>
  <c r="AC20" i="2" s="1"/>
  <c r="AC21" i="2" a="1"/>
  <c r="AC21" i="2" s="1"/>
  <c r="AC22" i="2" a="1"/>
  <c r="AC22" i="2" s="1"/>
  <c r="AC23" i="2" a="1"/>
  <c r="AC23" i="2"/>
  <c r="AC24" i="2" a="1"/>
  <c r="AC24" i="2" s="1"/>
  <c r="AC25" i="2" a="1"/>
  <c r="AC25" i="2" s="1"/>
  <c r="AC26" i="2" a="1"/>
  <c r="AC26" i="2"/>
  <c r="AC27" i="2" a="1"/>
  <c r="AC27" i="2" s="1"/>
  <c r="AC28" i="2" a="1"/>
  <c r="AC28" i="2" s="1"/>
  <c r="AC29" i="2" a="1"/>
  <c r="AC29" i="2" s="1"/>
  <c r="AC30" i="2" a="1"/>
  <c r="AC30" i="2" s="1"/>
  <c r="AC31" i="2" a="1"/>
  <c r="AC31" i="2"/>
  <c r="AC32" i="2" a="1"/>
  <c r="AC32" i="2" s="1"/>
  <c r="AC33" i="2" a="1"/>
  <c r="AC33" i="2" s="1"/>
  <c r="AC34" i="2" a="1"/>
  <c r="AC34" i="2"/>
  <c r="AC35" i="2" a="1"/>
  <c r="AC35" i="2" s="1"/>
  <c r="AC36" i="2" a="1"/>
  <c r="AC36" i="2" s="1"/>
  <c r="AC37" i="2" a="1"/>
  <c r="AC37" i="2" s="1"/>
  <c r="AC38" i="2" a="1"/>
  <c r="AC38" i="2" s="1"/>
  <c r="AC39" i="2" a="1"/>
  <c r="AC39" i="2" s="1"/>
  <c r="AC40" i="2" a="1"/>
  <c r="AC40" i="2" s="1"/>
  <c r="AC41" i="2" a="1"/>
  <c r="AC41" i="2" s="1"/>
  <c r="AC42" i="2" a="1"/>
  <c r="AC42" i="2"/>
  <c r="AC43" i="2" a="1"/>
  <c r="AC43" i="2" s="1"/>
  <c r="AC44" i="2" a="1"/>
  <c r="AC44" i="2" s="1"/>
  <c r="AC45" i="2" a="1"/>
  <c r="AC45" i="2" s="1"/>
  <c r="AC46" i="2" a="1"/>
  <c r="AC46" i="2" s="1"/>
  <c r="AC47" i="2" a="1"/>
  <c r="AC47" i="2" s="1"/>
  <c r="AC48" i="2" a="1"/>
  <c r="AC48" i="2" s="1"/>
  <c r="AC49" i="2" a="1"/>
  <c r="AC49" i="2" s="1"/>
  <c r="AC50" i="2" a="1"/>
  <c r="AC50" i="2"/>
  <c r="AC51" i="2" a="1"/>
  <c r="AC51" i="2" s="1"/>
  <c r="AC52" i="2" a="1"/>
  <c r="AC52" i="2" s="1"/>
  <c r="AC53" i="2" a="1"/>
  <c r="AC53" i="2" s="1"/>
  <c r="AC54" i="2" a="1"/>
  <c r="AC54" i="2" s="1"/>
  <c r="AC55" i="2" a="1"/>
  <c r="AC55" i="2" s="1"/>
  <c r="AC56" i="2" a="1"/>
  <c r="AC56" i="2" s="1"/>
  <c r="AC57" i="2" a="1"/>
  <c r="AC57" i="2" s="1"/>
  <c r="AC58" i="2" a="1"/>
  <c r="AC58" i="2"/>
  <c r="AC59" i="2" a="1"/>
  <c r="AC59" i="2" s="1"/>
  <c r="AC60" i="2" a="1"/>
  <c r="AC60" i="2" s="1"/>
  <c r="AC61" i="2" a="1"/>
  <c r="AC61" i="2" s="1"/>
  <c r="AC62" i="2" a="1"/>
  <c r="AC62" i="2" s="1"/>
  <c r="AC63" i="2" a="1"/>
  <c r="AC63" i="2" s="1"/>
  <c r="AC64" i="2" a="1"/>
  <c r="AC64" i="2" s="1"/>
  <c r="AC65" i="2" a="1"/>
  <c r="AC65" i="2" s="1"/>
  <c r="AC66" i="2" a="1"/>
  <c r="AC66" i="2"/>
  <c r="AC67" i="2" a="1"/>
  <c r="AC67" i="2" s="1"/>
  <c r="AC68" i="2" a="1"/>
  <c r="AC68" i="2" s="1"/>
  <c r="AC69" i="2" a="1"/>
  <c r="AC69" i="2" s="1"/>
  <c r="AC70" i="2" a="1"/>
  <c r="AC70" i="2" s="1"/>
  <c r="AC71" i="2" a="1"/>
  <c r="AC71" i="2" s="1"/>
  <c r="AC72" i="2" a="1"/>
  <c r="AC72" i="2" s="1"/>
  <c r="AC73" i="2" a="1"/>
  <c r="AC73" i="2" s="1"/>
  <c r="AC74" i="2" a="1"/>
  <c r="AC74" i="2"/>
  <c r="AC75" i="2" a="1"/>
  <c r="AC75" i="2" s="1"/>
  <c r="AC76" i="2" a="1"/>
  <c r="AC76" i="2" s="1"/>
  <c r="AC77" i="2" a="1"/>
  <c r="AC77" i="2" s="1"/>
  <c r="AC78" i="2" a="1"/>
  <c r="AC78" i="2" s="1"/>
  <c r="AC79" i="2" a="1"/>
  <c r="AC79" i="2" s="1"/>
  <c r="AC80" i="2" a="1"/>
  <c r="AC80" i="2" s="1"/>
  <c r="AC81" i="2" a="1"/>
  <c r="AC81" i="2" s="1"/>
  <c r="AC82" i="2" a="1"/>
  <c r="AC82" i="2"/>
  <c r="AC83" i="2" a="1"/>
  <c r="AC83" i="2" s="1"/>
  <c r="AC84" i="2" a="1"/>
  <c r="AC84" i="2" s="1"/>
  <c r="AC85" i="2" a="1"/>
  <c r="AC85" i="2" s="1"/>
  <c r="AC86" i="2" a="1"/>
  <c r="AC86" i="2" s="1"/>
  <c r="AC87" i="2" a="1"/>
  <c r="AC87" i="2" s="1"/>
  <c r="AC88" i="2" a="1"/>
  <c r="AC88" i="2" s="1"/>
  <c r="AC89" i="2" a="1"/>
  <c r="AC89" i="2" s="1"/>
  <c r="AC90" i="2" a="1"/>
  <c r="AC90" i="2"/>
  <c r="AC91" i="2" a="1"/>
  <c r="AC91" i="2" s="1"/>
  <c r="AC92" i="2" a="1"/>
  <c r="AC92" i="2" s="1"/>
  <c r="AC93" i="2" a="1"/>
  <c r="AC93" i="2" s="1"/>
  <c r="AC94" i="2" a="1"/>
  <c r="AC94" i="2" s="1"/>
  <c r="AC95" i="2" a="1"/>
  <c r="AC95" i="2" s="1"/>
  <c r="AC96" i="2" a="1"/>
  <c r="AC96" i="2" s="1"/>
  <c r="AC97" i="2" a="1"/>
  <c r="AC97" i="2" s="1"/>
  <c r="AC98" i="2" a="1"/>
  <c r="AC98" i="2"/>
  <c r="AC99" i="2" a="1"/>
  <c r="AC99" i="2" s="1"/>
  <c r="AC100" i="2" a="1"/>
  <c r="AC100" i="2" s="1"/>
  <c r="AC101" i="2" a="1"/>
  <c r="AC101" i="2" s="1"/>
  <c r="AC102" i="2" a="1"/>
  <c r="AC102" i="2" s="1"/>
  <c r="AC103" i="2" a="1"/>
  <c r="AC103" i="2" s="1"/>
  <c r="AC104" i="2" a="1"/>
  <c r="AC104" i="2" s="1"/>
  <c r="AC105" i="2" a="1"/>
  <c r="AC105" i="2" s="1"/>
  <c r="AC106" i="2" a="1"/>
  <c r="AC106" i="2"/>
  <c r="AC107" i="2" a="1"/>
  <c r="AC107" i="2" s="1"/>
  <c r="AC108" i="2" a="1"/>
  <c r="AC108" i="2" s="1"/>
  <c r="AC109" i="2" a="1"/>
  <c r="AC109" i="2" s="1"/>
  <c r="AC110" i="2" a="1"/>
  <c r="AC110" i="2" s="1"/>
  <c r="AC111" i="2" a="1"/>
  <c r="AC111" i="2" s="1"/>
  <c r="AC112" i="2" a="1"/>
  <c r="AC112" i="2" s="1"/>
  <c r="AC113" i="2" a="1"/>
  <c r="AC113" i="2" s="1"/>
  <c r="AC114" i="2" a="1"/>
  <c r="AC114" i="2"/>
  <c r="AC115" i="2" a="1"/>
  <c r="AC115" i="2" s="1"/>
  <c r="AC116" i="2" a="1"/>
  <c r="AC116" i="2" s="1"/>
  <c r="AC117" i="2" a="1"/>
  <c r="AC117" i="2" s="1"/>
  <c r="AC118" i="2" a="1"/>
  <c r="AC118" i="2" s="1"/>
  <c r="AC119" i="2" a="1"/>
  <c r="AC119" i="2" s="1"/>
  <c r="AC120" i="2" a="1"/>
  <c r="AC120" i="2" s="1"/>
  <c r="AC121" i="2" a="1"/>
  <c r="AC121" i="2" s="1"/>
  <c r="AC122" i="2" a="1"/>
  <c r="AC122" i="2"/>
  <c r="AC123" i="2" a="1"/>
  <c r="AC123" i="2" s="1"/>
  <c r="AC124" i="2" a="1"/>
  <c r="AC124" i="2" s="1"/>
  <c r="AC125" i="2" a="1"/>
  <c r="AC125" i="2" s="1"/>
  <c r="AC126" i="2" a="1"/>
  <c r="AC126" i="2" s="1"/>
  <c r="AC127" i="2" a="1"/>
  <c r="AC127" i="2" s="1"/>
  <c r="AC128" i="2" a="1"/>
  <c r="AC128" i="2" s="1"/>
  <c r="AC129" i="2" a="1"/>
  <c r="AC129" i="2" s="1"/>
  <c r="AC130" i="2" a="1"/>
  <c r="AC130" i="2"/>
  <c r="AC131" i="2" a="1"/>
  <c r="AC131" i="2" s="1"/>
  <c r="AC132" i="2" a="1"/>
  <c r="AC132" i="2" s="1"/>
  <c r="AC133" i="2" a="1"/>
  <c r="AC133" i="2" s="1"/>
  <c r="AC134" i="2" a="1"/>
  <c r="AC134" i="2" s="1"/>
  <c r="AC135" i="2" a="1"/>
  <c r="AC135" i="2" s="1"/>
  <c r="AC136" i="2" a="1"/>
  <c r="AC136" i="2" s="1"/>
  <c r="AC137" i="2" a="1"/>
  <c r="AC137" i="2" s="1"/>
  <c r="AC138" i="2" a="1"/>
  <c r="AC138" i="2"/>
  <c r="AC139" i="2" a="1"/>
  <c r="AC139" i="2" s="1"/>
  <c r="AC140" i="2" a="1"/>
  <c r="AC140" i="2" s="1"/>
  <c r="AC141" i="2" a="1"/>
  <c r="AC141" i="2" s="1"/>
  <c r="AC142" i="2" a="1"/>
  <c r="AC142" i="2" s="1"/>
  <c r="AC143" i="2" a="1"/>
  <c r="AC143" i="2" s="1"/>
  <c r="AC144" i="2" a="1"/>
  <c r="AC144" i="2" s="1"/>
  <c r="AC145" i="2" a="1"/>
  <c r="AC145" i="2" s="1"/>
  <c r="AC146" i="2" a="1"/>
  <c r="AC146" i="2"/>
  <c r="AC147" i="2" a="1"/>
  <c r="AC147" i="2" s="1"/>
  <c r="AC148" i="2" a="1"/>
  <c r="AC148" i="2" s="1"/>
  <c r="AC149" i="2" a="1"/>
  <c r="AC149" i="2" s="1"/>
  <c r="AC150" i="2" a="1"/>
  <c r="AC150" i="2" s="1"/>
  <c r="AC151" i="2" a="1"/>
  <c r="AC151" i="2" s="1"/>
  <c r="AC152" i="2" a="1"/>
  <c r="AC152" i="2" s="1"/>
  <c r="AC153" i="2" a="1"/>
  <c r="AC153" i="2" s="1"/>
  <c r="AC154" i="2" a="1"/>
  <c r="AC154" i="2"/>
  <c r="AC155" i="2" a="1"/>
  <c r="AC155" i="2" s="1"/>
  <c r="AC156" i="2" a="1"/>
  <c r="AC156" i="2" s="1"/>
  <c r="AC157" i="2" a="1"/>
  <c r="AC157" i="2" s="1"/>
  <c r="AC158" i="2" a="1"/>
  <c r="AC158" i="2" s="1"/>
  <c r="AC159" i="2" a="1"/>
  <c r="AC159" i="2" s="1"/>
  <c r="AC160" i="2" a="1"/>
  <c r="AC160" i="2" s="1"/>
  <c r="AC161" i="2" a="1"/>
  <c r="AC161" i="2" s="1"/>
  <c r="AC162" i="2" a="1"/>
  <c r="AC162" i="2"/>
  <c r="AC163" i="2" a="1"/>
  <c r="AC163" i="2" s="1"/>
  <c r="AC164" i="2" a="1"/>
  <c r="AC164" i="2" s="1"/>
  <c r="AC165" i="2" a="1"/>
  <c r="AC165" i="2" s="1"/>
  <c r="AC166" i="2" a="1"/>
  <c r="AC166" i="2" s="1"/>
  <c r="AC167" i="2" a="1"/>
  <c r="AC167" i="2" s="1"/>
  <c r="AC168" i="2" a="1"/>
  <c r="AC168" i="2" s="1"/>
  <c r="AC169" i="2" a="1"/>
  <c r="AC169" i="2" s="1"/>
  <c r="AC170" i="2" a="1"/>
  <c r="AC170" i="2"/>
  <c r="AC171" i="2" a="1"/>
  <c r="AC171" i="2" s="1"/>
  <c r="AC172" i="2" a="1"/>
  <c r="AC172" i="2" s="1"/>
  <c r="AC173" i="2" a="1"/>
  <c r="AC173" i="2" s="1"/>
  <c r="AC174" i="2" a="1"/>
  <c r="AC174" i="2" s="1"/>
  <c r="AC175" i="2" a="1"/>
  <c r="AC175" i="2" s="1"/>
  <c r="AC176" i="2" a="1"/>
  <c r="AC176" i="2" s="1"/>
  <c r="AC177" i="2" a="1"/>
  <c r="AC177" i="2" s="1"/>
  <c r="AC178" i="2" a="1"/>
  <c r="AC178" i="2"/>
  <c r="AC179" i="2" a="1"/>
  <c r="AC179" i="2" s="1"/>
  <c r="AC180" i="2" a="1"/>
  <c r="AC180" i="2" s="1"/>
  <c r="AC181" i="2" a="1"/>
  <c r="AC181" i="2" s="1"/>
  <c r="AC182" i="2" a="1"/>
  <c r="AC182" i="2" s="1"/>
  <c r="AC183" i="2" a="1"/>
  <c r="AC183" i="2" s="1"/>
  <c r="AC184" i="2" a="1"/>
  <c r="AC184" i="2" s="1"/>
  <c r="AC185" i="2" a="1"/>
  <c r="AC185" i="2" s="1"/>
  <c r="AC186" i="2" a="1"/>
  <c r="AC186" i="2"/>
  <c r="AC187" i="2" a="1"/>
  <c r="AC187" i="2" s="1"/>
  <c r="AC188" i="2" a="1"/>
  <c r="AC188" i="2" s="1"/>
  <c r="AC189" i="2" a="1"/>
  <c r="AC189" i="2" s="1"/>
  <c r="AC190" i="2" a="1"/>
  <c r="AC190" i="2" s="1"/>
  <c r="AC191" i="2" a="1"/>
  <c r="AC191" i="2" s="1"/>
  <c r="AC192" i="2" a="1"/>
  <c r="AC192" i="2" s="1"/>
  <c r="AC193" i="2" a="1"/>
  <c r="AC193" i="2" s="1"/>
  <c r="AC194" i="2" a="1"/>
  <c r="AC194" i="2"/>
  <c r="AC195" i="2" a="1"/>
  <c r="AC195" i="2" s="1"/>
  <c r="AC196" i="2" a="1"/>
  <c r="AC196" i="2" s="1"/>
  <c r="AC197" i="2" a="1"/>
  <c r="AC197" i="2" s="1"/>
  <c r="AC198" i="2" a="1"/>
  <c r="AC198" i="2" s="1"/>
  <c r="AC199" i="2" a="1"/>
  <c r="AC199" i="2" s="1"/>
  <c r="AC200" i="2" a="1"/>
  <c r="AC200" i="2" s="1"/>
  <c r="AC201" i="2" a="1"/>
  <c r="AC201" i="2" s="1"/>
  <c r="AC202" i="2" a="1"/>
  <c r="AC202" i="2"/>
  <c r="AC203" i="2" a="1"/>
  <c r="AC203" i="2" s="1"/>
  <c r="AC204" i="2" a="1"/>
  <c r="AC204" i="2" s="1"/>
  <c r="AC205" i="2" a="1"/>
  <c r="AC205" i="2" s="1"/>
  <c r="AC206" i="2" a="1"/>
  <c r="AC206" i="2" s="1"/>
  <c r="AC207" i="2" a="1"/>
  <c r="AC207" i="2" s="1"/>
  <c r="AC208" i="2" a="1"/>
  <c r="AC208" i="2" s="1"/>
  <c r="AC209" i="2" a="1"/>
  <c r="AC209" i="2" s="1"/>
  <c r="AC210" i="2" a="1"/>
  <c r="AC210" i="2"/>
  <c r="AC211" i="2" a="1"/>
  <c r="AC211" i="2" s="1"/>
  <c r="AC212" i="2" a="1"/>
  <c r="AC212" i="2" s="1"/>
  <c r="AC213" i="2" a="1"/>
  <c r="AC213" i="2" s="1"/>
  <c r="AC214" i="2" a="1"/>
  <c r="AC214" i="2" s="1"/>
  <c r="AC215" i="2" a="1"/>
  <c r="AC215" i="2" s="1"/>
  <c r="AC216" i="2" a="1"/>
  <c r="AC216" i="2" s="1"/>
  <c r="AC217" i="2" a="1"/>
  <c r="AC217" i="2" s="1"/>
  <c r="AC218" i="2" a="1"/>
  <c r="AC218" i="2"/>
  <c r="AC219" i="2" a="1"/>
  <c r="AC219" i="2" s="1"/>
  <c r="AC220" i="2" a="1"/>
  <c r="AC220" i="2" s="1"/>
  <c r="AC221" i="2" a="1"/>
  <c r="AC221" i="2" s="1"/>
  <c r="AC222" i="2" a="1"/>
  <c r="AC222" i="2" s="1"/>
  <c r="AC223" i="2" a="1"/>
  <c r="AC223" i="2" s="1"/>
  <c r="AC224" i="2" a="1"/>
  <c r="AC224" i="2" s="1"/>
  <c r="AC225" i="2" a="1"/>
  <c r="AC225" i="2" s="1"/>
  <c r="AC226" i="2" a="1"/>
  <c r="AC226" i="2"/>
  <c r="AC227" i="2" a="1"/>
  <c r="AC227" i="2" s="1"/>
  <c r="AC228" i="2" a="1"/>
  <c r="AC228" i="2" s="1"/>
  <c r="AC229" i="2" a="1"/>
  <c r="AC229" i="2" s="1"/>
  <c r="AC230" i="2" a="1"/>
  <c r="AC230" i="2" s="1"/>
  <c r="AC231" i="2" a="1"/>
  <c r="AC231" i="2" s="1"/>
  <c r="AC232" i="2" a="1"/>
  <c r="AC232" i="2" s="1"/>
  <c r="AC233" i="2" a="1"/>
  <c r="AC233" i="2" s="1"/>
  <c r="AC234" i="2" a="1"/>
  <c r="AC234" i="2"/>
  <c r="AC235" i="2" a="1"/>
  <c r="AC235" i="2" s="1"/>
  <c r="AC236" i="2" a="1"/>
  <c r="AC236" i="2" s="1"/>
  <c r="AC237" i="2" a="1"/>
  <c r="AC237" i="2" s="1"/>
  <c r="AC238" i="2" a="1"/>
  <c r="AC238" i="2" s="1"/>
  <c r="AC239" i="2" a="1"/>
  <c r="AC239" i="2" s="1"/>
  <c r="AC240" i="2" a="1"/>
  <c r="AC240" i="2" s="1"/>
  <c r="AC241" i="2" a="1"/>
  <c r="AC241" i="2" s="1"/>
  <c r="AC242" i="2" a="1"/>
  <c r="AC242" i="2"/>
  <c r="AC243" i="2" a="1"/>
  <c r="AC243" i="2" s="1"/>
  <c r="AC244" i="2" a="1"/>
  <c r="AC244" i="2" s="1"/>
  <c r="AC245" i="2" a="1"/>
  <c r="AC245" i="2" s="1"/>
  <c r="AC246" i="2" a="1"/>
  <c r="AC246" i="2" s="1"/>
  <c r="AC247" i="2" a="1"/>
  <c r="AC247" i="2" s="1"/>
  <c r="AC248" i="2" a="1"/>
  <c r="AC248" i="2" s="1"/>
  <c r="AC249" i="2" a="1"/>
  <c r="AC249" i="2" s="1"/>
  <c r="AC250" i="2" a="1"/>
  <c r="AC250" i="2"/>
  <c r="AC251" i="2" a="1"/>
  <c r="AC251" i="2" s="1"/>
  <c r="AC252" i="2" a="1"/>
  <c r="AC252" i="2" s="1"/>
  <c r="AC253" i="2" a="1"/>
  <c r="AC253" i="2" s="1"/>
  <c r="AC254" i="2" a="1"/>
  <c r="AC254" i="2" s="1"/>
  <c r="AC255" i="2" a="1"/>
  <c r="AC255" i="2" s="1"/>
  <c r="AC256" i="2" a="1"/>
  <c r="AC256" i="2" s="1"/>
  <c r="AC257" i="2" a="1"/>
  <c r="AC257" i="2" s="1"/>
  <c r="AC258" i="2" a="1"/>
  <c r="AC258" i="2"/>
  <c r="AC259" i="2" a="1"/>
  <c r="AC259" i="2" s="1"/>
  <c r="AC260" i="2" a="1"/>
  <c r="AC260" i="2" s="1"/>
  <c r="AC261" i="2" a="1"/>
  <c r="AC261" i="2" s="1"/>
  <c r="AC262" i="2" a="1"/>
  <c r="AC262" i="2" s="1"/>
  <c r="AC263" i="2" a="1"/>
  <c r="AC263" i="2" s="1"/>
  <c r="AC264" i="2" a="1"/>
  <c r="AC264" i="2" s="1"/>
  <c r="AC265" i="2" a="1"/>
  <c r="AC265" i="2" s="1"/>
  <c r="AC266" i="2" a="1"/>
  <c r="AC266" i="2"/>
  <c r="AC267" i="2" a="1"/>
  <c r="AC267" i="2" s="1"/>
  <c r="AC268" i="2" a="1"/>
  <c r="AC268" i="2" s="1"/>
  <c r="AC269" i="2" a="1"/>
  <c r="AC269" i="2" s="1"/>
  <c r="AC270" i="2" a="1"/>
  <c r="AC270" i="2" s="1"/>
  <c r="AC271" i="2" a="1"/>
  <c r="AC271" i="2" s="1"/>
  <c r="AC272" i="2" a="1"/>
  <c r="AC272" i="2" s="1"/>
  <c r="AC273" i="2" a="1"/>
  <c r="AC273" i="2" s="1"/>
  <c r="AC274" i="2" a="1"/>
  <c r="AC274" i="2"/>
  <c r="AC275" i="2" a="1"/>
  <c r="AC275" i="2" s="1"/>
  <c r="AC276" i="2" a="1"/>
  <c r="AC276" i="2" s="1"/>
  <c r="AC277" i="2" a="1"/>
  <c r="AC277" i="2" s="1"/>
  <c r="AC278" i="2" a="1"/>
  <c r="AC278" i="2" s="1"/>
  <c r="AC279" i="2" a="1"/>
  <c r="AC279" i="2" s="1"/>
  <c r="AC280" i="2" a="1"/>
  <c r="AC280" i="2" s="1"/>
  <c r="AC281" i="2" a="1"/>
  <c r="AC281" i="2" s="1"/>
  <c r="AC282" i="2" a="1"/>
  <c r="AC282" i="2"/>
  <c r="AC283" i="2" a="1"/>
  <c r="AC283" i="2" s="1"/>
  <c r="AC284" i="2" a="1"/>
  <c r="AC284" i="2" s="1"/>
  <c r="AC285" i="2" a="1"/>
  <c r="AC285" i="2" s="1"/>
  <c r="AC286" i="2" a="1"/>
  <c r="AC286" i="2" s="1"/>
  <c r="AC287" i="2" a="1"/>
  <c r="AC287" i="2" s="1"/>
  <c r="AC288" i="2" a="1"/>
  <c r="AC288" i="2" s="1"/>
  <c r="AC289" i="2" a="1"/>
  <c r="AC289" i="2" s="1"/>
  <c r="AC290" i="2" a="1"/>
  <c r="AC290" i="2"/>
  <c r="AC291" i="2" a="1"/>
  <c r="AC291" i="2" s="1"/>
  <c r="AC292" i="2" a="1"/>
  <c r="AC292" i="2" s="1"/>
  <c r="AC293" i="2" a="1"/>
  <c r="AC293" i="2" s="1"/>
  <c r="AC294" i="2" a="1"/>
  <c r="AC294" i="2" s="1"/>
  <c r="AC295" i="2" a="1"/>
  <c r="AC295" i="2" s="1"/>
  <c r="AC296" i="2" a="1"/>
  <c r="AC296" i="2" s="1"/>
  <c r="AC297" i="2" a="1"/>
  <c r="AC297" i="2" s="1"/>
  <c r="AC298" i="2" a="1"/>
  <c r="AC298" i="2"/>
  <c r="AC299" i="2" a="1"/>
  <c r="AC299" i="2" s="1"/>
  <c r="AC300" i="2" a="1"/>
  <c r="AC300" i="2" s="1"/>
  <c r="AC301" i="2" a="1"/>
  <c r="AC301" i="2" s="1"/>
  <c r="AC302" i="2" a="1"/>
  <c r="AC302" i="2" s="1"/>
  <c r="AC303" i="2" a="1"/>
  <c r="AC303" i="2" s="1"/>
  <c r="AC304" i="2" a="1"/>
  <c r="AC304" i="2" s="1"/>
  <c r="AC305" i="2" a="1"/>
  <c r="AC305" i="2" s="1"/>
  <c r="AC306" i="2" a="1"/>
  <c r="AC306" i="2"/>
  <c r="AC307" i="2" a="1"/>
  <c r="AC307" i="2" s="1"/>
  <c r="AC308" i="2" a="1"/>
  <c r="AC308" i="2" s="1"/>
  <c r="AC309" i="2" a="1"/>
  <c r="AC309" i="2" s="1"/>
  <c r="AC310" i="2" a="1"/>
  <c r="AC310" i="2" s="1"/>
  <c r="AC311" i="2" a="1"/>
  <c r="AC311" i="2" s="1"/>
  <c r="AC312" i="2" a="1"/>
  <c r="AC312" i="2" s="1"/>
  <c r="AC313" i="2" a="1"/>
  <c r="AC313" i="2" s="1"/>
  <c r="AC314" i="2" a="1"/>
  <c r="AC314" i="2"/>
  <c r="AC315" i="2" a="1"/>
  <c r="AC315" i="2" s="1"/>
  <c r="AC316" i="2" a="1"/>
  <c r="AC316" i="2" s="1"/>
  <c r="AC317" i="2" a="1"/>
  <c r="AC317" i="2" s="1"/>
  <c r="AC318" i="2" a="1"/>
  <c r="AC318" i="2" s="1"/>
  <c r="AC319" i="2" a="1"/>
  <c r="AC319" i="2" s="1"/>
  <c r="AC320" i="2" a="1"/>
  <c r="AC320" i="2" s="1"/>
  <c r="AC321" i="2" a="1"/>
  <c r="AC321" i="2" s="1"/>
  <c r="AC322" i="2" a="1"/>
  <c r="AC322" i="2"/>
  <c r="AC323" i="2" a="1"/>
  <c r="AC323" i="2" s="1"/>
  <c r="AC324" i="2" a="1"/>
  <c r="AC324" i="2" s="1"/>
  <c r="AC325" i="2" a="1"/>
  <c r="AC325" i="2" s="1"/>
  <c r="AC326" i="2" a="1"/>
  <c r="AC326" i="2" s="1"/>
  <c r="AC327" i="2" a="1"/>
  <c r="AC327" i="2" s="1"/>
  <c r="AC328" i="2" a="1"/>
  <c r="AC328" i="2" s="1"/>
  <c r="AC329" i="2" a="1"/>
  <c r="AC329" i="2" s="1"/>
  <c r="AC330" i="2" a="1"/>
  <c r="AC330" i="2"/>
  <c r="AC331" i="2" a="1"/>
  <c r="AC331" i="2" s="1"/>
  <c r="AC332" i="2" a="1"/>
  <c r="AC332" i="2" s="1"/>
  <c r="AC333" i="2" a="1"/>
  <c r="AC333" i="2" s="1"/>
  <c r="AC334" i="2" a="1"/>
  <c r="AC334" i="2" s="1"/>
  <c r="AC335" i="2" a="1"/>
  <c r="AC335" i="2" s="1"/>
  <c r="AC336" i="2" a="1"/>
  <c r="AC336" i="2" s="1"/>
  <c r="AC337" i="2" a="1"/>
  <c r="AC337" i="2" s="1"/>
  <c r="AC338" i="2" a="1"/>
  <c r="AC338" i="2"/>
  <c r="AC339" i="2" a="1"/>
  <c r="AC339" i="2" s="1"/>
  <c r="AC340" i="2" a="1"/>
  <c r="AC340" i="2" s="1"/>
  <c r="AC341" i="2" a="1"/>
  <c r="AC341" i="2" s="1"/>
  <c r="AC342" i="2" a="1"/>
  <c r="AC342" i="2" s="1"/>
  <c r="AC343" i="2" a="1"/>
  <c r="AC343" i="2" s="1"/>
  <c r="AC344" i="2" a="1"/>
  <c r="AC344" i="2" s="1"/>
  <c r="AC345" i="2" a="1"/>
  <c r="AC345" i="2" s="1"/>
  <c r="AC346" i="2" a="1"/>
  <c r="AC346" i="2"/>
  <c r="AC347" i="2" a="1"/>
  <c r="AC347" i="2" s="1"/>
  <c r="AC348" i="2" a="1"/>
  <c r="AC348" i="2" s="1"/>
  <c r="AC349" i="2" a="1"/>
  <c r="AC349" i="2" s="1"/>
  <c r="AC350" i="2" a="1"/>
  <c r="AC350" i="2" s="1"/>
  <c r="AC351" i="2" a="1"/>
  <c r="AC351" i="2" s="1"/>
  <c r="AC352" i="2" a="1"/>
  <c r="AC352" i="2" s="1"/>
  <c r="AC353" i="2" a="1"/>
  <c r="AC353" i="2" s="1"/>
  <c r="AC354" i="2" a="1"/>
  <c r="AC354" i="2"/>
  <c r="AC355" i="2" a="1"/>
  <c r="AC355" i="2" s="1"/>
  <c r="AC356" i="2" a="1"/>
  <c r="AC356" i="2" s="1"/>
  <c r="AC357" i="2" a="1"/>
  <c r="AC357" i="2" s="1"/>
  <c r="AC358" i="2" a="1"/>
  <c r="AC358" i="2" s="1"/>
  <c r="AC359" i="2" a="1"/>
  <c r="AC359" i="2" s="1"/>
  <c r="AC360" i="2" a="1"/>
  <c r="AC360" i="2" s="1"/>
  <c r="AC361" i="2" a="1"/>
  <c r="AC361" i="2" s="1"/>
  <c r="AC362" i="2" a="1"/>
  <c r="AC362" i="2"/>
  <c r="AC363" i="2" a="1"/>
  <c r="AC363" i="2" s="1"/>
  <c r="AC364" i="2" a="1"/>
  <c r="AC364" i="2" s="1"/>
  <c r="AC365" i="2" a="1"/>
  <c r="AC365" i="2" s="1"/>
  <c r="AC366" i="2" a="1"/>
  <c r="AC366" i="2" s="1"/>
  <c r="AC367" i="2" a="1"/>
  <c r="AC367" i="2" s="1"/>
  <c r="AC368" i="2" a="1"/>
  <c r="AC368" i="2" s="1"/>
  <c r="AC369" i="2" a="1"/>
  <c r="AC369" i="2" s="1"/>
  <c r="AC370" i="2" a="1"/>
  <c r="AC370" i="2"/>
  <c r="AC371" i="2" a="1"/>
  <c r="AC371" i="2" s="1"/>
  <c r="AC372" i="2" a="1"/>
  <c r="AC372" i="2" s="1"/>
  <c r="AC373" i="2" a="1"/>
  <c r="AC373" i="2" s="1"/>
  <c r="AC374" i="2" a="1"/>
  <c r="AC374" i="2" s="1"/>
  <c r="AC375" i="2" a="1"/>
  <c r="AC375" i="2" s="1"/>
  <c r="AC376" i="2" a="1"/>
  <c r="AC376" i="2" s="1"/>
  <c r="AC377" i="2" a="1"/>
  <c r="AC377" i="2" s="1"/>
  <c r="AC378" i="2" a="1"/>
  <c r="AC378" i="2"/>
  <c r="AC379" i="2" a="1"/>
  <c r="AC379" i="2" s="1"/>
  <c r="AC380" i="2" a="1"/>
  <c r="AC380" i="2" s="1"/>
  <c r="AC381" i="2" a="1"/>
  <c r="AC381" i="2" s="1"/>
  <c r="AC382" i="2" a="1"/>
  <c r="AC382" i="2" s="1"/>
  <c r="AC383" i="2" a="1"/>
  <c r="AC383" i="2" s="1"/>
  <c r="AC384" i="2" a="1"/>
  <c r="AC384" i="2" s="1"/>
  <c r="AC385" i="2" a="1"/>
  <c r="AC385" i="2" s="1"/>
  <c r="AC386" i="2" a="1"/>
  <c r="AC386" i="2"/>
  <c r="AC387" i="2" a="1"/>
  <c r="AC387" i="2" s="1"/>
  <c r="AC388" i="2" a="1"/>
  <c r="AC388" i="2" s="1"/>
  <c r="AC389" i="2" a="1"/>
  <c r="AC389" i="2" s="1"/>
  <c r="AC390" i="2" a="1"/>
  <c r="AC390" i="2" s="1"/>
  <c r="AC391" i="2" a="1"/>
  <c r="AC391" i="2" s="1"/>
  <c r="AC392" i="2" a="1"/>
  <c r="AC392" i="2" s="1"/>
  <c r="AC393" i="2" a="1"/>
  <c r="AC393" i="2" s="1"/>
  <c r="AC394" i="2" a="1"/>
  <c r="AC394" i="2"/>
  <c r="AC395" i="2" a="1"/>
  <c r="AC395" i="2" s="1"/>
  <c r="AC396" i="2" a="1"/>
  <c r="AC396" i="2" s="1"/>
  <c r="AC397" i="2" a="1"/>
  <c r="AC397" i="2" s="1"/>
  <c r="AC398" i="2" a="1"/>
  <c r="AC398" i="2" s="1"/>
  <c r="AC399" i="2" a="1"/>
  <c r="AC399" i="2" s="1"/>
  <c r="AC400" i="2" a="1"/>
  <c r="AC400" i="2" s="1"/>
  <c r="AC401" i="2" a="1"/>
  <c r="AC401" i="2" s="1"/>
  <c r="AC402" i="2" a="1"/>
  <c r="AC402" i="2"/>
  <c r="AC403" i="2" a="1"/>
  <c r="AC403" i="2" s="1"/>
  <c r="AC404" i="2" a="1"/>
  <c r="AC404" i="2" s="1"/>
  <c r="AC405" i="2" a="1"/>
  <c r="AC405" i="2" s="1"/>
  <c r="AC406" i="2" a="1"/>
  <c r="AC406" i="2" s="1"/>
  <c r="AC407" i="2" a="1"/>
  <c r="AC407" i="2" s="1"/>
  <c r="AC408" i="2" a="1"/>
  <c r="AC408" i="2" s="1"/>
  <c r="AC409" i="2" a="1"/>
  <c r="AC409" i="2" s="1"/>
  <c r="AC410" i="2" a="1"/>
  <c r="AC410" i="2"/>
  <c r="AC411" i="2" a="1"/>
  <c r="AC411" i="2" s="1"/>
  <c r="AC412" i="2" a="1"/>
  <c r="AC412" i="2" s="1"/>
  <c r="AC413" i="2" a="1"/>
  <c r="AC413" i="2" s="1"/>
  <c r="AC414" i="2" a="1"/>
  <c r="AC414" i="2" s="1"/>
  <c r="AC415" i="2" a="1"/>
  <c r="AC415" i="2" s="1"/>
  <c r="AC416" i="2" a="1"/>
  <c r="AC416" i="2" s="1"/>
  <c r="AC417" i="2" a="1"/>
  <c r="AC417" i="2" s="1"/>
  <c r="AC418" i="2" a="1"/>
  <c r="AC418" i="2"/>
  <c r="AC419" i="2" a="1"/>
  <c r="AC419" i="2" s="1"/>
  <c r="AC420" i="2" a="1"/>
  <c r="AC420" i="2" s="1"/>
  <c r="AC421" i="2" a="1"/>
  <c r="AC421" i="2" s="1"/>
  <c r="AC422" i="2" a="1"/>
  <c r="AC422" i="2" s="1"/>
  <c r="AC423" i="2" a="1"/>
  <c r="AC423" i="2" s="1"/>
  <c r="AC424" i="2" a="1"/>
  <c r="AC424" i="2" s="1"/>
  <c r="AC425" i="2" a="1"/>
  <c r="AC425" i="2" s="1"/>
  <c r="AC426" i="2" a="1"/>
  <c r="AC426" i="2"/>
  <c r="AC427" i="2" a="1"/>
  <c r="AC427" i="2" s="1"/>
  <c r="AC428" i="2" a="1"/>
  <c r="AC428" i="2" s="1"/>
  <c r="AC429" i="2" a="1"/>
  <c r="AC429" i="2" s="1"/>
  <c r="AC430" i="2" a="1"/>
  <c r="AC430" i="2" s="1"/>
  <c r="AC431" i="2" a="1"/>
  <c r="AC431" i="2" s="1"/>
  <c r="AC432" i="2" a="1"/>
  <c r="AC432" i="2" s="1"/>
  <c r="AC433" i="2" a="1"/>
  <c r="AC433" i="2" s="1"/>
  <c r="AC434" i="2" a="1"/>
  <c r="AC434" i="2"/>
  <c r="AC435" i="2" a="1"/>
  <c r="AC435" i="2" s="1"/>
  <c r="AC436" i="2" a="1"/>
  <c r="AC436" i="2" s="1"/>
  <c r="AC437" i="2" a="1"/>
  <c r="AC437" i="2" s="1"/>
  <c r="AC438" i="2" a="1"/>
  <c r="AC438" i="2" s="1"/>
  <c r="AC439" i="2" a="1"/>
  <c r="AC439" i="2" s="1"/>
  <c r="AC440" i="2" a="1"/>
  <c r="AC440" i="2" s="1"/>
  <c r="AC441" i="2" a="1"/>
  <c r="AC441" i="2" s="1"/>
  <c r="AC442" i="2" a="1"/>
  <c r="AC442" i="2"/>
  <c r="AC443" i="2" a="1"/>
  <c r="AC443" i="2" s="1"/>
  <c r="AC444" i="2" a="1"/>
  <c r="AC444" i="2" s="1"/>
  <c r="AC445" i="2" a="1"/>
  <c r="AC445" i="2" s="1"/>
  <c r="AC446" i="2" a="1"/>
  <c r="AC446" i="2" s="1"/>
  <c r="AC447" i="2" a="1"/>
  <c r="AC447" i="2" s="1"/>
  <c r="AC448" i="2" a="1"/>
  <c r="AC448" i="2" s="1"/>
  <c r="AC449" i="2" a="1"/>
  <c r="AC449" i="2" s="1"/>
  <c r="AC450" i="2" a="1"/>
  <c r="AC450" i="2"/>
  <c r="AC451" i="2" a="1"/>
  <c r="AC451" i="2" s="1"/>
  <c r="AC452" i="2" a="1"/>
  <c r="AC452" i="2" s="1"/>
  <c r="AC453" i="2" a="1"/>
  <c r="AC453" i="2" s="1"/>
  <c r="AC454" i="2" a="1"/>
  <c r="AC454" i="2" s="1"/>
  <c r="AC455" i="2" a="1"/>
  <c r="AC455" i="2" s="1"/>
  <c r="AC456" i="2" a="1"/>
  <c r="AC456" i="2" s="1"/>
  <c r="AC457" i="2" a="1"/>
  <c r="AC457" i="2" s="1"/>
  <c r="AC458" i="2" a="1"/>
  <c r="AC458" i="2"/>
  <c r="AC459" i="2" a="1"/>
  <c r="AC459" i="2" s="1"/>
  <c r="AC460" i="2" a="1"/>
  <c r="AC460" i="2" s="1"/>
  <c r="AC461" i="2" a="1"/>
  <c r="AC461" i="2" s="1"/>
  <c r="AC462" i="2" a="1"/>
  <c r="AC462" i="2" s="1"/>
  <c r="AC463" i="2" a="1"/>
  <c r="AC463" i="2" s="1"/>
  <c r="AC464" i="2" a="1"/>
  <c r="AC464" i="2" s="1"/>
  <c r="AC465" i="2" a="1"/>
  <c r="AC465" i="2" s="1"/>
  <c r="AC466" i="2" a="1"/>
  <c r="AC466" i="2"/>
  <c r="AC467" i="2" a="1"/>
  <c r="AC467" i="2" s="1"/>
  <c r="AC468" i="2" a="1"/>
  <c r="AC468" i="2" s="1"/>
  <c r="AC469" i="2" a="1"/>
  <c r="AC469" i="2" s="1"/>
  <c r="AC470" i="2" a="1"/>
  <c r="AC470" i="2" s="1"/>
  <c r="AC471" i="2" a="1"/>
  <c r="AC471" i="2" s="1"/>
  <c r="AC472" i="2" a="1"/>
  <c r="AC472" i="2" s="1"/>
  <c r="AC473" i="2" a="1"/>
  <c r="AC473" i="2" s="1"/>
  <c r="AC474" i="2" a="1"/>
  <c r="AC474" i="2"/>
  <c r="AC475" i="2" a="1"/>
  <c r="AC475" i="2" s="1"/>
  <c r="AC476" i="2" a="1"/>
  <c r="AC476" i="2" s="1"/>
  <c r="AC477" i="2" a="1"/>
  <c r="AC477" i="2" s="1"/>
  <c r="AC478" i="2" a="1"/>
  <c r="AC478" i="2" s="1"/>
  <c r="AC479" i="2" a="1"/>
  <c r="AC479" i="2" s="1"/>
  <c r="AC480" i="2" a="1"/>
  <c r="AC480" i="2" s="1"/>
  <c r="AC481" i="2" a="1"/>
  <c r="AC481" i="2" s="1"/>
  <c r="AC482" i="2" a="1"/>
  <c r="AC482" i="2"/>
  <c r="AC483" i="2" a="1"/>
  <c r="AC483" i="2" s="1"/>
  <c r="AC484" i="2" a="1"/>
  <c r="AC484" i="2" s="1"/>
  <c r="AC485" i="2" a="1"/>
  <c r="AC485" i="2" s="1"/>
  <c r="AC486" i="2" a="1"/>
  <c r="AC486" i="2" s="1"/>
  <c r="AC487" i="2" a="1"/>
  <c r="AC487" i="2" s="1"/>
  <c r="AC488" i="2" a="1"/>
  <c r="AC488" i="2" s="1"/>
  <c r="AC489" i="2" a="1"/>
  <c r="AC489" i="2" s="1"/>
  <c r="AC490" i="2" a="1"/>
  <c r="AC490" i="2"/>
  <c r="AC491" i="2" a="1"/>
  <c r="AC491" i="2" s="1"/>
  <c r="AC492" i="2" a="1"/>
  <c r="AC492" i="2" s="1"/>
  <c r="AC493" i="2" a="1"/>
  <c r="AC493" i="2" s="1"/>
  <c r="AC494" i="2" a="1"/>
  <c r="AC494" i="2" s="1"/>
  <c r="AC495" i="2" a="1"/>
  <c r="AC495" i="2" s="1"/>
  <c r="AC496" i="2" a="1"/>
  <c r="AC496" i="2" s="1"/>
  <c r="AC497" i="2" a="1"/>
  <c r="AC497" i="2" s="1"/>
  <c r="AC498" i="2" a="1"/>
  <c r="AC498" i="2"/>
  <c r="AC499" i="2" a="1"/>
  <c r="AC499" i="2" s="1"/>
  <c r="AC500" i="2" a="1"/>
  <c r="AC500" i="2" s="1"/>
  <c r="AC501" i="2" a="1"/>
  <c r="AC501" i="2" s="1"/>
  <c r="AC502" i="2" a="1"/>
  <c r="AC502" i="2" s="1"/>
  <c r="AC503" i="2" a="1"/>
  <c r="AC503" i="2" s="1"/>
  <c r="AC504" i="2" a="1"/>
  <c r="AC504" i="2" s="1"/>
  <c r="AC505" i="2" a="1"/>
  <c r="AC505" i="2" s="1"/>
  <c r="AC506" i="2" a="1"/>
  <c r="AC506" i="2"/>
  <c r="AC507" i="2" a="1"/>
  <c r="AC507" i="2" s="1"/>
  <c r="AC508" i="2" a="1"/>
  <c r="AC508" i="2" s="1"/>
  <c r="AC509" i="2" a="1"/>
  <c r="AC509" i="2" s="1"/>
  <c r="AC510" i="2" a="1"/>
  <c r="AC510" i="2" s="1"/>
  <c r="AC511" i="2" a="1"/>
  <c r="AC511" i="2" s="1"/>
  <c r="AC512" i="2" a="1"/>
  <c r="AC512" i="2" s="1"/>
  <c r="AC513" i="2" a="1"/>
  <c r="AC513" i="2" s="1"/>
  <c r="AC514" i="2" a="1"/>
  <c r="AC514" i="2"/>
  <c r="AC515" i="2" a="1"/>
  <c r="AC515" i="2" s="1"/>
  <c r="AC516" i="2" a="1"/>
  <c r="AC516" i="2" s="1"/>
  <c r="AC517" i="2" a="1"/>
  <c r="AC517" i="2" s="1"/>
  <c r="AC518" i="2" a="1"/>
  <c r="AC518" i="2" s="1"/>
  <c r="AC519" i="2" a="1"/>
  <c r="AC519" i="2" s="1"/>
  <c r="AC520" i="2" a="1"/>
  <c r="AC520" i="2" s="1"/>
  <c r="AC521" i="2" a="1"/>
  <c r="AC521" i="2" s="1"/>
  <c r="AC522" i="2" a="1"/>
  <c r="AC522" i="2"/>
  <c r="AC523" i="2" a="1"/>
  <c r="AC523" i="2" s="1"/>
  <c r="AC524" i="2" a="1"/>
  <c r="AC524" i="2" s="1"/>
  <c r="AC525" i="2" a="1"/>
  <c r="AC525" i="2" s="1"/>
  <c r="AC526" i="2" a="1"/>
  <c r="AC526" i="2" s="1"/>
  <c r="AC527" i="2" a="1"/>
  <c r="AC527" i="2" s="1"/>
  <c r="AC528" i="2" a="1"/>
  <c r="AC528" i="2" s="1"/>
  <c r="AC529" i="2" a="1"/>
  <c r="AC529" i="2" s="1"/>
  <c r="AC530" i="2" a="1"/>
  <c r="AC530" i="2"/>
  <c r="AC531" i="2" a="1"/>
  <c r="AC531" i="2" s="1"/>
  <c r="AC532" i="2" a="1"/>
  <c r="AC532" i="2" s="1"/>
  <c r="AC533" i="2" a="1"/>
  <c r="AC533" i="2" s="1"/>
  <c r="AC534" i="2" a="1"/>
  <c r="AC534" i="2" s="1"/>
  <c r="AC535" i="2" a="1"/>
  <c r="AC535" i="2" s="1"/>
  <c r="AC536" i="2" a="1"/>
  <c r="AC536" i="2" s="1"/>
  <c r="AC537" i="2" a="1"/>
  <c r="AC537" i="2" s="1"/>
  <c r="AC538" i="2" a="1"/>
  <c r="AC538" i="2"/>
  <c r="AC539" i="2" a="1"/>
  <c r="AC539" i="2" s="1"/>
  <c r="AC540" i="2" a="1"/>
  <c r="AC540" i="2" s="1"/>
  <c r="AC541" i="2" a="1"/>
  <c r="AC541" i="2" s="1"/>
  <c r="AC542" i="2" a="1"/>
  <c r="AC542" i="2" s="1"/>
  <c r="AC543" i="2" a="1"/>
  <c r="AC543" i="2" s="1"/>
  <c r="AC544" i="2" a="1"/>
  <c r="AC544" i="2" s="1"/>
  <c r="AC545" i="2" a="1"/>
  <c r="AC545" i="2" s="1"/>
  <c r="AC546" i="2" a="1"/>
  <c r="AC546" i="2"/>
  <c r="AC547" i="2" a="1"/>
  <c r="AC547" i="2" s="1"/>
  <c r="AC548" i="2" a="1"/>
  <c r="AC548" i="2" s="1"/>
  <c r="AC549" i="2" a="1"/>
  <c r="AC549" i="2" s="1"/>
  <c r="AC550" i="2" a="1"/>
  <c r="AC550" i="2" s="1"/>
  <c r="AC551" i="2" a="1"/>
  <c r="AC551" i="2" s="1"/>
  <c r="AC552" i="2" a="1"/>
  <c r="AC552" i="2" s="1"/>
  <c r="AC553" i="2" a="1"/>
  <c r="AC553" i="2" s="1"/>
  <c r="AC554" i="2" a="1"/>
  <c r="AC554" i="2"/>
  <c r="AC555" i="2" a="1"/>
  <c r="AC555" i="2" s="1"/>
  <c r="AC556" i="2" a="1"/>
  <c r="AC556" i="2" s="1"/>
  <c r="AC557" i="2" a="1"/>
  <c r="AC557" i="2" s="1"/>
  <c r="AC558" i="2" a="1"/>
  <c r="AC558" i="2" s="1"/>
  <c r="AC559" i="2" a="1"/>
  <c r="AC559" i="2" s="1"/>
  <c r="AC560" i="2" a="1"/>
  <c r="AC560" i="2" s="1"/>
  <c r="AC561" i="2" a="1"/>
  <c r="AC561" i="2" s="1"/>
  <c r="AC562" i="2" a="1"/>
  <c r="AC562" i="2"/>
  <c r="AC563" i="2" a="1"/>
  <c r="AC563" i="2" s="1"/>
  <c r="AC564" i="2" a="1"/>
  <c r="AC564" i="2" s="1"/>
  <c r="AC565" i="2" a="1"/>
  <c r="AC565" i="2" s="1"/>
  <c r="AC566" i="2" a="1"/>
  <c r="AC566" i="2" s="1"/>
  <c r="AC567" i="2" a="1"/>
  <c r="AC567" i="2" s="1"/>
  <c r="AC568" i="2" a="1"/>
  <c r="AC568" i="2" s="1"/>
  <c r="AC569" i="2" a="1"/>
  <c r="AC569" i="2" s="1"/>
  <c r="AC570" i="2" a="1"/>
  <c r="AC570" i="2"/>
  <c r="AC571" i="2" a="1"/>
  <c r="AC571" i="2" s="1"/>
  <c r="AC572" i="2" a="1"/>
  <c r="AC572" i="2" s="1"/>
  <c r="AC573" i="2" a="1"/>
  <c r="AC573" i="2" s="1"/>
  <c r="AC574" i="2" a="1"/>
  <c r="AC574" i="2" s="1"/>
  <c r="AC575" i="2" a="1"/>
  <c r="AC575" i="2" s="1"/>
  <c r="AC576" i="2" a="1"/>
  <c r="AC576" i="2" s="1"/>
  <c r="AC577" i="2" a="1"/>
  <c r="AC577" i="2" s="1"/>
  <c r="AC578" i="2" a="1"/>
  <c r="AC578" i="2"/>
  <c r="AC579" i="2" a="1"/>
  <c r="AC579" i="2" s="1"/>
  <c r="AC580" i="2" a="1"/>
  <c r="AC580" i="2" s="1"/>
  <c r="AC581" i="2" a="1"/>
  <c r="AC581" i="2" s="1"/>
  <c r="AC582" i="2" a="1"/>
  <c r="AC582" i="2" s="1"/>
  <c r="AC583" i="2" a="1"/>
  <c r="AC583" i="2" s="1"/>
  <c r="AC584" i="2" a="1"/>
  <c r="AC584" i="2" s="1"/>
  <c r="AC585" i="2" a="1"/>
  <c r="AC585" i="2" s="1"/>
  <c r="AC586" i="2" a="1"/>
  <c r="AC586" i="2"/>
  <c r="AC587" i="2" a="1"/>
  <c r="AC587" i="2" s="1"/>
  <c r="AC588" i="2" a="1"/>
  <c r="AC588" i="2" s="1"/>
  <c r="AC589" i="2" a="1"/>
  <c r="AC589" i="2" s="1"/>
  <c r="AC590" i="2" a="1"/>
  <c r="AC590" i="2" s="1"/>
  <c r="AC591" i="2" a="1"/>
  <c r="AC591" i="2" s="1"/>
  <c r="AC592" i="2" a="1"/>
  <c r="AC592" i="2" s="1"/>
  <c r="AC593" i="2" a="1"/>
  <c r="AC593" i="2" s="1"/>
  <c r="AC594" i="2" a="1"/>
  <c r="AC594" i="2"/>
  <c r="AC595" i="2" a="1"/>
  <c r="AC595" i="2" s="1"/>
  <c r="AC596" i="2" a="1"/>
  <c r="AC596" i="2" s="1"/>
  <c r="AC597" i="2" a="1"/>
  <c r="AC597" i="2" s="1"/>
  <c r="AC598" i="2" a="1"/>
  <c r="AC598" i="2" s="1"/>
  <c r="AC599" i="2" a="1"/>
  <c r="AC599" i="2" s="1"/>
  <c r="AC600" i="2" a="1"/>
  <c r="AC600" i="2" s="1"/>
  <c r="AC601" i="2" a="1"/>
  <c r="AC601" i="2" s="1"/>
  <c r="AC602" i="2" a="1"/>
  <c r="AC602" i="2"/>
  <c r="AC603" i="2" a="1"/>
  <c r="AC603" i="2" s="1"/>
  <c r="AC604" i="2" a="1"/>
  <c r="AC604" i="2" s="1"/>
  <c r="AC605" i="2" a="1"/>
  <c r="AC605" i="2" s="1"/>
  <c r="AC606" i="2" a="1"/>
  <c r="AC606" i="2" s="1"/>
  <c r="AC607" i="2" a="1"/>
  <c r="AC607" i="2" s="1"/>
  <c r="AC608" i="2" a="1"/>
  <c r="AC608" i="2" s="1"/>
  <c r="AC609" i="2" a="1"/>
  <c r="AC609" i="2" s="1"/>
  <c r="AC610" i="2" a="1"/>
  <c r="AC610" i="2"/>
  <c r="AC611" i="2" a="1"/>
  <c r="AC611" i="2" s="1"/>
  <c r="AC612" i="2" a="1"/>
  <c r="AC612" i="2" s="1"/>
  <c r="AC613" i="2" a="1"/>
  <c r="AC613" i="2" s="1"/>
  <c r="AC614" i="2" a="1"/>
  <c r="AC614" i="2" s="1"/>
  <c r="AC615" i="2" a="1"/>
  <c r="AC615" i="2" s="1"/>
  <c r="AC10" i="2" a="1"/>
  <c r="AC10" i="2" s="1"/>
  <c r="AD11" i="2" a="1"/>
  <c r="AD11" i="2" s="1"/>
  <c r="AD12" i="2" a="1"/>
  <c r="AD12" i="2" s="1"/>
  <c r="AD13" i="2" a="1"/>
  <c r="AD13" i="2" s="1"/>
  <c r="AD14" i="2" a="1"/>
  <c r="AD14" i="2" s="1"/>
  <c r="AD15" i="2" a="1"/>
  <c r="AD15" i="2" s="1"/>
  <c r="AD16" i="2" a="1"/>
  <c r="AD16" i="2" s="1"/>
  <c r="AD17" i="2" a="1"/>
  <c r="AD17" i="2"/>
  <c r="AD18" i="2" a="1"/>
  <c r="AD18" i="2"/>
  <c r="AD19" i="2" a="1"/>
  <c r="AD19" i="2" s="1"/>
  <c r="AD20" i="2" a="1"/>
  <c r="AD20" i="2" s="1"/>
  <c r="AD21" i="2" a="1"/>
  <c r="AD21" i="2" s="1"/>
  <c r="AD22" i="2" a="1"/>
  <c r="AD22" i="2" s="1"/>
  <c r="AD23" i="2" a="1"/>
  <c r="AD23" i="2" s="1"/>
  <c r="AD24" i="2" a="1"/>
  <c r="AD24" i="2" s="1"/>
  <c r="AD25" i="2" a="1"/>
  <c r="AD25" i="2"/>
  <c r="AD26" i="2" a="1"/>
  <c r="AD26" i="2"/>
  <c r="AD27" i="2" a="1"/>
  <c r="AD27" i="2" s="1"/>
  <c r="AD28" i="2" a="1"/>
  <c r="AD28" i="2" s="1"/>
  <c r="AD29" i="2" a="1"/>
  <c r="AD29" i="2" s="1"/>
  <c r="AD30" i="2" a="1"/>
  <c r="AD30" i="2" s="1"/>
  <c r="AD31" i="2" a="1"/>
  <c r="AD31" i="2" s="1"/>
  <c r="AD32" i="2" a="1"/>
  <c r="AD32" i="2" s="1"/>
  <c r="AD33" i="2" a="1"/>
  <c r="AD33" i="2"/>
  <c r="AD34" i="2" a="1"/>
  <c r="AD34" i="2"/>
  <c r="AD35" i="2" a="1"/>
  <c r="AD35" i="2" s="1"/>
  <c r="AD36" i="2" a="1"/>
  <c r="AD36" i="2" s="1"/>
  <c r="AD37" i="2" a="1"/>
  <c r="AD37" i="2" s="1"/>
  <c r="AD38" i="2" a="1"/>
  <c r="AD38" i="2" s="1"/>
  <c r="AD39" i="2" a="1"/>
  <c r="AD39" i="2" s="1"/>
  <c r="AD40" i="2" a="1"/>
  <c r="AD40" i="2" s="1"/>
  <c r="AD41" i="2" a="1"/>
  <c r="AD41" i="2"/>
  <c r="AD42" i="2" a="1"/>
  <c r="AD42" i="2"/>
  <c r="AD43" i="2" a="1"/>
  <c r="AD43" i="2" s="1"/>
  <c r="AD44" i="2" a="1"/>
  <c r="AD44" i="2" s="1"/>
  <c r="AD45" i="2" a="1"/>
  <c r="AD45" i="2" s="1"/>
  <c r="AD46" i="2" a="1"/>
  <c r="AD46" i="2" s="1"/>
  <c r="AD47" i="2" a="1"/>
  <c r="AD47" i="2" s="1"/>
  <c r="AD48" i="2" a="1"/>
  <c r="AD48" i="2" s="1"/>
  <c r="AD49" i="2" a="1"/>
  <c r="AD49" i="2"/>
  <c r="AD50" i="2" a="1"/>
  <c r="AD50" i="2"/>
  <c r="AD51" i="2" a="1"/>
  <c r="AD51" i="2" s="1"/>
  <c r="AD52" i="2" a="1"/>
  <c r="AD52" i="2" s="1"/>
  <c r="AD53" i="2" a="1"/>
  <c r="AD53" i="2" s="1"/>
  <c r="AD54" i="2" a="1"/>
  <c r="AD54" i="2" s="1"/>
  <c r="AD55" i="2" a="1"/>
  <c r="AD55" i="2" s="1"/>
  <c r="AD56" i="2" a="1"/>
  <c r="AD56" i="2" s="1"/>
  <c r="AD57" i="2" a="1"/>
  <c r="AD57" i="2"/>
  <c r="AD58" i="2" a="1"/>
  <c r="AD58" i="2"/>
  <c r="AD59" i="2" a="1"/>
  <c r="AD59" i="2" s="1"/>
  <c r="AD60" i="2" a="1"/>
  <c r="AD60" i="2" s="1"/>
  <c r="AD61" i="2" a="1"/>
  <c r="AD61" i="2" s="1"/>
  <c r="AD62" i="2" a="1"/>
  <c r="AD62" i="2" s="1"/>
  <c r="AD63" i="2" a="1"/>
  <c r="AD63" i="2" s="1"/>
  <c r="AD64" i="2" a="1"/>
  <c r="AD64" i="2" s="1"/>
  <c r="AD65" i="2" a="1"/>
  <c r="AD65" i="2"/>
  <c r="AD66" i="2" a="1"/>
  <c r="AD66" i="2" s="1"/>
  <c r="AD67" i="2" a="1"/>
  <c r="AD67" i="2" s="1"/>
  <c r="AD68" i="2" a="1"/>
  <c r="AD68" i="2" s="1"/>
  <c r="AD69" i="2" a="1"/>
  <c r="AD69" i="2" s="1"/>
  <c r="AD70" i="2" a="1"/>
  <c r="AD70" i="2" s="1"/>
  <c r="AD71" i="2" a="1"/>
  <c r="AD71" i="2" s="1"/>
  <c r="AD72" i="2" a="1"/>
  <c r="AD72" i="2" s="1"/>
  <c r="AD73" i="2" a="1"/>
  <c r="AD73" i="2"/>
  <c r="AD74" i="2" a="1"/>
  <c r="AD74" i="2" s="1"/>
  <c r="AD75" i="2" a="1"/>
  <c r="AD75" i="2" s="1"/>
  <c r="AD76" i="2" a="1"/>
  <c r="AD76" i="2" s="1"/>
  <c r="AD77" i="2" a="1"/>
  <c r="AD77" i="2" s="1"/>
  <c r="AD78" i="2" a="1"/>
  <c r="AD78" i="2" s="1"/>
  <c r="AD79" i="2" a="1"/>
  <c r="AD79" i="2" s="1"/>
  <c r="AD80" i="2" a="1"/>
  <c r="AD80" i="2" s="1"/>
  <c r="AD81" i="2" a="1"/>
  <c r="AD81" i="2"/>
  <c r="AD82" i="2" a="1"/>
  <c r="AD82" i="2" s="1"/>
  <c r="AD83" i="2" a="1"/>
  <c r="AD83" i="2" s="1"/>
  <c r="AD84" i="2" a="1"/>
  <c r="AD84" i="2" s="1"/>
  <c r="AD85" i="2" a="1"/>
  <c r="AD85" i="2" s="1"/>
  <c r="AD86" i="2" a="1"/>
  <c r="AD86" i="2" s="1"/>
  <c r="AD87" i="2" a="1"/>
  <c r="AD87" i="2" s="1"/>
  <c r="AD88" i="2" a="1"/>
  <c r="AD88" i="2" s="1"/>
  <c r="AD89" i="2" a="1"/>
  <c r="AD89" i="2"/>
  <c r="AD90" i="2" a="1"/>
  <c r="AD90" i="2" s="1"/>
  <c r="AD91" i="2" a="1"/>
  <c r="AD91" i="2" s="1"/>
  <c r="AD92" i="2" a="1"/>
  <c r="AD92" i="2" s="1"/>
  <c r="AD93" i="2" a="1"/>
  <c r="AD93" i="2" s="1"/>
  <c r="AD94" i="2" a="1"/>
  <c r="AD94" i="2" s="1"/>
  <c r="AD95" i="2" a="1"/>
  <c r="AD95" i="2" s="1"/>
  <c r="AD96" i="2" a="1"/>
  <c r="AD96" i="2" s="1"/>
  <c r="AD97" i="2" a="1"/>
  <c r="AD97" i="2"/>
  <c r="AD98" i="2" a="1"/>
  <c r="AD98" i="2" s="1"/>
  <c r="AD99" i="2" a="1"/>
  <c r="AD99" i="2" s="1"/>
  <c r="AD100" i="2" a="1"/>
  <c r="AD100" i="2" s="1"/>
  <c r="AD101" i="2" a="1"/>
  <c r="AD101" i="2" s="1"/>
  <c r="AD102" i="2" a="1"/>
  <c r="AD102" i="2" s="1"/>
  <c r="AD103" i="2" a="1"/>
  <c r="AD103" i="2" s="1"/>
  <c r="AD104" i="2" a="1"/>
  <c r="AD104" i="2" s="1"/>
  <c r="AD105" i="2" a="1"/>
  <c r="AD105" i="2"/>
  <c r="AD106" i="2" a="1"/>
  <c r="AD106" i="2" s="1"/>
  <c r="AD107" i="2" a="1"/>
  <c r="AD107" i="2" s="1"/>
  <c r="AD108" i="2" a="1"/>
  <c r="AD108" i="2" s="1"/>
  <c r="AD109" i="2" a="1"/>
  <c r="AD109" i="2" s="1"/>
  <c r="AD110" i="2" a="1"/>
  <c r="AD110" i="2" s="1"/>
  <c r="AD111" i="2" a="1"/>
  <c r="AD111" i="2" s="1"/>
  <c r="AD112" i="2" a="1"/>
  <c r="AD112" i="2" s="1"/>
  <c r="AD113" i="2" a="1"/>
  <c r="AD113" i="2"/>
  <c r="AD114" i="2" a="1"/>
  <c r="AD114" i="2" s="1"/>
  <c r="AD115" i="2" a="1"/>
  <c r="AD115" i="2" s="1"/>
  <c r="AD116" i="2" a="1"/>
  <c r="AD116" i="2" s="1"/>
  <c r="AD117" i="2" a="1"/>
  <c r="AD117" i="2" s="1"/>
  <c r="AD118" i="2" a="1"/>
  <c r="AD118" i="2" s="1"/>
  <c r="AD119" i="2" a="1"/>
  <c r="AD119" i="2" s="1"/>
  <c r="AD120" i="2" a="1"/>
  <c r="AD120" i="2" s="1"/>
  <c r="AD121" i="2" a="1"/>
  <c r="AD121" i="2"/>
  <c r="AD122" i="2" a="1"/>
  <c r="AD122" i="2" s="1"/>
  <c r="AD123" i="2" a="1"/>
  <c r="AD123" i="2" s="1"/>
  <c r="AD124" i="2" a="1"/>
  <c r="AD124" i="2" s="1"/>
  <c r="AD125" i="2" a="1"/>
  <c r="AD125" i="2" s="1"/>
  <c r="AD126" i="2" a="1"/>
  <c r="AD126" i="2" s="1"/>
  <c r="AD127" i="2" a="1"/>
  <c r="AD127" i="2" s="1"/>
  <c r="AD128" i="2" a="1"/>
  <c r="AD128" i="2" s="1"/>
  <c r="AD129" i="2" a="1"/>
  <c r="AD129" i="2"/>
  <c r="AD130" i="2" a="1"/>
  <c r="AD130" i="2" s="1"/>
  <c r="AD131" i="2" a="1"/>
  <c r="AD131" i="2" s="1"/>
  <c r="AD132" i="2" a="1"/>
  <c r="AD132" i="2" s="1"/>
  <c r="AD133" i="2" a="1"/>
  <c r="AD133" i="2" s="1"/>
  <c r="AD134" i="2" a="1"/>
  <c r="AD134" i="2" s="1"/>
  <c r="AD135" i="2" a="1"/>
  <c r="AD135" i="2" s="1"/>
  <c r="AD136" i="2" a="1"/>
  <c r="AD136" i="2" s="1"/>
  <c r="AD137" i="2" a="1"/>
  <c r="AD137" i="2"/>
  <c r="AD138" i="2" a="1"/>
  <c r="AD138" i="2" s="1"/>
  <c r="AD139" i="2" a="1"/>
  <c r="AD139" i="2" s="1"/>
  <c r="AD140" i="2" a="1"/>
  <c r="AD140" i="2" s="1"/>
  <c r="AD141" i="2" a="1"/>
  <c r="AD141" i="2" s="1"/>
  <c r="AD142" i="2" a="1"/>
  <c r="AD142" i="2" s="1"/>
  <c r="AD143" i="2" a="1"/>
  <c r="AD143" i="2" s="1"/>
  <c r="AD144" i="2" a="1"/>
  <c r="AD144" i="2" s="1"/>
  <c r="AD145" i="2" a="1"/>
  <c r="AD145" i="2"/>
  <c r="AD146" i="2" a="1"/>
  <c r="AD146" i="2" s="1"/>
  <c r="AD147" i="2" a="1"/>
  <c r="AD147" i="2" s="1"/>
  <c r="AD148" i="2" a="1"/>
  <c r="AD148" i="2" s="1"/>
  <c r="AD149" i="2" a="1"/>
  <c r="AD149" i="2" s="1"/>
  <c r="AD150" i="2" a="1"/>
  <c r="AD150" i="2" s="1"/>
  <c r="AD151" i="2" a="1"/>
  <c r="AD151" i="2" s="1"/>
  <c r="AD152" i="2" a="1"/>
  <c r="AD152" i="2" s="1"/>
  <c r="AD153" i="2" a="1"/>
  <c r="AD153" i="2"/>
  <c r="AD154" i="2" a="1"/>
  <c r="AD154" i="2" s="1"/>
  <c r="AD155" i="2" a="1"/>
  <c r="AD155" i="2" s="1"/>
  <c r="AD156" i="2" a="1"/>
  <c r="AD156" i="2" s="1"/>
  <c r="AD157" i="2" a="1"/>
  <c r="AD157" i="2" s="1"/>
  <c r="AD158" i="2" a="1"/>
  <c r="AD158" i="2" s="1"/>
  <c r="AD159" i="2" a="1"/>
  <c r="AD159" i="2" s="1"/>
  <c r="AD160" i="2" a="1"/>
  <c r="AD160" i="2" s="1"/>
  <c r="AD161" i="2" a="1"/>
  <c r="AD161" i="2"/>
  <c r="AD162" i="2" a="1"/>
  <c r="AD162" i="2" s="1"/>
  <c r="AD163" i="2" a="1"/>
  <c r="AD163" i="2" s="1"/>
  <c r="AD164" i="2" a="1"/>
  <c r="AD164" i="2" s="1"/>
  <c r="AD165" i="2" a="1"/>
  <c r="AD165" i="2" s="1"/>
  <c r="AD166" i="2" a="1"/>
  <c r="AD166" i="2" s="1"/>
  <c r="AD167" i="2" a="1"/>
  <c r="AD167" i="2" s="1"/>
  <c r="AD168" i="2" a="1"/>
  <c r="AD168" i="2" s="1"/>
  <c r="AD169" i="2" a="1"/>
  <c r="AD169" i="2"/>
  <c r="AD170" i="2" a="1"/>
  <c r="AD170" i="2" s="1"/>
  <c r="AD171" i="2" a="1"/>
  <c r="AD171" i="2" s="1"/>
  <c r="AD172" i="2" a="1"/>
  <c r="AD172" i="2" s="1"/>
  <c r="AD173" i="2" a="1"/>
  <c r="AD173" i="2" s="1"/>
  <c r="AD174" i="2" a="1"/>
  <c r="AD174" i="2" s="1"/>
  <c r="AD175" i="2" a="1"/>
  <c r="AD175" i="2" s="1"/>
  <c r="AD176" i="2" a="1"/>
  <c r="AD176" i="2" s="1"/>
  <c r="AD177" i="2" a="1"/>
  <c r="AD177" i="2"/>
  <c r="AD178" i="2" a="1"/>
  <c r="AD178" i="2" s="1"/>
  <c r="AD179" i="2" a="1"/>
  <c r="AD179" i="2" s="1"/>
  <c r="AD180" i="2" a="1"/>
  <c r="AD180" i="2" s="1"/>
  <c r="AD181" i="2" a="1"/>
  <c r="AD181" i="2" s="1"/>
  <c r="AD182" i="2" a="1"/>
  <c r="AD182" i="2" s="1"/>
  <c r="AD183" i="2" a="1"/>
  <c r="AD183" i="2" s="1"/>
  <c r="AD184" i="2" a="1"/>
  <c r="AD184" i="2" s="1"/>
  <c r="AD185" i="2" a="1"/>
  <c r="AD185" i="2"/>
  <c r="AD186" i="2" a="1"/>
  <c r="AD186" i="2" s="1"/>
  <c r="AD187" i="2" a="1"/>
  <c r="AD187" i="2" s="1"/>
  <c r="AD188" i="2" a="1"/>
  <c r="AD188" i="2" s="1"/>
  <c r="AD189" i="2" a="1"/>
  <c r="AD189" i="2" s="1"/>
  <c r="AD190" i="2" a="1"/>
  <c r="AD190" i="2" s="1"/>
  <c r="AD191" i="2" a="1"/>
  <c r="AD191" i="2" s="1"/>
  <c r="AD192" i="2" a="1"/>
  <c r="AD192" i="2" s="1"/>
  <c r="AD193" i="2" a="1"/>
  <c r="AD193" i="2"/>
  <c r="AD194" i="2" a="1"/>
  <c r="AD194" i="2" s="1"/>
  <c r="AD195" i="2" a="1"/>
  <c r="AD195" i="2" s="1"/>
  <c r="AD196" i="2" a="1"/>
  <c r="AD196" i="2" s="1"/>
  <c r="AD197" i="2" a="1"/>
  <c r="AD197" i="2" s="1"/>
  <c r="AD198" i="2" a="1"/>
  <c r="AD198" i="2" s="1"/>
  <c r="AD199" i="2" a="1"/>
  <c r="AD199" i="2" s="1"/>
  <c r="AD200" i="2" a="1"/>
  <c r="AD200" i="2" s="1"/>
  <c r="AD201" i="2" a="1"/>
  <c r="AD201" i="2"/>
  <c r="AD202" i="2" a="1"/>
  <c r="AD202" i="2" s="1"/>
  <c r="AD203" i="2" a="1"/>
  <c r="AD203" i="2" s="1"/>
  <c r="AD204" i="2" a="1"/>
  <c r="AD204" i="2" s="1"/>
  <c r="AD205" i="2" a="1"/>
  <c r="AD205" i="2" s="1"/>
  <c r="AD206" i="2" a="1"/>
  <c r="AD206" i="2" s="1"/>
  <c r="AD207" i="2" a="1"/>
  <c r="AD207" i="2" s="1"/>
  <c r="AD208" i="2" a="1"/>
  <c r="AD208" i="2" s="1"/>
  <c r="AD209" i="2" a="1"/>
  <c r="AD209" i="2"/>
  <c r="AD210" i="2" a="1"/>
  <c r="AD210" i="2" s="1"/>
  <c r="AD211" i="2" a="1"/>
  <c r="AD211" i="2" s="1"/>
  <c r="AD212" i="2" a="1"/>
  <c r="AD212" i="2" s="1"/>
  <c r="AD213" i="2" a="1"/>
  <c r="AD213" i="2" s="1"/>
  <c r="AD214" i="2" a="1"/>
  <c r="AD214" i="2" s="1"/>
  <c r="AD215" i="2" a="1"/>
  <c r="AD215" i="2" s="1"/>
  <c r="AD216" i="2" a="1"/>
  <c r="AD216" i="2" s="1"/>
  <c r="AD217" i="2" a="1"/>
  <c r="AD217" i="2"/>
  <c r="AD218" i="2" a="1"/>
  <c r="AD218" i="2" s="1"/>
  <c r="AD219" i="2" a="1"/>
  <c r="AD219" i="2" s="1"/>
  <c r="AD220" i="2" a="1"/>
  <c r="AD220" i="2" s="1"/>
  <c r="AD221" i="2" a="1"/>
  <c r="AD221" i="2" s="1"/>
  <c r="AD222" i="2" a="1"/>
  <c r="AD222" i="2" s="1"/>
  <c r="AD223" i="2" a="1"/>
  <c r="AD223" i="2" s="1"/>
  <c r="AD224" i="2" a="1"/>
  <c r="AD224" i="2" s="1"/>
  <c r="AD225" i="2" a="1"/>
  <c r="AD225" i="2"/>
  <c r="AD226" i="2" a="1"/>
  <c r="AD226" i="2" s="1"/>
  <c r="AD227" i="2" a="1"/>
  <c r="AD227" i="2" s="1"/>
  <c r="AD228" i="2" a="1"/>
  <c r="AD228" i="2" s="1"/>
  <c r="AD229" i="2" a="1"/>
  <c r="AD229" i="2" s="1"/>
  <c r="AD230" i="2" a="1"/>
  <c r="AD230" i="2" s="1"/>
  <c r="AD231" i="2" a="1"/>
  <c r="AD231" i="2" s="1"/>
  <c r="AD232" i="2" a="1"/>
  <c r="AD232" i="2" s="1"/>
  <c r="AD233" i="2" a="1"/>
  <c r="AD233" i="2"/>
  <c r="AD234" i="2" a="1"/>
  <c r="AD234" i="2" s="1"/>
  <c r="AD235" i="2" a="1"/>
  <c r="AD235" i="2" s="1"/>
  <c r="AD236" i="2" a="1"/>
  <c r="AD236" i="2" s="1"/>
  <c r="AD237" i="2" a="1"/>
  <c r="AD237" i="2" s="1"/>
  <c r="AD238" i="2" a="1"/>
  <c r="AD238" i="2" s="1"/>
  <c r="AD239" i="2" a="1"/>
  <c r="AD239" i="2" s="1"/>
  <c r="AD240" i="2" a="1"/>
  <c r="AD240" i="2" s="1"/>
  <c r="AD241" i="2" a="1"/>
  <c r="AD241" i="2"/>
  <c r="AD242" i="2" a="1"/>
  <c r="AD242" i="2" s="1"/>
  <c r="AD243" i="2" a="1"/>
  <c r="AD243" i="2" s="1"/>
  <c r="AD244" i="2" a="1"/>
  <c r="AD244" i="2" s="1"/>
  <c r="AD245" i="2" a="1"/>
  <c r="AD245" i="2" s="1"/>
  <c r="AD246" i="2" a="1"/>
  <c r="AD246" i="2" s="1"/>
  <c r="AD247" i="2" a="1"/>
  <c r="AD247" i="2" s="1"/>
  <c r="AD248" i="2" a="1"/>
  <c r="AD248" i="2" s="1"/>
  <c r="AD249" i="2" a="1"/>
  <c r="AD249" i="2"/>
  <c r="AD250" i="2" a="1"/>
  <c r="AD250" i="2" s="1"/>
  <c r="AD251" i="2" a="1"/>
  <c r="AD251" i="2" s="1"/>
  <c r="AD252" i="2" a="1"/>
  <c r="AD252" i="2" s="1"/>
  <c r="AD253" i="2" a="1"/>
  <c r="AD253" i="2" s="1"/>
  <c r="AD254" i="2" a="1"/>
  <c r="AD254" i="2" s="1"/>
  <c r="AD255" i="2" a="1"/>
  <c r="AD255" i="2" s="1"/>
  <c r="AD256" i="2" a="1"/>
  <c r="AD256" i="2" s="1"/>
  <c r="AD257" i="2" a="1"/>
  <c r="AD257" i="2"/>
  <c r="AD258" i="2" a="1"/>
  <c r="AD258" i="2" s="1"/>
  <c r="AD259" i="2" a="1"/>
  <c r="AD259" i="2" s="1"/>
  <c r="AD260" i="2" a="1"/>
  <c r="AD260" i="2" s="1"/>
  <c r="AD261" i="2" a="1"/>
  <c r="AD261" i="2" s="1"/>
  <c r="AD262" i="2" a="1"/>
  <c r="AD262" i="2" s="1"/>
  <c r="AD263" i="2" a="1"/>
  <c r="AD263" i="2" s="1"/>
  <c r="AD264" i="2" a="1"/>
  <c r="AD264" i="2" s="1"/>
  <c r="AD265" i="2" a="1"/>
  <c r="AD265" i="2"/>
  <c r="AD266" i="2" a="1"/>
  <c r="AD266" i="2" s="1"/>
  <c r="AD267" i="2" a="1"/>
  <c r="AD267" i="2" s="1"/>
  <c r="AD268" i="2" a="1"/>
  <c r="AD268" i="2" s="1"/>
  <c r="AD269" i="2" a="1"/>
  <c r="AD269" i="2" s="1"/>
  <c r="AD270" i="2" a="1"/>
  <c r="AD270" i="2" s="1"/>
  <c r="AD271" i="2" a="1"/>
  <c r="AD271" i="2" s="1"/>
  <c r="AD272" i="2" a="1"/>
  <c r="AD272" i="2" s="1"/>
  <c r="AD273" i="2" a="1"/>
  <c r="AD273" i="2"/>
  <c r="AD274" i="2" a="1"/>
  <c r="AD274" i="2" s="1"/>
  <c r="AD275" i="2" a="1"/>
  <c r="AD275" i="2" s="1"/>
  <c r="AD276" i="2" a="1"/>
  <c r="AD276" i="2" s="1"/>
  <c r="AD277" i="2" a="1"/>
  <c r="AD277" i="2" s="1"/>
  <c r="AD278" i="2" a="1"/>
  <c r="AD278" i="2" s="1"/>
  <c r="AD279" i="2" a="1"/>
  <c r="AD279" i="2" s="1"/>
  <c r="AD280" i="2" a="1"/>
  <c r="AD280" i="2" s="1"/>
  <c r="AD281" i="2" a="1"/>
  <c r="AD281" i="2"/>
  <c r="AD282" i="2" a="1"/>
  <c r="AD282" i="2" s="1"/>
  <c r="AD283" i="2" a="1"/>
  <c r="AD283" i="2" s="1"/>
  <c r="AD284" i="2" a="1"/>
  <c r="AD284" i="2" s="1"/>
  <c r="AD285" i="2" a="1"/>
  <c r="AD285" i="2" s="1"/>
  <c r="AD286" i="2" a="1"/>
  <c r="AD286" i="2" s="1"/>
  <c r="AD287" i="2" a="1"/>
  <c r="AD287" i="2" s="1"/>
  <c r="AD288" i="2" a="1"/>
  <c r="AD288" i="2" s="1"/>
  <c r="AD289" i="2" a="1"/>
  <c r="AD289" i="2"/>
  <c r="AD290" i="2" a="1"/>
  <c r="AD290" i="2" s="1"/>
  <c r="AD291" i="2" a="1"/>
  <c r="AD291" i="2" s="1"/>
  <c r="AD292" i="2" a="1"/>
  <c r="AD292" i="2" s="1"/>
  <c r="AD293" i="2" a="1"/>
  <c r="AD293" i="2" s="1"/>
  <c r="AD294" i="2" a="1"/>
  <c r="AD294" i="2" s="1"/>
  <c r="AD295" i="2" a="1"/>
  <c r="AD295" i="2" s="1"/>
  <c r="AD296" i="2" a="1"/>
  <c r="AD296" i="2" s="1"/>
  <c r="AD297" i="2" a="1"/>
  <c r="AD297" i="2"/>
  <c r="AD298" i="2" a="1"/>
  <c r="AD298" i="2" s="1"/>
  <c r="AD299" i="2" a="1"/>
  <c r="AD299" i="2" s="1"/>
  <c r="AD300" i="2" a="1"/>
  <c r="AD300" i="2" s="1"/>
  <c r="AD301" i="2" a="1"/>
  <c r="AD301" i="2" s="1"/>
  <c r="AD302" i="2" a="1"/>
  <c r="AD302" i="2" s="1"/>
  <c r="AD303" i="2" a="1"/>
  <c r="AD303" i="2" s="1"/>
  <c r="AD304" i="2" a="1"/>
  <c r="AD304" i="2" s="1"/>
  <c r="AD305" i="2" a="1"/>
  <c r="AD305" i="2"/>
  <c r="AD306" i="2" a="1"/>
  <c r="AD306" i="2" s="1"/>
  <c r="AD307" i="2" a="1"/>
  <c r="AD307" i="2" s="1"/>
  <c r="AD308" i="2" a="1"/>
  <c r="AD308" i="2" s="1"/>
  <c r="AD309" i="2" a="1"/>
  <c r="AD309" i="2" s="1"/>
  <c r="AD310" i="2" a="1"/>
  <c r="AD310" i="2" s="1"/>
  <c r="AD311" i="2" a="1"/>
  <c r="AD311" i="2" s="1"/>
  <c r="AD312" i="2" a="1"/>
  <c r="AD312" i="2" s="1"/>
  <c r="AD313" i="2" a="1"/>
  <c r="AD313" i="2"/>
  <c r="AD314" i="2" a="1"/>
  <c r="AD314" i="2" s="1"/>
  <c r="AD315" i="2" a="1"/>
  <c r="AD315" i="2" s="1"/>
  <c r="AD316" i="2" a="1"/>
  <c r="AD316" i="2" s="1"/>
  <c r="AD317" i="2" a="1"/>
  <c r="AD317" i="2" s="1"/>
  <c r="AD318" i="2" a="1"/>
  <c r="AD318" i="2" s="1"/>
  <c r="AD319" i="2" a="1"/>
  <c r="AD319" i="2" s="1"/>
  <c r="AD320" i="2" a="1"/>
  <c r="AD320" i="2" s="1"/>
  <c r="AD321" i="2" a="1"/>
  <c r="AD321" i="2"/>
  <c r="AD322" i="2" a="1"/>
  <c r="AD322" i="2" s="1"/>
  <c r="AD323" i="2" a="1"/>
  <c r="AD323" i="2" s="1"/>
  <c r="AD324" i="2" a="1"/>
  <c r="AD324" i="2" s="1"/>
  <c r="AD325" i="2" a="1"/>
  <c r="AD325" i="2" s="1"/>
  <c r="AD326" i="2" a="1"/>
  <c r="AD326" i="2" s="1"/>
  <c r="AD327" i="2" a="1"/>
  <c r="AD327" i="2" s="1"/>
  <c r="AD328" i="2" a="1"/>
  <c r="AD328" i="2" s="1"/>
  <c r="AD329" i="2" a="1"/>
  <c r="AD329" i="2"/>
  <c r="AD330" i="2" a="1"/>
  <c r="AD330" i="2" s="1"/>
  <c r="AD331" i="2" a="1"/>
  <c r="AD331" i="2" s="1"/>
  <c r="AD332" i="2" a="1"/>
  <c r="AD332" i="2" s="1"/>
  <c r="AD333" i="2" a="1"/>
  <c r="AD333" i="2" s="1"/>
  <c r="AD334" i="2" a="1"/>
  <c r="AD334" i="2" s="1"/>
  <c r="AD335" i="2" a="1"/>
  <c r="AD335" i="2" s="1"/>
  <c r="AD336" i="2" a="1"/>
  <c r="AD336" i="2" s="1"/>
  <c r="AD337" i="2" a="1"/>
  <c r="AD337" i="2"/>
  <c r="AD338" i="2" a="1"/>
  <c r="AD338" i="2" s="1"/>
  <c r="AD339" i="2" a="1"/>
  <c r="AD339" i="2" s="1"/>
  <c r="AD340" i="2" a="1"/>
  <c r="AD340" i="2" s="1"/>
  <c r="AD341" i="2" a="1"/>
  <c r="AD341" i="2" s="1"/>
  <c r="AD342" i="2" a="1"/>
  <c r="AD342" i="2" s="1"/>
  <c r="AD343" i="2" a="1"/>
  <c r="AD343" i="2" s="1"/>
  <c r="AD344" i="2" a="1"/>
  <c r="AD344" i="2" s="1"/>
  <c r="AD345" i="2" a="1"/>
  <c r="AD345" i="2"/>
  <c r="AD346" i="2" a="1"/>
  <c r="AD346" i="2" s="1"/>
  <c r="AD347" i="2" a="1"/>
  <c r="AD347" i="2" s="1"/>
  <c r="AD348" i="2" a="1"/>
  <c r="AD348" i="2" s="1"/>
  <c r="AD349" i="2" a="1"/>
  <c r="AD349" i="2" s="1"/>
  <c r="AD350" i="2" a="1"/>
  <c r="AD350" i="2" s="1"/>
  <c r="AD351" i="2" a="1"/>
  <c r="AD351" i="2" s="1"/>
  <c r="AD352" i="2" a="1"/>
  <c r="AD352" i="2" s="1"/>
  <c r="AD353" i="2" a="1"/>
  <c r="AD353" i="2"/>
  <c r="AD354" i="2" a="1"/>
  <c r="AD354" i="2" s="1"/>
  <c r="AD355" i="2" a="1"/>
  <c r="AD355" i="2" s="1"/>
  <c r="AD356" i="2" a="1"/>
  <c r="AD356" i="2" s="1"/>
  <c r="AD357" i="2" a="1"/>
  <c r="AD357" i="2" s="1"/>
  <c r="AD358" i="2" a="1"/>
  <c r="AD358" i="2" s="1"/>
  <c r="AD359" i="2" a="1"/>
  <c r="AD359" i="2" s="1"/>
  <c r="AD360" i="2" a="1"/>
  <c r="AD360" i="2" s="1"/>
  <c r="AD361" i="2" a="1"/>
  <c r="AD361" i="2"/>
  <c r="AD362" i="2" a="1"/>
  <c r="AD362" i="2" s="1"/>
  <c r="AD363" i="2" a="1"/>
  <c r="AD363" i="2" s="1"/>
  <c r="AD364" i="2" a="1"/>
  <c r="AD364" i="2" s="1"/>
  <c r="AD365" i="2" a="1"/>
  <c r="AD365" i="2" s="1"/>
  <c r="AD366" i="2" a="1"/>
  <c r="AD366" i="2" s="1"/>
  <c r="AD367" i="2" a="1"/>
  <c r="AD367" i="2" s="1"/>
  <c r="AD368" i="2" a="1"/>
  <c r="AD368" i="2" s="1"/>
  <c r="AD369" i="2" a="1"/>
  <c r="AD369" i="2"/>
  <c r="AD370" i="2" a="1"/>
  <c r="AD370" i="2" s="1"/>
  <c r="AD371" i="2" a="1"/>
  <c r="AD371" i="2" s="1"/>
  <c r="AD372" i="2" a="1"/>
  <c r="AD372" i="2" s="1"/>
  <c r="AD373" i="2" a="1"/>
  <c r="AD373" i="2" s="1"/>
  <c r="AD374" i="2" a="1"/>
  <c r="AD374" i="2" s="1"/>
  <c r="AD375" i="2" a="1"/>
  <c r="AD375" i="2" s="1"/>
  <c r="AD376" i="2" a="1"/>
  <c r="AD376" i="2" s="1"/>
  <c r="AD377" i="2" a="1"/>
  <c r="AD377" i="2"/>
  <c r="AD378" i="2" a="1"/>
  <c r="AD378" i="2" s="1"/>
  <c r="AD379" i="2" a="1"/>
  <c r="AD379" i="2" s="1"/>
  <c r="AD380" i="2" a="1"/>
  <c r="AD380" i="2" s="1"/>
  <c r="AD381" i="2" a="1"/>
  <c r="AD381" i="2" s="1"/>
  <c r="AD382" i="2" a="1"/>
  <c r="AD382" i="2" s="1"/>
  <c r="AD383" i="2" a="1"/>
  <c r="AD383" i="2" s="1"/>
  <c r="AD384" i="2" a="1"/>
  <c r="AD384" i="2" s="1"/>
  <c r="AD385" i="2" a="1"/>
  <c r="AD385" i="2"/>
  <c r="AD386" i="2" a="1"/>
  <c r="AD386" i="2" s="1"/>
  <c r="AD387" i="2" a="1"/>
  <c r="AD387" i="2" s="1"/>
  <c r="AD388" i="2" a="1"/>
  <c r="AD388" i="2" s="1"/>
  <c r="AD389" i="2" a="1"/>
  <c r="AD389" i="2" s="1"/>
  <c r="AD390" i="2" a="1"/>
  <c r="AD390" i="2" s="1"/>
  <c r="AD391" i="2" a="1"/>
  <c r="AD391" i="2" s="1"/>
  <c r="AD392" i="2" a="1"/>
  <c r="AD392" i="2" s="1"/>
  <c r="AD393" i="2" a="1"/>
  <c r="AD393" i="2"/>
  <c r="AD394" i="2" a="1"/>
  <c r="AD394" i="2" s="1"/>
  <c r="AD395" i="2" a="1"/>
  <c r="AD395" i="2" s="1"/>
  <c r="AD396" i="2" a="1"/>
  <c r="AD396" i="2" s="1"/>
  <c r="AD397" i="2" a="1"/>
  <c r="AD397" i="2" s="1"/>
  <c r="AD398" i="2" a="1"/>
  <c r="AD398" i="2" s="1"/>
  <c r="AD399" i="2" a="1"/>
  <c r="AD399" i="2" s="1"/>
  <c r="AD400" i="2" a="1"/>
  <c r="AD400" i="2" s="1"/>
  <c r="AD401" i="2" a="1"/>
  <c r="AD401" i="2"/>
  <c r="AD402" i="2" a="1"/>
  <c r="AD402" i="2" s="1"/>
  <c r="AD403" i="2" a="1"/>
  <c r="AD403" i="2" s="1"/>
  <c r="AD404" i="2" a="1"/>
  <c r="AD404" i="2" s="1"/>
  <c r="AD405" i="2" a="1"/>
  <c r="AD405" i="2" s="1"/>
  <c r="AD406" i="2" a="1"/>
  <c r="AD406" i="2" s="1"/>
  <c r="AD407" i="2" a="1"/>
  <c r="AD407" i="2" s="1"/>
  <c r="AD408" i="2" a="1"/>
  <c r="AD408" i="2" s="1"/>
  <c r="AD409" i="2" a="1"/>
  <c r="AD409" i="2"/>
  <c r="AD410" i="2" a="1"/>
  <c r="AD410" i="2" s="1"/>
  <c r="AD411" i="2" a="1"/>
  <c r="AD411" i="2" s="1"/>
  <c r="AD412" i="2" a="1"/>
  <c r="AD412" i="2" s="1"/>
  <c r="AD413" i="2" a="1"/>
  <c r="AD413" i="2" s="1"/>
  <c r="AD414" i="2" a="1"/>
  <c r="AD414" i="2" s="1"/>
  <c r="AD415" i="2" a="1"/>
  <c r="AD415" i="2" s="1"/>
  <c r="AD416" i="2" a="1"/>
  <c r="AD416" i="2" s="1"/>
  <c r="AD417" i="2" a="1"/>
  <c r="AD417" i="2"/>
  <c r="AD418" i="2" a="1"/>
  <c r="AD418" i="2" s="1"/>
  <c r="AD419" i="2" a="1"/>
  <c r="AD419" i="2" s="1"/>
  <c r="AD420" i="2" a="1"/>
  <c r="AD420" i="2" s="1"/>
  <c r="AD421" i="2" a="1"/>
  <c r="AD421" i="2" s="1"/>
  <c r="AD422" i="2" a="1"/>
  <c r="AD422" i="2" s="1"/>
  <c r="AD423" i="2" a="1"/>
  <c r="AD423" i="2" s="1"/>
  <c r="AD424" i="2" a="1"/>
  <c r="AD424" i="2" s="1"/>
  <c r="AD425" i="2" a="1"/>
  <c r="AD425" i="2"/>
  <c r="AD426" i="2" a="1"/>
  <c r="AD426" i="2" s="1"/>
  <c r="AD427" i="2" a="1"/>
  <c r="AD427" i="2" s="1"/>
  <c r="AD428" i="2" a="1"/>
  <c r="AD428" i="2" s="1"/>
  <c r="AD429" i="2" a="1"/>
  <c r="AD429" i="2" s="1"/>
  <c r="AD430" i="2" a="1"/>
  <c r="AD430" i="2" s="1"/>
  <c r="AD431" i="2" a="1"/>
  <c r="AD431" i="2" s="1"/>
  <c r="AD432" i="2" a="1"/>
  <c r="AD432" i="2" s="1"/>
  <c r="AD433" i="2" a="1"/>
  <c r="AD433" i="2"/>
  <c r="AD434" i="2" a="1"/>
  <c r="AD434" i="2" s="1"/>
  <c r="AD435" i="2" a="1"/>
  <c r="AD435" i="2" s="1"/>
  <c r="AD436" i="2" a="1"/>
  <c r="AD436" i="2" s="1"/>
  <c r="AD437" i="2" a="1"/>
  <c r="AD437" i="2" s="1"/>
  <c r="AD438" i="2" a="1"/>
  <c r="AD438" i="2" s="1"/>
  <c r="AD439" i="2" a="1"/>
  <c r="AD439" i="2" s="1"/>
  <c r="AD440" i="2" a="1"/>
  <c r="AD440" i="2" s="1"/>
  <c r="AD441" i="2" a="1"/>
  <c r="AD441" i="2"/>
  <c r="AD442" i="2" a="1"/>
  <c r="AD442" i="2" s="1"/>
  <c r="AD443" i="2" a="1"/>
  <c r="AD443" i="2" s="1"/>
  <c r="AD444" i="2" a="1"/>
  <c r="AD444" i="2" s="1"/>
  <c r="AD445" i="2" a="1"/>
  <c r="AD445" i="2" s="1"/>
  <c r="AD446" i="2" a="1"/>
  <c r="AD446" i="2" s="1"/>
  <c r="AD447" i="2" a="1"/>
  <c r="AD447" i="2" s="1"/>
  <c r="AD448" i="2" a="1"/>
  <c r="AD448" i="2" s="1"/>
  <c r="AD449" i="2" a="1"/>
  <c r="AD449" i="2"/>
  <c r="AD450" i="2" a="1"/>
  <c r="AD450" i="2" s="1"/>
  <c r="AD451" i="2" a="1"/>
  <c r="AD451" i="2" s="1"/>
  <c r="AD452" i="2" a="1"/>
  <c r="AD452" i="2" s="1"/>
  <c r="AD453" i="2" a="1"/>
  <c r="AD453" i="2" s="1"/>
  <c r="AD454" i="2" a="1"/>
  <c r="AD454" i="2" s="1"/>
  <c r="AD455" i="2" a="1"/>
  <c r="AD455" i="2" s="1"/>
  <c r="AD456" i="2" a="1"/>
  <c r="AD456" i="2" s="1"/>
  <c r="AD457" i="2" a="1"/>
  <c r="AD457" i="2"/>
  <c r="AD458" i="2" a="1"/>
  <c r="AD458" i="2" s="1"/>
  <c r="AD459" i="2" a="1"/>
  <c r="AD459" i="2" s="1"/>
  <c r="AD460" i="2" a="1"/>
  <c r="AD460" i="2" s="1"/>
  <c r="AD461" i="2" a="1"/>
  <c r="AD461" i="2" s="1"/>
  <c r="AD462" i="2" a="1"/>
  <c r="AD462" i="2" s="1"/>
  <c r="AD463" i="2" a="1"/>
  <c r="AD463" i="2" s="1"/>
  <c r="AD464" i="2" a="1"/>
  <c r="AD464" i="2" s="1"/>
  <c r="AD465" i="2" a="1"/>
  <c r="AD465" i="2"/>
  <c r="AD466" i="2" a="1"/>
  <c r="AD466" i="2" s="1"/>
  <c r="AD467" i="2" a="1"/>
  <c r="AD467" i="2" s="1"/>
  <c r="AD468" i="2" a="1"/>
  <c r="AD468" i="2" s="1"/>
  <c r="AD469" i="2" a="1"/>
  <c r="AD469" i="2" s="1"/>
  <c r="AD470" i="2" a="1"/>
  <c r="AD470" i="2" s="1"/>
  <c r="AD471" i="2" a="1"/>
  <c r="AD471" i="2" s="1"/>
  <c r="AD472" i="2" a="1"/>
  <c r="AD472" i="2" s="1"/>
  <c r="AD473" i="2" a="1"/>
  <c r="AD473" i="2"/>
  <c r="AD474" i="2" a="1"/>
  <c r="AD474" i="2" s="1"/>
  <c r="AD475" i="2" a="1"/>
  <c r="AD475" i="2" s="1"/>
  <c r="AD476" i="2" a="1"/>
  <c r="AD476" i="2" s="1"/>
  <c r="AD477" i="2" a="1"/>
  <c r="AD477" i="2" s="1"/>
  <c r="AD478" i="2" a="1"/>
  <c r="AD478" i="2" s="1"/>
  <c r="AD479" i="2" a="1"/>
  <c r="AD479" i="2" s="1"/>
  <c r="AD480" i="2" a="1"/>
  <c r="AD480" i="2" s="1"/>
  <c r="AD481" i="2" a="1"/>
  <c r="AD481" i="2"/>
  <c r="AD482" i="2" a="1"/>
  <c r="AD482" i="2" s="1"/>
  <c r="AD483" i="2" a="1"/>
  <c r="AD483" i="2" s="1"/>
  <c r="AD484" i="2" a="1"/>
  <c r="AD484" i="2" s="1"/>
  <c r="AD485" i="2" a="1"/>
  <c r="AD485" i="2" s="1"/>
  <c r="AD486" i="2" a="1"/>
  <c r="AD486" i="2" s="1"/>
  <c r="AD487" i="2" a="1"/>
  <c r="AD487" i="2" s="1"/>
  <c r="AD488" i="2" a="1"/>
  <c r="AD488" i="2" s="1"/>
  <c r="AD489" i="2" a="1"/>
  <c r="AD489" i="2"/>
  <c r="AD490" i="2" a="1"/>
  <c r="AD490" i="2" s="1"/>
  <c r="AD491" i="2" a="1"/>
  <c r="AD491" i="2" s="1"/>
  <c r="AD492" i="2" a="1"/>
  <c r="AD492" i="2" s="1"/>
  <c r="AD493" i="2" a="1"/>
  <c r="AD493" i="2" s="1"/>
  <c r="AD494" i="2" a="1"/>
  <c r="AD494" i="2" s="1"/>
  <c r="AD495" i="2" a="1"/>
  <c r="AD495" i="2" s="1"/>
  <c r="AD496" i="2" a="1"/>
  <c r="AD496" i="2" s="1"/>
  <c r="AD497" i="2" a="1"/>
  <c r="AD497" i="2"/>
  <c r="AD498" i="2" a="1"/>
  <c r="AD498" i="2" s="1"/>
  <c r="AD499" i="2" a="1"/>
  <c r="AD499" i="2" s="1"/>
  <c r="AD500" i="2" a="1"/>
  <c r="AD500" i="2" s="1"/>
  <c r="AD501" i="2" a="1"/>
  <c r="AD501" i="2" s="1"/>
  <c r="AD502" i="2" a="1"/>
  <c r="AD502" i="2" s="1"/>
  <c r="AD503" i="2" a="1"/>
  <c r="AD503" i="2" s="1"/>
  <c r="AD504" i="2" a="1"/>
  <c r="AD504" i="2" s="1"/>
  <c r="AD505" i="2" a="1"/>
  <c r="AD505" i="2"/>
  <c r="AD506" i="2" a="1"/>
  <c r="AD506" i="2" s="1"/>
  <c r="AD507" i="2" a="1"/>
  <c r="AD507" i="2" s="1"/>
  <c r="AD508" i="2" a="1"/>
  <c r="AD508" i="2" s="1"/>
  <c r="AD509" i="2" a="1"/>
  <c r="AD509" i="2" s="1"/>
  <c r="AD510" i="2" a="1"/>
  <c r="AD510" i="2" s="1"/>
  <c r="AD511" i="2" a="1"/>
  <c r="AD511" i="2" s="1"/>
  <c r="AD512" i="2" a="1"/>
  <c r="AD512" i="2" s="1"/>
  <c r="AD513" i="2" a="1"/>
  <c r="AD513" i="2"/>
  <c r="AD514" i="2" a="1"/>
  <c r="AD514" i="2" s="1"/>
  <c r="AD515" i="2" a="1"/>
  <c r="AD515" i="2" s="1"/>
  <c r="AD516" i="2" a="1"/>
  <c r="AD516" i="2" s="1"/>
  <c r="AD517" i="2" a="1"/>
  <c r="AD517" i="2" s="1"/>
  <c r="AD518" i="2" a="1"/>
  <c r="AD518" i="2" s="1"/>
  <c r="AD519" i="2" a="1"/>
  <c r="AD519" i="2" s="1"/>
  <c r="AD520" i="2" a="1"/>
  <c r="AD520" i="2" s="1"/>
  <c r="AD521" i="2" a="1"/>
  <c r="AD521" i="2"/>
  <c r="AD522" i="2" a="1"/>
  <c r="AD522" i="2" s="1"/>
  <c r="AD523" i="2" a="1"/>
  <c r="AD523" i="2" s="1"/>
  <c r="AD524" i="2" a="1"/>
  <c r="AD524" i="2" s="1"/>
  <c r="AD525" i="2" a="1"/>
  <c r="AD525" i="2" s="1"/>
  <c r="AD526" i="2" a="1"/>
  <c r="AD526" i="2" s="1"/>
  <c r="AD527" i="2" a="1"/>
  <c r="AD527" i="2" s="1"/>
  <c r="AD528" i="2" a="1"/>
  <c r="AD528" i="2" s="1"/>
  <c r="AD529" i="2" a="1"/>
  <c r="AD529" i="2"/>
  <c r="AD530" i="2" a="1"/>
  <c r="AD530" i="2" s="1"/>
  <c r="AD531" i="2" a="1"/>
  <c r="AD531" i="2" s="1"/>
  <c r="AD532" i="2" a="1"/>
  <c r="AD532" i="2" s="1"/>
  <c r="AD533" i="2" a="1"/>
  <c r="AD533" i="2" s="1"/>
  <c r="AD534" i="2" a="1"/>
  <c r="AD534" i="2" s="1"/>
  <c r="AD535" i="2" a="1"/>
  <c r="AD535" i="2" s="1"/>
  <c r="AD536" i="2" a="1"/>
  <c r="AD536" i="2" s="1"/>
  <c r="AD537" i="2" a="1"/>
  <c r="AD537" i="2"/>
  <c r="AD538" i="2" a="1"/>
  <c r="AD538" i="2" s="1"/>
  <c r="AD539" i="2" a="1"/>
  <c r="AD539" i="2" s="1"/>
  <c r="AD540" i="2" a="1"/>
  <c r="AD540" i="2" s="1"/>
  <c r="AD541" i="2" a="1"/>
  <c r="AD541" i="2" s="1"/>
  <c r="AD542" i="2" a="1"/>
  <c r="AD542" i="2" s="1"/>
  <c r="AD543" i="2" a="1"/>
  <c r="AD543" i="2" s="1"/>
  <c r="AD544" i="2" a="1"/>
  <c r="AD544" i="2" s="1"/>
  <c r="AD545" i="2" a="1"/>
  <c r="AD545" i="2"/>
  <c r="AD546" i="2" a="1"/>
  <c r="AD546" i="2" s="1"/>
  <c r="AD547" i="2" a="1"/>
  <c r="AD547" i="2" s="1"/>
  <c r="AD548" i="2" a="1"/>
  <c r="AD548" i="2" s="1"/>
  <c r="AD549" i="2" a="1"/>
  <c r="AD549" i="2" s="1"/>
  <c r="AD550" i="2" a="1"/>
  <c r="AD550" i="2" s="1"/>
  <c r="AD551" i="2" a="1"/>
  <c r="AD551" i="2" s="1"/>
  <c r="AD552" i="2" a="1"/>
  <c r="AD552" i="2" s="1"/>
  <c r="AD553" i="2" a="1"/>
  <c r="AD553" i="2"/>
  <c r="AD554" i="2" a="1"/>
  <c r="AD554" i="2" s="1"/>
  <c r="AD555" i="2" a="1"/>
  <c r="AD555" i="2" s="1"/>
  <c r="AD556" i="2" a="1"/>
  <c r="AD556" i="2" s="1"/>
  <c r="AD557" i="2" a="1"/>
  <c r="AD557" i="2" s="1"/>
  <c r="AD558" i="2" a="1"/>
  <c r="AD558" i="2" s="1"/>
  <c r="AD559" i="2" a="1"/>
  <c r="AD559" i="2" s="1"/>
  <c r="AD560" i="2" a="1"/>
  <c r="AD560" i="2" s="1"/>
  <c r="AD561" i="2" a="1"/>
  <c r="AD561" i="2"/>
  <c r="AD562" i="2" a="1"/>
  <c r="AD562" i="2" s="1"/>
  <c r="AD563" i="2" a="1"/>
  <c r="AD563" i="2" s="1"/>
  <c r="AD564" i="2" a="1"/>
  <c r="AD564" i="2" s="1"/>
  <c r="AD565" i="2" a="1"/>
  <c r="AD565" i="2" s="1"/>
  <c r="AD566" i="2" a="1"/>
  <c r="AD566" i="2" s="1"/>
  <c r="AD567" i="2" a="1"/>
  <c r="AD567" i="2" s="1"/>
  <c r="AD568" i="2" a="1"/>
  <c r="AD568" i="2" s="1"/>
  <c r="AD569" i="2" a="1"/>
  <c r="AD569" i="2"/>
  <c r="AD570" i="2" a="1"/>
  <c r="AD570" i="2" s="1"/>
  <c r="AD571" i="2" a="1"/>
  <c r="AD571" i="2" s="1"/>
  <c r="AD572" i="2" a="1"/>
  <c r="AD572" i="2" s="1"/>
  <c r="AD573" i="2" a="1"/>
  <c r="AD573" i="2" s="1"/>
  <c r="AD574" i="2" a="1"/>
  <c r="AD574" i="2" s="1"/>
  <c r="AD575" i="2" a="1"/>
  <c r="AD575" i="2" s="1"/>
  <c r="AD576" i="2" a="1"/>
  <c r="AD576" i="2" s="1"/>
  <c r="AD577" i="2" a="1"/>
  <c r="AD577" i="2"/>
  <c r="AD578" i="2" a="1"/>
  <c r="AD578" i="2" s="1"/>
  <c r="AD579" i="2" a="1"/>
  <c r="AD579" i="2" s="1"/>
  <c r="AD580" i="2" a="1"/>
  <c r="AD580" i="2" s="1"/>
  <c r="AD581" i="2" a="1"/>
  <c r="AD581" i="2" s="1"/>
  <c r="AD582" i="2" a="1"/>
  <c r="AD582" i="2" s="1"/>
  <c r="AD583" i="2" a="1"/>
  <c r="AD583" i="2" s="1"/>
  <c r="AD584" i="2" a="1"/>
  <c r="AD584" i="2" s="1"/>
  <c r="AD585" i="2" a="1"/>
  <c r="AD585" i="2"/>
  <c r="AD586" i="2" a="1"/>
  <c r="AD586" i="2" s="1"/>
  <c r="AD587" i="2" a="1"/>
  <c r="AD587" i="2" s="1"/>
  <c r="AD588" i="2" a="1"/>
  <c r="AD588" i="2" s="1"/>
  <c r="AD589" i="2" a="1"/>
  <c r="AD589" i="2" s="1"/>
  <c r="AD590" i="2" a="1"/>
  <c r="AD590" i="2" s="1"/>
  <c r="AD591" i="2" a="1"/>
  <c r="AD591" i="2" s="1"/>
  <c r="AD592" i="2" a="1"/>
  <c r="AD592" i="2" s="1"/>
  <c r="AD593" i="2" a="1"/>
  <c r="AD593" i="2"/>
  <c r="AD594" i="2" a="1"/>
  <c r="AD594" i="2" s="1"/>
  <c r="AD595" i="2" a="1"/>
  <c r="AD595" i="2" s="1"/>
  <c r="AD596" i="2" a="1"/>
  <c r="AD596" i="2" s="1"/>
  <c r="AD597" i="2" a="1"/>
  <c r="AD597" i="2" s="1"/>
  <c r="AD598" i="2" a="1"/>
  <c r="AD598" i="2" s="1"/>
  <c r="AD599" i="2" a="1"/>
  <c r="AD599" i="2" s="1"/>
  <c r="AD600" i="2" a="1"/>
  <c r="AD600" i="2" s="1"/>
  <c r="AD601" i="2" a="1"/>
  <c r="AD601" i="2"/>
  <c r="AD602" i="2" a="1"/>
  <c r="AD602" i="2" s="1"/>
  <c r="AD603" i="2" a="1"/>
  <c r="AD603" i="2" s="1"/>
  <c r="AD604" i="2" a="1"/>
  <c r="AD604" i="2" s="1"/>
  <c r="AD605" i="2" a="1"/>
  <c r="AD605" i="2" s="1"/>
  <c r="AD606" i="2" a="1"/>
  <c r="AD606" i="2" s="1"/>
  <c r="AD607" i="2" a="1"/>
  <c r="AD607" i="2" s="1"/>
  <c r="AD608" i="2" a="1"/>
  <c r="AD608" i="2" s="1"/>
  <c r="AD609" i="2" a="1"/>
  <c r="AD609" i="2"/>
  <c r="AD610" i="2" a="1"/>
  <c r="AD610" i="2" s="1"/>
  <c r="AD611" i="2" a="1"/>
  <c r="AD611" i="2" s="1"/>
  <c r="AD612" i="2" a="1"/>
  <c r="AD612" i="2" s="1"/>
  <c r="AD613" i="2" a="1"/>
  <c r="AD613" i="2" s="1"/>
  <c r="AD614" i="2" a="1"/>
  <c r="AD614" i="2" s="1"/>
  <c r="AD615" i="2" a="1"/>
  <c r="AD615" i="2" s="1"/>
  <c r="AD616" i="2" a="1"/>
  <c r="AD616" i="2" s="1"/>
  <c r="AD10" i="2" a="1"/>
  <c r="AD10" i="2" s="1"/>
  <c r="T77" i="14" l="1" a="1"/>
  <c r="T77" i="14" s="1"/>
  <c r="T105" i="14" a="1"/>
  <c r="T105" i="14" s="1"/>
  <c r="T117" i="14" a="1"/>
  <c r="T117" i="14" s="1"/>
  <c r="T125" i="14" a="1"/>
  <c r="T125" i="14" s="1"/>
  <c r="T151" i="14" a="1"/>
  <c r="T151" i="14" s="1"/>
  <c r="T159" i="14" a="1"/>
  <c r="T159" i="14" s="1"/>
  <c r="T171" i="14" a="1"/>
  <c r="T171" i="14" s="1"/>
  <c r="T72" i="14" a="1"/>
  <c r="T72" i="14" s="1"/>
  <c r="T112" i="14" a="1"/>
  <c r="T112" i="14" s="1"/>
  <c r="T69" i="14" a="1"/>
  <c r="T69" i="14" s="1"/>
  <c r="T70" i="14" a="1"/>
  <c r="T70" i="14" s="1"/>
  <c r="T102" i="14" a="1"/>
  <c r="T102" i="14" s="1"/>
  <c r="T110" i="14" a="1"/>
  <c r="T110" i="14" s="1"/>
  <c r="T74" i="14" a="1"/>
  <c r="T74" i="14" s="1"/>
  <c r="T127" i="14" a="1"/>
  <c r="T127" i="14" s="1"/>
  <c r="T99" i="14" a="1"/>
  <c r="T99" i="14" s="1"/>
  <c r="T20" i="14" a="1"/>
  <c r="T20" i="14" s="1"/>
  <c r="T52" i="14" a="1"/>
  <c r="T52" i="14" s="1"/>
  <c r="T56" i="14" a="1"/>
  <c r="T56" i="14" s="1"/>
  <c r="T60" i="14" a="1"/>
  <c r="T60" i="14" s="1"/>
  <c r="T64" i="14" a="1"/>
  <c r="T64" i="14" s="1"/>
  <c r="T14" i="14" a="1"/>
  <c r="T14" i="14" s="1"/>
  <c r="T18" i="14" a="1"/>
  <c r="T18" i="14" s="1"/>
  <c r="T22" i="14" a="1"/>
  <c r="T22" i="14" s="1"/>
  <c r="T26" i="14" a="1"/>
  <c r="T26" i="14" s="1"/>
  <c r="T30" i="14" a="1"/>
  <c r="T30" i="14" s="1"/>
  <c r="T58" i="14" a="1"/>
  <c r="T58" i="14" s="1"/>
  <c r="T129" i="14" a="1"/>
  <c r="T129" i="14" s="1"/>
  <c r="T133" i="14" a="1"/>
  <c r="T133" i="14" s="1"/>
  <c r="T173" i="14" a="1"/>
  <c r="T173" i="14" s="1"/>
  <c r="T10" i="14" a="1"/>
  <c r="T10" i="14" s="1"/>
  <c r="T66" i="14" a="1"/>
  <c r="T66" i="14" s="1"/>
  <c r="T141" i="14" a="1"/>
  <c r="T141" i="14" s="1"/>
  <c r="T153" i="14" a="1"/>
  <c r="T153" i="14" s="1"/>
  <c r="T161" i="14" a="1"/>
  <c r="T161" i="14" s="1"/>
  <c r="T165" i="14" a="1"/>
  <c r="T165" i="14" s="1"/>
  <c r="T19" i="14" a="1"/>
  <c r="T19" i="14" s="1"/>
  <c r="T47" i="14" a="1"/>
  <c r="T47" i="14" s="1"/>
  <c r="T51" i="14" a="1"/>
  <c r="T51" i="14" s="1"/>
  <c r="T67" i="14" a="1"/>
  <c r="T67" i="14" s="1"/>
  <c r="T138" i="14" a="1"/>
  <c r="T138" i="14" s="1"/>
  <c r="T79" i="14" a="1"/>
  <c r="T79" i="14" s="1"/>
  <c r="T83" i="14" a="1"/>
  <c r="T83" i="14" s="1"/>
  <c r="T87" i="14" a="1"/>
  <c r="T87" i="14" s="1"/>
  <c r="T91" i="14" a="1"/>
  <c r="T91" i="14" s="1"/>
  <c r="T154" i="14" a="1"/>
  <c r="T154" i="14" s="1"/>
  <c r="T71" i="14" a="1"/>
  <c r="T71" i="14" s="1"/>
  <c r="T55" i="14" a="1"/>
  <c r="T55" i="14" s="1"/>
  <c r="T103" i="14" a="1"/>
  <c r="T103" i="14" s="1"/>
  <c r="T44" i="14" a="1"/>
  <c r="T44" i="14" s="1"/>
  <c r="T139" i="14" a="1"/>
  <c r="T139" i="14" s="1"/>
  <c r="T40" i="14" a="1"/>
  <c r="T40" i="14" s="1"/>
  <c r="T104" i="14" a="1"/>
  <c r="T104" i="14" s="1"/>
  <c r="T33" i="14" a="1"/>
  <c r="T33" i="14" s="1"/>
  <c r="T41" i="14" a="1"/>
  <c r="T41" i="14" s="1"/>
  <c r="T53" i="14" a="1"/>
  <c r="T53" i="14" s="1"/>
  <c r="T136" i="14" a="1"/>
  <c r="T136" i="14" s="1"/>
  <c r="T144" i="14" a="1"/>
  <c r="T144" i="14" s="1"/>
  <c r="T148" i="14" a="1"/>
  <c r="T148" i="14" s="1"/>
  <c r="T172" i="14" a="1"/>
  <c r="T172" i="14" s="1"/>
  <c r="T25" i="14" a="1"/>
  <c r="T25" i="14" s="1"/>
  <c r="T29" i="14" a="1"/>
  <c r="T29" i="14" s="1"/>
  <c r="T120" i="14" a="1"/>
  <c r="T120" i="14" s="1"/>
  <c r="T21" i="14" a="1"/>
  <c r="T21" i="14" s="1"/>
  <c r="T59" i="14" a="1"/>
  <c r="T59" i="14" s="1"/>
  <c r="T82" i="14" a="1"/>
  <c r="T82" i="14" s="1"/>
  <c r="T86" i="14" a="1"/>
  <c r="T86" i="14" s="1"/>
  <c r="T90" i="14" a="1"/>
  <c r="T90" i="14" s="1"/>
  <c r="T109" i="14" a="1"/>
  <c r="T109" i="14" s="1"/>
  <c r="T124" i="14" a="1"/>
  <c r="T124" i="14" s="1"/>
  <c r="T132" i="14" a="1"/>
  <c r="T132" i="14" s="1"/>
  <c r="T147" i="14" a="1"/>
  <c r="T147" i="14" s="1"/>
  <c r="T48" i="14" a="1"/>
  <c r="T48" i="14" s="1"/>
  <c r="T128" i="14" a="1"/>
  <c r="T128" i="14" s="1"/>
  <c r="T37" i="14" a="1"/>
  <c r="T37" i="14" s="1"/>
  <c r="T45" i="14" a="1"/>
  <c r="T45" i="14" s="1"/>
  <c r="T49" i="14" a="1"/>
  <c r="T49" i="14" s="1"/>
  <c r="T68" i="14" a="1"/>
  <c r="T68" i="14" s="1"/>
  <c r="T94" i="14" a="1"/>
  <c r="T94" i="14" s="1"/>
  <c r="T98" i="14" a="1"/>
  <c r="T98" i="14" s="1"/>
  <c r="T113" i="14" a="1"/>
  <c r="T113" i="14" s="1"/>
  <c r="T140" i="14" a="1"/>
  <c r="T140" i="14" s="1"/>
  <c r="T155" i="14" a="1"/>
  <c r="T155" i="14" s="1"/>
  <c r="T163" i="14" a="1"/>
  <c r="T163" i="14" s="1"/>
  <c r="T167" i="14" a="1"/>
  <c r="T167" i="14" s="1"/>
  <c r="T11" i="14" a="1"/>
  <c r="T11" i="14" s="1"/>
  <c r="T121" i="14" a="1"/>
  <c r="T121" i="14" s="1"/>
  <c r="T15" i="14" a="1"/>
  <c r="T15" i="14" s="1"/>
  <c r="T34" i="14" a="1"/>
  <c r="T34" i="14" s="1"/>
  <c r="T75" i="14" a="1"/>
  <c r="T75" i="14" s="1"/>
  <c r="T106" i="14" a="1"/>
  <c r="T106" i="14" s="1"/>
  <c r="T114" i="14" a="1"/>
  <c r="T114" i="14" s="1"/>
  <c r="T137" i="14" a="1"/>
  <c r="T137" i="14" s="1"/>
  <c r="T152" i="14" a="1"/>
  <c r="T152" i="14" s="1"/>
  <c r="T156" i="14" a="1"/>
  <c r="T156" i="14" s="1"/>
  <c r="T38" i="14" a="1"/>
  <c r="T38" i="14" s="1"/>
  <c r="T42" i="14" a="1"/>
  <c r="T42" i="14" s="1"/>
  <c r="T61" i="14" a="1"/>
  <c r="T61" i="14" s="1"/>
  <c r="T95" i="14" a="1"/>
  <c r="T95" i="14" s="1"/>
  <c r="T78" i="14" a="1"/>
  <c r="T78" i="14" s="1"/>
  <c r="T46" i="14" a="1"/>
  <c r="T46" i="14" s="1"/>
  <c r="T50" i="14" a="1"/>
  <c r="T50" i="14" s="1"/>
  <c r="T57" i="14" a="1"/>
  <c r="T57" i="14" s="1"/>
  <c r="T76" i="14" a="1"/>
  <c r="T76" i="14" s="1"/>
  <c r="T118" i="14" a="1"/>
  <c r="T118" i="14" s="1"/>
  <c r="T126" i="14" a="1"/>
  <c r="T126" i="14" s="1"/>
  <c r="T160" i="14" a="1"/>
  <c r="T160" i="14" s="1"/>
  <c r="T164" i="14" a="1"/>
  <c r="T164" i="14" s="1"/>
  <c r="T168" i="14" a="1"/>
  <c r="T168" i="14" s="1"/>
  <c r="T12" i="14" a="1"/>
  <c r="T12" i="14" s="1"/>
  <c r="T23" i="14" a="1"/>
  <c r="T23" i="14" s="1"/>
  <c r="T27" i="14" a="1"/>
  <c r="T27" i="14" s="1"/>
  <c r="T54" i="14" a="1"/>
  <c r="T54" i="14" s="1"/>
  <c r="T65" i="14" a="1"/>
  <c r="T65" i="14" s="1"/>
  <c r="T80" i="14" a="1"/>
  <c r="T80" i="14" s="1"/>
  <c r="T84" i="14" a="1"/>
  <c r="T84" i="14" s="1"/>
  <c r="T88" i="14" a="1"/>
  <c r="T88" i="14" s="1"/>
  <c r="T107" i="14" a="1"/>
  <c r="T107" i="14" s="1"/>
  <c r="T122" i="14" a="1"/>
  <c r="T122" i="14" s="1"/>
  <c r="T130" i="14" a="1"/>
  <c r="T130" i="14" s="1"/>
  <c r="T145" i="14" a="1"/>
  <c r="T145" i="14" s="1"/>
  <c r="T149" i="14" a="1"/>
  <c r="T149" i="14" s="1"/>
  <c r="T16" i="14" a="1"/>
  <c r="T16" i="14" s="1"/>
  <c r="T31" i="14" a="1"/>
  <c r="T31" i="14" s="1"/>
  <c r="T39" i="14" a="1"/>
  <c r="T39" i="14" s="1"/>
  <c r="T92" i="14" a="1"/>
  <c r="T92" i="14" s="1"/>
  <c r="T96" i="14" a="1"/>
  <c r="T96" i="14" s="1"/>
  <c r="T111" i="14" a="1"/>
  <c r="T111" i="14" s="1"/>
  <c r="T115" i="14" a="1"/>
  <c r="T115" i="14" s="1"/>
  <c r="T119" i="14" a="1"/>
  <c r="T119" i="14" s="1"/>
  <c r="T134" i="14" a="1"/>
  <c r="T134" i="14" s="1"/>
  <c r="T157" i="14" a="1"/>
  <c r="T157" i="14" s="1"/>
  <c r="T169" i="14" a="1"/>
  <c r="T169" i="14" s="1"/>
  <c r="T35" i="14" a="1"/>
  <c r="T35" i="14" s="1"/>
  <c r="T43" i="14" a="1"/>
  <c r="T43" i="14" s="1"/>
  <c r="T62" i="14" a="1"/>
  <c r="T62" i="14" s="1"/>
  <c r="T73" i="14" a="1"/>
  <c r="T73" i="14" s="1"/>
  <c r="T100" i="14" a="1"/>
  <c r="T100" i="14" s="1"/>
  <c r="T123" i="14" a="1"/>
  <c r="T123" i="14" s="1"/>
  <c r="T13" i="14" a="1"/>
  <c r="T13" i="14" s="1"/>
  <c r="T24" i="14" a="1"/>
  <c r="T24" i="14" s="1"/>
  <c r="T28" i="14" a="1"/>
  <c r="T28" i="14" s="1"/>
  <c r="T81" i="14" a="1"/>
  <c r="T81" i="14" s="1"/>
  <c r="T131" i="14" a="1"/>
  <c r="T131" i="14" s="1"/>
  <c r="T146" i="14" a="1"/>
  <c r="T146" i="14" s="1"/>
  <c r="T150" i="14" a="1"/>
  <c r="T150" i="14" s="1"/>
  <c r="T143" i="14" a="1"/>
  <c r="T143" i="14" s="1"/>
  <c r="T17" i="14" a="1"/>
  <c r="T17" i="14" s="1"/>
  <c r="T32" i="14" a="1"/>
  <c r="T32" i="14" s="1"/>
  <c r="T36" i="14" a="1"/>
  <c r="T36" i="14" s="1"/>
  <c r="T93" i="14" a="1"/>
  <c r="T93" i="14" s="1"/>
  <c r="T97" i="14" a="1"/>
  <c r="T97" i="14" s="1"/>
  <c r="T108" i="14" a="1"/>
  <c r="T108" i="14" s="1"/>
  <c r="T116" i="14" a="1"/>
  <c r="T116" i="14" s="1"/>
  <c r="T142" i="14" a="1"/>
  <c r="T142" i="14" s="1"/>
  <c r="T158" i="14" a="1"/>
  <c r="T158" i="14" s="1"/>
  <c r="T162" i="14" a="1"/>
  <c r="T162" i="14" s="1"/>
  <c r="T166" i="14" a="1"/>
  <c r="T166" i="14" s="1"/>
  <c r="T170" i="14" a="1"/>
  <c r="T170" i="14" s="1"/>
  <c r="T63" i="14" a="1"/>
  <c r="T63" i="14" s="1"/>
  <c r="T85" i="14" a="1"/>
  <c r="T85" i="14" s="1"/>
  <c r="T89" i="14" a="1"/>
  <c r="T89" i="14" s="1"/>
  <c r="T101" i="14" a="1"/>
  <c r="T101" i="14" s="1"/>
  <c r="T135" i="14" a="1"/>
  <c r="T135" i="14" s="1"/>
  <c r="AI79" i="10" a="1"/>
  <c r="AI79" i="10" s="1"/>
  <c r="AI123" i="10" a="1"/>
  <c r="AI123" i="10" s="1"/>
  <c r="AI131" i="10" a="1"/>
  <c r="AI131" i="10" s="1"/>
  <c r="AI77" i="10" a="1"/>
  <c r="AI77" i="10" s="1"/>
  <c r="AH18" i="12" a="1"/>
  <c r="AH18" i="12" s="1"/>
  <c r="AE22" i="12" a="1"/>
  <c r="AE22" i="12" s="1"/>
  <c r="AE19" i="12" a="1"/>
  <c r="AE19" i="12" s="1"/>
  <c r="AF22" i="12" a="1"/>
  <c r="AF22" i="12" s="1"/>
  <c r="AE23" i="12" a="1"/>
  <c r="AE23" i="12" s="1"/>
  <c r="AH22" i="12" a="1"/>
  <c r="AH22" i="12" s="1"/>
  <c r="AE26" i="12" a="1"/>
  <c r="AE26" i="12" s="1"/>
  <c r="AF26" i="12" a="1"/>
  <c r="AF26" i="12" s="1"/>
  <c r="AE10" i="12" a="1"/>
  <c r="AE10" i="12" s="1"/>
  <c r="AE27" i="12" a="1"/>
  <c r="AE27" i="12" s="1"/>
  <c r="AF10" i="12" a="1"/>
  <c r="AF10" i="12" s="1"/>
  <c r="AH10" i="12" a="1"/>
  <c r="AH10" i="12" s="1"/>
  <c r="AE11" i="12" a="1"/>
  <c r="AE11" i="12" s="1"/>
  <c r="AE15" i="12" a="1"/>
  <c r="AE15" i="12" s="1"/>
  <c r="AE14" i="12" a="1"/>
  <c r="AE14" i="12" s="1"/>
  <c r="AE31" i="12" a="1"/>
  <c r="AE31" i="12" s="1"/>
  <c r="AF14" i="12" a="1"/>
  <c r="AF14" i="12" s="1"/>
  <c r="AH30" i="12" a="1"/>
  <c r="AH30" i="12" s="1"/>
  <c r="AH14" i="12" a="1"/>
  <c r="AH14" i="12" s="1"/>
  <c r="AE18" i="12" a="1"/>
  <c r="AE18" i="12" s="1"/>
  <c r="AF18" i="12" a="1"/>
  <c r="AF18" i="12" s="1"/>
  <c r="AH26" i="12" a="1"/>
  <c r="AH26" i="12" s="1"/>
  <c r="AE30" i="12" a="1"/>
  <c r="AE30" i="12" s="1"/>
  <c r="AF30" i="12" a="1"/>
  <c r="AF30" i="12" s="1"/>
  <c r="AH33" i="12" a="1"/>
  <c r="AH33" i="12" s="1"/>
  <c r="AG10" i="12" a="1"/>
  <c r="AG10" i="12" s="1"/>
  <c r="AG14" i="12" a="1"/>
  <c r="AG14" i="12" s="1"/>
  <c r="AG18" i="12" a="1"/>
  <c r="AG18" i="12" s="1"/>
  <c r="AG22" i="12" a="1"/>
  <c r="AG22" i="12" s="1"/>
  <c r="AG26" i="12" a="1"/>
  <c r="AG26" i="12" s="1"/>
  <c r="AG30" i="12" a="1"/>
  <c r="AG30" i="12" s="1"/>
  <c r="AF11" i="12" a="1"/>
  <c r="AF11" i="12" s="1"/>
  <c r="AF15" i="12" a="1"/>
  <c r="AF15" i="12" s="1"/>
  <c r="AF19" i="12" a="1"/>
  <c r="AF19" i="12" s="1"/>
  <c r="AF23" i="12" a="1"/>
  <c r="AF23" i="12" s="1"/>
  <c r="AF27" i="12" a="1"/>
  <c r="AF27" i="12" s="1"/>
  <c r="AF31" i="12" a="1"/>
  <c r="AF31" i="12" s="1"/>
  <c r="AG11" i="12" a="1"/>
  <c r="AG11" i="12" s="1"/>
  <c r="AG15" i="12" a="1"/>
  <c r="AG15" i="12" s="1"/>
  <c r="AG19" i="12" a="1"/>
  <c r="AG19" i="12" s="1"/>
  <c r="AG23" i="12" a="1"/>
  <c r="AG23" i="12" s="1"/>
  <c r="AG27" i="12" a="1"/>
  <c r="AG27" i="12" s="1"/>
  <c r="AG31" i="12" a="1"/>
  <c r="AG31" i="12" s="1"/>
  <c r="AH11" i="12" a="1"/>
  <c r="AH11" i="12" s="1"/>
  <c r="AH15" i="12" a="1"/>
  <c r="AH15" i="12" s="1"/>
  <c r="AH19" i="12" a="1"/>
  <c r="AH19" i="12" s="1"/>
  <c r="AH23" i="12" a="1"/>
  <c r="AH23" i="12" s="1"/>
  <c r="AH27" i="12" a="1"/>
  <c r="AH27" i="12" s="1"/>
  <c r="AH31" i="12" a="1"/>
  <c r="AH31" i="12" s="1"/>
  <c r="AE12" i="12" a="1"/>
  <c r="AE12" i="12" s="1"/>
  <c r="AE16" i="12" a="1"/>
  <c r="AE16" i="12" s="1"/>
  <c r="AE20" i="12" a="1"/>
  <c r="AE20" i="12" s="1"/>
  <c r="AE24" i="12" a="1"/>
  <c r="AE24" i="12" s="1"/>
  <c r="AE28" i="12" a="1"/>
  <c r="AE28" i="12" s="1"/>
  <c r="AE32" i="12" a="1"/>
  <c r="AE32" i="12" s="1"/>
  <c r="AF12" i="12" a="1"/>
  <c r="AF12" i="12" s="1"/>
  <c r="AF16" i="12" a="1"/>
  <c r="AF16" i="12" s="1"/>
  <c r="AF20" i="12" a="1"/>
  <c r="AF20" i="12" s="1"/>
  <c r="AF24" i="12" a="1"/>
  <c r="AF24" i="12" s="1"/>
  <c r="AF28" i="12" a="1"/>
  <c r="AF28" i="12" s="1"/>
  <c r="AF32" i="12" a="1"/>
  <c r="AF32" i="12" s="1"/>
  <c r="AG12" i="12" a="1"/>
  <c r="AG12" i="12" s="1"/>
  <c r="AG16" i="12" a="1"/>
  <c r="AG16" i="12" s="1"/>
  <c r="AG20" i="12" a="1"/>
  <c r="AG20" i="12" s="1"/>
  <c r="AG24" i="12" a="1"/>
  <c r="AG24" i="12" s="1"/>
  <c r="AG28" i="12" a="1"/>
  <c r="AG28" i="12" s="1"/>
  <c r="AG32" i="12" a="1"/>
  <c r="AG32" i="12" s="1"/>
  <c r="AH12" i="12" a="1"/>
  <c r="AH12" i="12" s="1"/>
  <c r="AH16" i="12" a="1"/>
  <c r="AH16" i="12" s="1"/>
  <c r="AH20" i="12" a="1"/>
  <c r="AH20" i="12" s="1"/>
  <c r="AH24" i="12" a="1"/>
  <c r="AH24" i="12" s="1"/>
  <c r="AH28" i="12" a="1"/>
  <c r="AH28" i="12" s="1"/>
  <c r="AH32" i="12" a="1"/>
  <c r="AH32" i="12" s="1"/>
  <c r="AE13" i="12" a="1"/>
  <c r="AE13" i="12" s="1"/>
  <c r="AE17" i="12" a="1"/>
  <c r="AE17" i="12" s="1"/>
  <c r="AE21" i="12" a="1"/>
  <c r="AE21" i="12" s="1"/>
  <c r="AE25" i="12" a="1"/>
  <c r="AE25" i="12" s="1"/>
  <c r="AE29" i="12" a="1"/>
  <c r="AE29" i="12" s="1"/>
  <c r="AE33" i="12" a="1"/>
  <c r="AE33" i="12" s="1"/>
  <c r="AF13" i="12" a="1"/>
  <c r="AF13" i="12" s="1"/>
  <c r="AF17" i="12" a="1"/>
  <c r="AF17" i="12" s="1"/>
  <c r="AF21" i="12" a="1"/>
  <c r="AF21" i="12" s="1"/>
  <c r="AF25" i="12" a="1"/>
  <c r="AF25" i="12" s="1"/>
  <c r="AF29" i="12" a="1"/>
  <c r="AF29" i="12" s="1"/>
  <c r="AF33" i="12" a="1"/>
  <c r="AF33" i="12" s="1"/>
  <c r="AG13" i="12" a="1"/>
  <c r="AG13" i="12" s="1"/>
  <c r="AG17" i="12" a="1"/>
  <c r="AG17" i="12" s="1"/>
  <c r="AG21" i="12" a="1"/>
  <c r="AG21" i="12" s="1"/>
  <c r="AG25" i="12" a="1"/>
  <c r="AG25" i="12" s="1"/>
  <c r="AG29" i="12" a="1"/>
  <c r="AG29" i="12" s="1"/>
  <c r="AG33" i="12" a="1"/>
  <c r="AG33" i="12" s="1"/>
  <c r="AH13" i="12" a="1"/>
  <c r="AH13" i="12" s="1"/>
  <c r="AH17" i="12" a="1"/>
  <c r="AH17" i="12" s="1"/>
  <c r="AH21" i="12" a="1"/>
  <c r="AH21" i="12" s="1"/>
  <c r="AH25" i="12" a="1"/>
  <c r="AH25" i="12" s="1"/>
  <c r="AH29" i="12" a="1"/>
  <c r="AH29" i="12" s="1"/>
  <c r="AF56" i="11" a="1"/>
  <c r="AF56" i="11" s="1"/>
  <c r="AD11" i="11" a="1"/>
  <c r="AD11" i="11" s="1"/>
  <c r="AF22" i="11" a="1"/>
  <c r="AF22" i="11" s="1"/>
  <c r="AE34" i="11" a="1"/>
  <c r="AE34" i="11" s="1"/>
  <c r="AF11" i="11" a="1"/>
  <c r="AF11" i="11" s="1"/>
  <c r="AE15" i="11" a="1"/>
  <c r="AE15" i="11" s="1"/>
  <c r="AD19" i="11" a="1"/>
  <c r="AD19" i="11" s="1"/>
  <c r="AD23" i="11" a="1"/>
  <c r="AD23" i="11" s="1"/>
  <c r="AC27" i="11" a="1"/>
  <c r="AC27" i="11" s="1"/>
  <c r="AF30" i="11" a="1"/>
  <c r="AF30" i="11" s="1"/>
  <c r="AF34" i="11" a="1"/>
  <c r="AF34" i="11" s="1"/>
  <c r="AD38" i="11" a="1"/>
  <c r="AD38" i="11" s="1"/>
  <c r="AC42" i="11" a="1"/>
  <c r="AC42" i="11" s="1"/>
  <c r="AE49" i="11" a="1"/>
  <c r="AE49" i="11" s="1"/>
  <c r="AE53" i="11" a="1"/>
  <c r="AE53" i="11" s="1"/>
  <c r="AE26" i="11" a="1"/>
  <c r="AE26" i="11" s="1"/>
  <c r="AD53" i="11" a="1"/>
  <c r="AD53" i="11" s="1"/>
  <c r="AC12" i="11" a="1"/>
  <c r="AC12" i="11" s="1"/>
  <c r="AF15" i="11" a="1"/>
  <c r="AF15" i="11" s="1"/>
  <c r="AE19" i="11" a="1"/>
  <c r="AE19" i="11" s="1"/>
  <c r="AE23" i="11" a="1"/>
  <c r="AE23" i="11" s="1"/>
  <c r="AD27" i="11" a="1"/>
  <c r="AD27" i="11" s="1"/>
  <c r="AC31" i="11" a="1"/>
  <c r="AC31" i="11" s="1"/>
  <c r="AC35" i="11" a="1"/>
  <c r="AC35" i="11" s="1"/>
  <c r="AE38" i="11" a="1"/>
  <c r="AE38" i="11" s="1"/>
  <c r="AD42" i="11" a="1"/>
  <c r="AD42" i="11" s="1"/>
  <c r="AC46" i="11" a="1"/>
  <c r="AC46" i="11" s="1"/>
  <c r="AF49" i="11" a="1"/>
  <c r="AF49" i="11" s="1"/>
  <c r="AF53" i="11" a="1"/>
  <c r="AF53" i="11" s="1"/>
  <c r="AE41" i="11" a="1"/>
  <c r="AE41" i="11" s="1"/>
  <c r="AE11" i="11" a="1"/>
  <c r="AE11" i="11" s="1"/>
  <c r="AC38" i="11" a="1"/>
  <c r="AC38" i="11" s="1"/>
  <c r="AD12" i="11" a="1"/>
  <c r="AD12" i="11" s="1"/>
  <c r="AC16" i="11" a="1"/>
  <c r="AC16" i="11" s="1"/>
  <c r="AF19" i="11" a="1"/>
  <c r="AF19" i="11" s="1"/>
  <c r="AF23" i="11" a="1"/>
  <c r="AF23" i="11" s="1"/>
  <c r="AE27" i="11" a="1"/>
  <c r="AE27" i="11" s="1"/>
  <c r="AD31" i="11" a="1"/>
  <c r="AD31" i="11" s="1"/>
  <c r="AD35" i="11" a="1"/>
  <c r="AD35" i="11" s="1"/>
  <c r="AF38" i="11" a="1"/>
  <c r="AF38" i="11" s="1"/>
  <c r="AE42" i="11" a="1"/>
  <c r="AE42" i="11" s="1"/>
  <c r="AD46" i="11" a="1"/>
  <c r="AD46" i="11" s="1"/>
  <c r="AC50" i="11" a="1"/>
  <c r="AC50" i="11" s="1"/>
  <c r="AC54" i="11" a="1"/>
  <c r="AC54" i="11" s="1"/>
  <c r="AC49" i="11" a="1"/>
  <c r="AC49" i="11" s="1"/>
  <c r="AD49" i="11" a="1"/>
  <c r="AD49" i="11" s="1"/>
  <c r="AD16" i="11" a="1"/>
  <c r="AD16" i="11" s="1"/>
  <c r="AC20" i="11" a="1"/>
  <c r="AC20" i="11" s="1"/>
  <c r="AC24" i="11" a="1"/>
  <c r="AC24" i="11" s="1"/>
  <c r="AF27" i="11" a="1"/>
  <c r="AF27" i="11" s="1"/>
  <c r="AE31" i="11" a="1"/>
  <c r="AE31" i="11" s="1"/>
  <c r="AE35" i="11" a="1"/>
  <c r="AE35" i="11" s="1"/>
  <c r="AC39" i="11" a="1"/>
  <c r="AC39" i="11" s="1"/>
  <c r="AF42" i="11" a="1"/>
  <c r="AF42" i="11" s="1"/>
  <c r="AE46" i="11" a="1"/>
  <c r="AE46" i="11" s="1"/>
  <c r="AD50" i="11" a="1"/>
  <c r="AD50" i="11" s="1"/>
  <c r="AD54" i="11" a="1"/>
  <c r="AD54" i="11" s="1"/>
  <c r="AC53" i="11" a="1"/>
  <c r="AC53" i="11" s="1"/>
  <c r="AF41" i="11" a="1"/>
  <c r="AF41" i="11" s="1"/>
  <c r="AE12" i="11" a="1"/>
  <c r="AE12" i="11" s="1"/>
  <c r="AE16" i="11" a="1"/>
  <c r="AE16" i="11" s="1"/>
  <c r="AD20" i="11" a="1"/>
  <c r="AD20" i="11" s="1"/>
  <c r="AD24" i="11" a="1"/>
  <c r="AD24" i="11" s="1"/>
  <c r="AC28" i="11" a="1"/>
  <c r="AC28" i="11" s="1"/>
  <c r="AF31" i="11" a="1"/>
  <c r="AF31" i="11" s="1"/>
  <c r="AD39" i="11" a="1"/>
  <c r="AD39" i="11" s="1"/>
  <c r="AC43" i="11" a="1"/>
  <c r="AC43" i="11" s="1"/>
  <c r="AF46" i="11" a="1"/>
  <c r="AF46" i="11" s="1"/>
  <c r="AE50" i="11" a="1"/>
  <c r="AE50" i="11" s="1"/>
  <c r="AE54" i="11" a="1"/>
  <c r="AE54" i="11" s="1"/>
  <c r="AE45" i="11" a="1"/>
  <c r="AE45" i="11" s="1"/>
  <c r="AC23" i="11" a="1"/>
  <c r="AC23" i="11" s="1"/>
  <c r="AF12" i="11" a="1"/>
  <c r="AF12" i="11" s="1"/>
  <c r="AG12" i="11" s="1" a="1"/>
  <c r="AG12" i="11" s="1"/>
  <c r="AF16" i="11" a="1"/>
  <c r="AF16" i="11" s="1"/>
  <c r="AE20" i="11" a="1"/>
  <c r="AE20" i="11" s="1"/>
  <c r="AE24" i="11" a="1"/>
  <c r="AE24" i="11" s="1"/>
  <c r="AD28" i="11" a="1"/>
  <c r="AD28" i="11" s="1"/>
  <c r="AC32" i="11" a="1"/>
  <c r="AC32" i="11" s="1"/>
  <c r="AF35" i="11" a="1"/>
  <c r="AF35" i="11" s="1"/>
  <c r="AE39" i="11" a="1"/>
  <c r="AE39" i="11" s="1"/>
  <c r="AD43" i="11" a="1"/>
  <c r="AD43" i="11" s="1"/>
  <c r="AC47" i="11" a="1"/>
  <c r="AC47" i="11" s="1"/>
  <c r="AF50" i="11" a="1"/>
  <c r="AF50" i="11" s="1"/>
  <c r="AF54" i="11" a="1"/>
  <c r="AF54" i="11" s="1"/>
  <c r="AC19" i="11" a="1"/>
  <c r="AC19" i="11" s="1"/>
  <c r="AC13" i="11" a="1"/>
  <c r="AC13" i="11" s="1"/>
  <c r="AC17" i="11" a="1"/>
  <c r="AC17" i="11" s="1"/>
  <c r="AF20" i="11" a="1"/>
  <c r="AF20" i="11" s="1"/>
  <c r="AF24" i="11" a="1"/>
  <c r="AF24" i="11" s="1"/>
  <c r="AE28" i="11" a="1"/>
  <c r="AE28" i="11" s="1"/>
  <c r="AD32" i="11" a="1"/>
  <c r="AD32" i="11" s="1"/>
  <c r="AC36" i="11" a="1"/>
  <c r="AC36" i="11" s="1"/>
  <c r="AF39" i="11" a="1"/>
  <c r="AF39" i="11" s="1"/>
  <c r="AE43" i="11" a="1"/>
  <c r="AE43" i="11" s="1"/>
  <c r="AD47" i="11" a="1"/>
  <c r="AD47" i="11" s="1"/>
  <c r="AC51" i="11" a="1"/>
  <c r="AC51" i="11" s="1"/>
  <c r="AC55" i="11" a="1"/>
  <c r="AC55" i="11" s="1"/>
  <c r="AE30" i="11" a="1"/>
  <c r="AE30" i="11" s="1"/>
  <c r="AD13" i="11" a="1"/>
  <c r="AD13" i="11" s="1"/>
  <c r="AC21" i="11" a="1"/>
  <c r="AC21" i="11" s="1"/>
  <c r="AC25" i="11" a="1"/>
  <c r="AC25" i="11" s="1"/>
  <c r="AF28" i="11" a="1"/>
  <c r="AF28" i="11" s="1"/>
  <c r="AE32" i="11" a="1"/>
  <c r="AE32" i="11" s="1"/>
  <c r="AD36" i="11" a="1"/>
  <c r="AD36" i="11" s="1"/>
  <c r="AC40" i="11" a="1"/>
  <c r="AC40" i="11" s="1"/>
  <c r="AF43" i="11" a="1"/>
  <c r="AF43" i="11" s="1"/>
  <c r="AD51" i="11" a="1"/>
  <c r="AD51" i="11" s="1"/>
  <c r="AD55" i="11" a="1"/>
  <c r="AD55" i="11" s="1"/>
  <c r="AD34" i="11" a="1"/>
  <c r="AD34" i="11" s="1"/>
  <c r="AF26" i="11" a="1"/>
  <c r="AF26" i="11" s="1"/>
  <c r="AC10" i="11" a="1"/>
  <c r="AC10" i="11" s="1"/>
  <c r="AE13" i="11" a="1"/>
  <c r="AE13" i="11" s="1"/>
  <c r="AD17" i="11" a="1"/>
  <c r="AD17" i="11" s="1"/>
  <c r="AD21" i="11" a="1"/>
  <c r="AD21" i="11" s="1"/>
  <c r="AD25" i="11" a="1"/>
  <c r="AD25" i="11" s="1"/>
  <c r="AC29" i="11" a="1"/>
  <c r="AC29" i="11" s="1"/>
  <c r="AF32" i="11" a="1"/>
  <c r="AF32" i="11" s="1"/>
  <c r="AE36" i="11" a="1"/>
  <c r="AE36" i="11" s="1"/>
  <c r="AD40" i="11" a="1"/>
  <c r="AD40" i="11" s="1"/>
  <c r="AC44" i="11" a="1"/>
  <c r="AC44" i="11" s="1"/>
  <c r="AE47" i="11" a="1"/>
  <c r="AE47" i="11" s="1"/>
  <c r="AE51" i="11" a="1"/>
  <c r="AE51" i="11" s="1"/>
  <c r="AE55" i="11" a="1"/>
  <c r="AE55" i="11" s="1"/>
  <c r="AF37" i="11" a="1"/>
  <c r="AF37" i="11" s="1"/>
  <c r="AD15" i="11" a="1"/>
  <c r="AD15" i="11" s="1"/>
  <c r="AF45" i="11" a="1"/>
  <c r="AF45" i="11" s="1"/>
  <c r="AD10" i="11" a="1"/>
  <c r="AD10" i="11" s="1"/>
  <c r="AF13" i="11" a="1"/>
  <c r="AF13" i="11" s="1"/>
  <c r="AE17" i="11" a="1"/>
  <c r="AE17" i="11" s="1"/>
  <c r="AG17" i="11" s="1" a="1"/>
  <c r="AG17" i="11" s="1"/>
  <c r="AE21" i="11" a="1"/>
  <c r="AE21" i="11" s="1"/>
  <c r="AD29" i="11" a="1"/>
  <c r="AD29" i="11" s="1"/>
  <c r="AC33" i="11" a="1"/>
  <c r="AC33" i="11" s="1"/>
  <c r="AD44" i="11" a="1"/>
  <c r="AD44" i="11" s="1"/>
  <c r="AF47" i="11" a="1"/>
  <c r="AF47" i="11" s="1"/>
  <c r="AF51" i="11" a="1"/>
  <c r="AF51" i="11" s="1"/>
  <c r="AF55" i="11" a="1"/>
  <c r="AF55" i="11" s="1"/>
  <c r="AC14" i="11" a="1"/>
  <c r="AC14" i="11" s="1"/>
  <c r="AF17" i="11" a="1"/>
  <c r="AF17" i="11" s="1"/>
  <c r="AF21" i="11" a="1"/>
  <c r="AF21" i="11" s="1"/>
  <c r="AG21" i="11" s="1" a="1"/>
  <c r="AG21" i="11" s="1"/>
  <c r="AE25" i="11" a="1"/>
  <c r="AE25" i="11" s="1"/>
  <c r="AE29" i="11" a="1"/>
  <c r="AE29" i="11" s="1"/>
  <c r="AD33" i="11" a="1"/>
  <c r="AD33" i="11" s="1"/>
  <c r="AF36" i="11" a="1"/>
  <c r="AF36" i="11" s="1"/>
  <c r="AE40" i="11" a="1"/>
  <c r="AE40" i="11" s="1"/>
  <c r="AE44" i="11" a="1"/>
  <c r="AE44" i="11" s="1"/>
  <c r="AC48" i="11" a="1"/>
  <c r="AC48" i="11" s="1"/>
  <c r="AC52" i="11" a="1"/>
  <c r="AC52" i="11" s="1"/>
  <c r="AC56" i="11" a="1"/>
  <c r="AC56" i="11" s="1"/>
  <c r="AF18" i="11" a="1"/>
  <c r="AF18" i="11" s="1"/>
  <c r="AE10" i="11" a="1"/>
  <c r="AE10" i="11" s="1"/>
  <c r="AD14" i="11" a="1"/>
  <c r="AD14" i="11" s="1"/>
  <c r="AC18" i="11" a="1"/>
  <c r="AC18" i="11" s="1"/>
  <c r="AC22" i="11" a="1"/>
  <c r="AC22" i="11" s="1"/>
  <c r="AF25" i="11" a="1"/>
  <c r="AF25" i="11" s="1"/>
  <c r="AF29" i="11" a="1"/>
  <c r="AF29" i="11" s="1"/>
  <c r="AE33" i="11" a="1"/>
  <c r="AE33" i="11" s="1"/>
  <c r="AC37" i="11" a="1"/>
  <c r="AC37" i="11" s="1"/>
  <c r="AF40" i="11" a="1"/>
  <c r="AF40" i="11" s="1"/>
  <c r="AF44" i="11" a="1"/>
  <c r="AF44" i="11" s="1"/>
  <c r="AD48" i="11" a="1"/>
  <c r="AD48" i="11" s="1"/>
  <c r="AD52" i="11" a="1"/>
  <c r="AD52" i="11" s="1"/>
  <c r="AD56" i="11" a="1"/>
  <c r="AD56" i="11" s="1"/>
  <c r="AC15" i="11" a="1"/>
  <c r="AC15" i="11" s="1"/>
  <c r="AF10" i="11" a="1"/>
  <c r="AF10" i="11" s="1"/>
  <c r="AE14" i="11" a="1"/>
  <c r="AE14" i="11" s="1"/>
  <c r="AD18" i="11" a="1"/>
  <c r="AD18" i="11" s="1"/>
  <c r="AD22" i="11" a="1"/>
  <c r="AD22" i="11" s="1"/>
  <c r="AC26" i="11" a="1"/>
  <c r="AC26" i="11" s="1"/>
  <c r="AC30" i="11" a="1"/>
  <c r="AC30" i="11" s="1"/>
  <c r="AF33" i="11" a="1"/>
  <c r="AF33" i="11" s="1"/>
  <c r="AD37" i="11" a="1"/>
  <c r="AD37" i="11" s="1"/>
  <c r="AC41" i="11" a="1"/>
  <c r="AC41" i="11" s="1"/>
  <c r="AC45" i="11" a="1"/>
  <c r="AC45" i="11" s="1"/>
  <c r="AE48" i="11" a="1"/>
  <c r="AE48" i="11" s="1"/>
  <c r="AE52" i="11" a="1"/>
  <c r="AE52" i="11" s="1"/>
  <c r="AE56" i="11" a="1"/>
  <c r="AE56" i="11" s="1"/>
  <c r="AG56" i="11" s="1" a="1"/>
  <c r="AG56" i="11" s="1"/>
  <c r="AC11" i="11" a="1"/>
  <c r="AC11" i="11" s="1"/>
  <c r="AF14" i="11" a="1"/>
  <c r="AF14" i="11" s="1"/>
  <c r="AE18" i="11" a="1"/>
  <c r="AE18" i="11" s="1"/>
  <c r="AE22" i="11" a="1"/>
  <c r="AE22" i="11" s="1"/>
  <c r="AD26" i="11" a="1"/>
  <c r="AD26" i="11" s="1"/>
  <c r="AD30" i="11" a="1"/>
  <c r="AD30" i="11" s="1"/>
  <c r="AE37" i="11" a="1"/>
  <c r="AE37" i="11" s="1"/>
  <c r="AD41" i="11" a="1"/>
  <c r="AD41" i="11" s="1"/>
  <c r="AD45" i="11" a="1"/>
  <c r="AD45" i="11" s="1"/>
  <c r="AF48" i="11" a="1"/>
  <c r="AF48" i="11" s="1"/>
  <c r="AF52" i="11" a="1"/>
  <c r="AF52" i="11" s="1"/>
  <c r="AG19" i="11" a="1"/>
  <c r="AG19" i="11" s="1"/>
  <c r="AG31" i="11" a="1"/>
  <c r="AG31" i="11" s="1"/>
  <c r="AG23" i="11" a="1"/>
  <c r="AG23" i="11" s="1"/>
  <c r="AI21" i="10" a="1"/>
  <c r="AI21" i="10" s="1"/>
  <c r="AI25" i="10" a="1"/>
  <c r="AI25" i="10" s="1"/>
  <c r="AI29" i="10" a="1"/>
  <c r="AI29" i="10" s="1"/>
  <c r="AI69" i="10" a="1"/>
  <c r="AI69" i="10" s="1"/>
  <c r="AI62" i="10" a="1"/>
  <c r="AI62" i="10" s="1"/>
  <c r="AI31" i="10" a="1"/>
  <c r="AI31" i="10" s="1"/>
  <c r="AI35" i="10" a="1"/>
  <c r="AI35" i="10" s="1"/>
  <c r="AI39" i="10" a="1"/>
  <c r="AI39" i="10" s="1"/>
  <c r="AI43" i="10" a="1"/>
  <c r="AI43" i="10" s="1"/>
  <c r="AI47" i="10" a="1"/>
  <c r="AI47" i="10" s="1"/>
  <c r="AI51" i="10" a="1"/>
  <c r="AI51" i="10" s="1"/>
  <c r="AI55" i="10" a="1"/>
  <c r="AI55" i="10" s="1"/>
  <c r="AI59" i="10" a="1"/>
  <c r="AI59" i="10" s="1"/>
  <c r="AI67" i="10" a="1"/>
  <c r="AI67" i="10" s="1"/>
  <c r="AI16" i="10" a="1"/>
  <c r="AI16" i="10" s="1"/>
  <c r="AI32" i="10" a="1"/>
  <c r="AI32" i="10" s="1"/>
  <c r="AI36" i="10" a="1"/>
  <c r="AI36" i="10" s="1"/>
  <c r="AI88" i="10" a="1"/>
  <c r="AI88" i="10" s="1"/>
  <c r="AI92" i="10" a="1"/>
  <c r="AI92" i="10" s="1"/>
  <c r="AI128" i="10" a="1"/>
  <c r="AI128" i="10" s="1"/>
  <c r="AI13" i="10" a="1"/>
  <c r="AI13" i="10" s="1"/>
  <c r="AI37" i="10" a="1"/>
  <c r="AI37" i="10" s="1"/>
  <c r="AI53" i="10" a="1"/>
  <c r="AI53" i="10" s="1"/>
  <c r="AI57" i="10" a="1"/>
  <c r="AI57" i="10" s="1"/>
  <c r="AI61" i="10" a="1"/>
  <c r="AI61" i="10" s="1"/>
  <c r="AI97" i="10" a="1"/>
  <c r="AI97" i="10" s="1"/>
  <c r="AI101" i="10" a="1"/>
  <c r="AI101" i="10" s="1"/>
  <c r="AI105" i="10" a="1"/>
  <c r="AI105" i="10" s="1"/>
  <c r="AI109" i="10" a="1"/>
  <c r="AI109" i="10" s="1"/>
  <c r="AI113" i="10" a="1"/>
  <c r="AI113" i="10" s="1"/>
  <c r="AI117" i="10" a="1"/>
  <c r="AI117" i="10" s="1"/>
  <c r="AI121" i="10" a="1"/>
  <c r="AI121" i="10" s="1"/>
  <c r="AI125" i="10" a="1"/>
  <c r="AI125" i="10" s="1"/>
  <c r="AI129" i="10" a="1"/>
  <c r="AI129" i="10" s="1"/>
  <c r="AI45" i="10" a="1"/>
  <c r="AI45" i="10" s="1"/>
  <c r="AI93" i="10" a="1"/>
  <c r="AI93" i="10" s="1"/>
  <c r="AI22" i="10" a="1"/>
  <c r="AI22" i="10" s="1"/>
  <c r="AI26" i="10" a="1"/>
  <c r="AI26" i="10" s="1"/>
  <c r="AI85" i="10" a="1"/>
  <c r="AI85" i="10" s="1"/>
  <c r="AI66" i="10" a="1"/>
  <c r="AI66" i="10" s="1"/>
  <c r="AI70" i="10" a="1"/>
  <c r="AI70" i="10" s="1"/>
  <c r="AI74" i="10" a="1"/>
  <c r="AI74" i="10" s="1"/>
  <c r="AI78" i="10" a="1"/>
  <c r="AI78" i="10" s="1"/>
  <c r="AI82" i="10" a="1"/>
  <c r="AI82" i="10" s="1"/>
  <c r="AI86" i="10" a="1"/>
  <c r="AI86" i="10" s="1"/>
  <c r="AI90" i="10" a="1"/>
  <c r="AI90" i="10" s="1"/>
  <c r="AI94" i="10" a="1"/>
  <c r="AI94" i="10" s="1"/>
  <c r="AI98" i="10" a="1"/>
  <c r="AI98" i="10" s="1"/>
  <c r="AI110" i="10" a="1"/>
  <c r="AI110" i="10" s="1"/>
  <c r="AI83" i="10" a="1"/>
  <c r="AI83" i="10" s="1"/>
  <c r="AI119" i="10" a="1"/>
  <c r="AI119" i="10" s="1"/>
  <c r="AI20" i="10" a="1"/>
  <c r="AI20" i="10" s="1"/>
  <c r="AI24" i="10" a="1"/>
  <c r="AI24" i="10" s="1"/>
  <c r="AI28" i="10" a="1"/>
  <c r="AI28" i="10" s="1"/>
  <c r="AI63" i="10" a="1"/>
  <c r="AI63" i="10" s="1"/>
  <c r="AI10" i="10" a="1"/>
  <c r="AI10" i="10" s="1"/>
  <c r="AI17" i="10" a="1"/>
  <c r="AI17" i="10" s="1"/>
  <c r="AI40" i="10" a="1"/>
  <c r="AI40" i="10" s="1"/>
  <c r="AI44" i="10" a="1"/>
  <c r="AI44" i="10" s="1"/>
  <c r="AI71" i="10" a="1"/>
  <c r="AI71" i="10" s="1"/>
  <c r="AI75" i="10" a="1"/>
  <c r="AI75" i="10" s="1"/>
  <c r="AI102" i="10" a="1"/>
  <c r="AI102" i="10" s="1"/>
  <c r="AI106" i="10" a="1"/>
  <c r="AI106" i="10" s="1"/>
  <c r="AI48" i="10" a="1"/>
  <c r="AI48" i="10" s="1"/>
  <c r="AI52" i="10" a="1"/>
  <c r="AI52" i="10" s="1"/>
  <c r="AI114" i="10" a="1"/>
  <c r="AI114" i="10" s="1"/>
  <c r="AI56" i="10" a="1"/>
  <c r="AI56" i="10" s="1"/>
  <c r="AI60" i="10" a="1"/>
  <c r="AI60" i="10" s="1"/>
  <c r="AI87" i="10" a="1"/>
  <c r="AI87" i="10" s="1"/>
  <c r="AI91" i="10" a="1"/>
  <c r="AI91" i="10" s="1"/>
  <c r="AI118" i="10" a="1"/>
  <c r="AI118" i="10" s="1"/>
  <c r="AI122" i="10" a="1"/>
  <c r="AI122" i="10" s="1"/>
  <c r="AI33" i="10" a="1"/>
  <c r="AI33" i="10" s="1"/>
  <c r="AI64" i="10" a="1"/>
  <c r="AI64" i="10" s="1"/>
  <c r="AI68" i="10" a="1"/>
  <c r="AI68" i="10" s="1"/>
  <c r="AI95" i="10" a="1"/>
  <c r="AI95" i="10" s="1"/>
  <c r="AI99" i="10" a="1"/>
  <c r="AI99" i="10" s="1"/>
  <c r="AI126" i="10" a="1"/>
  <c r="AI126" i="10" s="1"/>
  <c r="AI130" i="10" a="1"/>
  <c r="AI130" i="10" s="1"/>
  <c r="AI14" i="10" a="1"/>
  <c r="AI14" i="10" s="1"/>
  <c r="AI18" i="10" a="1"/>
  <c r="AI18" i="10" s="1"/>
  <c r="AI41" i="10" a="1"/>
  <c r="AI41" i="10" s="1"/>
  <c r="AI72" i="10" a="1"/>
  <c r="AI72" i="10" s="1"/>
  <c r="AI76" i="10" a="1"/>
  <c r="AI76" i="10" s="1"/>
  <c r="AI103" i="10" a="1"/>
  <c r="AI103" i="10" s="1"/>
  <c r="AI107" i="10" a="1"/>
  <c r="AI107" i="10" s="1"/>
  <c r="AI11" i="10" a="1"/>
  <c r="AI11" i="10" s="1"/>
  <c r="AI49" i="10" a="1"/>
  <c r="AI49" i="10" s="1"/>
  <c r="AI80" i="10" a="1"/>
  <c r="AI80" i="10" s="1"/>
  <c r="AI84" i="10" a="1"/>
  <c r="AI84" i="10" s="1"/>
  <c r="AI111" i="10" a="1"/>
  <c r="AI111" i="10" s="1"/>
  <c r="AI115" i="10" a="1"/>
  <c r="AI115" i="10" s="1"/>
  <c r="AI30" i="10" a="1"/>
  <c r="AI30" i="10" s="1"/>
  <c r="AI34" i="10" a="1"/>
  <c r="AI34" i="10" s="1"/>
  <c r="AI65" i="10" a="1"/>
  <c r="AI65" i="10" s="1"/>
  <c r="AI96" i="10" a="1"/>
  <c r="AI96" i="10" s="1"/>
  <c r="AI100" i="10" a="1"/>
  <c r="AI100" i="10" s="1"/>
  <c r="AI127" i="10" a="1"/>
  <c r="AI127" i="10" s="1"/>
  <c r="AI15" i="10" a="1"/>
  <c r="AI15" i="10" s="1"/>
  <c r="AI38" i="10" a="1"/>
  <c r="AI38" i="10" s="1"/>
  <c r="AI42" i="10" a="1"/>
  <c r="AI42" i="10" s="1"/>
  <c r="AI73" i="10" a="1"/>
  <c r="AI73" i="10" s="1"/>
  <c r="AI104" i="10" a="1"/>
  <c r="AI104" i="10" s="1"/>
  <c r="AI108" i="10" a="1"/>
  <c r="AI108" i="10" s="1"/>
  <c r="AI12" i="10" a="1"/>
  <c r="AI12" i="10" s="1"/>
  <c r="AI19" i="10" a="1"/>
  <c r="AI19" i="10" s="1"/>
  <c r="AI46" i="10" a="1"/>
  <c r="AI46" i="10" s="1"/>
  <c r="AI50" i="10" a="1"/>
  <c r="AI50" i="10" s="1"/>
  <c r="AI81" i="10" a="1"/>
  <c r="AI81" i="10" s="1"/>
  <c r="AI112" i="10" a="1"/>
  <c r="AI112" i="10" s="1"/>
  <c r="AI116" i="10" a="1"/>
  <c r="AI116" i="10" s="1"/>
  <c r="AI23" i="10" a="1"/>
  <c r="AI23" i="10" s="1"/>
  <c r="AI27" i="10" a="1"/>
  <c r="AI27" i="10" s="1"/>
  <c r="AI54" i="10" a="1"/>
  <c r="AI54" i="10" s="1"/>
  <c r="AI58" i="10" a="1"/>
  <c r="AI58" i="10" s="1"/>
  <c r="AI89" i="10" a="1"/>
  <c r="AI89" i="10" s="1"/>
  <c r="AI120" i="10" a="1"/>
  <c r="AI120" i="10" s="1"/>
  <c r="AI124" i="10" a="1"/>
  <c r="AI124" i="10" s="1"/>
  <c r="T287" i="9" a="1"/>
  <c r="T287" i="9" s="1"/>
  <c r="T319" i="9" a="1"/>
  <c r="T319" i="9" s="1"/>
  <c r="T243" i="9" a="1"/>
  <c r="T243" i="9" s="1"/>
  <c r="T267" i="9" a="1"/>
  <c r="T267" i="9" s="1"/>
  <c r="T295" i="9" a="1"/>
  <c r="T295" i="9" s="1"/>
  <c r="T327" i="9" a="1"/>
  <c r="T327" i="9" s="1"/>
  <c r="T247" i="9" a="1"/>
  <c r="T247" i="9" s="1"/>
  <c r="T257" i="9" a="1"/>
  <c r="T257" i="9" s="1"/>
  <c r="T271" i="9" a="1"/>
  <c r="T271" i="9" s="1"/>
  <c r="T251" i="9" a="1"/>
  <c r="T251" i="9" s="1"/>
  <c r="T275" i="9" a="1"/>
  <c r="T275" i="9" s="1"/>
  <c r="T303" i="9" a="1"/>
  <c r="T303" i="9" s="1"/>
  <c r="T210" i="9" a="1"/>
  <c r="T210" i="9" s="1"/>
  <c r="T255" i="9" a="1"/>
  <c r="T255" i="9" s="1"/>
  <c r="T279" i="9" a="1"/>
  <c r="T279" i="9" s="1"/>
  <c r="T311" i="9" a="1"/>
  <c r="T311" i="9" s="1"/>
  <c r="T265" i="9" a="1"/>
  <c r="T265" i="9" s="1"/>
  <c r="T283" i="9" a="1"/>
  <c r="T283" i="9" s="1"/>
  <c r="T1061" i="9" a="1"/>
  <c r="T1061" i="9" s="1"/>
  <c r="T1125" i="9" a="1"/>
  <c r="T1125" i="9" s="1"/>
  <c r="T1189" i="9" a="1"/>
  <c r="T1189" i="9" s="1"/>
  <c r="T1253" i="9" a="1"/>
  <c r="T1253" i="9" s="1"/>
  <c r="T755" i="9" a="1"/>
  <c r="T755" i="9" s="1"/>
  <c r="T795" i="9" a="1"/>
  <c r="T795" i="9" s="1"/>
  <c r="T801" i="9" a="1"/>
  <c r="T801" i="9" s="1"/>
  <c r="T824" i="9" a="1"/>
  <c r="T824" i="9" s="1"/>
  <c r="T845" i="9" a="1"/>
  <c r="T845" i="9" s="1"/>
  <c r="T965" i="9" a="1"/>
  <c r="T965" i="9" s="1"/>
  <c r="T976" i="9" a="1"/>
  <c r="T976" i="9" s="1"/>
  <c r="T856" i="9" a="1"/>
  <c r="T856" i="9" s="1"/>
  <c r="T936" i="9" a="1"/>
  <c r="T936" i="9" s="1"/>
  <c r="T973" i="9" a="1"/>
  <c r="T973" i="9" s="1"/>
  <c r="T1077" i="9" a="1"/>
  <c r="T1077" i="9" s="1"/>
  <c r="T1141" i="9" a="1"/>
  <c r="T1141" i="9" s="1"/>
  <c r="T1205" i="9" a="1"/>
  <c r="T1205" i="9" s="1"/>
  <c r="T1269" i="9" a="1"/>
  <c r="T1269" i="9" s="1"/>
  <c r="T853" i="9" a="1"/>
  <c r="T853" i="9" s="1"/>
  <c r="T933" i="9" a="1"/>
  <c r="T933" i="9" s="1"/>
  <c r="T944" i="9" a="1"/>
  <c r="T944" i="9" s="1"/>
  <c r="T1333" i="9" a="1"/>
  <c r="T1333" i="9" s="1"/>
  <c r="T832" i="9" a="1"/>
  <c r="T832" i="9" s="1"/>
  <c r="T893" i="9" a="1"/>
  <c r="T893" i="9" s="1"/>
  <c r="T1021" i="9" a="1"/>
  <c r="T1021" i="9" s="1"/>
  <c r="T1085" i="9" a="1"/>
  <c r="T1085" i="9" s="1"/>
  <c r="T1149" i="9" a="1"/>
  <c r="T1149" i="9" s="1"/>
  <c r="T1213" i="9" a="1"/>
  <c r="T1213" i="9" s="1"/>
  <c r="T1277" i="9" a="1"/>
  <c r="T1277" i="9" s="1"/>
  <c r="T981" i="9" a="1"/>
  <c r="T981" i="9" s="1"/>
  <c r="T992" i="9" a="1"/>
  <c r="T992" i="9" s="1"/>
  <c r="T912" i="9" a="1"/>
  <c r="T912" i="9" s="1"/>
  <c r="T949" i="9" a="1"/>
  <c r="T949" i="9" s="1"/>
  <c r="T960" i="9" a="1"/>
  <c r="T960" i="9" s="1"/>
  <c r="T909" i="9" a="1"/>
  <c r="T909" i="9" s="1"/>
  <c r="T1045" i="9" a="1"/>
  <c r="T1045" i="9" s="1"/>
  <c r="T1109" i="9" a="1"/>
  <c r="T1109" i="9" s="1"/>
  <c r="T1173" i="9" a="1"/>
  <c r="T1173" i="9" s="1"/>
  <c r="T1237" i="9" a="1"/>
  <c r="T1237" i="9" s="1"/>
  <c r="T1301" i="9" a="1"/>
  <c r="T1301" i="9" s="1"/>
  <c r="T837" i="9" a="1"/>
  <c r="T837" i="9" s="1"/>
  <c r="T869" i="9" a="1"/>
  <c r="T869" i="9" s="1"/>
  <c r="T880" i="9" a="1"/>
  <c r="T880" i="9" s="1"/>
  <c r="T997" i="9" a="1"/>
  <c r="T997" i="9" s="1"/>
  <c r="T1008" i="9" a="1"/>
  <c r="T1008" i="9" s="1"/>
  <c r="T1357" i="9" a="1"/>
  <c r="T1357" i="9" s="1"/>
  <c r="T848" i="9" a="1"/>
  <c r="T848" i="9" s="1"/>
  <c r="T957" i="9" a="1"/>
  <c r="T957" i="9" s="1"/>
  <c r="T968" i="9" a="1"/>
  <c r="T968" i="9" s="1"/>
  <c r="T1053" i="9" a="1"/>
  <c r="T1053" i="9" s="1"/>
  <c r="T1117" i="9" a="1"/>
  <c r="T1117" i="9" s="1"/>
  <c r="T1181" i="9" a="1"/>
  <c r="T1181" i="9" s="1"/>
  <c r="T1245" i="9" a="1"/>
  <c r="T1245" i="9" s="1"/>
  <c r="T1309" i="9" a="1"/>
  <c r="T1309" i="9" s="1"/>
  <c r="AE11" i="2" a="1"/>
  <c r="AE11" i="2" s="1"/>
  <c r="AF11" i="2" a="1"/>
  <c r="AF11" i="2" s="1"/>
  <c r="AE12" i="2" a="1"/>
  <c r="AE12" i="2" s="1"/>
  <c r="AF12" i="2" a="1"/>
  <c r="AF12" i="2" s="1"/>
  <c r="AE13" i="2" a="1"/>
  <c r="AE13" i="2" s="1"/>
  <c r="AF13" i="2" a="1"/>
  <c r="AF13" i="2" s="1"/>
  <c r="AE14" i="2" a="1"/>
  <c r="AE14" i="2" s="1"/>
  <c r="AF14" i="2" a="1"/>
  <c r="AF14" i="2" s="1"/>
  <c r="AE15" i="2" a="1"/>
  <c r="AE15" i="2" s="1"/>
  <c r="AF15" i="2" a="1"/>
  <c r="AF15" i="2" s="1"/>
  <c r="AE16" i="2" a="1"/>
  <c r="AE16" i="2" s="1"/>
  <c r="AF16" i="2" a="1"/>
  <c r="AF16" i="2" s="1"/>
  <c r="AE17" i="2" a="1"/>
  <c r="AE17" i="2" s="1"/>
  <c r="AF17" i="2" a="1"/>
  <c r="AF17" i="2" s="1"/>
  <c r="AE18" i="2" a="1"/>
  <c r="AE18" i="2" s="1"/>
  <c r="AF18" i="2" a="1"/>
  <c r="AF18" i="2" s="1"/>
  <c r="AE19" i="2" a="1"/>
  <c r="AE19" i="2" s="1"/>
  <c r="AF19" i="2" a="1"/>
  <c r="AF19" i="2" s="1"/>
  <c r="AE20" i="2" a="1"/>
  <c r="AE20" i="2" s="1"/>
  <c r="AF20" i="2" a="1"/>
  <c r="AF20" i="2" s="1"/>
  <c r="AE21" i="2" a="1"/>
  <c r="AE21" i="2" s="1"/>
  <c r="AF21" i="2" a="1"/>
  <c r="AF21" i="2" s="1"/>
  <c r="AE22" i="2" a="1"/>
  <c r="AE22" i="2" s="1"/>
  <c r="AF22" i="2" a="1"/>
  <c r="AF22" i="2" s="1"/>
  <c r="AE23" i="2" a="1"/>
  <c r="AE23" i="2" s="1"/>
  <c r="AF23" i="2" a="1"/>
  <c r="AF23" i="2" s="1"/>
  <c r="AE24" i="2" a="1"/>
  <c r="AE24" i="2" s="1"/>
  <c r="AF24" i="2" a="1"/>
  <c r="AF24" i="2" s="1"/>
  <c r="AE25" i="2" a="1"/>
  <c r="AE25" i="2" s="1"/>
  <c r="AF25" i="2" a="1"/>
  <c r="AF25" i="2" s="1"/>
  <c r="AE26" i="2" a="1"/>
  <c r="AE26" i="2" s="1"/>
  <c r="AF26" i="2" a="1"/>
  <c r="AF26" i="2" s="1"/>
  <c r="AE27" i="2" a="1"/>
  <c r="AE27" i="2" s="1"/>
  <c r="AF27" i="2" a="1"/>
  <c r="AF27" i="2" s="1"/>
  <c r="AE28" i="2" a="1"/>
  <c r="AE28" i="2" s="1"/>
  <c r="AF28" i="2" a="1"/>
  <c r="AF28" i="2" s="1"/>
  <c r="AE29" i="2" a="1"/>
  <c r="AE29" i="2" s="1"/>
  <c r="AF29" i="2" a="1"/>
  <c r="AF29" i="2" s="1"/>
  <c r="AE30" i="2" a="1"/>
  <c r="AE30" i="2" s="1"/>
  <c r="AF30" i="2" a="1"/>
  <c r="AF30" i="2" s="1"/>
  <c r="AE31" i="2" a="1"/>
  <c r="AE31" i="2" s="1"/>
  <c r="AF31" i="2" a="1"/>
  <c r="AF31" i="2" s="1"/>
  <c r="AE32" i="2" a="1"/>
  <c r="AE32" i="2" s="1"/>
  <c r="AF32" i="2" a="1"/>
  <c r="AF32" i="2" s="1"/>
  <c r="AE33" i="2" a="1"/>
  <c r="AE33" i="2" s="1"/>
  <c r="AF33" i="2" a="1"/>
  <c r="AF33" i="2" s="1"/>
  <c r="AE34" i="2" a="1"/>
  <c r="AE34" i="2" s="1"/>
  <c r="AF34" i="2" a="1"/>
  <c r="AF34" i="2" s="1"/>
  <c r="AE35" i="2" a="1"/>
  <c r="AE35" i="2" s="1"/>
  <c r="AF35" i="2" a="1"/>
  <c r="AF35" i="2" s="1"/>
  <c r="AE36" i="2" a="1"/>
  <c r="AE36" i="2" s="1"/>
  <c r="AF36" i="2" a="1"/>
  <c r="AF36" i="2" s="1"/>
  <c r="AE37" i="2" a="1"/>
  <c r="AE37" i="2" s="1"/>
  <c r="AF37" i="2" a="1"/>
  <c r="AF37" i="2" s="1"/>
  <c r="AE38" i="2" a="1"/>
  <c r="AE38" i="2" s="1"/>
  <c r="AF38" i="2" a="1"/>
  <c r="AF38" i="2" s="1"/>
  <c r="AE39" i="2" a="1"/>
  <c r="AE39" i="2" s="1"/>
  <c r="AF39" i="2" a="1"/>
  <c r="AF39" i="2" s="1"/>
  <c r="AE40" i="2" a="1"/>
  <c r="AE40" i="2" s="1"/>
  <c r="AF40" i="2" a="1"/>
  <c r="AF40" i="2" s="1"/>
  <c r="AE41" i="2" a="1"/>
  <c r="AE41" i="2" s="1"/>
  <c r="AF41" i="2" a="1"/>
  <c r="AF41" i="2" s="1"/>
  <c r="AE42" i="2" a="1"/>
  <c r="AE42" i="2" s="1"/>
  <c r="AF42" i="2" a="1"/>
  <c r="AF42" i="2" s="1"/>
  <c r="AE43" i="2" a="1"/>
  <c r="AE43" i="2" s="1"/>
  <c r="AF43" i="2" a="1"/>
  <c r="AF43" i="2" s="1"/>
  <c r="AE44" i="2" a="1"/>
  <c r="AE44" i="2" s="1"/>
  <c r="AF44" i="2" a="1"/>
  <c r="AF44" i="2" s="1"/>
  <c r="AE45" i="2" a="1"/>
  <c r="AE45" i="2" s="1"/>
  <c r="AF45" i="2" a="1"/>
  <c r="AF45" i="2" s="1"/>
  <c r="AE46" i="2" a="1"/>
  <c r="AE46" i="2" s="1"/>
  <c r="AF46" i="2" a="1"/>
  <c r="AF46" i="2" s="1"/>
  <c r="AE47" i="2" a="1"/>
  <c r="AE47" i="2" s="1"/>
  <c r="AF47" i="2" a="1"/>
  <c r="AF47" i="2" s="1"/>
  <c r="AE48" i="2" a="1"/>
  <c r="AE48" i="2" s="1"/>
  <c r="AF48" i="2" a="1"/>
  <c r="AF48" i="2" s="1"/>
  <c r="AE49" i="2" a="1"/>
  <c r="AE49" i="2" s="1"/>
  <c r="AF49" i="2" a="1"/>
  <c r="AF49" i="2" s="1"/>
  <c r="AE50" i="2" a="1"/>
  <c r="AE50" i="2" s="1"/>
  <c r="AF50" i="2" a="1"/>
  <c r="AF50" i="2" s="1"/>
  <c r="AE51" i="2" a="1"/>
  <c r="AE51" i="2" s="1"/>
  <c r="AF51" i="2" a="1"/>
  <c r="AF51" i="2" s="1"/>
  <c r="AE52" i="2" a="1"/>
  <c r="AE52" i="2" s="1"/>
  <c r="AF52" i="2" a="1"/>
  <c r="AF52" i="2" s="1"/>
  <c r="AE53" i="2" a="1"/>
  <c r="AE53" i="2" s="1"/>
  <c r="AF53" i="2" a="1"/>
  <c r="AF53" i="2" s="1"/>
  <c r="AE54" i="2" a="1"/>
  <c r="AE54" i="2" s="1"/>
  <c r="AF54" i="2" a="1"/>
  <c r="AF54" i="2" s="1"/>
  <c r="AE55" i="2" a="1"/>
  <c r="AE55" i="2" s="1"/>
  <c r="AF55" i="2" a="1"/>
  <c r="AF55" i="2" s="1"/>
  <c r="AE56" i="2" a="1"/>
  <c r="AE56" i="2" s="1"/>
  <c r="AF56" i="2" a="1"/>
  <c r="AF56" i="2" s="1"/>
  <c r="AE57" i="2" a="1"/>
  <c r="AE57" i="2" s="1"/>
  <c r="AF57" i="2" a="1"/>
  <c r="AF57" i="2" s="1"/>
  <c r="AE58" i="2" a="1"/>
  <c r="AE58" i="2" s="1"/>
  <c r="AF58" i="2" a="1"/>
  <c r="AF58" i="2" s="1"/>
  <c r="AE59" i="2" a="1"/>
  <c r="AE59" i="2" s="1"/>
  <c r="AF59" i="2" a="1"/>
  <c r="AF59" i="2" s="1"/>
  <c r="AE60" i="2" a="1"/>
  <c r="AE60" i="2" s="1"/>
  <c r="AF60" i="2" a="1"/>
  <c r="AF60" i="2" s="1"/>
  <c r="AE61" i="2" a="1"/>
  <c r="AE61" i="2" s="1"/>
  <c r="AF61" i="2" a="1"/>
  <c r="AF61" i="2" s="1"/>
  <c r="AE62" i="2" a="1"/>
  <c r="AE62" i="2" s="1"/>
  <c r="AF62" i="2" a="1"/>
  <c r="AF62" i="2" s="1"/>
  <c r="AE63" i="2" a="1"/>
  <c r="AE63" i="2" s="1"/>
  <c r="AF63" i="2" a="1"/>
  <c r="AF63" i="2" s="1"/>
  <c r="AE64" i="2" a="1"/>
  <c r="AE64" i="2" s="1"/>
  <c r="AF64" i="2" a="1"/>
  <c r="AF64" i="2" s="1"/>
  <c r="AE65" i="2" a="1"/>
  <c r="AE65" i="2" s="1"/>
  <c r="AF65" i="2" a="1"/>
  <c r="AF65" i="2" s="1"/>
  <c r="AE66" i="2" a="1"/>
  <c r="AE66" i="2" s="1"/>
  <c r="AF66" i="2" a="1"/>
  <c r="AF66" i="2" s="1"/>
  <c r="AE67" i="2" a="1"/>
  <c r="AE67" i="2" s="1"/>
  <c r="AF67" i="2" a="1"/>
  <c r="AF67" i="2" s="1"/>
  <c r="AE68" i="2" a="1"/>
  <c r="AE68" i="2" s="1"/>
  <c r="AF68" i="2" a="1"/>
  <c r="AF68" i="2" s="1"/>
  <c r="AE69" i="2" a="1"/>
  <c r="AE69" i="2" s="1"/>
  <c r="AF69" i="2" a="1"/>
  <c r="AF69" i="2" s="1"/>
  <c r="AE70" i="2" a="1"/>
  <c r="AE70" i="2" s="1"/>
  <c r="AF70" i="2" a="1"/>
  <c r="AF70" i="2" s="1"/>
  <c r="AE71" i="2" a="1"/>
  <c r="AE71" i="2" s="1"/>
  <c r="AF71" i="2" a="1"/>
  <c r="AF71" i="2" s="1"/>
  <c r="AE72" i="2" a="1"/>
  <c r="AE72" i="2" s="1"/>
  <c r="AF72" i="2" a="1"/>
  <c r="AF72" i="2" s="1"/>
  <c r="AE73" i="2" a="1"/>
  <c r="AE73" i="2" s="1"/>
  <c r="AF73" i="2" a="1"/>
  <c r="AF73" i="2" s="1"/>
  <c r="AE74" i="2" a="1"/>
  <c r="AE74" i="2" s="1"/>
  <c r="AF74" i="2" a="1"/>
  <c r="AF74" i="2" s="1"/>
  <c r="AE75" i="2" a="1"/>
  <c r="AE75" i="2" s="1"/>
  <c r="AF75" i="2" a="1"/>
  <c r="AF75" i="2" s="1"/>
  <c r="AE76" i="2" a="1"/>
  <c r="AE76" i="2" s="1"/>
  <c r="AF76" i="2" a="1"/>
  <c r="AF76" i="2" s="1"/>
  <c r="AE77" i="2" a="1"/>
  <c r="AE77" i="2" s="1"/>
  <c r="AF77" i="2" a="1"/>
  <c r="AF77" i="2" s="1"/>
  <c r="AE78" i="2" a="1"/>
  <c r="AE78" i="2" s="1"/>
  <c r="AF78" i="2" a="1"/>
  <c r="AF78" i="2" s="1"/>
  <c r="AE79" i="2" a="1"/>
  <c r="AE79" i="2" s="1"/>
  <c r="AF79" i="2" a="1"/>
  <c r="AF79" i="2" s="1"/>
  <c r="AE80" i="2" a="1"/>
  <c r="AE80" i="2" s="1"/>
  <c r="AF80" i="2" a="1"/>
  <c r="AF80" i="2" s="1"/>
  <c r="AE81" i="2" a="1"/>
  <c r="AE81" i="2" s="1"/>
  <c r="AF81" i="2" a="1"/>
  <c r="AF81" i="2" s="1"/>
  <c r="AE82" i="2" a="1"/>
  <c r="AE82" i="2" s="1"/>
  <c r="AF82" i="2" a="1"/>
  <c r="AF82" i="2" s="1"/>
  <c r="AE83" i="2" a="1"/>
  <c r="AE83" i="2" s="1"/>
  <c r="AF83" i="2" a="1"/>
  <c r="AF83" i="2" s="1"/>
  <c r="AE84" i="2" a="1"/>
  <c r="AE84" i="2" s="1"/>
  <c r="AF84" i="2" a="1"/>
  <c r="AF84" i="2" s="1"/>
  <c r="AE85" i="2" a="1"/>
  <c r="AE85" i="2" s="1"/>
  <c r="AF85" i="2" a="1"/>
  <c r="AF85" i="2" s="1"/>
  <c r="AE86" i="2" a="1"/>
  <c r="AE86" i="2" s="1"/>
  <c r="AF86" i="2" a="1"/>
  <c r="AF86" i="2" s="1"/>
  <c r="AE87" i="2" a="1"/>
  <c r="AE87" i="2" s="1"/>
  <c r="AF87" i="2" a="1"/>
  <c r="AF87" i="2" s="1"/>
  <c r="AE88" i="2" a="1"/>
  <c r="AE88" i="2" s="1"/>
  <c r="AF88" i="2" a="1"/>
  <c r="AF88" i="2" s="1"/>
  <c r="AE89" i="2" a="1"/>
  <c r="AE89" i="2" s="1"/>
  <c r="AF89" i="2" a="1"/>
  <c r="AF89" i="2" s="1"/>
  <c r="AE90" i="2" a="1"/>
  <c r="AE90" i="2" s="1"/>
  <c r="AF90" i="2" a="1"/>
  <c r="AF90" i="2" s="1"/>
  <c r="AE91" i="2" a="1"/>
  <c r="AE91" i="2" s="1"/>
  <c r="AF91" i="2" a="1"/>
  <c r="AF91" i="2" s="1"/>
  <c r="AE92" i="2" a="1"/>
  <c r="AE92" i="2" s="1"/>
  <c r="AF92" i="2" a="1"/>
  <c r="AF92" i="2" s="1"/>
  <c r="AE93" i="2" a="1"/>
  <c r="AE93" i="2" s="1"/>
  <c r="AF93" i="2" a="1"/>
  <c r="AF93" i="2" s="1"/>
  <c r="AE94" i="2" a="1"/>
  <c r="AE94" i="2" s="1"/>
  <c r="AF94" i="2" a="1"/>
  <c r="AF94" i="2" s="1"/>
  <c r="AE95" i="2" a="1"/>
  <c r="AE95" i="2" s="1"/>
  <c r="AF95" i="2" a="1"/>
  <c r="AF95" i="2" s="1"/>
  <c r="AE96" i="2" a="1"/>
  <c r="AE96" i="2" s="1"/>
  <c r="AF96" i="2" a="1"/>
  <c r="AF96" i="2" s="1"/>
  <c r="AE97" i="2" a="1"/>
  <c r="AE97" i="2" s="1"/>
  <c r="AF97" i="2" a="1"/>
  <c r="AF97" i="2" s="1"/>
  <c r="AE98" i="2" a="1"/>
  <c r="AE98" i="2" s="1"/>
  <c r="AF98" i="2" a="1"/>
  <c r="AF98" i="2" s="1"/>
  <c r="AE99" i="2" a="1"/>
  <c r="AE99" i="2" s="1"/>
  <c r="AF99" i="2" a="1"/>
  <c r="AF99" i="2" s="1"/>
  <c r="AE100" i="2" a="1"/>
  <c r="AE100" i="2" s="1"/>
  <c r="AF100" i="2" a="1"/>
  <c r="AF100" i="2" s="1"/>
  <c r="AE101" i="2" a="1"/>
  <c r="AE101" i="2" s="1"/>
  <c r="AF101" i="2" a="1"/>
  <c r="AF101" i="2" s="1"/>
  <c r="AE102" i="2" a="1"/>
  <c r="AE102" i="2" s="1"/>
  <c r="AF102" i="2" a="1"/>
  <c r="AF102" i="2" s="1"/>
  <c r="AE103" i="2" a="1"/>
  <c r="AE103" i="2" s="1"/>
  <c r="AF103" i="2" a="1"/>
  <c r="AF103" i="2" s="1"/>
  <c r="AE104" i="2" a="1"/>
  <c r="AE104" i="2" s="1"/>
  <c r="AF104" i="2" a="1"/>
  <c r="AF104" i="2" s="1"/>
  <c r="AE105" i="2" a="1"/>
  <c r="AE105" i="2" s="1"/>
  <c r="AF105" i="2" a="1"/>
  <c r="AF105" i="2" s="1"/>
  <c r="AE106" i="2" a="1"/>
  <c r="AE106" i="2" s="1"/>
  <c r="AF106" i="2" a="1"/>
  <c r="AF106" i="2" s="1"/>
  <c r="AE107" i="2" a="1"/>
  <c r="AE107" i="2" s="1"/>
  <c r="AF107" i="2" a="1"/>
  <c r="AF107" i="2" s="1"/>
  <c r="AE108" i="2" a="1"/>
  <c r="AE108" i="2" s="1"/>
  <c r="AF108" i="2" a="1"/>
  <c r="AF108" i="2" s="1"/>
  <c r="AE109" i="2" a="1"/>
  <c r="AE109" i="2" s="1"/>
  <c r="AF109" i="2" a="1"/>
  <c r="AF109" i="2" s="1"/>
  <c r="AE110" i="2" a="1"/>
  <c r="AE110" i="2" s="1"/>
  <c r="AF110" i="2" a="1"/>
  <c r="AF110" i="2" s="1"/>
  <c r="AE111" i="2" a="1"/>
  <c r="AE111" i="2" s="1"/>
  <c r="AF111" i="2" a="1"/>
  <c r="AF111" i="2" s="1"/>
  <c r="AE112" i="2" a="1"/>
  <c r="AE112" i="2" s="1"/>
  <c r="AF112" i="2" a="1"/>
  <c r="AF112" i="2" s="1"/>
  <c r="AE113" i="2" a="1"/>
  <c r="AE113" i="2" s="1"/>
  <c r="AF113" i="2" a="1"/>
  <c r="AF113" i="2" s="1"/>
  <c r="AE114" i="2" a="1"/>
  <c r="AE114" i="2" s="1"/>
  <c r="AF114" i="2" a="1"/>
  <c r="AF114" i="2" s="1"/>
  <c r="AE115" i="2" a="1"/>
  <c r="AE115" i="2" s="1"/>
  <c r="AF115" i="2" a="1"/>
  <c r="AF115" i="2" s="1"/>
  <c r="AE116" i="2" a="1"/>
  <c r="AE116" i="2" s="1"/>
  <c r="AF116" i="2" a="1"/>
  <c r="AF116" i="2" s="1"/>
  <c r="AE117" i="2" a="1"/>
  <c r="AE117" i="2" s="1"/>
  <c r="AF117" i="2" a="1"/>
  <c r="AF117" i="2" s="1"/>
  <c r="AE118" i="2" a="1"/>
  <c r="AE118" i="2" s="1"/>
  <c r="AF118" i="2" a="1"/>
  <c r="AF118" i="2" s="1"/>
  <c r="AE119" i="2" a="1"/>
  <c r="AE119" i="2" s="1"/>
  <c r="AF119" i="2" a="1"/>
  <c r="AF119" i="2" s="1"/>
  <c r="AE120" i="2" a="1"/>
  <c r="AE120" i="2" s="1"/>
  <c r="AF120" i="2" a="1"/>
  <c r="AF120" i="2" s="1"/>
  <c r="AE121" i="2" a="1"/>
  <c r="AE121" i="2" s="1"/>
  <c r="AF121" i="2" a="1"/>
  <c r="AF121" i="2" s="1"/>
  <c r="AE122" i="2" a="1"/>
  <c r="AE122" i="2" s="1"/>
  <c r="AF122" i="2" a="1"/>
  <c r="AF122" i="2" s="1"/>
  <c r="AE123" i="2" a="1"/>
  <c r="AE123" i="2" s="1"/>
  <c r="AF123" i="2" a="1"/>
  <c r="AF123" i="2" s="1"/>
  <c r="AE124" i="2" a="1"/>
  <c r="AE124" i="2" s="1"/>
  <c r="AF124" i="2" a="1"/>
  <c r="AF124" i="2" s="1"/>
  <c r="AE125" i="2" a="1"/>
  <c r="AE125" i="2" s="1"/>
  <c r="AF125" i="2" a="1"/>
  <c r="AF125" i="2" s="1"/>
  <c r="AE126" i="2" a="1"/>
  <c r="AE126" i="2" s="1"/>
  <c r="AF126" i="2" a="1"/>
  <c r="AF126" i="2" s="1"/>
  <c r="AE127" i="2" a="1"/>
  <c r="AE127" i="2" s="1"/>
  <c r="AF127" i="2" a="1"/>
  <c r="AF127" i="2" s="1"/>
  <c r="AE128" i="2" a="1"/>
  <c r="AE128" i="2" s="1"/>
  <c r="AF128" i="2" a="1"/>
  <c r="AF128" i="2" s="1"/>
  <c r="AE129" i="2" a="1"/>
  <c r="AE129" i="2" s="1"/>
  <c r="AF129" i="2" a="1"/>
  <c r="AF129" i="2" s="1"/>
  <c r="AE130" i="2" a="1"/>
  <c r="AE130" i="2" s="1"/>
  <c r="AF130" i="2" a="1"/>
  <c r="AF130" i="2" s="1"/>
  <c r="AE131" i="2" a="1"/>
  <c r="AE131" i="2" s="1"/>
  <c r="AF131" i="2" a="1"/>
  <c r="AF131" i="2" s="1"/>
  <c r="AE132" i="2" a="1"/>
  <c r="AE132" i="2" s="1"/>
  <c r="AF132" i="2" a="1"/>
  <c r="AF132" i="2" s="1"/>
  <c r="AE133" i="2" a="1"/>
  <c r="AE133" i="2" s="1"/>
  <c r="AF133" i="2" a="1"/>
  <c r="AF133" i="2" s="1"/>
  <c r="AE134" i="2" a="1"/>
  <c r="AE134" i="2" s="1"/>
  <c r="AF134" i="2" a="1"/>
  <c r="AF134" i="2" s="1"/>
  <c r="AE135" i="2" a="1"/>
  <c r="AE135" i="2" s="1"/>
  <c r="AF135" i="2" a="1"/>
  <c r="AF135" i="2" s="1"/>
  <c r="AE136" i="2" a="1"/>
  <c r="AE136" i="2" s="1"/>
  <c r="AF136" i="2" a="1"/>
  <c r="AF136" i="2" s="1"/>
  <c r="AE137" i="2" a="1"/>
  <c r="AE137" i="2" s="1"/>
  <c r="AF137" i="2" a="1"/>
  <c r="AF137" i="2" s="1"/>
  <c r="AE138" i="2" a="1"/>
  <c r="AE138" i="2" s="1"/>
  <c r="AF138" i="2" a="1"/>
  <c r="AF138" i="2" s="1"/>
  <c r="AE139" i="2" a="1"/>
  <c r="AE139" i="2" s="1"/>
  <c r="AF139" i="2" a="1"/>
  <c r="AF139" i="2" s="1"/>
  <c r="AE140" i="2" a="1"/>
  <c r="AE140" i="2" s="1"/>
  <c r="AF140" i="2" a="1"/>
  <c r="AF140" i="2" s="1"/>
  <c r="AE141" i="2" a="1"/>
  <c r="AE141" i="2" s="1"/>
  <c r="AF141" i="2" a="1"/>
  <c r="AF141" i="2" s="1"/>
  <c r="AE142" i="2" a="1"/>
  <c r="AE142" i="2" s="1"/>
  <c r="AF142" i="2" a="1"/>
  <c r="AF142" i="2" s="1"/>
  <c r="AE143" i="2" a="1"/>
  <c r="AE143" i="2" s="1"/>
  <c r="AF143" i="2" a="1"/>
  <c r="AF143" i="2" s="1"/>
  <c r="AE144" i="2" a="1"/>
  <c r="AE144" i="2" s="1"/>
  <c r="AF144" i="2" a="1"/>
  <c r="AF144" i="2" s="1"/>
  <c r="AE145" i="2" a="1"/>
  <c r="AE145" i="2" s="1"/>
  <c r="AF145" i="2" a="1"/>
  <c r="AF145" i="2" s="1"/>
  <c r="AE146" i="2" a="1"/>
  <c r="AE146" i="2" s="1"/>
  <c r="AF146" i="2" a="1"/>
  <c r="AF146" i="2" s="1"/>
  <c r="AE147" i="2" a="1"/>
  <c r="AE147" i="2" s="1"/>
  <c r="AF147" i="2" a="1"/>
  <c r="AF147" i="2" s="1"/>
  <c r="AE148" i="2" a="1"/>
  <c r="AE148" i="2" s="1"/>
  <c r="AF148" i="2" a="1"/>
  <c r="AF148" i="2" s="1"/>
  <c r="AE149" i="2" a="1"/>
  <c r="AE149" i="2" s="1"/>
  <c r="AF149" i="2" a="1"/>
  <c r="AF149" i="2" s="1"/>
  <c r="AE150" i="2" a="1"/>
  <c r="AE150" i="2" s="1"/>
  <c r="AF150" i="2" a="1"/>
  <c r="AF150" i="2" s="1"/>
  <c r="AE151" i="2" a="1"/>
  <c r="AE151" i="2" s="1"/>
  <c r="AF151" i="2" a="1"/>
  <c r="AF151" i="2" s="1"/>
  <c r="AE152" i="2" a="1"/>
  <c r="AE152" i="2" s="1"/>
  <c r="AF152" i="2" a="1"/>
  <c r="AF152" i="2" s="1"/>
  <c r="AE153" i="2" a="1"/>
  <c r="AE153" i="2" s="1"/>
  <c r="AF153" i="2" a="1"/>
  <c r="AF153" i="2" s="1"/>
  <c r="AE154" i="2" a="1"/>
  <c r="AE154" i="2" s="1"/>
  <c r="AF154" i="2" a="1"/>
  <c r="AF154" i="2" s="1"/>
  <c r="AE155" i="2" a="1"/>
  <c r="AE155" i="2" s="1"/>
  <c r="AF155" i="2" a="1"/>
  <c r="AF155" i="2" s="1"/>
  <c r="AE156" i="2" a="1"/>
  <c r="AE156" i="2" s="1"/>
  <c r="AF156" i="2" a="1"/>
  <c r="AF156" i="2" s="1"/>
  <c r="AE157" i="2" a="1"/>
  <c r="AE157" i="2" s="1"/>
  <c r="AF157" i="2" a="1"/>
  <c r="AF157" i="2" s="1"/>
  <c r="AE158" i="2" a="1"/>
  <c r="AE158" i="2" s="1"/>
  <c r="AF158" i="2" a="1"/>
  <c r="AF158" i="2" s="1"/>
  <c r="AE159" i="2" a="1"/>
  <c r="AE159" i="2" s="1"/>
  <c r="AF159" i="2" a="1"/>
  <c r="AF159" i="2" s="1"/>
  <c r="AE160" i="2" a="1"/>
  <c r="AE160" i="2" s="1"/>
  <c r="AF160" i="2" a="1"/>
  <c r="AF160" i="2" s="1"/>
  <c r="AE161" i="2" a="1"/>
  <c r="AE161" i="2" s="1"/>
  <c r="AF161" i="2" a="1"/>
  <c r="AF161" i="2" s="1"/>
  <c r="AE162" i="2" a="1"/>
  <c r="AE162" i="2" s="1"/>
  <c r="AF162" i="2" a="1"/>
  <c r="AF162" i="2" s="1"/>
  <c r="AE163" i="2" a="1"/>
  <c r="AE163" i="2" s="1"/>
  <c r="AF163" i="2" a="1"/>
  <c r="AF163" i="2" s="1"/>
  <c r="AE164" i="2" a="1"/>
  <c r="AE164" i="2" s="1"/>
  <c r="AF164" i="2" a="1"/>
  <c r="AF164" i="2" s="1"/>
  <c r="AE165" i="2" a="1"/>
  <c r="AE165" i="2" s="1"/>
  <c r="AF165" i="2" a="1"/>
  <c r="AF165" i="2" s="1"/>
  <c r="AE166" i="2" a="1"/>
  <c r="AE166" i="2" s="1"/>
  <c r="AF166" i="2" a="1"/>
  <c r="AF166" i="2" s="1"/>
  <c r="AE167" i="2" a="1"/>
  <c r="AE167" i="2" s="1"/>
  <c r="AF167" i="2" a="1"/>
  <c r="AF167" i="2" s="1"/>
  <c r="AE168" i="2" a="1"/>
  <c r="AE168" i="2" s="1"/>
  <c r="AF168" i="2" a="1"/>
  <c r="AF168" i="2" s="1"/>
  <c r="AE169" i="2" a="1"/>
  <c r="AE169" i="2" s="1"/>
  <c r="AF169" i="2" a="1"/>
  <c r="AF169" i="2" s="1"/>
  <c r="AE170" i="2" a="1"/>
  <c r="AE170" i="2" s="1"/>
  <c r="AF170" i="2" a="1"/>
  <c r="AF170" i="2" s="1"/>
  <c r="AE171" i="2" a="1"/>
  <c r="AE171" i="2" s="1"/>
  <c r="AF171" i="2" a="1"/>
  <c r="AF171" i="2" s="1"/>
  <c r="AE172" i="2" a="1"/>
  <c r="AE172" i="2" s="1"/>
  <c r="AF172" i="2" a="1"/>
  <c r="AF172" i="2" s="1"/>
  <c r="AE173" i="2" a="1"/>
  <c r="AE173" i="2" s="1"/>
  <c r="AF173" i="2" a="1"/>
  <c r="AF173" i="2" s="1"/>
  <c r="AE174" i="2" a="1"/>
  <c r="AE174" i="2" s="1"/>
  <c r="AF174" i="2" a="1"/>
  <c r="AF174" i="2" s="1"/>
  <c r="AE175" i="2" a="1"/>
  <c r="AE175" i="2" s="1"/>
  <c r="AF175" i="2" a="1"/>
  <c r="AF175" i="2" s="1"/>
  <c r="AE176" i="2" a="1"/>
  <c r="AE176" i="2" s="1"/>
  <c r="AF176" i="2" a="1"/>
  <c r="AF176" i="2" s="1"/>
  <c r="AE177" i="2" a="1"/>
  <c r="AE177" i="2" s="1"/>
  <c r="AF177" i="2" a="1"/>
  <c r="AF177" i="2" s="1"/>
  <c r="AE178" i="2" a="1"/>
  <c r="AE178" i="2" s="1"/>
  <c r="AF178" i="2" a="1"/>
  <c r="AF178" i="2" s="1"/>
  <c r="AE179" i="2" a="1"/>
  <c r="AE179" i="2" s="1"/>
  <c r="AF179" i="2" a="1"/>
  <c r="AF179" i="2" s="1"/>
  <c r="AE180" i="2" a="1"/>
  <c r="AE180" i="2" s="1"/>
  <c r="AF180" i="2" a="1"/>
  <c r="AF180" i="2" s="1"/>
  <c r="AE181" i="2" a="1"/>
  <c r="AE181" i="2" s="1"/>
  <c r="AF181" i="2" a="1"/>
  <c r="AF181" i="2" s="1"/>
  <c r="AE182" i="2" a="1"/>
  <c r="AE182" i="2" s="1"/>
  <c r="AF182" i="2" a="1"/>
  <c r="AF182" i="2" s="1"/>
  <c r="AE183" i="2" a="1"/>
  <c r="AE183" i="2" s="1"/>
  <c r="AF183" i="2" a="1"/>
  <c r="AF183" i="2" s="1"/>
  <c r="AE184" i="2" a="1"/>
  <c r="AE184" i="2" s="1"/>
  <c r="AF184" i="2" a="1"/>
  <c r="AF184" i="2" s="1"/>
  <c r="AE185" i="2" a="1"/>
  <c r="AE185" i="2" s="1"/>
  <c r="AF185" i="2" a="1"/>
  <c r="AF185" i="2" s="1"/>
  <c r="AE186" i="2" a="1"/>
  <c r="AE186" i="2" s="1"/>
  <c r="AF186" i="2" a="1"/>
  <c r="AF186" i="2" s="1"/>
  <c r="AE187" i="2" a="1"/>
  <c r="AE187" i="2" s="1"/>
  <c r="AF187" i="2" a="1"/>
  <c r="AF187" i="2" s="1"/>
  <c r="AE188" i="2" a="1"/>
  <c r="AE188" i="2" s="1"/>
  <c r="AF188" i="2" a="1"/>
  <c r="AF188" i="2" s="1"/>
  <c r="AE189" i="2" a="1"/>
  <c r="AE189" i="2" s="1"/>
  <c r="AF189" i="2" a="1"/>
  <c r="AF189" i="2" s="1"/>
  <c r="AE190" i="2" a="1"/>
  <c r="AE190" i="2" s="1"/>
  <c r="AF190" i="2" a="1"/>
  <c r="AF190" i="2" s="1"/>
  <c r="AE191" i="2" a="1"/>
  <c r="AE191" i="2" s="1"/>
  <c r="AF191" i="2" a="1"/>
  <c r="AF191" i="2" s="1"/>
  <c r="AE192" i="2" a="1"/>
  <c r="AE192" i="2" s="1"/>
  <c r="AF192" i="2" a="1"/>
  <c r="AF192" i="2" s="1"/>
  <c r="AE193" i="2" a="1"/>
  <c r="AE193" i="2" s="1"/>
  <c r="AF193" i="2" a="1"/>
  <c r="AF193" i="2" s="1"/>
  <c r="AE194" i="2" a="1"/>
  <c r="AE194" i="2" s="1"/>
  <c r="AF194" i="2" a="1"/>
  <c r="AF194" i="2" s="1"/>
  <c r="AE195" i="2" a="1"/>
  <c r="AE195" i="2" s="1"/>
  <c r="AF195" i="2" a="1"/>
  <c r="AF195" i="2" s="1"/>
  <c r="AE196" i="2" a="1"/>
  <c r="AE196" i="2" s="1"/>
  <c r="AF196" i="2" a="1"/>
  <c r="AF196" i="2" s="1"/>
  <c r="AE197" i="2" a="1"/>
  <c r="AE197" i="2" s="1"/>
  <c r="AF197" i="2" a="1"/>
  <c r="AF197" i="2" s="1"/>
  <c r="AE198" i="2" a="1"/>
  <c r="AE198" i="2" s="1"/>
  <c r="AF198" i="2" a="1"/>
  <c r="AF198" i="2" s="1"/>
  <c r="AE199" i="2" a="1"/>
  <c r="AE199" i="2" s="1"/>
  <c r="AF199" i="2" a="1"/>
  <c r="AF199" i="2" s="1"/>
  <c r="AE200" i="2" a="1"/>
  <c r="AE200" i="2" s="1"/>
  <c r="AF200" i="2" a="1"/>
  <c r="AF200" i="2" s="1"/>
  <c r="AE201" i="2" a="1"/>
  <c r="AE201" i="2" s="1"/>
  <c r="AF201" i="2" a="1"/>
  <c r="AF201" i="2" s="1"/>
  <c r="AE202" i="2" a="1"/>
  <c r="AE202" i="2" s="1"/>
  <c r="AF202" i="2" a="1"/>
  <c r="AF202" i="2" s="1"/>
  <c r="AE203" i="2" a="1"/>
  <c r="AE203" i="2" s="1"/>
  <c r="AF203" i="2" a="1"/>
  <c r="AF203" i="2" s="1"/>
  <c r="AE204" i="2" a="1"/>
  <c r="AE204" i="2" s="1"/>
  <c r="AF204" i="2" a="1"/>
  <c r="AF204" i="2" s="1"/>
  <c r="AE205" i="2" a="1"/>
  <c r="AE205" i="2" s="1"/>
  <c r="AF205" i="2" a="1"/>
  <c r="AF205" i="2" s="1"/>
  <c r="AE206" i="2" a="1"/>
  <c r="AE206" i="2" s="1"/>
  <c r="AF206" i="2" a="1"/>
  <c r="AF206" i="2" s="1"/>
  <c r="AE207" i="2" a="1"/>
  <c r="AE207" i="2" s="1"/>
  <c r="AF207" i="2" a="1"/>
  <c r="AF207" i="2" s="1"/>
  <c r="AE208" i="2" a="1"/>
  <c r="AE208" i="2" s="1"/>
  <c r="AF208" i="2" a="1"/>
  <c r="AF208" i="2" s="1"/>
  <c r="AE209" i="2" a="1"/>
  <c r="AE209" i="2" s="1"/>
  <c r="AF209" i="2" a="1"/>
  <c r="AF209" i="2" s="1"/>
  <c r="AE210" i="2" a="1"/>
  <c r="AE210" i="2" s="1"/>
  <c r="AF210" i="2" a="1"/>
  <c r="AF210" i="2" s="1"/>
  <c r="AE211" i="2" a="1"/>
  <c r="AE211" i="2" s="1"/>
  <c r="AF211" i="2" a="1"/>
  <c r="AF211" i="2" s="1"/>
  <c r="AE212" i="2" a="1"/>
  <c r="AE212" i="2" s="1"/>
  <c r="AF212" i="2" a="1"/>
  <c r="AF212" i="2" s="1"/>
  <c r="AE213" i="2" a="1"/>
  <c r="AE213" i="2" s="1"/>
  <c r="AF213" i="2" a="1"/>
  <c r="AF213" i="2" s="1"/>
  <c r="AE214" i="2" a="1"/>
  <c r="AE214" i="2" s="1"/>
  <c r="AF214" i="2" a="1"/>
  <c r="AF214" i="2" s="1"/>
  <c r="AE215" i="2" a="1"/>
  <c r="AE215" i="2" s="1"/>
  <c r="AF215" i="2" a="1"/>
  <c r="AF215" i="2" s="1"/>
  <c r="AE216" i="2" a="1"/>
  <c r="AE216" i="2" s="1"/>
  <c r="AF216" i="2" a="1"/>
  <c r="AF216" i="2" s="1"/>
  <c r="AE217" i="2" a="1"/>
  <c r="AE217" i="2" s="1"/>
  <c r="AF217" i="2" a="1"/>
  <c r="AF217" i="2" s="1"/>
  <c r="AE218" i="2" a="1"/>
  <c r="AE218" i="2" s="1"/>
  <c r="AF218" i="2" a="1"/>
  <c r="AF218" i="2" s="1"/>
  <c r="AE219" i="2" a="1"/>
  <c r="AE219" i="2" s="1"/>
  <c r="AF219" i="2" a="1"/>
  <c r="AF219" i="2" s="1"/>
  <c r="AE220" i="2" a="1"/>
  <c r="AE220" i="2" s="1"/>
  <c r="AF220" i="2" a="1"/>
  <c r="AF220" i="2" s="1"/>
  <c r="AE221" i="2" a="1"/>
  <c r="AE221" i="2" s="1"/>
  <c r="AF221" i="2" a="1"/>
  <c r="AF221" i="2" s="1"/>
  <c r="AE222" i="2" a="1"/>
  <c r="AE222" i="2" s="1"/>
  <c r="AF222" i="2" a="1"/>
  <c r="AF222" i="2" s="1"/>
  <c r="AE223" i="2" a="1"/>
  <c r="AE223" i="2" s="1"/>
  <c r="AF223" i="2" a="1"/>
  <c r="AF223" i="2" s="1"/>
  <c r="AE224" i="2" a="1"/>
  <c r="AE224" i="2" s="1"/>
  <c r="AF224" i="2" a="1"/>
  <c r="AF224" i="2" s="1"/>
  <c r="AE225" i="2" a="1"/>
  <c r="AE225" i="2" s="1"/>
  <c r="AF225" i="2" a="1"/>
  <c r="AF225" i="2" s="1"/>
  <c r="AE226" i="2" a="1"/>
  <c r="AE226" i="2" s="1"/>
  <c r="AF226" i="2" a="1"/>
  <c r="AF226" i="2" s="1"/>
  <c r="AE227" i="2" a="1"/>
  <c r="AE227" i="2" s="1"/>
  <c r="AF227" i="2" a="1"/>
  <c r="AF227" i="2" s="1"/>
  <c r="AE228" i="2" a="1"/>
  <c r="AE228" i="2" s="1"/>
  <c r="AF228" i="2" a="1"/>
  <c r="AF228" i="2" s="1"/>
  <c r="AE229" i="2" a="1"/>
  <c r="AE229" i="2" s="1"/>
  <c r="AF229" i="2" a="1"/>
  <c r="AF229" i="2" s="1"/>
  <c r="AE230" i="2" a="1"/>
  <c r="AE230" i="2" s="1"/>
  <c r="AF230" i="2" a="1"/>
  <c r="AF230" i="2" s="1"/>
  <c r="AE231" i="2" a="1"/>
  <c r="AE231" i="2" s="1"/>
  <c r="AF231" i="2" a="1"/>
  <c r="AF231" i="2" s="1"/>
  <c r="AE232" i="2" a="1"/>
  <c r="AE232" i="2" s="1"/>
  <c r="AF232" i="2" a="1"/>
  <c r="AF232" i="2" s="1"/>
  <c r="AE233" i="2" a="1"/>
  <c r="AE233" i="2" s="1"/>
  <c r="AF233" i="2" a="1"/>
  <c r="AF233" i="2" s="1"/>
  <c r="AE234" i="2" a="1"/>
  <c r="AE234" i="2" s="1"/>
  <c r="AF234" i="2" a="1"/>
  <c r="AF234" i="2" s="1"/>
  <c r="AE235" i="2" a="1"/>
  <c r="AE235" i="2" s="1"/>
  <c r="AF235" i="2" a="1"/>
  <c r="AF235" i="2" s="1"/>
  <c r="AE236" i="2" a="1"/>
  <c r="AE236" i="2" s="1"/>
  <c r="AF236" i="2" a="1"/>
  <c r="AF236" i="2" s="1"/>
  <c r="AE237" i="2" a="1"/>
  <c r="AE237" i="2" s="1"/>
  <c r="AF237" i="2" a="1"/>
  <c r="AF237" i="2" s="1"/>
  <c r="AE238" i="2" a="1"/>
  <c r="AE238" i="2" s="1"/>
  <c r="AF238" i="2" a="1"/>
  <c r="AF238" i="2" s="1"/>
  <c r="AE239" i="2" a="1"/>
  <c r="AE239" i="2" s="1"/>
  <c r="AF239" i="2" a="1"/>
  <c r="AF239" i="2" s="1"/>
  <c r="AE240" i="2" a="1"/>
  <c r="AE240" i="2" s="1"/>
  <c r="AF240" i="2" a="1"/>
  <c r="AF240" i="2" s="1"/>
  <c r="AE241" i="2" a="1"/>
  <c r="AE241" i="2" s="1"/>
  <c r="AF241" i="2" a="1"/>
  <c r="AF241" i="2" s="1"/>
  <c r="AE242" i="2" a="1"/>
  <c r="AE242" i="2" s="1"/>
  <c r="AF242" i="2" a="1"/>
  <c r="AF242" i="2" s="1"/>
  <c r="AE243" i="2" a="1"/>
  <c r="AE243" i="2" s="1"/>
  <c r="AF243" i="2" a="1"/>
  <c r="AF243" i="2" s="1"/>
  <c r="AE244" i="2" a="1"/>
  <c r="AE244" i="2" s="1"/>
  <c r="AF244" i="2" a="1"/>
  <c r="AF244" i="2" s="1"/>
  <c r="AE245" i="2" a="1"/>
  <c r="AE245" i="2" s="1"/>
  <c r="AF245" i="2" a="1"/>
  <c r="AF245" i="2" s="1"/>
  <c r="AE246" i="2" a="1"/>
  <c r="AE246" i="2" s="1"/>
  <c r="AF246" i="2" a="1"/>
  <c r="AF246" i="2" s="1"/>
  <c r="AE247" i="2" a="1"/>
  <c r="AE247" i="2" s="1"/>
  <c r="AF247" i="2" a="1"/>
  <c r="AF247" i="2" s="1"/>
  <c r="AE248" i="2" a="1"/>
  <c r="AE248" i="2" s="1"/>
  <c r="AF248" i="2" a="1"/>
  <c r="AF248" i="2" s="1"/>
  <c r="AE249" i="2" a="1"/>
  <c r="AE249" i="2" s="1"/>
  <c r="AF249" i="2" a="1"/>
  <c r="AF249" i="2" s="1"/>
  <c r="AE250" i="2" a="1"/>
  <c r="AE250" i="2" s="1"/>
  <c r="AF250" i="2" a="1"/>
  <c r="AF250" i="2" s="1"/>
  <c r="AE251" i="2" a="1"/>
  <c r="AE251" i="2" s="1"/>
  <c r="AF251" i="2" a="1"/>
  <c r="AF251" i="2" s="1"/>
  <c r="AE252" i="2" a="1"/>
  <c r="AE252" i="2" s="1"/>
  <c r="AF252" i="2" a="1"/>
  <c r="AF252" i="2" s="1"/>
  <c r="AE253" i="2" a="1"/>
  <c r="AE253" i="2" s="1"/>
  <c r="AF253" i="2" a="1"/>
  <c r="AF253" i="2" s="1"/>
  <c r="AE254" i="2" a="1"/>
  <c r="AE254" i="2" s="1"/>
  <c r="AF254" i="2" a="1"/>
  <c r="AF254" i="2" s="1"/>
  <c r="AE255" i="2" a="1"/>
  <c r="AE255" i="2" s="1"/>
  <c r="AF255" i="2" a="1"/>
  <c r="AF255" i="2" s="1"/>
  <c r="AE256" i="2" a="1"/>
  <c r="AE256" i="2" s="1"/>
  <c r="AF256" i="2" a="1"/>
  <c r="AF256" i="2" s="1"/>
  <c r="AE257" i="2" a="1"/>
  <c r="AE257" i="2" s="1"/>
  <c r="AF257" i="2" a="1"/>
  <c r="AF257" i="2" s="1"/>
  <c r="AE258" i="2" a="1"/>
  <c r="AE258" i="2" s="1"/>
  <c r="AF258" i="2" a="1"/>
  <c r="AF258" i="2" s="1"/>
  <c r="AE259" i="2" a="1"/>
  <c r="AE259" i="2" s="1"/>
  <c r="AF259" i="2" a="1"/>
  <c r="AF259" i="2" s="1"/>
  <c r="AE260" i="2" a="1"/>
  <c r="AE260" i="2" s="1"/>
  <c r="AF260" i="2" a="1"/>
  <c r="AF260" i="2" s="1"/>
  <c r="AE261" i="2" a="1"/>
  <c r="AE261" i="2" s="1"/>
  <c r="AF261" i="2" a="1"/>
  <c r="AF261" i="2" s="1"/>
  <c r="AE262" i="2" a="1"/>
  <c r="AE262" i="2" s="1"/>
  <c r="AF262" i="2" a="1"/>
  <c r="AF262" i="2" s="1"/>
  <c r="AE263" i="2" a="1"/>
  <c r="AE263" i="2" s="1"/>
  <c r="AF263" i="2" a="1"/>
  <c r="AF263" i="2" s="1"/>
  <c r="AE264" i="2" a="1"/>
  <c r="AE264" i="2" s="1"/>
  <c r="AF264" i="2" a="1"/>
  <c r="AF264" i="2" s="1"/>
  <c r="AE265" i="2" a="1"/>
  <c r="AE265" i="2" s="1"/>
  <c r="AF265" i="2" a="1"/>
  <c r="AF265" i="2" s="1"/>
  <c r="AE266" i="2" a="1"/>
  <c r="AE266" i="2" s="1"/>
  <c r="AF266" i="2" a="1"/>
  <c r="AF266" i="2" s="1"/>
  <c r="AE267" i="2" a="1"/>
  <c r="AE267" i="2" s="1"/>
  <c r="AF267" i="2" a="1"/>
  <c r="AF267" i="2" s="1"/>
  <c r="AE268" i="2" a="1"/>
  <c r="AE268" i="2" s="1"/>
  <c r="AF268" i="2" a="1"/>
  <c r="AF268" i="2" s="1"/>
  <c r="AE269" i="2" a="1"/>
  <c r="AE269" i="2" s="1"/>
  <c r="AF269" i="2" a="1"/>
  <c r="AF269" i="2" s="1"/>
  <c r="AE270" i="2" a="1"/>
  <c r="AE270" i="2" s="1"/>
  <c r="AF270" i="2" a="1"/>
  <c r="AF270" i="2" s="1"/>
  <c r="AE271" i="2" a="1"/>
  <c r="AE271" i="2" s="1"/>
  <c r="AF271" i="2" a="1"/>
  <c r="AF271" i="2" s="1"/>
  <c r="AE272" i="2" a="1"/>
  <c r="AE272" i="2" s="1"/>
  <c r="AF272" i="2" a="1"/>
  <c r="AF272" i="2" s="1"/>
  <c r="AE273" i="2" a="1"/>
  <c r="AE273" i="2" s="1"/>
  <c r="AF273" i="2" a="1"/>
  <c r="AF273" i="2" s="1"/>
  <c r="AE274" i="2" a="1"/>
  <c r="AE274" i="2" s="1"/>
  <c r="AF274" i="2" a="1"/>
  <c r="AF274" i="2" s="1"/>
  <c r="AE275" i="2" a="1"/>
  <c r="AE275" i="2" s="1"/>
  <c r="AF275" i="2" a="1"/>
  <c r="AF275" i="2" s="1"/>
  <c r="AE276" i="2" a="1"/>
  <c r="AE276" i="2" s="1"/>
  <c r="AF276" i="2" a="1"/>
  <c r="AF276" i="2" s="1"/>
  <c r="AE277" i="2" a="1"/>
  <c r="AE277" i="2" s="1"/>
  <c r="AF277" i="2" a="1"/>
  <c r="AF277" i="2" s="1"/>
  <c r="AE278" i="2" a="1"/>
  <c r="AE278" i="2" s="1"/>
  <c r="AF278" i="2" a="1"/>
  <c r="AF278" i="2" s="1"/>
  <c r="AE279" i="2" a="1"/>
  <c r="AE279" i="2" s="1"/>
  <c r="AF279" i="2" a="1"/>
  <c r="AF279" i="2" s="1"/>
  <c r="AE280" i="2" a="1"/>
  <c r="AE280" i="2" s="1"/>
  <c r="AF280" i="2" a="1"/>
  <c r="AF280" i="2" s="1"/>
  <c r="AE281" i="2" a="1"/>
  <c r="AE281" i="2" s="1"/>
  <c r="AF281" i="2" a="1"/>
  <c r="AF281" i="2" s="1"/>
  <c r="AE282" i="2" a="1"/>
  <c r="AE282" i="2" s="1"/>
  <c r="AF282" i="2" a="1"/>
  <c r="AF282" i="2" s="1"/>
  <c r="AE283" i="2" a="1"/>
  <c r="AE283" i="2" s="1"/>
  <c r="AF283" i="2" a="1"/>
  <c r="AF283" i="2" s="1"/>
  <c r="AE284" i="2" a="1"/>
  <c r="AE284" i="2" s="1"/>
  <c r="AF284" i="2" a="1"/>
  <c r="AF284" i="2" s="1"/>
  <c r="AE285" i="2" a="1"/>
  <c r="AE285" i="2" s="1"/>
  <c r="AF285" i="2" a="1"/>
  <c r="AF285" i="2" s="1"/>
  <c r="AE286" i="2" a="1"/>
  <c r="AE286" i="2" s="1"/>
  <c r="AF286" i="2" a="1"/>
  <c r="AF286" i="2" s="1"/>
  <c r="AE287" i="2" a="1"/>
  <c r="AE287" i="2" s="1"/>
  <c r="AF287" i="2" a="1"/>
  <c r="AF287" i="2" s="1"/>
  <c r="AE288" i="2" a="1"/>
  <c r="AE288" i="2" s="1"/>
  <c r="AF288" i="2" a="1"/>
  <c r="AF288" i="2" s="1"/>
  <c r="AE289" i="2" a="1"/>
  <c r="AE289" i="2" s="1"/>
  <c r="AF289" i="2" a="1"/>
  <c r="AF289" i="2" s="1"/>
  <c r="AE290" i="2" a="1"/>
  <c r="AE290" i="2" s="1"/>
  <c r="AF290" i="2" a="1"/>
  <c r="AF290" i="2" s="1"/>
  <c r="AE291" i="2" a="1"/>
  <c r="AE291" i="2" s="1"/>
  <c r="AF291" i="2" a="1"/>
  <c r="AF291" i="2" s="1"/>
  <c r="AE292" i="2" a="1"/>
  <c r="AE292" i="2" s="1"/>
  <c r="AF292" i="2" a="1"/>
  <c r="AF292" i="2" s="1"/>
  <c r="AE293" i="2" a="1"/>
  <c r="AE293" i="2" s="1"/>
  <c r="AF293" i="2" a="1"/>
  <c r="AF293" i="2" s="1"/>
  <c r="AE294" i="2" a="1"/>
  <c r="AE294" i="2" s="1"/>
  <c r="AF294" i="2" a="1"/>
  <c r="AF294" i="2" s="1"/>
  <c r="AE295" i="2" a="1"/>
  <c r="AE295" i="2" s="1"/>
  <c r="AF295" i="2" a="1"/>
  <c r="AF295" i="2" s="1"/>
  <c r="AE296" i="2" a="1"/>
  <c r="AE296" i="2" s="1"/>
  <c r="AF296" i="2" a="1"/>
  <c r="AF296" i="2" s="1"/>
  <c r="AE297" i="2" a="1"/>
  <c r="AE297" i="2" s="1"/>
  <c r="AF297" i="2" a="1"/>
  <c r="AF297" i="2" s="1"/>
  <c r="AE298" i="2" a="1"/>
  <c r="AE298" i="2" s="1"/>
  <c r="AF298" i="2" a="1"/>
  <c r="AF298" i="2" s="1"/>
  <c r="AE299" i="2" a="1"/>
  <c r="AE299" i="2" s="1"/>
  <c r="AF299" i="2" a="1"/>
  <c r="AF299" i="2" s="1"/>
  <c r="AE300" i="2" a="1"/>
  <c r="AE300" i="2" s="1"/>
  <c r="AF300" i="2" a="1"/>
  <c r="AF300" i="2" s="1"/>
  <c r="AE301" i="2" a="1"/>
  <c r="AE301" i="2" s="1"/>
  <c r="AF301" i="2" a="1"/>
  <c r="AF301" i="2" s="1"/>
  <c r="AE302" i="2" a="1"/>
  <c r="AE302" i="2" s="1"/>
  <c r="AF302" i="2" a="1"/>
  <c r="AF302" i="2" s="1"/>
  <c r="AE303" i="2" a="1"/>
  <c r="AE303" i="2" s="1"/>
  <c r="AF303" i="2" a="1"/>
  <c r="AF303" i="2" s="1"/>
  <c r="AE304" i="2" a="1"/>
  <c r="AE304" i="2" s="1"/>
  <c r="AF304" i="2" a="1"/>
  <c r="AF304" i="2" s="1"/>
  <c r="AE305" i="2" a="1"/>
  <c r="AE305" i="2" s="1"/>
  <c r="AF305" i="2" a="1"/>
  <c r="AF305" i="2" s="1"/>
  <c r="AE306" i="2" a="1"/>
  <c r="AE306" i="2" s="1"/>
  <c r="AF306" i="2" a="1"/>
  <c r="AF306" i="2" s="1"/>
  <c r="AE307" i="2" a="1"/>
  <c r="AE307" i="2" s="1"/>
  <c r="AF307" i="2" a="1"/>
  <c r="AF307" i="2" s="1"/>
  <c r="AE308" i="2" a="1"/>
  <c r="AE308" i="2" s="1"/>
  <c r="AF308" i="2" a="1"/>
  <c r="AF308" i="2" s="1"/>
  <c r="AE309" i="2" a="1"/>
  <c r="AE309" i="2" s="1"/>
  <c r="AF309" i="2" a="1"/>
  <c r="AF309" i="2" s="1"/>
  <c r="AE310" i="2" a="1"/>
  <c r="AE310" i="2" s="1"/>
  <c r="AF310" i="2" a="1"/>
  <c r="AF310" i="2" s="1"/>
  <c r="AE311" i="2" a="1"/>
  <c r="AE311" i="2" s="1"/>
  <c r="AF311" i="2" a="1"/>
  <c r="AF311" i="2" s="1"/>
  <c r="AE312" i="2" a="1"/>
  <c r="AE312" i="2" s="1"/>
  <c r="AF312" i="2" a="1"/>
  <c r="AF312" i="2" s="1"/>
  <c r="AE313" i="2" a="1"/>
  <c r="AE313" i="2" s="1"/>
  <c r="AF313" i="2" a="1"/>
  <c r="AF313" i="2" s="1"/>
  <c r="AE314" i="2" a="1"/>
  <c r="AE314" i="2" s="1"/>
  <c r="AF314" i="2" a="1"/>
  <c r="AF314" i="2" s="1"/>
  <c r="AE315" i="2" a="1"/>
  <c r="AE315" i="2" s="1"/>
  <c r="AF315" i="2" a="1"/>
  <c r="AF315" i="2" s="1"/>
  <c r="AE316" i="2" a="1"/>
  <c r="AE316" i="2" s="1"/>
  <c r="AF316" i="2" a="1"/>
  <c r="AF316" i="2" s="1"/>
  <c r="AE317" i="2" a="1"/>
  <c r="AE317" i="2" s="1"/>
  <c r="AF317" i="2" a="1"/>
  <c r="AF317" i="2" s="1"/>
  <c r="AE318" i="2" a="1"/>
  <c r="AE318" i="2" s="1"/>
  <c r="AF318" i="2" a="1"/>
  <c r="AF318" i="2" s="1"/>
  <c r="AE319" i="2" a="1"/>
  <c r="AE319" i="2" s="1"/>
  <c r="AF319" i="2" a="1"/>
  <c r="AF319" i="2" s="1"/>
  <c r="AE320" i="2" a="1"/>
  <c r="AE320" i="2" s="1"/>
  <c r="AF320" i="2" a="1"/>
  <c r="AF320" i="2" s="1"/>
  <c r="AE321" i="2" a="1"/>
  <c r="AE321" i="2" s="1"/>
  <c r="AF321" i="2" a="1"/>
  <c r="AF321" i="2" s="1"/>
  <c r="AE322" i="2" a="1"/>
  <c r="AE322" i="2" s="1"/>
  <c r="AF322" i="2" a="1"/>
  <c r="AF322" i="2" s="1"/>
  <c r="AE323" i="2" a="1"/>
  <c r="AE323" i="2" s="1"/>
  <c r="AF323" i="2" a="1"/>
  <c r="AF323" i="2" s="1"/>
  <c r="AE324" i="2" a="1"/>
  <c r="AE324" i="2" s="1"/>
  <c r="AF324" i="2" a="1"/>
  <c r="AF324" i="2" s="1"/>
  <c r="AE325" i="2" a="1"/>
  <c r="AE325" i="2" s="1"/>
  <c r="AF325" i="2" a="1"/>
  <c r="AF325" i="2" s="1"/>
  <c r="AE326" i="2" a="1"/>
  <c r="AE326" i="2" s="1"/>
  <c r="AF326" i="2" a="1"/>
  <c r="AF326" i="2" s="1"/>
  <c r="AE327" i="2" a="1"/>
  <c r="AE327" i="2" s="1"/>
  <c r="AF327" i="2" a="1"/>
  <c r="AF327" i="2" s="1"/>
  <c r="AE328" i="2" a="1"/>
  <c r="AE328" i="2" s="1"/>
  <c r="AF328" i="2" a="1"/>
  <c r="AF328" i="2" s="1"/>
  <c r="AE329" i="2" a="1"/>
  <c r="AE329" i="2" s="1"/>
  <c r="AF329" i="2" a="1"/>
  <c r="AF329" i="2" s="1"/>
  <c r="AE330" i="2" a="1"/>
  <c r="AE330" i="2" s="1"/>
  <c r="AF330" i="2" a="1"/>
  <c r="AF330" i="2" s="1"/>
  <c r="AE331" i="2" a="1"/>
  <c r="AE331" i="2" s="1"/>
  <c r="AF331" i="2" a="1"/>
  <c r="AF331" i="2" s="1"/>
  <c r="AE332" i="2" a="1"/>
  <c r="AE332" i="2" s="1"/>
  <c r="AF332" i="2" a="1"/>
  <c r="AF332" i="2" s="1"/>
  <c r="AE333" i="2" a="1"/>
  <c r="AE333" i="2" s="1"/>
  <c r="AF333" i="2" a="1"/>
  <c r="AF333" i="2" s="1"/>
  <c r="AE334" i="2" a="1"/>
  <c r="AE334" i="2" s="1"/>
  <c r="AF334" i="2" a="1"/>
  <c r="AF334" i="2" s="1"/>
  <c r="AE335" i="2" a="1"/>
  <c r="AE335" i="2" s="1"/>
  <c r="AF335" i="2" a="1"/>
  <c r="AF335" i="2" s="1"/>
  <c r="AE336" i="2" a="1"/>
  <c r="AE336" i="2" s="1"/>
  <c r="AF336" i="2" a="1"/>
  <c r="AF336" i="2" s="1"/>
  <c r="AE337" i="2" a="1"/>
  <c r="AE337" i="2" s="1"/>
  <c r="AF337" i="2" a="1"/>
  <c r="AF337" i="2" s="1"/>
  <c r="AE338" i="2" a="1"/>
  <c r="AE338" i="2" s="1"/>
  <c r="AF338" i="2" a="1"/>
  <c r="AF338" i="2" s="1"/>
  <c r="AE339" i="2" a="1"/>
  <c r="AE339" i="2" s="1"/>
  <c r="AF339" i="2" a="1"/>
  <c r="AF339" i="2" s="1"/>
  <c r="AE340" i="2" a="1"/>
  <c r="AE340" i="2" s="1"/>
  <c r="AF340" i="2" a="1"/>
  <c r="AF340" i="2" s="1"/>
  <c r="AE341" i="2" a="1"/>
  <c r="AE341" i="2" s="1"/>
  <c r="AF341" i="2" a="1"/>
  <c r="AF341" i="2" s="1"/>
  <c r="AE342" i="2" a="1"/>
  <c r="AE342" i="2" s="1"/>
  <c r="AF342" i="2" a="1"/>
  <c r="AF342" i="2" s="1"/>
  <c r="AE343" i="2" a="1"/>
  <c r="AE343" i="2" s="1"/>
  <c r="AF343" i="2" a="1"/>
  <c r="AF343" i="2" s="1"/>
  <c r="AE344" i="2" a="1"/>
  <c r="AE344" i="2" s="1"/>
  <c r="AF344" i="2" a="1"/>
  <c r="AF344" i="2" s="1"/>
  <c r="AE345" i="2" a="1"/>
  <c r="AE345" i="2" s="1"/>
  <c r="AF345" i="2" a="1"/>
  <c r="AF345" i="2" s="1"/>
  <c r="AE346" i="2" a="1"/>
  <c r="AE346" i="2" s="1"/>
  <c r="AF346" i="2" a="1"/>
  <c r="AF346" i="2" s="1"/>
  <c r="AE347" i="2" a="1"/>
  <c r="AE347" i="2" s="1"/>
  <c r="AF347" i="2" a="1"/>
  <c r="AF347" i="2" s="1"/>
  <c r="AE348" i="2" a="1"/>
  <c r="AE348" i="2" s="1"/>
  <c r="AF348" i="2" a="1"/>
  <c r="AF348" i="2" s="1"/>
  <c r="AE349" i="2" a="1"/>
  <c r="AE349" i="2" s="1"/>
  <c r="AF349" i="2" a="1"/>
  <c r="AF349" i="2" s="1"/>
  <c r="AE350" i="2" a="1"/>
  <c r="AE350" i="2" s="1"/>
  <c r="AF350" i="2" a="1"/>
  <c r="AF350" i="2" s="1"/>
  <c r="AE351" i="2" a="1"/>
  <c r="AE351" i="2" s="1"/>
  <c r="AF351" i="2" a="1"/>
  <c r="AF351" i="2" s="1"/>
  <c r="AE352" i="2" a="1"/>
  <c r="AE352" i="2" s="1"/>
  <c r="AF352" i="2" a="1"/>
  <c r="AF352" i="2" s="1"/>
  <c r="AE353" i="2" a="1"/>
  <c r="AE353" i="2" s="1"/>
  <c r="AF353" i="2" a="1"/>
  <c r="AF353" i="2" s="1"/>
  <c r="AE354" i="2" a="1"/>
  <c r="AE354" i="2" s="1"/>
  <c r="AF354" i="2" a="1"/>
  <c r="AF354" i="2" s="1"/>
  <c r="AE355" i="2" a="1"/>
  <c r="AE355" i="2" s="1"/>
  <c r="AF355" i="2" a="1"/>
  <c r="AF355" i="2" s="1"/>
  <c r="AE356" i="2" a="1"/>
  <c r="AE356" i="2" s="1"/>
  <c r="AF356" i="2" a="1"/>
  <c r="AF356" i="2" s="1"/>
  <c r="AE357" i="2" a="1"/>
  <c r="AE357" i="2" s="1"/>
  <c r="AF357" i="2" a="1"/>
  <c r="AF357" i="2" s="1"/>
  <c r="AE358" i="2" a="1"/>
  <c r="AE358" i="2" s="1"/>
  <c r="AF358" i="2" a="1"/>
  <c r="AF358" i="2" s="1"/>
  <c r="AE359" i="2" a="1"/>
  <c r="AE359" i="2" s="1"/>
  <c r="AF359" i="2" a="1"/>
  <c r="AF359" i="2" s="1"/>
  <c r="AE360" i="2" a="1"/>
  <c r="AE360" i="2" s="1"/>
  <c r="AF360" i="2" a="1"/>
  <c r="AF360" i="2" s="1"/>
  <c r="AE361" i="2" a="1"/>
  <c r="AE361" i="2" s="1"/>
  <c r="AF361" i="2" a="1"/>
  <c r="AF361" i="2" s="1"/>
  <c r="AE362" i="2" a="1"/>
  <c r="AE362" i="2" s="1"/>
  <c r="AF362" i="2" a="1"/>
  <c r="AF362" i="2" s="1"/>
  <c r="AE363" i="2" a="1"/>
  <c r="AE363" i="2" s="1"/>
  <c r="AF363" i="2" a="1"/>
  <c r="AF363" i="2" s="1"/>
  <c r="AE364" i="2" a="1"/>
  <c r="AE364" i="2" s="1"/>
  <c r="AF364" i="2" a="1"/>
  <c r="AF364" i="2" s="1"/>
  <c r="AE365" i="2" a="1"/>
  <c r="AE365" i="2" s="1"/>
  <c r="AF365" i="2" a="1"/>
  <c r="AF365" i="2" s="1"/>
  <c r="AE366" i="2" a="1"/>
  <c r="AE366" i="2" s="1"/>
  <c r="AF366" i="2" a="1"/>
  <c r="AF366" i="2" s="1"/>
  <c r="AE367" i="2" a="1"/>
  <c r="AE367" i="2" s="1"/>
  <c r="AF367" i="2" a="1"/>
  <c r="AF367" i="2" s="1"/>
  <c r="AE368" i="2" a="1"/>
  <c r="AE368" i="2" s="1"/>
  <c r="AF368" i="2" a="1"/>
  <c r="AF368" i="2" s="1"/>
  <c r="AE369" i="2" a="1"/>
  <c r="AE369" i="2" s="1"/>
  <c r="AF369" i="2" a="1"/>
  <c r="AF369" i="2" s="1"/>
  <c r="AE370" i="2" a="1"/>
  <c r="AE370" i="2" s="1"/>
  <c r="AF370" i="2" a="1"/>
  <c r="AF370" i="2" s="1"/>
  <c r="AE371" i="2" a="1"/>
  <c r="AE371" i="2" s="1"/>
  <c r="AF371" i="2" a="1"/>
  <c r="AF371" i="2" s="1"/>
  <c r="AE372" i="2" a="1"/>
  <c r="AE372" i="2" s="1"/>
  <c r="AF372" i="2" a="1"/>
  <c r="AF372" i="2" s="1"/>
  <c r="AE373" i="2" a="1"/>
  <c r="AE373" i="2" s="1"/>
  <c r="AF373" i="2" a="1"/>
  <c r="AF373" i="2" s="1"/>
  <c r="AE374" i="2" a="1"/>
  <c r="AE374" i="2" s="1"/>
  <c r="AF374" i="2" a="1"/>
  <c r="AF374" i="2" s="1"/>
  <c r="AE375" i="2" a="1"/>
  <c r="AE375" i="2" s="1"/>
  <c r="AF375" i="2" a="1"/>
  <c r="AF375" i="2" s="1"/>
  <c r="AE376" i="2" a="1"/>
  <c r="AE376" i="2" s="1"/>
  <c r="AF376" i="2" a="1"/>
  <c r="AF376" i="2" s="1"/>
  <c r="AE377" i="2" a="1"/>
  <c r="AE377" i="2" s="1"/>
  <c r="AF377" i="2" a="1"/>
  <c r="AF377" i="2" s="1"/>
  <c r="AE378" i="2" a="1"/>
  <c r="AE378" i="2" s="1"/>
  <c r="AF378" i="2" a="1"/>
  <c r="AF378" i="2" s="1"/>
  <c r="AE379" i="2" a="1"/>
  <c r="AE379" i="2" s="1"/>
  <c r="AF379" i="2" a="1"/>
  <c r="AF379" i="2" s="1"/>
  <c r="AE380" i="2" a="1"/>
  <c r="AE380" i="2" s="1"/>
  <c r="AF380" i="2" a="1"/>
  <c r="AF380" i="2" s="1"/>
  <c r="AE381" i="2" a="1"/>
  <c r="AE381" i="2" s="1"/>
  <c r="AF381" i="2" a="1"/>
  <c r="AF381" i="2" s="1"/>
  <c r="AE382" i="2" a="1"/>
  <c r="AE382" i="2" s="1"/>
  <c r="AF382" i="2" a="1"/>
  <c r="AF382" i="2" s="1"/>
  <c r="AE383" i="2" a="1"/>
  <c r="AE383" i="2" s="1"/>
  <c r="AF383" i="2" a="1"/>
  <c r="AF383" i="2" s="1"/>
  <c r="AE384" i="2" a="1"/>
  <c r="AE384" i="2" s="1"/>
  <c r="AF384" i="2" a="1"/>
  <c r="AF384" i="2" s="1"/>
  <c r="AE385" i="2" a="1"/>
  <c r="AE385" i="2" s="1"/>
  <c r="AF385" i="2" a="1"/>
  <c r="AF385" i="2" s="1"/>
  <c r="AE386" i="2" a="1"/>
  <c r="AE386" i="2" s="1"/>
  <c r="AF386" i="2" a="1"/>
  <c r="AF386" i="2" s="1"/>
  <c r="AE387" i="2" a="1"/>
  <c r="AE387" i="2" s="1"/>
  <c r="AF387" i="2" a="1"/>
  <c r="AF387" i="2" s="1"/>
  <c r="AE388" i="2" a="1"/>
  <c r="AE388" i="2" s="1"/>
  <c r="AF388" i="2" a="1"/>
  <c r="AF388" i="2" s="1"/>
  <c r="AE389" i="2" a="1"/>
  <c r="AE389" i="2" s="1"/>
  <c r="AF389" i="2" a="1"/>
  <c r="AF389" i="2" s="1"/>
  <c r="AE390" i="2" a="1"/>
  <c r="AE390" i="2" s="1"/>
  <c r="AF390" i="2" a="1"/>
  <c r="AF390" i="2" s="1"/>
  <c r="AE391" i="2" a="1"/>
  <c r="AE391" i="2" s="1"/>
  <c r="AF391" i="2" a="1"/>
  <c r="AF391" i="2" s="1"/>
  <c r="AE392" i="2" a="1"/>
  <c r="AE392" i="2" s="1"/>
  <c r="AF392" i="2" a="1"/>
  <c r="AF392" i="2" s="1"/>
  <c r="AE393" i="2" a="1"/>
  <c r="AE393" i="2" s="1"/>
  <c r="AF393" i="2" a="1"/>
  <c r="AF393" i="2" s="1"/>
  <c r="AE394" i="2" a="1"/>
  <c r="AE394" i="2" s="1"/>
  <c r="AF394" i="2" a="1"/>
  <c r="AF394" i="2" s="1"/>
  <c r="AE395" i="2" a="1"/>
  <c r="AE395" i="2" s="1"/>
  <c r="AF395" i="2" a="1"/>
  <c r="AF395" i="2" s="1"/>
  <c r="AE396" i="2" a="1"/>
  <c r="AE396" i="2" s="1"/>
  <c r="AF396" i="2" a="1"/>
  <c r="AF396" i="2" s="1"/>
  <c r="AE397" i="2" a="1"/>
  <c r="AE397" i="2" s="1"/>
  <c r="AF397" i="2" a="1"/>
  <c r="AF397" i="2" s="1"/>
  <c r="AE398" i="2" a="1"/>
  <c r="AE398" i="2" s="1"/>
  <c r="AF398" i="2" a="1"/>
  <c r="AF398" i="2" s="1"/>
  <c r="AE399" i="2" a="1"/>
  <c r="AE399" i="2" s="1"/>
  <c r="AF399" i="2" a="1"/>
  <c r="AF399" i="2" s="1"/>
  <c r="AE400" i="2" a="1"/>
  <c r="AE400" i="2" s="1"/>
  <c r="AF400" i="2" a="1"/>
  <c r="AF400" i="2" s="1"/>
  <c r="AE401" i="2" a="1"/>
  <c r="AE401" i="2" s="1"/>
  <c r="AF401" i="2" a="1"/>
  <c r="AF401" i="2" s="1"/>
  <c r="AE402" i="2" a="1"/>
  <c r="AE402" i="2" s="1"/>
  <c r="AF402" i="2" a="1"/>
  <c r="AF402" i="2" s="1"/>
  <c r="AE403" i="2" a="1"/>
  <c r="AE403" i="2" s="1"/>
  <c r="AF403" i="2" a="1"/>
  <c r="AF403" i="2" s="1"/>
  <c r="AE404" i="2" a="1"/>
  <c r="AE404" i="2" s="1"/>
  <c r="AF404" i="2" a="1"/>
  <c r="AF404" i="2" s="1"/>
  <c r="AE405" i="2" a="1"/>
  <c r="AE405" i="2" s="1"/>
  <c r="AF405" i="2" a="1"/>
  <c r="AF405" i="2" s="1"/>
  <c r="AE406" i="2" a="1"/>
  <c r="AE406" i="2" s="1"/>
  <c r="AF406" i="2" a="1"/>
  <c r="AF406" i="2" s="1"/>
  <c r="AE407" i="2" a="1"/>
  <c r="AE407" i="2" s="1"/>
  <c r="AF407" i="2" a="1"/>
  <c r="AF407" i="2" s="1"/>
  <c r="AE408" i="2" a="1"/>
  <c r="AE408" i="2" s="1"/>
  <c r="AF408" i="2" a="1"/>
  <c r="AF408" i="2" s="1"/>
  <c r="AE409" i="2" a="1"/>
  <c r="AE409" i="2" s="1"/>
  <c r="AF409" i="2" a="1"/>
  <c r="AF409" i="2" s="1"/>
  <c r="AE410" i="2" a="1"/>
  <c r="AE410" i="2" s="1"/>
  <c r="AF410" i="2" a="1"/>
  <c r="AF410" i="2" s="1"/>
  <c r="AE411" i="2" a="1"/>
  <c r="AE411" i="2" s="1"/>
  <c r="AF411" i="2" a="1"/>
  <c r="AF411" i="2" s="1"/>
  <c r="AE412" i="2" a="1"/>
  <c r="AE412" i="2" s="1"/>
  <c r="AF412" i="2" a="1"/>
  <c r="AF412" i="2" s="1"/>
  <c r="AE413" i="2" a="1"/>
  <c r="AE413" i="2" s="1"/>
  <c r="AF413" i="2" a="1"/>
  <c r="AF413" i="2" s="1"/>
  <c r="AE414" i="2" a="1"/>
  <c r="AE414" i="2" s="1"/>
  <c r="AF414" i="2" a="1"/>
  <c r="AF414" i="2" s="1"/>
  <c r="AE415" i="2" a="1"/>
  <c r="AE415" i="2" s="1"/>
  <c r="AF415" i="2" a="1"/>
  <c r="AF415" i="2" s="1"/>
  <c r="AE416" i="2" a="1"/>
  <c r="AE416" i="2" s="1"/>
  <c r="AF416" i="2" a="1"/>
  <c r="AF416" i="2" s="1"/>
  <c r="AE417" i="2" a="1"/>
  <c r="AE417" i="2" s="1"/>
  <c r="AF417" i="2" a="1"/>
  <c r="AF417" i="2" s="1"/>
  <c r="AE418" i="2" a="1"/>
  <c r="AE418" i="2" s="1"/>
  <c r="AF418" i="2" a="1"/>
  <c r="AF418" i="2" s="1"/>
  <c r="AE419" i="2" a="1"/>
  <c r="AE419" i="2" s="1"/>
  <c r="AF419" i="2" a="1"/>
  <c r="AF419" i="2" s="1"/>
  <c r="AE420" i="2" a="1"/>
  <c r="AE420" i="2" s="1"/>
  <c r="AF420" i="2" a="1"/>
  <c r="AF420" i="2" s="1"/>
  <c r="AE421" i="2" a="1"/>
  <c r="AE421" i="2" s="1"/>
  <c r="AF421" i="2" a="1"/>
  <c r="AF421" i="2" s="1"/>
  <c r="AE422" i="2" a="1"/>
  <c r="AE422" i="2" s="1"/>
  <c r="AF422" i="2" a="1"/>
  <c r="AF422" i="2" s="1"/>
  <c r="AE423" i="2" a="1"/>
  <c r="AE423" i="2" s="1"/>
  <c r="AF423" i="2" a="1"/>
  <c r="AF423" i="2" s="1"/>
  <c r="AE424" i="2" a="1"/>
  <c r="AE424" i="2" s="1"/>
  <c r="AF424" i="2" a="1"/>
  <c r="AF424" i="2" s="1"/>
  <c r="AE425" i="2" a="1"/>
  <c r="AE425" i="2" s="1"/>
  <c r="AF425" i="2" a="1"/>
  <c r="AF425" i="2" s="1"/>
  <c r="AE426" i="2" a="1"/>
  <c r="AE426" i="2" s="1"/>
  <c r="AF426" i="2" a="1"/>
  <c r="AF426" i="2" s="1"/>
  <c r="AE427" i="2" a="1"/>
  <c r="AE427" i="2" s="1"/>
  <c r="AF427" i="2" a="1"/>
  <c r="AF427" i="2" s="1"/>
  <c r="AE428" i="2" a="1"/>
  <c r="AE428" i="2" s="1"/>
  <c r="AF428" i="2" a="1"/>
  <c r="AF428" i="2" s="1"/>
  <c r="AE429" i="2" a="1"/>
  <c r="AE429" i="2" s="1"/>
  <c r="AF429" i="2" a="1"/>
  <c r="AF429" i="2" s="1"/>
  <c r="AE430" i="2" a="1"/>
  <c r="AE430" i="2" s="1"/>
  <c r="AF430" i="2" a="1"/>
  <c r="AF430" i="2" s="1"/>
  <c r="AE431" i="2" a="1"/>
  <c r="AE431" i="2" s="1"/>
  <c r="AF431" i="2" a="1"/>
  <c r="AF431" i="2" s="1"/>
  <c r="AE432" i="2" a="1"/>
  <c r="AE432" i="2" s="1"/>
  <c r="AF432" i="2" a="1"/>
  <c r="AF432" i="2" s="1"/>
  <c r="AE433" i="2" a="1"/>
  <c r="AE433" i="2" s="1"/>
  <c r="AF433" i="2" a="1"/>
  <c r="AF433" i="2" s="1"/>
  <c r="AE434" i="2" a="1"/>
  <c r="AE434" i="2" s="1"/>
  <c r="AF434" i="2" a="1"/>
  <c r="AF434" i="2" s="1"/>
  <c r="AE435" i="2" a="1"/>
  <c r="AE435" i="2" s="1"/>
  <c r="AF435" i="2" a="1"/>
  <c r="AF435" i="2" s="1"/>
  <c r="AE436" i="2" a="1"/>
  <c r="AE436" i="2" s="1"/>
  <c r="AF436" i="2" a="1"/>
  <c r="AF436" i="2" s="1"/>
  <c r="AE437" i="2" a="1"/>
  <c r="AE437" i="2" s="1"/>
  <c r="AF437" i="2" a="1"/>
  <c r="AF437" i="2" s="1"/>
  <c r="AE438" i="2" a="1"/>
  <c r="AE438" i="2" s="1"/>
  <c r="AF438" i="2" a="1"/>
  <c r="AF438" i="2" s="1"/>
  <c r="AE439" i="2" a="1"/>
  <c r="AE439" i="2" s="1"/>
  <c r="AF439" i="2" a="1"/>
  <c r="AF439" i="2" s="1"/>
  <c r="AE440" i="2" a="1"/>
  <c r="AE440" i="2" s="1"/>
  <c r="AF440" i="2" a="1"/>
  <c r="AF440" i="2" s="1"/>
  <c r="AE441" i="2" a="1"/>
  <c r="AE441" i="2" s="1"/>
  <c r="AF441" i="2" a="1"/>
  <c r="AF441" i="2" s="1"/>
  <c r="AE442" i="2" a="1"/>
  <c r="AE442" i="2" s="1"/>
  <c r="AF442" i="2" a="1"/>
  <c r="AF442" i="2" s="1"/>
  <c r="AE443" i="2" a="1"/>
  <c r="AE443" i="2" s="1"/>
  <c r="AF443" i="2" a="1"/>
  <c r="AF443" i="2" s="1"/>
  <c r="AE444" i="2" a="1"/>
  <c r="AE444" i="2" s="1"/>
  <c r="AF444" i="2" a="1"/>
  <c r="AF444" i="2" s="1"/>
  <c r="AE445" i="2" a="1"/>
  <c r="AE445" i="2" s="1"/>
  <c r="AF445" i="2" a="1"/>
  <c r="AF445" i="2" s="1"/>
  <c r="AE446" i="2" a="1"/>
  <c r="AE446" i="2" s="1"/>
  <c r="AF446" i="2" a="1"/>
  <c r="AF446" i="2" s="1"/>
  <c r="AE447" i="2" a="1"/>
  <c r="AE447" i="2" s="1"/>
  <c r="AF447" i="2" a="1"/>
  <c r="AF447" i="2" s="1"/>
  <c r="AE448" i="2" a="1"/>
  <c r="AE448" i="2" s="1"/>
  <c r="AF448" i="2" a="1"/>
  <c r="AF448" i="2" s="1"/>
  <c r="AE449" i="2" a="1"/>
  <c r="AE449" i="2" s="1"/>
  <c r="AF449" i="2" a="1"/>
  <c r="AF449" i="2" s="1"/>
  <c r="AE450" i="2" a="1"/>
  <c r="AE450" i="2" s="1"/>
  <c r="AF450" i="2" a="1"/>
  <c r="AF450" i="2" s="1"/>
  <c r="AE451" i="2" a="1"/>
  <c r="AE451" i="2" s="1"/>
  <c r="AF451" i="2" a="1"/>
  <c r="AF451" i="2" s="1"/>
  <c r="AE452" i="2" a="1"/>
  <c r="AE452" i="2" s="1"/>
  <c r="AF452" i="2" a="1"/>
  <c r="AF452" i="2" s="1"/>
  <c r="AE453" i="2" a="1"/>
  <c r="AE453" i="2" s="1"/>
  <c r="AF453" i="2" a="1"/>
  <c r="AF453" i="2" s="1"/>
  <c r="AE454" i="2" a="1"/>
  <c r="AE454" i="2" s="1"/>
  <c r="AF454" i="2" a="1"/>
  <c r="AF454" i="2" s="1"/>
  <c r="AE455" i="2" a="1"/>
  <c r="AE455" i="2" s="1"/>
  <c r="AF455" i="2" a="1"/>
  <c r="AF455" i="2" s="1"/>
  <c r="AE456" i="2" a="1"/>
  <c r="AE456" i="2" s="1"/>
  <c r="AF456" i="2" a="1"/>
  <c r="AF456" i="2" s="1"/>
  <c r="AE457" i="2" a="1"/>
  <c r="AE457" i="2" s="1"/>
  <c r="AF457" i="2" a="1"/>
  <c r="AF457" i="2" s="1"/>
  <c r="AE458" i="2" a="1"/>
  <c r="AE458" i="2" s="1"/>
  <c r="AF458" i="2" a="1"/>
  <c r="AF458" i="2" s="1"/>
  <c r="AE459" i="2" a="1"/>
  <c r="AE459" i="2" s="1"/>
  <c r="AF459" i="2" a="1"/>
  <c r="AF459" i="2" s="1"/>
  <c r="AE460" i="2" a="1"/>
  <c r="AE460" i="2" s="1"/>
  <c r="AF460" i="2" a="1"/>
  <c r="AF460" i="2" s="1"/>
  <c r="AE461" i="2" a="1"/>
  <c r="AE461" i="2" s="1"/>
  <c r="AF461" i="2" a="1"/>
  <c r="AF461" i="2" s="1"/>
  <c r="AE462" i="2" a="1"/>
  <c r="AE462" i="2" s="1"/>
  <c r="AF462" i="2" a="1"/>
  <c r="AF462" i="2" s="1"/>
  <c r="AE463" i="2" a="1"/>
  <c r="AE463" i="2" s="1"/>
  <c r="AF463" i="2" a="1"/>
  <c r="AF463" i="2" s="1"/>
  <c r="AE464" i="2" a="1"/>
  <c r="AE464" i="2" s="1"/>
  <c r="AF464" i="2" a="1"/>
  <c r="AF464" i="2" s="1"/>
  <c r="AE465" i="2" a="1"/>
  <c r="AE465" i="2" s="1"/>
  <c r="AF465" i="2" a="1"/>
  <c r="AF465" i="2" s="1"/>
  <c r="AE466" i="2" a="1"/>
  <c r="AE466" i="2" s="1"/>
  <c r="AF466" i="2" a="1"/>
  <c r="AF466" i="2" s="1"/>
  <c r="AE467" i="2" a="1"/>
  <c r="AE467" i="2" s="1"/>
  <c r="AF467" i="2" a="1"/>
  <c r="AF467" i="2" s="1"/>
  <c r="AE468" i="2" a="1"/>
  <c r="AE468" i="2" s="1"/>
  <c r="AF468" i="2" a="1"/>
  <c r="AF468" i="2" s="1"/>
  <c r="AE469" i="2" a="1"/>
  <c r="AE469" i="2" s="1"/>
  <c r="AF469" i="2" a="1"/>
  <c r="AF469" i="2" s="1"/>
  <c r="AE470" i="2" a="1"/>
  <c r="AE470" i="2" s="1"/>
  <c r="AF470" i="2" a="1"/>
  <c r="AF470" i="2" s="1"/>
  <c r="AE471" i="2" a="1"/>
  <c r="AE471" i="2" s="1"/>
  <c r="AF471" i="2" a="1"/>
  <c r="AF471" i="2" s="1"/>
  <c r="AE472" i="2" a="1"/>
  <c r="AE472" i="2" s="1"/>
  <c r="AF472" i="2" a="1"/>
  <c r="AF472" i="2" s="1"/>
  <c r="AE473" i="2" a="1"/>
  <c r="AE473" i="2" s="1"/>
  <c r="AF473" i="2" a="1"/>
  <c r="AF473" i="2" s="1"/>
  <c r="AE474" i="2" a="1"/>
  <c r="AE474" i="2" s="1"/>
  <c r="AF474" i="2" a="1"/>
  <c r="AF474" i="2" s="1"/>
  <c r="AE475" i="2" a="1"/>
  <c r="AE475" i="2" s="1"/>
  <c r="AF475" i="2" a="1"/>
  <c r="AF475" i="2" s="1"/>
  <c r="AE476" i="2" a="1"/>
  <c r="AE476" i="2" s="1"/>
  <c r="AF476" i="2" a="1"/>
  <c r="AF476" i="2" s="1"/>
  <c r="AE477" i="2" a="1"/>
  <c r="AE477" i="2" s="1"/>
  <c r="AF477" i="2" a="1"/>
  <c r="AF477" i="2" s="1"/>
  <c r="AE478" i="2" a="1"/>
  <c r="AE478" i="2" s="1"/>
  <c r="AF478" i="2" a="1"/>
  <c r="AF478" i="2" s="1"/>
  <c r="AE479" i="2" a="1"/>
  <c r="AE479" i="2" s="1"/>
  <c r="AF479" i="2" a="1"/>
  <c r="AF479" i="2" s="1"/>
  <c r="AE480" i="2" a="1"/>
  <c r="AE480" i="2" s="1"/>
  <c r="AF480" i="2" a="1"/>
  <c r="AF480" i="2" s="1"/>
  <c r="AE481" i="2" a="1"/>
  <c r="AE481" i="2" s="1"/>
  <c r="AF481" i="2" a="1"/>
  <c r="AF481" i="2" s="1"/>
  <c r="AE482" i="2" a="1"/>
  <c r="AE482" i="2" s="1"/>
  <c r="AF482" i="2" a="1"/>
  <c r="AF482" i="2" s="1"/>
  <c r="AE483" i="2" a="1"/>
  <c r="AE483" i="2" s="1"/>
  <c r="AF483" i="2" a="1"/>
  <c r="AF483" i="2" s="1"/>
  <c r="AE484" i="2" a="1"/>
  <c r="AE484" i="2" s="1"/>
  <c r="AF484" i="2" a="1"/>
  <c r="AF484" i="2" s="1"/>
  <c r="AE485" i="2" a="1"/>
  <c r="AE485" i="2" s="1"/>
  <c r="AF485" i="2" a="1"/>
  <c r="AF485" i="2" s="1"/>
  <c r="AE486" i="2" a="1"/>
  <c r="AE486" i="2" s="1"/>
  <c r="AF486" i="2" a="1"/>
  <c r="AF486" i="2" s="1"/>
  <c r="AE487" i="2" a="1"/>
  <c r="AE487" i="2" s="1"/>
  <c r="AF487" i="2" a="1"/>
  <c r="AF487" i="2" s="1"/>
  <c r="AE488" i="2" a="1"/>
  <c r="AE488" i="2" s="1"/>
  <c r="AF488" i="2" a="1"/>
  <c r="AF488" i="2" s="1"/>
  <c r="AE489" i="2" a="1"/>
  <c r="AE489" i="2" s="1"/>
  <c r="AF489" i="2" a="1"/>
  <c r="AF489" i="2" s="1"/>
  <c r="AE490" i="2" a="1"/>
  <c r="AE490" i="2" s="1"/>
  <c r="AF490" i="2" a="1"/>
  <c r="AF490" i="2" s="1"/>
  <c r="AE491" i="2" a="1"/>
  <c r="AE491" i="2" s="1"/>
  <c r="AF491" i="2" a="1"/>
  <c r="AF491" i="2" s="1"/>
  <c r="AE492" i="2" a="1"/>
  <c r="AE492" i="2" s="1"/>
  <c r="AF492" i="2" a="1"/>
  <c r="AF492" i="2" s="1"/>
  <c r="AE493" i="2" a="1"/>
  <c r="AE493" i="2" s="1"/>
  <c r="AF493" i="2" a="1"/>
  <c r="AF493" i="2" s="1"/>
  <c r="AE494" i="2" a="1"/>
  <c r="AE494" i="2" s="1"/>
  <c r="AF494" i="2" a="1"/>
  <c r="AF494" i="2" s="1"/>
  <c r="AE495" i="2" a="1"/>
  <c r="AE495" i="2" s="1"/>
  <c r="AF495" i="2" a="1"/>
  <c r="AF495" i="2" s="1"/>
  <c r="AE496" i="2" a="1"/>
  <c r="AE496" i="2" s="1"/>
  <c r="AF496" i="2" a="1"/>
  <c r="AF496" i="2" s="1"/>
  <c r="AE497" i="2" a="1"/>
  <c r="AE497" i="2" s="1"/>
  <c r="AF497" i="2" a="1"/>
  <c r="AF497" i="2" s="1"/>
  <c r="AE498" i="2" a="1"/>
  <c r="AE498" i="2" s="1"/>
  <c r="AF498" i="2" a="1"/>
  <c r="AF498" i="2" s="1"/>
  <c r="AE499" i="2" a="1"/>
  <c r="AE499" i="2" s="1"/>
  <c r="AF499" i="2" a="1"/>
  <c r="AF499" i="2" s="1"/>
  <c r="AE500" i="2" a="1"/>
  <c r="AE500" i="2" s="1"/>
  <c r="AF500" i="2" a="1"/>
  <c r="AF500" i="2" s="1"/>
  <c r="AE501" i="2" a="1"/>
  <c r="AE501" i="2" s="1"/>
  <c r="AF501" i="2" a="1"/>
  <c r="AF501" i="2" s="1"/>
  <c r="AE502" i="2" a="1"/>
  <c r="AE502" i="2" s="1"/>
  <c r="AF502" i="2" a="1"/>
  <c r="AF502" i="2" s="1"/>
  <c r="AE503" i="2" a="1"/>
  <c r="AE503" i="2" s="1"/>
  <c r="AF503" i="2" a="1"/>
  <c r="AF503" i="2" s="1"/>
  <c r="AE504" i="2" a="1"/>
  <c r="AE504" i="2" s="1"/>
  <c r="AF504" i="2" a="1"/>
  <c r="AF504" i="2" s="1"/>
  <c r="AE505" i="2" a="1"/>
  <c r="AE505" i="2" s="1"/>
  <c r="AF505" i="2" a="1"/>
  <c r="AF505" i="2" s="1"/>
  <c r="AE506" i="2" a="1"/>
  <c r="AE506" i="2" s="1"/>
  <c r="AF506" i="2" a="1"/>
  <c r="AF506" i="2" s="1"/>
  <c r="AE507" i="2" a="1"/>
  <c r="AE507" i="2" s="1"/>
  <c r="AF507" i="2" a="1"/>
  <c r="AF507" i="2" s="1"/>
  <c r="AE508" i="2" a="1"/>
  <c r="AE508" i="2" s="1"/>
  <c r="AF508" i="2" a="1"/>
  <c r="AF508" i="2" s="1"/>
  <c r="AE509" i="2" a="1"/>
  <c r="AE509" i="2" s="1"/>
  <c r="AF509" i="2" a="1"/>
  <c r="AF509" i="2" s="1"/>
  <c r="AE510" i="2" a="1"/>
  <c r="AE510" i="2" s="1"/>
  <c r="AF510" i="2" a="1"/>
  <c r="AF510" i="2" s="1"/>
  <c r="AE511" i="2" a="1"/>
  <c r="AE511" i="2" s="1"/>
  <c r="AF511" i="2" a="1"/>
  <c r="AF511" i="2" s="1"/>
  <c r="AE512" i="2" a="1"/>
  <c r="AE512" i="2" s="1"/>
  <c r="AF512" i="2" a="1"/>
  <c r="AF512" i="2" s="1"/>
  <c r="AE513" i="2" a="1"/>
  <c r="AE513" i="2" s="1"/>
  <c r="AF513" i="2" a="1"/>
  <c r="AF513" i="2" s="1"/>
  <c r="AE514" i="2" a="1"/>
  <c r="AE514" i="2" s="1"/>
  <c r="AF514" i="2" a="1"/>
  <c r="AF514" i="2" s="1"/>
  <c r="AE515" i="2" a="1"/>
  <c r="AE515" i="2" s="1"/>
  <c r="AF515" i="2" a="1"/>
  <c r="AF515" i="2" s="1"/>
  <c r="AE516" i="2" a="1"/>
  <c r="AE516" i="2" s="1"/>
  <c r="AF516" i="2" a="1"/>
  <c r="AF516" i="2" s="1"/>
  <c r="AE517" i="2" a="1"/>
  <c r="AE517" i="2" s="1"/>
  <c r="AF517" i="2" a="1"/>
  <c r="AF517" i="2" s="1"/>
  <c r="AE518" i="2" a="1"/>
  <c r="AE518" i="2" s="1"/>
  <c r="AF518" i="2" a="1"/>
  <c r="AF518" i="2" s="1"/>
  <c r="AE519" i="2" a="1"/>
  <c r="AE519" i="2" s="1"/>
  <c r="AF519" i="2" a="1"/>
  <c r="AF519" i="2" s="1"/>
  <c r="AE520" i="2" a="1"/>
  <c r="AE520" i="2" s="1"/>
  <c r="AF520" i="2" a="1"/>
  <c r="AF520" i="2" s="1"/>
  <c r="AE521" i="2" a="1"/>
  <c r="AE521" i="2" s="1"/>
  <c r="AF521" i="2" a="1"/>
  <c r="AF521" i="2" s="1"/>
  <c r="AE522" i="2" a="1"/>
  <c r="AE522" i="2" s="1"/>
  <c r="AF522" i="2" a="1"/>
  <c r="AF522" i="2" s="1"/>
  <c r="AE523" i="2" a="1"/>
  <c r="AE523" i="2" s="1"/>
  <c r="AF523" i="2" a="1"/>
  <c r="AF523" i="2" s="1"/>
  <c r="AE524" i="2" a="1"/>
  <c r="AE524" i="2" s="1"/>
  <c r="AF524" i="2" a="1"/>
  <c r="AF524" i="2" s="1"/>
  <c r="AE525" i="2" a="1"/>
  <c r="AE525" i="2" s="1"/>
  <c r="AF525" i="2" a="1"/>
  <c r="AF525" i="2" s="1"/>
  <c r="AE526" i="2" a="1"/>
  <c r="AE526" i="2" s="1"/>
  <c r="AF526" i="2" a="1"/>
  <c r="AF526" i="2" s="1"/>
  <c r="AE527" i="2" a="1"/>
  <c r="AE527" i="2" s="1"/>
  <c r="AF527" i="2" a="1"/>
  <c r="AF527" i="2" s="1"/>
  <c r="AE528" i="2" a="1"/>
  <c r="AE528" i="2" s="1"/>
  <c r="AF528" i="2" a="1"/>
  <c r="AF528" i="2" s="1"/>
  <c r="AE529" i="2" a="1"/>
  <c r="AE529" i="2" s="1"/>
  <c r="AF529" i="2" a="1"/>
  <c r="AF529" i="2" s="1"/>
  <c r="AE530" i="2" a="1"/>
  <c r="AE530" i="2" s="1"/>
  <c r="AF530" i="2" a="1"/>
  <c r="AF530" i="2" s="1"/>
  <c r="AE531" i="2" a="1"/>
  <c r="AE531" i="2" s="1"/>
  <c r="AF531" i="2" a="1"/>
  <c r="AF531" i="2" s="1"/>
  <c r="AE532" i="2" a="1"/>
  <c r="AE532" i="2" s="1"/>
  <c r="AF532" i="2" a="1"/>
  <c r="AF532" i="2" s="1"/>
  <c r="AE533" i="2" a="1"/>
  <c r="AE533" i="2" s="1"/>
  <c r="AF533" i="2" a="1"/>
  <c r="AF533" i="2" s="1"/>
  <c r="AE534" i="2" a="1"/>
  <c r="AE534" i="2" s="1"/>
  <c r="AF534" i="2" a="1"/>
  <c r="AF534" i="2" s="1"/>
  <c r="AE535" i="2" a="1"/>
  <c r="AE535" i="2" s="1"/>
  <c r="AF535" i="2" a="1"/>
  <c r="AF535" i="2" s="1"/>
  <c r="AE536" i="2" a="1"/>
  <c r="AE536" i="2" s="1"/>
  <c r="AF536" i="2" a="1"/>
  <c r="AF536" i="2" s="1"/>
  <c r="AE537" i="2" a="1"/>
  <c r="AE537" i="2" s="1"/>
  <c r="AF537" i="2" a="1"/>
  <c r="AF537" i="2" s="1"/>
  <c r="AE538" i="2" a="1"/>
  <c r="AE538" i="2" s="1"/>
  <c r="AF538" i="2" a="1"/>
  <c r="AF538" i="2" s="1"/>
  <c r="AE539" i="2" a="1"/>
  <c r="AE539" i="2" s="1"/>
  <c r="AF539" i="2" a="1"/>
  <c r="AF539" i="2" s="1"/>
  <c r="AE540" i="2" a="1"/>
  <c r="AE540" i="2" s="1"/>
  <c r="AF540" i="2" a="1"/>
  <c r="AF540" i="2" s="1"/>
  <c r="AE541" i="2" a="1"/>
  <c r="AE541" i="2" s="1"/>
  <c r="AF541" i="2" a="1"/>
  <c r="AF541" i="2" s="1"/>
  <c r="AE542" i="2" a="1"/>
  <c r="AE542" i="2" s="1"/>
  <c r="AF542" i="2" a="1"/>
  <c r="AF542" i="2" s="1"/>
  <c r="AE543" i="2" a="1"/>
  <c r="AE543" i="2" s="1"/>
  <c r="AF543" i="2" a="1"/>
  <c r="AF543" i="2" s="1"/>
  <c r="AE544" i="2" a="1"/>
  <c r="AE544" i="2" s="1"/>
  <c r="AF544" i="2" a="1"/>
  <c r="AF544" i="2" s="1"/>
  <c r="AE545" i="2" a="1"/>
  <c r="AE545" i="2" s="1"/>
  <c r="AF545" i="2" a="1"/>
  <c r="AF545" i="2" s="1"/>
  <c r="AE546" i="2" a="1"/>
  <c r="AE546" i="2" s="1"/>
  <c r="AF546" i="2" a="1"/>
  <c r="AF546" i="2" s="1"/>
  <c r="AE547" i="2" a="1"/>
  <c r="AE547" i="2" s="1"/>
  <c r="AF547" i="2" a="1"/>
  <c r="AF547" i="2" s="1"/>
  <c r="AE548" i="2" a="1"/>
  <c r="AE548" i="2" s="1"/>
  <c r="AF548" i="2" a="1"/>
  <c r="AF548" i="2" s="1"/>
  <c r="AE549" i="2" a="1"/>
  <c r="AE549" i="2" s="1"/>
  <c r="AF549" i="2" a="1"/>
  <c r="AF549" i="2" s="1"/>
  <c r="AE550" i="2" a="1"/>
  <c r="AE550" i="2" s="1"/>
  <c r="AF550" i="2" a="1"/>
  <c r="AF550" i="2" s="1"/>
  <c r="AE551" i="2" a="1"/>
  <c r="AE551" i="2" s="1"/>
  <c r="AF551" i="2" a="1"/>
  <c r="AF551" i="2" s="1"/>
  <c r="AE552" i="2" a="1"/>
  <c r="AE552" i="2" s="1"/>
  <c r="AF552" i="2" a="1"/>
  <c r="AF552" i="2" s="1"/>
  <c r="AE553" i="2" a="1"/>
  <c r="AE553" i="2" s="1"/>
  <c r="AF553" i="2" a="1"/>
  <c r="AF553" i="2" s="1"/>
  <c r="AE554" i="2" a="1"/>
  <c r="AE554" i="2" s="1"/>
  <c r="AF554" i="2" a="1"/>
  <c r="AF554" i="2" s="1"/>
  <c r="AE555" i="2" a="1"/>
  <c r="AE555" i="2" s="1"/>
  <c r="AF555" i="2" a="1"/>
  <c r="AF555" i="2" s="1"/>
  <c r="AE556" i="2" a="1"/>
  <c r="AE556" i="2" s="1"/>
  <c r="AF556" i="2" a="1"/>
  <c r="AF556" i="2" s="1"/>
  <c r="AE557" i="2" a="1"/>
  <c r="AE557" i="2" s="1"/>
  <c r="AF557" i="2" a="1"/>
  <c r="AF557" i="2" s="1"/>
  <c r="AE558" i="2" a="1"/>
  <c r="AE558" i="2" s="1"/>
  <c r="AF558" i="2" a="1"/>
  <c r="AF558" i="2" s="1"/>
  <c r="AE559" i="2" a="1"/>
  <c r="AE559" i="2" s="1"/>
  <c r="AF559" i="2" a="1"/>
  <c r="AF559" i="2" s="1"/>
  <c r="AE560" i="2" a="1"/>
  <c r="AE560" i="2" s="1"/>
  <c r="AF560" i="2" a="1"/>
  <c r="AF560" i="2" s="1"/>
  <c r="AE561" i="2" a="1"/>
  <c r="AE561" i="2" s="1"/>
  <c r="AF561" i="2" a="1"/>
  <c r="AF561" i="2" s="1"/>
  <c r="AE562" i="2" a="1"/>
  <c r="AE562" i="2" s="1"/>
  <c r="AF562" i="2" a="1"/>
  <c r="AF562" i="2" s="1"/>
  <c r="AE563" i="2" a="1"/>
  <c r="AE563" i="2" s="1"/>
  <c r="AF563" i="2" a="1"/>
  <c r="AF563" i="2" s="1"/>
  <c r="AE564" i="2" a="1"/>
  <c r="AE564" i="2" s="1"/>
  <c r="AF564" i="2" a="1"/>
  <c r="AF564" i="2" s="1"/>
  <c r="AE565" i="2" a="1"/>
  <c r="AE565" i="2" s="1"/>
  <c r="AF565" i="2" a="1"/>
  <c r="AF565" i="2" s="1"/>
  <c r="AE566" i="2" a="1"/>
  <c r="AE566" i="2" s="1"/>
  <c r="AF566" i="2" a="1"/>
  <c r="AF566" i="2" s="1"/>
  <c r="AE567" i="2" a="1"/>
  <c r="AE567" i="2" s="1"/>
  <c r="AF567" i="2" a="1"/>
  <c r="AF567" i="2" s="1"/>
  <c r="AE568" i="2" a="1"/>
  <c r="AE568" i="2" s="1"/>
  <c r="AF568" i="2" a="1"/>
  <c r="AF568" i="2" s="1"/>
  <c r="AE569" i="2" a="1"/>
  <c r="AE569" i="2" s="1"/>
  <c r="AF569" i="2" a="1"/>
  <c r="AF569" i="2" s="1"/>
  <c r="AE570" i="2" a="1"/>
  <c r="AE570" i="2" s="1"/>
  <c r="AF570" i="2" a="1"/>
  <c r="AF570" i="2" s="1"/>
  <c r="AE571" i="2" a="1"/>
  <c r="AE571" i="2" s="1"/>
  <c r="AF571" i="2" a="1"/>
  <c r="AF571" i="2" s="1"/>
  <c r="AE572" i="2" a="1"/>
  <c r="AE572" i="2" s="1"/>
  <c r="AF572" i="2" a="1"/>
  <c r="AF572" i="2" s="1"/>
  <c r="AE573" i="2" a="1"/>
  <c r="AE573" i="2" s="1"/>
  <c r="AF573" i="2" a="1"/>
  <c r="AF573" i="2" s="1"/>
  <c r="AE574" i="2" a="1"/>
  <c r="AE574" i="2" s="1"/>
  <c r="AF574" i="2" a="1"/>
  <c r="AF574" i="2" s="1"/>
  <c r="AE575" i="2" a="1"/>
  <c r="AE575" i="2" s="1"/>
  <c r="AF575" i="2" a="1"/>
  <c r="AF575" i="2" s="1"/>
  <c r="AE576" i="2" a="1"/>
  <c r="AE576" i="2" s="1"/>
  <c r="AF576" i="2" a="1"/>
  <c r="AF576" i="2" s="1"/>
  <c r="AE577" i="2" a="1"/>
  <c r="AE577" i="2" s="1"/>
  <c r="AF577" i="2" a="1"/>
  <c r="AF577" i="2" s="1"/>
  <c r="AE578" i="2" a="1"/>
  <c r="AE578" i="2" s="1"/>
  <c r="AF578" i="2" a="1"/>
  <c r="AF578" i="2" s="1"/>
  <c r="AE579" i="2" a="1"/>
  <c r="AE579" i="2" s="1"/>
  <c r="AF579" i="2" a="1"/>
  <c r="AF579" i="2" s="1"/>
  <c r="AE580" i="2" a="1"/>
  <c r="AE580" i="2" s="1"/>
  <c r="AF580" i="2" a="1"/>
  <c r="AF580" i="2" s="1"/>
  <c r="AE581" i="2" a="1"/>
  <c r="AE581" i="2" s="1"/>
  <c r="AF581" i="2" a="1"/>
  <c r="AF581" i="2" s="1"/>
  <c r="AE582" i="2" a="1"/>
  <c r="AE582" i="2" s="1"/>
  <c r="AF582" i="2" a="1"/>
  <c r="AF582" i="2" s="1"/>
  <c r="AE583" i="2" a="1"/>
  <c r="AE583" i="2" s="1"/>
  <c r="AF583" i="2" a="1"/>
  <c r="AF583" i="2" s="1"/>
  <c r="AE584" i="2" a="1"/>
  <c r="AE584" i="2" s="1"/>
  <c r="AF584" i="2" a="1"/>
  <c r="AF584" i="2" s="1"/>
  <c r="AE585" i="2" a="1"/>
  <c r="AE585" i="2" s="1"/>
  <c r="AF585" i="2" a="1"/>
  <c r="AF585" i="2" s="1"/>
  <c r="AE586" i="2" a="1"/>
  <c r="AE586" i="2" s="1"/>
  <c r="AF586" i="2" a="1"/>
  <c r="AF586" i="2" s="1"/>
  <c r="AE587" i="2" a="1"/>
  <c r="AE587" i="2" s="1"/>
  <c r="AF587" i="2" a="1"/>
  <c r="AF587" i="2" s="1"/>
  <c r="AE588" i="2" a="1"/>
  <c r="AE588" i="2" s="1"/>
  <c r="AF588" i="2" a="1"/>
  <c r="AF588" i="2" s="1"/>
  <c r="AE589" i="2" a="1"/>
  <c r="AE589" i="2" s="1"/>
  <c r="AF589" i="2" a="1"/>
  <c r="AF589" i="2" s="1"/>
  <c r="AE590" i="2" a="1"/>
  <c r="AE590" i="2" s="1"/>
  <c r="AF590" i="2" a="1"/>
  <c r="AF590" i="2" s="1"/>
  <c r="AE591" i="2" a="1"/>
  <c r="AE591" i="2" s="1"/>
  <c r="AF591" i="2" a="1"/>
  <c r="AF591" i="2" s="1"/>
  <c r="AE592" i="2" a="1"/>
  <c r="AE592" i="2" s="1"/>
  <c r="AF592" i="2" a="1"/>
  <c r="AF592" i="2" s="1"/>
  <c r="AE593" i="2" a="1"/>
  <c r="AE593" i="2" s="1"/>
  <c r="AF593" i="2" a="1"/>
  <c r="AF593" i="2" s="1"/>
  <c r="AE594" i="2" a="1"/>
  <c r="AE594" i="2" s="1"/>
  <c r="AF594" i="2" a="1"/>
  <c r="AF594" i="2" s="1"/>
  <c r="AE595" i="2" a="1"/>
  <c r="AE595" i="2" s="1"/>
  <c r="AF595" i="2" a="1"/>
  <c r="AF595" i="2" s="1"/>
  <c r="AE596" i="2" a="1"/>
  <c r="AE596" i="2" s="1"/>
  <c r="AF596" i="2" a="1"/>
  <c r="AF596" i="2" s="1"/>
  <c r="AE597" i="2" a="1"/>
  <c r="AE597" i="2" s="1"/>
  <c r="AF597" i="2" a="1"/>
  <c r="AF597" i="2" s="1"/>
  <c r="AE598" i="2" a="1"/>
  <c r="AE598" i="2" s="1"/>
  <c r="AF598" i="2" a="1"/>
  <c r="AF598" i="2" s="1"/>
  <c r="AE599" i="2" a="1"/>
  <c r="AE599" i="2" s="1"/>
  <c r="AF599" i="2" a="1"/>
  <c r="AF599" i="2" s="1"/>
  <c r="AE600" i="2" a="1"/>
  <c r="AE600" i="2" s="1"/>
  <c r="AF600" i="2" a="1"/>
  <c r="AF600" i="2" s="1"/>
  <c r="AE601" i="2" a="1"/>
  <c r="AE601" i="2" s="1"/>
  <c r="AF601" i="2" a="1"/>
  <c r="AF601" i="2" s="1"/>
  <c r="AE602" i="2" a="1"/>
  <c r="AE602" i="2" s="1"/>
  <c r="AF602" i="2" a="1"/>
  <c r="AF602" i="2" s="1"/>
  <c r="AE603" i="2" a="1"/>
  <c r="AE603" i="2" s="1"/>
  <c r="AF603" i="2" a="1"/>
  <c r="AF603" i="2" s="1"/>
  <c r="AE604" i="2" a="1"/>
  <c r="AE604" i="2" s="1"/>
  <c r="AF604" i="2" a="1"/>
  <c r="AF604" i="2" s="1"/>
  <c r="AE605" i="2" a="1"/>
  <c r="AE605" i="2" s="1"/>
  <c r="AF605" i="2" a="1"/>
  <c r="AF605" i="2" s="1"/>
  <c r="AE606" i="2" a="1"/>
  <c r="AE606" i="2" s="1"/>
  <c r="AF606" i="2" a="1"/>
  <c r="AF606" i="2" s="1"/>
  <c r="AE607" i="2" a="1"/>
  <c r="AE607" i="2" s="1"/>
  <c r="AF607" i="2" a="1"/>
  <c r="AF607" i="2" s="1"/>
  <c r="AE608" i="2" a="1"/>
  <c r="AE608" i="2" s="1"/>
  <c r="AF608" i="2" a="1"/>
  <c r="AF608" i="2" s="1"/>
  <c r="AE609" i="2" a="1"/>
  <c r="AE609" i="2" s="1"/>
  <c r="AF609" i="2" a="1"/>
  <c r="AF609" i="2" s="1"/>
  <c r="AE610" i="2" a="1"/>
  <c r="AE610" i="2" s="1"/>
  <c r="AF610" i="2" a="1"/>
  <c r="AF610" i="2" s="1"/>
  <c r="AE611" i="2" a="1"/>
  <c r="AE611" i="2" s="1"/>
  <c r="AF611" i="2" a="1"/>
  <c r="AF611" i="2" s="1"/>
  <c r="AE612" i="2" a="1"/>
  <c r="AE612" i="2" s="1"/>
  <c r="AF612" i="2" a="1"/>
  <c r="AF612" i="2" s="1"/>
  <c r="AE613" i="2" a="1"/>
  <c r="AE613" i="2" s="1"/>
  <c r="AF613" i="2" a="1"/>
  <c r="AF613" i="2" s="1"/>
  <c r="AE614" i="2" a="1"/>
  <c r="AE614" i="2" s="1"/>
  <c r="AF614" i="2" a="1"/>
  <c r="AF614" i="2" s="1"/>
  <c r="AE615" i="2" a="1"/>
  <c r="AE615" i="2" s="1"/>
  <c r="AF615" i="2" a="1"/>
  <c r="AF615" i="2" s="1"/>
  <c r="AE616" i="2" a="1"/>
  <c r="AE616" i="2" s="1"/>
  <c r="AF616" i="2" a="1"/>
  <c r="AF616" i="2" s="1"/>
  <c r="AF10" i="2" a="1"/>
  <c r="AF10" i="2" s="1"/>
  <c r="AE10" i="2" a="1"/>
  <c r="AE10" i="2" s="1"/>
  <c r="AI22" i="12" l="1" a="1"/>
  <c r="AI22" i="12" s="1"/>
  <c r="AI18" i="12" a="1"/>
  <c r="AI18" i="12" s="1"/>
  <c r="AG40" i="11" a="1"/>
  <c r="AG40" i="11" s="1"/>
  <c r="AG39" i="11" a="1"/>
  <c r="AG39" i="11" s="1"/>
  <c r="AG51" i="11" a="1"/>
  <c r="AG51" i="11" s="1"/>
  <c r="AG28" i="11" a="1"/>
  <c r="AG28" i="11" s="1"/>
  <c r="AG38" i="11" a="1"/>
  <c r="AG38" i="11" s="1"/>
  <c r="AG35" i="11" a="1"/>
  <c r="AG35" i="11" s="1"/>
  <c r="AG34" i="11" a="1"/>
  <c r="AG34" i="11" s="1"/>
  <c r="AI27" i="12" a="1"/>
  <c r="AI27" i="12" s="1"/>
  <c r="AI32" i="12" a="1"/>
  <c r="AI32" i="12" s="1"/>
  <c r="AI28" i="12" a="1"/>
  <c r="AI28" i="12" s="1"/>
  <c r="AI24" i="12" a="1"/>
  <c r="AI24" i="12" s="1"/>
  <c r="AI20" i="12" a="1"/>
  <c r="AI20" i="12" s="1"/>
  <c r="AI19" i="12" a="1"/>
  <c r="AI19" i="12" s="1"/>
  <c r="AI31" i="12" a="1"/>
  <c r="AI31" i="12" s="1"/>
  <c r="AI33" i="12" a="1"/>
  <c r="AI33" i="12" s="1"/>
  <c r="AI29" i="12" a="1"/>
  <c r="AI29" i="12" s="1"/>
  <c r="AI25" i="12" a="1"/>
  <c r="AI25" i="12" s="1"/>
  <c r="AI23" i="12" a="1"/>
  <c r="AI23" i="12" s="1"/>
  <c r="AI12" i="12" a="1"/>
  <c r="AI12" i="12" s="1"/>
  <c r="AI13" i="12" a="1"/>
  <c r="AI13" i="12" s="1"/>
  <c r="AI21" i="12" a="1"/>
  <c r="AI21" i="12" s="1"/>
  <c r="AI17" i="12" a="1"/>
  <c r="AI17" i="12" s="1"/>
  <c r="AI10" i="12" a="1"/>
  <c r="AI10" i="12" s="1"/>
  <c r="AI30" i="12" a="1"/>
  <c r="AI30" i="12" s="1"/>
  <c r="AI26" i="12" a="1"/>
  <c r="AI26" i="12" s="1"/>
  <c r="AI16" i="12" a="1"/>
  <c r="AI16" i="12" s="1"/>
  <c r="AI14" i="12" a="1"/>
  <c r="AI14" i="12" s="1"/>
  <c r="AI15" i="12" a="1"/>
  <c r="AI15" i="12" s="1"/>
  <c r="AI11" i="12" a="1"/>
  <c r="AI11" i="12" s="1"/>
  <c r="AG25" i="11" a="1"/>
  <c r="AG25" i="11" s="1"/>
  <c r="AG20" i="11" a="1"/>
  <c r="AG20" i="11" s="1"/>
  <c r="AG33" i="11" a="1"/>
  <c r="AG33" i="11" s="1"/>
  <c r="AG16" i="11" a="1"/>
  <c r="AG16" i="11" s="1"/>
  <c r="AG53" i="11" a="1"/>
  <c r="AG53" i="11" s="1"/>
  <c r="AG13" i="11" a="1"/>
  <c r="AG13" i="11" s="1"/>
  <c r="AG45" i="11" a="1"/>
  <c r="AG45" i="11" s="1"/>
  <c r="AG29" i="11" a="1"/>
  <c r="AG29" i="11" s="1"/>
  <c r="AG22" i="11" a="1"/>
  <c r="AG22" i="11" s="1"/>
  <c r="AG15" i="11" a="1"/>
  <c r="AG15" i="11" s="1"/>
  <c r="AG37" i="11" a="1"/>
  <c r="AG37" i="11" s="1"/>
  <c r="AG49" i="11" a="1"/>
  <c r="AG49" i="11" s="1"/>
  <c r="AG42" i="11" a="1"/>
  <c r="AG42" i="11" s="1"/>
  <c r="AG41" i="11" a="1"/>
  <c r="AG41" i="11" s="1"/>
  <c r="AG36" i="11" a="1"/>
  <c r="AG36" i="11" s="1"/>
  <c r="AG54" i="11" a="1"/>
  <c r="AG54" i="11" s="1"/>
  <c r="AG50" i="11" a="1"/>
  <c r="AG50" i="11" s="1"/>
  <c r="AG46" i="11" a="1"/>
  <c r="AG46" i="11" s="1"/>
  <c r="AG30" i="11" a="1"/>
  <c r="AG30" i="11" s="1"/>
  <c r="AG14" i="11" a="1"/>
  <c r="AG14" i="11" s="1"/>
  <c r="AG27" i="11" a="1"/>
  <c r="AG27" i="11" s="1"/>
  <c r="AG26" i="11" a="1"/>
  <c r="AG26" i="11" s="1"/>
  <c r="AG18" i="11" a="1"/>
  <c r="AG18" i="11" s="1"/>
  <c r="AG44" i="11" a="1"/>
  <c r="AG44" i="11" s="1"/>
  <c r="AG52" i="11" a="1"/>
  <c r="AG52" i="11" s="1"/>
  <c r="AG43" i="11" a="1"/>
  <c r="AG43" i="11" s="1"/>
  <c r="AG48" i="11" a="1"/>
  <c r="AG48" i="11" s="1"/>
  <c r="AG47" i="11" a="1"/>
  <c r="AG47" i="11" s="1"/>
  <c r="AG11" i="11" a="1"/>
  <c r="AG11" i="11" s="1"/>
  <c r="AG55" i="11" a="1"/>
  <c r="AG55" i="11" s="1"/>
  <c r="AG24" i="11" a="1"/>
  <c r="AG24" i="11" s="1"/>
  <c r="AG10" i="11" a="1"/>
  <c r="AG10" i="11" s="1"/>
  <c r="AG32" i="11" a="1"/>
  <c r="AG32" i="11" s="1"/>
  <c r="AG46" i="2" a="1"/>
  <c r="AG46" i="2" s="1"/>
  <c r="AG282" i="2" a="1"/>
  <c r="AG282" i="2" s="1"/>
  <c r="AG327" i="2" a="1"/>
  <c r="AG327" i="2" s="1"/>
  <c r="AG287" i="2" a="1"/>
  <c r="AG287" i="2" s="1"/>
  <c r="AG376" i="2" a="1"/>
  <c r="AG376" i="2" s="1"/>
  <c r="AG277" i="2" a="1"/>
  <c r="AG277" i="2" s="1"/>
  <c r="AG135" i="2" a="1"/>
  <c r="AG135" i="2" s="1"/>
  <c r="AG131" i="2" a="1"/>
  <c r="AG131" i="2" s="1"/>
  <c r="AG383" i="2" a="1"/>
  <c r="AG383" i="2" s="1"/>
  <c r="AG202" i="2" a="1"/>
  <c r="AG202" i="2" s="1"/>
  <c r="AG82" i="2" a="1"/>
  <c r="AG82" i="2" s="1"/>
  <c r="AG74" i="2" a="1"/>
  <c r="AG74" i="2" s="1"/>
  <c r="AG577" i="2" a="1"/>
  <c r="AG577" i="2" s="1"/>
  <c r="AG279" i="2" a="1"/>
  <c r="AG279" i="2" s="1"/>
  <c r="AG193" i="2" a="1"/>
  <c r="AG193" i="2" s="1"/>
  <c r="AG555" i="2" a="1"/>
  <c r="AG555" i="2" s="1"/>
  <c r="AG358" i="2" a="1"/>
  <c r="AG358" i="2" s="1"/>
  <c r="AG232" i="2" a="1"/>
  <c r="AG232" i="2" s="1"/>
  <c r="AG204" i="2" a="1"/>
  <c r="AG204" i="2" s="1"/>
  <c r="AG349" i="2" a="1"/>
  <c r="AG349" i="2" s="1"/>
  <c r="AG293" i="2" a="1"/>
  <c r="AG293" i="2" s="1"/>
  <c r="AG48" i="2" a="1"/>
  <c r="AG48" i="2" s="1"/>
  <c r="AG484" i="2" a="1"/>
  <c r="AG484" i="2" s="1"/>
  <c r="AG442" i="2" a="1"/>
  <c r="AG442" i="2" s="1"/>
  <c r="AG410" i="2" a="1"/>
  <c r="AG410" i="2" s="1"/>
  <c r="AG359" i="2" a="1"/>
  <c r="AG359" i="2" s="1"/>
  <c r="AG340" i="2" a="1"/>
  <c r="AG340" i="2" s="1"/>
  <c r="AG336" i="2" a="1"/>
  <c r="AG336" i="2" s="1"/>
  <c r="AG219" i="2" a="1"/>
  <c r="AG219" i="2" s="1"/>
  <c r="AG398" i="2" a="1"/>
  <c r="AG398" i="2" s="1"/>
  <c r="AG90" i="2" a="1"/>
  <c r="AG90" i="2" s="1"/>
  <c r="AG378" i="2" a="1"/>
  <c r="AG378" i="2" s="1"/>
  <c r="AG184" i="2" a="1"/>
  <c r="AG184" i="2" s="1"/>
  <c r="AG161" i="2" a="1"/>
  <c r="AG161" i="2" s="1"/>
  <c r="AG153" i="2" a="1"/>
  <c r="AG153" i="2" s="1"/>
  <c r="AG138" i="2" a="1"/>
  <c r="AG138" i="2" s="1"/>
  <c r="AG130" i="2" a="1"/>
  <c r="AG130" i="2" s="1"/>
  <c r="AG86" i="2" a="1"/>
  <c r="AG86" i="2" s="1"/>
  <c r="AG58" i="2" a="1"/>
  <c r="AG58" i="2" s="1"/>
  <c r="AG32" i="2" a="1"/>
  <c r="AG32" i="2" s="1"/>
  <c r="AG547" i="2" a="1"/>
  <c r="AG547" i="2" s="1"/>
  <c r="AG563" i="2" a="1"/>
  <c r="AG563" i="2" s="1"/>
  <c r="AG449" i="2" a="1"/>
  <c r="AG449" i="2" s="1"/>
  <c r="AG370" i="2" a="1"/>
  <c r="AG370" i="2" s="1"/>
  <c r="AG335" i="2" a="1"/>
  <c r="AG335" i="2" s="1"/>
  <c r="AG234" i="2" a="1"/>
  <c r="AG234" i="2" s="1"/>
  <c r="AG118" i="2" a="1"/>
  <c r="AG118" i="2" s="1"/>
  <c r="AG106" i="2" a="1"/>
  <c r="AG106" i="2" s="1"/>
  <c r="AG397" i="2" a="1"/>
  <c r="AG397" i="2" s="1"/>
  <c r="AG241" i="2" a="1"/>
  <c r="AG241" i="2" s="1"/>
  <c r="AG168" i="2" a="1"/>
  <c r="AG168" i="2" s="1"/>
  <c r="AG556" i="2" a="1"/>
  <c r="AG556" i="2" s="1"/>
  <c r="AG483" i="2" a="1"/>
  <c r="AG483" i="2" s="1"/>
  <c r="AG183" i="2" a="1"/>
  <c r="AG183" i="2" s="1"/>
  <c r="AG518" i="2" a="1"/>
  <c r="AG518" i="2" s="1"/>
  <c r="AG463" i="2" a="1"/>
  <c r="AG463" i="2" s="1"/>
  <c r="AG369" i="2" a="1"/>
  <c r="AG369" i="2" s="1"/>
  <c r="AG346" i="2" a="1"/>
  <c r="AG346" i="2" s="1"/>
  <c r="AG237" i="2" a="1"/>
  <c r="AG237" i="2" s="1"/>
  <c r="AG109" i="2" a="1"/>
  <c r="AG109" i="2" s="1"/>
  <c r="AG552" i="2" a="1"/>
  <c r="AG552" i="2" s="1"/>
  <c r="AG535" i="2" a="1"/>
  <c r="AG535" i="2" s="1"/>
  <c r="AG251" i="2" a="1"/>
  <c r="AG251" i="2" s="1"/>
  <c r="AG190" i="2" a="1"/>
  <c r="AG190" i="2" s="1"/>
  <c r="AG22" i="2" a="1"/>
  <c r="AG22" i="2" s="1"/>
  <c r="AG538" i="2" a="1"/>
  <c r="AG538" i="2" s="1"/>
  <c r="AG288" i="2" a="1"/>
  <c r="AG288" i="2" s="1"/>
  <c r="AG278" i="2" a="1"/>
  <c r="AG278" i="2" s="1"/>
  <c r="AG261" i="2" a="1"/>
  <c r="AG261" i="2" s="1"/>
  <c r="AG578" i="2" a="1"/>
  <c r="AG578" i="2" s="1"/>
  <c r="AG494" i="2" a="1"/>
  <c r="AG494" i="2" s="1"/>
  <c r="AG303" i="2" a="1"/>
  <c r="AG303" i="2" s="1"/>
  <c r="AG136" i="2" a="1"/>
  <c r="AG136" i="2" s="1"/>
  <c r="AG128" i="2" a="1"/>
  <c r="AG128" i="2" s="1"/>
  <c r="AG76" i="2" a="1"/>
  <c r="AG76" i="2" s="1"/>
  <c r="AG30" i="2" a="1"/>
  <c r="AG30" i="2" s="1"/>
  <c r="AG108" i="2" a="1"/>
  <c r="AG108" i="2" s="1"/>
  <c r="AG104" i="2" a="1"/>
  <c r="AG104" i="2" s="1"/>
  <c r="AG534" i="2" a="1"/>
  <c r="AG534" i="2" s="1"/>
  <c r="AG520" i="2" a="1"/>
  <c r="AG520" i="2" s="1"/>
  <c r="AG443" i="2" a="1"/>
  <c r="AG443" i="2" s="1"/>
  <c r="AG431" i="2" a="1"/>
  <c r="AG431" i="2" s="1"/>
  <c r="AG337" i="2" a="1"/>
  <c r="AG337" i="2" s="1"/>
  <c r="AG318" i="2" a="1"/>
  <c r="AG318" i="2" s="1"/>
  <c r="AG250" i="2" a="1"/>
  <c r="AG250" i="2" s="1"/>
  <c r="AG84" i="2" a="1"/>
  <c r="AG84" i="2" s="1"/>
  <c r="AG532" i="2" a="1"/>
  <c r="AG532" i="2" s="1"/>
  <c r="AG356" i="2" a="1"/>
  <c r="AG356" i="2" s="1"/>
  <c r="AG267" i="2" a="1"/>
  <c r="AG267" i="2" s="1"/>
  <c r="AG212" i="2" a="1"/>
  <c r="AG212" i="2" s="1"/>
  <c r="AG127" i="2" a="1"/>
  <c r="AG127" i="2" s="1"/>
  <c r="AG537" i="2" a="1"/>
  <c r="AG537" i="2" s="1"/>
  <c r="AG95" i="2" a="1"/>
  <c r="AG95" i="2" s="1"/>
  <c r="AG29" i="2" a="1"/>
  <c r="AG29" i="2" s="1"/>
  <c r="AG28" i="2" a="1"/>
  <c r="AG28" i="2" s="1"/>
  <c r="AG317" i="2" a="1"/>
  <c r="AG317" i="2" s="1"/>
  <c r="AG62" i="2" a="1"/>
  <c r="AG62" i="2" s="1"/>
  <c r="AG54" i="2" a="1"/>
  <c r="AG54" i="2" s="1"/>
  <c r="AG150" i="2" a="1"/>
  <c r="AG150" i="2" s="1"/>
  <c r="AG421" i="2" a="1"/>
  <c r="AG421" i="2" s="1"/>
  <c r="AG413" i="2" a="1"/>
  <c r="AG413" i="2" s="1"/>
  <c r="AG65" i="2" a="1"/>
  <c r="AG65" i="2" s="1"/>
  <c r="AG143" i="2" a="1"/>
  <c r="AG143" i="2" s="1"/>
  <c r="AG116" i="2" a="1"/>
  <c r="AG116" i="2" s="1"/>
  <c r="AG593" i="2" a="1"/>
  <c r="AG593" i="2" s="1"/>
  <c r="AG476" i="2" a="1"/>
  <c r="AG476" i="2" s="1"/>
  <c r="AG211" i="2" a="1"/>
  <c r="AG211" i="2" s="1"/>
  <c r="AG544" i="2" a="1"/>
  <c r="AG544" i="2" s="1"/>
  <c r="AG300" i="2" a="1"/>
  <c r="AG300" i="2" s="1"/>
  <c r="AG332" i="2" a="1"/>
  <c r="AG332" i="2" s="1"/>
  <c r="AG272" i="2" a="1"/>
  <c r="AG272" i="2" s="1"/>
  <c r="AG166" i="2" a="1"/>
  <c r="AG166" i="2" s="1"/>
  <c r="AG579" i="2" a="1"/>
  <c r="AG579" i="2" s="1"/>
  <c r="AG560" i="2" a="1"/>
  <c r="AG560" i="2" s="1"/>
  <c r="AG589" i="2" a="1"/>
  <c r="AG589" i="2" s="1"/>
  <c r="AG576" i="2" a="1"/>
  <c r="AG576" i="2" s="1"/>
  <c r="AG568" i="2" a="1"/>
  <c r="AG568" i="2" s="1"/>
  <c r="AG587" i="2" a="1"/>
  <c r="AG587" i="2" s="1"/>
  <c r="AG584" i="2" a="1"/>
  <c r="AG584" i="2" s="1"/>
  <c r="AG553" i="2" a="1"/>
  <c r="AG553" i="2" s="1"/>
  <c r="AG543" i="2" a="1"/>
  <c r="AG543" i="2" s="1"/>
  <c r="AG522" i="2" a="1"/>
  <c r="AG522" i="2" s="1"/>
  <c r="AG606" i="2" a="1"/>
  <c r="AG606" i="2" s="1"/>
  <c r="AG600" i="2" a="1"/>
  <c r="AG600" i="2" s="1"/>
  <c r="AG564" i="2" a="1"/>
  <c r="AG564" i="2" s="1"/>
  <c r="AG479" i="2" a="1"/>
  <c r="AG479" i="2" s="1"/>
  <c r="AG581" i="2" a="1"/>
  <c r="AG581" i="2" s="1"/>
  <c r="AG588" i="2" a="1"/>
  <c r="AG588" i="2" s="1"/>
  <c r="AG545" i="2" a="1"/>
  <c r="AG545" i="2" s="1"/>
  <c r="AG590" i="2" a="1"/>
  <c r="AG590" i="2" s="1"/>
  <c r="AG540" i="2" a="1"/>
  <c r="AG540" i="2" s="1"/>
  <c r="AG550" i="2" a="1"/>
  <c r="AG550" i="2" s="1"/>
  <c r="AG524" i="2" a="1"/>
  <c r="AG524" i="2" s="1"/>
  <c r="AG248" i="2" a="1"/>
  <c r="AG248" i="2" s="1"/>
  <c r="AG213" i="2" a="1"/>
  <c r="AG213" i="2" s="1"/>
  <c r="AG557" i="2" a="1"/>
  <c r="AG557" i="2" s="1"/>
  <c r="AG609" i="2" a="1"/>
  <c r="AG609" i="2" s="1"/>
  <c r="AG572" i="2" a="1"/>
  <c r="AG572" i="2" s="1"/>
  <c r="AG455" i="2" a="1"/>
  <c r="AG455" i="2" s="1"/>
  <c r="AG574" i="2" a="1"/>
  <c r="AG574" i="2" s="1"/>
  <c r="AG561" i="2" a="1"/>
  <c r="AG561" i="2" s="1"/>
  <c r="AG539" i="2" a="1"/>
  <c r="AG539" i="2" s="1"/>
  <c r="AG529" i="2" a="1"/>
  <c r="AG529" i="2" s="1"/>
  <c r="AG81" i="2" a="1"/>
  <c r="AG81" i="2" s="1"/>
  <c r="AG599" i="2" a="1"/>
  <c r="AG599" i="2" s="1"/>
  <c r="AG596" i="2" a="1"/>
  <c r="AG596" i="2" s="1"/>
  <c r="AG542" i="2" a="1"/>
  <c r="AG542" i="2" s="1"/>
  <c r="AG526" i="2" a="1"/>
  <c r="AG526" i="2" s="1"/>
  <c r="AG302" i="2" a="1"/>
  <c r="AG302" i="2" s="1"/>
  <c r="AG591" i="2" a="1"/>
  <c r="AG591" i="2" s="1"/>
  <c r="AG580" i="2" a="1"/>
  <c r="AG580" i="2" s="1"/>
  <c r="AG565" i="2" a="1"/>
  <c r="AG565" i="2" s="1"/>
  <c r="AG531" i="2" a="1"/>
  <c r="AG531" i="2" s="1"/>
  <c r="AG515" i="2" a="1"/>
  <c r="AG515" i="2" s="1"/>
  <c r="AG523" i="2" a="1"/>
  <c r="AG523" i="2" s="1"/>
  <c r="AG315" i="2" a="1"/>
  <c r="AG315" i="2" s="1"/>
  <c r="AG285" i="2" a="1"/>
  <c r="AG285" i="2" s="1"/>
  <c r="AG585" i="2" a="1"/>
  <c r="AG585" i="2" s="1"/>
  <c r="AG566" i="2" a="1"/>
  <c r="AG566" i="2" s="1"/>
  <c r="AG616" i="2" a="1"/>
  <c r="AG616" i="2" s="1"/>
  <c r="AG582" i="2" a="1"/>
  <c r="AG582" i="2" s="1"/>
  <c r="AG536" i="2" a="1"/>
  <c r="AG536" i="2" s="1"/>
  <c r="AG601" i="2" a="1"/>
  <c r="AG601" i="2" s="1"/>
  <c r="AG598" i="2" a="1"/>
  <c r="AG598" i="2" s="1"/>
  <c r="AG571" i="2" a="1"/>
  <c r="AG571" i="2" s="1"/>
  <c r="AG551" i="2" a="1"/>
  <c r="AG551" i="2" s="1"/>
  <c r="AG528" i="2" a="1"/>
  <c r="AG528" i="2" s="1"/>
  <c r="AG301" i="2" a="1"/>
  <c r="AG301" i="2" s="1"/>
  <c r="AG207" i="2" a="1"/>
  <c r="AG207" i="2" s="1"/>
  <c r="AG592" i="2" a="1"/>
  <c r="AG592" i="2" s="1"/>
  <c r="AG558" i="2" a="1"/>
  <c r="AG558" i="2" s="1"/>
  <c r="AG255" i="2" a="1"/>
  <c r="AG255" i="2" s="1"/>
  <c r="AG562" i="2" a="1"/>
  <c r="AG562" i="2" s="1"/>
  <c r="AG427" i="2" a="1"/>
  <c r="AG427" i="2" s="1"/>
  <c r="AG246" i="2" a="1"/>
  <c r="AG246" i="2" s="1"/>
  <c r="AG469" i="2" a="1"/>
  <c r="AG469" i="2" s="1"/>
  <c r="AG458" i="2" a="1"/>
  <c r="AG458" i="2" s="1"/>
  <c r="AG446" i="2" a="1"/>
  <c r="AG446" i="2" s="1"/>
  <c r="AG405" i="2" a="1"/>
  <c r="AG405" i="2" s="1"/>
  <c r="AG355" i="2" a="1"/>
  <c r="AG355" i="2" s="1"/>
  <c r="AG339" i="2" a="1"/>
  <c r="AG339" i="2" s="1"/>
  <c r="AG319" i="2" a="1"/>
  <c r="AG319" i="2" s="1"/>
  <c r="AG230" i="2" a="1"/>
  <c r="AG230" i="2" s="1"/>
  <c r="AG206" i="2" a="1"/>
  <c r="AG206" i="2" s="1"/>
  <c r="AG141" i="2" a="1"/>
  <c r="AG141" i="2" s="1"/>
  <c r="AG66" i="2" a="1"/>
  <c r="AG66" i="2" s="1"/>
  <c r="AG63" i="2" a="1"/>
  <c r="AG63" i="2" s="1"/>
  <c r="AG310" i="2" a="1"/>
  <c r="AG310" i="2" s="1"/>
  <c r="AG245" i="2" a="1"/>
  <c r="AG245" i="2" s="1"/>
  <c r="AG179" i="2" a="1"/>
  <c r="AG179" i="2" s="1"/>
  <c r="AG94" i="2" a="1"/>
  <c r="AG94" i="2" s="1"/>
  <c r="AG435" i="2" a="1"/>
  <c r="AG435" i="2" s="1"/>
  <c r="AG386" i="2" a="1"/>
  <c r="AG386" i="2" s="1"/>
  <c r="AG322" i="2" a="1"/>
  <c r="AG322" i="2" s="1"/>
  <c r="AG298" i="2" a="1"/>
  <c r="AG298" i="2" s="1"/>
  <c r="AG216" i="2" a="1"/>
  <c r="AG216" i="2" s="1"/>
  <c r="AG77" i="2" a="1"/>
  <c r="AG77" i="2" s="1"/>
  <c r="AG59" i="2" a="1"/>
  <c r="AG59" i="2" s="1"/>
  <c r="AG49" i="2" a="1"/>
  <c r="AG49" i="2" s="1"/>
  <c r="AG38" i="2" a="1"/>
  <c r="AG38" i="2" s="1"/>
  <c r="AG27" i="2" a="1"/>
  <c r="AG27" i="2" s="1"/>
  <c r="AG416" i="2" a="1"/>
  <c r="AG416" i="2" s="1"/>
  <c r="AG408" i="2" a="1"/>
  <c r="AG408" i="2" s="1"/>
  <c r="AG404" i="2" a="1"/>
  <c r="AG404" i="2" s="1"/>
  <c r="AG401" i="2" a="1"/>
  <c r="AG401" i="2" s="1"/>
  <c r="AG368" i="2" a="1"/>
  <c r="AG368" i="2" s="1"/>
  <c r="AG345" i="2" a="1"/>
  <c r="AG345" i="2" s="1"/>
  <c r="AG306" i="2" a="1"/>
  <c r="AG306" i="2" s="1"/>
  <c r="AG292" i="2" a="1"/>
  <c r="AG292" i="2" s="1"/>
  <c r="AG275" i="2" a="1"/>
  <c r="AG275" i="2" s="1"/>
  <c r="AG233" i="2" a="1"/>
  <c r="AG233" i="2" s="1"/>
  <c r="AG105" i="2" a="1"/>
  <c r="AG105" i="2" s="1"/>
  <c r="AG98" i="2" a="1"/>
  <c r="AG98" i="2" s="1"/>
  <c r="AG87" i="2" a="1"/>
  <c r="AG87" i="2" s="1"/>
  <c r="AG52" i="2" a="1"/>
  <c r="AG52" i="2" s="1"/>
  <c r="AG512" i="2" a="1"/>
  <c r="AG512" i="2" s="1"/>
  <c r="AG501" i="2" a="1"/>
  <c r="AG501" i="2" s="1"/>
  <c r="AG497" i="2" a="1"/>
  <c r="AG497" i="2" s="1"/>
  <c r="AG490" i="2" a="1"/>
  <c r="AG490" i="2" s="1"/>
  <c r="AG457" i="2" a="1"/>
  <c r="AG457" i="2" s="1"/>
  <c r="AG451" i="2" a="1"/>
  <c r="AG451" i="2" s="1"/>
  <c r="AG412" i="2" a="1"/>
  <c r="AG412" i="2" s="1"/>
  <c r="AG389" i="2" a="1"/>
  <c r="AG389" i="2" s="1"/>
  <c r="AG382" i="2" a="1"/>
  <c r="AG382" i="2" s="1"/>
  <c r="AG371" i="2" a="1"/>
  <c r="AG371" i="2" s="1"/>
  <c r="AG364" i="2" a="1"/>
  <c r="AG364" i="2" s="1"/>
  <c r="AG351" i="2" a="1"/>
  <c r="AG351" i="2" s="1"/>
  <c r="AG348" i="2" a="1"/>
  <c r="AG348" i="2" s="1"/>
  <c r="AG338" i="2" a="1"/>
  <c r="AG338" i="2" s="1"/>
  <c r="AG189" i="2" a="1"/>
  <c r="AG189" i="2" s="1"/>
  <c r="AG55" i="2" a="1"/>
  <c r="AG55" i="2" s="1"/>
  <c r="AG284" i="2" a="1"/>
  <c r="AG284" i="2" s="1"/>
  <c r="AG41" i="2" a="1"/>
  <c r="AG41" i="2" s="1"/>
  <c r="AG521" i="2" a="1"/>
  <c r="AG521" i="2" s="1"/>
  <c r="AG448" i="2" a="1"/>
  <c r="AG448" i="2" s="1"/>
  <c r="AG445" i="2" a="1"/>
  <c r="AG445" i="2" s="1"/>
  <c r="AG434" i="2" a="1"/>
  <c r="AG434" i="2" s="1"/>
  <c r="AG396" i="2" a="1"/>
  <c r="AG396" i="2" s="1"/>
  <c r="AG247" i="2" a="1"/>
  <c r="AG247" i="2" s="1"/>
  <c r="AG236" i="2" a="1"/>
  <c r="AG236" i="2" s="1"/>
  <c r="AG222" i="2" a="1"/>
  <c r="AG222" i="2" s="1"/>
  <c r="AG195" i="2" a="1"/>
  <c r="AG195" i="2" s="1"/>
  <c r="AG126" i="2" a="1"/>
  <c r="AG126" i="2" s="1"/>
  <c r="AG83" i="2" a="1"/>
  <c r="AG83" i="2" s="1"/>
  <c r="AG493" i="2" a="1"/>
  <c r="AG493" i="2" s="1"/>
  <c r="AG489" i="2" a="1"/>
  <c r="AG489" i="2" s="1"/>
  <c r="AG482" i="2" a="1"/>
  <c r="AG482" i="2" s="1"/>
  <c r="AG456" i="2" a="1"/>
  <c r="AG456" i="2" s="1"/>
  <c r="AG430" i="2" a="1"/>
  <c r="AG430" i="2" s="1"/>
  <c r="AG381" i="2" a="1"/>
  <c r="AG381" i="2" s="1"/>
  <c r="AG357" i="2" a="1"/>
  <c r="AG357" i="2" s="1"/>
  <c r="AG350" i="2" a="1"/>
  <c r="AG350" i="2" s="1"/>
  <c r="AG334" i="2" a="1"/>
  <c r="AG334" i="2" s="1"/>
  <c r="AG321" i="2" a="1"/>
  <c r="AG321" i="2" s="1"/>
  <c r="AG286" i="2" a="1"/>
  <c r="AG286" i="2" s="1"/>
  <c r="AG140" i="2" a="1"/>
  <c r="AG140" i="2" s="1"/>
  <c r="AG111" i="2" a="1"/>
  <c r="AG111" i="2" s="1"/>
  <c r="AG72" i="2" a="1"/>
  <c r="AG72" i="2" s="1"/>
  <c r="AG33" i="2" a="1"/>
  <c r="AG33" i="2" s="1"/>
  <c r="AG511" i="2" a="1"/>
  <c r="AG511" i="2" s="1"/>
  <c r="AG453" i="2" a="1"/>
  <c r="AG453" i="2" s="1"/>
  <c r="AG450" i="2" a="1"/>
  <c r="AG450" i="2" s="1"/>
  <c r="AG444" i="2" a="1"/>
  <c r="AG444" i="2" s="1"/>
  <c r="AG441" i="2" a="1"/>
  <c r="AG441" i="2" s="1"/>
  <c r="AG411" i="2" a="1"/>
  <c r="AG411" i="2" s="1"/>
  <c r="AG367" i="2" a="1"/>
  <c r="AG367" i="2" s="1"/>
  <c r="AG305" i="2" a="1"/>
  <c r="AG305" i="2" s="1"/>
  <c r="AG256" i="2" a="1"/>
  <c r="AG256" i="2" s="1"/>
  <c r="AG239" i="2" a="1"/>
  <c r="AG239" i="2" s="1"/>
  <c r="AG225" i="2" a="1"/>
  <c r="AG225" i="2" s="1"/>
  <c r="AG188" i="2" a="1"/>
  <c r="AG188" i="2" s="1"/>
  <c r="AG172" i="2" a="1"/>
  <c r="AG172" i="2" s="1"/>
  <c r="AG169" i="2" a="1"/>
  <c r="AG169" i="2" s="1"/>
  <c r="AG156" i="2" a="1"/>
  <c r="AG156" i="2" s="1"/>
  <c r="AG89" i="2" a="1"/>
  <c r="AG89" i="2" s="1"/>
  <c r="AG68" i="2" a="1"/>
  <c r="AG68" i="2" s="1"/>
  <c r="AG44" i="2" a="1"/>
  <c r="AG44" i="2" s="1"/>
  <c r="AG569" i="2" a="1"/>
  <c r="AG569" i="2" s="1"/>
  <c r="AG548" i="2" a="1"/>
  <c r="AG548" i="2" s="1"/>
  <c r="AG426" i="2" a="1"/>
  <c r="AG426" i="2" s="1"/>
  <c r="AG422" i="2" a="1"/>
  <c r="AG422" i="2" s="1"/>
  <c r="AG407" i="2" a="1"/>
  <c r="AG407" i="2" s="1"/>
  <c r="AG377" i="2" a="1"/>
  <c r="AG377" i="2" s="1"/>
  <c r="AG363" i="2" a="1"/>
  <c r="AG363" i="2" s="1"/>
  <c r="AG353" i="2" a="1"/>
  <c r="AG353" i="2" s="1"/>
  <c r="AG324" i="2" a="1"/>
  <c r="AG324" i="2" s="1"/>
  <c r="AG281" i="2" a="1"/>
  <c r="AG281" i="2" s="1"/>
  <c r="AG274" i="2" a="1"/>
  <c r="AG274" i="2" s="1"/>
  <c r="AG249" i="2" a="1"/>
  <c r="AG249" i="2" s="1"/>
  <c r="AG214" i="2" a="1"/>
  <c r="AG214" i="2" s="1"/>
  <c r="AG129" i="2" a="1"/>
  <c r="AG129" i="2" s="1"/>
  <c r="AG93" i="2" a="1"/>
  <c r="AG93" i="2" s="1"/>
  <c r="AG67" i="2" a="1"/>
  <c r="AG67" i="2" s="1"/>
  <c r="AG57" i="2" a="1"/>
  <c r="AG57" i="2" s="1"/>
  <c r="AG403" i="2" a="1"/>
  <c r="AG403" i="2" s="1"/>
  <c r="AG330" i="2" a="1"/>
  <c r="AG330" i="2" s="1"/>
  <c r="AG178" i="2" a="1"/>
  <c r="AG178" i="2" s="1"/>
  <c r="AG152" i="2" a="1"/>
  <c r="AG152" i="2" s="1"/>
  <c r="AG139" i="2" a="1"/>
  <c r="AG139" i="2" s="1"/>
  <c r="AG121" i="2" a="1"/>
  <c r="AG121" i="2" s="1"/>
  <c r="AG100" i="2" a="1"/>
  <c r="AG100" i="2" s="1"/>
  <c r="AG75" i="2" a="1"/>
  <c r="AG75" i="2" s="1"/>
  <c r="AG36" i="2" a="1"/>
  <c r="AG36" i="2" s="1"/>
  <c r="AG25" i="2" a="1"/>
  <c r="AG25" i="2" s="1"/>
  <c r="AG21" i="2" a="1"/>
  <c r="AG21" i="2" s="1"/>
  <c r="AG514" i="2" a="1"/>
  <c r="AG514" i="2" s="1"/>
  <c r="AG228" i="2" a="1"/>
  <c r="AG228" i="2" s="1"/>
  <c r="AG162" i="2" a="1"/>
  <c r="AG162" i="2" s="1"/>
  <c r="AG148" i="2" a="1"/>
  <c r="AG148" i="2" s="1"/>
  <c r="AG60" i="2" a="1"/>
  <c r="AG60" i="2" s="1"/>
  <c r="AG414" i="2" a="1"/>
  <c r="AG414" i="2" s="1"/>
  <c r="AG290" i="2" a="1"/>
  <c r="AG290" i="2" s="1"/>
  <c r="AG280" i="2" a="1"/>
  <c r="AG280" i="2" s="1"/>
  <c r="AG264" i="2" a="1"/>
  <c r="AG264" i="2" s="1"/>
  <c r="AG244" i="2" a="1"/>
  <c r="AG244" i="2" s="1"/>
  <c r="AG158" i="2" a="1"/>
  <c r="AG158" i="2" s="1"/>
  <c r="AG155" i="2" a="1"/>
  <c r="AG155" i="2" s="1"/>
  <c r="AG113" i="2" a="1"/>
  <c r="AG113" i="2" s="1"/>
  <c r="AG96" i="2" a="1"/>
  <c r="AG96" i="2" s="1"/>
  <c r="AG47" i="2" a="1"/>
  <c r="AG47" i="2" s="1"/>
  <c r="AG17" i="2" a="1"/>
  <c r="AG17" i="2" s="1"/>
  <c r="AG516" i="2" a="1"/>
  <c r="AG516" i="2" s="1"/>
  <c r="AG510" i="2" a="1"/>
  <c r="AG510" i="2" s="1"/>
  <c r="AG499" i="2" a="1"/>
  <c r="AG499" i="2" s="1"/>
  <c r="AG488" i="2" a="1"/>
  <c r="AG488" i="2" s="1"/>
  <c r="AG477" i="2" a="1"/>
  <c r="AG477" i="2" s="1"/>
  <c r="AG473" i="2" a="1"/>
  <c r="AG473" i="2" s="1"/>
  <c r="AG466" i="2" a="1"/>
  <c r="AG466" i="2" s="1"/>
  <c r="AG432" i="2" a="1"/>
  <c r="AG432" i="2" s="1"/>
  <c r="AG425" i="2" a="1"/>
  <c r="AG425" i="2" s="1"/>
  <c r="AG417" i="2" a="1"/>
  <c r="AG417" i="2" s="1"/>
  <c r="AG406" i="2" a="1"/>
  <c r="AG406" i="2" s="1"/>
  <c r="AG391" i="2" a="1"/>
  <c r="AG391" i="2" s="1"/>
  <c r="AG313" i="2" a="1"/>
  <c r="AG313" i="2" s="1"/>
  <c r="AG269" i="2" a="1"/>
  <c r="AG269" i="2" s="1"/>
  <c r="AG253" i="2" a="1"/>
  <c r="AG253" i="2" s="1"/>
  <c r="AG224" i="2" a="1"/>
  <c r="AG224" i="2" s="1"/>
  <c r="AG217" i="2" a="1"/>
  <c r="AG217" i="2" s="1"/>
  <c r="AG145" i="2" a="1"/>
  <c r="AG145" i="2" s="1"/>
  <c r="AG103" i="2" a="1"/>
  <c r="AG103" i="2" s="1"/>
  <c r="AG92" i="2" a="1"/>
  <c r="AG92" i="2" s="1"/>
  <c r="AG85" i="2" a="1"/>
  <c r="AG85" i="2" s="1"/>
  <c r="AG53" i="2" a="1"/>
  <c r="AG53" i="2" s="1"/>
  <c r="AG43" i="2" a="1"/>
  <c r="AG43" i="2" s="1"/>
  <c r="AG39" i="2" a="1"/>
  <c r="AG39" i="2" s="1"/>
  <c r="AG35" i="2" a="1"/>
  <c r="AG35" i="2" s="1"/>
  <c r="AG495" i="2" a="1"/>
  <c r="AG495" i="2" s="1"/>
  <c r="AG452" i="2" a="1"/>
  <c r="AG452" i="2" s="1"/>
  <c r="AG387" i="2" a="1"/>
  <c r="AG387" i="2" s="1"/>
  <c r="AG372" i="2" a="1"/>
  <c r="AG372" i="2" s="1"/>
  <c r="AG333" i="2" a="1"/>
  <c r="AG333" i="2" s="1"/>
  <c r="AG197" i="2" a="1"/>
  <c r="AG197" i="2" s="1"/>
  <c r="AG187" i="2" a="1"/>
  <c r="AG187" i="2" s="1"/>
  <c r="AG174" i="2" a="1"/>
  <c r="AG174" i="2" s="1"/>
  <c r="AG142" i="2" a="1"/>
  <c r="AG142" i="2" s="1"/>
  <c r="AG124" i="2" a="1"/>
  <c r="AG124" i="2" s="1"/>
  <c r="AG78" i="2" a="1"/>
  <c r="AG78" i="2" s="1"/>
  <c r="AG70" i="2" a="1"/>
  <c r="AG70" i="2" s="1"/>
  <c r="AG50" i="2" a="1"/>
  <c r="AG50" i="2" s="1"/>
  <c r="AG24" i="2" a="1"/>
  <c r="AG24" i="2" s="1"/>
  <c r="AG304" i="2" a="1"/>
  <c r="AG304" i="2" s="1"/>
  <c r="AG171" i="2" a="1"/>
  <c r="AG171" i="2" s="1"/>
  <c r="AG151" i="2" a="1"/>
  <c r="AG151" i="2" s="1"/>
  <c r="AG583" i="2" a="1"/>
  <c r="AG583" i="2" s="1"/>
  <c r="AG541" i="2" a="1"/>
  <c r="AG541" i="2" s="1"/>
  <c r="AG513" i="2" a="1"/>
  <c r="AG513" i="2" s="1"/>
  <c r="AG506" i="2" a="1"/>
  <c r="AG506" i="2" s="1"/>
  <c r="AG462" i="2" a="1"/>
  <c r="AG462" i="2" s="1"/>
  <c r="AG428" i="2" a="1"/>
  <c r="AG428" i="2" s="1"/>
  <c r="AG402" i="2" a="1"/>
  <c r="AG402" i="2" s="1"/>
  <c r="AG362" i="2" a="1"/>
  <c r="AG362" i="2" s="1"/>
  <c r="AG502" i="2" a="1"/>
  <c r="AG502" i="2" s="1"/>
  <c r="AG613" i="2" a="1"/>
  <c r="AG613" i="2" s="1"/>
  <c r="AG480" i="2" a="1"/>
  <c r="AG480" i="2" s="1"/>
  <c r="AG379" i="2" a="1"/>
  <c r="AG379" i="2" s="1"/>
  <c r="AG352" i="2" a="1"/>
  <c r="AG352" i="2" s="1"/>
  <c r="AG610" i="2" a="1"/>
  <c r="AG610" i="2" s="1"/>
  <c r="AG570" i="2" a="1"/>
  <c r="AG570" i="2" s="1"/>
  <c r="AG491" i="2" a="1"/>
  <c r="AG491" i="2" s="1"/>
  <c r="AG607" i="2" a="1"/>
  <c r="AG607" i="2" s="1"/>
  <c r="AG604" i="2" a="1"/>
  <c r="AG604" i="2" s="1"/>
  <c r="AG549" i="2" a="1"/>
  <c r="AG549" i="2" s="1"/>
  <c r="AG530" i="2" a="1"/>
  <c r="AG530" i="2" s="1"/>
  <c r="AG509" i="2" a="1"/>
  <c r="AG509" i="2" s="1"/>
  <c r="AG505" i="2" a="1"/>
  <c r="AG505" i="2" s="1"/>
  <c r="AG498" i="2" a="1"/>
  <c r="AG498" i="2" s="1"/>
  <c r="AG487" i="2" a="1"/>
  <c r="AG487" i="2" s="1"/>
  <c r="AG465" i="2" a="1"/>
  <c r="AG465" i="2" s="1"/>
  <c r="AG439" i="2" a="1"/>
  <c r="AG439" i="2" s="1"/>
  <c r="AG424" i="2" a="1"/>
  <c r="AG424" i="2" s="1"/>
  <c r="AG409" i="2" a="1"/>
  <c r="AG409" i="2" s="1"/>
  <c r="AG394" i="2" a="1"/>
  <c r="AG394" i="2" s="1"/>
  <c r="AG390" i="2" a="1"/>
  <c r="AG390" i="2" s="1"/>
  <c r="AG365" i="2" a="1"/>
  <c r="AG365" i="2" s="1"/>
  <c r="AG420" i="2" a="1"/>
  <c r="AG420" i="2" s="1"/>
  <c r="AG472" i="2" a="1"/>
  <c r="AG472" i="2" s="1"/>
  <c r="AG461" i="2" a="1"/>
  <c r="AG461" i="2" s="1"/>
  <c r="AG361" i="2" a="1"/>
  <c r="AG361" i="2" s="1"/>
  <c r="AG615" i="2" a="1"/>
  <c r="AG615" i="2" s="1"/>
  <c r="AG595" i="2" a="1"/>
  <c r="AG595" i="2" s="1"/>
  <c r="AG559" i="2" a="1"/>
  <c r="AG559" i="2" s="1"/>
  <c r="AG517" i="2" a="1"/>
  <c r="AG517" i="2" s="1"/>
  <c r="AG508" i="2" a="1"/>
  <c r="AG508" i="2" s="1"/>
  <c r="AG486" i="2" a="1"/>
  <c r="AG486" i="2" s="1"/>
  <c r="AG475" i="2" a="1"/>
  <c r="AG475" i="2" s="1"/>
  <c r="AG468" i="2" a="1"/>
  <c r="AG468" i="2" s="1"/>
  <c r="AG464" i="2" a="1"/>
  <c r="AG464" i="2" s="1"/>
  <c r="AG460" i="2" a="1"/>
  <c r="AG460" i="2" s="1"/>
  <c r="AG454" i="2" a="1"/>
  <c r="AG454" i="2" s="1"/>
  <c r="AG438" i="2" a="1"/>
  <c r="AG438" i="2" s="1"/>
  <c r="AG423" i="2" a="1"/>
  <c r="AG423" i="2" s="1"/>
  <c r="AG400" i="2" a="1"/>
  <c r="AG400" i="2" s="1"/>
  <c r="AG393" i="2" a="1"/>
  <c r="AG393" i="2" s="1"/>
  <c r="AG385" i="2" a="1"/>
  <c r="AG385" i="2" s="1"/>
  <c r="AG612" i="2" a="1"/>
  <c r="AG612" i="2" s="1"/>
  <c r="AG586" i="2" a="1"/>
  <c r="AG586" i="2" s="1"/>
  <c r="AG519" i="2" a="1"/>
  <c r="AG519" i="2" s="1"/>
  <c r="AG500" i="2" a="1"/>
  <c r="AG500" i="2" s="1"/>
  <c r="AG419" i="2" a="1"/>
  <c r="AG419" i="2" s="1"/>
  <c r="AG374" i="2" a="1"/>
  <c r="AG374" i="2" s="1"/>
  <c r="AG504" i="2" a="1"/>
  <c r="AG504" i="2" s="1"/>
  <c r="AG471" i="2" a="1"/>
  <c r="AG471" i="2" s="1"/>
  <c r="AG415" i="2" a="1"/>
  <c r="AG415" i="2" s="1"/>
  <c r="AG360" i="2" a="1"/>
  <c r="AG360" i="2" s="1"/>
  <c r="AG567" i="2" a="1"/>
  <c r="AG567" i="2" s="1"/>
  <c r="AG525" i="2" a="1"/>
  <c r="AG525" i="2" s="1"/>
  <c r="AG437" i="2" a="1"/>
  <c r="AG437" i="2" s="1"/>
  <c r="AG354" i="2" a="1"/>
  <c r="AG354" i="2" s="1"/>
  <c r="AG347" i="2" a="1"/>
  <c r="AG347" i="2" s="1"/>
  <c r="AG603" i="2" a="1"/>
  <c r="AG603" i="2" s="1"/>
  <c r="AG474" i="2" a="1"/>
  <c r="AG474" i="2" s="1"/>
  <c r="AG467" i="2" a="1"/>
  <c r="AG467" i="2" s="1"/>
  <c r="AG392" i="2" a="1"/>
  <c r="AG392" i="2" s="1"/>
  <c r="AG546" i="2" a="1"/>
  <c r="AG546" i="2" s="1"/>
  <c r="AG527" i="2" a="1"/>
  <c r="AG527" i="2" s="1"/>
  <c r="AG496" i="2" a="1"/>
  <c r="AG496" i="2" s="1"/>
  <c r="AG485" i="2" a="1"/>
  <c r="AG485" i="2" s="1"/>
  <c r="AG573" i="2" a="1"/>
  <c r="AG573" i="2" s="1"/>
  <c r="AG554" i="2" a="1"/>
  <c r="AG554" i="2" s="1"/>
  <c r="AG447" i="2" a="1"/>
  <c r="AG447" i="2" s="1"/>
  <c r="AG429" i="2" a="1"/>
  <c r="AG429" i="2" s="1"/>
  <c r="AG418" i="2" a="1"/>
  <c r="AG418" i="2" s="1"/>
  <c r="AG388" i="2" a="1"/>
  <c r="AG388" i="2" s="1"/>
  <c r="AG373" i="2" a="1"/>
  <c r="AG373" i="2" s="1"/>
  <c r="AG507" i="2" a="1"/>
  <c r="AG507" i="2" s="1"/>
  <c r="AG478" i="2" a="1"/>
  <c r="AG478" i="2" s="1"/>
  <c r="AG614" i="2" a="1"/>
  <c r="AG614" i="2" s="1"/>
  <c r="AG611" i="2" a="1"/>
  <c r="AG611" i="2" s="1"/>
  <c r="AG608" i="2" a="1"/>
  <c r="AG608" i="2" s="1"/>
  <c r="AG594" i="2" a="1"/>
  <c r="AG594" i="2" s="1"/>
  <c r="AG575" i="2" a="1"/>
  <c r="AG575" i="2" s="1"/>
  <c r="AG533" i="2" a="1"/>
  <c r="AG533" i="2" s="1"/>
  <c r="AG503" i="2" a="1"/>
  <c r="AG503" i="2" s="1"/>
  <c r="AG481" i="2" a="1"/>
  <c r="AG481" i="2" s="1"/>
  <c r="AG440" i="2" a="1"/>
  <c r="AG440" i="2" s="1"/>
  <c r="AG436" i="2" a="1"/>
  <c r="AG436" i="2" s="1"/>
  <c r="AG433" i="2" a="1"/>
  <c r="AG433" i="2" s="1"/>
  <c r="AG399" i="2" a="1"/>
  <c r="AG399" i="2" s="1"/>
  <c r="AG384" i="2" a="1"/>
  <c r="AG384" i="2" s="1"/>
  <c r="AG597" i="2" a="1"/>
  <c r="AG597" i="2" s="1"/>
  <c r="AG605" i="2" a="1"/>
  <c r="AG605" i="2" s="1"/>
  <c r="AG602" i="2" a="1"/>
  <c r="AG602" i="2" s="1"/>
  <c r="AG492" i="2" a="1"/>
  <c r="AG492" i="2" s="1"/>
  <c r="AG470" i="2" a="1"/>
  <c r="AG470" i="2" s="1"/>
  <c r="AG459" i="2" a="1"/>
  <c r="AG459" i="2" s="1"/>
  <c r="AG395" i="2" a="1"/>
  <c r="AG395" i="2" s="1"/>
  <c r="AG380" i="2" a="1"/>
  <c r="AG380" i="2" s="1"/>
  <c r="AG366" i="2" a="1"/>
  <c r="AG366" i="2" s="1"/>
  <c r="AG342" i="2" a="1"/>
  <c r="AG342" i="2" s="1"/>
  <c r="AG375" i="2" a="1"/>
  <c r="AG375" i="2" s="1"/>
  <c r="AG309" i="2" a="1"/>
  <c r="AG309" i="2" s="1"/>
  <c r="AG295" i="2" a="1"/>
  <c r="AG295" i="2" s="1"/>
  <c r="AG341" i="2" a="1"/>
  <c r="AG341" i="2" s="1"/>
  <c r="AG312" i="2" a="1"/>
  <c r="AG312" i="2" s="1"/>
  <c r="AG326" i="2" a="1"/>
  <c r="AG326" i="2" s="1"/>
  <c r="AG320" i="2" a="1"/>
  <c r="AG320" i="2" s="1"/>
  <c r="AG344" i="2" a="1"/>
  <c r="AG344" i="2" s="1"/>
  <c r="AG323" i="2" a="1"/>
  <c r="AG323" i="2" s="1"/>
  <c r="AG329" i="2" a="1"/>
  <c r="AG329" i="2" s="1"/>
  <c r="AG297" i="2" a="1"/>
  <c r="AG297" i="2" s="1"/>
  <c r="AG314" i="2" a="1"/>
  <c r="AG314" i="2" s="1"/>
  <c r="AG311" i="2" a="1"/>
  <c r="AG311" i="2" s="1"/>
  <c r="AG308" i="2" a="1"/>
  <c r="AG308" i="2" s="1"/>
  <c r="AG343" i="2" a="1"/>
  <c r="AG343" i="2" s="1"/>
  <c r="AG294" i="2" a="1"/>
  <c r="AG294" i="2" s="1"/>
  <c r="AG325" i="2" a="1"/>
  <c r="AG325" i="2" s="1"/>
  <c r="AG331" i="2" a="1"/>
  <c r="AG331" i="2" s="1"/>
  <c r="AG316" i="2" a="1"/>
  <c r="AG316" i="2" s="1"/>
  <c r="AG328" i="2" a="1"/>
  <c r="AG328" i="2" s="1"/>
  <c r="AG307" i="2" a="1"/>
  <c r="AG307" i="2" s="1"/>
  <c r="AG296" i="2" a="1"/>
  <c r="AG296" i="2" s="1"/>
  <c r="AG227" i="2" a="1"/>
  <c r="AG227" i="2" s="1"/>
  <c r="AG273" i="2" a="1"/>
  <c r="AG273" i="2" s="1"/>
  <c r="AG242" i="2" a="1"/>
  <c r="AG242" i="2" s="1"/>
  <c r="AG208" i="2" a="1"/>
  <c r="AG208" i="2" s="1"/>
  <c r="AG205" i="2" a="1"/>
  <c r="AG205" i="2" s="1"/>
  <c r="AG192" i="2" a="1"/>
  <c r="AG192" i="2" s="1"/>
  <c r="AG132" i="2" a="1"/>
  <c r="AG132" i="2" s="1"/>
  <c r="AG283" i="2" a="1"/>
  <c r="AG283" i="2" s="1"/>
  <c r="AG182" i="2" a="1"/>
  <c r="AG182" i="2" s="1"/>
  <c r="AG176" i="2" a="1"/>
  <c r="AG176" i="2" s="1"/>
  <c r="AG164" i="2" a="1"/>
  <c r="AG164" i="2" s="1"/>
  <c r="AG154" i="2" a="1"/>
  <c r="AG154" i="2" s="1"/>
  <c r="AG270" i="2" a="1"/>
  <c r="AG270" i="2" s="1"/>
  <c r="AG262" i="2" a="1"/>
  <c r="AG262" i="2" s="1"/>
  <c r="AG258" i="2" a="1"/>
  <c r="AG258" i="2" s="1"/>
  <c r="AG254" i="2" a="1"/>
  <c r="AG254" i="2" s="1"/>
  <c r="AG252" i="2" a="1"/>
  <c r="AG252" i="2" s="1"/>
  <c r="AG220" i="2" a="1"/>
  <c r="AG220" i="2" s="1"/>
  <c r="AG173" i="2" a="1"/>
  <c r="AG173" i="2" s="1"/>
  <c r="AG167" i="2" a="1"/>
  <c r="AG167" i="2" s="1"/>
  <c r="AG289" i="2" a="1"/>
  <c r="AG289" i="2" s="1"/>
  <c r="AG226" i="2" a="1"/>
  <c r="AG226" i="2" s="1"/>
  <c r="AG201" i="2" a="1"/>
  <c r="AG201" i="2" s="1"/>
  <c r="AG198" i="2" a="1"/>
  <c r="AG198" i="2" s="1"/>
  <c r="AG185" i="2" a="1"/>
  <c r="AG185" i="2" s="1"/>
  <c r="AG170" i="2" a="1"/>
  <c r="AG170" i="2" s="1"/>
  <c r="AG266" i="2" a="1"/>
  <c r="AG266" i="2" s="1"/>
  <c r="AG260" i="2" a="1"/>
  <c r="AG260" i="2" s="1"/>
  <c r="AG238" i="2" a="1"/>
  <c r="AG238" i="2" s="1"/>
  <c r="AG223" i="2" a="1"/>
  <c r="AG223" i="2" s="1"/>
  <c r="AG191" i="2" a="1"/>
  <c r="AG191" i="2" s="1"/>
  <c r="AG157" i="2" a="1"/>
  <c r="AG157" i="2" s="1"/>
  <c r="AG235" i="2" a="1"/>
  <c r="AG235" i="2" s="1"/>
  <c r="AG229" i="2" a="1"/>
  <c r="AG229" i="2" s="1"/>
  <c r="AG194" i="2" a="1"/>
  <c r="AG194" i="2" s="1"/>
  <c r="AG163" i="2" a="1"/>
  <c r="AG163" i="2" s="1"/>
  <c r="AG160" i="2" a="1"/>
  <c r="AG160" i="2" s="1"/>
  <c r="AG144" i="2" a="1"/>
  <c r="AG144" i="2" s="1"/>
  <c r="AG102" i="2" a="1"/>
  <c r="AG102" i="2" s="1"/>
  <c r="AG291" i="2" a="1"/>
  <c r="AG291" i="2" s="1"/>
  <c r="AG268" i="2" a="1"/>
  <c r="AG268" i="2" s="1"/>
  <c r="AG210" i="2" a="1"/>
  <c r="AG210" i="2" s="1"/>
  <c r="AG181" i="2" a="1"/>
  <c r="AG181" i="2" s="1"/>
  <c r="AG175" i="2" a="1"/>
  <c r="AG175" i="2" s="1"/>
  <c r="AG147" i="2" a="1"/>
  <c r="AG147" i="2" s="1"/>
  <c r="AG134" i="2" a="1"/>
  <c r="AG134" i="2" s="1"/>
  <c r="AG112" i="2" a="1"/>
  <c r="AG112" i="2" s="1"/>
  <c r="AG276" i="2" a="1"/>
  <c r="AG276" i="2" s="1"/>
  <c r="AG243" i="2" a="1"/>
  <c r="AG243" i="2" s="1"/>
  <c r="AG203" i="2" a="1"/>
  <c r="AG203" i="2" s="1"/>
  <c r="AG137" i="2" a="1"/>
  <c r="AG137" i="2" s="1"/>
  <c r="AG200" i="2" a="1"/>
  <c r="AG200" i="2" s="1"/>
  <c r="AG119" i="2" a="1"/>
  <c r="AG119" i="2" s="1"/>
  <c r="AG240" i="2" a="1"/>
  <c r="AG240" i="2" s="1"/>
  <c r="AG231" i="2" a="1"/>
  <c r="AG231" i="2" s="1"/>
  <c r="AG159" i="2" a="1"/>
  <c r="AG159" i="2" s="1"/>
  <c r="AG149" i="2" a="1"/>
  <c r="AG149" i="2" s="1"/>
  <c r="AG263" i="2" a="1"/>
  <c r="AG263" i="2" s="1"/>
  <c r="AG257" i="2" a="1"/>
  <c r="AG257" i="2" s="1"/>
  <c r="AG215" i="2" a="1"/>
  <c r="AG215" i="2" s="1"/>
  <c r="AG209" i="2" a="1"/>
  <c r="AG209" i="2" s="1"/>
  <c r="AG180" i="2" a="1"/>
  <c r="AG180" i="2" s="1"/>
  <c r="AG177" i="2" a="1"/>
  <c r="AG177" i="2" s="1"/>
  <c r="AG146" i="2" a="1"/>
  <c r="AG146" i="2" s="1"/>
  <c r="AG299" i="2" a="1"/>
  <c r="AG299" i="2" s="1"/>
  <c r="AG259" i="2" a="1"/>
  <c r="AG259" i="2" s="1"/>
  <c r="AG196" i="2" a="1"/>
  <c r="AG196" i="2" s="1"/>
  <c r="AG122" i="2" a="1"/>
  <c r="AG122" i="2" s="1"/>
  <c r="AG271" i="2" a="1"/>
  <c r="AG271" i="2" s="1"/>
  <c r="AG265" i="2" a="1"/>
  <c r="AG265" i="2" s="1"/>
  <c r="AG221" i="2" a="1"/>
  <c r="AG221" i="2" s="1"/>
  <c r="AG218" i="2" a="1"/>
  <c r="AG218" i="2" s="1"/>
  <c r="AG199" i="2" a="1"/>
  <c r="AG199" i="2" s="1"/>
  <c r="AG186" i="2" a="1"/>
  <c r="AG186" i="2" s="1"/>
  <c r="AG165" i="2" a="1"/>
  <c r="AG165" i="2" s="1"/>
  <c r="AG91" i="2" a="1"/>
  <c r="AG91" i="2" s="1"/>
  <c r="AG88" i="2" a="1"/>
  <c r="AG88" i="2" s="1"/>
  <c r="AG56" i="2" a="1"/>
  <c r="AG56" i="2" s="1"/>
  <c r="AG125" i="2" a="1"/>
  <c r="AG125" i="2" s="1"/>
  <c r="AG115" i="2" a="1"/>
  <c r="AG115" i="2" s="1"/>
  <c r="AG13" i="2" a="1"/>
  <c r="AG13" i="2" s="1"/>
  <c r="AG73" i="2" a="1"/>
  <c r="AG73" i="2" s="1"/>
  <c r="AG101" i="2" a="1"/>
  <c r="AG101" i="2" s="1"/>
  <c r="AG69" i="2" a="1"/>
  <c r="AG69" i="2" s="1"/>
  <c r="AG42" i="2" a="1"/>
  <c r="AG42" i="2" s="1"/>
  <c r="AG31" i="2" a="1"/>
  <c r="AG31" i="2" s="1"/>
  <c r="AG97" i="2" a="1"/>
  <c r="AG97" i="2" s="1"/>
  <c r="AG80" i="2" a="1"/>
  <c r="AG80" i="2" s="1"/>
  <c r="AG114" i="2" a="1"/>
  <c r="AG114" i="2" s="1"/>
  <c r="AG34" i="2" a="1"/>
  <c r="AG34" i="2" s="1"/>
  <c r="AG45" i="2" a="1"/>
  <c r="AG45" i="2" s="1"/>
  <c r="AG23" i="2" a="1"/>
  <c r="AG23" i="2" s="1"/>
  <c r="AG133" i="2" a="1"/>
  <c r="AG133" i="2" s="1"/>
  <c r="AG117" i="2" a="1"/>
  <c r="AG117" i="2" s="1"/>
  <c r="AG107" i="2" a="1"/>
  <c r="AG107" i="2" s="1"/>
  <c r="AG79" i="2" a="1"/>
  <c r="AG79" i="2" s="1"/>
  <c r="AG110" i="2" a="1"/>
  <c r="AG110" i="2" s="1"/>
  <c r="AG61" i="2" a="1"/>
  <c r="AG61" i="2" s="1"/>
  <c r="AG37" i="2" a="1"/>
  <c r="AG37" i="2" s="1"/>
  <c r="AG123" i="2" a="1"/>
  <c r="AG123" i="2" s="1"/>
  <c r="AG120" i="2" a="1"/>
  <c r="AG120" i="2" s="1"/>
  <c r="AG71" i="2" a="1"/>
  <c r="AG71" i="2" s="1"/>
  <c r="AG51" i="2" a="1"/>
  <c r="AG51" i="2" s="1"/>
  <c r="AG26" i="2" a="1"/>
  <c r="AG26" i="2" s="1"/>
  <c r="AG99" i="2" a="1"/>
  <c r="AG99" i="2" s="1"/>
  <c r="AG64" i="2" a="1"/>
  <c r="AG64" i="2" s="1"/>
  <c r="AG40" i="2" a="1"/>
  <c r="AG40" i="2" s="1"/>
  <c r="AG20" i="2" a="1"/>
  <c r="AG20" i="2" s="1"/>
  <c r="AG16" i="2" a="1"/>
  <c r="AG16" i="2" s="1"/>
  <c r="AG19" i="2" a="1"/>
  <c r="AG19" i="2" s="1"/>
  <c r="AG18" i="2" a="1"/>
  <c r="AG18" i="2" s="1"/>
  <c r="AG15" i="2" a="1"/>
  <c r="AG15" i="2" s="1"/>
  <c r="AG12" i="2" a="1"/>
  <c r="AG12" i="2" s="1"/>
  <c r="AG14" i="2" a="1"/>
  <c r="AG14" i="2" s="1"/>
  <c r="AG11" i="2" a="1"/>
  <c r="AG11" i="2" s="1"/>
  <c r="D524" i="2" l="1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24" i="2"/>
  <c r="D9" i="2"/>
  <c r="D25" i="2"/>
  <c r="D10" i="2"/>
  <c r="D26" i="2"/>
  <c r="D11" i="2"/>
  <c r="D27" i="2"/>
  <c r="D28" i="2"/>
  <c r="D29" i="2"/>
  <c r="D12" i="2"/>
  <c r="D30" i="2"/>
  <c r="D31" i="2"/>
  <c r="D13" i="2"/>
  <c r="D14" i="2"/>
  <c r="D15" i="2"/>
  <c r="D32" i="2"/>
  <c r="D33" i="2"/>
  <c r="D34" i="2"/>
  <c r="D35" i="2"/>
  <c r="D36" i="2"/>
  <c r="D16" i="2"/>
  <c r="D37" i="2"/>
  <c r="D38" i="2"/>
  <c r="D39" i="2"/>
  <c r="D40" i="2"/>
  <c r="D17" i="2"/>
  <c r="D18" i="2"/>
  <c r="D41" i="2"/>
  <c r="D42" i="2"/>
  <c r="D19" i="2"/>
  <c r="D43" i="2"/>
  <c r="D20" i="2"/>
  <c r="D21" i="2"/>
  <c r="D44" i="2"/>
  <c r="D45" i="2"/>
  <c r="D46" i="2"/>
  <c r="D22" i="2"/>
  <c r="D23" i="2"/>
  <c r="D47" i="2"/>
  <c r="D48" i="2"/>
  <c r="D49" i="2"/>
  <c r="D50" i="2"/>
  <c r="D51" i="2"/>
  <c r="D52" i="2"/>
  <c r="D53" i="2"/>
  <c r="D54" i="2"/>
  <c r="D55" i="2"/>
  <c r="D64" i="2"/>
  <c r="D56" i="2"/>
  <c r="D65" i="2"/>
  <c r="D66" i="2"/>
  <c r="D57" i="2"/>
  <c r="D58" i="2"/>
  <c r="D59" i="2"/>
  <c r="D60" i="2"/>
  <c r="D67" i="2"/>
  <c r="D68" i="2"/>
  <c r="D69" i="2"/>
  <c r="D70" i="2"/>
  <c r="D61" i="2"/>
  <c r="D71" i="2"/>
  <c r="D72" i="2"/>
  <c r="D73" i="2"/>
  <c r="D62" i="2"/>
  <c r="D74" i="2"/>
  <c r="D63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50" i="2"/>
  <c r="D144" i="2"/>
  <c r="D151" i="2"/>
  <c r="D152" i="2"/>
  <c r="D145" i="2"/>
  <c r="D146" i="2"/>
  <c r="D147" i="2"/>
  <c r="D148" i="2"/>
  <c r="D153" i="2"/>
  <c r="D149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65" i="2"/>
  <c r="D266" i="2"/>
  <c r="D226" i="2"/>
  <c r="D227" i="2"/>
  <c r="D228" i="2"/>
  <c r="D229" i="2"/>
  <c r="D267" i="2"/>
  <c r="D230" i="2"/>
  <c r="D231" i="2"/>
  <c r="D232" i="2"/>
  <c r="D233" i="2"/>
  <c r="D268" i="2"/>
  <c r="D269" i="2"/>
  <c r="D234" i="2"/>
  <c r="D235" i="2"/>
  <c r="D270" i="2"/>
  <c r="D236" i="2"/>
  <c r="D237" i="2"/>
  <c r="D238" i="2"/>
  <c r="D239" i="2"/>
  <c r="D240" i="2"/>
  <c r="D271" i="2"/>
  <c r="D241" i="2"/>
  <c r="D272" i="2"/>
  <c r="D242" i="2"/>
  <c r="D243" i="2"/>
  <c r="D244" i="2"/>
  <c r="D273" i="2"/>
  <c r="D245" i="2"/>
  <c r="D246" i="2"/>
  <c r="D274" i="2"/>
  <c r="D247" i="2"/>
  <c r="D248" i="2"/>
  <c r="D249" i="2"/>
  <c r="D250" i="2"/>
  <c r="D275" i="2"/>
  <c r="D251" i="2"/>
  <c r="D276" i="2"/>
  <c r="D252" i="2"/>
  <c r="D277" i="2"/>
  <c r="D253" i="2"/>
  <c r="D278" i="2"/>
  <c r="D254" i="2"/>
  <c r="D279" i="2"/>
  <c r="D255" i="2"/>
  <c r="D256" i="2"/>
  <c r="D257" i="2"/>
  <c r="D258" i="2"/>
  <c r="D259" i="2"/>
  <c r="D280" i="2"/>
  <c r="D260" i="2"/>
  <c r="D261" i="2"/>
  <c r="D262" i="2"/>
  <c r="D263" i="2"/>
  <c r="D281" i="2"/>
  <c r="D264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AG9" i="2" a="1"/>
  <c r="AG9" i="2" s="1"/>
  <c r="AG10" i="2" l="1" a="1"/>
  <c r="AG1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<sst xmlns="http://schemas.openxmlformats.org/spreadsheetml/2006/main" count="29893" uniqueCount="9126">
  <si>
    <t>Code</t>
  </si>
  <si>
    <t>Price Min</t>
  </si>
  <si>
    <t>Price Max</t>
  </si>
  <si>
    <t>Threads</t>
  </si>
  <si>
    <t>Base Clock</t>
  </si>
  <si>
    <t>Turbo Clock</t>
  </si>
  <si>
    <t>Power</t>
  </si>
  <si>
    <t>CPU Socket</t>
  </si>
  <si>
    <t>Chipset Compatibility</t>
  </si>
  <si>
    <t>Architecture</t>
  </si>
  <si>
    <t>L2 Cache</t>
  </si>
  <si>
    <t>L3 Cache</t>
  </si>
  <si>
    <t>Max Data Rate</t>
  </si>
  <si>
    <t>CPU</t>
  </si>
  <si>
    <t>Intel Core i9-14900T, 8C+16c/32T, 1.10-5.50GHz, tray</t>
  </si>
  <si>
    <t>https://geizhals.eu/intel-core-i9-14900t-cm8071504820406-a3096380.html?hloc=at&amp;hloc=de&amp;hloc=eu&amp;hloc=pl&amp;hloc=uk</t>
  </si>
  <si>
    <t>CM8071504820406</t>
  </si>
  <si>
    <t>B660, B760, H610, H610E, H670, H770, Q670, Q670E, R680E, W680, Z690, Z790</t>
  </si>
  <si>
    <t>Intel Core i9-14900KS Special Edition, 8C+16c/32T, 3.20-6.20GHz, boxed ohne Kühler</t>
  </si>
  <si>
    <t>https://geizhals.eu/intel-core-i9-14900ks-bx8071514900ks-a3127291.html?hloc=at&amp;hloc=de&amp;hloc=eu&amp;hloc=pl&amp;hloc=uk</t>
  </si>
  <si>
    <t>BX8071514900KS</t>
  </si>
  <si>
    <t>Intel Core i9-14900KF, 8C+16c/32T, 3.20-6.00GHz, boxed ohne Kühler</t>
  </si>
  <si>
    <t>https://geizhals.eu/intel-core-i9-14900kf-bx8071514900kf-a3043132.html?hloc=at&amp;hloc=de&amp;hloc=eu&amp;hloc=pl&amp;hloc=uk</t>
  </si>
  <si>
    <t>BX8071514900KF</t>
  </si>
  <si>
    <t>Intel Core i9-14900K, 8C+16c/32T, 3.20-6.00GHz, boxed ohne Kühler</t>
  </si>
  <si>
    <t>https://geizhals.eu/intel-core-i9-14900k-bx8071514900k-a3043102.html?hloc=at&amp;hloc=de&amp;hloc=eu&amp;hloc=pl&amp;hloc=uk</t>
  </si>
  <si>
    <t>BX8071514900K</t>
  </si>
  <si>
    <t>Intel Core i9-14900F, 8C+16c/32T, 2.00-5.80GHz, boxed</t>
  </si>
  <si>
    <t>https://geizhals.eu/intel-core-i9-14900f-bx8071514900f-a3096164.html?hloc=at&amp;hloc=de&amp;hloc=eu&amp;hloc=pl&amp;hloc=uk</t>
  </si>
  <si>
    <t>BX8071514900F</t>
  </si>
  <si>
    <t>Intel Core i9-14900, 8C+16c/32T, 2.00-5.80GHz, boxed</t>
  </si>
  <si>
    <t>https://geizhals.eu/intel-core-i9-14900-bx8071514900-a3094300.html?hloc=at&amp;hloc=de&amp;hloc=eu&amp;hloc=pl&amp;hloc=uk</t>
  </si>
  <si>
    <t>BX8071514900</t>
  </si>
  <si>
    <t>Intel Core i9-13900T, 8C+16c/32T, 1.10-5.30GHz, tray</t>
  </si>
  <si>
    <t>https://geizhals.eu/intel-core-i9-13900t-cm8071504820403-a2871164.html?hloc=at&amp;hloc=de&amp;hloc=eu&amp;hloc=pl&amp;hloc=uk</t>
  </si>
  <si>
    <t>CM8071504820403</t>
  </si>
  <si>
    <t>Intel Core i9-13900KS Special Edition, 8C+16c/32T, 3.20-6.00GHz, boxed ohne Kühler</t>
  </si>
  <si>
    <t>https://geizhals.eu/intel-core-i9-13900ks-special-edition-bx8071513900ks-a2876997.html?hloc=at&amp;hloc=de&amp;hloc=eu&amp;hloc=pl&amp;hloc=uk</t>
  </si>
  <si>
    <t>BX8071513900KS</t>
  </si>
  <si>
    <t>Intel Core i9-13900KF, 8C+16c/32T, 3.00-5.80GHz, boxed ohne Kühler</t>
  </si>
  <si>
    <t>https://geizhals.eu/intel-core-i9-13900kf-bx8071513900kf-a2810141.html?hloc=at&amp;hloc=de&amp;hloc=eu&amp;hloc=pl&amp;hloc=uk</t>
  </si>
  <si>
    <t>BX8071513900KF</t>
  </si>
  <si>
    <t>Intel Core i9-13900K, 8C+16c/32T, 3.00-5.80GHz, boxed ohne Kühler</t>
  </si>
  <si>
    <t>https://geizhals.eu/intel-core-i9-13900k-bx8071513900k-a2810039.html?hloc=at&amp;hloc=de&amp;hloc=eu&amp;hloc=pl&amp;hloc=uk</t>
  </si>
  <si>
    <t>BX8071513900K</t>
  </si>
  <si>
    <t>Intel Core i9-13900F, 8C+16c/32T, 2.00-5.60GHz, boxed</t>
  </si>
  <si>
    <t>https://geizhals.eu/intel-core-i9-13900f-bx8071513900f-a2871145.html?hloc=at&amp;hloc=de&amp;hloc=eu&amp;hloc=pl&amp;hloc=uk</t>
  </si>
  <si>
    <t>BX8071513900F</t>
  </si>
  <si>
    <t>Intel Core i9-13900, 8C+16c/32T, 2.00-5.60GHz, boxed</t>
  </si>
  <si>
    <t>https://geizhals.eu/intel-core-i9-13900-bx8071513900-a2871133.html?hloc=at&amp;hloc=de&amp;hloc=eu&amp;hloc=pl&amp;hloc=uk</t>
  </si>
  <si>
    <t>BX8071513900</t>
  </si>
  <si>
    <t>Intel Core i9-12900KS Special Edition, 8C+8c/24T, 3.40-5.50GHz, boxed ohne Kühler</t>
  </si>
  <si>
    <t>https://geizhals.eu/intel-core-i9-12900ks-special-edition-bx8071512900ks-a2702286.html?hloc=at&amp;hloc=de&amp;hloc=eu&amp;hloc=pl&amp;hloc=uk</t>
  </si>
  <si>
    <t>BX8071512900KS</t>
  </si>
  <si>
    <t>Intel Core i9-12900KF, 8C+8c/24T, 3.20-5.20GHz, boxed ohne Kühler</t>
  </si>
  <si>
    <t>https://geizhals.eu/intel-core-i9-12900kf-bx8071512900kf-a2613517.html?hloc=at&amp;hloc=de&amp;hloc=eu&amp;hloc=pl&amp;hloc=uk</t>
  </si>
  <si>
    <t>BX8071512900KF</t>
  </si>
  <si>
    <t>Intel Core i9-12900K, 8C+8c/24T, 3.20-5.20GHz, boxed ohne Kühler</t>
  </si>
  <si>
    <t>https://geizhals.eu/intel-core-i9-12900k-bx8071512900k-a2613475.html?hloc=at&amp;hloc=de&amp;hloc=eu&amp;hloc=pl&amp;hloc=uk</t>
  </si>
  <si>
    <t>BX8071512900K</t>
  </si>
  <si>
    <t>Intel Core i9-12900F, 8C+8c/24T, 2.40-5.10GHz, boxed</t>
  </si>
  <si>
    <t>https://geizhals.eu/intel-core-i9-12900f-bx8071512900f-a2659490.html?hloc=at&amp;hloc=de&amp;hloc=eu&amp;hloc=pl&amp;hloc=uk</t>
  </si>
  <si>
    <t>BX8071512900F</t>
  </si>
  <si>
    <t>Intel Core i9-12900, 8C+8c/24T, 2.40-5.10GHz, boxed</t>
  </si>
  <si>
    <t>https://geizhals.eu/intel-core-i9-12900-bx8071512900-a2659488.html?hloc=at&amp;hloc=de&amp;hloc=eu&amp;hloc=pl&amp;hloc=uk</t>
  </si>
  <si>
    <t>BX8071512900</t>
  </si>
  <si>
    <t>Intel Core i7-14700T, 8C+12c/28T, 1.30-5.20GHz, tray</t>
  </si>
  <si>
    <t>https://geizhals.eu/intel-core-i7-14700t-cm8071504820908-a3096382.html?hloc=at&amp;hloc=de&amp;hloc=eu&amp;hloc=pl&amp;hloc=uk</t>
  </si>
  <si>
    <t>CM8071504820908</t>
  </si>
  <si>
    <t>Intel Core i7-14700KF, 8C+12c/28T, 3.40-5.60GHz, boxed ohne Kühler</t>
  </si>
  <si>
    <t>https://geizhals.eu/intel-core-i7-14700kf-bx8071514700kf-a3043158.html?hloc=at&amp;hloc=de&amp;hloc=eu&amp;hloc=pl&amp;hloc=uk</t>
  </si>
  <si>
    <t>BX8071514700KF</t>
  </si>
  <si>
    <t>Intel Core i7-14700K, 8C+12c/28T, 3.40-5.60GHz, boxed ohne Kühler</t>
  </si>
  <si>
    <t>https://geizhals.eu/intel-core-i7-14700k-bx8071514700k-a3043151.html?hloc=at&amp;hloc=de&amp;hloc=eu&amp;hloc=pl&amp;hloc=uk</t>
  </si>
  <si>
    <t>BX8071514700K</t>
  </si>
  <si>
    <t>Intel Core i7-14700F, 8C+12c/28T, 2.10-5.40GHz, boxed</t>
  </si>
  <si>
    <t>https://geizhals.eu/intel-core-i7-14700f-bx8071514700f-a3096155.html?hloc=at&amp;hloc=de&amp;hloc=eu&amp;hloc=pl&amp;hloc=uk</t>
  </si>
  <si>
    <t>BX8071514700F</t>
  </si>
  <si>
    <t>Intel Core i7-14700, 8C+12c/28T, 2.10-5.40GHz, boxed</t>
  </si>
  <si>
    <t>https://geizhals.eu/intel-core-i7-14700-bx8071514700-a3094301.html?hloc=at&amp;hloc=de&amp;hloc=eu&amp;hloc=pl&amp;hloc=uk</t>
  </si>
  <si>
    <t>BX8071514700</t>
  </si>
  <si>
    <t>Intel Core i7-13700T, 8C+8c/24T, 1.40-4.90GHz, tray</t>
  </si>
  <si>
    <t>https://geizhals.eu/intel-core-i7-13700t-cm8071504820903-a2871165.html?hloc=at&amp;hloc=de&amp;hloc=eu&amp;hloc=pl&amp;hloc=uk</t>
  </si>
  <si>
    <t>CM8071504820903</t>
  </si>
  <si>
    <t>Intel Core i7-13700KF, 8C+8c/24T, 3.40-5.40GHz, boxed ohne Kühler</t>
  </si>
  <si>
    <t>https://geizhals.eu/intel-core-i7-13700kf-bx8071513700kf-a2810175.html?hloc=at&amp;hloc=de&amp;hloc=eu&amp;hloc=pl&amp;hloc=uk</t>
  </si>
  <si>
    <t>BX8071513700KF</t>
  </si>
  <si>
    <t>Intel Core i7-13700K, 8C+8c/24T, 3.40-5.40GHz, boxed ohne Kühler</t>
  </si>
  <si>
    <t>https://geizhals.eu/intel-core-i7-13700k-bx8071513700k-a2810156.html?hloc=at&amp;hloc=de&amp;hloc=eu&amp;hloc=pl&amp;hloc=uk</t>
  </si>
  <si>
    <t>BX8071513700K</t>
  </si>
  <si>
    <t>Intel Core i7-13700F, 8C+8c/24T, 2.10-5.20GHz, boxed</t>
  </si>
  <si>
    <t>https://geizhals.eu/intel-core-i7-13700f-bx8071513700f-a2871123.html?hloc=at&amp;hloc=de&amp;hloc=eu&amp;hloc=pl&amp;hloc=uk</t>
  </si>
  <si>
    <t>BX8071513700F</t>
  </si>
  <si>
    <t>Intel Core i7-13700, 8C+8c/24T, 2.10-5.20GHz, boxed</t>
  </si>
  <si>
    <t>https://geizhals.eu/intel-core-i7-13700-bx8071513700-a2871117.html?hloc=at&amp;hloc=de&amp;hloc=eu&amp;hloc=pl&amp;hloc=uk</t>
  </si>
  <si>
    <t>BX8071513700</t>
  </si>
  <si>
    <t>Intel Core i7-12700T, 8C+4c/20T, 1.40-4.70GHz, tray</t>
  </si>
  <si>
    <t>https://geizhals.eu/intel-core-i7-12700t-cm8071504555117-a2660326.html?hloc=at&amp;hloc=de&amp;hloc=eu&amp;hloc=pl&amp;hloc=uk</t>
  </si>
  <si>
    <t>CM8071504555117</t>
  </si>
  <si>
    <t>Intel Core i7-12700KF, 8C+4c/20T, 3.60-5.00GHz, boxed ohne Kühler</t>
  </si>
  <si>
    <t>https://geizhals.eu/intel-core-i7-12700kf-bx8071512700kf-a2613568.html?hloc=at&amp;hloc=de&amp;hloc=eu&amp;hloc=pl&amp;hloc=uk</t>
  </si>
  <si>
    <t>BX8071512700KF</t>
  </si>
  <si>
    <t>Intel Core i7-12700K, 8C+4c/20T, 3.60-5.00GHz, boxed ohne Kühler</t>
  </si>
  <si>
    <t>https://geizhals.eu/intel-core-i7-12700k-bx8071512700k-a2613520.html?hloc=at&amp;hloc=de&amp;hloc=eu&amp;hloc=pl&amp;hloc=uk</t>
  </si>
  <si>
    <t>BX8071512700K</t>
  </si>
  <si>
    <t>Intel Core i7-12700F, 8C+4c/20T, 2.10-4.90GHz, boxed</t>
  </si>
  <si>
    <t>https://geizhals.eu/intel-core-i7-12700f-bx8071512700f-a2659491.html?hloc=at&amp;hloc=de&amp;hloc=eu&amp;hloc=pl&amp;hloc=uk</t>
  </si>
  <si>
    <t>BX8071512700F</t>
  </si>
  <si>
    <t>Intel Core i7-12700, 8C+4c/20T, 2.10-4.90GHz, boxed</t>
  </si>
  <si>
    <t>https://geizhals.eu/intel-core-i7-12700-bx8071512700-a2659489.html?hloc=at&amp;hloc=de&amp;hloc=eu&amp;hloc=pl&amp;hloc=uk</t>
  </si>
  <si>
    <t>BX8071512700</t>
  </si>
  <si>
    <t>Intel Core i5-14600T, 6C+8c/20T, 1.80-5.10GHz, tray</t>
  </si>
  <si>
    <t>https://geizhals.eu/intel-core-i5-14600t-cm8071504821019-a3096384.html?hloc=at&amp;hloc=de&amp;hloc=eu&amp;hloc=pl&amp;hloc=uk</t>
  </si>
  <si>
    <t>CM8071504821019</t>
  </si>
  <si>
    <t>Intel Core i5-14600KF, 6C+8c/20T, 3.50-5.30GHz, boxed ohne Kühler</t>
  </si>
  <si>
    <t>https://geizhals.eu/intel-core-i5-14600kf-bx8071514600kf-a3043179.html?hloc=at&amp;hloc=de&amp;hloc=eu&amp;hloc=pl&amp;hloc=uk</t>
  </si>
  <si>
    <t>BX8071514600KF</t>
  </si>
  <si>
    <t>Intel Core i5-14600K, 6C+8c/20T, 3.50-5.30GHz, boxed ohne Kühler</t>
  </si>
  <si>
    <t>https://geizhals.eu/intel-core-i5-14600k-bx8071514600k-a3043173.html?hloc=at&amp;hloc=de&amp;hloc=eu&amp;hloc=pl&amp;hloc=uk</t>
  </si>
  <si>
    <t>BX8071514600K</t>
  </si>
  <si>
    <t>Intel Core i5-14600, 6C+8c/20T, 2.70-5.20GHz, tray</t>
  </si>
  <si>
    <t>https://geizhals.eu/intel-core-i5-14600-cm8071504821018-a3096398.html?hloc=at&amp;hloc=de&amp;hloc=eu&amp;hloc=pl&amp;hloc=uk</t>
  </si>
  <si>
    <t>CM8071504821018</t>
  </si>
  <si>
    <t>Intel Core i5-14500T, 6C+8c/20T, 1.70-4.80GHz, tray</t>
  </si>
  <si>
    <t>https://geizhals.eu/intel-core-i5-14500t-cm8071505092904-a3096385.html?hloc=at&amp;hloc=de&amp;hloc=eu&amp;hloc=pl&amp;hloc=uk</t>
  </si>
  <si>
    <t>CM8071505092904</t>
  </si>
  <si>
    <t>Intel Core i5-14500, 6C+8c/20T, 2.60-5.00GHz, boxed</t>
  </si>
  <si>
    <t>https://geizhals.eu/intel-core-i5-14500-bx8071514500-a3096365.html?hloc=at&amp;hloc=de&amp;hloc=eu&amp;hloc=pl&amp;hloc=uk</t>
  </si>
  <si>
    <t>BX8071514500</t>
  </si>
  <si>
    <t>Intel Core i5-14400T, 6C+4c/16T, 1.50-4.50GHz, tray</t>
  </si>
  <si>
    <t>https://geizhals.eu/intel-core-i5-14400t-cm8071505092805-a3096389.html?hloc=at&amp;hloc=de&amp;hloc=eu&amp;hloc=pl&amp;hloc=uk</t>
  </si>
  <si>
    <t>CM8071505092805</t>
  </si>
  <si>
    <t>Intel Core i5-14400F (B0), 6C+4c/16T, 2.50-4.70GHz, tray</t>
  </si>
  <si>
    <t>https://geizhals.eu/intel-core-i5-14400f-b0-cm8071504821113-a3096396.html?hloc=at&amp;hloc=de&amp;hloc=eu&amp;hloc=pl&amp;hloc=uk</t>
  </si>
  <si>
    <t>CM8071504821113</t>
  </si>
  <si>
    <t>Intel Core i5-14400 (B0), 6C+4c/16T, 2.50-4.70GHz, tray</t>
  </si>
  <si>
    <t>https://geizhals.eu/intel-core-i5-14400-b0-cm8071504821112-a3096395.html?hloc=at&amp;hloc=de&amp;hloc=eu&amp;hloc=pl&amp;hloc=uk</t>
  </si>
  <si>
    <t>CM8071504821112</t>
  </si>
  <si>
    <t>Intel Core i5-13600T, 6C+8c/20T, 1.80-4.80GHz, tray</t>
  </si>
  <si>
    <t>https://geizhals.eu/intel-core-i5-13600t-cm8071505092601-a2871166.html?hloc=at&amp;hloc=de&amp;hloc=eu&amp;hloc=pl&amp;hloc=uk</t>
  </si>
  <si>
    <t>CM8071505092601</t>
  </si>
  <si>
    <t>Intel Core i5-13600KF, 6C+8c/20T, 3.50-5.10GHz, boxed ohne Kühler</t>
  </si>
  <si>
    <t>https://geizhals.eu/intel-core-i5-13600kf-bx8071513600kf-a2810192.html?hloc=at&amp;hloc=de&amp;hloc=eu&amp;hloc=pl&amp;hloc=uk</t>
  </si>
  <si>
    <t>BX8071513600KF</t>
  </si>
  <si>
    <t>Intel Core i5-13600K, 6C+8c/20T, 3.50-5.10GHz, boxed ohne Kühler</t>
  </si>
  <si>
    <t>https://geizhals.eu/intel-core-i5-13600k-bx8071513600k-a2810186.html?hloc=at&amp;hloc=de&amp;hloc=eu&amp;hloc=pl&amp;hloc=uk</t>
  </si>
  <si>
    <t>BX8071513600K</t>
  </si>
  <si>
    <t>Intel Core i5-13600, 6C+8c/20T, 2.70-5.00GHz, tray</t>
  </si>
  <si>
    <t>https://geizhals.eu/intel-core-i5-13600-cm8071505092702-a2871152.html?hloc=at&amp;hloc=de&amp;hloc=eu&amp;hloc=pl&amp;hloc=uk</t>
  </si>
  <si>
    <t>CM8071505092702</t>
  </si>
  <si>
    <t>Intel Core i5-13500T, 6C+8c/20T, 1.60-4.60GHz, tray</t>
  </si>
  <si>
    <t>https://geizhals.eu/intel-core-i5-13500t-cm8071505092901-a2871167.html?hloc=at&amp;hloc=de&amp;hloc=eu&amp;hloc=pl&amp;hloc=uk</t>
  </si>
  <si>
    <t>CM8071505092901</t>
  </si>
  <si>
    <t>Intel Core i5-13500, 6C+8c/20T, 2.50-4.80GHz, boxed</t>
  </si>
  <si>
    <t>https://geizhals.eu/intel-core-i5-13500-bx8071513500-a2871148.html?hloc=at&amp;hloc=de&amp;hloc=eu&amp;hloc=pl&amp;hloc=uk</t>
  </si>
  <si>
    <t>BX8071513500</t>
  </si>
  <si>
    <t>Intel Core i5-13400F (B0), 6C+4c/16T, 2.50-4.60GHz, tray</t>
  </si>
  <si>
    <t>https://geizhals.eu/intel-core-i5-13400f-b0-cm8071504821107-a2871762.html?hloc=at&amp;hloc=de&amp;hloc=eu&amp;hloc=pl&amp;hloc=uk</t>
  </si>
  <si>
    <t>CM8071504821107</t>
  </si>
  <si>
    <t>Intel Core i5-13400 (B0), 6C+4c/16T, 2.50-4.60GHz, tray</t>
  </si>
  <si>
    <t>https://geizhals.eu/intel-core-i5-13400-b0-cm8071504821106-a2871764.html?hloc=at&amp;hloc=de&amp;hloc=eu&amp;hloc=pl&amp;hloc=uk</t>
  </si>
  <si>
    <t>CM8071504821106</t>
  </si>
  <si>
    <t>Intel Core i5-12600T, 6C/12T, 2.10-4.60GHz, tray</t>
  </si>
  <si>
    <t>https://geizhals.eu/intel-core-i5-12600t-cm8071504647507-a2660328.html?hloc=at&amp;hloc=de&amp;hloc=eu&amp;hloc=pl&amp;hloc=uk</t>
  </si>
  <si>
    <t>CM8071504647507</t>
  </si>
  <si>
    <t>Golden Cove</t>
  </si>
  <si>
    <t>Intel Core i5-12600KF, 6C+4c/16T, 3.70-4.90GHz, boxed ohne Kühler</t>
  </si>
  <si>
    <t>https://geizhals.eu/intel-core-i5-12600kf-bx8071512600kf-a2613601.html?hloc=at&amp;hloc=de&amp;hloc=eu&amp;hloc=pl&amp;hloc=uk</t>
  </si>
  <si>
    <t>BX8071512600KF</t>
  </si>
  <si>
    <t>Intel Core i5-12600K, 6C+4c/16T, 3.70-4.90GHz, boxed ohne Kühler</t>
  </si>
  <si>
    <t>https://geizhals.eu/intel-core-i5-12600k-bx8071512600k-a2613572.html?hloc=at&amp;hloc=de&amp;hloc=eu&amp;hloc=pl&amp;hloc=uk</t>
  </si>
  <si>
    <t>BX8071512600K</t>
  </si>
  <si>
    <t>Intel Core i5-12600, 6C/12T, 3.30-4.80GHz, boxed</t>
  </si>
  <si>
    <t>https://geizhals.eu/intel-core-i5-12600-bx8071512600-a2659492.html?hloc=at&amp;hloc=de&amp;hloc=eu&amp;hloc=pl&amp;hloc=uk</t>
  </si>
  <si>
    <t>BX8071512600</t>
  </si>
  <si>
    <t>Intel Core i5-12500T, 6C/12T, 2.00-4.40GHz, tray</t>
  </si>
  <si>
    <t>https://geizhals.eu/intel-core-i5-12500t-cm8071504647706-a2660379.html?hloc=at&amp;hloc=de&amp;hloc=eu&amp;hloc=pl&amp;hloc=uk</t>
  </si>
  <si>
    <t>CM8071504647706</t>
  </si>
  <si>
    <t>Intel Core i5-12500, 6C/12T, 3.00-4.60GHz, boxed</t>
  </si>
  <si>
    <t>https://geizhals.eu/intel-core-i5-12500-bx8071512500-a2659493.html?hloc=at&amp;hloc=de&amp;hloc=eu&amp;hloc=pl&amp;hloc=uk</t>
  </si>
  <si>
    <t>BX8071512500</t>
  </si>
  <si>
    <t>Intel Core i5-12400T, 6C/12T, 1.80-4.20GHz, tray</t>
  </si>
  <si>
    <t>https://geizhals.eu/intel-core-i5-12400t-cm8071504650506-a2660329.html?hloc=at&amp;hloc=de&amp;hloc=eu&amp;hloc=pl&amp;hloc=uk</t>
  </si>
  <si>
    <t>CM8071504650506</t>
  </si>
  <si>
    <t>Intel Core i5-12400F, 6C/12T, 2.50-4.40GHz, boxed</t>
  </si>
  <si>
    <t>https://geizhals.eu/intel-core-i5-12400f-bx8071512400f-a2659495.html?hloc=at&amp;hloc=de&amp;hloc=eu&amp;hloc=pl&amp;hloc=uk</t>
  </si>
  <si>
    <t>BX8071512400F</t>
  </si>
  <si>
    <t>Intel Core i5-12400, 6C/12T, 2.50-4.40GHz, boxed</t>
  </si>
  <si>
    <t>https://geizhals.eu/intel-core-i5-12400-bx8071512400-a2659494.html?hloc=at&amp;hloc=de&amp;hloc=eu&amp;hloc=pl&amp;hloc=uk</t>
  </si>
  <si>
    <t>BX8071512400</t>
  </si>
  <si>
    <t>Intel Core i3-14100T, 4C/8T, 2.70-4.40GHz, tray</t>
  </si>
  <si>
    <t>https://geizhals.eu/intel-core-i3-14100t-cm8071505092103-a3096391.html?hloc=at&amp;hloc=de&amp;hloc=eu&amp;hloc=pl&amp;hloc=uk</t>
  </si>
  <si>
    <t>CM8071505092103</t>
  </si>
  <si>
    <t>8</t>
  </si>
  <si>
    <t>Intel Core i3-14100F, 4C/8T, 3.50-4.70GHz, boxed</t>
  </si>
  <si>
    <t>https://geizhals.eu/intel-core-i3-14100f-bx8071514100f-a3096388.html?hloc=at&amp;hloc=de&amp;hloc=eu&amp;hloc=pl&amp;hloc=uk</t>
  </si>
  <si>
    <t>BX8071514100F</t>
  </si>
  <si>
    <t>Intel Core i3-14100, 4C/8T, 3.50-4.70GHz, boxed</t>
  </si>
  <si>
    <t>https://geizhals.eu/intel-core-i3-14100-bx8071514100-a3096378.html?hloc=at&amp;hloc=de&amp;hloc=eu&amp;hloc=pl&amp;hloc=uk</t>
  </si>
  <si>
    <t>BX8071514100</t>
  </si>
  <si>
    <t>Intel Core i3-13100T, 4C/8T, 2.50-4.20GHz, tray</t>
  </si>
  <si>
    <t>https://geizhals.eu/intel-core-i3-13100t-cm8071505092101-a2871169.html?hloc=at&amp;hloc=de&amp;hloc=eu&amp;hloc=pl&amp;hloc=uk</t>
  </si>
  <si>
    <t>CM8071505092101</t>
  </si>
  <si>
    <t>Intel Core i3-13100F, 4C/8T, 3.40-4.50GHz, boxed</t>
  </si>
  <si>
    <t>https://geizhals.eu/intel-core-i3-13100f-bx8071513100f-a2871147.html?hloc=at&amp;hloc=de&amp;hloc=eu&amp;hloc=pl&amp;hloc=uk</t>
  </si>
  <si>
    <t>BX8071513100F</t>
  </si>
  <si>
    <t>Intel Core i3-13100, 4C/8T, 3.40-4.50GHz, boxed</t>
  </si>
  <si>
    <t>https://geizhals.eu/intel-core-i3-13100-bx8071513100-a2871146.html?hloc=at&amp;hloc=de&amp;hloc=eu&amp;hloc=pl&amp;hloc=uk</t>
  </si>
  <si>
    <t>BX8071513100</t>
  </si>
  <si>
    <t>Intel Core i3-12300T, 4C/8T, 2.30-4.20GHz, tray</t>
  </si>
  <si>
    <t>https://geizhals.eu/intel-core-i3-12300t-cm8071504650806-a2660331.html?hloc=at&amp;hloc=de&amp;hloc=eu&amp;hloc=pl&amp;hloc=uk</t>
  </si>
  <si>
    <t>CM8071504650806</t>
  </si>
  <si>
    <t>Intel Core i3-12100T, 4C/8T, 2.20-4.10GHz, tray</t>
  </si>
  <si>
    <t>https://geizhals.eu/intel-core-i3-12100t-cm8071504651106-a2660333.html?hloc=at&amp;hloc=de&amp;hloc=eu&amp;hloc=pl&amp;hloc=uk</t>
  </si>
  <si>
    <t>CM8071504651106</t>
  </si>
  <si>
    <t>Intel Core i3-12100F, 4C/8T, 3.30-4.30GHz, boxed</t>
  </si>
  <si>
    <t>https://geizhals.eu/intel-core-i3-12100f-bx8071512100f-a2659497.html?hloc=at&amp;hloc=de&amp;hloc=eu&amp;hloc=pl&amp;hloc=uk</t>
  </si>
  <si>
    <t>BX8071512100F</t>
  </si>
  <si>
    <t>Intel Core i3-12100, 4C/8T, 3.30-4.30GHz, boxed</t>
  </si>
  <si>
    <t>https://geizhals.eu/intel-core-i3-12100-bx8071512100-a2659496.html?hloc=at&amp;hloc=de&amp;hloc=eu&amp;hloc=pl&amp;hloc=uk</t>
  </si>
  <si>
    <t>BX8071512100</t>
  </si>
  <si>
    <t>AMD Ryzen 9 PRO 7945, 12C/24T, 3.70-5.40GHz, tray</t>
  </si>
  <si>
    <t>100-000000598</t>
  </si>
  <si>
    <t>Zen 4</t>
  </si>
  <si>
    <t>https://geizhals.eu/amd-ryzen-9-pro-7945-100-000000598-100-100000598mpk-a2970913.html?hloc=at&amp;hloc=de&amp;hloc=eu&amp;hloc=pl&amp;hloc=uk</t>
  </si>
  <si>
    <t>32</t>
  </si>
  <si>
    <t>Zen 5</t>
  </si>
  <si>
    <t>AMD Ryzen 9 9950X, 16C/32T, 4.30-5.70GHz, boxed ohne Kühler</t>
  </si>
  <si>
    <t>100-100001277WOF</t>
  </si>
  <si>
    <t>https://geizhals.eu/amd-ryzen-9-9950x-100-100001277wof-a3202478.html?hloc=at&amp;hloc=de&amp;hloc=eu&amp;hloc=pl&amp;hloc=uk</t>
  </si>
  <si>
    <t>AMD Ryzen 9 9900X, 12C/24T, 4.40-5.60GHz, boxed ohne Kühler</t>
  </si>
  <si>
    <t>100-100000662WOF</t>
  </si>
  <si>
    <t>https://geizhals.eu/amd-ryzen-9-9900x-100-100000662wof-a3202550.html?hloc=at&amp;hloc=de&amp;hloc=eu&amp;hloc=pl&amp;hloc=uk</t>
  </si>
  <si>
    <t>AMD Ryzen 9 7950X3D, 16C/32T, 4.20-5.70GHz, boxed ohne Kühler</t>
  </si>
  <si>
    <t>100-100000908WOF</t>
  </si>
  <si>
    <t>https://geizhals.eu/amd-ryzen-9-7950x3d-100-100000908wof-a2871976.html?hloc=at&amp;hloc=de&amp;hloc=eu&amp;hloc=pl&amp;hloc=uk</t>
  </si>
  <si>
    <t>AMD Ryzen 9 7950X, 16C/32T, 4.50-5.70GHz, boxed ohne Kühler</t>
  </si>
  <si>
    <t>100-100000514WOF</t>
  </si>
  <si>
    <t>https://geizhals.eu/amd-ryzen-9-7950x-100-100000514wof-a2801222.html?hloc=at&amp;hloc=de&amp;hloc=eu&amp;hloc=pl&amp;hloc=uk</t>
  </si>
  <si>
    <t>AMD Ryzen 9 7900X3D, 12C/24T, 4.40-5.60GHz, boxed ohne Kühler</t>
  </si>
  <si>
    <t>100-100000909WOF</t>
  </si>
  <si>
    <t>https://geizhals.eu/amd-ryzen-9-7900x3d-100-100000909wof-a2872157.html?hloc=at&amp;hloc=de&amp;hloc=eu&amp;hloc=pl&amp;hloc=uk</t>
  </si>
  <si>
    <t>AMD Ryzen 9 7900X, 12C/24T, 4.70-5.60GHz, boxed ohne Kühler</t>
  </si>
  <si>
    <t>100-100000589WOF</t>
  </si>
  <si>
    <t>https://geizhals.eu/amd-ryzen-9-7900x-100-100000589wof-a2801226.html?hloc=at&amp;hloc=de&amp;hloc=eu&amp;hloc=pl&amp;hloc=uk</t>
  </si>
  <si>
    <t>AMD Ryzen 9 7900, 12C/24T, 3.70-5.40GHz, boxed</t>
  </si>
  <si>
    <t>100-100000590BOX</t>
  </si>
  <si>
    <t>https://geizhals.eu/amd-ryzen-9-7900-100-100000590box-a2871172.html?hloc=at&amp;hloc=de&amp;hloc=eu&amp;hloc=pl&amp;hloc=uk</t>
  </si>
  <si>
    <t>Zen 3</t>
  </si>
  <si>
    <t>AMD Ryzen 9 5950X, 16C/32T, 3.40-4.90GHz, boxed ohne Kühler</t>
  </si>
  <si>
    <t>100-100000059WOF</t>
  </si>
  <si>
    <t>https://geizhals.eu/amd-ryzen-9-5950x-100-100000059wof-a2392527.html?hloc=at&amp;hloc=de&amp;hloc=eu&amp;hloc=pl&amp;hloc=uk</t>
  </si>
  <si>
    <t>AMD Ryzen 9 5900XT, 16C/32T, 3.30-4.80GHz, boxed ohne Kühler</t>
  </si>
  <si>
    <t>100-100001581WOF</t>
  </si>
  <si>
    <t>https://geizhals.eu/amd-ryzen-9-5900xt-100-100001581wof-a3202578.html?hloc=at&amp;hloc=de&amp;hloc=eu&amp;hloc=pl&amp;hloc=uk</t>
  </si>
  <si>
    <t>AMD Ryzen 9 5900X, 12C/24T, 3.70-4.80GHz, boxed ohne Kühler</t>
  </si>
  <si>
    <t>100-100000061WOF</t>
  </si>
  <si>
    <t>https://geizhals.eu/amd-ryzen-9-5900x-100-100000061wof-a2392526.html?hloc=at&amp;hloc=de&amp;hloc=eu&amp;hloc=pl&amp;hloc=uk</t>
  </si>
  <si>
    <t>AMD Ryzen 7 PRO 5750GE, 8C/16T, 3.20-4.60GHz, tray</t>
  </si>
  <si>
    <t>100-000000257/100-100000257MPK</t>
  </si>
  <si>
    <t>16</t>
  </si>
  <si>
    <t>https://geizhals.eu/amd-ryzen-7-pro-5750ge-100-000000257-a2536559.html?hloc=at&amp;hloc=de&amp;hloc=eu&amp;hloc=pl&amp;hloc=uk</t>
  </si>
  <si>
    <t>AMD Ryzen 7 9800X3D, 8C/16T, 4.70-5.20GHz, boxed ohne Kühler</t>
  </si>
  <si>
    <t>100-100001084WOF</t>
  </si>
  <si>
    <t>https://geizhals.eu/amd-ryzen-7-9800x3d-100-100001084wof-a3336051.html?hloc=at&amp;hloc=de&amp;hloc=eu&amp;hloc=pl&amp;hloc=uk</t>
  </si>
  <si>
    <t>AMD Ryzen 7 9700X, 8C/16T, 3.80-5.50GHz, boxed ohne Kühler</t>
  </si>
  <si>
    <t>100-100001404WOF</t>
  </si>
  <si>
    <t>https://geizhals.eu/amd-ryzen-7-9700x-100-100001404wof-a3202557.html?hloc=at&amp;hloc=de&amp;hloc=eu&amp;hloc=pl&amp;hloc=uk</t>
  </si>
  <si>
    <t>AMD Ryzen 7 7800X3D, 8C/16T, 4.20-5.00GHz, boxed ohne Kühler</t>
  </si>
  <si>
    <t>100-100000910WOF</t>
  </si>
  <si>
    <t>https://geizhals.eu/amd-ryzen-7-7800x3d-100-100000910wof-a2872148.html?hloc=at&amp;hloc=de&amp;hloc=eu&amp;hloc=pl&amp;hloc=uk</t>
  </si>
  <si>
    <t>AMD Ryzen 7 7700X, 8C/16T, 4.50-5.40GHz, boxed ohne Kühler</t>
  </si>
  <si>
    <t>100-100000591WOF</t>
  </si>
  <si>
    <t>https://geizhals.eu/amd-ryzen-7-7700x-100-100000591wof-a2801229.html?hloc=at&amp;hloc=de&amp;hloc=eu&amp;hloc=pl&amp;hloc=uk</t>
  </si>
  <si>
    <t>AMD Ryzen 7 7700, 8C/16T, 3.80-5.30GHz, boxed</t>
  </si>
  <si>
    <t>100-100000592BOX</t>
  </si>
  <si>
    <t>https://geizhals.eu/amd-ryzen-7-7700-100-100000592box-a2871173.html?hloc=at&amp;hloc=de&amp;hloc=eu&amp;hloc=pl&amp;hloc=uk</t>
  </si>
  <si>
    <t>AMD Ryzen 7 5800XT, 8C/16T, 3.80-4.80GHz, boxed</t>
  </si>
  <si>
    <t>100-100001582BOX</t>
  </si>
  <si>
    <t>https://geizhals.eu/amd-ryzen-7-5800xt-100-100001582box-a3202581.html?hloc=at&amp;hloc=de&amp;hloc=eu&amp;hloc=pl&amp;hloc=uk</t>
  </si>
  <si>
    <t>AMD Ryzen 7 5800X, 8C/16T, 3.80-4.70GHz, boxed ohne Kühler</t>
  </si>
  <si>
    <t>100-100000063WOF</t>
  </si>
  <si>
    <t>https://geizhals.eu/amd-ryzen-7-5800x-100-100000063wof-a2392525.html?hloc=at&amp;hloc=de&amp;hloc=eu&amp;hloc=pl&amp;hloc=uk</t>
  </si>
  <si>
    <t>AMD Ryzen 7 5700X3D, 8C/16T, 3.00-4.10GHz, boxed ohne Kühler</t>
  </si>
  <si>
    <t>100-100001503WOF</t>
  </si>
  <si>
    <t>https://geizhals.eu/amd-ryzen-7-5700x3d-100-100001503wof-a3094294.html?hloc=at&amp;hloc=de&amp;hloc=eu&amp;hloc=pl&amp;hloc=uk</t>
  </si>
  <si>
    <t>AMD Ryzen 7 5700X, 8C/16T, 3.40-4.60GHz, boxed ohne Kühler</t>
  </si>
  <si>
    <t>100-100000926WOF</t>
  </si>
  <si>
    <t>https://geizhals.eu/amd-ryzen-7-5700x-100-100000926wof-a2709092.html?hloc=at&amp;hloc=de&amp;hloc=eu&amp;hloc=pl&amp;hloc=uk</t>
  </si>
  <si>
    <t>AMD Ryzen 7 5700G, 8C/16T, 3.80-4.60GHz, boxed</t>
  </si>
  <si>
    <t>100-100000263BOX</t>
  </si>
  <si>
    <t>https://geizhals.eu/amd-ryzen-7-5700g-100-100000263box-a2536478.html?hloc=at&amp;hloc=de&amp;hloc=eu&amp;hloc=pl&amp;hloc=uk</t>
  </si>
  <si>
    <t>AMD Ryzen 7 5700, 8C/16T, 3.70-4.60GHz, boxed</t>
  </si>
  <si>
    <t>100-000000743BOX</t>
  </si>
  <si>
    <t>https://geizhals.eu/amd-ryzen-7-5700-100-000000743box-a3096230.html?hloc=at&amp;hloc=de&amp;hloc=eu&amp;hloc=pl&amp;hloc=uk</t>
  </si>
  <si>
    <t>AMD Ryzen 5 PRO 7645, 6C/12T, 3.80-5.10GHz, tray</t>
  </si>
  <si>
    <t>100-000000600 / 100-000000600A / 100-100000600MPK</t>
  </si>
  <si>
    <t>https://geizhals.eu/amd-ryzen-5-pro-7645-100-000000600-100-100000600mpk-a2970939.html?hloc=at&amp;hloc=de&amp;hloc=eu&amp;hloc=pl&amp;hloc=uk</t>
  </si>
  <si>
    <t>AMD Ryzen 5 PRO 5655G, 6C/12T, 3.90-4.40GHz, tray</t>
  </si>
  <si>
    <t>100-000001513 / 100-100001513MPK</t>
  </si>
  <si>
    <t>https://geizhals.eu/amd-ryzen-5-pro-5655g-100-000001513-100-100001513mpk-a3394386.html?hloc=at&amp;hloc=de&amp;hloc=eu&amp;hloc=pl&amp;hloc=uk</t>
  </si>
  <si>
    <t>AMD Ryzen 5 9600X, 6C/12T, 3.90-5.40GHz, boxed ohne Kühler</t>
  </si>
  <si>
    <t>100-100001405WOF</t>
  </si>
  <si>
    <t>https://geizhals.eu/amd-ryzen-5-9600x-100-100001405wof-a3202564.html?hloc=at&amp;hloc=de&amp;hloc=eu&amp;hloc=pl&amp;hloc=uk</t>
  </si>
  <si>
    <t>AMD Ryzen 5 9600, 6C/12T, 3.80-5.20GHz, boxed</t>
  </si>
  <si>
    <t>100-100000718BOX</t>
  </si>
  <si>
    <t>https://geizhals.eu/amd-ryzen-5-9600-100-100000718box-a3382427.html?hloc=at&amp;hloc=de&amp;hloc=eu&amp;hloc=pl&amp;hloc=uk</t>
  </si>
  <si>
    <t>AMD Ryzen 5 7600X3D, 6C/12T, 4.10-4.70GHz, boxed ohne Kühler</t>
  </si>
  <si>
    <t>100-100001721WOF</t>
  </si>
  <si>
    <t>https://geizhals.eu/amd-ryzen-5-7600x3d-100-100001721wof-a3293751.html?hloc=at&amp;hloc=de&amp;hloc=eu&amp;hloc=pl&amp;hloc=uk</t>
  </si>
  <si>
    <t>AMD Ryzen 5 7600X, 6C/12T, 4.70-5.30GHz, boxed ohne Kühler</t>
  </si>
  <si>
    <t>100-100000593WOF</t>
  </si>
  <si>
    <t>https://geizhals.eu/amd-ryzen-5-7600x-100-100000593wof-a2801237.html?hloc=at&amp;hloc=de&amp;hloc=eu&amp;hloc=pl&amp;hloc=uk</t>
  </si>
  <si>
    <t>AMD Ryzen 5 7600, 6C/12T, 3.80-5.10GHz, boxed</t>
  </si>
  <si>
    <t>100-100001015BOX</t>
  </si>
  <si>
    <t>https://geizhals.eu/amd-ryzen-5-7600-100-100001015box-a2871174.html?hloc=at&amp;hloc=de&amp;hloc=eu&amp;hloc=pl&amp;hloc=uk</t>
  </si>
  <si>
    <t>AMD Ryzen 5 7500F, 6C/12T, 3.70-5.00GHz, tray</t>
  </si>
  <si>
    <t>100-000000597 / 100-100000597MPK</t>
  </si>
  <si>
    <t>https://geizhals.eu/amd-ryzen-5-7500f-100-000000597-a2991857.html?hloc=at&amp;hloc=de&amp;hloc=eu&amp;hloc=pl&amp;hloc=uk</t>
  </si>
  <si>
    <t>AMD Ryzen 5 5600XT, 6C/12T, 3.70-4.70GHz, boxed</t>
  </si>
  <si>
    <t>100-100001585BOX</t>
  </si>
  <si>
    <t>https://geizhals.eu/amd-ryzen-5-5600xt-100-100001585box-a3334124.html?hloc=at&amp;hloc=de&amp;hloc=eu&amp;hloc=pl&amp;hloc=uk</t>
  </si>
  <si>
    <t>AMD Ryzen 5 5600X, 6C/12T, 3.70-4.60GHz, boxed</t>
  </si>
  <si>
    <t>100-100000065BOX</t>
  </si>
  <si>
    <t>https://geizhals.eu/amd-ryzen-5-5600x-100-100000065box-a2392524.html?hloc=at&amp;hloc=de&amp;hloc=eu&amp;hloc=pl&amp;hloc=uk</t>
  </si>
  <si>
    <t>AMD Ryzen 5 5600T, 6C/12T, 3.50-4.50GHz, boxed</t>
  </si>
  <si>
    <t>100-100001584BOX</t>
  </si>
  <si>
    <t>https://geizhals.eu/amd-ryzen-5-5600t-100-100001584box-a3336007.html?hloc=at&amp;hloc=de&amp;hloc=eu&amp;hloc=pl&amp;hloc=uk</t>
  </si>
  <si>
    <t>AMD Ryzen 5 5600GT, 6C/12T, 3.60-4.60GHz, boxed</t>
  </si>
  <si>
    <t>100-100001488BOX</t>
  </si>
  <si>
    <t>https://geizhals.eu/amd-ryzen-5-5600gt-100-100001488box-a3096224.html?hloc=at&amp;hloc=de&amp;hloc=eu&amp;hloc=pl&amp;hloc=uk</t>
  </si>
  <si>
    <t>AMD Ryzen 5 5600G, 6C/12T, 3.90-4.40GHz, boxed</t>
  </si>
  <si>
    <t>100-100000252BOX</t>
  </si>
  <si>
    <t>https://geizhals.eu/amd-ryzen-5-5600g-100-100000252box-a2536507.html?hloc=at&amp;hloc=de&amp;hloc=eu&amp;hloc=pl&amp;hloc=uk</t>
  </si>
  <si>
    <t>AMD Ryzen 5 5600, 6C/12T, 3.50-4.40GHz, boxed</t>
  </si>
  <si>
    <t>100-100000927BOX</t>
  </si>
  <si>
    <t>https://geizhals.eu/amd-ryzen-5-5600-100-100000927box-a2709114.html?hloc=at&amp;hloc=de&amp;hloc=eu&amp;hloc=pl&amp;hloc=uk</t>
  </si>
  <si>
    <t>AMD Ryzen 5 5500GT, 6C/12T, 3.60-4.40GHz, boxed</t>
  </si>
  <si>
    <t>100-100001489BOX</t>
  </si>
  <si>
    <t>https://geizhals.eu/amd-ryzen-5-5500gt-100-100001489box-a3092024.html?hloc=at&amp;hloc=de&amp;hloc=eu&amp;hloc=pl&amp;hloc=uk</t>
  </si>
  <si>
    <t>AMD Ryzen 5 5500, 6C/12T, 3.60-4.20GHz, boxed</t>
  </si>
  <si>
    <t>100-100000457BOX</t>
  </si>
  <si>
    <t>https://geizhals.eu/amd-ryzen-5-5500-100-100000457box-a2709165.html?hloc=at&amp;hloc=de&amp;hloc=eu&amp;hloc=pl&amp;hloc=uk</t>
  </si>
  <si>
    <t>AMD Ryzen 3 PRO 5355G, 4C/8T, 4.00-4.20GHz, tray</t>
  </si>
  <si>
    <t>100-000001749 / 100-100001749MPK</t>
  </si>
  <si>
    <t>https://geizhals.eu/amd-ryzen-3-pro-5355g-100-000001749-100-100001749mpk-a3394398.html?hloc=at&amp;hloc=de&amp;hloc=eu&amp;hloc=pl&amp;hloc=uk</t>
  </si>
  <si>
    <t>AMD Ryzen 3 5300G, 4C/8T, 4.00-4.20GHz, boxed</t>
  </si>
  <si>
    <t>100-100000253BOX</t>
  </si>
  <si>
    <t>https://geizhals.eu/amd-ryzen-3-5300g-100-100000253box-a3346467.html?hloc=at&amp;hloc=de&amp;hloc=eu&amp;hloc=pl&amp;hloc=uk</t>
  </si>
  <si>
    <t>60</t>
  </si>
  <si>
    <t>AMD AM4</t>
  </si>
  <si>
    <t>AMD AM5</t>
  </si>
  <si>
    <t>Intel 1700</t>
  </si>
  <si>
    <t>Intel Core Ultra 9 285T, 8C+16c/24T, 1.40-5.40GHz, tray</t>
  </si>
  <si>
    <t>AT8076806417</t>
  </si>
  <si>
    <t>B860, H810, W880, Z890</t>
  </si>
  <si>
    <t>https://geizhals.eu/intel-core-ultra-9-285t-at8076806417-a3385441.html?hloc=at&amp;hloc=de&amp;hloc=eu&amp;hloc=pl&amp;hloc=uk</t>
  </si>
  <si>
    <t>Intel Core Ultra 9 285K, 8C+16c/24T, 3.70-5.70GHz, boxed ohne Kühler</t>
  </si>
  <si>
    <t>BX80768285K</t>
  </si>
  <si>
    <t>https://geizhals.eu/intel-core-ultra-9-285k-bxc80768285k-a3329402.html?hloc=at&amp;hloc=de&amp;hloc=eu&amp;hloc=pl&amp;hloc=uk</t>
  </si>
  <si>
    <t>Intel Core Ultra 9 285, 8C+16c/24T, 2.50-5.60GHz, boxed</t>
  </si>
  <si>
    <t>BX80768285</t>
  </si>
  <si>
    <t>https://geizhals.eu/intel-core-ultra-9-285-bx80768285-a3385429.html?hloc=at&amp;hloc=de&amp;hloc=eu&amp;hloc=pl&amp;hloc=uk</t>
  </si>
  <si>
    <t>Intel Core Ultra 7 265T, 8C+12c/20T, 1.50-5.30GHz, tray</t>
  </si>
  <si>
    <t>AT807680640E</t>
  </si>
  <si>
    <t>https://geizhals.eu/intel-core-ultra-7-265t-at807680640e-a3385442.html?hloc=at&amp;hloc=de&amp;hloc=eu&amp;hloc=pl&amp;hloc=uk</t>
  </si>
  <si>
    <t>Intel Core Ultra 7 265KF, 8C+12c/20T, 3.90-5.50GHz, boxed ohne Kühler</t>
  </si>
  <si>
    <t>BX80768265KF</t>
  </si>
  <si>
    <t>https://geizhals.eu/intel-core-ultra-7-265kf-bx80768265kf-a3329422.html?hloc=at&amp;hloc=de&amp;hloc=eu&amp;hloc=pl&amp;hloc=uk</t>
  </si>
  <si>
    <t>Intel Core Ultra 7 265K, 8C+12c/20T, 3.90-5.50GHz, boxed ohne Kühler</t>
  </si>
  <si>
    <t>BX80768265K</t>
  </si>
  <si>
    <t>https://geizhals.eu/intel-core-ultra-7-265k-bxc80768265k-a3329421.html?hloc=at&amp;hloc=de&amp;hloc=eu&amp;hloc=pl&amp;hloc=uk</t>
  </si>
  <si>
    <t>Intel Core Ultra 7 265F, 8C+12c/20T, 2.40-5.30GHz, boxed</t>
  </si>
  <si>
    <t>BX80768265F</t>
  </si>
  <si>
    <t>https://geizhals.eu/intel-core-ultra-7-265f-bx80768265f-a3385433.html?hloc=at&amp;hloc=de&amp;hloc=eu&amp;hloc=pl&amp;hloc=uk</t>
  </si>
  <si>
    <t>Intel Core Ultra 7 265, 8C+12c/20T, 2.40-5.30GHz, boxed</t>
  </si>
  <si>
    <t>BX80768265</t>
  </si>
  <si>
    <t>https://geizhals.eu/intel-core-ultra-7-265-bx80768265-a3385430.html?hloc=at&amp;hloc=de&amp;hloc=eu&amp;hloc=pl&amp;hloc=uk</t>
  </si>
  <si>
    <t>Intel Core Ultra 5 245KF, 6C+8c/14T, 4.20-5.20GHz, boxed ohne Kühler</t>
  </si>
  <si>
    <t>BX80768245KF</t>
  </si>
  <si>
    <t>https://geizhals.eu/intel-core-ultra-5-245kf-bx80768245kf-a3329424.html?hloc=at&amp;hloc=de&amp;hloc=eu&amp;hloc=pl&amp;hloc=uk</t>
  </si>
  <si>
    <t>Intel Core Ultra 5 245K, 6C+8c/14T, 4.20-5.20GHz, boxed ohne Kühler</t>
  </si>
  <si>
    <t>BX80768245K</t>
  </si>
  <si>
    <t>https://geizhals.eu/intel-core-ultra-5-245k-bxc80768245k-a3329423.html?hloc=at&amp;hloc=de&amp;hloc=eu&amp;hloc=pl&amp;hloc=uk</t>
  </si>
  <si>
    <t>Intel Core Ultra 5 245, 6C+8c/14T, 3.50-5.10GHz, tray</t>
  </si>
  <si>
    <t>AT8076806775</t>
  </si>
  <si>
    <t>https://geizhals.eu/intel-core-ultra-5-245-at8076806775-a3385443.html?hloc=at&amp;hloc=de&amp;hloc=eu&amp;hloc=pl&amp;hloc=uk</t>
  </si>
  <si>
    <t>Intel Core Ultra 5 235, 6C+8c/14T, 3.40-5.00GHz, boxed</t>
  </si>
  <si>
    <t>BX80768235</t>
  </si>
  <si>
    <t>https://geizhals.eu/intel-core-ultra-5-235-bx80768235-a3385431.html?hloc=at&amp;hloc=de&amp;hloc=eu&amp;hloc=pl&amp;hloc=uk</t>
  </si>
  <si>
    <t>Intel Core Ultra 5 225F, 6C+4c/10T, 3.30-4.90GHz, boxed</t>
  </si>
  <si>
    <t>BX80768225F</t>
  </si>
  <si>
    <t>https://geizhals.eu/intel-core-ultra-5-225f-bx80768225f-a3385434.html?hloc=at&amp;hloc=de&amp;hloc=eu&amp;hloc=pl&amp;hloc=uk</t>
  </si>
  <si>
    <t>Intel Core Ultra 5 225, 6C+4c/10T, 3.30-4.90GHz, boxed</t>
  </si>
  <si>
    <t>BX80768225</t>
  </si>
  <si>
    <t>https://geizhals.eu/intel-core-ultra-5-225-bx80768225-a3385432.html?hloc=at&amp;hloc=de&amp;hloc=eu&amp;hloc=pl&amp;hloc=uk</t>
  </si>
  <si>
    <t>20</t>
  </si>
  <si>
    <t>14</t>
  </si>
  <si>
    <t>Intel 1851</t>
  </si>
  <si>
    <t>A520, B550, X300, X570</t>
  </si>
  <si>
    <t>A620, B650, B650E, B840, B850, X670, X670E, X870, X870E</t>
  </si>
  <si>
    <t>Raptor Cove</t>
  </si>
  <si>
    <t>Lion Cove</t>
  </si>
  <si>
    <t>Channels</t>
  </si>
  <si>
    <t>2</t>
  </si>
  <si>
    <t>Max Capacity</t>
  </si>
  <si>
    <t>DDR4</t>
  </si>
  <si>
    <t>DDR5</t>
  </si>
  <si>
    <t>DDR4, ​DDR5</t>
  </si>
  <si>
    <t>3200</t>
  </si>
  <si>
    <t>5200</t>
  </si>
  <si>
    <t>5600</t>
  </si>
  <si>
    <t>3200, 4800</t>
  </si>
  <si>
    <t>3200, 5600</t>
  </si>
  <si>
    <t>Link</t>
  </si>
  <si>
    <t>Direct PCIe Version</t>
  </si>
  <si>
    <t>Direct Lanes</t>
  </si>
  <si>
    <t>Interface Lanes</t>
  </si>
  <si>
    <t>16, 4</t>
  </si>
  <si>
    <t>4</t>
  </si>
  <si>
    <t>Interface PCIe Version</t>
  </si>
  <si>
    <t>Gaming Score</t>
  </si>
  <si>
    <t>ML/AI Score</t>
  </si>
  <si>
    <t>3D Rendering Score</t>
  </si>
  <si>
    <t>Manufacturer</t>
  </si>
  <si>
    <t>Type</t>
  </si>
  <si>
    <t>Series</t>
  </si>
  <si>
    <t>AMD</t>
  </si>
  <si>
    <t>Intel Core</t>
  </si>
  <si>
    <t>Ryzen 3</t>
  </si>
  <si>
    <t>Ryzen 5</t>
  </si>
  <si>
    <t>Ryzen 7</t>
  </si>
  <si>
    <t>Ryzen 9</t>
  </si>
  <si>
    <t>i3</t>
  </si>
  <si>
    <t>i5</t>
  </si>
  <si>
    <t>i7</t>
  </si>
  <si>
    <t>i9</t>
  </si>
  <si>
    <t>Ultra 5</t>
  </si>
  <si>
    <t>Ultra 7</t>
  </si>
  <si>
    <t>Ultra 9</t>
  </si>
  <si>
    <t>Task Score</t>
  </si>
  <si>
    <t>Cores</t>
  </si>
  <si>
    <t>GPU</t>
  </si>
  <si>
    <t>Zotac GeForce RTX 4060 Ti AMP, 16GB GDDR6, HDMI, 3x DP</t>
  </si>
  <si>
    <t>https://geizhals.eu/zotac-geforce-rtx-4060-ti-amp-zt-d40620f-10m-a3050859.html?hloc=at&amp;hloc=de&amp;hloc=eu&amp;hloc=pl&amp;hloc=uk</t>
  </si>
  <si>
    <t>ZT-D40620F-10M</t>
  </si>
  <si>
    <t>1x 8-Pin PCIe</t>
  </si>
  <si>
    <t>Zotac GeForce RTX 4060 Ti AMP SPIDER-MAN: Across the Spider-Verse Bundle, 16GB GDDR6, HDMI, 3x DP</t>
  </si>
  <si>
    <t>https://geizhals.eu/zotac-geforce-rtx-4060-ti-amp-spider-man-across-the-spider-verse-bundle-zt-d40620f-10smp-a2987822.html?hloc=at&amp;hloc=de&amp;hloc=eu&amp;hloc=pl&amp;hloc=uk</t>
  </si>
  <si>
    <t>ZT-D40620F-10SMP</t>
  </si>
  <si>
    <t/>
  </si>
  <si>
    <t>Zotac Gaming GeForce RTX 5090 AMP Extreme INFINITY, 32GB GDDR7, HDMI, 3x DP</t>
  </si>
  <si>
    <t>https://geizhals.eu/zotac-gaming-geforce-rtx-5090-amp-extreme-infinity-zt-b50900b-10p-a3382476.html?hloc=at&amp;hloc=de&amp;hloc=eu&amp;hloc=pl&amp;hloc=uk</t>
  </si>
  <si>
    <t>ZT-B50900B-10P</t>
  </si>
  <si>
    <t>1x 12V-2x6 (via Adapter: 4x 8-Pin PCIe)</t>
  </si>
  <si>
    <t>Zotac Gaming GeForce RTX 5080 SOLID, 16GB GDDR7, HDMI, 3x DP</t>
  </si>
  <si>
    <t>https://geizhals.eu/zotac-gaming-geforce-rtx-5080-solid-zt-b50800d-10p-a3382481.html?hloc=at&amp;hloc=de&amp;hloc=eu&amp;hloc=pl&amp;hloc=uk</t>
  </si>
  <si>
    <t>ZT-B50800D-10P</t>
  </si>
  <si>
    <t>1x 12V-2x6 (via Adapter: 3x 8-Pin PCIe)</t>
  </si>
  <si>
    <t>Zotac Gaming GeForce RTX 5080 SOLID OC, 16GB GDDR7, HDMI, 3x DP</t>
  </si>
  <si>
    <t>https://geizhals.eu/zotac-gaming-geforce-rtx-5080-solid-oc-zt-b50800j-10p-a3382480.html?hloc=at&amp;hloc=de&amp;hloc=eu&amp;hloc=pl&amp;hloc=uk</t>
  </si>
  <si>
    <t>ZT-B50800J-10P</t>
  </si>
  <si>
    <t>Zotac Gaming GeForce RTX 5080 AMP Extreme INFINITY, 16GB GDDR7, HDMI, 3x DP</t>
  </si>
  <si>
    <t>https://geizhals.eu/zotac-gaming-geforce-rtx-5080-amp-extreme-infinity-zt-b50800b-10p-a3382479.html?hloc=at&amp;hloc=de&amp;hloc=eu&amp;hloc=pl&amp;hloc=uk</t>
  </si>
  <si>
    <t>ZT-B50800B-10P</t>
  </si>
  <si>
    <t>Zotac Gaming GeForce RTX 5070 Ti Solid OC, 16GB GDDR7, HDMI, 3x DP</t>
  </si>
  <si>
    <t>https://geizhals.eu/zotac-gaming-geforce-rtx-5070-ti-solid-oc-zt-b50710j-10p-a3421980.html?hloc=at&amp;hloc=de&amp;hloc=eu&amp;hloc=pl&amp;hloc=uk</t>
  </si>
  <si>
    <t>ZT-B50710J-10P</t>
  </si>
  <si>
    <t>Zotac Gaming GeForce RTX 4090 Trinity, 24GB GDDR6X, HDMI, 3x DP</t>
  </si>
  <si>
    <t>https://geizhals.eu/zotac-gaming-geforce-rtx-4090-trinity-zt-d40900d-10p-a2815794.html?hloc=at&amp;hloc=de&amp;hloc=eu&amp;hloc=pl&amp;hloc=uk</t>
  </si>
  <si>
    <t>ZT-D40900D-10P</t>
  </si>
  <si>
    <t>1x 12VHPWR (via Adapter: 3x 8-Pin PCIe)</t>
  </si>
  <si>
    <t>Zotac Gaming GeForce RTX 4090 Trinity OC, 24GB GDDR6X, HDMI, 3x DP</t>
  </si>
  <si>
    <t>https://geizhals.eu/zotac-gaming-geforce-rtx-4090-trinity-oc-zt-d40900j-10p-a2815754.html?hloc=at&amp;hloc=de&amp;hloc=eu&amp;hloc=pl&amp;hloc=uk</t>
  </si>
  <si>
    <t>ZT-D40900J-10P</t>
  </si>
  <si>
    <t>1x 12VHPWR (via Adapter: 4x 8-Pin PCIe)</t>
  </si>
  <si>
    <t>Zotac Gaming GeForce RTX 4080 Trinity, 16GB GDDR6X, HDMI, 3x DP</t>
  </si>
  <si>
    <t>https://geizhals.eu/zotac-gaming-geforce-rtx-4080-trinity-zt-d40810d-10p-a2848024.html?hloc=at&amp;hloc=de&amp;hloc=eu&amp;hloc=pl&amp;hloc=uk</t>
  </si>
  <si>
    <t>ZT-D40810D-10P</t>
  </si>
  <si>
    <t>Zotac Gaming GeForce RTX 4080 SUPER AMP, 16GB GDDR6X, HDMI, 3x DP</t>
  </si>
  <si>
    <t>https://geizhals.eu/zotac-gaming-geforce-rtx-4080-super-amp-zt-d40820f-10p-a3147715.html?hloc=at&amp;hloc=de&amp;hloc=eu&amp;hloc=pl&amp;hloc=uk</t>
  </si>
  <si>
    <t>ZT-D40820F-10P</t>
  </si>
  <si>
    <t>Zotac Gaming GeForce RTX 4080 AMP Extreme AIRO, 16GB GDDR6X, HDMI, 3x DP</t>
  </si>
  <si>
    <t>https://geizhals.eu/zotac-gaming-geforce-rtx-4080-amp-extreme-airo-zt-d40810b-10p-a2848031.html?hloc=at&amp;hloc=de&amp;hloc=eu&amp;hloc=pl&amp;hloc=uk</t>
  </si>
  <si>
    <t>ZT-D40810B-10P</t>
  </si>
  <si>
    <t>Zotac Gaming GeForce RTX 4070 Twin Edge, 12GB GDDR6X, HDMI, 3x DP</t>
  </si>
  <si>
    <t>https://geizhals.eu/zotac-gaming-geforce-rtx-4070-twin-edge-zt-d40700e-10m-a2931019.html?hloc=at&amp;hloc=de&amp;hloc=eu&amp;hloc=pl&amp;hloc=uk</t>
  </si>
  <si>
    <t>ZT-D40700E-10M</t>
  </si>
  <si>
    <t>Zotac Gaming GeForce RTX 4070 Twin Edge, 12GB GDDR6, HDMI, 3x DP</t>
  </si>
  <si>
    <t>https://geizhals.eu/zotac-gaming-geforce-rtx-4070-twin-edge-zt-d40740e-10m-a3293958.html?hloc=at&amp;hloc=de&amp;hloc=eu&amp;hloc=pl&amp;hloc=uk</t>
  </si>
  <si>
    <t>ZT-D40740E-10M</t>
  </si>
  <si>
    <t>Zotac Gaming GeForce RTX 4070 Twin Edge OC, 12GB GDDR6X, HDMI, 3x DP</t>
  </si>
  <si>
    <t>https://geizhals.eu/zotac-gaming-geforce-rtx-4070-twin-edge-oc-zt-d40700h-10m-a2931014.html?hloc=at&amp;hloc=de&amp;hloc=eu&amp;hloc=pl&amp;hloc=uk</t>
  </si>
  <si>
    <t>ZT-D40700H-10M</t>
  </si>
  <si>
    <t>Zotac Gaming GeForce RTX 4070 Twin Edge OC, 12GB GDDR6, HDMI, 3x DP</t>
  </si>
  <si>
    <t>https://geizhals.eu/zotac-gaming-geforce-rtx-4070-twin-edge-oc-zt-d40740h-10m-a3293877.html?hloc=at&amp;hloc=de&amp;hloc=eu&amp;hloc=pl&amp;hloc=uk</t>
  </si>
  <si>
    <t>ZT-D40740H-10M</t>
  </si>
  <si>
    <t>Zotac Gaming GeForce RTX 4070 Twin Edge OC White Edition, 12GB GDDR6, HDMI, 3x DP</t>
  </si>
  <si>
    <t>https://geizhals.eu/zotac-gaming-geforce-rtx-4070-twin-edge-oc-white-edition-zt-d40740q-10m-a3293937.html?hloc=at&amp;hloc=de&amp;hloc=eu&amp;hloc=pl&amp;hloc=uk</t>
  </si>
  <si>
    <t>ZT-D40740Q-10M</t>
  </si>
  <si>
    <t>Zotac Gaming GeForce RTX 4070 Ti Trinity OC, 12GB GDDR6X, HDMI, 3x DP</t>
  </si>
  <si>
    <t>https://geizhals.eu/zotac-gaming-geforce-rtx-4070-ti-trinity-oc-zt-d40710j-10p-a2871423.html?hloc=at&amp;hloc=de&amp;hloc=eu&amp;hloc=pl&amp;hloc=uk</t>
  </si>
  <si>
    <t>ZT-D40710J-10P</t>
  </si>
  <si>
    <t>Zotac Gaming GeForce RTX 4070 Ti SUPER Trinity OC White Edition, 16GB GDDR6X, HDMI, 3x DP</t>
  </si>
  <si>
    <t>https://geizhals.eu/zotac-gaming-geforce-rtx-4070-ti-super-trinity-oc-white-edition-zt-d40730q-10p-a3103647.html?hloc=at&amp;hloc=de&amp;hloc=eu&amp;hloc=pl&amp;hloc=uk</t>
  </si>
  <si>
    <t>ZT-D40730Q-10P</t>
  </si>
  <si>
    <t>Zotac Gaming GeForce RTX 4070 Ti SUPER Trinity Black Edition, 16GB GDDR6X, HDMI, 3x DP</t>
  </si>
  <si>
    <t>https://geizhals.eu/zotac-gaming-geforce-rtx-4070-ti-super-trinity-black-edition-zt-d40730d-10p-a3103639.html?hloc=at&amp;hloc=de&amp;hloc=eu&amp;hloc=pl&amp;hloc=uk</t>
  </si>
  <si>
    <t>ZT-D40730D-10P</t>
  </si>
  <si>
    <t>Zotac Gaming GeForce RTX 4070 Ti SUPER Solid, 16GB GDDR6X, HDMI, 3x DP</t>
  </si>
  <si>
    <t>https://geizhals.eu/zotac-gaming-geforce-rtx-4070-ti-super-solid-zt-d40730r-10p-a3225590.html?hloc=at&amp;hloc=de&amp;hloc=eu&amp;hloc=pl&amp;hloc=uk</t>
  </si>
  <si>
    <t>ZT-D40730R-10P</t>
  </si>
  <si>
    <t>Zotac Gaming GeForce RTX 4070 Ti SUPER AMP Holo, 16GB GDDR6X, HDMI, 3x DP</t>
  </si>
  <si>
    <t>https://geizhals.eu/zotac-gaming-geforce-rtx-4070-ti-super-amp-holo-zt-d40730f-10p-a3103603.html?hloc=at&amp;hloc=de&amp;hloc=eu&amp;hloc=pl&amp;hloc=uk</t>
  </si>
  <si>
    <t>ZT-D40730F-10P</t>
  </si>
  <si>
    <t>Zotac Gaming GeForce RTX 4070 Ti SUPER AMP AIRO, 16GB GDDR6X, HDMI, 3x DP</t>
  </si>
  <si>
    <t>https://geizhals.eu/zotac-gaming-geforce-rtx-4070-ti-super-amp-airo-zt-d40730f2-10p-a3324761.html?hloc=at&amp;hloc=de&amp;hloc=eu&amp;hloc=pl&amp;hloc=uk</t>
  </si>
  <si>
    <t>ZT-D40730F2-10P</t>
  </si>
  <si>
    <t>Zotac Gaming GeForce RTX 4070 Ti AMP Extreme AIRO, 12GB GDDR6X, HDMI, 3x DP</t>
  </si>
  <si>
    <t>https://geizhals.eu/zotac-gaming-geforce-rtx-4070-ti-amp-extreme-airo-zt-d40710b-10p-a2871563.html?hloc=at&amp;hloc=de&amp;hloc=eu&amp;hloc=pl&amp;hloc=uk</t>
  </si>
  <si>
    <t>ZT-D40710B-10P</t>
  </si>
  <si>
    <t>Zotac Gaming GeForce RTX 4070 Ti AMP AIRO, 12GB GDDR6X, HDMI, 3x DP</t>
  </si>
  <si>
    <t>https://geizhals.eu/zotac-gaming-geforce-rtx-4070-ti-amp-airo-zt-d40710f-10p-a2871426.html?hloc=at&amp;hloc=de&amp;hloc=eu&amp;hloc=pl&amp;hloc=uk</t>
  </si>
  <si>
    <t>ZT-D40710F-10P</t>
  </si>
  <si>
    <t>Zotac Gaming GeForce RTX 4070 SUPER Twin Edge, 12GB GDDR6X, HDMI, 3x DP</t>
  </si>
  <si>
    <t>https://geizhals.eu/zotac-gaming-geforce-rtx-4070-super-twin-edge-zt-d40720e-10m-a3098406.html?hloc=at&amp;hloc=de&amp;hloc=eu&amp;hloc=pl&amp;hloc=uk</t>
  </si>
  <si>
    <t>ZT-D40720E-10M</t>
  </si>
  <si>
    <t>1x 12VHPWR (via Adapter: 2x 8-Pin PCIe)</t>
  </si>
  <si>
    <t>Zotac Gaming GeForce RTX 4070 SUPER Twin Edge OC, 12GB GDDR6X, HDMI, 3x DP</t>
  </si>
  <si>
    <t>https://geizhals.eu/zotac-gaming-geforce-rtx-4070-super-twin-edge-oc-zt-d40720h-10m-a3098424.html?hloc=at&amp;hloc=de&amp;hloc=eu&amp;hloc=pl&amp;hloc=uk</t>
  </si>
  <si>
    <t>ZT-D40720H-10M</t>
  </si>
  <si>
    <t>Zotac Gaming GeForce RTX 4070 SUPER Twin Edge OC White Edition, 12GB GDDR6X, HDMI, 3x DP</t>
  </si>
  <si>
    <t>https://geizhals.eu/zotac-gaming-geforce-rtx-4070-super-twin-edge-oc-white-edition-zt-d40720q-10m-a3147714.html?hloc=at&amp;hloc=de&amp;hloc=eu&amp;hloc=pl&amp;hloc=uk</t>
  </si>
  <si>
    <t>ZT-D40720Q-10M</t>
  </si>
  <si>
    <t>Zotac Gaming GeForce RTX 4070 SUPER Trinity OC Black Edition, 12GB GDDR6X, HDMI, 3x DP</t>
  </si>
  <si>
    <t>https://geizhals.eu/zotac-gaming-geforce-rtx-4070-super-trinity-oc-black-edition-zt-d40720j-10p-a3113763.html?hloc=at&amp;hloc=de&amp;hloc=eu&amp;hloc=pl&amp;hloc=uk</t>
  </si>
  <si>
    <t>ZT-D40720J-10P</t>
  </si>
  <si>
    <t>Zotac Gaming GeForce RTX 4070 AMP AIRO, 12GB GDDR6X, HDMI, 3x DP</t>
  </si>
  <si>
    <t>https://geizhals.eu/zotac-gaming-geforce-rtx-4070-amp-airo-zt-d40700f-10p-a2931027.html?hloc=at&amp;hloc=de&amp;hloc=eu&amp;hloc=pl&amp;hloc=uk</t>
  </si>
  <si>
    <t>ZT-D40700F-10P</t>
  </si>
  <si>
    <t>Zotac Gaming GeForce RTX 4070 AMP AIRO SPIDER-MAN: Across the Spider-Verse Bundle, 12GB GDDR6X, HDMI, 3x DP</t>
  </si>
  <si>
    <t>https://geizhals.eu/zotac-gaming-geforce-rtx-4070-amp-airo-spider-man-across-the-spider-verse-bundle-zt-d40700f-10smp-a2966238.html?hloc=at&amp;hloc=de&amp;hloc=eu&amp;hloc=pl&amp;hloc=uk</t>
  </si>
  <si>
    <t>ZT-D40700F-10SMP</t>
  </si>
  <si>
    <t>Zotac Gaming GeForce RTX 4060 Twin Edge, 8GB GDDR6, HDMI, 3x DP</t>
  </si>
  <si>
    <t>https://geizhals.eu/zotac-gaming-geforce-rtx-4060-twin-edge-zt-d40600e-10m-a2981390.html?hloc=at&amp;hloc=de&amp;hloc=eu&amp;hloc=pl&amp;hloc=uk</t>
  </si>
  <si>
    <t>ZT-D40600E-10M</t>
  </si>
  <si>
    <t>Zotac Gaming GeForce RTX 4060 Twin Edge OC, 8GB GDDR6, HDMI, 3x DP</t>
  </si>
  <si>
    <t>https://geizhals.eu/zotac-gaming-geforce-rtx-4060-twin-edge-oc-zt-d40600h-10m-a2981379.html?hloc=at&amp;hloc=de&amp;hloc=eu&amp;hloc=pl&amp;hloc=uk</t>
  </si>
  <si>
    <t>ZT-D40600H-10M</t>
  </si>
  <si>
    <t>Zotac Gaming GeForce RTX 4060 Twin Edge OC White Edition, 8GB GDDR6, HDMI, 3x DP</t>
  </si>
  <si>
    <t>https://geizhals.eu/zotac-gaming-geforce-rtx-4060-twin-edge-oc-white-edition-zt-d40600q-10m-a2975470.html?hloc=at&amp;hloc=de&amp;hloc=eu&amp;hloc=pl&amp;hloc=uk</t>
  </si>
  <si>
    <t>ZT-D40600Q-10M</t>
  </si>
  <si>
    <t>Zotac Gaming GeForce RTX 4060 Twin Edge OC SPIDER-MAN: Across the Spider-Verse Bundle, 8GB GDDR6, HDMI, 3x DP</t>
  </si>
  <si>
    <t>https://geizhals.eu/zotac-gaming-geforce-rtx-4060-twin-edge-oc-spider-man-across-the-spider-verse-bundle-zt-d40600p-10smp-a2975508.html?hloc=at&amp;hloc=de&amp;hloc=eu&amp;hloc=pl&amp;hloc=uk</t>
  </si>
  <si>
    <t>ZT-D40600P-10SMP</t>
  </si>
  <si>
    <t>Zotac Gaming GeForce RTX 4060 Ti Twin Edge, 8GB GDDR6, HDMI, 3x DP</t>
  </si>
  <si>
    <t>https://geizhals.eu/zotac-gaming-geforce-rtx-4060-ti-twin-edge-zt-d40610e-10m-a2951638.html?hloc=at&amp;hloc=de&amp;hloc=eu&amp;hloc=pl&amp;hloc=uk</t>
  </si>
  <si>
    <t>ZT-D40610E-10M</t>
  </si>
  <si>
    <t>Zotac Gaming GeForce RTX 4060 Ti Twin Edge, 16GB GDDR6, HDMI, 3x DP</t>
  </si>
  <si>
    <t>https://geizhals.eu/zotac-gaming-geforce-rtx-4060-ti-twin-edge-zt-d40620e-10m-a2951637.html?hloc=at&amp;hloc=de&amp;hloc=eu&amp;hloc=pl&amp;hloc=uk</t>
  </si>
  <si>
    <t>ZT-D40620E-10M</t>
  </si>
  <si>
    <t>Zotac Gaming GeForce RTX 4060 Ti Twin Edge OC, 8GB GDDR6, HDMI, 3x DP</t>
  </si>
  <si>
    <t>https://geizhals.eu/zotac-gaming-geforce-rtx-4060-ti-twin-edge-oc-zt-d40610h-10m-a2954747.html?hloc=at&amp;hloc=de&amp;hloc=eu&amp;hloc=pl&amp;hloc=uk</t>
  </si>
  <si>
    <t>ZT-D40610H-10M</t>
  </si>
  <si>
    <t>Zotac Gaming GeForce RTX 4060 Ti Twin Edge OC White Edition, 8GB GDDR6, HDMI, 3x DP</t>
  </si>
  <si>
    <t>https://geizhals.eu/zotac-gaming-geforce-rtx-4060-ti-twin-edge-oc-white-edition-zt-d40610q-10m-a2951640.html?hloc=at&amp;hloc=de&amp;hloc=eu&amp;hloc=pl&amp;hloc=uk</t>
  </si>
  <si>
    <t>ZT-D40610Q-10M</t>
  </si>
  <si>
    <t>Zotac Gaming GeForce RTX 4060 Ti Twin Edge OC SPIDER-MAN: Across the Spider-Verse Bundle, 8GB GDDR6, HDMI, 3x DP</t>
  </si>
  <si>
    <t>https://geizhals.eu/zotac-gaming-geforce-rtx-4060-ti-twin-edge-oc-spider-man-across-the-spider-verse-bundle-zt-d40610h-10smp-a2951639.html?hloc=at&amp;hloc=de&amp;hloc=eu&amp;hloc=pl&amp;hloc=uk</t>
  </si>
  <si>
    <t>ZT-D40610H-10SMP</t>
  </si>
  <si>
    <t>Zotac Gaming GeForce RTX 4060 Solo, 8GB GDDR6, HDMI, 3x DP</t>
  </si>
  <si>
    <t>https://geizhals.eu/zotac-gaming-geforce-rtx-4060-solo-zt-d40600g-10m-a2951636.html?hloc=at&amp;hloc=de&amp;hloc=eu&amp;hloc=pl&amp;hloc=uk</t>
  </si>
  <si>
    <t>ZT-D40600G-10L</t>
  </si>
  <si>
    <t>Zotac Gaming GeForce RTX 3090 Trinity, 24GB GDDR6X, HDMI, 3x DP</t>
  </si>
  <si>
    <t>https://geizhals.eu/zotac-gaming-geforce-rtx-3090-trinity-zt-a30900d-10p-a2363488.html?hloc=at&amp;hloc=de&amp;hloc=eu&amp;hloc=pl&amp;hloc=uk</t>
  </si>
  <si>
    <t>ZT-A30900D-10P</t>
  </si>
  <si>
    <t>2x 8-Pin PCIe</t>
  </si>
  <si>
    <t>Zotac Gaming GeForce RTX 3090 Trinity OC, 24GB GDDR6X, HDMI, 3x DP</t>
  </si>
  <si>
    <t>https://geizhals.eu/zotac-gaming-geforce-rtx-3090-trinity-oc-zt-a30900j-10p-a2463737.html?hloc=at&amp;hloc=de&amp;hloc=eu&amp;hloc=pl&amp;hloc=uk</t>
  </si>
  <si>
    <t>ZT-A30900J-10P</t>
  </si>
  <si>
    <t>Zotac Gaming GeForce RTX 3090 AMP Extreme Holo, 24GB GDDR6X, HDMI, 3x DP</t>
  </si>
  <si>
    <t>https://geizhals.eu/zotac-gaming-geforce-rtx-3090-amp-extreme-holo-zt-a30900b-10p-a2539122.html?hloc=at&amp;hloc=de&amp;hloc=eu&amp;hloc=pl&amp;hloc=uk</t>
  </si>
  <si>
    <t>ZT-A30900B-10P</t>
  </si>
  <si>
    <t>3x 8-Pin PCIe</t>
  </si>
  <si>
    <t>Zotac Gaming GeForce RTX 3080 Trinity OC, 10GB GDDR6X, HDMI, 3x DP</t>
  </si>
  <si>
    <t>https://geizhals.eu/zotac-gaming-geforce-rtx-3080-trinity-oc-zt-a30800j-10p-a2375400.html?hloc=at&amp;hloc=de&amp;hloc=eu&amp;hloc=pl&amp;hloc=uk</t>
  </si>
  <si>
    <t>ZT-A30800J-10P</t>
  </si>
  <si>
    <t>Zotac Gaming GeForce RTX 3080 Ti Trinity, 12GB GDDR6X, HDMI, 3x DP</t>
  </si>
  <si>
    <t>https://geizhals.eu/zotac-gaming-geforce-rtx-3080-ti-trinity-zt-a30810d-10p-a2538393.html?hloc=at&amp;hloc=de&amp;hloc=eu&amp;hloc=pl&amp;hloc=uk</t>
  </si>
  <si>
    <t>ZT-A30810D-10P</t>
  </si>
  <si>
    <t>Zotac Gaming GeForce RTX 3080 Ti AMP Holo, 12GB GDDR6X, HDMI, 3x DP</t>
  </si>
  <si>
    <t>https://geizhals.eu/zotac-gaming-geforce-rtx-3080-ti-amp-holo-zt-a30810f-10p-a2538392.html?hloc=at&amp;hloc=de&amp;hloc=eu&amp;hloc=pl&amp;hloc=uk</t>
  </si>
  <si>
    <t>ZT-A30810F-10P</t>
  </si>
  <si>
    <t>Zotac Gaming GeForce RTX 3070 Twin Edge OC LHR, 8GB GDDR6, HDMI, 3x DP</t>
  </si>
  <si>
    <t>https://geizhals.eu/zotac-gaming-geforce-rtx-3070-twin-edge-oc-lhr-zt-a30700h-10plhr-a2543609.html?hloc=at&amp;hloc=de&amp;hloc=eu&amp;hloc=pl&amp;hloc=uk</t>
  </si>
  <si>
    <t>ZT-A30700H-10PLHR</t>
  </si>
  <si>
    <t>Zotac Gaming GeForce RTX 3070 Twin Edge LHR, 8GB GDDR6, HDMI, 3x DP</t>
  </si>
  <si>
    <t>https://geizhals.eu/zotac-gaming-geforce-rtx-3070-twin-edge-lhr-zt-a30700e-10plhr-a2543590.html?hloc=at&amp;hloc=de&amp;hloc=eu&amp;hloc=pl&amp;hloc=uk</t>
  </si>
  <si>
    <t>ZT-A30700E-10PLHR</t>
  </si>
  <si>
    <t>Zotac Gaming GeForce RTX 3070 Ti Trinity, 8GB GDDR6X, HDMI, 3x DP</t>
  </si>
  <si>
    <t>https://geizhals.eu/zotac-gaming-geforce-rtx-3070-ti-trinity-zt-a30710d-10p-a2538395.html?hloc=at&amp;hloc=de&amp;hloc=eu&amp;hloc=pl&amp;hloc=uk</t>
  </si>
  <si>
    <t>ZT-A30710D-10P</t>
  </si>
  <si>
    <t>Zotac Gaming GeForce RTX 3070 Ti Trinity OC, 8GB GDDR6X, HDMI, 3x DP</t>
  </si>
  <si>
    <t>https://geizhals.eu/zotac-gaming-geforce-rtx-3070-ti-trinity-oc-zt-a30710j-10p-a2555345.html?hloc=at&amp;hloc=de&amp;hloc=eu&amp;hloc=pl&amp;hloc=uk</t>
  </si>
  <si>
    <t>ZT-A30710J-10P</t>
  </si>
  <si>
    <t>Zotac Gaming GeForce RTX 3070 Ti AMP Extreme Holo, 8GB GDDR6X, HDMI, 3x DP</t>
  </si>
  <si>
    <t>https://geizhals.eu/zotac-gaming-geforce-rtx-3070-ti-amp-extreme-holo-zt-a30710b-10p-a2594649.html?hloc=at&amp;hloc=de&amp;hloc=eu&amp;hloc=pl&amp;hloc=uk</t>
  </si>
  <si>
    <t>ZT-A30710B-10P</t>
  </si>
  <si>
    <t>Zotac Gaming GeForce RTX 3070 AMP Holo, 8GB GDDR6, HDMI, 3x DP</t>
  </si>
  <si>
    <t>https://geizhals.eu/zotac-gaming-geforce-rtx-3070-amp-holo-zt-a30700f-10p-a2452151.html?hloc=at&amp;hloc=de&amp;hloc=eu&amp;hloc=pl&amp;hloc=uk</t>
  </si>
  <si>
    <t>ZT-A30700F-10P</t>
  </si>
  <si>
    <t>Zotac Gaming GeForce RTX 3060 Twin Edge, 8GB GDDR6, HDMI, 3x DP</t>
  </si>
  <si>
    <t>https://geizhals.eu/zotac-gaming-geforce-rtx-3060-twin-edge-zt-a30630e-10m-a2857455.html?hloc=at&amp;hloc=de&amp;hloc=eu&amp;hloc=pl&amp;hloc=uk</t>
  </si>
  <si>
    <t>ZT-A30630E-10M</t>
  </si>
  <si>
    <t>Zotac Gaming GeForce RTX 3060 Twin Edge OC LHR, 12GB GDDR6, HDMI, 3x DP</t>
  </si>
  <si>
    <t>https://geizhals.eu/zotac-geforce-rtx-3060-twin-edge-oc-lhr-zt-a30600h-10mlhr-a2597038.html?hloc=at&amp;hloc=de&amp;hloc=eu&amp;hloc=pl&amp;hloc=uk</t>
  </si>
  <si>
    <t>ZT-A30600H-10MLHR</t>
  </si>
  <si>
    <t>Zotac Gaming GeForce RTX 3060 Twin Edge LHR, 12GB GDDR6, HDMI, 3x DP</t>
  </si>
  <si>
    <t>https://geizhals.eu/zotac-geforce-rtx-3060-twin-edge-lhr-zt-a30600e-10mlhr-a2597042.html?hloc=at&amp;hloc=de&amp;hloc=eu&amp;hloc=pl&amp;hloc=uk</t>
  </si>
  <si>
    <t>ZT-A30600E-10MLHR</t>
  </si>
  <si>
    <t>Zotac Gaming GeForce RTX 3060 AMP White Edition, 12GB GDDR6, HDMI, 3x DP</t>
  </si>
  <si>
    <t>https://geizhals.eu/zotac-geforce-rtx-3060-amp-white-edition-zt-a30600f-10p-a2477362.html?hloc=at&amp;hloc=de&amp;hloc=eu&amp;hloc=pl&amp;hloc=uk</t>
  </si>
  <si>
    <t>ZT-A30600F-10P</t>
  </si>
  <si>
    <t>Zotac Gaming GeForce RTX 3050 Twin Edge, 8GB GDDR6, HDMI, 3x DP</t>
  </si>
  <si>
    <t>https://geizhals.eu/zotac-geforce-rtx-3050-twin-edge-zt-a30500e-10m-a2665026.html?hloc=at&amp;hloc=de&amp;hloc=eu&amp;hloc=pl&amp;hloc=uk</t>
  </si>
  <si>
    <t>ZT-A30500E-10M</t>
  </si>
  <si>
    <t>Zotac Gaming GeForce RTX 3050 Twin Edge OC, 8GB GDDR6, HDMI, 3x DP</t>
  </si>
  <si>
    <t>https://geizhals.eu/zotac-geforce-rtx-3050-twin-edge-oc-zt-a30500h-10m-a2665367.html?hloc=at&amp;hloc=de&amp;hloc=eu&amp;hloc=pl&amp;hloc=uk</t>
  </si>
  <si>
    <t>ZT-A30500H-10M</t>
  </si>
  <si>
    <t>Zotac Gaming GeForce RTX 3050 Solo, 8GB GDDR6, HDMI, 3x DP</t>
  </si>
  <si>
    <t>https://geizhals.eu/zotac-gaming-geforce-rtx-3050-solo-zt-a30500g-10l-a2829549.html?hloc=at&amp;hloc=de&amp;hloc=eu&amp;hloc=pl&amp;hloc=uk</t>
  </si>
  <si>
    <t>ZT-A30500G-10L</t>
  </si>
  <si>
    <t>Zotac Gaming GeForce RTX 3050 Solo, 6GB GDDR6, HDMI, 3x DP</t>
  </si>
  <si>
    <t>https://geizhals.eu/zotac-gaming-geforce-rtx-3050-solo-zt-a30510g-10l-a3117257.html?hloc=at&amp;hloc=de&amp;hloc=eu&amp;hloc=pl&amp;hloc=uk</t>
  </si>
  <si>
    <t>ZT-A30510G-10L</t>
  </si>
  <si>
    <t>-</t>
  </si>
  <si>
    <t>Zotac Gaming GeForce RTX 3050 LP, 6GB GDDR6, HDMI, DP</t>
  </si>
  <si>
    <t>https://geizhals.eu/zotac-gaming-geforce-rtx-3050-solo-zt-a30510l-10l-a3117271.html?hloc=at&amp;hloc=de&amp;hloc=eu&amp;hloc=pl&amp;hloc=uk</t>
  </si>
  <si>
    <t>ZT-A30510L-10L</t>
  </si>
  <si>
    <t>Zotac Gaming GeForce RTX 3050 Eco, 8GB GDDR6, HDMI, 3x DP</t>
  </si>
  <si>
    <t>https://geizhals.eu/zotac-gaming-geforce-rtx-3050-eco-zt-a30500k-10m-a3017111.html?hloc=at&amp;hloc=de&amp;hloc=eu&amp;hloc=pl&amp;hloc=uk</t>
  </si>
  <si>
    <t>ZT-A30500K-10M</t>
  </si>
  <si>
    <t>1x 6-Pin PCIe</t>
  </si>
  <si>
    <t>Zotac Gaming GeForce RTX 3050 Eco Solo, 8GB GDDR6, HDMI, 3x DP</t>
  </si>
  <si>
    <t>https://geizhals.eu/zotac-gaming-geforce-rtx-3050-eco-solo-zt-a30500r-10l-a3017100.html?hloc=at&amp;hloc=de&amp;hloc=eu&amp;hloc=pl&amp;hloc=uk</t>
  </si>
  <si>
    <t>ZT-A30500R-10L</t>
  </si>
  <si>
    <t>Zotac Gaming GeForce RTX 3050 AMP, 8GB GDDR6, HDMI, 3x DP</t>
  </si>
  <si>
    <t>https://geizhals.eu/zotac-gaming-geforce-rtx-3050-amp-zt-a30500f-10m-a2696647.html?hloc=at&amp;hloc=de&amp;hloc=eu&amp;hloc=pl&amp;hloc=uk</t>
  </si>
  <si>
    <t>ZT-A30500F-10M</t>
  </si>
  <si>
    <t>Palit GeForce RTX 5090 GameRock, 32GB GDDR7, HDMI, 3x DP</t>
  </si>
  <si>
    <t>https://geizhals.eu/palit-geforce-rtx-5090-gamerock-ne75090019r5-gb2020g-a3382497.html?hloc=at&amp;hloc=de&amp;hloc=eu&amp;hloc=pl&amp;hloc=uk</t>
  </si>
  <si>
    <t>NE75090019R5-GB2020G</t>
  </si>
  <si>
    <t>Palit GeForce RTX 5090 GameRock OC, 32GB GDDR7, HDMI, 3x DP</t>
  </si>
  <si>
    <t>https://geizhals.eu/palit-geforce-rtx-5090-gamerock-oc-ne75090s19r5-gb2020g-a3382492.html?hloc=at&amp;hloc=de&amp;hloc=eu&amp;hloc=pl&amp;hloc=uk</t>
  </si>
  <si>
    <t>NE75090S19R5-GB2020G</t>
  </si>
  <si>
    <t>Palit GeForce RTX 5080 GameRock, 16GB GDDR7, HDMI, 3x DP</t>
  </si>
  <si>
    <t>https://geizhals.eu/palit-geforce-rtx-5080-gamerock-ne75080019t2-gb2030g-a3382503.html?hloc=at&amp;hloc=de&amp;hloc=eu&amp;hloc=pl&amp;hloc=uk</t>
  </si>
  <si>
    <t>NE75080019T2-GB2030G</t>
  </si>
  <si>
    <t>Palit GeForce RTX 5080 GameRock OC, 16GB GDDR7, HDMI, 3x DP</t>
  </si>
  <si>
    <t>https://geizhals.eu/palit-geforce-rtx-5080-gamerock-oc-ne75080t19t2-gb2030g-a3382498.html?hloc=at&amp;hloc=de&amp;hloc=eu&amp;hloc=pl&amp;hloc=uk</t>
  </si>
  <si>
    <t>NE75080T19T2-GB2030G</t>
  </si>
  <si>
    <t>Palit GeForce RTX 4080 SUPER JetStream OC, 16GB GDDR6X, HDMI, 3x DP</t>
  </si>
  <si>
    <t>https://geizhals.eu/palit-geforce-rtx-4080-super-jetstream-oc-ned408ss19t2-1032j-a3103557.html?hloc=at&amp;hloc=de&amp;hloc=eu&amp;hloc=pl&amp;hloc=uk</t>
  </si>
  <si>
    <t>NED408SS19T2-1032J</t>
  </si>
  <si>
    <t>Palit GeForce RTX 4080 SUPER GamingPro, 16GB GDDR6X, HDMI, 3x DP</t>
  </si>
  <si>
    <t>https://geizhals.eu/palit-geforce-rtx-4080-super-gamingpro-ned408s019t2-1032a-a3103564.html?hloc=at&amp;hloc=de&amp;hloc=eu&amp;hloc=pl&amp;hloc=uk</t>
  </si>
  <si>
    <t>NED408S019T2-1032A</t>
  </si>
  <si>
    <t>Palit GeForce RTX 4070 White OC, 12GB GDDR6, HDMI, 3x DP</t>
  </si>
  <si>
    <t>https://geizhals.eu/palit-geforce-rtx-4070-white-oc-ne64070s19k9-1048l-a3294677.html?hloc=at&amp;hloc=de&amp;hloc=eu&amp;hloc=pl&amp;hloc=uk</t>
  </si>
  <si>
    <t>NE64070S19K9-1048L</t>
  </si>
  <si>
    <t>Palit GeForce RTX 4070 Ti SUPER JetStream OC, 16GB GDDR6X, HDMI, 3x DP</t>
  </si>
  <si>
    <t>https://geizhals.eu/palit-geforce-rtx-4070-ti-super-jetstream-ned47tss19t2-1043j-a3103477.html?hloc=at&amp;hloc=de&amp;hloc=eu&amp;hloc=pl&amp;hloc=uk</t>
  </si>
  <si>
    <t>NED47TSS19T2-1043J</t>
  </si>
  <si>
    <t>Palit GeForce RTX 4070 Ti SUPER Infinity 3 OC, 16GB GDDR6X, HDMI, 3x DP</t>
  </si>
  <si>
    <t>https://geizhals.eu/palit-geforce-rtx-4070-ti-super-infinity-3-oc-ned47tss19t2-1043s-a3343571.html?hloc=at&amp;hloc=de&amp;hloc=eu&amp;hloc=pl&amp;hloc=uk</t>
  </si>
  <si>
    <t>NED47TSS19T2-1043S</t>
  </si>
  <si>
    <t>Palit GeForce RTX 4070 Ti SUPER GamingPro, 16GB GDDR6X, HDMI, 3x DP</t>
  </si>
  <si>
    <t>https://geizhals.eu/palit-geforce-rtx-4070-ti-super-gamingpro-ned47ts019t2-1043a-a3103487.html?hloc=at&amp;hloc=de&amp;hloc=eu&amp;hloc=pl&amp;hloc=uk</t>
  </si>
  <si>
    <t>NED47TS019T2-1043A</t>
  </si>
  <si>
    <t>Palit GeForce RTX 4070 Ti SUPER GameRock OmniBlack, 16GB GDDR6X, HDMI, 3x DP</t>
  </si>
  <si>
    <t>https://geizhals.eu/palit-geforce-rtx-4070-ti-super-gamerock-omniblack-ned47ts019t2-1020q-a3225676.html?hloc=at&amp;hloc=de&amp;hloc=eu&amp;hloc=pl&amp;hloc=uk</t>
  </si>
  <si>
    <t>NED47TS019T2-1020Q</t>
  </si>
  <si>
    <t>Palit GeForce RTX 4070 Ti JetStream, 12GB GDDR6X, HDMI, 3x DP</t>
  </si>
  <si>
    <t>https://geizhals.eu/palit-geforce-rtx-4070-ti-jetstream-ned407t019k9-1043j-a2953071.html?hloc=at&amp;hloc=de&amp;hloc=eu&amp;hloc=pl&amp;hloc=uk</t>
  </si>
  <si>
    <t>NED407T019K9-1043J</t>
  </si>
  <si>
    <t>Palit GeForce RTX 4070 Ti GamingPro OC, 12GB GDDR6X, HDMI, 3x DP</t>
  </si>
  <si>
    <t>https://geizhals.eu/palit-geforce-rtx-4070-ti-gamingpro-oc-ned407tt19k9-1043a-a2871912.html?hloc=at&amp;hloc=de&amp;hloc=eu&amp;hloc=pl&amp;hloc=uk</t>
  </si>
  <si>
    <t>NED407TT19K9-1043A</t>
  </si>
  <si>
    <t>Palit GeForce RTX 4070 Ti GameRock, 12GB GDDR6X, HDMI, 3x DP</t>
  </si>
  <si>
    <t>https://geizhals.eu/palit-geforce-rtx-4070-ti-gamerock-ned407t019k9-1045g-a2871841.html?hloc=at&amp;hloc=de&amp;hloc=eu&amp;hloc=pl&amp;hloc=uk</t>
  </si>
  <si>
    <t>NED407T019K9-1045G</t>
  </si>
  <si>
    <t>Palit GeForce RTX 4070 Ti GameRock Classic, 12GB GDDR6X, HDMI, 3x DP</t>
  </si>
  <si>
    <t>https://geizhals.eu/palit-geforce-rtx-4070-ti-gamerock-classic-ned407t019k9-1046g-a2871863.html?hloc=at&amp;hloc=de&amp;hloc=eu&amp;hloc=pl&amp;hloc=uk</t>
  </si>
  <si>
    <t>NED407T019K9-1046G</t>
  </si>
  <si>
    <t>Palit GeForce RTX 4070 SUPER JetStream OC, 12GB GDDR6X, HDMI, 3x DP</t>
  </si>
  <si>
    <t>https://geizhals.eu/palit-geforce-rtx-4070-super-jetstream-oc-ned407st19k9-1043j-a3098392.html?hloc=at&amp;hloc=de&amp;hloc=eu&amp;hloc=pl&amp;hloc=uk</t>
  </si>
  <si>
    <t>NED407ST19K9-1043J</t>
  </si>
  <si>
    <t>Palit GeForce RTX 4070 SUPER Dual, 12GB GDDR6X, HDMI, 3x DP</t>
  </si>
  <si>
    <t>https://geizhals.eu/palit-geforce-rtx-4070-super-dual-ned407s019k9-1043d-a3098377.html?hloc=at&amp;hloc=de&amp;hloc=eu&amp;hloc=pl&amp;hloc=uk</t>
  </si>
  <si>
    <t>NED407S019K9-1043D</t>
  </si>
  <si>
    <t>Palit GeForce RTX 4070 SUPER Dual OC, 12GB GDDR6X, HDMI, 3x DP</t>
  </si>
  <si>
    <t>https://geizhals.eu/palit-geforce-rtx-4070-super-dual-oc-ned407ss19k9-1043d-a3098386.html?hloc=at&amp;hloc=de&amp;hloc=eu&amp;hloc=pl&amp;hloc=uk</t>
  </si>
  <si>
    <t>NED407SS19K9-1043D</t>
  </si>
  <si>
    <t>Palit GeForce RTX 4070 GamingPro OC, 12GB GDDR6X, HDMI, 3x DP</t>
  </si>
  <si>
    <t>https://geizhals.eu/palit-geforce-rtx-4070-gamingpro-oc-ned4070h19k9-1043a-a2930630.html?hloc=at&amp;hloc=de&amp;hloc=eu&amp;hloc=pl&amp;hloc=uk</t>
  </si>
  <si>
    <t>NED4070H19K9-1043A</t>
  </si>
  <si>
    <t>Palit GeForce RTX 4070 Dual, 12GB GDDR6X, HDMI, 3x DP</t>
  </si>
  <si>
    <t>https://geizhals.eu/palit-geforce-rtx-4070-dual-ned4070019k9-1047d-a2930558.html?hloc=at&amp;hloc=de&amp;hloc=eu&amp;hloc=pl&amp;hloc=uk</t>
  </si>
  <si>
    <t>NED4070019K9-1047D</t>
  </si>
  <si>
    <t>Palit GeForce RTX 4070 Dual, 12GB GDDR6, HDMI, 3x DP</t>
  </si>
  <si>
    <t>https://geizhals.eu/palit-geforce-rtx-4070-dual-ne64070019k9-1048d-a3294672.html?hloc=at&amp;hloc=de&amp;hloc=eu&amp;hloc=pl&amp;hloc=uk</t>
  </si>
  <si>
    <t>NE64070019K9-1048D</t>
  </si>
  <si>
    <t>Palit GeForce RTX 4070 Dual OC, 12GB GDDR6X, HDMI, 3x DP</t>
  </si>
  <si>
    <t>https://geizhals.eu/palit-geforce-rtx-4070-dual-oc-ned4070s19k9-1047d-a2930593.html?hloc=at&amp;hloc=de&amp;hloc=eu&amp;hloc=pl&amp;hloc=uk</t>
  </si>
  <si>
    <t>NED4070S19K9-1047D</t>
  </si>
  <si>
    <t>Palit GeForce RTX 4060 Ti StormX, 8GB GDDR6, HDMI, 3x DP</t>
  </si>
  <si>
    <t>https://geizhals.eu/palit-geforce-rtx-4060-ti-stormx-ne6406t019p1-1060f-a2951649.html?hloc=at&amp;hloc=de&amp;hloc=eu&amp;hloc=pl&amp;hloc=uk</t>
  </si>
  <si>
    <t>NE6406T019P1-1060F</t>
  </si>
  <si>
    <t>Palit GeForce RTX 4060 Ti JetStream, 16GB GDDR6, HDMI, 3x DP</t>
  </si>
  <si>
    <t>https://geizhals.eu/palit-geforce-rtx-4060-ti-jetstream-ne6406t019t1-1061j-a3014701.html?hloc=at&amp;hloc=de&amp;hloc=eu&amp;hloc=pl&amp;hloc=uk</t>
  </si>
  <si>
    <t>NE6406T019T1-1061J</t>
  </si>
  <si>
    <t>Palit GeForce RTX 4060 Ti Dual, 8GB GDDR6, HDMI, 3x DP</t>
  </si>
  <si>
    <t>https://geizhals.eu/palit-geforce-rtx-4060-ti-dual-ne6406t019p1-1060d-a2951647.html?hloc=at&amp;hloc=de&amp;hloc=eu&amp;hloc=pl&amp;hloc=uk</t>
  </si>
  <si>
    <t>NE6406T019P1-1060D</t>
  </si>
  <si>
    <t>Palit GeForce RTX 4060 Ti Dual White Edition, 8GB GDDR6, HDMI, 3x DP</t>
  </si>
  <si>
    <t>https://geizhals.eu/palit-geforce-rtx-4060-ti-dual-white-edition-ne6406t019p1-1048l-a3183108.html?hloc=at&amp;hloc=de&amp;hloc=eu&amp;hloc=pl&amp;hloc=uk</t>
  </si>
  <si>
    <t>NE6406T019P1-1048L</t>
  </si>
  <si>
    <t>Palit GeForce RTX 4060 Ti Dual OC, 8GB GDDR6, HDMI, 3x DP</t>
  </si>
  <si>
    <t>https://geizhals.eu/palit-geforce-rtx-4060-ti-dual-oc-ne6406tt19p1-1060d-a2951648.html?hloc=at&amp;hloc=de&amp;hloc=eu&amp;hloc=pl&amp;hloc=uk</t>
  </si>
  <si>
    <t>NE6406TT19P1-1060D</t>
  </si>
  <si>
    <t>Palit GeForce RTX 4060 StormX, 8GB GDDR6, HDMI, 3x DP</t>
  </si>
  <si>
    <t>https://geizhals.eu/palit-geforce-rtx-4060-stormx-ne64060019p1-1070f-a2975444.html?hloc=at&amp;hloc=de&amp;hloc=eu&amp;hloc=pl&amp;hloc=uk</t>
  </si>
  <si>
    <t>NE64060019P1-1070F</t>
  </si>
  <si>
    <t>Palit GeForce RTX 4060 Infinity 2, 8GB GDDR6, HDMI, 3x DP</t>
  </si>
  <si>
    <t>https://geizhals.eu/palit-geforce-rtx-4060-infinity-2-ne64060019p1-1070l-a3214365.html?hloc=at&amp;hloc=de&amp;hloc=eu&amp;hloc=pl&amp;hloc=uk</t>
  </si>
  <si>
    <t>NE64060019P1-1070L</t>
  </si>
  <si>
    <t>Palit GeForce RTX 4060 Infinity 2 OC, 8GB GDDR6, HDMI, 3x DP</t>
  </si>
  <si>
    <t>https://geizhals.eu/palit-geforce-rtx-4060-infinity-2-oc-ne64060s19p1-1070l-a3214379.html?hloc=at&amp;hloc=de&amp;hloc=eu&amp;hloc=pl&amp;hloc=uk</t>
  </si>
  <si>
    <t>NE64060S19P1-1070L</t>
  </si>
  <si>
    <t>Palit GeForce RTX 4060 Dual, 8GB GDDR6, HDMI, 3x DP</t>
  </si>
  <si>
    <t>https://geizhals.eu/palit-geforce-rtx-4060-dual-ne64060019p1-1070d-a2975412.html?hloc=at&amp;hloc=de&amp;hloc=eu&amp;hloc=pl&amp;hloc=uk</t>
  </si>
  <si>
    <t>NE64060019P1-1070D</t>
  </si>
  <si>
    <t>Palit GeForce RTX 3090 GameRock, 24GB GDDR6X, HDMI, 3x DP</t>
  </si>
  <si>
    <t>https://geizhals.eu/palit-geforce-rtx-3090-gamerock-ned3090t19sb-1021g-a2381055.html?hloc=at&amp;hloc=de&amp;hloc=eu&amp;hloc=pl&amp;hloc=uk</t>
  </si>
  <si>
    <t>NED3090T19SB-1021G</t>
  </si>
  <si>
    <t>Palit GeForce RTX 3080 Ti GamingPro, 12GB GDDR6X, HDMI, 3x DP</t>
  </si>
  <si>
    <t>https://geizhals.eu/palit-geforce-rtx-3080-ti-gamingpro-ned308t019kb-132aa-a2537342.html?hloc=at&amp;hloc=de&amp;hloc=eu&amp;hloc=pl&amp;hloc=uk</t>
  </si>
  <si>
    <t>NED308T019KB-132AA</t>
  </si>
  <si>
    <t>Palit GeForce RTX 3080 Ti GameRock, 12GB GDDR6X, HDMI, 3x DP</t>
  </si>
  <si>
    <t>https://geizhals.eu/palit-geforce-rtx-3080-ti-gamerock-ned308t019kb-1020g-a2537347.html?hloc=at&amp;hloc=de&amp;hloc=eu&amp;hloc=pl&amp;hloc=uk</t>
  </si>
  <si>
    <t>NED308T019KB-1020G</t>
  </si>
  <si>
    <t>Palit GeForce RTX 3080 GamingPro V1 (LHR), 10GB GDDR6X, HDMI, 3x DP</t>
  </si>
  <si>
    <t>https://geizhals.eu/palit-geforce-rtx-3080-gamingpro-ned3080019ia-132aa-a2365257.html?hloc=at&amp;hloc=de&amp;hloc=eu&amp;hloc=pl&amp;hloc=uk</t>
  </si>
  <si>
    <t>NED3080019IA-132AA</t>
  </si>
  <si>
    <t>Palit GeForce RTX 3070 Ti GamingPro, 8GB GDDR6X, HDMI, 3x DP</t>
  </si>
  <si>
    <t>https://geizhals.eu/palit-geforce-rtx-3070-ti-gamingpro-ned307t019p2-1046a-a2537356.html?hloc=at&amp;hloc=de&amp;hloc=eu&amp;hloc=pl&amp;hloc=uk</t>
  </si>
  <si>
    <t>NED307T019P2-1046A</t>
  </si>
  <si>
    <t>Palit GeForce RTX 3070 Ti GameRock, 8GB GDDR6X, HDMI, 3x DP</t>
  </si>
  <si>
    <t>https://geizhals.eu/palit-geforce-rtx-3070-ti-gamerock-ned307t019p2-1047g-a2537381.html?hloc=at&amp;hloc=de&amp;hloc=eu&amp;hloc=pl&amp;hloc=uk</t>
  </si>
  <si>
    <t>NED307T019P2-1047G</t>
  </si>
  <si>
    <t>Palit GeForce RTX 3070 JetStream V1 (LHR), 8GB GDDR6, HDMI, 3x DP</t>
  </si>
  <si>
    <t>https://geizhals.eu/palit-geforce-rtx-3070-jetstream-ne63070019p2-1040j-a2420480.html?hloc=at&amp;hloc=de&amp;hloc=eu&amp;hloc=pl&amp;hloc=uk</t>
  </si>
  <si>
    <t>NE63070019P2-1040J</t>
  </si>
  <si>
    <t>Palit GeForce RTX 3070 JetStream OC V1 (LHR), 8GB GDDR6, HDMI, 3x DP</t>
  </si>
  <si>
    <t>https://geizhals.eu/palit-geforce-rtx-3070-jetstream-oc-ne63070t19p2-1040j-a2420466.html?hloc=at&amp;hloc=de&amp;hloc=eu&amp;hloc=pl&amp;hloc=uk</t>
  </si>
  <si>
    <t>NE63070T19P2-1040J</t>
  </si>
  <si>
    <t>Palit GeForce RTX 3070 GamingPro V1 (LHR), 8GB GDDR6, HDMI, 3x DP</t>
  </si>
  <si>
    <t>https://geizhals.eu/palit-geforce-rtx-3070-gamingpro-ne63070019p2-1041a-a2365260.html?hloc=at&amp;hloc=de&amp;hloc=eu&amp;hloc=pl&amp;hloc=uk</t>
  </si>
  <si>
    <t>NE63070019P2-1041A</t>
  </si>
  <si>
    <t>Palit GeForce RTX 3060 Ti Dual V1 (LHR), 8GB GDDR6, HDMI, 3x DP</t>
  </si>
  <si>
    <t>https://geizhals.eu/palit-geforce-rtx-3060-ti-dual-ne6306t019p2-190ad-a2440269.html?hloc=at&amp;hloc=de&amp;hloc=eu&amp;hloc=pl&amp;hloc=uk</t>
  </si>
  <si>
    <t>NE6306T019P2-190AD</t>
  </si>
  <si>
    <t>Palit GeForce RTX 3060 StormX, 8GB GDDR6, HDMI, 3x DP</t>
  </si>
  <si>
    <t>https://geizhals.eu/palit-geforce-rtx-3060-stormx-ne63060019p1-190af-a2842798.html?hloc=at&amp;hloc=de&amp;hloc=eu&amp;hloc=pl&amp;hloc=uk</t>
  </si>
  <si>
    <t>NE63060019P1-190AF</t>
  </si>
  <si>
    <t>Palit GeForce RTX 3060 Dual, 12GB GDDR6, HDMI, 3x DP</t>
  </si>
  <si>
    <t>https://geizhals.eu/palit-geforce-rtx-3060-dual-ne63060019k9-190ad-a2476818.html?hloc=at&amp;hloc=de&amp;hloc=eu&amp;hloc=pl&amp;hloc=uk</t>
  </si>
  <si>
    <t>NE63060019K9-190AD</t>
  </si>
  <si>
    <t>Palit GeForce RTX 3060 Dual OC, 12GB GDDR6, HDMI, 3x DP</t>
  </si>
  <si>
    <t>https://geizhals.eu/palit-geforce-rtx-3060-dual-oc-ne63060t19k9-190ad-a2476808.html?hloc=at&amp;hloc=de&amp;hloc=eu&amp;hloc=pl&amp;hloc=uk</t>
  </si>
  <si>
    <t>NE63060T19K9-190AD</t>
  </si>
  <si>
    <t>Palit GeForce RTX 3050 StormX, 6GB GDDR6, DVI, HDMI, DP</t>
  </si>
  <si>
    <t>https://geizhals.eu/palit-geforce-rtx-3050-stormx-ne63050018je-1070f-a3115965.html?hloc=at&amp;hloc=de&amp;hloc=eu&amp;hloc=pl&amp;hloc=uk</t>
  </si>
  <si>
    <t>NE63050018JE-1070F</t>
  </si>
  <si>
    <t>Palit GeForce RTX 3050 StormX (GA107), 8GB GDDR6, DVI, HDMI, DP</t>
  </si>
  <si>
    <t>https://geizhals.eu/palit-geforce-rtx-3050-stormx-ga107-ne63050018p1-1070f-a2861046.html?hloc=at&amp;hloc=de&amp;hloc=eu&amp;hloc=pl&amp;hloc=uk</t>
  </si>
  <si>
    <t>NE63050018P1-1070F</t>
  </si>
  <si>
    <t>Palit GeForce RTX 3050 KalmX, 6GB GDDR6, DVI, HDMI, DP</t>
  </si>
  <si>
    <t>https://geizhals.eu/palit-geforce-rtx-3050-kalmx-ne63050018je-1070h-a3115967.html?hloc=at&amp;hloc=de&amp;hloc=eu&amp;hloc=pl&amp;hloc=uk</t>
  </si>
  <si>
    <t>NE63050018JE-1070H</t>
  </si>
  <si>
    <t>Palit GeForce RTX 3050 Dual, 8GB GDDR6, HDMI, 3x DP</t>
  </si>
  <si>
    <t>https://geizhals.eu/palit-geforce-rtx-3050-dual-ne63050019p1-190ad-a2665473.html?hloc=at&amp;hloc=de&amp;hloc=eu&amp;hloc=pl&amp;hloc=uk</t>
  </si>
  <si>
    <t>NE63050019P1-190AD</t>
  </si>
  <si>
    <t>1x 6-Pin PCIe, 1x 8-Pin PCIe</t>
  </si>
  <si>
    <t>MSI Radeon RX 7900 XT Gaming Trio Classic 20G, 20GB GDDR6, HDMI, 3x DP</t>
  </si>
  <si>
    <t>https://geizhals.eu/msi-radeon-rx-7900-xt-gaming-trio-classic-20g-a2877773.html?hloc=at&amp;hloc=de&amp;hloc=eu&amp;hloc=pl&amp;hloc=uk</t>
  </si>
  <si>
    <t>MSI Radeon RX 7600 Mech 2X Classic 8G OC, 8GB GDDR6, HDMI, 3x DP</t>
  </si>
  <si>
    <t>https://geizhals.eu/msi-radeon-rx-7600-mech-2x-classic-8g-oc-v502-094r-a2955263.html?hloc=at&amp;hloc=de&amp;hloc=eu&amp;hloc=pl&amp;hloc=uk</t>
  </si>
  <si>
    <t>V502-094R</t>
  </si>
  <si>
    <t>MSI Radeon RX 6950 XT Gaming X Trio 16G, 16GB GDDR6, HDMI, 3x DP</t>
  </si>
  <si>
    <t>https://geizhals.eu/msi-radeon-rx-6950-xt-gaming-x-trio-16g-v395-042r-a2731615.html?hloc=at&amp;hloc=de&amp;hloc=eu&amp;hloc=pl&amp;hloc=uk</t>
  </si>
  <si>
    <t>V395-042R / V395-051</t>
  </si>
  <si>
    <t>MSI Radeon RX 6900 XT Gaming Z Trio 16G, 16GB GDDR6, HDMI, 3x DP</t>
  </si>
  <si>
    <t>https://geizhals.eu/msi-radeon-rx-6900-xt-gaming-z-trio-16g-v395-019r-a2533368.html?hloc=at&amp;hloc=de&amp;hloc=eu&amp;hloc=pl&amp;hloc=uk</t>
  </si>
  <si>
    <t>V395-019R</t>
  </si>
  <si>
    <t>MSI Radeon RX 6900 XT Gaming X Trio 16G, 16GB GDDR6, HDMI, 3x DP</t>
  </si>
  <si>
    <t>https://geizhals.eu/msi-radeon-rx-6900-xt-gaming-x-trio-16g-v395-007r-a2470341.html?hloc=at&amp;hloc=de&amp;hloc=eu&amp;hloc=pl&amp;hloc=uk</t>
  </si>
  <si>
    <t>V395-007R</t>
  </si>
  <si>
    <t>MSI Radeon RX 6800 XT Gaming Z Trio 16G, 16GB GDDR6, HDMI, 3x DP</t>
  </si>
  <si>
    <t>https://geizhals.eu/msi-radeon-rx-6800-xt-gaming-z-trio-16g-v395-013r-a2664755.html?hloc=at&amp;hloc=de&amp;hloc=eu&amp;hloc=pl&amp;hloc=uk</t>
  </si>
  <si>
    <t>V395-013R</t>
  </si>
  <si>
    <t>MSI Radeon RX 6800 XT Gaming X Trio 16G, 16GB GDDR6, HDMI, 3x DP</t>
  </si>
  <si>
    <t>https://geizhals.eu/msi-radeon-rx-6800-xt-gaming-x-trio-16g-a2429731.html?hloc=at&amp;hloc=de&amp;hloc=eu&amp;hloc=pl&amp;hloc=uk</t>
  </si>
  <si>
    <t>V395-001R</t>
  </si>
  <si>
    <t>MSI Radeon RX 6750 XT Mech 2X 12G V1, 12GB GDDR6, HDMI, 3x DP</t>
  </si>
  <si>
    <t>https://geizhals.eu/msi-radeon-rx-6750-xt-mech-2x-12g-v1-v398-035r-a2991670.html?hloc=at&amp;hloc=de&amp;hloc=eu&amp;hloc=pl&amp;hloc=uk</t>
  </si>
  <si>
    <t>V398-035R</t>
  </si>
  <si>
    <t>MSI Radeon RX 6750 XT Mech 2X 12G OC, 12GB GDDR6, HDMI, 3x DP</t>
  </si>
  <si>
    <t>https://geizhals.eu/msi-radeon-rx-6750-xt-mech-2x-12g-oc-v399-004r-a2731603.html?hloc=at&amp;hloc=de&amp;hloc=eu&amp;hloc=pl&amp;hloc=uk</t>
  </si>
  <si>
    <t>V399-004R</t>
  </si>
  <si>
    <t>MSI Radeon RX 6750 XT Gaming X Trio 12G, 12GB GDDR6, HDMI, 3x DP</t>
  </si>
  <si>
    <t>https://geizhals.eu/msi-radeon-rx-6750-xt-gaming-x-trio-12g-v399-003r-a2731609.html?hloc=at&amp;hloc=de&amp;hloc=eu&amp;hloc=pl&amp;hloc=uk</t>
  </si>
  <si>
    <t>V399-003R</t>
  </si>
  <si>
    <t>MSI Radeon RX 6700 XT Mech 2X 12G, 12GB GDDR6, HDMI, 3x DP</t>
  </si>
  <si>
    <t>https://geizhals.eu/msi-radeon-rx-6700-xt-mech-2x-12g-a2487616.html?hloc=at&amp;hloc=de&amp;hloc=eu&amp;hloc=pl&amp;hloc=uk</t>
  </si>
  <si>
    <t>V398-005R</t>
  </si>
  <si>
    <t>MSI Radeon RX 6700 XT Mech 2X 12G OC, 12GB GDDR6, HDMI, 3x DP</t>
  </si>
  <si>
    <t>https://geizhals.eu/msi-radeon-rx-6700-xt-mech-2x-12g-oc-a2487615.html?hloc=at&amp;hloc=de&amp;hloc=eu&amp;hloc=pl&amp;hloc=uk</t>
  </si>
  <si>
    <t>V398-002R</t>
  </si>
  <si>
    <t>MSI Radeon RX 6700 XT Gaming X 12G, 12GB GDDR6, HDMI, 3x DP</t>
  </si>
  <si>
    <t>https://geizhals.eu/msi-radeon-rx-6700-xt-gaming-x-12g-a2487613.html?hloc=at&amp;hloc=de&amp;hloc=eu&amp;hloc=pl&amp;hloc=uk</t>
  </si>
  <si>
    <t>V398-007R</t>
  </si>
  <si>
    <t>MSI Radeon RX 6650 XT Mech 2X 8G OC, 8GB GDDR6, HDMI, 3x DP</t>
  </si>
  <si>
    <t>https://geizhals.eu/msi-radeon-rx-6650-xt-mech-2x-8g-oc-v502-064r-a2731176.html?hloc=at&amp;hloc=de&amp;hloc=eu&amp;hloc=pl&amp;hloc=uk</t>
  </si>
  <si>
    <t>V502-064R</t>
  </si>
  <si>
    <t>MSI Radeon RX 6650 XT Gaming X 8G, 8GB GDDR6, HDMI, 3x DP</t>
  </si>
  <si>
    <t>https://geizhals.eu/msi-radeon-rx-6650-xt-gaming-x-8g-v502-063r-a2731577.html?hloc=at&amp;hloc=de&amp;hloc=eu&amp;hloc=pl&amp;hloc=uk</t>
  </si>
  <si>
    <t>V502-063R / V502-074</t>
  </si>
  <si>
    <t>MSI Radeon RX 6600 XT Mech 2X 8G OCV1, 8GB GDDR6, HDMI, 3x DP</t>
  </si>
  <si>
    <t>https://geizhals.eu/msi-radeon-rx-6600-xt-mech-2x-8g-ocv1-v502-022r-a2627204.html?hloc=at&amp;hloc=de&amp;hloc=eu&amp;hloc=pl&amp;hloc=uk</t>
  </si>
  <si>
    <t>V502-022R</t>
  </si>
  <si>
    <t>MSI Radeon RX 6600 XT Mech 2X 8G OC, 8GB GDDR6, HDMI, 3x DP</t>
  </si>
  <si>
    <t>https://geizhals.eu/msi-radeon-rx-6600-xt-mech-2x-8g-oc-a2574093.html?hloc=at&amp;hloc=de&amp;hloc=eu&amp;hloc=pl&amp;hloc=uk</t>
  </si>
  <si>
    <t>V502-004R</t>
  </si>
  <si>
    <t>MSI Radeon RX 6600 Mech 2X 8G, 8GB GDDR6, HDMI, 3x DP</t>
  </si>
  <si>
    <t>https://geizhals.eu/msi-radeon-rx-6600-mech-2x-8g-v502-035r-a2619424.html?hloc=at&amp;hloc=de&amp;hloc=eu&amp;hloc=pl&amp;hloc=uk</t>
  </si>
  <si>
    <t>V502-035R</t>
  </si>
  <si>
    <t>MSI Radeon RX 6600 Armor 8G, 8GB GDDR6, HDMI, 3x DP</t>
  </si>
  <si>
    <t>https://geizhals.eu/msi-radeon-rx-6600-armor-8g-a2644467.html?hloc=at&amp;hloc=de&amp;hloc=eu&amp;hloc=pl&amp;hloc=uk</t>
  </si>
  <si>
    <t>912-V502-045</t>
  </si>
  <si>
    <t>MSI Radeon RX 6600 Armor 8G V1, 8GB GDDR6, HDMI, 3x DP</t>
  </si>
  <si>
    <t>https://geizhals.eu/msi-radeon-rx-6600-armor-8g-v1-v502-27sb-a2644486.html?hloc=at&amp;hloc=de&amp;hloc=eu&amp;hloc=pl&amp;hloc=uk</t>
  </si>
  <si>
    <t>V502-27SB</t>
  </si>
  <si>
    <t>MSI Radeon RX 6500 XT Mech 2X 4G OC, 4GB GDDR6, HDMI, DP</t>
  </si>
  <si>
    <t>https://geizhals.eu/msi-radeon-rx-6500-xt-mech-2x-4g-oc-a2665692.html?hloc=at&amp;hloc=de&amp;hloc=eu&amp;hloc=pl&amp;hloc=uk</t>
  </si>
  <si>
    <t>V508-003R</t>
  </si>
  <si>
    <t>MSI Radeon RX 5700 XT Gaming X, 8GB GDDR6, HDMI, 3x DP</t>
  </si>
  <si>
    <t>https://geizhals.eu/msi-radeon-rx-5700-xt-gaming-x-v381-032r-a2133171.html?hloc=at&amp;hloc=de&amp;hloc=eu&amp;hloc=pl&amp;hloc=uk</t>
  </si>
  <si>
    <t>V381-032R</t>
  </si>
  <si>
    <t>MSI Radeon RX 5700 Mech GP OC, 8GB GDDR6, HDMI, 3x DP</t>
  </si>
  <si>
    <t>https://geizhals.eu/msi-radeon-rx-5700-mech-gp-oc-v381-089r-a2178116.html?hloc=at&amp;hloc=de&amp;hloc=eu&amp;hloc=pl&amp;hloc=uk</t>
  </si>
  <si>
    <t>V381-089R</t>
  </si>
  <si>
    <t>MSI Radeon RX 5600 XT Mech OC, 6GB GDDR6, HDMI, 3x DP</t>
  </si>
  <si>
    <t>https://geizhals.eu/msi-radeon-rx-5600-xt-mech-oc-v381-227r-a2211654.html?hloc=at&amp;hloc=de&amp;hloc=eu&amp;hloc=pl&amp;hloc=uk</t>
  </si>
  <si>
    <t>V381-227R</t>
  </si>
  <si>
    <t>MSI GeForce RTX 5090 32G Ventus 3X OC, 32GB GDDR7, HDMI, 3x DP</t>
  </si>
  <si>
    <t>https://geizhals.eu/msi-geforce-rtx-5090-32g-ventus-3x-oc-a3382073.html?hloc=at&amp;hloc=de&amp;hloc=eu&amp;hloc=pl&amp;hloc=uk</t>
  </si>
  <si>
    <t>V530-060R</t>
  </si>
  <si>
    <t>MSI GeForce RTX 5090 32G Suprim SOC, 32GB GDDR7, HDMI, 3x DP</t>
  </si>
  <si>
    <t>https://geizhals.eu/msi-geforce-rtx-5090-32g-suprim-soc-a3382007.html?hloc=at&amp;hloc=de&amp;hloc=eu&amp;hloc=pl&amp;hloc=uk</t>
  </si>
  <si>
    <t>MSI GeForce RTX 5090 32G Suprim Liquid SOC, 32GB GDDR7, HDMI, 3x DP</t>
  </si>
  <si>
    <t>https://geizhals.eu/msi-geforce-rtx-5090-32g-suprim-liquid-soc-a3381987.html?hloc=at&amp;hloc=de&amp;hloc=eu&amp;hloc=pl&amp;hloc=uk</t>
  </si>
  <si>
    <t>V530-011R</t>
  </si>
  <si>
    <t>MSI GeForce RTX 5090 32G Gaming Trio OC, 32GB GDDR7, HDMI, 3x DP</t>
  </si>
  <si>
    <t>https://geizhals.eu/msi-geforce-rtx-5090-32g-gaming-trio-oc-a3382022.html?hloc=at&amp;hloc=de&amp;hloc=eu&amp;hloc=pl&amp;hloc=uk</t>
  </si>
  <si>
    <t>MSI GeForce RTX 5080 16G Ventus 3X OC, 16GB GDDR7, HDMI, 3x DP</t>
  </si>
  <si>
    <t>https://geizhals.eu/msi-geforce-rtx-5080-16g-ventus-3x-oc-a3382121.html?hloc=at&amp;hloc=de&amp;hloc=eu&amp;hloc=pl&amp;hloc=uk</t>
  </si>
  <si>
    <t>V531-095R</t>
  </si>
  <si>
    <t>MSI GeForce RTX 5080 16G Ventus 3X OC Plus, 16GB GDDR7, HDMI, 3x DP</t>
  </si>
  <si>
    <t>https://geizhals.eu/msi-geforce-rtx-5080-16g-ventus-3x-oc-plus-a3382128.html?hloc=at&amp;hloc=de&amp;hloc=eu&amp;hloc=pl&amp;hloc=uk</t>
  </si>
  <si>
    <t>V531-001R</t>
  </si>
  <si>
    <t>MSI GeForce RTX 5080 16G Suprim Liquid SOC, 16GB GDDR7, HDMI, 3x DP</t>
  </si>
  <si>
    <t>https://geizhals.eu/msi-geforce-rtx-5080-16g-suprim-liquid-soc-a3382082.html?hloc=at&amp;hloc=de&amp;hloc=eu&amp;hloc=pl&amp;hloc=uk</t>
  </si>
  <si>
    <t>MSI GeForce RTX 5080 16G Inspire 3X OC, 16GB GDDR7, HDMI, 3x DP</t>
  </si>
  <si>
    <t>https://geizhals.eu/msi-geforce-rtx-5080-16g-inspire-3x-oc-a3382135.html?hloc=at&amp;hloc=de&amp;hloc=eu&amp;hloc=pl&amp;hloc=uk</t>
  </si>
  <si>
    <t>MSI GeForce RTX 5080 16G Gaming Trio OC, 16GB GDDR7, HDMI, 3x DP</t>
  </si>
  <si>
    <t>https://geizhals.eu/msi-geforce-rtx-5080-16g-gaming-trio-oc-a3382115.html?hloc=at&amp;hloc=de&amp;hloc=eu&amp;hloc=pl&amp;hloc=uk</t>
  </si>
  <si>
    <t>MSI GeForce RTX 5080 16G Gaming Trio OC White, 16GB GDDR7, HDMI, 3x DP</t>
  </si>
  <si>
    <t>https://geizhals.eu/msi-geforce-rtx-5080-16g-gaming-trio-oc-white-a3382120.html?hloc=at&amp;hloc=de&amp;hloc=eu&amp;hloc=pl&amp;hloc=uk</t>
  </si>
  <si>
    <t>V531-045R</t>
  </si>
  <si>
    <t>MSI GeForce RTX 5070 Ti 16G Ventus 3X OC, 16GB GDDR7, HDMI, 3x DP</t>
  </si>
  <si>
    <t>https://geizhals.eu/msi-geforce-rtx-5070-ti-16g-ventus-3x-oc-plus-a3382170.html?hloc=at&amp;hloc=de&amp;hloc=eu&amp;hloc=pl&amp;hloc=uk</t>
  </si>
  <si>
    <t>1x 12V-2x6 (via Adapter: 2x 8-Pin PCIe)</t>
  </si>
  <si>
    <t>MSI GeForce RTX 5070 Ti 16G Vanguard SOC Launch Edition, 16GB GDDR7, HDMI, 3x DP</t>
  </si>
  <si>
    <t>https://geizhals.eu/msi-geforce-rtx-5070-ti-16g-vanguard-soc-launch-edition-a3382156.html?hloc=at&amp;hloc=de&amp;hloc=eu&amp;hloc=pl&amp;hloc=uk</t>
  </si>
  <si>
    <t>MSI GeForce RTX 5070 Ti 16G Inspire 3X OC Plus, 16GB GDDR7, HDMI, 3x DP</t>
  </si>
  <si>
    <t>https://geizhals.eu/msi-geforce-rtx-5070-ti-16g-inspire-3x-oc-plus-a3382174.html?hloc=at&amp;hloc=de&amp;hloc=eu&amp;hloc=pl&amp;hloc=uk</t>
  </si>
  <si>
    <t>V531-099R</t>
  </si>
  <si>
    <t>MSI GeForce RTX 5070 Ti 16G Gaming Trio OC Plus, 16GB GDDR7, HDMI, 3x DP</t>
  </si>
  <si>
    <t>https://geizhals.eu/msi-geforce-rtx-5070-ti-16g-gaming-trio-oc-plus-a3382157.html?hloc=at&amp;hloc=de&amp;hloc=eu&amp;hloc=pl&amp;hloc=uk</t>
  </si>
  <si>
    <t>V531-058R</t>
  </si>
  <si>
    <t>MSI GeForce RTX 4090 Ventus 3X E 24G OC, 24GB GDDR6X, 2x HDMI, 2x DP</t>
  </si>
  <si>
    <t>https://geizhals.eu/msi-geforce-rtx-4090-ventus-3x-e-24g-oc-v510-271r-a3042387.html?hloc=at&amp;hloc=de&amp;hloc=eu&amp;hloc=pl&amp;hloc=uk</t>
  </si>
  <si>
    <t>V510-271R</t>
  </si>
  <si>
    <t>MSI GeForce RTX 4090 Ventus 3X 24G OC, 24GB GDDR6X, HDMI, 3x DP</t>
  </si>
  <si>
    <t>https://geizhals.eu/msi-geforce-rtx-4090-ventus-3x-24g-oc-v510-023r-a2846034.html?hloc=at&amp;hloc=de&amp;hloc=eu&amp;hloc=pl&amp;hloc=uk</t>
  </si>
  <si>
    <t>V510-023R</t>
  </si>
  <si>
    <t>MSI GeForce RTX 4090 Suprim X 24G, 24GB GDDR6X, HDMI, 3x DP</t>
  </si>
  <si>
    <t>https://geizhals.eu/msi-geforce-rtx-4090-suprim-x-24g-a2820514.html?hloc=at&amp;hloc=de&amp;hloc=eu&amp;hloc=pl&amp;hloc=uk</t>
  </si>
  <si>
    <t>V510-001R</t>
  </si>
  <si>
    <t>MSI GeForce RTX 4090 Suprim Liquid X 24G, 24GB GDDR6X, HDMI, 3x DP</t>
  </si>
  <si>
    <t>https://geizhals.eu/msi-geforce-rtx-4090-suprim-liquid-x-24g-a2815807.html?hloc=at&amp;hloc=de&amp;hloc=eu&amp;hloc=pl&amp;hloc=uk</t>
  </si>
  <si>
    <t>V510-007R</t>
  </si>
  <si>
    <t>MSI GeForce RTX 4090 Gaming X Trio 24G, 24GB GDDR6X, HDMI, 3x DP</t>
  </si>
  <si>
    <t>https://geizhals.eu/msi-geforce-rtx-4090-gaming-x-trio-24g-a2816380.html?hloc=at&amp;hloc=de&amp;hloc=eu&amp;hloc=pl&amp;hloc=uk</t>
  </si>
  <si>
    <t>V510-006R</t>
  </si>
  <si>
    <t>MSI GeForce RTX 4090 Gaming X Slim 24G, 24GB GDDR6X, 2x HDMI, 2x DP</t>
  </si>
  <si>
    <t>https://geizhals.eu/msi-geforce-rtx-4090-gaming-x-slim-24g-v510-263r-a3042319.html?hloc=at&amp;hloc=de&amp;hloc=eu&amp;hloc=pl&amp;hloc=uk</t>
  </si>
  <si>
    <t>V510-263R</t>
  </si>
  <si>
    <t>MSI GeForce RTX 4090 Gaming Trio 24G, 24GB GDDR6X, HDMI, 3x DP</t>
  </si>
  <si>
    <t>https://geizhals.eu/msi-geforce-rtx-4090-gaming-trio-24g-a2816382.html?hloc=at&amp;hloc=de&amp;hloc=eu&amp;hloc=pl&amp;hloc=uk</t>
  </si>
  <si>
    <t>MSI GeForce RTX 4080 Ventus 3X 16G OC, 16GB GDDR6X, HDMI, 3x DP</t>
  </si>
  <si>
    <t>https://geizhals.eu/msi-geforce-rtx-4080-16gb-ventus-3x-oc-a2816389.html?hloc=at&amp;hloc=de&amp;hloc=eu&amp;hloc=pl&amp;hloc=uk</t>
  </si>
  <si>
    <t>V511-009R</t>
  </si>
  <si>
    <t>MSI GeForce RTX 4080 Suprim X 16G, 16GB GDDR6X, HDMI, 3x DP</t>
  </si>
  <si>
    <t>https://geizhals.eu/msi-geforce-rtx-4080-16gb-suprim-x-a2816386.html?hloc=at&amp;hloc=de&amp;hloc=eu&amp;hloc=pl&amp;hloc=uk</t>
  </si>
  <si>
    <t>V511-004R</t>
  </si>
  <si>
    <t>MSI GeForce RTX 4080 SUPER 16G Ventus 3X OC, 16GB GDDR6X, 2x HDMI, 2x DP</t>
  </si>
  <si>
    <t>https://geizhals.eu/msi-geforce-rtx-4080-super-16g-ventus-3x-oc-a3101924.html?hloc=at&amp;hloc=de&amp;hloc=eu&amp;hloc=pl&amp;hloc=uk</t>
  </si>
  <si>
    <t>V511-221R</t>
  </si>
  <si>
    <t>MSI GeForce RTX 4080 SUPER 16G Suprim X, 16GB GDDR6X, HDMI, 3x DP</t>
  </si>
  <si>
    <t>https://geizhals.eu/msi-geforce-rtx-4080-super-16g-suprim-x-a3101920.html?hloc=at&amp;hloc=de&amp;hloc=eu&amp;hloc=pl&amp;hloc=uk</t>
  </si>
  <si>
    <t>V511-248R</t>
  </si>
  <si>
    <t>MSI GeForce RTX 4080 SUPER 16G Gaming X Slim, 16GB GDDR6X, 2x HDMI, 2x DP</t>
  </si>
  <si>
    <t>https://geizhals.eu/msi-geforce-rtx-4080-super-16g-gaming-x-slim-a3101588.html?hloc=at&amp;hloc=de&amp;hloc=eu&amp;hloc=pl&amp;hloc=uk</t>
  </si>
  <si>
    <t>V511-228R</t>
  </si>
  <si>
    <t>MSI GeForce RTX 4080 SUPER 16G Expert, 16GB GDDR6X, HDMI, 3x DP</t>
  </si>
  <si>
    <t>https://geizhals.eu/msi-geforce-rtx-4080-super-16g-expert-a3114458.html?hloc=at&amp;hloc=de&amp;hloc=eu&amp;hloc=pl&amp;hloc=uk</t>
  </si>
  <si>
    <t>MSI GeForce RTX 4080 Gaming X Trio 16G, 16GB GDDR6X, HDMI, 3x DP</t>
  </si>
  <si>
    <t>https://geizhals.eu/msi-geforce-rtx-4080-gaming-x-trio-16gb-a2843849.html?hloc=at&amp;hloc=de&amp;hloc=eu&amp;hloc=pl&amp;hloc=uk</t>
  </si>
  <si>
    <t>V511-005R</t>
  </si>
  <si>
    <t>MSI GeForce RTX 4080 Gaming X Slim White 16G, 16GB GDDR6X, 2x HDMI, 2x DP</t>
  </si>
  <si>
    <t>https://geizhals.eu/msi-geforce-rtx-4080-gaming-x-slim-white-16g-v511-201r-a3042594.html?hloc=at&amp;hloc=de&amp;hloc=eu&amp;hloc=pl&amp;hloc=uk</t>
  </si>
  <si>
    <t>V511-201R</t>
  </si>
  <si>
    <t>MSI GeForce RTX 4070 Ventus 3X E1 12G OC, 12GB GDDR6, HDMI, 3x DP</t>
  </si>
  <si>
    <t>https://geizhals.eu/msi-geforce-rtx-4070-ventus-3x-e1-12g-oc-a3293985.html?hloc=at&amp;hloc=de&amp;hloc=eu&amp;hloc=pl&amp;hloc=uk</t>
  </si>
  <si>
    <t>V512-027R</t>
  </si>
  <si>
    <t>MSI GeForce RTX 4070 Ventus 3X E 12G OC, 12GB GDDR6X, HDMI, 3x DP</t>
  </si>
  <si>
    <t>https://geizhals.eu/msi-geforce-rtx-4070-ventus-3x-e-12g-oc-v513-290r-a3007580.html?hloc=at&amp;hloc=de&amp;hloc=eu&amp;hloc=pl&amp;hloc=uk</t>
  </si>
  <si>
    <t>V513-290R</t>
  </si>
  <si>
    <t>MSI GeForce RTX 4070 Ventus 2X White 12G OC, 12GB GDDR6X, HDMI, 3x DP</t>
  </si>
  <si>
    <t>https://geizhals.eu/msi-geforce-rtx-4070-ventus-2x-white-12g-oc-a3012804.html?hloc=at&amp;hloc=de&amp;hloc=eu&amp;hloc=pl&amp;hloc=uk</t>
  </si>
  <si>
    <t>V513-403R</t>
  </si>
  <si>
    <t>MSI GeForce RTX 4070 Ventus 2X E1 12G OC, 12GB GDDR6, HDMI, 3x DP</t>
  </si>
  <si>
    <t>https://geizhals.eu/msi-geforce-rtx-4070-ventus-2x-e1-12g-oc-v512-018r-a3294309.html?hloc=at&amp;hloc=de&amp;hloc=eu&amp;hloc=pl&amp;hloc=uk</t>
  </si>
  <si>
    <t>V512-018R</t>
  </si>
  <si>
    <t>MSI GeForce RTX 4070 Ventus 2X E 12G OC, 12GB GDDR6X, HDMI, 3x DP</t>
  </si>
  <si>
    <t>https://geizhals.eu/msi-geforce-rtx-4070-ventus-2x-e-12g-oc-v513-432r-a3034008.html?hloc=at&amp;hloc=de&amp;hloc=eu&amp;hloc=pl&amp;hloc=uk</t>
  </si>
  <si>
    <t>V513-432R</t>
  </si>
  <si>
    <t>MSI GeForce RTX 4070 Ventus 2X 12G OC, 12GB GDDR6X, HDMI, 3x DP</t>
  </si>
  <si>
    <t>https://geizhals.eu/msi-geforce-rtx-4070-ventus-2x-12g-oc-a2930743.html?hloc=at&amp;hloc=de&amp;hloc=eu&amp;hloc=pl&amp;hloc=uk</t>
  </si>
  <si>
    <t>V513-058R</t>
  </si>
  <si>
    <t>MSI GeForce RTX 4070 Ti Ventus 3X E1 12G OC, 12GB GDDR6X, HDMI, 3x DP</t>
  </si>
  <si>
    <t>https://geizhals.eu/msi-geforce-rtx-4070-ti-ventus-3x-e1-12g-oc-v513-423r-a3042694.html?hloc=at&amp;hloc=de&amp;hloc=eu&amp;hloc=pl&amp;hloc=uk</t>
  </si>
  <si>
    <t>V513-423R</t>
  </si>
  <si>
    <t>MSI GeForce RTX 4070 Ti Ventus 3X E 12G OC, 12GB GDDR6X, HDMI, 3x DP</t>
  </si>
  <si>
    <t>https://geizhals.eu/msi-geforce-rtx-4070-ti-ventus-3x-e-12g-oc-v513-249r-a3011923.html?hloc=at&amp;hloc=de&amp;hloc=eu&amp;hloc=pl&amp;hloc=uk</t>
  </si>
  <si>
    <t>V513-249R</t>
  </si>
  <si>
    <t>MSI GeForce RTX 4070 Ti Ventus 2X 12G OC, 12GB GDDR6X, HDMI, 3x DP</t>
  </si>
  <si>
    <t>https://geizhals.eu/msi-geforce-rtx-4070-ti-ventus-2x-12g-oc-a3012799.html?hloc=at&amp;hloc=de&amp;hloc=eu&amp;hloc=pl&amp;hloc=uk</t>
  </si>
  <si>
    <t>V513-413R</t>
  </si>
  <si>
    <t>MSI GeForce RTX 4070 Ti SUPER 16G Ventus 2X White OC, 16GB GDDR6X, HDMI, 3x DP</t>
  </si>
  <si>
    <t>https://geizhals.eu/msi-geforce-rtx-4070-ti-super-16g-ventus-2x-white-oc-a3101578.html?hloc=at&amp;hloc=de&amp;hloc=eu&amp;hloc=pl&amp;hloc=uk</t>
  </si>
  <si>
    <t>V513-629R</t>
  </si>
  <si>
    <t>MSI GeForce RTX 4070 Ti SUPER 16G Ventus 2X OC, 16GB GDDR6X, HDMI, 3x DP</t>
  </si>
  <si>
    <t>https://geizhals.eu/msi-geforce-rtx-4070-ti-super-16g-ventus-2x-oc-a3101577.html?hloc=at&amp;hloc=de&amp;hloc=eu&amp;hloc=pl&amp;hloc=uk</t>
  </si>
  <si>
    <t>V513-615R</t>
  </si>
  <si>
    <t>MSI GeForce RTX 4070 Ti SUPER 16G Shadow 3X OC, 16GB GDDR6X, HDMI, 3x DP</t>
  </si>
  <si>
    <t>https://geizhals.eu/msi-geforce-rtx-4070-ti-super-16g-shadow-3x-oc-v513-845r-a3346506.html?hloc=at&amp;hloc=de&amp;hloc=eu&amp;hloc=pl&amp;hloc=uk</t>
  </si>
  <si>
    <t>V513-845R</t>
  </si>
  <si>
    <t>MSI GeForce RTX 4070 Ti SUPER 16G GAMING X SLIM, 16GB GDDR6X, HDMI, 3x DP</t>
  </si>
  <si>
    <t>https://geizhals.eu/msi-geforce-rtx-4070-ti-super-16g-gaming-x-slim-a3101212.html?hloc=at&amp;hloc=de&amp;hloc=eu&amp;hloc=pl&amp;hloc=uk</t>
  </si>
  <si>
    <t>V513_611R</t>
  </si>
  <si>
    <t>MSI GeForce RTX 4070 Ti SUPER 16G GAMING X SLIM White, 16GB GDDR6X, HDMI, 3x DP</t>
  </si>
  <si>
    <t>https://geizhals.eu/msi-geforce-rtx-4070-ti-super-16g-gaming-x-slim-white-a3101474.html?hloc=at&amp;hloc=de&amp;hloc=eu&amp;hloc=pl&amp;hloc=uk</t>
  </si>
  <si>
    <t>V513-626R</t>
  </si>
  <si>
    <t>MSI GeForce RTX 4070 Ti SUPER 16G Expert, 16GB GDDR6X, HDMI, 3x DP</t>
  </si>
  <si>
    <t>https://geizhals.eu/msi-geforce-rtx-4070-ti-super-16g-expert-v513-683r-a3184847.html?hloc=at&amp;hloc=de&amp;hloc=eu&amp;hloc=pl&amp;hloc=uk</t>
  </si>
  <si>
    <t>V513-683R</t>
  </si>
  <si>
    <t>MSI GeForce RTX 4070 Ti Gaming X Trio 12G, 12GB GDDR6X, HDMI, 3x DP</t>
  </si>
  <si>
    <t>https://geizhals.eu/msi-geforce-rtx-4070-ti-gaming-x-trio-12g-a2871178.html?hloc=at&amp;hloc=de&amp;hloc=eu&amp;hloc=pl&amp;hloc=uk</t>
  </si>
  <si>
    <t>V513-004R</t>
  </si>
  <si>
    <t>MSI GeForce RTX 4070 Ti Gaming X Slim White 12G, 12GB GDDR6X, HDMI, 3x DP</t>
  </si>
  <si>
    <t>https://geizhals.eu/msi-geforce-rtx-4070-ti-gaming-x-slim-white-12g-v513-250r-a3001894.html?hloc=at&amp;hloc=de&amp;hloc=eu&amp;hloc=pl&amp;hloc=uk</t>
  </si>
  <si>
    <t>V513-288R</t>
  </si>
  <si>
    <t>MSI GeForce RTX 4070 Ti Gaming X Slim 12G, 12GB GDDR6X, HDMI, 3x DP</t>
  </si>
  <si>
    <t>https://geizhals.eu/msi-geforce-rtx-4070-ti-gaming-x-slim-12g-v513-250r-a3012801.html?hloc=at&amp;hloc=de&amp;hloc=eu&amp;hloc=pl&amp;hloc=uk</t>
  </si>
  <si>
    <t>V513-250R</t>
  </si>
  <si>
    <t>MSI GeForce RTX 4070 SUPER 12G Ventus 3X OC, 12GB GDDR6X, HDMI, 3x DP</t>
  </si>
  <si>
    <t>https://geizhals.eu/msi-geforce-rtx-4070-super-12g-ventus-3x-oc-a3101168.html?hloc=at&amp;hloc=de&amp;hloc=eu&amp;hloc=pl&amp;hloc=uk</t>
  </si>
  <si>
    <t>MSI GeForce RTX 4070 SUPER 12G Ventus 2X White OC, 12GB GDDR6X, HDMI, 3x DP</t>
  </si>
  <si>
    <t>https://geizhals.eu/msi-geforce-rtx-4070-super-12g-ventus-2x-white-oc-a3101003.html?hloc=at&amp;hloc=de&amp;hloc=eu&amp;hloc=pl&amp;hloc=uk</t>
  </si>
  <si>
    <t>V513-642R</t>
  </si>
  <si>
    <t>MSI GeForce RTX 4070 SUPER 12G Ventus 2X OC, 12GB GDDR6X, HDMI, 3x DP</t>
  </si>
  <si>
    <t>https://geizhals.eu/msi-geforce-rtx-4070-super-12g-ventus-2x-oc-a3100622.html?hloc=at&amp;hloc=de&amp;hloc=eu&amp;hloc=pl&amp;hloc=uk</t>
  </si>
  <si>
    <t>V513-641R</t>
  </si>
  <si>
    <t>MSI GeForce RTX 4070 SUPER 12G Gaming X Slim, 12GB GDDR6X, HDMI, 3x DP</t>
  </si>
  <si>
    <t>https://geizhals.eu/msi-geforce-rtx-4070-super-12g-gaming-x-slim-a3100599.html?hloc=at&amp;hloc=de&amp;hloc=eu&amp;hloc=pl&amp;hloc=uk</t>
  </si>
  <si>
    <t>V513-619R</t>
  </si>
  <si>
    <t>MSI GeForce RTX 4070 SUPER 12G Gaming X Slim White, 12GB GDDR6X, HDMI, 3x DP</t>
  </si>
  <si>
    <t>https://geizhals.eu/msi-geforce-rtx-4070-super-12g-gaming-x-slim-white-a3100449.html?hloc=at&amp;hloc=de&amp;hloc=eu&amp;hloc=pl&amp;hloc=uk</t>
  </si>
  <si>
    <t>V513-632R</t>
  </si>
  <si>
    <t>MSI GeForce RTX 4070 Gaming X Trio 12G, 12GB GDDR6X, HDMI, 3x DP</t>
  </si>
  <si>
    <t>https://geizhals.eu/msi-geforce-rtx-4070-gaming-x-trio-12g-v513-059r-a2930737.html?hloc=at&amp;hloc=de&amp;hloc=eu&amp;hloc=pl&amp;hloc=uk</t>
  </si>
  <si>
    <t>V513-059R</t>
  </si>
  <si>
    <t>MSI GeForce RTX 4070 Gaming X Slim White 12G, 12GB GDDR6X, HDMI, 3x DP</t>
  </si>
  <si>
    <t>https://geizhals.eu/msi-geforce-rtx-4070-gaming-x-slim-white-12g-v513-251r-a3001921.html?hloc=at&amp;hloc=de&amp;hloc=eu&amp;hloc=pl&amp;hloc=uk</t>
  </si>
  <si>
    <t>V513-274R</t>
  </si>
  <si>
    <t>MSI GeForce RTX 4070 Gaming X Slim 12G, 12GB GDDR6X, HDMI, 3x DP</t>
  </si>
  <si>
    <t>https://geizhals.eu/msi-geforce-rtx-4070-gaming-x-slim-12g-v513-251r-a3009824.html?hloc=at&amp;hloc=de&amp;hloc=eu&amp;hloc=pl&amp;hloc=uk</t>
  </si>
  <si>
    <t>V513-251R</t>
  </si>
  <si>
    <t>MSI GeForce RTX 4060 Ventus 2X White 8G OC, 8GB GDDR6, HDMI, 3x DP</t>
  </si>
  <si>
    <t>https://geizhals.eu/msi-geforce-rtx-4060-ventus-2x-white-8g-oc-v516-032r-a3012807.html?hloc=at&amp;hloc=de&amp;hloc=eu&amp;hloc=pl&amp;hloc=uk</t>
  </si>
  <si>
    <t>V516-030R</t>
  </si>
  <si>
    <t>MSI GeForce RTX 4060 Ventus 2X Black 8G OC, 8GB GDDR6, HDMI, 3x DP</t>
  </si>
  <si>
    <t>https://geizhals.eu/msi-geforce-rtx-4060-ventus-2x-black-8g-oc-v516-004r-a2975390.html?hloc=at&amp;hloc=de&amp;hloc=eu&amp;hloc=pl&amp;hloc=uk</t>
  </si>
  <si>
    <t>V516-004R</t>
  </si>
  <si>
    <t>MSI GeForce RTX 4060 Ti Ventus 3X E 8G OC, 8GB GDDR6, HDMI, 3x DP</t>
  </si>
  <si>
    <t>https://geizhals.eu/msi-geforce-rtx-4060-ti-ventus-3x-e-8g-oc-a3042737.html?hloc=at&amp;hloc=de&amp;hloc=eu&amp;hloc=pl&amp;hloc=uk</t>
  </si>
  <si>
    <t>V515-065R</t>
  </si>
  <si>
    <t>MSI GeForce RTX 4060 Ti Ventus 3X 8G OC, 8GB GDDR6, HDMI, 3x DP</t>
  </si>
  <si>
    <t>https://geizhals.eu/msi-geforce-rtx-4060-ti-ventus-3x-8g-oc-a2951625.html?hloc=at&amp;hloc=de&amp;hloc=eu&amp;hloc=pl&amp;hloc=uk</t>
  </si>
  <si>
    <t>V515-016R</t>
  </si>
  <si>
    <t>MSI GeForce RTX 4060 Ti Ventus 3X 16G OC, 16GB GDDR6, HDMI, 3x DP</t>
  </si>
  <si>
    <t>https://geizhals.eu/msi-geforce-rtx-4060-ti-ventus-3x-16g-oc-v517-004r-a2987084.html?hloc=at&amp;hloc=de&amp;hloc=eu&amp;hloc=pl&amp;hloc=uk</t>
  </si>
  <si>
    <t>V517-004R</t>
  </si>
  <si>
    <t>MSI GeForce RTX 4060 Ti Ventus 2X Black 8G OC, 8GB GDDR6, HDMI, 3x DP</t>
  </si>
  <si>
    <t>https://geizhals.eu/msi-geforce-rtx-4060-ti-ventus-2x-black-8g-oc-a2951623.html?hloc=at&amp;hloc=de&amp;hloc=eu&amp;hloc=pl&amp;hloc=uk</t>
  </si>
  <si>
    <t>V515-017R</t>
  </si>
  <si>
    <t>MSI GeForce RTX 4060 Ti Ventus 2X Black 16G OC, 16GB GDDR6, HDMI, 3x DP</t>
  </si>
  <si>
    <t>https://geizhals.eu/msi-geforce-rtx-4060-ti-ventus-2x-black-16g-oc-a2986992.html?hloc=at&amp;hloc=de&amp;hloc=eu&amp;hloc=pl&amp;hloc=uk</t>
  </si>
  <si>
    <t>V517-005R</t>
  </si>
  <si>
    <t>MSI GeForce RTX 4060 Ti Gaming X Trio 8G, 8GB GDDR6, HDMI, 3x DP</t>
  </si>
  <si>
    <t>https://geizhals.eu/msi-geforce-rtx-4060-ti-gaming-x-trio-8g-a2951627.html?hloc=at&amp;hloc=de&amp;hloc=eu&amp;hloc=pl&amp;hloc=uk</t>
  </si>
  <si>
    <t>V515-014R</t>
  </si>
  <si>
    <t>MSI GeForce RTX 4060 Ti Gaming X Slim White 16G, 16GB GDDR6, HDMI, 3x DP</t>
  </si>
  <si>
    <t>https://geizhals.eu/msi-geforce-rtx-4060-ti-gaming-x-slim-white-16g-a2987087.html?hloc=at&amp;hloc=de&amp;hloc=eu&amp;hloc=pl&amp;hloc=uk</t>
  </si>
  <si>
    <t>MSI GeForce RTX 4060 Ti Gaming X Slim 8G, 8GB GDDR6, HDMI, 3x DP</t>
  </si>
  <si>
    <t>https://geizhals.eu/msi-geforce-rtx-4060-ti-gaming-x-slim-8g-v515-059r-a3042813.html?hloc=at&amp;hloc=de&amp;hloc=eu&amp;hloc=pl&amp;hloc=uk</t>
  </si>
  <si>
    <t>V515-059R</t>
  </si>
  <si>
    <t>MSI GeForce RTX 4060 Ti Gaming X Slim 16G, 16GB GDDR6, HDMI, 3x DP</t>
  </si>
  <si>
    <t>https://geizhals.eu/msi-geforce-rtx-4060-ti-gaming-x-slim-16g-v517-002r-a2987085.html?hloc=at&amp;hloc=de&amp;hloc=eu&amp;hloc=pl&amp;hloc=uk</t>
  </si>
  <si>
    <t>V517-002R</t>
  </si>
  <si>
    <t>MSI GeForce RTX 4060 Ti Gaming X 8G, 8GB GDDR6, HDMI, 3x DP</t>
  </si>
  <si>
    <t>https://geizhals.eu/msi-geforce-rtx-4060-ti-gaming-x-8g-a2951621.html?hloc=at&amp;hloc=de&amp;hloc=eu&amp;hloc=pl&amp;hloc=uk</t>
  </si>
  <si>
    <t>V515-015R</t>
  </si>
  <si>
    <t>MSI GeForce RTX 4060 Ti Gaming X 16G, 16GB GDDR6, HDMI, 3x DP</t>
  </si>
  <si>
    <t>https://geizhals.eu/msi-geforce-rtx-4060-ti-gaming-x-16g-v517-003r-a2987082.html?hloc=at&amp;hloc=de&amp;hloc=eu&amp;hloc=pl&amp;hloc=uk</t>
  </si>
  <si>
    <t>V517-003R</t>
  </si>
  <si>
    <t>MSI GeForce RTX 4060 Ti 8G Ventus 3X E1 OC, 8GB GDDR6, HDMI, 3x DP</t>
  </si>
  <si>
    <t>https://geizhals.eu/msi-geforce-rtx-4060-ti-8g-ventus-3x-e1-oc-v512-008r-a3309277.html?hloc=at&amp;hloc=de&amp;hloc=eu&amp;hloc=pl&amp;hloc=uk</t>
  </si>
  <si>
    <t>V512-008R</t>
  </si>
  <si>
    <t>MSI GeForce RTX 4060 Ti 8G Ventus 2X Black E1 OC, 8GB GDDR6, HDMI, 3x DP</t>
  </si>
  <si>
    <t>https://geizhals.eu/msi-geforce-rtx-4060-ti-8g-ventus-2x-black-e1-oc-a3286435.html?hloc=at&amp;hloc=de&amp;hloc=eu&amp;hloc=pl&amp;hloc=uk</t>
  </si>
  <si>
    <t>V512-001R</t>
  </si>
  <si>
    <t>MSI GeForce RTX 4060 Gaming X NV Edition 8G, 8GB GDDR6, HDMI, 3x DP</t>
  </si>
  <si>
    <t>https://geizhals.eu/msi-geforce-rtx-4060-gaming-x-nv-edition-8g-v516-035r-a3028595.html?hloc=at&amp;hloc=de&amp;hloc=eu&amp;hloc=pl&amp;hloc=uk</t>
  </si>
  <si>
    <t>V516-035R</t>
  </si>
  <si>
    <t>MSI GeForce RTX 4060 Gaming X 8G, 8GB GDDR6, HDMI, 3x DP</t>
  </si>
  <si>
    <t>https://geizhals.eu/msi-geforce-rtx-4060-gaming-x-8g-v516-003r-a2975372.html?hloc=at&amp;hloc=de&amp;hloc=eu&amp;hloc=pl&amp;hloc=uk</t>
  </si>
  <si>
    <t>V516-003R</t>
  </si>
  <si>
    <t>MSI GeForce RTX 4060 Aero ITX 8G OC, 8GB GDDR6, HDMI, 3x DP</t>
  </si>
  <si>
    <t>https://geizhals.eu/msi-geforce-rtx-4060-aero-itx-8g-oc-v812-012r-a3094862.html?hloc=at&amp;hloc=de&amp;hloc=eu&amp;hloc=pl&amp;hloc=uk</t>
  </si>
  <si>
    <t>V812-012R</t>
  </si>
  <si>
    <t>MSI GeForce RTX 3090 Ti Suprim X 24G, 24GB GDDR6X, HDMI, 3x DP</t>
  </si>
  <si>
    <t>https://geizhals.eu/msi-geforce-rtx-3090-ti-suprim-x-24g-v509-003r-a2703019.html?hloc=at&amp;hloc=de&amp;hloc=eu&amp;hloc=pl&amp;hloc=uk</t>
  </si>
  <si>
    <t>V509-003R</t>
  </si>
  <si>
    <t>MSI GeForce RTX 3090 Suprim X 24G, 24GB GDDR6X, HDMI, 3x DP</t>
  </si>
  <si>
    <t>https://geizhals.eu/msi-geforce-rtx-3090-suprim-x-24g-a2429988.html?hloc=at&amp;hloc=de&amp;hloc=eu&amp;hloc=pl&amp;hloc=uk</t>
  </si>
  <si>
    <t>V388-010R</t>
  </si>
  <si>
    <t>MSI GeForce RTX 3090 Gaming X Trio 24G, 24GB GDDR6X, HDMI, 3x DP</t>
  </si>
  <si>
    <t>https://geizhals.eu/msi-geforce-rtx-3090-gaming-x-trio-a2364388.html?hloc=at&amp;hloc=de&amp;hloc=eu&amp;hloc=pl&amp;hloc=uk</t>
  </si>
  <si>
    <t>V388-011R</t>
  </si>
  <si>
    <t>MSI GeForce RTX 3080 Ti Ventus 3X 12G OC, 12GB GDDR6X, HDMI, 3x DP</t>
  </si>
  <si>
    <t>https://geizhals.eu/msi-geforce-rtx-3080-ti-ventus-3x-12g-oc-a2538379.html?hloc=at&amp;hloc=de&amp;hloc=eu&amp;hloc=pl&amp;hloc=uk</t>
  </si>
  <si>
    <t>V389-059R</t>
  </si>
  <si>
    <t>MSI GeForce RTX 3080 Ti Gaming X Trio 12G, 12GB GDDR6X, HDMI, 3x DP</t>
  </si>
  <si>
    <t>https://geizhals.eu/msi-geforce-rtx-3080-ti-gaming-x-trio-12g-a2538377.html?hloc=at&amp;hloc=de&amp;hloc=eu&amp;hloc=pl&amp;hloc=uk</t>
  </si>
  <si>
    <t>V389-058R</t>
  </si>
  <si>
    <t>MSI GeForce RTX 3080 Suprim X 10G LHR, 10GB GDDR6X, HDMI, 3x DP</t>
  </si>
  <si>
    <t>https://geizhals.eu/msi-geforce-rtx-3080-suprim-x-lhr-10g-v389-215r-a2544312.html?hloc=at&amp;hloc=de&amp;hloc=eu&amp;hloc=pl&amp;hloc=uk</t>
  </si>
  <si>
    <t>V389-215R</t>
  </si>
  <si>
    <t>MSI GeForce RTX 3080 Sea Hawk X 10G LHR, 10GB GDDR6X, HDMI, 3x DP</t>
  </si>
  <si>
    <t>https://geizhals.eu/msi-geforce-rtx-3080-sea-hawk-x-10g-lhr-v389-235r-a2627173.html?hloc=at&amp;hloc=de&amp;hloc=eu&amp;hloc=pl&amp;hloc=uk</t>
  </si>
  <si>
    <t>V389-235R</t>
  </si>
  <si>
    <t>MSI GeForce RTX 3080 Gaming Z Trio 10G LHR, 10GB GDDR6X, HDMI, 3x DP</t>
  </si>
  <si>
    <t>https://geizhals.eu/msi-geforce-rtx-3080-gaming-z-trio-lhr-10g-v389-203r-a2544316.html?hloc=at&amp;hloc=de&amp;hloc=eu&amp;hloc=pl&amp;hloc=uk</t>
  </si>
  <si>
    <t>V389-203R</t>
  </si>
  <si>
    <t>MSI GeForce RTX 3070 Ventus 3X 8G OC LHR, 8GB GDDR6, HDMI, 3x DP</t>
  </si>
  <si>
    <t>https://geizhals.eu/msi-geforce-rtx-3070-ventus-3x-oc-lhr-v390-273r-a2544273.html?hloc=at&amp;hloc=de&amp;hloc=eu&amp;hloc=pl&amp;hloc=uk</t>
  </si>
  <si>
    <t>V390-273R</t>
  </si>
  <si>
    <t>MSI GeForce RTX 3070 Ventus 2X 8G OC LHR, 8GB GDDR6, HDMI, 3x DP</t>
  </si>
  <si>
    <t>https://geizhals.eu/msi-geforce-rtx-3070-ventus-2x-oc-lhr-v390-280r-a2544254.html?hloc=at&amp;hloc=de&amp;hloc=eu&amp;hloc=pl&amp;hloc=uk</t>
  </si>
  <si>
    <t>V390-280R</t>
  </si>
  <si>
    <t>MSI GeForce RTX 3070 Ti Ventus 3X 8G OC, 8GB GDDR6X, HDMI, 3x DP</t>
  </si>
  <si>
    <t>https://geizhals.eu/msi-geforce-rtx-3070-ti-ventus-3x-8g-oc-a2538385.html?hloc=at&amp;hloc=de&amp;hloc=eu&amp;hloc=pl&amp;hloc=uk</t>
  </si>
  <si>
    <t>V505-007R</t>
  </si>
  <si>
    <t>MSI GeForce RTX 3070 Ti Gaming X Trio 8G, 8GB GDDR6X, HDMI, 3x DP</t>
  </si>
  <si>
    <t>https://geizhals.eu/msi-geforce-rtx-3070-ti-gaming-x-trio-8g-a2538383.html?hloc=at&amp;hloc=de&amp;hloc=eu&amp;hloc=pl&amp;hloc=uk</t>
  </si>
  <si>
    <t>V505-009R</t>
  </si>
  <si>
    <t>MSI GeForce RTX 3070 Gaming Z Trio 8G LHR, 8GB GDDR6, HDMI, 3x DP</t>
  </si>
  <si>
    <t>https://geizhals.eu/msi-geforce-rtx-3070-gaming-z-trio-lhr-v390-264r-a2544249.html?hloc=at&amp;hloc=de&amp;hloc=eu&amp;hloc=pl&amp;hloc=uk</t>
  </si>
  <si>
    <t>V390-264R</t>
  </si>
  <si>
    <t>MSI GeForce RTX 3060 Ventus 3X 12G OC, 12GB GDDR6, HDMI, 3x DP</t>
  </si>
  <si>
    <t>https://geizhals.eu/msi-geforce-rtx-3060-ventus-3x-12g-oc-a2473951.html?hloc=at&amp;hloc=de&amp;hloc=eu&amp;hloc=pl&amp;hloc=uk</t>
  </si>
  <si>
    <t>V397-031R</t>
  </si>
  <si>
    <t>MSI GeForce RTX 3060 Ventus 2X 8G OC, 8GB GDDR6, HDMI, 3x DP</t>
  </si>
  <si>
    <t>https://geizhals.eu/msi-geforce-rtx-3060-ventus-2x-8g-oc-v397-644r-a2857241.html?hloc=at&amp;hloc=de&amp;hloc=eu&amp;hloc=pl&amp;hloc=uk</t>
  </si>
  <si>
    <t>V397-644R</t>
  </si>
  <si>
    <t>MSI GeForce RTX 3060 Ventus 2X 12G OC, 12GB GDDR6, HDMI, 3x DP</t>
  </si>
  <si>
    <t>https://geizhals.eu/msi-geforce-rtx-3060-ventus-2x-12g-oc-a2473953.html?hloc=at&amp;hloc=de&amp;hloc=eu&amp;hloc=pl&amp;hloc=uk</t>
  </si>
  <si>
    <t>V397-022R</t>
  </si>
  <si>
    <t>MSI GeForce RTX 3060 Ti Ventus 2X 8G OCV1 LHR, 8GB GDDR6, HDMI, 3x DP</t>
  </si>
  <si>
    <t>https://geizhals.eu/msi-geforce-rtx-3060-ti-ventus-2x-ocv1-lhr-v397-232r-a2544482.html?hloc=at&amp;hloc=de&amp;hloc=eu&amp;hloc=pl&amp;hloc=uk</t>
  </si>
  <si>
    <t>V397-232R</t>
  </si>
  <si>
    <t>MSI GeForce RTX 3060 Ti Gaming Z Trio 8G LHR, 8GB GDDR6, HDMI, 3x DP</t>
  </si>
  <si>
    <t>https://geizhals.eu/msi-geforce-rtx-3060-ti-gaming-z-trio-8g-lhr-v390-290r-a2555646.html?hloc=at&amp;hloc=de&amp;hloc=eu&amp;hloc=pl&amp;hloc=uk</t>
  </si>
  <si>
    <t>V390-290R</t>
  </si>
  <si>
    <t>MSI GeForce RTX 3060 Ti Gaming X 8G LHR, 8GB GDDR6, HDMI, 3x DP</t>
  </si>
  <si>
    <t>https://geizhals.eu/msi-geforce-rtx-3060-ti-gaming-x-lhr-v397-231r-a2544491.html?hloc=at&amp;hloc=de&amp;hloc=eu&amp;hloc=pl&amp;hloc=uk</t>
  </si>
  <si>
    <t>V397-231R</t>
  </si>
  <si>
    <t>MSI GeForce RTX 3060 Gaming Z Trio 12G, 12GB GDDR6, HDMI, 3x DP</t>
  </si>
  <si>
    <t>https://geizhals.eu/msi-geforce-rtx-3060-gaming-z-trio-12g-v390-245r-a2581776.html?hloc=at&amp;hloc=de&amp;hloc=eu&amp;hloc=pl&amp;hloc=uk</t>
  </si>
  <si>
    <t>V390-245R</t>
  </si>
  <si>
    <t>MSI GeForce RTX 3060 Gaming X 12G, 12GB GDDR6, HDMI, 3x DP</t>
  </si>
  <si>
    <t>https://geizhals.eu/msi-geforce-rtx-3060-gaming-x-12g-a2473949.html?hloc=at&amp;hloc=de&amp;hloc=eu&amp;hloc=pl&amp;hloc=uk</t>
  </si>
  <si>
    <t>V397-019R</t>
  </si>
  <si>
    <t>MSI GeForce RTX 3060 Aero ITX 12G OC, 12GB GDDR6, HDMI, 3x DP</t>
  </si>
  <si>
    <t>https://geizhals.eu/msi-geforce-rtx-3060-aero-itx-12g-oc-a2473955.html?hloc=at&amp;hloc=de&amp;hloc=eu&amp;hloc=pl&amp;hloc=uk</t>
  </si>
  <si>
    <t>V809-3689R</t>
  </si>
  <si>
    <t>MSI GeForce RTX 3050 Ventus 2X XS 8G OC, 8GB GDDR6, DVI, HDMI, DP</t>
  </si>
  <si>
    <t>https://geizhals.eu/msi-geforce-rtx-3050-ventus-2x-xs-8g-oc-a2864168.html?hloc=at&amp;hloc=de&amp;hloc=eu&amp;hloc=pl&amp;hloc=uk</t>
  </si>
  <si>
    <t>V809-4266R</t>
  </si>
  <si>
    <t>MSI GeForce RTX 3050 Ventus 2X XS 8G OC White, 8GB GDDR6, DVI, HDMI, DP</t>
  </si>
  <si>
    <t>https://geizhals.eu/msi-geforce-rtx-3050-ventus-2x-xs-8g-oc-white-v809-4299r-a3364666.html?hloc=at&amp;hloc=de&amp;hloc=eu&amp;hloc=pl&amp;hloc=uk</t>
  </si>
  <si>
    <t>V809-4299R</t>
  </si>
  <si>
    <t>MSI GeForce RTX 3050 Ventus 2X E 6G OC, 6GB GDDR6, 2x HDMI, DP</t>
  </si>
  <si>
    <t>https://geizhals.eu/msi-geforce-rtx-3050-ventus-2x-e-6g-oc-v812-055r-a3344698.html?hloc=at&amp;hloc=de&amp;hloc=eu&amp;hloc=pl&amp;hloc=uk</t>
  </si>
  <si>
    <t>V812-055R</t>
  </si>
  <si>
    <t>MSI GeForce RTX 3050 Ventus 2X 8G, 8GB GDDR6, HDMI, 3x DP</t>
  </si>
  <si>
    <t>https://geizhals.eu/msi-geforce-rtx-3050-ventus-2x-8g-a2665376.html?hloc=at&amp;hloc=de&amp;hloc=eu&amp;hloc=pl&amp;hloc=uk</t>
  </si>
  <si>
    <t>V397-435R</t>
  </si>
  <si>
    <t>MSI GeForce RTX 3050 Ventus 2X 8G OC, 8GB GDDR6, HDMI, 3x DP</t>
  </si>
  <si>
    <t>https://geizhals.eu/msi-geforce-rtx-3050-ventus-2x-8g-oc-a2665375.html?hloc=at&amp;hloc=de&amp;hloc=eu&amp;hloc=pl&amp;hloc=uk</t>
  </si>
  <si>
    <t>V397-418R</t>
  </si>
  <si>
    <t>MSI GeForce RTX 3050 Ventus 2X 6G OC, 6GB GDDR6, 2x HDMI, DP</t>
  </si>
  <si>
    <t>https://geizhals.eu/msi-geforce-rtx-3050-ventus-2x-6g-oc-v812-015r-a3112267.html?hloc=at&amp;hloc=de&amp;hloc=eu&amp;hloc=pl&amp;hloc=uk</t>
  </si>
  <si>
    <t>V812-015R</t>
  </si>
  <si>
    <t>MSI GeForce RTX 3050 LP 6G OC, 6GB GDDR6, 2x HDMI, DP</t>
  </si>
  <si>
    <t>https://geizhals.eu/msi-geforce-rtx-3050-lp-6g-oc-v812-023r-a3112269.html?hloc=at&amp;hloc=de&amp;hloc=eu&amp;hloc=pl&amp;hloc=uk</t>
  </si>
  <si>
    <t>V812-023R</t>
  </si>
  <si>
    <t>MSI GeForce RTX 3050 Gaming X 8G, 8GB GDDR6, HDMI, 3x DP</t>
  </si>
  <si>
    <t>https://geizhals.eu/msi-geforce-rtx-3050-gaming-x-8g-a2665371.html?hloc=at&amp;hloc=de&amp;hloc=eu&amp;hloc=pl&amp;hloc=uk</t>
  </si>
  <si>
    <t>V397-421R</t>
  </si>
  <si>
    <t>MSI GeForce RTX 3050 Aero ITX 8G OC, 8GB GDDR6, HDMI, 3x DP</t>
  </si>
  <si>
    <t>https://geizhals.eu/msi-geforce-rtx-3050-aero-itx-8g-oc-a2665373.html?hloc=at&amp;hloc=de&amp;hloc=eu&amp;hloc=pl&amp;hloc=uk</t>
  </si>
  <si>
    <t>V809-4041R</t>
  </si>
  <si>
    <t>INNO3D GeForce RTX 5080 X3 OC, 16GB GDDR7, HDMI, 3x DP</t>
  </si>
  <si>
    <t>https://geizhals.eu/inno3d-geforce-rtx-5080-x3-oc-n50803-16d7x-17603930-a3382789.html?hloc=at&amp;hloc=de&amp;hloc=eu&amp;hloc=pl&amp;hloc=uk</t>
  </si>
  <si>
    <t>N50803-16D7X-17603930</t>
  </si>
  <si>
    <t>INNO3D GeForce RTX 5070 Ti X3, 16GB GDDR7, HDMI, 3x DP</t>
  </si>
  <si>
    <t>https://geizhals.eu/inno3d-geforce-rtx-5070-ti-x3-n507t3-16d7-176068n-a3394928.html?hloc=at&amp;hloc=de&amp;hloc=eu&amp;hloc=pl&amp;hloc=uk</t>
  </si>
  <si>
    <t>N507T3-16D7-176068N</t>
  </si>
  <si>
    <t>INNO3D GeForce RTX 5070 Ti X3 OC, 16GB GDDR7, HDMI, 3x DP</t>
  </si>
  <si>
    <t>https://geizhals.eu/inno3d-geforce-rtx-5070-ti-x3-oc-n507t3-16d7x-176068n-a3394873.html?hloc=at&amp;hloc=de&amp;hloc=eu&amp;hloc=pl&amp;hloc=uk</t>
  </si>
  <si>
    <t>N507T3-16D7X-176068N</t>
  </si>
  <si>
    <t>INNO3D GeForce RTX 4080 SUPER X3, 16GB GDDR6X, HDMI, 3x DP</t>
  </si>
  <si>
    <t>https://geizhals.eu/inno3d-geforce-rtx-4080-super-x3-n408s3-166x-18703552-a3106935.html?hloc=at&amp;hloc=de&amp;hloc=eu&amp;hloc=pl&amp;hloc=uk</t>
  </si>
  <si>
    <t>N408S3-166X-18703552</t>
  </si>
  <si>
    <t>INNO3D GeForce RTX 4080 SUPER X3 OC, 16GB GDDR6X, HDMI, 3x DP</t>
  </si>
  <si>
    <t>https://geizhals.eu/inno3d-geforce-rtx-4080-super-x3-oc-n408s3-166xx-187049n-a3106942.html?hloc=at&amp;hloc=de&amp;hloc=eu&amp;hloc=pl&amp;hloc=uk</t>
  </si>
  <si>
    <t>N408S3-166XX-187049N</t>
  </si>
  <si>
    <t>INNO3D GeForce RTX 4080 SUPER iCHILL X3, 16GB GDDR6X, HDMI, 3x DP</t>
  </si>
  <si>
    <t>https://geizhals.eu/inno3d-geforce-rtx-4080-super-ichill-x3-c408s3-166xx-187049h-a3103453.html?hloc=at&amp;hloc=de&amp;hloc=eu&amp;hloc=pl&amp;hloc=uk</t>
  </si>
  <si>
    <t>C408S3-166XX-187049H</t>
  </si>
  <si>
    <t>INNO3D GeForce RTX 4080 SUPER iCHILL Frostbite, 16GB GDDR6X, HDMI, 3x DP</t>
  </si>
  <si>
    <t>https://geizhals.eu/inno3d-geforce-rtx-4080-super-ichill-frostbite-c408s-166xx-1870fb-a3103462.html?hloc=at&amp;hloc=de&amp;hloc=eu&amp;hloc=pl&amp;hloc=uk</t>
  </si>
  <si>
    <t>C408S-166XX-1870FB</t>
  </si>
  <si>
    <t>INNO3D GeForce RTX 4080 iCHILL Frostbite, 16GB GDDR6X, HDMI, 3x DP</t>
  </si>
  <si>
    <t>https://geizhals.eu/inno3d-geforce-rtx-4080-ichill-frostbite-c4080-166xx-1870fb-a2850966.html?hloc=at&amp;hloc=de&amp;hloc=eu&amp;hloc=pl&amp;hloc=uk</t>
  </si>
  <si>
    <t>C4080-166XX-1870FB</t>
  </si>
  <si>
    <t>INNO3D GeForce RTX 4070 Twin X3 OC, 12GB GDDR6X, HDMI, 3x DP</t>
  </si>
  <si>
    <t>https://geizhals.eu/inno3d-geforce-rtx-4070-twin-x3-oc-n40703-126xx-185252l-a2930958.html?hloc=at&amp;hloc=de&amp;hloc=eu&amp;hloc=pl&amp;hloc=uk</t>
  </si>
  <si>
    <t>N40703-126XX-185252L</t>
  </si>
  <si>
    <t>INNO3D GeForce RTX 4070 Twin X2, 12GB GDDR6X, HDMI, 3x DP</t>
  </si>
  <si>
    <t>https://geizhals.eu/inno3d-geforce-rtx-4070-twin-x2-n40702-126x-185252n-a2930913.html?hloc=at&amp;hloc=de&amp;hloc=eu&amp;hloc=pl&amp;hloc=uk</t>
  </si>
  <si>
    <t>N40702-126X-185252N</t>
  </si>
  <si>
    <t>INNO3D GeForce RTX 4070 Twin X2, 12GB GDDR6, HDMI, 3x DP</t>
  </si>
  <si>
    <t>https://geizhals.eu/inno3d-geforce-rtx-4070-twin-x2-n40702-12d6-179063n-a3295126.html?hloc=at&amp;hloc=de&amp;hloc=eu&amp;hloc=pl&amp;hloc=uk</t>
  </si>
  <si>
    <t>N40702-12D6-179063N</t>
  </si>
  <si>
    <t>INNO3D GeForce RTX 4070 Twin X2 OC, 12GB GDDR6X, HDMI, 3x DP</t>
  </si>
  <si>
    <t>https://geizhals.eu/inno3d-geforce-rtx-4070-twin-x2-oc-n40702-126xx-185252n-a2930930.html?hloc=at&amp;hloc=de&amp;hloc=eu&amp;hloc=pl&amp;hloc=uk</t>
  </si>
  <si>
    <t>N40702-126XX-185252N</t>
  </si>
  <si>
    <t>INNO3D GeForce RTX 4070 Twin X2 OC White Stealth, 12GB GDDR6X, HDMI, 3x DP</t>
  </si>
  <si>
    <t>https://geizhals.eu/inno3d-geforce-rtx-4070-twin-x2-oc-white-stealth-n40702-126xx-183052v-a3079596.html?hloc=at&amp;hloc=de&amp;hloc=eu&amp;hloc=pl&amp;hloc=uk</t>
  </si>
  <si>
    <t>N40702-126XX-183052V</t>
  </si>
  <si>
    <t>INNO3D GeForce RTX 4070 Ti X3, 12GB GDDR6X, HDMI, 3x DP</t>
  </si>
  <si>
    <t>https://geizhals.eu/inno3d-geforce-rtx-4070-ti-x3-n407t3-126x-186148n-a2871201.html?hloc=at&amp;hloc=de&amp;hloc=eu&amp;hloc=pl&amp;hloc=uk</t>
  </si>
  <si>
    <t>N407T3-126X-186148N</t>
  </si>
  <si>
    <t>INNO3D GeForce RTX 4070 Ti X3 OC, 12GB GDDR6X, HDMI, 3x DP</t>
  </si>
  <si>
    <t>https://geizhals.eu/inno3d-geforce-rtx-4070-ti-x3-oc-n407t3-126xx-186148n-a2871190.html?hloc=at&amp;hloc=de&amp;hloc=eu&amp;hloc=pl&amp;hloc=uk</t>
  </si>
  <si>
    <t>N407T3-126XX-186148N</t>
  </si>
  <si>
    <t>INNO3D GeForce RTX 4070 Ti SUPER X3 OC, 16GB GDDR6X, HDMI, 3x DP</t>
  </si>
  <si>
    <t>https://geizhals.eu/inno3d-geforce-rtx-4070-ti-super-x3-oc-n407ts2-166xx-186158n-a3106920.html?hloc=at&amp;hloc=de&amp;hloc=eu&amp;hloc=pl&amp;hloc=uk</t>
  </si>
  <si>
    <t>N407TS3-166XX-186158N</t>
  </si>
  <si>
    <t>INNO3D GeForce RTX 4070 Ti SUPER Twin X2, 16GB GDDR6X, HDMI, 3x DP</t>
  </si>
  <si>
    <t>https://geizhals.eu/inno3d-geforce-rtx-4070-ti-super-twin-x2-n407ts2-166x-186156n-a3106923.html?hloc=at&amp;hloc=de&amp;hloc=eu&amp;hloc=pl&amp;hloc=uk</t>
  </si>
  <si>
    <t>N407TS2-166X-186156N</t>
  </si>
  <si>
    <t>INNO3D GeForce RTX 4070 Ti SUPER Twin X2 OC, 16GB GDDR6X, HDMI, 3x DP</t>
  </si>
  <si>
    <t>https://geizhals.eu/inno3d-geforce-rtx-4070-ti-super-twin-x2-oc-n407ts2-166xx-186156n-a3106927.html?hloc=at&amp;hloc=de&amp;hloc=eu&amp;hloc=pl&amp;hloc=uk</t>
  </si>
  <si>
    <t>N407TS2-166XX-186156N</t>
  </si>
  <si>
    <t>INNO3D GeForce RTX 4070 Ti SUPER iCHILL X3, 16GB GDDR6X, HDMI, 3x DP</t>
  </si>
  <si>
    <t>https://geizhals.eu/inno3d-geforce-rtx-4070-ti-super-ichill-x3-c407ts3-166xx-186148h-a3103448.html?hloc=at&amp;hloc=de&amp;hloc=eu&amp;hloc=pl&amp;hloc=uk</t>
  </si>
  <si>
    <t>C407TS3-166XX-186148H</t>
  </si>
  <si>
    <t>INNO3D GeForce RTX 4070 SUPER X3 OC, 12GB GDDR6X, HDMI, 3x DP</t>
  </si>
  <si>
    <t>https://geizhals.eu/inno3d-geforce-rtx-4070-super-x3-oc-n407s3-126xx-186162l-a3105312.html?hloc=at&amp;hloc=de&amp;hloc=eu&amp;hloc=pl&amp;hloc=uk</t>
  </si>
  <si>
    <t>N407S3-126XX-186162L</t>
  </si>
  <si>
    <t>INNO3D GeForce RTX 4070 SUPER Twin X2, 12GB GDDR6X, HDMI, 3x DP</t>
  </si>
  <si>
    <t>https://geizhals.eu/inno3d-geforce-rtx-4070-super-twin-x2-n407s2-126x-186162n-a3105319.html?hloc=at&amp;hloc=de&amp;hloc=eu&amp;hloc=pl&amp;hloc=uk</t>
  </si>
  <si>
    <t>N407S2-126X-186162N</t>
  </si>
  <si>
    <t>INNO3D GeForce RTX 4070 SUPER Twin X2 OC, 12GB GDDR6X, HDMI, 3x DP</t>
  </si>
  <si>
    <t>https://geizhals.eu/inno3d-geforce-rtx-4070-super-twin-x2-oc-n407s2-126xx-186162n-a3105331.html?hloc=at&amp;hloc=de&amp;hloc=eu&amp;hloc=pl&amp;hloc=uk</t>
  </si>
  <si>
    <t>N407S2-126XX-186162N</t>
  </si>
  <si>
    <t>INNO3D GeForce RTX 4070 SUPER Twin X2 OC White, 12GB GDDR6X, HDMI, 3x DP</t>
  </si>
  <si>
    <t>https://geizhals.eu/inno3d-geforce-rtx-4070-super-twin-x2-oc-white-n407s2-126xx-186162w-a3105336.html?hloc=at&amp;hloc=de&amp;hloc=eu&amp;hloc=pl&amp;hloc=uk</t>
  </si>
  <si>
    <t>N407S2-126XX-186162W</t>
  </si>
  <si>
    <t>INNO3D GeForce RTX 4060 Twin X2, 8GB GDDR6, HDMI, 3x DP</t>
  </si>
  <si>
    <t>https://geizhals.eu/inno3d-geforce-rtx-4060-twin-x2-n40602-08d6-173061n-a3393897.html?hloc=at&amp;hloc=de&amp;hloc=eu&amp;hloc=pl&amp;hloc=uk</t>
  </si>
  <si>
    <t>N40602-08D6-173061N</t>
  </si>
  <si>
    <t>https://geizhals.eu/inno3d-geforce-rtx-4060-twin-x2-n40602-08d6-173051n-a2975613.html?hloc=at&amp;hloc=de&amp;hloc=eu&amp;hloc=pl&amp;hloc=uk</t>
  </si>
  <si>
    <t>N40602-08D6-173051N</t>
  </si>
  <si>
    <t>INNO3D GeForce RTX 4060 Twin X2 OC, 8GB GDDR6, HDMI, 3x DP</t>
  </si>
  <si>
    <t>https://geizhals.eu/inno3d-geforce-rtx-4060-twin-x2-oc-n40602-08d6x-173051n-a2951815.html?hloc=at&amp;hloc=de&amp;hloc=eu&amp;hloc=pl&amp;hloc=uk</t>
  </si>
  <si>
    <t>N40602-08D6X-173051N</t>
  </si>
  <si>
    <t>INNO3D GeForce RTX 4060 Twin X2 OC White, 8GB GDDR6, HDMI, 3x DP</t>
  </si>
  <si>
    <t>https://geizhals.eu/inno3d-geforce-rtx-4060-twin-x2-oc-white-n40602-08d6x-173051w-a2951792.html?hloc=at&amp;hloc=de&amp;hloc=eu&amp;hloc=pl&amp;hloc=uk</t>
  </si>
  <si>
    <t>N40601-08D6X-173051W / N40602-08D6X-173051W</t>
  </si>
  <si>
    <t>INNO3D GeForce RTX 4060 Ti Twin X3 OC, 8GB GDDR6, HDMI, 3x DP</t>
  </si>
  <si>
    <t>https://geizhals.eu/inno3d-geforce-rtx-4060-ti-twin-x3-oc-n406t3-08d6x-171153l-a2951739.html?hloc=at&amp;hloc=de&amp;hloc=eu&amp;hloc=pl&amp;hloc=uk</t>
  </si>
  <si>
    <t>N406T2-08D6X-171153L / N406T3-08D6X-171153L</t>
  </si>
  <si>
    <t>INNO3D GeForce RTX 4060 Ti Twin X2, 8GB GDDR6, HDMI, 3x DP</t>
  </si>
  <si>
    <t>https://geizhals.eu/inno3d-geforce-rtx-4060-ti-twin-x2-n406t2-08d6-171153n-a2951676.html?hloc=at&amp;hloc=de&amp;hloc=eu&amp;hloc=pl&amp;hloc=uk</t>
  </si>
  <si>
    <t>N406T2-08D6-171153N</t>
  </si>
  <si>
    <t>INNO3D GeForce RTX 4060 Ti Twin X2, 16GB GDDR6, HDMI, 3x DP</t>
  </si>
  <si>
    <t>https://geizhals.eu/inno3d-geforce-rtx-4060-ti-twin-x2-a2951753.html?hloc=at&amp;hloc=de&amp;hloc=eu&amp;hloc=pl&amp;hloc=uk</t>
  </si>
  <si>
    <t>N406T2-16D6-178055N</t>
  </si>
  <si>
    <t>INNO3D GeForce RTX 4060 Ti Twin X2 OC, 8GB GDDR6, HDMI, 3x DP</t>
  </si>
  <si>
    <t>https://geizhals.eu/inno3d-geforce-rtx-4060-ti-twin-x2-oc-n406t2-08d6x-171153n-a2951697.html?hloc=at&amp;hloc=de&amp;hloc=eu&amp;hloc=pl&amp;hloc=uk</t>
  </si>
  <si>
    <t>N406T2-08D2X-171153N / N406T2-08D6X-171153N</t>
  </si>
  <si>
    <t>INNO3D GeForce RTX 4060 Ti Twin X2 OC White, 8GB GDDR6, HDMI, 3x DP</t>
  </si>
  <si>
    <t>https://geizhals.eu/inno3d-geforce-rtx-4060-ti-twin-x2-oc-white-n406t2-08d6x-171153w-a2951700.html?hloc=at&amp;hloc=de&amp;hloc=eu&amp;hloc=pl&amp;hloc=uk</t>
  </si>
  <si>
    <t>N406T2-08D6X-171153W</t>
  </si>
  <si>
    <t>INNO3D GeForce RTX 4060 Ti Twin X2 OC White, 16GB GDDR6, HDMI, 3x DP</t>
  </si>
  <si>
    <t>https://geizhals.eu/inno3d-geforce-rtx-4060-ti-twin-x2-oc-white-a2951751.html?hloc=at&amp;hloc=de&amp;hloc=eu&amp;hloc=pl&amp;hloc=uk</t>
  </si>
  <si>
    <t>N406T2-16D6X-178055W</t>
  </si>
  <si>
    <t>INNO3D GeForce RTX 4060 Ti iCHILL X3, 8GB GDDR6, HDMI, 3x DP</t>
  </si>
  <si>
    <t>https://geizhals.eu/inno3d-geforce-rtx-4060-ti-ichill-x3-c406t3-08d6x-17113389-a2951758.html?hloc=at&amp;hloc=de&amp;hloc=eu&amp;hloc=pl&amp;hloc=uk</t>
  </si>
  <si>
    <t>C406T3-08D6X-17113389</t>
  </si>
  <si>
    <t>INNO3D GeForce RTX 4060 Compact, 8GB GDDR6, HDMI, 3x DP</t>
  </si>
  <si>
    <t>https://geizhals.eu/inno3d-geforce-rtx-4060-compact-n40601-08d6-173050n-a2951829.html?hloc=at&amp;hloc=de&amp;hloc=eu&amp;hloc=pl&amp;hloc=uk</t>
  </si>
  <si>
    <t>N40601-08D6-173050N</t>
  </si>
  <si>
    <t>INNO3D GeForce RTX 3090 X3, 24GB GDDR6X, HDMI, 3x DP</t>
  </si>
  <si>
    <t>https://geizhals.eu/inno3d-geforce-rtx-3090-x3-n30903-246x-1880va44-a2573567.html?hloc=at&amp;hloc=de&amp;hloc=eu&amp;hloc=pl&amp;hloc=uk</t>
  </si>
  <si>
    <t>N30903-246X-1880VA44</t>
  </si>
  <si>
    <t>INNO3D GeForce RTX 3090 iCHILL X4, 24GB GDDR6X, HDMI, 3x DP</t>
  </si>
  <si>
    <t>https://geizhals.eu/inno3d-geforce-rtx-3090-ichill-x4-c30904-246xx-1880va36-a2366695.html?hloc=at&amp;hloc=de&amp;hloc=eu&amp;hloc=pl&amp;hloc=uk</t>
  </si>
  <si>
    <t>C30904-246XX-1880VA36</t>
  </si>
  <si>
    <t>INNO3D GeForce RTX 3090 iCHILL X3, 24GB GDDR6X, HDMI, 3x DP</t>
  </si>
  <si>
    <t>https://geizhals.eu/inno3d-geforce-rtx-3090-ichill-x3-c30903-246xx-1880va37-a2366692.html?hloc=at&amp;hloc=de&amp;hloc=eu&amp;hloc=pl&amp;hloc=uk</t>
  </si>
  <si>
    <t>C30903-246XX-1880VA37</t>
  </si>
  <si>
    <t>INNO3D GeForce RTX 3080 Ti iCHILL X4, 12GB GDDR6X, HDMI, 3x DP</t>
  </si>
  <si>
    <t>https://geizhals.eu/inno3d-geforce-rtx-3080-ti-ichill-x4-c308t4-126xx-1810va36-a2538932.html?hloc=at&amp;hloc=de&amp;hloc=eu&amp;hloc=pl&amp;hloc=uk</t>
  </si>
  <si>
    <t>C308T4-126XX-1810VA36</t>
  </si>
  <si>
    <t>INNO3D GeForce RTX 3080 Ti iCHILL X3, 12GB GDDR6X, HDMI, 3x DP</t>
  </si>
  <si>
    <t>https://geizhals.eu/inno3d-geforce-rtx-3080-ti-ichill-x3-c308t3-126xx-1810va37-a2538939.html?hloc=at&amp;hloc=de&amp;hloc=eu&amp;hloc=pl&amp;hloc=uk</t>
  </si>
  <si>
    <t>C308T3-126XX-1810VA37</t>
  </si>
  <si>
    <t>INNO3D GeForce RTX 3080 iCHILL X4 LHR, 12GB GDDR6X, HDMI, 3x DP</t>
  </si>
  <si>
    <t>https://geizhals.eu/inno3d-geforce-rtx-3080-ichill-x4-lhr-c30804-126xx-1810va36h-a2665277.html?hloc=at&amp;hloc=de&amp;hloc=eu&amp;hloc=pl&amp;hloc=uk</t>
  </si>
  <si>
    <t>C30804-126XX-1810VA36H</t>
  </si>
  <si>
    <t>INNO3D GeForce RTX 3080 iCHILL X4 LHR, 10GB GDDR6X, HDMI, 3x DP</t>
  </si>
  <si>
    <t>https://geizhals.eu/inno3d-geforce-rtx-3080-ichill-x4-lhr-c30804-106xx-1810va36h-a2539014.html?hloc=at&amp;hloc=de&amp;hloc=eu&amp;hloc=pl&amp;hloc=uk</t>
  </si>
  <si>
    <t>C30804-106XX-1810VA36H</t>
  </si>
  <si>
    <t>INNO3D GeForce RTX 3070 Ti X3 OC, 8GB GDDR6X, HDMI, 3x DP</t>
  </si>
  <si>
    <t>https://geizhals.eu/inno3d-geforce-rtx-3070-ti-x3-oc-n307t3-086xx-1820va45-a2538980.html?hloc=at&amp;hloc=de&amp;hloc=eu&amp;hloc=pl&amp;hloc=uk</t>
  </si>
  <si>
    <t>N307T3-086XX-1820VA45</t>
  </si>
  <si>
    <t>INNO3D GeForce RTX 3070 Ti iCHILL X4, 8GB GDDR6X, HDMI, 3x DP</t>
  </si>
  <si>
    <t>https://geizhals.eu/inno3d-geforce-rtx-3070-ti-ichill-x4-c307t4-086xx-1820va35-a2538972.html?hloc=at&amp;hloc=de&amp;hloc=eu&amp;hloc=pl&amp;hloc=uk</t>
  </si>
  <si>
    <t>C307T4-086XX-1820VA35</t>
  </si>
  <si>
    <t>INNO3D GeForce RTX 3070 iCHILL X4 LHR, 8GB GDDR6, HDMI, 3x DP</t>
  </si>
  <si>
    <t>https://geizhals.eu/inno3d-geforce-rtx-3070-ichill-x4-lhr-c30704-08d6x-1710va35h-a2539013.html?hloc=at&amp;hloc=de&amp;hloc=eu&amp;hloc=pl&amp;hloc=uk</t>
  </si>
  <si>
    <t>C30704-08D6X-1710VA35H</t>
  </si>
  <si>
    <t>INNO3D GeForce RTX 3060 Twin X2 OC LHR, 8GB GDDR6, HDMI, 3x DP</t>
  </si>
  <si>
    <t>https://geizhals.eu/inno3d-geforce-rtx-3060-twin-x2-oc-lhr-n30602-08d6x-11902130-a2842818.html?hloc=at&amp;hloc=de&amp;hloc=eu&amp;hloc=pl&amp;hloc=uk</t>
  </si>
  <si>
    <t>N30602-08D6X-11902130</t>
  </si>
  <si>
    <t>INNO3D GeForce RTX 3060 Twin X2 OC LHR, 12GB GDDR6, HDMI, 3x DP</t>
  </si>
  <si>
    <t>https://geizhals.eu/inno3d-geforce-rtx-3060-twin-x2-oc-n30602-12d6x-11902120h-a2539038.html?hloc=at&amp;hloc=de&amp;hloc=eu&amp;hloc=pl&amp;hloc=uk</t>
  </si>
  <si>
    <t>N30602-12D6X-11902120H</t>
  </si>
  <si>
    <t>INNO3D GeForce RTX 3060 Twin X2 LHR, 8GB GDDR6, HDMI, 3x DP</t>
  </si>
  <si>
    <t>https://geizhals.eu/inno3d-geforce-rtx-3060-twin-x2-lhr-n30602-08d6-11902130-a2842813.html?hloc=at&amp;hloc=de&amp;hloc=eu&amp;hloc=pl&amp;hloc=uk</t>
  </si>
  <si>
    <t>N30602-08D6-11902130</t>
  </si>
  <si>
    <t>INNO3D GeForce RTX 3060 Twin X2 LHR, 12GB GDDR6, HDMI, 3x DP</t>
  </si>
  <si>
    <t>https://geizhals.eu/inno3d-geforce-rtx-3060-twin-x2-n30602-12d6-119032ah-a2539032.html?hloc=at&amp;hloc=de&amp;hloc=eu&amp;hloc=pl&amp;hloc=uk</t>
  </si>
  <si>
    <t>N30602-12D6-119032AH</t>
  </si>
  <si>
    <t>INNO3D GeForce RTX 3060 Ti Twin X2 LHR, 8GB GDDR6, HDMI, 3x DP</t>
  </si>
  <si>
    <t>https://geizhals.eu/inno3d-geforce-rtx-3060-ti-twin-x2-lhr-n306t2-08d6-119032dh-a2581785.html?hloc=at&amp;hloc=de&amp;hloc=eu&amp;hloc=pl&amp;hloc=uk</t>
  </si>
  <si>
    <t>N306T2-08D6-119032DH</t>
  </si>
  <si>
    <t>INNO3D GeForce RTX 3060 Ti GDDR6X X3 OC, 8GB GDDR6X, HDMI, 3x DP</t>
  </si>
  <si>
    <t>https://geizhals.eu/inno3d-geforce-rtx-3060-ti-twin-x2-oc-n306t3-086xx-1820va45-a2862623.html?hloc=at&amp;hloc=de&amp;hloc=eu&amp;hloc=pl&amp;hloc=uk</t>
  </si>
  <si>
    <t>N306T3-086XX-1820VA45</t>
  </si>
  <si>
    <t>INNO3D GeForce RTX 3050 Twin X2, 8GB GDDR6, HDMI, 3x DP</t>
  </si>
  <si>
    <t>https://geizhals.eu/inno3d-geforce-rtx-3050-twin-x2-n30502-08d6-1190va42-a2665528.html?hloc=at&amp;hloc=de&amp;hloc=eu&amp;hloc=pl&amp;hloc=uk</t>
  </si>
  <si>
    <t>N30502-08D6-1190VA42</t>
  </si>
  <si>
    <t>INNO3D GeForce RTX 3050 Twin X2, 8GB GDDR6, DVI, HDMI, DP</t>
  </si>
  <si>
    <t>https://geizhals.eu/inno3d-geforce-rtx-3050-twin-x2-n30502-08d6-1711va41-a3061535.html?hloc=at&amp;hloc=de&amp;hloc=eu&amp;hloc=pl&amp;hloc=uk</t>
  </si>
  <si>
    <t>N30502-08D6-1711VA41</t>
  </si>
  <si>
    <t>INNO3D GeForce RTX 3050 Twin X2, 6GB GDDR6, DVI, HDMI, DP</t>
  </si>
  <si>
    <t>https://geizhals.eu/inno3d-geforce-rtx-3050-twin-x2-n30502-06d6-1711va60-a3170221.html?hloc=at&amp;hloc=de&amp;hloc=eu&amp;hloc=pl&amp;hloc=uk</t>
  </si>
  <si>
    <t>N30502-06D6-1711VA60</t>
  </si>
  <si>
    <t>INNO3D GeForce RTX 3050 Twin X2 OC, 8GB GDDR6, HDMI, 3x DP</t>
  </si>
  <si>
    <t>https://geizhals.eu/inno3d-geforce-rtx-3050-twin-x2-oc-n30502-08d6x-11902130-a2665546.html?hloc=at&amp;hloc=de&amp;hloc=eu&amp;hloc=pl&amp;hloc=uk</t>
  </si>
  <si>
    <t>N30502-08D6X-11902130</t>
  </si>
  <si>
    <t>INNO3D GeForce RTX 3050 Twin X2 OC, 8GB GDDR6, DVI, HDMI, DP</t>
  </si>
  <si>
    <t>https://geizhals.eu/inno3d-geforce-rtx-3050-twin-x2-oc-n30502-08d6x-1711va41-a3043080.html?hloc=at&amp;hloc=de&amp;hloc=eu&amp;hloc=pl&amp;hloc=uk</t>
  </si>
  <si>
    <t>N30502-08D6X-1711VA41</t>
  </si>
  <si>
    <t>INNO3D GeForce RTX 3050 Gaming OC X2, 8GB GDDR6, HDMI, 3x DP</t>
  </si>
  <si>
    <t>https://geizhals.eu/inno3d-geforce-rtx-3050-gaming-oc-x2-n30502-08d6x-11902120-a2694291.html?hloc=at&amp;hloc=de&amp;hloc=eu&amp;hloc=pl&amp;hloc=uk</t>
  </si>
  <si>
    <t>N30502-08D6X-11902120</t>
  </si>
  <si>
    <t>GIGABYTE Radeon RX 7900 XTX Gaming OC 24G, 24GB GDDR6, 2x HDMI, 2x DP</t>
  </si>
  <si>
    <t>https://geizhals.eu/gigabyte-radeon-rx-7900-xtx-gaming-oc-24g-gv-r79xtxgaming-oc-24gd-a2863056.html?hloc=at&amp;hloc=de&amp;hloc=eu&amp;hloc=pl&amp;hloc=uk</t>
  </si>
  <si>
    <t>GV-R79XTXGAMING OC-24GD</t>
  </si>
  <si>
    <t>GIGABYTE Radeon RX 7900 XT Gaming OC 20G, 20GB GDDR6, 2x HDMI, 2x DP</t>
  </si>
  <si>
    <t>https://geizhals.eu/gigabyte-radeon-rx-7900-xt-gaming-oc-20g-gv-r79xtgaming-oc-20gd-a2863059.html?hloc=at&amp;hloc=de&amp;hloc=eu&amp;hloc=pl&amp;hloc=uk</t>
  </si>
  <si>
    <t>GV-R79XTGAMING OC-20GD</t>
  </si>
  <si>
    <t>GIGABYTE Radeon RX 7900 GRE Gaming OC 16G, 16GB GDDR6, 2x HDMI, 2x DP</t>
  </si>
  <si>
    <t>https://geizhals.eu/gigabyte-radeon-rx-7900-gre-gaming-oc-16g-gv-r79gregaming-oc-16gd-a3138049.html?hloc=at&amp;hloc=de&amp;hloc=eu&amp;hloc=pl&amp;hloc=uk</t>
  </si>
  <si>
    <t>GV-R79GREGAMING OC-16GD</t>
  </si>
  <si>
    <t>GIGABYTE Radeon RX 7800 XT Gaming OC 16G, 16GB GDDR6, 2x HDMI, 2x DP</t>
  </si>
  <si>
    <t>https://geizhals.eu/gigabyte-radeon-rx-7800-xt-gaming-oc-16g-gv-r78xtgaming-oc-16gd-a3010852.html?hloc=at&amp;hloc=de&amp;hloc=eu&amp;hloc=pl&amp;hloc=uk</t>
  </si>
  <si>
    <t>GV-R78XTGAMING OC-16GD</t>
  </si>
  <si>
    <t>GIGABYTE Radeon RX 7700 XT Gaming OC 12G, 12GB GDDR6, 2x HDMI, 2x DP</t>
  </si>
  <si>
    <t>https://geizhals.eu/gigabyte-radeon-rx-7700-xt-gaming-oc-12g-gv-r77xtgaming-oc-12gd-a3010916.html?hloc=at&amp;hloc=de&amp;hloc=eu&amp;hloc=pl&amp;hloc=uk</t>
  </si>
  <si>
    <t>GV-R77XTGAMING OC-12GD</t>
  </si>
  <si>
    <t>GIGABYTE Radeon RX 7600 XT Gaming OC 16G, 16GB GDDR6, 2x HDMI, 2x DP</t>
  </si>
  <si>
    <t>https://geizhals.eu/gigabyte-radeon-rx-7600-xt-gaming-oc-16g-gv-r76xtgaming-oc-16gd-a3107112.html?hloc=at&amp;hloc=de&amp;hloc=eu&amp;hloc=pl&amp;hloc=uk</t>
  </si>
  <si>
    <t>GV-R76XTGAMING OC-16GD</t>
  </si>
  <si>
    <t>GIGABYTE Radeon RX 7600 Gaming OC 8G, 8GB GDDR6, 2x HDMI, 2x DP</t>
  </si>
  <si>
    <t>https://geizhals.eu/gigabyte-radeon-rx-7600-gaming-oc-8g-gv-r76gaming-oc-8gd-a2954754.html?hloc=at&amp;hloc=de&amp;hloc=eu&amp;hloc=pl&amp;hloc=uk</t>
  </si>
  <si>
    <t>GV-R76GAMING OC-8GD</t>
  </si>
  <si>
    <t>GIGABYTE Radeon RX 6950 XT Gaming OC 16G, 16GB GDDR6, 2x HDMI, 2x DP</t>
  </si>
  <si>
    <t>https://geizhals.eu/gigabyte-radeon-rx-6950-xt-gaming-oc-16g-gv-r695xtgaming-oc-16gd-a2731468.html?hloc=at&amp;hloc=de&amp;hloc=eu&amp;hloc=pl&amp;hloc=uk</t>
  </si>
  <si>
    <t>GV-R695XTGAMING OC-16GD</t>
  </si>
  <si>
    <t>GIGABYTE Radeon RX 6800 Gaming OC 16G, 16GB GDDR6, 2x HDMI, 2x DP</t>
  </si>
  <si>
    <t>https://geizhals.eu/gigabyte-radeon-rx-6800-gaming-oc-16g-gv-r68gaming-oc-16gd-a2433551.html?hloc=at&amp;hloc=de&amp;hloc=eu&amp;hloc=pl&amp;hloc=uk</t>
  </si>
  <si>
    <t>GV-R68GAMING OC-16GD</t>
  </si>
  <si>
    <t>GIGABYTE Radeon RX 6750 XT Gaming OC 12G, 12GB GDDR6, 2x HDMI, 2x DP</t>
  </si>
  <si>
    <t>https://geizhals.eu/gigabyte-radeon-rx-6750-xt-gaming-oc-12g-gv-r675xtgaming-oc-12gd-a2731437.html?hloc=at&amp;hloc=de&amp;hloc=eu&amp;hloc=pl&amp;hloc=uk</t>
  </si>
  <si>
    <t>GV-R675XTGAMING OC-12GD</t>
  </si>
  <si>
    <t>GIGABYTE Radeon RX 6700 XT Gaming OC 12G, 12GB GDDR6, 2x HDMI, 2x DP</t>
  </si>
  <si>
    <t>https://geizhals.eu/gigabyte-radeon-rx-6700-xt-gaming-oc-12g-gv-r67xtgaming-oc-12gd-a2487603.html?hloc=at&amp;hloc=de&amp;hloc=eu&amp;hloc=pl&amp;hloc=uk</t>
  </si>
  <si>
    <t>GV-R67XTGAMING OC-12GD</t>
  </si>
  <si>
    <t>GIGABYTE Radeon RX 6600 XT Gaming OC Pro 8G, 8GB GDDR6, 2x HDMI, 2x DP</t>
  </si>
  <si>
    <t>https://geizhals.eu/gigabyte-radeon-rx-6600-xt-gaming-oc-pro-8g-gv-r66xtgamingoc-pro-8gd-a2573845.html?hloc=at&amp;hloc=de&amp;hloc=eu&amp;hloc=pl&amp;hloc=uk</t>
  </si>
  <si>
    <t>GV-R66XTGAMINGOC PRO-8GD</t>
  </si>
  <si>
    <t>GIGABYTE Radeon RX 6600 XT Gaming OC 8G, 8GB GDDR6, 2x HDMI, 2x DP</t>
  </si>
  <si>
    <t>https://geizhals.eu/gigabyte-radeon-rx-6600-xt-gaming-oc-8g-gv-r66xtgaming-oc-8gd-a2573882.html?hloc=at&amp;hloc=de&amp;hloc=eu&amp;hloc=pl&amp;hloc=uk</t>
  </si>
  <si>
    <t>GV-R66XTGAMING OC-8GD</t>
  </si>
  <si>
    <t>GIGABYTE Radeon RX 6600 XT Eagle 8G, 8GB GDDR6, 2x HDMI, 2x DP</t>
  </si>
  <si>
    <t>https://geizhals.eu/gigabyte-radeon-rx-6600-xt-eagle-8g-gv-r66xteagle-8gd-a2573893.html?hloc=at&amp;hloc=de&amp;hloc=eu&amp;hloc=pl&amp;hloc=uk</t>
  </si>
  <si>
    <t>GV-R66XTEAGLE-8GD</t>
  </si>
  <si>
    <t>GIGABYTE Radeon RX 6600 Eagle 8G, 8GB GDDR6, 2x HDMI, 2x DP</t>
  </si>
  <si>
    <t>https://geizhals.eu/gigabyte-radeon-rx-6600-eagle-8g-gv-r66eagle-8gd-a2619329.html?hloc=at&amp;hloc=de&amp;hloc=eu&amp;hloc=pl&amp;hloc=uk</t>
  </si>
  <si>
    <t>GV-R66EAGLE-8GD</t>
  </si>
  <si>
    <t>GIGABYTE Radeon RX 6500 XT Gaming OC 4G, 4GB GDDR6, HDMI, DP</t>
  </si>
  <si>
    <t>https://geizhals.eu/gigabyte-radeon-rx-6500-xt-gaming-oc-4g-gv-r65xtgaming-oc-4gd-a2665555.html?hloc=at&amp;hloc=de&amp;hloc=eu&amp;hloc=pl&amp;hloc=uk</t>
  </si>
  <si>
    <t>GV-R65XTGAMING OC-4GD</t>
  </si>
  <si>
    <t>GIGABYTE Radeon RX 6500 XT Eagle 4G, 4GB GDDR6, HDMI, DP</t>
  </si>
  <si>
    <t>https://geizhals.eu/gigabyte-radeon-rx-6500-xt-eagle-4g-gv-r65xteagle-4gd-a2665596.html?hloc=at&amp;hloc=de&amp;hloc=eu&amp;hloc=pl&amp;hloc=uk</t>
  </si>
  <si>
    <t>GV-R65XTEAGLE-4GD</t>
  </si>
  <si>
    <t>GIGABYTE Radeon RX 6400 Eagle 4G, 4GB GDDR6, HDMI, DP</t>
  </si>
  <si>
    <t>https://geizhals.eu/gigabyte-radeon-rx-6400-eagle-4g-gv-r64eagle-4gd-a2718840.html?hloc=at&amp;hloc=de&amp;hloc=eu&amp;hloc=pl&amp;hloc=uk</t>
  </si>
  <si>
    <t>GV-R64EAGLE-4GD</t>
  </si>
  <si>
    <t>GIGABYTE Radeon RX 6400 D6 Low Profile 4G, 4GB GDDR6, HDMI, DP</t>
  </si>
  <si>
    <t>https://geizhals.eu/gigabyte-radeon-rx-6400-d6-low-profile-4g-gv-r64d6-4gl-a2718855.html?hloc=at&amp;hloc=de&amp;hloc=eu&amp;hloc=pl&amp;hloc=uk</t>
  </si>
  <si>
    <t>GV-R64D6-4GL</t>
  </si>
  <si>
    <t>GIGABYTE Radeon RX 5600 XT Gaming OC 6G (Rev. 1.0), 6GB GDDR6, HDMI, 3x DP</t>
  </si>
  <si>
    <t>https://geizhals.eu/gigabyte-radeon-rx-5600-xt-gaming-oc-6g-gv-r56xtgaming-oc-6gd-a2211700.html?hloc=at&amp;hloc=de&amp;hloc=eu&amp;hloc=pl&amp;hloc=uk</t>
  </si>
  <si>
    <t>GV-R56XTGAMING OC-6GD</t>
  </si>
  <si>
    <t>GIGABYTE Radeon RX 5500 XT OC 4G (Rev. 2.0), 4GB GDDR6, HDMI, 3x DP</t>
  </si>
  <si>
    <t>https://geizhals.eu/gigabyte-radeon-rx-5500-xt-oc-4g-rev-2-0-gv-r55xtoc-4gd-a2436793.html?hloc=at&amp;hloc=de&amp;hloc=eu&amp;hloc=pl&amp;hloc=uk</t>
  </si>
  <si>
    <t>GV-R55XTOC-4GD</t>
  </si>
  <si>
    <t>GIGABYTE GeForce RTX 5090 Gaming OC 32G, 32GB GDDR7, HDMI, 3x DP</t>
  </si>
  <si>
    <t>https://geizhals.eu/gigabyte-geforce-rtx-5090-gaming-oc-32g-gv-n5090aorus-m-32gd-a3381733.html?hloc=at&amp;hloc=de&amp;hloc=eu&amp;hloc=pl&amp;hloc=uk</t>
  </si>
  <si>
    <t>GV-N5090GAMING-OC-32GD</t>
  </si>
  <si>
    <t>GIGABYTE GeForce RTX 5080 Windforce OC SFF 16G, 16GB GDDR7, HDMI, 3x DP</t>
  </si>
  <si>
    <t>https://geizhals.eu/gigabyte-geforce-rtx-5080-windforce-oc-sff-16g-gv-n5080wf3oc-16gd-a3381809.html?hloc=at&amp;hloc=de&amp;hloc=eu&amp;hloc=pl&amp;hloc=uk</t>
  </si>
  <si>
    <t>GV-N5080WF3OC-16GD</t>
  </si>
  <si>
    <t>GIGABYTE GeForce RTX 5080 Gaming OC 16G, 16GB GDDR7, HDMI, 3x DP</t>
  </si>
  <si>
    <t>https://geizhals.eu/gigabyte-aorus-geforce-rtx-5080-gaming-oc-16g-gv-n5080gaming-oc-16gd-a3381774.html?hloc=at&amp;hloc=de&amp;hloc=eu&amp;hloc=pl&amp;hloc=uk</t>
  </si>
  <si>
    <t>GV-N5080GAMING OC-16GD</t>
  </si>
  <si>
    <t>GIGABYTE GeForce RTX 5080 Aero OC SFF 16G, 16GB GDDR7, HDMI, 3x DP</t>
  </si>
  <si>
    <t>https://geizhals.eu/gigabyte-geforce-rtx-5080-aero-oc-sff-16g-gv-n5080aero-oc-16gd-a3381783.html?hloc=at&amp;hloc=de&amp;hloc=eu&amp;hloc=pl&amp;hloc=uk</t>
  </si>
  <si>
    <t>GV-N5080AERO OC-16GD</t>
  </si>
  <si>
    <t>GIGABYTE GeForce RTX 5070 Ti Gaming OC 16G, 16GB GDDR7, HDMI, 3x DP</t>
  </si>
  <si>
    <t>https://geizhals.eu/gigabyte-geforce-rtx-5070-ti-gaming-oc-16g-gv-n507tgaming-oc-16gd-a3381833.html?hloc=at&amp;hloc=de&amp;hloc=eu&amp;hloc=pl&amp;hloc=uk</t>
  </si>
  <si>
    <t>GV-N507TGAMING OC-16GD</t>
  </si>
  <si>
    <t>GIGABYTE GeForce RTX 4090 Windforce V2 24G, 24GB GDDR6X, HDMI, 3x DP</t>
  </si>
  <si>
    <t>https://geizhals.eu/gigabyte-geforce-rtx-4090-windforce-v2-24g-gv-n4090wf3v2-24gd-a3012814.html?hloc=at&amp;hloc=de&amp;hloc=eu&amp;hloc=pl&amp;hloc=uk</t>
  </si>
  <si>
    <t>GV-N4090WF3V2-24GD</t>
  </si>
  <si>
    <t>GIGABYTE GeForce RTX 4090 Gaming OC 24G, 24GB GDDR6X, HDMI, 3x DP</t>
  </si>
  <si>
    <t>https://geizhals.eu/gigabyte-geforce-rtx-4090-gaming-oc-24g-gv-n4090gaming-oc-24gd-a2816413.html?hloc=at&amp;hloc=de&amp;hloc=eu&amp;hloc=pl&amp;hloc=uk</t>
  </si>
  <si>
    <t>GV-N4090GAMING OC-24GD</t>
  </si>
  <si>
    <t>GIGABYTE GeForce RTX 4090 Aero OC 24G, 24GB GDDR6X, HDMI, 3x DP</t>
  </si>
  <si>
    <t>https://geizhals.eu/gigabyte-geforce-rtx-4090-aero-oc-24g-gv-n4090aero-oc-24gd-a2911111.html?hloc=at&amp;hloc=de&amp;hloc=eu&amp;hloc=pl&amp;hloc=uk</t>
  </si>
  <si>
    <t>GV-N4090AERO OC-24GD</t>
  </si>
  <si>
    <t>GIGABYTE GeForce RTX 4080 SUPER Windforce V2 16G, 16GB GDDR6X, HDMI, 3x DP</t>
  </si>
  <si>
    <t>https://geizhals.eu/gigabyte-geforce-rtx-4080-super-windforce-v2-16g-gv-n408swf3v2-16gd-a3097220.html?hloc=at&amp;hloc=de&amp;hloc=eu&amp;hloc=pl&amp;hloc=uk</t>
  </si>
  <si>
    <t>GV-N408SWF3V2-16GD</t>
  </si>
  <si>
    <t>GIGABYTE GeForce RTX 4080 SUPER Gaming OC, 16GB GDDR6X, HDMI, 3x DP</t>
  </si>
  <si>
    <t>https://geizhals.eu/gigabyte-geforce-rtx-4080-super-gaming-oc-gv-n408sgaming-oc-16gd-a3097203.html?hloc=at&amp;hloc=de&amp;hloc=eu&amp;hloc=pl&amp;hloc=uk</t>
  </si>
  <si>
    <t>GV-N408SGAMING OC-16GD</t>
  </si>
  <si>
    <t>GIGABYTE GeForce RTX 4080 SUPER Aero OC 16G, 16GB GDDR6X, HDMI, 3x DP</t>
  </si>
  <si>
    <t>https://geizhals.eu/gigabyte-geforce-rtx-4080-super-aero-oc-16g-gv-n408saero-oc-16gd-a3097242.html?hloc=at&amp;hloc=de&amp;hloc=eu&amp;hloc=pl&amp;hloc=uk</t>
  </si>
  <si>
    <t>GV-N408SAERO OC-16GD</t>
  </si>
  <si>
    <t>GIGABYTE GeForce RTX 4070 Windforce OC V2 12G, 12GB GDDR6, HDMI, 3x DP</t>
  </si>
  <si>
    <t>https://geizhals.eu/gigabyte-geforce-rtx-4070-windforce-oc-v2-12g-gv-n4070wf3ocv2-12gd-a3294341.html?hloc=at&amp;hloc=de&amp;hloc=eu&amp;hloc=pl&amp;hloc=uk</t>
  </si>
  <si>
    <t>GV-N4070WF3OCV2-12GD</t>
  </si>
  <si>
    <t>GIGABYTE GeForce RTX 4070 Windforce OC 12G, 12GB GDDR6X, HDMI, 3x DP</t>
  </si>
  <si>
    <t>https://geizhals.eu/gigabyte-geforce-rtx-4070-windforce-oc-12g-gv-n4070wf3oc-12gd-a2930661.html?hloc=at&amp;hloc=de&amp;hloc=eu&amp;hloc=pl&amp;hloc=uk</t>
  </si>
  <si>
    <t>GV-N4070WF3OC-12GD</t>
  </si>
  <si>
    <t>GIGABYTE GeForce RTX 4070 Windforce 2X OC V2 12G, 12GB GDDR6, HDMI, 3x DP</t>
  </si>
  <si>
    <t>https://geizhals.eu/gigabyte-geforce-rtx-4070-windforce-2x-oc-v2-12g-gv-n4070wf2ocv2-12gd-a3294335.html?hloc=at&amp;hloc=de&amp;hloc=eu&amp;hloc=pl&amp;hloc=uk</t>
  </si>
  <si>
    <t>GV-N4070WF2OCV2-12GD</t>
  </si>
  <si>
    <t>GIGABYTE GeForce RTX 4070 Windforce 2X OC 12G, 12GB GDDR6X, HDMI, 3x DP</t>
  </si>
  <si>
    <t>https://geizhals.eu/gigabyte-geforce-rtx-4070-windforce-2x-oc-12g-gv-n4070wf2oc-12gd-a3064709.html?hloc=at&amp;hloc=de&amp;hloc=eu&amp;hloc=pl&amp;hloc=uk</t>
  </si>
  <si>
    <t>GV-N4070WF2OC-12GD</t>
  </si>
  <si>
    <t>GIGABYTE GeForce RTX 4070 Ti Windforce OC 12G, 12GB GDDR6X, HDMI, 3x DP</t>
  </si>
  <si>
    <t>https://geizhals.eu/gigabyte-geforce-rtx-4070-ti-windforce-oc-12g-gv-n407twf3oc-12gd-a2933511.html?hloc=at&amp;hloc=de&amp;hloc=eu&amp;hloc=pl&amp;hloc=uk</t>
  </si>
  <si>
    <t>GV-N407TWF3OC-12GD</t>
  </si>
  <si>
    <t>GIGABYTE GeForce RTX 4070 Ti SUPER Windforce OC 16G, 16GB GDDR6X, HDMI, 3x DP</t>
  </si>
  <si>
    <t>https://geizhals.eu/gigabyte-geforce-rtx-4070-ti-super-windforce-oc-16g-gv-n407tswf3oc-16gd-a3097318.html?hloc=at&amp;hloc=de&amp;hloc=eu&amp;hloc=pl&amp;hloc=uk</t>
  </si>
  <si>
    <t>GV-N407TSWF3OC-16GD</t>
  </si>
  <si>
    <t>GIGABYTE GeForce RTX 4070 Ti SUPER Gaming OC 16G, 16GB GDDR6X, HDMI, 3x DP</t>
  </si>
  <si>
    <t>https://geizhals.eu/gigabyte-geforce-rtx-4070-ti-super-gaming-oc-16g-gv-n407tsgaming-oc-16gd-a3097288.html?hloc=at&amp;hloc=de&amp;hloc=eu&amp;hloc=pl&amp;hloc=uk</t>
  </si>
  <si>
    <t>GV-N407TSGAMING OC-16GD</t>
  </si>
  <si>
    <t>GIGABYTE GeForce RTX 4070 Ti SUPER Eagle OC Ice 16G, 16GB GDDR6X, HDMI, 3x DP</t>
  </si>
  <si>
    <t>https://geizhals.eu/gigabyte-geforce-rtx-4070-ti-super-eagle-oc-ice-16g-gv-n407tseagleoc-ice-16gd-a3123727.html?hloc=at&amp;hloc=de&amp;hloc=eu&amp;hloc=pl&amp;hloc=uk</t>
  </si>
  <si>
    <t>GV-N407TSEAGLEOC ICE-16GD</t>
  </si>
  <si>
    <t>GIGABYTE GeForce RTX 4070 Ti SUPER Eagle OC 16G, 16GB GDDR6X, HDMI, 3x DP</t>
  </si>
  <si>
    <t>https://geizhals.eu/gigabyte-geforce-rtx-4070-ti-super-eagle-oc-16g-gv-n407tseagle-oc-16gd-a3097304.html?hloc=at&amp;hloc=de&amp;hloc=eu&amp;hloc=pl&amp;hloc=uk</t>
  </si>
  <si>
    <t>GV-N407TSEAGLE OC-16GD</t>
  </si>
  <si>
    <t>GIGABYTE GeForce RTX 4070 Ti SUPER Aero OC 16G, 16GB GDDR6X, HDMI, 3x DP</t>
  </si>
  <si>
    <t>https://geizhals.eu/gigabyte-geforce-rtx-4070-ti-super-aero-oc-16g-gv-n407tsaero-oc-16gd-a3097334.html?hloc=at&amp;hloc=de&amp;hloc=eu&amp;hloc=pl&amp;hloc=uk</t>
  </si>
  <si>
    <t>GV-N407TSAERO OC-16GD</t>
  </si>
  <si>
    <t>GIGABYTE GeForce RTX 4070 Ti Gaming OC V2 12G, 12GB GDDR6X, HDMI, 3x DP</t>
  </si>
  <si>
    <t>https://geizhals.eu/gigabyte-geforce-rtx-4070-ti-gaming-oc-v2-12g-gv-n407tgaming-ocv2-12gd-a3012816.html?hloc=at&amp;hloc=de&amp;hloc=eu&amp;hloc=pl&amp;hloc=uk</t>
  </si>
  <si>
    <t>GV-N407TGAMING OCV2-12GD</t>
  </si>
  <si>
    <t>GIGABYTE GeForce RTX 4070 Ti Eagle OC 12G (Rev. 2.0), 12GB GDDR6X, HDMI, 3x DP</t>
  </si>
  <si>
    <t>https://geizhals.eu/gigabyte-geforce-rtx-4070-ti-eagle-oc-12g-rev-2-0-gv-n407teagle-oc-12gd-2-0-a2935858.html?hloc=at&amp;hloc=de&amp;hloc=eu&amp;hloc=pl&amp;hloc=uk</t>
  </si>
  <si>
    <t>GV-N407TEAGLE OC-12GD 2.0</t>
  </si>
  <si>
    <t>GIGABYTE GeForce RTX 4070 Ti Aero OC V2 12G, 12GB GDDR6X, HDMI, 3x DP</t>
  </si>
  <si>
    <t>https://geizhals.eu/gigabyte-geforce-rtx-4070-ti-aero-oc-v2-12g-gv-n407taero-ocv2-12gd-a2956509.html?hloc=at&amp;hloc=de&amp;hloc=eu&amp;hloc=pl&amp;hloc=uk</t>
  </si>
  <si>
    <t>GV-N407TAERO OCV2-12GD</t>
  </si>
  <si>
    <t>GIGABYTE GeForce RTX 4070 SUPER Windforce OC 12G, 12GB GDDR6X, HDMI, 3x DP</t>
  </si>
  <si>
    <t>https://geizhals.eu/gigabyte-geforce-rtx-4070-super-windforce-oc-12g-gv-n407swf3oc-12gd-a3097423.html?hloc=at&amp;hloc=de&amp;hloc=eu&amp;hloc=pl&amp;hloc=uk</t>
  </si>
  <si>
    <t>GV-N407SWF3OC-12GD</t>
  </si>
  <si>
    <t>GIGABYTE GeForce RTX 4070 SUPER Gaming OC 12G, 12GB GDDR6X, HDMI, 3x DP</t>
  </si>
  <si>
    <t>https://geizhals.eu/gigabyte-geforce-rtx-4070-super-gaming-oc-12g-gv-n407sgaming-oc-12gd-a3097368.html?hloc=at&amp;hloc=de&amp;hloc=eu&amp;hloc=pl&amp;hloc=uk</t>
  </si>
  <si>
    <t>GV-N407SGAMING OC-12GD</t>
  </si>
  <si>
    <t>GIGABYTE GeForce RTX 4070 SUPER Eagle OC Ice 12G, 12GB GDDR6X, HDMI, 3x DP</t>
  </si>
  <si>
    <t>https://geizhals.eu/gigabyte-geforce-rtx-4070-super-eagle-oc-ice-12g-gv-n407seagleoc-ice-12gd-a3123720.html?hloc=at&amp;hloc=de&amp;hloc=eu&amp;hloc=pl&amp;hloc=uk</t>
  </si>
  <si>
    <t>GV-N407SEAGLEOC ICE-12GD</t>
  </si>
  <si>
    <t>GIGABYTE GeForce RTX 4070 SUPER Eagle OC 12G, 12GB GDDR6X, HDMI, 3x DP</t>
  </si>
  <si>
    <t>https://geizhals.eu/gigabyte-geforce-rtx-4070-super-eagle-oc-12g-gv-n407seagle-oc-12gd-a3097380.html?hloc=at&amp;hloc=de&amp;hloc=eu&amp;hloc=pl&amp;hloc=uk</t>
  </si>
  <si>
    <t>GV-N407SEAGLE OC-12GD</t>
  </si>
  <si>
    <t>GIGABYTE GeForce RTX 4070 SUPER Aero OC 12G, 12GB GDDR6X, HDMI, 3x DP</t>
  </si>
  <si>
    <t>https://geizhals.eu/gigabyte-geforce-rtx-4070-super-aero-oc-12g-gv-n407saero-oc-12gd-a3097431.html?hloc=at&amp;hloc=de&amp;hloc=eu&amp;hloc=pl&amp;hloc=uk</t>
  </si>
  <si>
    <t>GV-N407SAERO OC-12GD</t>
  </si>
  <si>
    <t>GIGABYTE GeForce RTX 4070 Gaming OC V2 12G, 12GB GDDR6X, HDMI, 3x DP</t>
  </si>
  <si>
    <t>https://geizhals.eu/gigabyte-geforce-rtx-4070-gaming-oc-v2-12g-gv-n4070gaming-ocv2-12gd-a3081135.html?hloc=at&amp;hloc=de&amp;hloc=eu&amp;hloc=pl&amp;hloc=uk</t>
  </si>
  <si>
    <t>GV-N4070GAMING OCV2-12GD</t>
  </si>
  <si>
    <t>GIGABYTE GeForce RTX 4070 Eagle OC V2 12G, 12GB GDDR6X, 2x HDMI, 2x DP</t>
  </si>
  <si>
    <t>https://geizhals.eu/gigabyte-geforce-rtx-4070-eagle-oc-v2-12g-gv-n4070eagle-ocv2-12gd-a3064697.html?hloc=at&amp;hloc=de&amp;hloc=eu&amp;hloc=pl&amp;hloc=uk</t>
  </si>
  <si>
    <t>GV-N4070EAGLE OCV2-12GD</t>
  </si>
  <si>
    <t>GIGABYTE GeForce RTX 4070 Eagle OC 12G, 12GB GDDR6X, HDMI, 3x DP</t>
  </si>
  <si>
    <t>https://geizhals.eu/gigabyte-geforce-rtx-4070-eagle-oc-12g-gv-n4070eagle-oc-12gd-a2930688.html?hloc=at&amp;hloc=de&amp;hloc=eu&amp;hloc=pl&amp;hloc=uk</t>
  </si>
  <si>
    <t>GV-N4070EAGLE OC-12GD</t>
  </si>
  <si>
    <t>GIGABYTE GeForce RTX 4070 Aero OC V2 12G, 12GB GDDR6X, HDMI, 3x DP</t>
  </si>
  <si>
    <t>https://geizhals.eu/gigabyte-geforce-rtx-4070-aero-oc-v2-12g-gv-n4070aero-ocv2-12gd-a3081348.html?hloc=at&amp;hloc=de&amp;hloc=eu&amp;hloc=pl&amp;hloc=uk</t>
  </si>
  <si>
    <t>GV-N4070AERO OCV2-12GD</t>
  </si>
  <si>
    <t>GIGABYTE GeForce RTX 4060 Windforce OC 8G, 8GB GDDR6, 2x HDMI, 2x DP</t>
  </si>
  <si>
    <t>https://geizhals.eu/gigabyte-geforce-rtx-4060-windforce-oc-8g-gv-n4060wf2oc-8gd-a2951616.html?hloc=at&amp;hloc=de&amp;hloc=eu&amp;hloc=pl&amp;hloc=uk</t>
  </si>
  <si>
    <t>GV-N4060WF2OC-8GD</t>
  </si>
  <si>
    <t>GIGABYTE GeForce RTX 4060 Ti Windforce OC 8G, 8GB GDDR6, 2x HDMI, 2x DP</t>
  </si>
  <si>
    <t>https://geizhals.eu/gigabyte-geforce-rtx-4060-ti-windforce-oc-8g-gv-n406twf2oc-8gd-a2971521.html?hloc=at&amp;hloc=de&amp;hloc=eu&amp;hloc=pl&amp;hloc=uk</t>
  </si>
  <si>
    <t>GV-N406TWF2OC-8GD</t>
  </si>
  <si>
    <t>GIGABYTE GeForce RTX 4060 Ti Windforce OC 8G V2, 8GB GDDR6, 2x HDMI, 2x DP</t>
  </si>
  <si>
    <t>https://geizhals.eu/gigabyte-geforce-rtx-4060-ti-windforce-oc-8g-v2-gv-n406twf2ocv2-8gd-a3326894.html?hloc=at&amp;hloc=de&amp;hloc=eu&amp;hloc=pl&amp;hloc=uk</t>
  </si>
  <si>
    <t>GV-N406TWF2OCV2-8GD</t>
  </si>
  <si>
    <t>GIGABYTE GeForce RTX 4060 Ti Windforce OC 16G, 16GB GDDR6, 2x HDMI, 2x DP</t>
  </si>
  <si>
    <t>https://geizhals.eu/gigabyte-geforce-rtx-4060-ti-windforce-oc-8g-gv-n406twf2oc-16gd-a3043230.html?hloc=at&amp;hloc=de&amp;hloc=eu&amp;hloc=pl&amp;hloc=uk</t>
  </si>
  <si>
    <t>GV-N406TWF2OC-16GD</t>
  </si>
  <si>
    <t>GIGABYTE GeForce RTX 4060 Ti Gaming OC 8G, 8GB GDDR6, 2x HDMI, 2x DP</t>
  </si>
  <si>
    <t>https://geizhals.eu/gigabyte-geforce-rtx-4060-ti-gaming-oc-8g-gv-n406tgaming-oc-8gd-a2951612.html?hloc=at&amp;hloc=de&amp;hloc=eu&amp;hloc=pl&amp;hloc=uk</t>
  </si>
  <si>
    <t>GV-N406TGAMING OC-8GD</t>
  </si>
  <si>
    <t>GIGABYTE GeForce RTX 4060 Ti Gaming OC 16G, 16GB GDDR6, 2x HDMI, 2x DP</t>
  </si>
  <si>
    <t>https://geizhals.eu/gigabyte-geforce-rtx-4060-ti-gaming-oc-16g-gv-n406tgaming-oc-16gd-a2987655.html?hloc=at&amp;hloc=de&amp;hloc=eu&amp;hloc=pl&amp;hloc=uk</t>
  </si>
  <si>
    <t>GV-N406TGAMING OC-16GD</t>
  </si>
  <si>
    <t>GIGABYTE GeForce RTX 4060 Ti Elite 8G, 8GB GDDR6, 2x HDMI, 2x DP</t>
  </si>
  <si>
    <t>https://geizhals.eu/gigabyte-geforce-rtx-4060-ti-elite-8g-gv-n406taorus-e-8gd-a2951614.html?hloc=at&amp;hloc=de&amp;hloc=eu&amp;hloc=pl&amp;hloc=uk</t>
  </si>
  <si>
    <t>GV-N406TAORUS E-8GD</t>
  </si>
  <si>
    <t>GIGABYTE GeForce RTX 4060 Ti Eagle OC Ice 8G, 8GB GDDR6, 2x HDMI, 2x DP</t>
  </si>
  <si>
    <t>https://geizhals.eu/gigabyte-geforce-rtx-4060-ti-eagle-oc-ice-8g-gv-n406teagleoc-ice-8gd-a3123713.html?hloc=at&amp;hloc=de&amp;hloc=eu&amp;hloc=pl&amp;hloc=uk</t>
  </si>
  <si>
    <t>GV-N406TEAGLEOC ICE-8GD</t>
  </si>
  <si>
    <t>GIGABYTE GeForce RTX 4060 Ti Eagle OC 8G, 8GB GDDR6, 2x HDMI, 2x DP</t>
  </si>
  <si>
    <t>https://geizhals.eu/gigabyte-geforce-rtx-4060-ti-eagle-oc-8g-gv-n406teagle-oc-8gd-a2951611.html?hloc=at&amp;hloc=de&amp;hloc=eu&amp;hloc=pl&amp;hloc=uk</t>
  </si>
  <si>
    <t>GV-N406TEAGLE OC-8GD</t>
  </si>
  <si>
    <t>GIGABYTE GeForce RTX 4060 Ti Eagle 8G, 8GB GDDR6, 2x HDMI, 2x DP</t>
  </si>
  <si>
    <t>https://geizhals.eu/gigabyte-geforce-rtx-4060-ti-eagle-8g-gv-n406teagle-8gd-a2951610.html?hloc=at&amp;hloc=de&amp;hloc=eu&amp;hloc=pl&amp;hloc=uk</t>
  </si>
  <si>
    <t>GV-N406TEAGLE-8GD</t>
  </si>
  <si>
    <t>GIGABYTE GeForce RTX 4060 Ti Aero OC 8G, 8GB GDDR6, 2x HDMI, 2x DP</t>
  </si>
  <si>
    <t>https://geizhals.eu/gigabyte-geforce-rtx-4060-ti-aero-oc-8g-gv-n406taero-oc-8gd-a2951613.html?hloc=at&amp;hloc=de&amp;hloc=eu&amp;hloc=pl&amp;hloc=uk</t>
  </si>
  <si>
    <t>GV-N406TAERO OC-8GD</t>
  </si>
  <si>
    <t>GIGABYTE GeForce RTX 4060 Ti Aero OC 16G, 16GB GDDR6, 2x HDMI, 2x DP</t>
  </si>
  <si>
    <t>https://geizhals.eu/gigabyte-geforce-rtx-4060-ti-aero-oc-16g-gv-n406taero-oc-16gd-a2987674.html?hloc=at&amp;hloc=de&amp;hloc=eu&amp;hloc=pl&amp;hloc=uk</t>
  </si>
  <si>
    <t>GV-N406TAERO OC-16GD</t>
  </si>
  <si>
    <t>GIGABYTE GeForce RTX 4060 OC Low Profile 8G, 8GB GDDR6, 2x HDMI, 2x DP</t>
  </si>
  <si>
    <t>https://geizhals.eu/gigabyte-geforce-rtx-4060-oc-low-profile-8g-gv-n4060oc-8gl-a3025193.html?hloc=at&amp;hloc=de&amp;hloc=eu&amp;hloc=pl&amp;hloc=uk</t>
  </si>
  <si>
    <t>GV-N4060OC-8GL</t>
  </si>
  <si>
    <t>GIGABYTE GeForce RTX 4060 Gaming OC 8G, 8GB GDDR6, 2x HDMI, 2x DP</t>
  </si>
  <si>
    <t>https://geizhals.eu/gigabyte-geforce-rtx-4060-gaming-oc-8g-gv-n4060gaming-oc-8gd-a2951618.html?hloc=at&amp;hloc=de&amp;hloc=eu&amp;hloc=pl&amp;hloc=uk</t>
  </si>
  <si>
    <t>GV-N4060GAMING OC-8GD</t>
  </si>
  <si>
    <t>GIGABYTE GeForce RTX 4060 Eagle OC Ice 8G, 8GB GDDR6, 2x HDMI, 2x DP</t>
  </si>
  <si>
    <t>https://geizhals.eu/gigabyte-geforce-rtx-4060-eagle-oc-ice-8g-gv-n4060eagleoc-ice-8gd-a3123681.html?hloc=at&amp;hloc=de&amp;hloc=eu&amp;hloc=pl&amp;hloc=uk</t>
  </si>
  <si>
    <t>GV-N4060EAGLEOC ICE-8GD</t>
  </si>
  <si>
    <t>GIGABYTE GeForce RTX 4060 Eagle OC 8G, 8GB GDDR6, 2x HDMI, 2x DP</t>
  </si>
  <si>
    <t>https://geizhals.eu/gigabyte-geforce-rtx-4060-eagle-oc-8g-gv-n4060eagle-oc-8gd-a2951615.html?hloc=at&amp;hloc=de&amp;hloc=eu&amp;hloc=pl&amp;hloc=uk</t>
  </si>
  <si>
    <t>GV-N4060EAGLE OC-8GD</t>
  </si>
  <si>
    <t>GIGABYTE GeForce RTX 4060 D6 8G, 8GB GDDR6, 2x HDMI, 2x DP</t>
  </si>
  <si>
    <t>https://geizhals.eu/gigabyte-geforce-rtx-4060-d6-8g-gv-n4060d6-8gd-a3042057.html?hloc=at&amp;hloc=de&amp;hloc=eu&amp;hloc=pl&amp;hloc=uk</t>
  </si>
  <si>
    <t>GV-N4060D6-8GD</t>
  </si>
  <si>
    <t>GIGABYTE GeForce RTX 4060 Aero OC 8G, 8GB GDDR6, 2x HDMI, 2x DP</t>
  </si>
  <si>
    <t>https://geizhals.eu/gigabyte-geforce-rtx-4060-aero-oc-8g-gv-n4060aero-oc-8gd-a2951617.html?hloc=at&amp;hloc=de&amp;hloc=eu&amp;hloc=pl&amp;hloc=uk</t>
  </si>
  <si>
    <t>GV-N4060AERO OC-8GD</t>
  </si>
  <si>
    <t>GIGABYTE GeForce RTX 3090 Ti Gaming OC 24G, 24GB GDDR6X, HDMI, 3x DP</t>
  </si>
  <si>
    <t>https://geizhals.eu/gigabyte-geforce-rtx-3090-ti-gaming-oc-24g-gv-n309tgaming-oc-24gd-a2705889.html?hloc=at&amp;hloc=de&amp;hloc=eu&amp;hloc=pl&amp;hloc=uk</t>
  </si>
  <si>
    <t>GV-N309TGAMING OC-24GD</t>
  </si>
  <si>
    <t>GIGABYTE GeForce RTX 3080 Ti Vision OC 12G, 12GB GDDR6X, 2x HDMI, 3x DP</t>
  </si>
  <si>
    <t>https://geizhals.eu/gigabyte-geforce-rtx-3080-ti-vision-oc-12g-gv-n308tvision-oc-12gd-a2537759.html?hloc=at&amp;hloc=de&amp;hloc=eu&amp;hloc=pl&amp;hloc=uk</t>
  </si>
  <si>
    <t>GV-N308TVISION OC-12GD</t>
  </si>
  <si>
    <t>GIGABYTE GeForce RTX 3080 Gaming OC Waterforce WB 10G (Rev. 1.0), 10GB GDDR6X, 2x HDMI, 3x DP</t>
  </si>
  <si>
    <t>https://geizhals.eu/gigabyte-geforce-rtx-3080-gaming-oc-waterforce-wb-10g-gv-n3080gamingoc-wb-10gd-a2538363.html?hloc=at&amp;hloc=de&amp;hloc=eu&amp;hloc=pl&amp;hloc=uk</t>
  </si>
  <si>
    <t>GV-N3080GAMINGOC WB-10GD</t>
  </si>
  <si>
    <t>GIGABYTE GeForce RTX 3080 Gaming OC 10G (Rev. 1.0), 10GB GDDR6X, 2x HDMI, 3x DP</t>
  </si>
  <si>
    <t>https://geizhals.eu/gigabyte-geforce-rtx-3080-gaming-oc-10g-gv-n3080gaming-oc-10gd-a2366735.html?hloc=at&amp;hloc=de&amp;hloc=eu&amp;hloc=pl&amp;hloc=uk</t>
  </si>
  <si>
    <t>GV-N3080GAMING OC-10GD</t>
  </si>
  <si>
    <t>GIGABYTE GeForce RTX 3070 Vision OC 8G (Rev. 1.0), 8GB GDDR6, 2x HDMI, 2x DP</t>
  </si>
  <si>
    <t>https://geizhals.eu/gigabyte-geforce-rtx-3070-vision-oc-8g-gv-n3070vision-oc-8gd-a2406952.html?hloc=at&amp;hloc=de&amp;hloc=eu&amp;hloc=pl&amp;hloc=uk</t>
  </si>
  <si>
    <t>GV-N3070VISION OC-8GD</t>
  </si>
  <si>
    <t>GIGABYTE GeForce RTX 3070 Ti Vision OC 8G, 8GB GDDR6X, 2x HDMI, 2x DP</t>
  </si>
  <si>
    <t>https://geizhals.eu/gigabyte-geforce-rtx-3070-ti-vision-oc-8g-gv-n307tvision-oc-8gd-a2538360.html?hloc=at&amp;hloc=de&amp;hloc=eu&amp;hloc=pl&amp;hloc=uk</t>
  </si>
  <si>
    <t>GV-N307TVISION OC-8GD</t>
  </si>
  <si>
    <t>GIGABYTE GeForce RTX 3070 Ti Gaming OC 8G, 8GB GDDR6X, 2x HDMI, 2x DP</t>
  </si>
  <si>
    <t>https://geizhals.eu/gigabyte-geforce-rtx-3070-ti-gaming-oc-8g-gv-n307tgaming-oc-8gd-a2538289.html?hloc=at&amp;hloc=de&amp;hloc=eu&amp;hloc=pl&amp;hloc=uk</t>
  </si>
  <si>
    <t>GV-N307TGAMING OC-8GD</t>
  </si>
  <si>
    <t>GIGABYTE GeForce RTX 3070 Ti Gaming 8G, 8GB GDDR6X, 2x HDMI, 2x DP</t>
  </si>
  <si>
    <t>https://geizhals.eu/gigabyte-geforce-rtx-3070-ti-gaming-8g-gv-n307tgaming-8gd-a2856106.html?hloc=at&amp;hloc=de&amp;hloc=eu&amp;hloc=pl&amp;hloc=uk</t>
  </si>
  <si>
    <t>GV-N307TGAMING 8GD</t>
  </si>
  <si>
    <t>GIGABYTE GeForce RTX 3070 Gaming OC 8G (Rev. 2.0) (LHR), 8GB GDDR6, 2x HDMI, 2x DP</t>
  </si>
  <si>
    <t>https://geizhals.eu/gigabyte-geforce-rtx-3070-gaming-oc-8g-rev-2-0-gv-n3070gaming-oc-8gd-a2551102.html?hloc=at&amp;hloc=de&amp;hloc=eu&amp;hloc=pl&amp;hloc=uk</t>
  </si>
  <si>
    <t>GV-N3070GAMING OC-8GD 2.0</t>
  </si>
  <si>
    <t>GIGABYTE GeForce RTX 3070 Eagle 8G (Rev. 2.0) (LHR), 8GB GDDR6, 2x HDMI, 2x DP</t>
  </si>
  <si>
    <t>https://geizhals.eu/gigabyte-geforce-rtx-3070-eagle-8g-rev-2-0-gv-n3070eagle-8gd-a2551098.html?hloc=at&amp;hloc=de&amp;hloc=eu&amp;hloc=pl&amp;hloc=uk</t>
  </si>
  <si>
    <t>GV-N3070EAGLE-8GD 2.0</t>
  </si>
  <si>
    <t>GIGABYTE GeForce RTX 3060 Windforce OC 12G (LHR) (Rev. 2.0), 12GB GDDR6, 2x HDMI, 2x DP</t>
  </si>
  <si>
    <t>https://geizhals.eu/gigabyte-geforce-rtx-3060-windforce-oc-12g-lhr-rev-2-0-gv-n3060wf2oc-12gd-2-0-a2912224.html?hloc=at&amp;hloc=de&amp;hloc=eu&amp;hloc=pl&amp;hloc=uk</t>
  </si>
  <si>
    <t>GV-N3060WF2OC-12GD 2.0</t>
  </si>
  <si>
    <t>GIGABYTE GeForce RTX 3060 Windforce OC 12G (LHR) (Rev. 1.0), 12GB GDDR6, 2x HDMI, 2x DP</t>
  </si>
  <si>
    <t>https://geizhals.eu/gigabyte-geforce-rtx-3060-windforce-oc-12g-lhr-gv-n3060wf2oc-12gd-a2829540.html?hloc=at&amp;hloc=de&amp;hloc=eu&amp;hloc=pl&amp;hloc=uk</t>
  </si>
  <si>
    <t>GV-N3060WF2OC-12GD</t>
  </si>
  <si>
    <t>GIGABYTE GeForce RTX 3060 Ti Windforce OC 8G (LHR), 8GB GDDR6, 2x HDMI, 2x DP</t>
  </si>
  <si>
    <t>https://geizhals.eu/gigabyte-geforce-rtx-3060-ti-windforce-oc-8g-lhr-gv-n306twf2oc-8gd-a2796996.html?hloc=at&amp;hloc=de&amp;hloc=eu&amp;hloc=pl&amp;hloc=uk</t>
  </si>
  <si>
    <t>GV-N306TWF2OC-8GD</t>
  </si>
  <si>
    <t>GIGABYTE GeForce RTX 3060 Ti Vision OC 8G (Rev. 2.0) (LHR), 8GB GDDR6, 2x HDMI, 2x DP</t>
  </si>
  <si>
    <t>https://geizhals.eu/gigabyte-geforce-rtx-3060-ti-vision-oc-8g-rev-2-0-gv-n306tvision-oc-8gd-a2551115.html?hloc=at&amp;hloc=de&amp;hloc=eu&amp;hloc=pl&amp;hloc=uk</t>
  </si>
  <si>
    <t>GV-N306TVISION OC-8GD 2.0</t>
  </si>
  <si>
    <t>GIGABYTE GeForce RTX 3060 Ti Gaming OC Pro 8G (Rev. 3.0) (LHR), 8GB GDDR6, 2x HDMI, 2x DP</t>
  </si>
  <si>
    <t>https://geizhals.eu/gigabyte-geforce-rtx-3060-ti-gaming-oc-pro-8g-rev-3-0-gv-n306tgamingoc-pro-8gd-a2551032.html?hloc=at&amp;hloc=de&amp;hloc=eu&amp;hloc=pl&amp;hloc=uk</t>
  </si>
  <si>
    <t>GV-N306TGAMINGOC PRO-8GD 3.0</t>
  </si>
  <si>
    <t>GIGABYTE GeForce RTX 3060 Ti Gaming OC 8G (Rev. 2.0) (LHR), 8GB GDDR6, 2x HDMI, 2x DP</t>
  </si>
  <si>
    <t>https://geizhals.eu/gigabyte-geforce-rtx-3060-ti-gaming-oc-8g-rev-2-0-gv-n306tgaming-oc-8gd-a2565230.html?hloc=at&amp;hloc=de&amp;hloc=eu&amp;hloc=pl&amp;hloc=uk</t>
  </si>
  <si>
    <t>GV-N306TGAMING OC-8GD 2.0</t>
  </si>
  <si>
    <t>GIGABYTE GeForce RTX 3060 Ti EAGLE OC D6X 8G, 8GB GDDR6X, 2x HDMI, 2x DP</t>
  </si>
  <si>
    <t>https://geizhals.eu/gigabyte-geforce-rtx-3060-ti-eagle-oc-d6x-8g-gv-n306txeagle-oc-8gd-a2877190.html?hloc=at&amp;hloc=de&amp;hloc=eu&amp;hloc=pl&amp;hloc=uk</t>
  </si>
  <si>
    <t>GV-N306TXEAGLE OC-8GD</t>
  </si>
  <si>
    <t>GIGABYTE GeForce RTX 3060 Ti Eagle OC 8G (Rev. 2.0) (LHR), 8GB GDDR6, 2x HDMI, 2x DP</t>
  </si>
  <si>
    <t>https://geizhals.eu/gigabyte-geforce-rtx-3060-ti-eagle-oc-8g-rev-2-0-gv-n306teagle-oc-8gd-a2551110.html?hloc=at&amp;hloc=de&amp;hloc=eu&amp;hloc=pl&amp;hloc=uk</t>
  </si>
  <si>
    <t>GV-N306TEAGLE OC-8GD 2.0</t>
  </si>
  <si>
    <t>GIGABYTE GeForce RTX 3060 Gaming OC 8G (Rev. 2.0), 8GB GDDR6, 2x HDMI, 2x DP</t>
  </si>
  <si>
    <t>https://geizhals.eu/gigabyte-geforce-rtx-3060-gaming-oc-8g-rev-2-0-gv-n3060gaming-oc-8gd-2-0-a2976729.html?hloc=at&amp;hloc=de&amp;hloc=eu&amp;hloc=pl&amp;hloc=uk</t>
  </si>
  <si>
    <t>GV-N3060GAMING OC-8GD 2.0</t>
  </si>
  <si>
    <t>GIGABYTE GeForce RTX 3060 Gaming OC 8G (Rev. 1.0), 8GB GDDR6, 2x HDMI, 2x DP</t>
  </si>
  <si>
    <t>https://geizhals.eu/gigabyte-geforce-rtx-3060-gaming-oc-8g-gv-n3060gaming-oc-8gd-a2857366.html?hloc=at&amp;hloc=de&amp;hloc=eu&amp;hloc=pl&amp;hloc=uk</t>
  </si>
  <si>
    <t>GV-N3060GAMING OC-8GD</t>
  </si>
  <si>
    <t>GIGABYTE GeForce RTX 3060 Gaming OC 12G (Rev. 2.0) (LHR), 12GB GDDR6, 2x HDMI, 2x DP</t>
  </si>
  <si>
    <t>https://geizhals.eu/gigabyte-geforce-rtx-3060-gaming-oc-12g-rev-2-0-gv-n3060gaming-oc-12gd-a2528462.html?hloc=at&amp;hloc=de&amp;hloc=eu&amp;hloc=pl&amp;hloc=uk</t>
  </si>
  <si>
    <t>GV-N3060GAMING OC-12GD 2.0</t>
  </si>
  <si>
    <t>GIGABYTE GeForce RTX 3060 Gaming OC 12G (Rev. 1.0), 12GB GDDR6, 2x HDMI, 2x DP</t>
  </si>
  <si>
    <t>https://geizhals.eu/gigabyte-geforce-rtx-3060-gaming-oc-12g-gv-n3060gaming-oc-12gd-a2476446.html?hloc=at&amp;hloc=de&amp;hloc=eu&amp;hloc=pl&amp;hloc=uk</t>
  </si>
  <si>
    <t>GV-N3060GAMING OC-12GD</t>
  </si>
  <si>
    <t>GIGABYTE GeForce RTX 3050 Windforce OC V2 8G, 8GB GDDR6, 2x HDMI, 2x DP</t>
  </si>
  <si>
    <t>https://geizhals.eu/gigabyte-geforce-rtx-3050-windforce-oc-v2-8g-gv-n3050wf2ocv2-8gd-a3085845.html?hloc=at&amp;hloc=de&amp;hloc=eu&amp;hloc=pl&amp;hloc=uk</t>
  </si>
  <si>
    <t>GV-N3050WF2OCV2-8GD</t>
  </si>
  <si>
    <t>GIGABYTE GeForce RTX 3050 Windforce OC 8G, 8GB GDDR6, DVI, HDMI, DP</t>
  </si>
  <si>
    <t>https://geizhals.eu/gigabyte-geforce-rtx-3050-windforce-oc-8g-gv-n3050wf2oc-8gd-a2916824.html?hloc=at&amp;hloc=de&amp;hloc=eu&amp;hloc=pl&amp;hloc=uk</t>
  </si>
  <si>
    <t>GV-N3050WF2OC-8GD</t>
  </si>
  <si>
    <t>GIGABYTE GeForce RTX 3050 Windforce OC 6G, 6GB GDDR6, 2x HDMI, 2x DP</t>
  </si>
  <si>
    <t>https://geizhals.eu/gigabyte-geforce-rtx-3050-windforce-oc-6g-gv-n3050wf2oc-6gd-a3207234.html?hloc=at&amp;hloc=de&amp;hloc=eu&amp;hloc=pl&amp;hloc=uk</t>
  </si>
  <si>
    <t>GV-N3050WF2OC-6GD</t>
  </si>
  <si>
    <t>GIGABYTE GeForce RTX 3050 Windforce OC 6G V2, 6GB GDDR6, 2x HDMI, 2x DP</t>
  </si>
  <si>
    <t>https://geizhals.eu/gigabyte-geforce-rtx-3050-windforce-oc-6g-v2-gv-n3050wf2ocv2-6gd-a3369266.html?hloc=at&amp;hloc=de&amp;hloc=eu&amp;hloc=pl&amp;hloc=uk</t>
  </si>
  <si>
    <t>GV-N3050WF2OCV2-6GD</t>
  </si>
  <si>
    <t>GIGABYTE GeForce RTX 3050 OC Low Profile 6G, 6GB GDDR6, 2x HDMI, 2x DP</t>
  </si>
  <si>
    <t>https://geizhals.eu/gigabyte-geforce-rtx-3050-oc-low-profile-6g-gv-n3050oc-6gl-a3117124.html?hloc=at&amp;hloc=de&amp;hloc=eu&amp;hloc=pl&amp;hloc=uk</t>
  </si>
  <si>
    <t>GV-N3050OC-6GL</t>
  </si>
  <si>
    <t>GIGABYTE GeForce RTX 3050 Gaming OC 8G, 8GB GDDR6, 2x HDMI, 2x DP</t>
  </si>
  <si>
    <t>https://geizhals.eu/gigabyte-geforce-rtx-3050-gaming-oc-8g-gv-n3050gaming-oc-8gd-a2665382.html?hloc=at&amp;hloc=de&amp;hloc=eu&amp;hloc=pl&amp;hloc=uk</t>
  </si>
  <si>
    <t>GV-N3050GAMING OC-8GD</t>
  </si>
  <si>
    <t>GIGABYTE GeForce RTX 3050 Eagle OC 8G, 8GB GDDR6, 2x HDMI, 2x DP</t>
  </si>
  <si>
    <t>https://geizhals.eu/gigabyte-geforce-rtx-3050-eagle-oc-8g-gv-n3050eagle-oc-8gd-a2665386.html?hloc=at&amp;hloc=de&amp;hloc=eu&amp;hloc=pl&amp;hloc=uk</t>
  </si>
  <si>
    <t>GV-N3050EAGLE OC-8GD</t>
  </si>
  <si>
    <t>GIGABYTE GeForce RTX 3050 Eagle OC 6G, 6GB GDDR6, 2x HDMI, 2x DP</t>
  </si>
  <si>
    <t>https://geizhals.eu/gigabyte-geforce-rtx-3050-eagle-oc-6g-gv-n3050eagle-oc-6gd-a3117109.html?hloc=at&amp;hloc=de&amp;hloc=eu&amp;hloc=pl&amp;hloc=uk</t>
  </si>
  <si>
    <t>GV-N3050EAGLE OC-6GD</t>
  </si>
  <si>
    <t>GIGABYTE GeForce RTX 3050 Eagle 8G, 8GB GDDR6, 2x HDMI, 2x DP</t>
  </si>
  <si>
    <t>https://geizhals.eu/gigabyte-geforce-rtx-3050-eagle-8g-gv-n3050eagle-8gd-a2665388.html?hloc=at&amp;hloc=de&amp;hloc=eu&amp;hloc=pl&amp;hloc=uk</t>
  </si>
  <si>
    <t>GV-N3050EAGLE-8GD</t>
  </si>
  <si>
    <t>GIGABYTE AORUS Radeon RX 6900 XT Xtreme Waterforce WB 16G, 16GB GDDR6, 2x HDMI, 2x DP</t>
  </si>
  <si>
    <t>https://geizhals.eu/gigabyte-aorus-radeon-rx-6900-xt-xtreme-waterforce-wb-16g-gv-r69xtaorusx-wb-16gd-a2560185.html?hloc=at&amp;hloc=de&amp;hloc=eu&amp;hloc=pl&amp;hloc=uk</t>
  </si>
  <si>
    <t>GV-R69XTAORUSX WB-16GD</t>
  </si>
  <si>
    <t>GIGABYTE AORUS Radeon RX 6900 XT Master 16G (Rev. 2.0), 16GB GDDR6, 2x HDMI, 2x DP</t>
  </si>
  <si>
    <t>https://geizhals.eu/gigabyte-aorus-radeon-rx-6900-xt-master-16g-rev-2-0-gv-r69xtaorus-m-16gd-2-0-a2671748.html?hloc=at&amp;hloc=de&amp;hloc=eu&amp;hloc=pl&amp;hloc=uk</t>
  </si>
  <si>
    <t>GV-R69XTAORUS M-16GD 2.0</t>
  </si>
  <si>
    <t>GIGABYTE AORUS Radeon RX 6900 XT Master 16G (Rev. 1.0), 16GB GDDR6, 2x HDMI, 2x DP</t>
  </si>
  <si>
    <t>https://geizhals.eu/gigabyte-aorus-radeon-rx-6900-xt-master-16g-gv-r69xtaorus-m-16gd-a2473429.html?hloc=at&amp;hloc=de&amp;hloc=eu&amp;hloc=pl&amp;hloc=uk</t>
  </si>
  <si>
    <t>GV-R69XTAORUS M-16GD</t>
  </si>
  <si>
    <t>GIGABYTE AORUS Radeon RX 6800 XT Master 16G, 16GB GDDR6, 2x HDMI, 2x DP</t>
  </si>
  <si>
    <t>https://geizhals.eu/gigabyte-aorus-radeon-rx-6800-xt-master-16g-gv-r68xtaorus-m-16gd-a2433568.html?hloc=at&amp;hloc=de&amp;hloc=eu&amp;hloc=pl&amp;hloc=uk</t>
  </si>
  <si>
    <t>GV-R68XTAORUS M-16GD</t>
  </si>
  <si>
    <t>GIGABYTE AORUS Radeon RX 6750 XT Elite 12G, 12GB GDDR6, 2x HDMI, 2x DP</t>
  </si>
  <si>
    <t>https://geizhals.eu/gigabyte-aorus-radeon-rx-6750-xt-elite-12g-gv-r675xtaorus-e-12gd-a2731421.html?hloc=at&amp;hloc=de&amp;hloc=eu&amp;hloc=pl&amp;hloc=uk</t>
  </si>
  <si>
    <t>GV-R675XTAORUS E-12GD</t>
  </si>
  <si>
    <t>GIGABYTE AORUS GeForce RTX 5080 Master ICE 16G, 16GB GDDR7, HDMI, 3x DP</t>
  </si>
  <si>
    <t>https://geizhals.eu/gigabyte-aorus-geforce-rtx-5080-master-ice-16g-gv-n5080aorusm-ice-16gd-a3381764.html?hloc=at&amp;hloc=de&amp;hloc=eu&amp;hloc=pl&amp;hloc=uk</t>
  </si>
  <si>
    <t>GV-N5080AORUSM ICE-16GD</t>
  </si>
  <si>
    <t>GIGABYTE AORUS GeForce RTX 5080 Master 16G, 16GB GDDR7, HDMI, 3x DP</t>
  </si>
  <si>
    <t>https://geizhals.eu/gigabyte-aorus-geforce-rtx-5080-master-16g-gv-n5080aorus-m-16gd-a3381767.html?hloc=at&amp;hloc=de&amp;hloc=eu&amp;hloc=pl&amp;hloc=uk</t>
  </si>
  <si>
    <t>GV-N5080AORUS M-16GD</t>
  </si>
  <si>
    <t>GIGABYTE AORUS GeForce RTX 4080 SUPER Master 16G, 16GB GDDR6X, HDMI, 3x DP</t>
  </si>
  <si>
    <t>https://geizhals.eu/gigabyte-aorus-geforce-rtx-4080-super-master-16g-gv-n408saorus-m-16gd-a3097164.html?hloc=at&amp;hloc=de&amp;hloc=eu&amp;hloc=pl&amp;hloc=uk</t>
  </si>
  <si>
    <t>GV-N408SAORUS M-16GD</t>
  </si>
  <si>
    <t>GIGABYTE AORUS GeForce RTX 4070 Ti Elite 12G, 12GB GDDR6X, HDMI, 3x DP</t>
  </si>
  <si>
    <t>https://geizhals.eu/gigabyte-aorus-geforce-rtx-4070-ti-elite-12g-gv-n407taorus-e-12gd-a2871184.html?hloc=at&amp;hloc=de&amp;hloc=eu&amp;hloc=pl&amp;hloc=uk</t>
  </si>
  <si>
    <t>GV-N407TAORUS E-12GD</t>
  </si>
  <si>
    <t>GIGABYTE AORUS GeForce RTX 4070 SUPER Master 12G, 12GB GDDR6X, HDMI, 3x DP</t>
  </si>
  <si>
    <t>https://geizhals.eu/gigabyte-aorus-geforce-rtx-4070-super-master-12g-gv-n407saorus-m-12gd-a3097350.html?hloc=at&amp;hloc=de&amp;hloc=eu&amp;hloc=pl&amp;hloc=uk</t>
  </si>
  <si>
    <t>GV-N407SAORUS M-12GD</t>
  </si>
  <si>
    <t>GIGABYTE AORUS GeForce RTX 4070 Master 12G, 12GB GDDR6X, HDMI, 3x DP</t>
  </si>
  <si>
    <t>https://geizhals.eu/gigabyte-geforce-rtx-4070-master-12g-gv-n4070aorus-m-12gd-a2930720.html?hloc=at&amp;hloc=de&amp;hloc=eu&amp;hloc=pl&amp;hloc=uk</t>
  </si>
  <si>
    <t>GV-N4070AORUS M-12GD</t>
  </si>
  <si>
    <t>GIGABYTE AORUS GeForce RTX 4060 Elite 8G, 8GB GDDR6, 2x HDMI, 2x DP</t>
  </si>
  <si>
    <t>https://geizhals.eu/gigabyte-geforce-rtx-4060-elite-8g-gv-n4060aorus-e-8gd-a2951619.html?hloc=at&amp;hloc=de&amp;hloc=eu&amp;hloc=pl&amp;hloc=uk</t>
  </si>
  <si>
    <t>GV-N4060AORUS E-8GD</t>
  </si>
  <si>
    <t>GIGABYTE AORUS GeForce RTX 3080 Xtreme Waterforce WB 10G (Rev. 1.0), 10GB GDDR6X, 3x HDMI, 3x DP</t>
  </si>
  <si>
    <t>https://geizhals.eu/gigabyte-aorus-geforce-rtx-3080-xtreme-waterforce-wb-10g-gv-n3080aorusx-wb-10gd-a2414709.html?hloc=at&amp;hloc=de&amp;hloc=eu&amp;hloc=pl&amp;hloc=uk</t>
  </si>
  <si>
    <t>GV-N3080AORUSX WB-10GD</t>
  </si>
  <si>
    <t>GIGABYTE AORUS GeForce RTX 3080 Master 10G (Rev. 1.0), 10GB GDDR6X, 3x HDMI, 3x DP</t>
  </si>
  <si>
    <t>https://geizhals.eu/gigabyte-aorus-geforce-rtx-3080-master-10g-gv-n3080aorus-m-10gd-a2366717.html?hloc=at&amp;hloc=de&amp;hloc=eu&amp;hloc=pl&amp;hloc=uk</t>
  </si>
  <si>
    <t>GV-N3080AORUS M-10GD</t>
  </si>
  <si>
    <t>GIGABYTE AORUS GeForce RTX 3070 Ti Master 8G, 8GB GDDR6X, 3x HDMI, 3x DP</t>
  </si>
  <si>
    <t>https://geizhals.eu/gigabyte-aorus-geforce-rtx-3070-ti-master-8g-gv-n307taorus-m-8gd-a2537984.html?hloc=at&amp;hloc=de&amp;hloc=eu&amp;hloc=pl&amp;hloc=uk</t>
  </si>
  <si>
    <t>GV-N307TAORUS M-8GD</t>
  </si>
  <si>
    <t>1x 6-Pin PCIe, 2x 8-Pin PCIe</t>
  </si>
  <si>
    <t>GIGABYTE AORUS GeForce RTX 3070 Master 8G (Rev. 1.0/1.1), 8GB GDDR6, 3x HDMI, 3x DP</t>
  </si>
  <si>
    <t>https://geizhals.eu/gigabyte-aorus-geforce-rtx-3070-master-8g-gv-n3070aorus-m-8gd-a2406973.html?hloc=at&amp;hloc=de&amp;hloc=eu&amp;hloc=pl&amp;hloc=uk</t>
  </si>
  <si>
    <t>GV-N3070AORUS M-8GD</t>
  </si>
  <si>
    <t>GIGABYTE AORUS GeForce RTX 3060 Ti Elite 8G (Rev. 2.0) (LHR), 8GB GDDR6, 2x HDMI, 2x DP</t>
  </si>
  <si>
    <t>https://geizhals.eu/gigabyte-aorus-geforce-rtx-3060-ti-elite-8g-rev-2-0-gv-n306taorus-e-8gd-a2565229.html?hloc=at&amp;hloc=de&amp;hloc=eu&amp;hloc=pl&amp;hloc=uk</t>
  </si>
  <si>
    <t>GV-N306TAORUS E-8GD 2.0</t>
  </si>
  <si>
    <t>ASUS Turbo GeForce RTX 4070, TURBO-RTX4070-12G, 12GB GDDR6X, HDMI, 3x DP</t>
  </si>
  <si>
    <t>https://geizhals.eu/asus-turbo-geforce-rtx-4070-90yv0jr0-m0na00-a3123623.html?hloc=at&amp;hloc=de&amp;hloc=eu&amp;hloc=pl&amp;hloc=uk</t>
  </si>
  <si>
    <t>90YV0JR0-M0NA00</t>
  </si>
  <si>
    <t>ASUS Turbo GeForce RTX 3070 V2 (LHR), TURBO-RTX3070-8G-V2, 8GB GDDR6, HDMI, 3x DP</t>
  </si>
  <si>
    <t>https://geizhals.eu/asus-turbo-geforce-rtx-3070-v2-90yv0fp0-m0na10-a2543989.html?hloc=at&amp;hloc=de&amp;hloc=eu&amp;hloc=pl&amp;hloc=uk</t>
  </si>
  <si>
    <t>90YV0FP3-M0NB00</t>
  </si>
  <si>
    <t>ASUS TUF Gaming Radeon RX 7900 XTX OC, TUF-RX7900XTX-O24G-GAMING, 24GB GDDR6, HDMI, 3x DP</t>
  </si>
  <si>
    <t>https://geizhals.eu/asus-tuf-gaming-radeon-rx-7900-xtx-oc-a2841783.html?hloc=at&amp;hloc=de&amp;hloc=eu&amp;hloc=pl&amp;hloc=uk</t>
  </si>
  <si>
    <t>90YV0IG0-M0NA00</t>
  </si>
  <si>
    <t>ASUS TUF Gaming Radeon RX 7900 XT OC, TUF-RX7900XT-O20G-GAMING, 20GB GDDR6, HDMI, 3x DP</t>
  </si>
  <si>
    <t>https://geizhals.eu/asus-tuf-gaming-radeon-rx-7900-xt-oc-a2841881.html?hloc=at&amp;hloc=de&amp;hloc=eu&amp;hloc=pl&amp;hloc=uk</t>
  </si>
  <si>
    <t>90YV0IV1-M0NA00</t>
  </si>
  <si>
    <t>ASUS TUF Gaming Radeon RX 7900 GRE OC, TUF-RX7900GRE-O16G-GAMING, 16GB GDDR6, HDMI, 3x DP</t>
  </si>
  <si>
    <t>https://geizhals.eu/asus-tuf-gaming-radeon-rx-7900-gre-oc-a3139018.html?hloc=at&amp;hloc=de&amp;hloc=eu&amp;hloc=pl&amp;hloc=uk</t>
  </si>
  <si>
    <t>90YV0J91-M0NA00</t>
  </si>
  <si>
    <t>ASUS TUF Gaming Radeon RX 7800 XT OG OC, TUF-RX7800XT-O16G-OG-GAMING, 16GB GDDR6, HDMI, 3x DP</t>
  </si>
  <si>
    <t>https://geizhals.eu/asus-tuf-gaming-radeon-rx-7800-xt-og-oc-90yv0k70-m0na00-a3109733.html?hloc=at&amp;hloc=de&amp;hloc=eu&amp;hloc=pl&amp;hloc=uk</t>
  </si>
  <si>
    <t>90YV0K70-M0NA00</t>
  </si>
  <si>
    <t>ASUS TUF Gaming Radeon RX 7800 XT OC, TUF-RX7800XT-O16G-GAMING, 16GB GDDR6, HDMI, 3x DP</t>
  </si>
  <si>
    <t>https://geizhals.eu/asus-tuf-gaming-radeon-rx-7800-xt-oc-a3010520.html?hloc=at&amp;hloc=de&amp;hloc=eu&amp;hloc=pl&amp;hloc=uk</t>
  </si>
  <si>
    <t>90YV0JJ0-M0NA00 / 90YV0JJ0-M0AA00</t>
  </si>
  <si>
    <t>ASUS TUF Gaming Radeon RX 7700 XT OC, TUF-RX7700XT-O12G-GAMING, 12GB GDDR6, HDMI, 3x DP</t>
  </si>
  <si>
    <t>https://geizhals.eu/asus-tuf-gaming-radeon-rx-7700-xt-oc-a3010813.html?hloc=at&amp;hloc=de&amp;hloc=eu&amp;hloc=pl&amp;hloc=uk</t>
  </si>
  <si>
    <t>90YV0JK0-M0NA00</t>
  </si>
  <si>
    <t>ASUS TUF Gaming Radeon RX 6900 XT OC, TUF-RX6900XT-O16G-GAMING, 16GB GDDR6, HDMI, 3x DP</t>
  </si>
  <si>
    <t>https://geizhals.eu/amd-tuf-gaming-radeon-rx-6900-xt-oc-90yv0ge0-m0nm00-a2447010.html?hloc=at&amp;hloc=de&amp;hloc=eu&amp;hloc=pl&amp;hloc=uk</t>
  </si>
  <si>
    <t>90YV0GE0-M0NM00</t>
  </si>
  <si>
    <t>ASUS TUF Gaming Radeon RX 6800 XT OC, TUF-RX6800XT-O16G-GAMING, 16GB GDDR6, HDMI, 3x DP</t>
  </si>
  <si>
    <t>https://geizhals.eu/asus-tuf-gaming-radeon-rx-6800-xt-oc-90yv0fl1-m0nm00-a2433313.html?hloc=at&amp;hloc=de&amp;hloc=eu&amp;hloc=pl&amp;hloc=uk</t>
  </si>
  <si>
    <t>90YV0FL1-M0NM00</t>
  </si>
  <si>
    <t>ASUS TUF Gaming Radeon RX 6700 XT OC, TUF-RX6700XT-O12G-GAMING, 12GB GDDR6, HDMI, 3x DP</t>
  </si>
  <si>
    <t>https://geizhals.eu/asus-tuf-gaming-radeon-rx-6700-xt-oc-a2487610.html?hloc=at&amp;hloc=de&amp;hloc=eu&amp;hloc=pl&amp;hloc=uk</t>
  </si>
  <si>
    <t>90YV0G80-M0NA00</t>
  </si>
  <si>
    <t>ASUS TUF Gaming Radeon RX 6500 XT OC, TUF-RX6500XT-O4G-GAMING, 4GB GDDR6, HDMI, DP</t>
  </si>
  <si>
    <t>https://geizhals.eu/asus-tuf-gaming-radeon-rx-6500-xt-oc-90yv0ha0-m0na00-a2665747.html?hloc=at&amp;hloc=de&amp;hloc=eu&amp;hloc=pl&amp;hloc=uk</t>
  </si>
  <si>
    <t>90YV0HA0-M0NA00</t>
  </si>
  <si>
    <t>ASUS TUF Gaming GeForce RTX 5090, TUF-RTX5090-32G-GAMING, 32GB GDDR7, 2x HDMI, 3x DP</t>
  </si>
  <si>
    <t>https://geizhals.eu/asus-tuf-gaming-geforce-rtx-5090-a3382456.html?hloc=at&amp;hloc=de&amp;hloc=eu&amp;hloc=pl&amp;hloc=uk</t>
  </si>
  <si>
    <t>90YV0LY1-M0NA00</t>
  </si>
  <si>
    <t>ASUS TUF Gaming GeForce RTX 5090 OC, TUF-RTX5090-O32G-GAMING, 32GB GDDR7, 2x HDMI, 3x DP</t>
  </si>
  <si>
    <t>https://geizhals.eu/asus-tuf-gaming-geforce-rtx-5090-oc-a3382455.html?hloc=at&amp;hloc=de&amp;hloc=eu&amp;hloc=pl&amp;hloc=uk</t>
  </si>
  <si>
    <t>90YV0LY0-M0NA00</t>
  </si>
  <si>
    <t>ASUS TUF Gaming GeForce RTX 5080 OC, TUF-RTX5080-O16G-GAMING, 16GB GDDR7, 2x HDMI, 3x DP</t>
  </si>
  <si>
    <t>https://geizhals.eu/asus-tuf-gaming-geforce-rtx-5080-oc-90yv0m30-m0na00-a3382457.html?hloc=at&amp;hloc=de&amp;hloc=eu&amp;hloc=pl&amp;hloc=uk</t>
  </si>
  <si>
    <t>90YV0M30-M0NA00</t>
  </si>
  <si>
    <t>ASUS TUF Gaming GeForce RTX 5070 Ti OC, TUF-RTX5070TI-O16G-GAMING, 16GB GDDR7, 2x HDMI, 3x DP</t>
  </si>
  <si>
    <t>https://geizhals.eu/asus-tuf-geforce-rtx-5070-ti-oc-a3382466.html?hloc=at&amp;hloc=de&amp;hloc=eu&amp;hloc=pl&amp;hloc=uk</t>
  </si>
  <si>
    <t>90YV0MD0-M0NA00</t>
  </si>
  <si>
    <t>ASUS TUF Gaming GeForce RTX 4090, TUF-RTX4090-24G-GAMING, 24GB GDDR6X, 2x HDMI, 3x DP</t>
  </si>
  <si>
    <t>https://geizhals.eu/asus-tuf-gaming-geforce-rtx-4090-a2816279.html?hloc=at&amp;hloc=de&amp;hloc=eu&amp;hloc=pl&amp;hloc=uk</t>
  </si>
  <si>
    <t>90YV0IE1-M0NA00</t>
  </si>
  <si>
    <t>ASUS TUF Gaming GeForce RTX 4090 OG OC, TUF-RTX4090-O24G-OG-GAMING, 24GB GDDR6X, 2x HDMI, 3x DP</t>
  </si>
  <si>
    <t>https://geizhals.eu/asus-tuf-gaming-geforce-rtx-4090-og-oc-a2946392.html?hloc=at&amp;hloc=de&amp;hloc=eu&amp;hloc=pl&amp;hloc=uk</t>
  </si>
  <si>
    <t>90YV0IY3-M0NA00</t>
  </si>
  <si>
    <t>ASUS TUF Gaming GeForce RTX 4090 OC, TUF-RTX4090-O24G-GAMING, 24GB GDDR6X, 2x HDMI, 3x DP</t>
  </si>
  <si>
    <t>https://geizhals.eu/asus-tuf-gaming-geforce-rtx-4090-oc-a2816194.html?hloc=at&amp;hloc=de&amp;hloc=eu&amp;hloc=pl&amp;hloc=uk</t>
  </si>
  <si>
    <t>90YV0IE0-M0NA00</t>
  </si>
  <si>
    <t>ASUS TUF Gaming GeForce RTX 4080, TUF-RTX4080-16G-GAMING, 16GB GDDR6X, 2x HDMI, 3x DP</t>
  </si>
  <si>
    <t>https://geizhals.eu/asus-tuf-gaming-geforce-rtx-4080-a2816362.html?hloc=at&amp;hloc=de&amp;hloc=eu&amp;hloc=pl&amp;hloc=uk</t>
  </si>
  <si>
    <t>90YV0IB1-M0NA00</t>
  </si>
  <si>
    <t>ASUS TUF Gaming GeForce RTX 4080 SUPER, TUF-RTX4080S-16G-GAMING, 16GB GDDR6X, 2x HDMI, 3x DP</t>
  </si>
  <si>
    <t>https://geizhals.eu/asus-tuf-gaming-geforce-rtx-4080-super-a3097608.html?hloc=at&amp;hloc=de&amp;hloc=eu&amp;hloc=pl&amp;hloc=uk</t>
  </si>
  <si>
    <t>90YV0KA1-M0NA00</t>
  </si>
  <si>
    <t>ASUS TUF Gaming GeForce RTX 4080 SUPER OC, TUF-RTX4080S-O16G-GAMING, 16GB GDDR6X, 2x HDMI, 3x DP</t>
  </si>
  <si>
    <t>https://geizhals.eu/asus-tuf-gaming-geforce-rtx-4080-super-oc-a3097596.html?hloc=at&amp;hloc=de&amp;hloc=eu&amp;hloc=pl&amp;hloc=uk</t>
  </si>
  <si>
    <t>90YV0KA0-M0NA00</t>
  </si>
  <si>
    <t>ASUS TUF Gaming GeForce RTX 4080 OC, TUF-RTX4080-O16G-GAMING, 16GB GDDR6X, 2x HDMI, 3x DP</t>
  </si>
  <si>
    <t>https://geizhals.eu/asus-tuf-gaming-geforce-rtx-4080-oc-a2816292.html?hloc=at&amp;hloc=de&amp;hloc=eu&amp;hloc=pl&amp;hloc=uk</t>
  </si>
  <si>
    <t>90YV0IB0-M0NA00</t>
  </si>
  <si>
    <t>ASUS TUF Gaming GeForce RTX 4070, TUF-RTX4070-12G-GAMING, 12GB GDDR6X, HDMI, 3x DP</t>
  </si>
  <si>
    <t>https://geizhals.eu/asus-tuf-gaming-geforce-rtx-4070-90yv0iz1-m0na00-a2930756.html?hloc=at&amp;hloc=de&amp;hloc=eu&amp;hloc=pl&amp;hloc=uk</t>
  </si>
  <si>
    <t>90YV0IZ1-M0NA00</t>
  </si>
  <si>
    <t>ASUS TUF Gaming GeForce RTX 4070 Ti, TUF-RTX4070TI-12G-GAMING, 12GB GDDR6X, 2x HDMI, 3x DP</t>
  </si>
  <si>
    <t>https://geizhals.eu/asus-tuf-gaming-geforce-rtx-4070-ti-a2871181.html?hloc=at&amp;hloc=de&amp;hloc=eu&amp;hloc=pl&amp;hloc=uk</t>
  </si>
  <si>
    <t>90YV0IJ1-M0NA00</t>
  </si>
  <si>
    <t>ASUS TUF Gaming GeForce RTX 4070 Ti SUPER, TUF-RTX4070TIS-16G-GAMING, 16GB GDDR6X, 2x HDMI, 3x DP</t>
  </si>
  <si>
    <t>https://geizhals.eu/asus-tuf-gaming-geforce-rtx-4070-ti-super-a3097744.html?hloc=at&amp;hloc=de&amp;hloc=eu&amp;hloc=pl&amp;hloc=uk</t>
  </si>
  <si>
    <t>90YV0KF1-M0NA00</t>
  </si>
  <si>
    <t>ASUS TUF Gaming GeForce RTX 4070 Ti SUPER OC, TUF-RTX4070TIS-O16G-GAMING, 16GB GDDR6X, 2x HDMI, 3x DP</t>
  </si>
  <si>
    <t>https://geizhals.eu/asus-tuf-gaming-geforce-rtx-4070-ti-super-oc-a3097758.html?hloc=at&amp;hloc=de&amp;hloc=eu&amp;hloc=pl&amp;hloc=uk</t>
  </si>
  <si>
    <t>90YV0KF0-M0NA00</t>
  </si>
  <si>
    <t>ASUS TUF Gaming GeForce RTX 4070 Ti SUPER OC White, TUF-RTX4070TIS-O16G-WHITE-GAMING, 16GB GDDR6X, 2x HDMI, 3x DP</t>
  </si>
  <si>
    <t>https://geizhals.eu/asus-tuf-gaming-geforce-rtx-4070-ti-super-oc-a3097654.html?hloc=at&amp;hloc=de&amp;hloc=eu&amp;hloc=pl&amp;hloc=uk</t>
  </si>
  <si>
    <t>90YV0KF2-M0NA00</t>
  </si>
  <si>
    <t>ASUS TUF Gaming GeForce RTX 4070 Ti SUPER OC BTF White, TUF-RTX4070TIS-O16G-BTF-WHITE, 16GB GDDR6X, 2x HDMI, 3x DP</t>
  </si>
  <si>
    <t>https://geizhals.eu/asus-tuf-gaming-geforce-rtx-4070-ti-super-oc-btf-white-a3097673.html?hloc=at&amp;hloc=de&amp;hloc=eu&amp;hloc=pl&amp;hloc=uk</t>
  </si>
  <si>
    <t>90YV0KI0-M0NA00</t>
  </si>
  <si>
    <t>1x PCIe High Power Connector (ASUS BTF)</t>
  </si>
  <si>
    <t>ASUS TUF Gaming GeForce RTX 4070 Ti OC, TUF-RTX4070TI-O12G-WHITE-GAMING, 12GB GDDR6X, 2x HDMI, 3x DP</t>
  </si>
  <si>
    <t>https://geizhals.eu/asus-tuf-gaming-geforce-rtx-4070-ti-oc-90yv0ij2-m0na00-a3059086.html?hloc=at&amp;hloc=de&amp;hloc=eu&amp;hloc=pl&amp;hloc=uk</t>
  </si>
  <si>
    <t>90YV0IJ2-M0NA00</t>
  </si>
  <si>
    <t>ASUS TUF Gaming GeForce RTX 4070 Ti OC, TUF-RTX4070TI-O12G-GAMING, 12GB GDDR6X, 2x HDMI, 3x DP</t>
  </si>
  <si>
    <t>https://geizhals.eu/asus-tuf-gaming-geforce-rtx-4070-ti-oc-a2871180.html?hloc=at&amp;hloc=de&amp;hloc=eu&amp;hloc=pl&amp;hloc=uk</t>
  </si>
  <si>
    <t>90YV0IJ0-M0NA00</t>
  </si>
  <si>
    <t>ASUS TUF Gaming GeForce RTX 4070 SUPER, TUF-RTX4070S-12G-GAMING, 12GB GDDR6X, HDMI, 3x DP</t>
  </si>
  <si>
    <t>https://geizhals.eu/asus-tuf-gaming-geforce-rtx-4070-super-a3097917.html?hloc=at&amp;hloc=de&amp;hloc=eu&amp;hloc=pl&amp;hloc=uk</t>
  </si>
  <si>
    <t>90YV0K81-M0NA00</t>
  </si>
  <si>
    <t>1x 12VHPWR</t>
  </si>
  <si>
    <t>ASUS TUF Gaming GeForce RTX 4070 SUPER OC, TUF-RTX4070S-O12G-GAMING, 12GB GDDR6X, HDMI, 3x DP</t>
  </si>
  <si>
    <t>https://geizhals.eu/asus-tuf-gaming-geforce-rtx-4070-super-oc-a3097933.html?hloc=at&amp;hloc=de&amp;hloc=eu&amp;hloc=pl&amp;hloc=uk</t>
  </si>
  <si>
    <t>90YV0K80-M0NA00</t>
  </si>
  <si>
    <t>ASUS TUF Gaming GeForce RTX 4070 OC, TUF-RTX4070-O12G-GAMING, 12GB GDDR6X, HDMI, 3x DP</t>
  </si>
  <si>
    <t>https://geizhals.eu/asus-tuf-gaming-geforce-rtx-4070-oc-edition-90yv0iz0-m0na00-a2930753.html?hloc=at&amp;hloc=de&amp;hloc=eu&amp;hloc=pl&amp;hloc=uk</t>
  </si>
  <si>
    <t>90YV0IZ0-M0NA00</t>
  </si>
  <si>
    <t>ASUS TUF Gaming GeForce RTX 4060 Ti, TUF-RTX4060TI-8G-GAMING, 8GB GDDR6, HDMI, 3x DP</t>
  </si>
  <si>
    <t>https://geizhals.eu/asus-tuf-geforce-rtx-4060-ti-90yv0j51-m0na00-a2951632.html?hloc=at&amp;hloc=de&amp;hloc=eu&amp;hloc=pl&amp;hloc=uk</t>
  </si>
  <si>
    <t>90YV0J51-M0NA00</t>
  </si>
  <si>
    <t>ASUS TUF Gaming GeForce RTX 4060 Ti OC, TUF-RTX4060TI-O8G-GAMING, 8GB GDDR6, HDMI, 3x DP</t>
  </si>
  <si>
    <t>https://geizhals.eu/asus-tuf-geforce-rtx-4060-ti-oc-90yv0j50-m0na00-a2951633.html?hloc=at&amp;hloc=de&amp;hloc=eu&amp;hloc=pl&amp;hloc=uk</t>
  </si>
  <si>
    <t>90YV0J50-M0NA00</t>
  </si>
  <si>
    <t>ASUS TUF Gaming GeForce RTX 3090 Ti, TUF-RTX3090TI-24G-GAMING, 24GB GDDR6X, 2x HDMI, 3x DP</t>
  </si>
  <si>
    <t>https://geizhals.eu/asus-tuf-gaming-geforce-rtx-3090-ti-90yv0hc3-m0na00-a2705878.html?hloc=at&amp;hloc=de&amp;hloc=eu&amp;hloc=pl&amp;hloc=uk</t>
  </si>
  <si>
    <t>90YV0HC3-M0NA00</t>
  </si>
  <si>
    <t>ASUS TUF Gaming GeForce RTX 3090 OC, TUF-RTX3090-O24G-GAMING, 24GB GDDR6X, 2x HDMI, 3x DP</t>
  </si>
  <si>
    <t>https://geizhals.eu/asus-tuf-gaming-geforce-rtx-3090-oc-90yv0fd1-m0nm00-a2366013.html?hloc=at&amp;hloc=de&amp;hloc=eu&amp;hloc=pl&amp;hloc=uk</t>
  </si>
  <si>
    <t>90YV0FD1-M0NM00</t>
  </si>
  <si>
    <t>ASUS TUF Gaming GeForce RTX 3080, TUF-RTX3080-12G-GAMING, 12GB GDDR6X, 2x HDMI, 3x DP</t>
  </si>
  <si>
    <t>https://geizhals.eu/asus-tuf-gaming-geforce-rtx-3080-a2664966.html?hloc=at&amp;hloc=de&amp;hloc=eu&amp;hloc=pl&amp;hloc=uk</t>
  </si>
  <si>
    <t>90YV0FB7-M0NM00</t>
  </si>
  <si>
    <t>ASUS TUF Gaming GeForce RTX 3080 V2 (LHR), TUF-RTX3080-10G-V2-GAMING, 10GB GDDR6X, 2x HDMI, 3x DP</t>
  </si>
  <si>
    <t>https://geizhals.eu/asus-tuf-gaming-geforce-rtx-3080-v2-90yv0fb5-m0nm00-a2556260.html?hloc=at&amp;hloc=de&amp;hloc=eu&amp;hloc=pl&amp;hloc=uk</t>
  </si>
  <si>
    <t>90YV0FB5-M0NM00</t>
  </si>
  <si>
    <t>ASUS TUF Gaming GeForce RTX 3080 OC V2 (LHR), TUF-RTX3080-O10G-V2-GAMING, 10GB GDDR6X, 2x HDMI, 3x DP</t>
  </si>
  <si>
    <t>https://geizhals.eu/asus-tuf-gaming-geforce-rtx-3080-v2-oc-90yv0fb4-m0nm00-a2556258.html?hloc=at&amp;hloc=de&amp;hloc=eu&amp;hloc=pl&amp;hloc=uk</t>
  </si>
  <si>
    <t>90YV0FB4-M0NM00</t>
  </si>
  <si>
    <t>ASUS TUF Gaming GeForce RTX 3070 V2 (LHR), TUF-RTX3070-8G-V2-GAMING, 8GB GDDR6, 2x HDMI, 3x DP</t>
  </si>
  <si>
    <t>https://geizhals.eu/asus-tuf-gaming-geforce-rtx-3070-v2-90yv0fq7-m0na10-a2543988.html?hloc=at&amp;hloc=de&amp;hloc=eu&amp;hloc=pl&amp;hloc=uk</t>
  </si>
  <si>
    <t>90YV0FQJ-M0NA00</t>
  </si>
  <si>
    <t>ASUS TUF Gaming GeForce RTX 3070 Ti V2, TUF-RTX3070TI-8G-V2-GAMING, 8GB GDDR6X, 2x HDMI, 3x DP</t>
  </si>
  <si>
    <t>https://geizhals.eu/asus-tuf-gaming-geforce-rtx-3070-ti-v2-a2863009.html?hloc=at&amp;hloc=de&amp;hloc=eu&amp;hloc=pl&amp;hloc=uk</t>
  </si>
  <si>
    <t>90YV0IS0-M0NA00</t>
  </si>
  <si>
    <t>ASUS TUF Gaming GeForce RTX 3070 Ti OC, TUF-RTX3070TI-O8G-GAMING, 8GB GDDR6X, 2x HDMI, 3x DP</t>
  </si>
  <si>
    <t>https://geizhals.eu/asus-tuf-gaming-geforce-rtx-3070-ti-oc-a2538373.html?hloc=at&amp;hloc=de&amp;hloc=eu&amp;hloc=pl&amp;hloc=uk</t>
  </si>
  <si>
    <t>90YV0GY0-M0NA00</t>
  </si>
  <si>
    <t>ASUS TUF Gaming GeForce RTX 3070 Ti OC V2, TUF-RTX3070TI-O8G-V2-GAMING, 8GB GDDR6X, 2x HDMI, 3x DP</t>
  </si>
  <si>
    <t>https://geizhals.eu/asus-tuf-gaming-geforce-rtx-3070-ti-oc-v2-90yv0is1-m0na00-a2863008.html?hloc=at&amp;hloc=de&amp;hloc=eu&amp;hloc=pl&amp;hloc=uk</t>
  </si>
  <si>
    <t>90YV0IS1-M0NA00</t>
  </si>
  <si>
    <t>ASUS TUF Gaming GeForce RTX 3070 OC, TUF-RTX3070-O8G-GAMING, 8GB GDDR6, 2x HDMI, 3x DP</t>
  </si>
  <si>
    <t>https://geizhals.eu/asus-tuf-gaming-geforce-rtx-3070-oc-a2406749.html?hloc=at&amp;hloc=de&amp;hloc=eu&amp;hloc=pl&amp;hloc=uk</t>
  </si>
  <si>
    <t>90YV0FQ6-M0NA00</t>
  </si>
  <si>
    <t>ASUS TUF Gaming GeForce RTX 3070 OC V2 (LHR), TUF-RTX3070-O8G-V2-GAMING, 8GB GDDR6, 2x HDMI, 3x DP</t>
  </si>
  <si>
    <t>https://geizhals.eu/asus-tuf-gaming-geforce-rtx-3070-v2-oc-90yv0fq6-m0na10-a2543987.html?hloc=at&amp;hloc=de&amp;hloc=eu&amp;hloc=pl&amp;hloc=uk</t>
  </si>
  <si>
    <t>90YV0FQI-M0NA00</t>
  </si>
  <si>
    <t>ASUS TUF Gaming GeForce RTX 3060, TUF-RTX3060-12G-GAMING, 12GB GDDR6, 2x HDMI, 3x DP</t>
  </si>
  <si>
    <t>https://geizhals.eu/asus-tuf-gaming-geforce-rtx-3060-90yv0gc1-m0na00-a2469615.html?hloc=at&amp;hloc=de&amp;hloc=eu&amp;hloc=pl&amp;hloc=uk</t>
  </si>
  <si>
    <t>90YV0GC1-M0NA00</t>
  </si>
  <si>
    <t>ASUS TUF Gaming GeForce RTX 3060 Ti, TUF-RTX3060TI-8GD6X-GAMING, 8GB GDDR6X, 2x HDMI, 3x DP</t>
  </si>
  <si>
    <t>https://geizhals.eu/asus-tuf-gaming-geforce-rtx-3060-ti-a2837083.html?hloc=at&amp;hloc=de&amp;hloc=eu&amp;hloc=pl&amp;hloc=uk</t>
  </si>
  <si>
    <t>90YV0IL1-M0NA00</t>
  </si>
  <si>
    <t>ASUS TUF Gaming GeForce RTX 3060 Ti OC, TUF-RTX3060TI-O8GD6X-GAMING, 8GB GDDR6X, 2x HDMI, 3x DP</t>
  </si>
  <si>
    <t>https://geizhals.eu/asus-tuf-gaming-geforce-rtx-3060-ti-oc-a2837104.html?hloc=at&amp;hloc=de&amp;hloc=eu&amp;hloc=pl&amp;hloc=uk</t>
  </si>
  <si>
    <t>90YV0IL0-M0NA00</t>
  </si>
  <si>
    <t>ASUS TUF Gaming GeForce RTX 3060 Ti OC V2 (LHR), TUF-RTX3060TI-O8G-V2-GAMING, 8GB GDDR6, 2x HDMI, 3x DP</t>
  </si>
  <si>
    <t>https://geizhals.eu/asus-tuf-gaming-geforce-rtx-3060-ti-v2-oc-90yv0g1a-m0na00-a2556251.html?hloc=at&amp;hloc=de&amp;hloc=eu&amp;hloc=pl&amp;hloc=uk</t>
  </si>
  <si>
    <t>90YV0G1A-M0NA00</t>
  </si>
  <si>
    <t>ASUS TUF Gaming GeForce RTX 3060 OC V2, TUF-RTX3060-O12G-V2-GAMING, 12GB GDDR6, 2x HDMI, 3x DP</t>
  </si>
  <si>
    <t>https://geizhals.eu/asus-tuf-gaming-geforce-rtx-3060-oc-v2-90yv0gc0-m0na10-a2542070.html?hloc=at&amp;hloc=de&amp;hloc=eu&amp;hloc=pl&amp;hloc=uk</t>
  </si>
  <si>
    <t>90YV0GC0-M0NA10</t>
  </si>
  <si>
    <t>ASUS ROG Strix Radeon RX 7600 OC, ROG-STRIX-RX7600-O8G-GAMING, 8GB GDDR6, HDMI, 3x DP</t>
  </si>
  <si>
    <t>https://geizhals.eu/asus-rog-strix-radeon-rx-7600-oc-90yv0ih0-m0na00-a2955289.html?hloc=at&amp;hloc=de&amp;hloc=eu&amp;hloc=pl&amp;hloc=uk</t>
  </si>
  <si>
    <t>90YV0IH0-M0NA00</t>
  </si>
  <si>
    <t>ASUS ROG Strix Radeon RX 6750 XT OC, ROG-STRIX-RX6750XT-O12G-GAMING, 12GB GDDR6, HDMI, 3x DP</t>
  </si>
  <si>
    <t>https://geizhals.eu/asus-rog-strix-radeon-rx-6750-xt-oc-90yv0hk1-m0na00-a2731650.html?hloc=at&amp;hloc=de&amp;hloc=eu&amp;hloc=pl&amp;hloc=uk</t>
  </si>
  <si>
    <t>90YV0HK1-M0NA00</t>
  </si>
  <si>
    <t>ASUS ROG Strix Radeon RX 6700 XT OC, ROG-STRIX-RX6700XT-O12G-GAMING, 12GB GDDR6, HDMI, 3x DP</t>
  </si>
  <si>
    <t>https://geizhals.eu/asus-rog-strix-radeon-rx-6700-xt-oc-a2487611.html?hloc=at&amp;hloc=de&amp;hloc=eu&amp;hloc=pl&amp;hloc=uk</t>
  </si>
  <si>
    <t>90YV0G81-M0NA00</t>
  </si>
  <si>
    <t>ASUS ROG Strix Radeon RX 6650 XT Dual OC, ROG-STRIX-RX6650XT-O8G-GAMING, 8GB GDDR6, HDMI, 3x DP</t>
  </si>
  <si>
    <t>https://geizhals.eu/asus-rog-strix-radeon-rx-6650-xt-dual-oc-90yv0hj0-m0na00-a2731677.html?hloc=at&amp;hloc=de&amp;hloc=eu&amp;hloc=pl&amp;hloc=uk</t>
  </si>
  <si>
    <t>90YV0HJ0-M0NA00</t>
  </si>
  <si>
    <t>ASUS ROG Strix Radeon RX 6650 XT Dual OC V2, ROG-STRIX-RX6650XT-O8G-V2-GAMING, 8GB GDDR6, HDMI, 3x DP</t>
  </si>
  <si>
    <t>https://geizhals.eu/asus-rog-strix-radeon-rx-6650-xt-dual-oc-v2-90yv0hs3-m0na00-a2899474.html?hloc=at&amp;hloc=de&amp;hloc=eu&amp;hloc=pl&amp;hloc=uk</t>
  </si>
  <si>
    <t>90YV0HS3-M0NA00</t>
  </si>
  <si>
    <t>ASUS ROG Strix Radeon RX 6600 XT OC, ROG-STRIX-RX6600XT-O8G-GAMING, 8GB GDDR6, HDMI, 3x DP</t>
  </si>
  <si>
    <t>https://geizhals.eu/asus-rog-strix-radeon-rx-6600-xt-oc-a2574569.html?hloc=at&amp;hloc=de&amp;hloc=eu&amp;hloc=pl&amp;hloc=uk</t>
  </si>
  <si>
    <t>90YV0GN0-M0NA00</t>
  </si>
  <si>
    <t>ASUS ROG Strix LC Radeon RX 6900 XT Top, ROG-STRIX-LC-RX6900XT-T16G-GAMING, 16GB GDDR6, HDMI, 2x DP, USB-C</t>
  </si>
  <si>
    <t>https://geizhals.eu/asus-rog-strix-lc-radeon-rx-6900-xt-top-90yv0gf1-m0nm00-a2542097.html?hloc=at&amp;hloc=de&amp;hloc=eu&amp;hloc=pl&amp;hloc=uk</t>
  </si>
  <si>
    <t>90YV0GF1-M0NM00</t>
  </si>
  <si>
    <t>ASUS ROG Strix LC GeForce RTX 4090 OC, ROG-STRIX-LC-RTX4090-O24G-GAMING, 24GB GDDR6X, 2x HDMI, 3x DP</t>
  </si>
  <si>
    <t>https://geizhals.eu/asus-rog-strix-lc-geforce-rtx-4090-oc-a2948303.html?hloc=at&amp;hloc=de&amp;hloc=eu&amp;hloc=pl&amp;hloc=uk</t>
  </si>
  <si>
    <t>90YV0IY0-M0NA00</t>
  </si>
  <si>
    <t>ASUS ROG Strix LC GeForce RTX 3090 Ti OC, ROG-STRIX-LC-RTX3090TI-O24G-GAMING, 24GB GDDR6X, 2x HDMI, 3x DP</t>
  </si>
  <si>
    <t>https://geizhals.eu/asus-rog-strix-lc-geforce-rtx-3090-ti-oc-a2705883.html?hloc=at&amp;hloc=de&amp;hloc=eu&amp;hloc=pl&amp;hloc=uk</t>
  </si>
  <si>
    <t>90YV0HC0-M0NA00</t>
  </si>
  <si>
    <t>ASUS ROG Strix GeForce RTX 4090, ROG-STRIX-RTX4090-24G-WHITE, 24GB GDDR6X, 2x HDMI, 3x DP</t>
  </si>
  <si>
    <t>https://geizhals.eu/asus-rog-strix-geforce-rtx-4090-a2867012.html?hloc=at&amp;hloc=de&amp;hloc=eu&amp;hloc=pl&amp;hloc=uk</t>
  </si>
  <si>
    <t>90YV0ID3-M0NA00</t>
  </si>
  <si>
    <t>ASUS ROG Strix GeForce RTX 4090, ROG-STRIX-RTX4090-24G-GAMING, 24GB GDDR6X, 2x HDMI, 3x DP</t>
  </si>
  <si>
    <t>https://geizhals.eu/asus-rog-strix-geforce-rtx-4090-a2816393.html?hloc=at&amp;hloc=de&amp;hloc=eu&amp;hloc=pl&amp;hloc=uk</t>
  </si>
  <si>
    <t>90YV0ID1-M0NA00</t>
  </si>
  <si>
    <t>ASUS ROG Strix GeForce RTX 4090 OC, ROG-STRIX-RTX4090-O24G-WHITE, 24GB GDDR6X, 2x HDMI, 3x DP</t>
  </si>
  <si>
    <t>https://geizhals.eu/asus-rog-strix-geforce-rtx-4090-oc-a2867011.html?hloc=at&amp;hloc=de&amp;hloc=eu&amp;hloc=pl&amp;hloc=uk</t>
  </si>
  <si>
    <t>90YV0ID2-M0NA00</t>
  </si>
  <si>
    <t>ASUS ROG Strix GeForce RTX 4090 OC, ROG-STRIX-RTX4090-O24G-GAMING, 24GB GDDR6X, 2x HDMI, 3x DP</t>
  </si>
  <si>
    <t>https://geizhals.eu/asus-rog-strix-geforce-rtx-4090-oc-90yv0id0-m0na00-a2820486.html?hloc=at&amp;hloc=de&amp;hloc=eu&amp;hloc=pl&amp;hloc=uk</t>
  </si>
  <si>
    <t>90YV0ID0-M0NA00</t>
  </si>
  <si>
    <t>ASUS ROG Strix GeForce RTX 4090 OC EVA-02 Edition, ROG-STRIX-RTX4090-O24G-EVA-02-EDITION, 24GB GDDR6X, 2x HDMI, 3x DP</t>
  </si>
  <si>
    <t>https://geizhals.eu/asus-rog-strix-geforce-rtx-4090-oc-evangelion-eva-02-edition-90yv0id5-m0nm00-a3010044.html?hloc=at&amp;hloc=de&amp;hloc=eu&amp;hloc=pl&amp;hloc=uk</t>
  </si>
  <si>
    <t>90YV0ID5-M0NM00</t>
  </si>
  <si>
    <t>ASUS ROG Strix GeForce RTX 4080, ROG-STRIX-RTX4080-16G-WHITE, 16GB GDDR6X, 2x HDMI, 3x DP</t>
  </si>
  <si>
    <t>https://geizhals.eu/asus-rog-strix-geforce-rtx-4080-a2867051.html?hloc=at&amp;hloc=de&amp;hloc=eu&amp;hloc=pl&amp;hloc=uk</t>
  </si>
  <si>
    <t>90YV0IC4-M0NA00</t>
  </si>
  <si>
    <t>ASUS ROG Strix GeForce RTX 4080, ROG-STRIX-RTX4080-16G-GAMING, 16GB GDDR6X, 2x HDMI, 3x DP</t>
  </si>
  <si>
    <t>https://geizhals.eu/asus-rog-strix-geforce-rtx-4080-a2816395.html?hloc=at&amp;hloc=de&amp;hloc=eu&amp;hloc=pl&amp;hloc=uk</t>
  </si>
  <si>
    <t>90YV0IC1-M0NA00</t>
  </si>
  <si>
    <t>ASUS ROG Strix GeForce RTX 4080 OC, ROG-STRIX-RTX4080-O16G-GAMING, 16GB GDDR6X, 2x HDMI, 3x DP</t>
  </si>
  <si>
    <t>https://geizhals.eu/asus-rog-strix-geforce-rtx-4080-oc-a2816394.html?hloc=at&amp;hloc=de&amp;hloc=eu&amp;hloc=pl&amp;hloc=uk</t>
  </si>
  <si>
    <t>90YV0IC0-M0NA00</t>
  </si>
  <si>
    <t>ASUS ROG Strix GeForce RTX 4070 Ti, ROG-STRIX-RTX4070TI-12G-GAMING, 12GB GDDR6X, 2x HDMI, 3x DP</t>
  </si>
  <si>
    <t>https://geizhals.eu/asus-rog-strix-geforce-rtx-4070-ti-a2871183.html?hloc=at&amp;hloc=de&amp;hloc=eu&amp;hloc=pl&amp;hloc=uk</t>
  </si>
  <si>
    <t>90YV0II1-M0NA00</t>
  </si>
  <si>
    <t>ASUS ROG Strix GeForce RTX 4070 Ti SUPER, ROG-STRIX-RTX4070TIS-16G-GAMING, 16GB GDDR6X, 2x HDMI, 3x DP</t>
  </si>
  <si>
    <t>https://geizhals.eu/asus-rog-strix-geforce-rtx-4070-ti-super-a3096690.html?hloc=at&amp;hloc=de&amp;hloc=eu&amp;hloc=pl&amp;hloc=uk</t>
  </si>
  <si>
    <t>90YV0KG1-M0NA00</t>
  </si>
  <si>
    <t>ASUS ROG Strix GeForce RTX 4070 Ti SUPER OC, ROG-STRIX-RTX4070TIS-O16G-GAMING, 16GB GDDR6X, 2x HDMI, 3x DP</t>
  </si>
  <si>
    <t>https://geizhals.eu/asus-rog-strix-geforce-rtx-4070-ti-super-oc-a3096712.html?hloc=at&amp;hloc=de&amp;hloc=eu&amp;hloc=pl&amp;hloc=uk</t>
  </si>
  <si>
    <t>90YV0KG0-M0NA00</t>
  </si>
  <si>
    <t>ASUS ROG Strix GeForce RTX 4070 Ti OC, ROG-STRIX-RTX4070TI-O12G-GAMING, 12GB GDDR6X, 2x HDMI, 3x DP</t>
  </si>
  <si>
    <t>https://geizhals.eu/asus-rog-strix-geforce-rtx-4070-ti-oc-a2871182.html?hloc=at&amp;hloc=de&amp;hloc=eu&amp;hloc=pl&amp;hloc=uk</t>
  </si>
  <si>
    <t>90YV0II0-M0NA00</t>
  </si>
  <si>
    <t>ASUS ROG Strix GeForce RTX 4070 SUPER, ROG-STRIX-RTX4070S-12G-GAMING, 12GB GDDR6X, 2x HDMI, 3x DP</t>
  </si>
  <si>
    <t>https://geizhals.eu/asus-rog-strix-geforce-rtx-4070-super-a3096734.html?hloc=at&amp;hloc=de&amp;hloc=eu&amp;hloc=pl&amp;hloc=uk</t>
  </si>
  <si>
    <t>90YV0KD1-M0NA00</t>
  </si>
  <si>
    <t>ASUS ROG Strix GeForce RTX 4070 SUPER OC, ROG-STRIX-RTX4070S-O12G-GAMING, 12GB GDDR6X, 2x HDMI, 3x DP</t>
  </si>
  <si>
    <t>https://geizhals.eu/asus-rog-strix-geforce-rtx-4070-super-oc-a3096743.html?hloc=at&amp;hloc=de&amp;hloc=eu&amp;hloc=pl&amp;hloc=uk</t>
  </si>
  <si>
    <t>90YV0KD0-M0NA00</t>
  </si>
  <si>
    <t>ASUS ROG Strix GeForce RTX 4070 OC, ROG-STRIX-RTX4070-O12G-GAMING, 12GB GDDR6X, 2x HDMI, 3x DP</t>
  </si>
  <si>
    <t>https://geizhals.eu/asus-rog-strix-geforce-rtx-4070-oc-90yv0j00-m0na00-a2988120.html?hloc=at&amp;hloc=de&amp;hloc=eu&amp;hloc=pl&amp;hloc=uk</t>
  </si>
  <si>
    <t>90YV0J00-M0NA00</t>
  </si>
  <si>
    <t>ASUS ROG Strix GeForce RTX 4060, ROG-STRIX-RTX4060-8G-GAMING, 8GB GDDR6, HDMI, 3x DP</t>
  </si>
  <si>
    <t>https://geizhals.eu/asus-rog-strix-geforce-rtx-4060-90yv0jb1-m0na00-a2975621.html?hloc=at&amp;hloc=de&amp;hloc=eu&amp;hloc=pl&amp;hloc=uk</t>
  </si>
  <si>
    <t>90YV0JB1-M0NA00</t>
  </si>
  <si>
    <t>ASUS ROG Strix GeForce RTX 4060 OC, ROG-STRIX-RTX4060-O8G-GAMING, 8GB GDDR6, HDMI, 3x DP</t>
  </si>
  <si>
    <t>https://geizhals.eu/asus-rog-strix-geforce-rtx-4060-oc-90yv0jb0-m0na00-a2975623.html?hloc=at&amp;hloc=de&amp;hloc=eu&amp;hloc=pl&amp;hloc=uk</t>
  </si>
  <si>
    <t>90YV0JB0-M0NA00</t>
  </si>
  <si>
    <t>ASUS ROG Strix GeForce RTX 3090, ROG-STRIX-RTX3090-24G-GAMING, 24GB GDDR6X, 2x HDMI, 3x DP</t>
  </si>
  <si>
    <t>https://geizhals.eu/asus-rog-strix-geforce-rtx-3090-90yv0f90-m0nm00-a2364058.html?hloc=at&amp;hloc=de&amp;hloc=eu&amp;hloc=pl&amp;hloc=uk</t>
  </si>
  <si>
    <t>90YV0F90-M0NM00</t>
  </si>
  <si>
    <t>ASUS ROG Strix GeForce RTX 3090 OC White, ROG-STRIX-RTX3090-O24G-WHITE, 24GB GDDR6X, 2x HDMI, 3x DP</t>
  </si>
  <si>
    <t>https://geizhals.eu/asus-rog-strix-geforce-rtx-3090-oc-white-a2446412.html?hloc=at&amp;hloc=de&amp;hloc=eu&amp;hloc=pl&amp;hloc=uk</t>
  </si>
  <si>
    <t>90YV0F96-M0NM00</t>
  </si>
  <si>
    <t>ASUS ROG Strix GeForce RTX 3080 Ti OC, ROG-STRIX-RTX3080TI-O12G-GAMING, 12GB GDDR6X, 2x HDMI, 3x DP</t>
  </si>
  <si>
    <t>https://geizhals.eu/asus-rog-strix-geforce-rtx-3080-ti-oc-a2538365.html?hloc=at&amp;hloc=de&amp;hloc=eu&amp;hloc=pl&amp;hloc=uk</t>
  </si>
  <si>
    <t>90YV0GT1-M0NM00</t>
  </si>
  <si>
    <t>ASUS ROG Strix GeForce RTX 3080 OC, ROG-STRIX-RTX3080-O12G-GAMING, 12GB GDDR6X, 2x HDMI, 3x DP</t>
  </si>
  <si>
    <t>https://geizhals.eu/asus-rog-strix-geforce-rtx-3080-oc-90yv0fac-m0nm00-a2663617.html?hloc=at&amp;hloc=de&amp;hloc=eu&amp;hloc=pl&amp;hloc=uk</t>
  </si>
  <si>
    <t>90YV0FAC-M0NM00</t>
  </si>
  <si>
    <t>ASUS ROG Strix GeForce RTX 3080 OC, ROG-STRIX-RTX3080-O10G-GAMING, 10GB GDDR6X, 2x HDMI, 3x DP</t>
  </si>
  <si>
    <t>https://geizhals.eu/asus-rog-strix-geforce-rtx-3080-oc-90yv0fa1-m0nm00-a2366105.html?hloc=at&amp;hloc=de&amp;hloc=eu&amp;hloc=pl&amp;hloc=uk</t>
  </si>
  <si>
    <t>90YV0FA1-M0NM00</t>
  </si>
  <si>
    <t>ASUS ROG Strix GeForce RTX 3080 OC EVA, ROG-STRIX-RTX3080-O12G-EVA, 12GB GDDR6X, 2x HDMI, 3x DP</t>
  </si>
  <si>
    <t>https://geizhals.eu/asus-rog-strix-geforce-rtx-3080-oc-eva-edition-90yv0fae-m0nm00-a2740487.html?hloc=at&amp;hloc=de&amp;hloc=eu&amp;hloc=pl&amp;hloc=uk</t>
  </si>
  <si>
    <t>90YV0FAE-M0NM00</t>
  </si>
  <si>
    <t>ASUS ROG Strix GeForce RTX 3070 OC, ROG-STRIX-RTX3070-O8G-GAMING, 8GB GDDR6, 2x HDMI, 3x DP</t>
  </si>
  <si>
    <t>https://geizhals.eu/asus-rog-strix-geforce-rtx-3070-oc-a2406734.html?hloc=at&amp;hloc=de&amp;hloc=eu&amp;hloc=pl&amp;hloc=uk</t>
  </si>
  <si>
    <t>90YV0FR1-M0NA00</t>
  </si>
  <si>
    <t>ASUS ROG Strix GeForce RTX 3060 OC V2, ROG-STRIX-RTX3060-O12G-V2-GAMING, 12GB GDDR6, 2x HDMI, 3x DP</t>
  </si>
  <si>
    <t>https://geizhals.eu/asus-rog-strix-geforce-rtx-3060-oc-v2-90yv0gc2-m0na10-a2542068.html?hloc=at&amp;hloc=de&amp;hloc=eu&amp;hloc=pl&amp;hloc=uk</t>
  </si>
  <si>
    <t>90YV0GC2-M0NA10</t>
  </si>
  <si>
    <t>ASUS ROG Astral GeForce RTX 5090 OC, ROG-ASTRAL-RTX5090-O32G-GAMING, 32GB GDDR7, 2x HDMI, 3x DP</t>
  </si>
  <si>
    <t>https://geizhals.eu/asus-rog-astral-geforce-rtx-5090-oc-a3382344.html?hloc=at&amp;hloc=de&amp;hloc=eu&amp;hloc=pl&amp;hloc=uk</t>
  </si>
  <si>
    <t>90YV0LW0-M0NA00</t>
  </si>
  <si>
    <t>ASUS ROG Astral GeForce RTX 5080 OC, ROG-ASTRAL-RTX5080-O16G-GAMING, 16GB GDDR7, 2x HDMI, 3x DP</t>
  </si>
  <si>
    <t>https://geizhals.eu/asus-rog-astral-geforce-rtx-5080-oc-90yv0lv0-m0na00-a3382383.html?hloc=at&amp;hloc=de&amp;hloc=eu&amp;hloc=pl&amp;hloc=uk</t>
  </si>
  <si>
    <t>90YV0LV0-M0NA00</t>
  </si>
  <si>
    <t>ASUS Radeon RX 6750 XT Dual OC, DUAL-RX6750XT-O12G, 12GB GDDR6, HDMI, 3x DP</t>
  </si>
  <si>
    <t>https://geizhals.eu/asus-radeon-rx-6750-xt-dual-oc-90yv0hk0-m0na00-a2731645.html?hloc=at&amp;hloc=de&amp;hloc=eu&amp;hloc=pl&amp;hloc=uk</t>
  </si>
  <si>
    <t>90YV0HK0-M0NA00</t>
  </si>
  <si>
    <t>ASUS Radeon RX 6700 XT Dual, DUAL-RX6700XT-O12G, 12GB GDDR6, HDMI, 3x DP</t>
  </si>
  <si>
    <t>https://geizhals.eu/asus-radeon-rx-6700-xt-dual-90yv0g83-m0na00-a2616100.html?hloc=at&amp;hloc=de&amp;hloc=eu&amp;hloc=pl&amp;hloc=uk</t>
  </si>
  <si>
    <t>90YV0G83-M0NA00</t>
  </si>
  <si>
    <t>ASUS Radeon RX 6700 XT Dual, DUAL-RX6700XT-12G, 12GB GDDR6, HDMI, 3x DP</t>
  </si>
  <si>
    <t>https://geizhals.eu/asus-radeon-rx-6700-xt-dual-a2487609.html?hloc=at&amp;hloc=de&amp;hloc=eu&amp;hloc=pl&amp;hloc=uk</t>
  </si>
  <si>
    <t>90YV0G82-M0NA00</t>
  </si>
  <si>
    <t>ASUS Radeon RX 6650 XT Dual OC, DUAL-RX6650XT-O8G, 8GB GDDR6, HDMI, 3x DP</t>
  </si>
  <si>
    <t>https://geizhals.eu/asus-radeon-rx-6650-xt-dual-oc-90yv0hl0-m0na00-a2731637.html?hloc=at&amp;hloc=de&amp;hloc=eu&amp;hloc=pl&amp;hloc=uk</t>
  </si>
  <si>
    <t>90YV0HL0-M0NA00</t>
  </si>
  <si>
    <t>ASUS Radeon RX 6650 XT Dual OC V2, DUAL-RX6650XT-O8G-V2, 8GB GDDR6, HDMI, 3x DP</t>
  </si>
  <si>
    <t>https://geizhals.eu/asus-radeon-rx-6650-xt-dual-oc-v2-a2863064.html?hloc=at&amp;hloc=de&amp;hloc=eu&amp;hloc=pl&amp;hloc=uk</t>
  </si>
  <si>
    <t>90YV0HS2-M0NA00</t>
  </si>
  <si>
    <t>ASUS Radeon RX 6600 XT Dual OC, DUAL-RX6600XT-O8G, 8GB GDDR6, HDMI, 3x DP</t>
  </si>
  <si>
    <t>https://geizhals.eu/asus-radeon-rx-6600-xt-dual-oc-a2574580.html?hloc=at&amp;hloc=de&amp;hloc=eu&amp;hloc=pl&amp;hloc=uk</t>
  </si>
  <si>
    <t>90YV0GN1-M0NA00</t>
  </si>
  <si>
    <t>ASUS Radeon RX 6600 Dual, DUAL-RX6600-8G, 8GB GDDR6, HDMI, 3x DP</t>
  </si>
  <si>
    <t>https://geizhals.eu/asus-radeon-rx-6600-dual-90yv0gp0-m0na00-a2619783.html?hloc=at&amp;hloc=de&amp;hloc=eu&amp;hloc=pl&amp;hloc=uk</t>
  </si>
  <si>
    <t>90YV0GP0-M0NA00 / 90YV0GP0-M0AA00</t>
  </si>
  <si>
    <t>ASUS Radeon RX 6600 Dual V2, DUAL-RX6600-8G-V2, 8GB GDDR6, HDMI, 3x DP</t>
  </si>
  <si>
    <t>https://geizhals.eu/asus-radeon-rx-6600-dual-v2-90yv0gp2-m0na00-a2951477.html?hloc=at&amp;hloc=de&amp;hloc=eu&amp;hloc=pl&amp;hloc=uk</t>
  </si>
  <si>
    <t>90YV0GP2-M0NA00</t>
  </si>
  <si>
    <t>ASUS Radeon RX 6500 XT Dual OC, DUAL-RX6500XT-O4G, 4GB GDDR6, HDMI, DP</t>
  </si>
  <si>
    <t>https://geizhals.eu/asus-radeon-rx-6500-xt-dual-oc-90yv0ha1-m0na00-a2665715.html?hloc=at&amp;hloc=de&amp;hloc=eu&amp;hloc=pl&amp;hloc=uk</t>
  </si>
  <si>
    <t>90YV0HA1-M0NA00</t>
  </si>
  <si>
    <t>ASUS Radeon RX 6400 Dual, DUAL-RX6400-4G, 4GB GDDR6, HDMI, DP</t>
  </si>
  <si>
    <t>https://geizhals.eu/asus-radeon-rx-6400-dual-90yv0h90-m0na00-a2718765.html?hloc=at&amp;hloc=de&amp;hloc=eu&amp;hloc=pl&amp;hloc=uk</t>
  </si>
  <si>
    <t>90YV0H90-M0NA00</t>
  </si>
  <si>
    <t>ASUS ProArt GeForce RTX 4080 SUPER OC, PROART-RTX4080S-O16G, 16GB GDDR6X, HDMI, 3x DP</t>
  </si>
  <si>
    <t>https://geizhals.eu/asus-proart-geforce-rtx-4080-super-oc-a3097588.html?hloc=at&amp;hloc=de&amp;hloc=eu&amp;hloc=pl&amp;hloc=uk</t>
  </si>
  <si>
    <t>90YV0K90-M0NA00 / 90YV0K90-M0AA00</t>
  </si>
  <si>
    <t>ASUS ProArt GeForce RTX 4080 OC, PROART-RTX4080-O16G, 16GB GDDR6X, HDMI, 3x DP</t>
  </si>
  <si>
    <t>https://geizhals.eu/asus-proart-geforce-rtx-4080-oc-a2941615.html?hloc=at&amp;hloc=de&amp;hloc=eu&amp;hloc=pl&amp;hloc=uk</t>
  </si>
  <si>
    <t>90YV0IX1-M0NA00</t>
  </si>
  <si>
    <t>ASUS ProArt GeForce RTX 4070, PROART-RTX4070-12G, 12GB GDDR6X, HDMI, 3x DP</t>
  </si>
  <si>
    <t>https://geizhals.eu/asus-proart-geforce-rtx-4070-a3007304.html?hloc=at&amp;hloc=de&amp;hloc=eu&amp;hloc=pl&amp;hloc=uk</t>
  </si>
  <si>
    <t>90YV0J12-M0NA00</t>
  </si>
  <si>
    <t>ASUS ProArt GeForce RTX 4070 Ti, PROART-RTX4070TI-12G, 12GB GDDR6X, HDMI, 3x DP</t>
  </si>
  <si>
    <t>https://geizhals.eu/asus-proart-geforce-rtx-4070-ti-90yv0j31-m0nb00-a2944626.html?hloc=at&amp;hloc=de&amp;hloc=eu&amp;hloc=pl&amp;hloc=uk</t>
  </si>
  <si>
    <t>90YV0J31-M0NB00</t>
  </si>
  <si>
    <t>ASUS ProArt GeForce RTX 4070 Ti SUPER OC, PROART-RTX4070TIS-O16G, 16GB GDDR6X, HDMI, 3x DP</t>
  </si>
  <si>
    <t>https://geizhals.eu/asus-proart-geforce-rtx-4070-ti-super-oc-a3097775.html?hloc=at&amp;hloc=de&amp;hloc=eu&amp;hloc=pl&amp;hloc=uk</t>
  </si>
  <si>
    <t>90YV0KJ0-M0NA00</t>
  </si>
  <si>
    <t>ASUS ProArt GeForce RTX 4070 Ti OC, PROART-RTX4070TI-O12G, 12GB GDDR6X, HDMI, 3x DP</t>
  </si>
  <si>
    <t>https://geizhals.eu/asus-proart-geforce-rtx-4070-ti-oc-a2944628.html?hloc=at&amp;hloc=de&amp;hloc=eu&amp;hloc=pl&amp;hloc=uk</t>
  </si>
  <si>
    <t>90YV0J30-M0NA00</t>
  </si>
  <si>
    <t>ASUS ProArt GeForce RTX 4070 SUPER, PROART-RTX4070S-12G, 12GB GDDR6X, HDMI, 3x DP</t>
  </si>
  <si>
    <t>https://geizhals.eu/asus-proart-geforce-rtx-4070-super-a3106843.html?hloc=at&amp;hloc=de&amp;hloc=eu&amp;hloc=pl&amp;hloc=uk</t>
  </si>
  <si>
    <t>90YV0KC5-M0NA00</t>
  </si>
  <si>
    <t>ASUS ProArt GeForce RTX 4070 SUPER OC, PROART-RTX4070S-O12G, 12GB GDDR6X, HDMI, 3x DP</t>
  </si>
  <si>
    <t>https://geizhals.eu/asus-proart-geforce-rtx-4070-super-oc-a3106853.html?hloc=at&amp;hloc=de&amp;hloc=eu&amp;hloc=pl&amp;hloc=uk</t>
  </si>
  <si>
    <t>90YV0KC4-M0NA00</t>
  </si>
  <si>
    <t>ASUS ProArt GeForce RTX 4070 OC, PROART-RTX4070-O12G, 12GB GDDR6X, HDMI, 3x DP</t>
  </si>
  <si>
    <t>https://geizhals.eu/asus-proart-geforce-rtx-4070-oc-90yv0j11-m0na00-a3007279.html?hloc=at&amp;hloc=de&amp;hloc=eu&amp;hloc=pl&amp;hloc=uk</t>
  </si>
  <si>
    <t>90YV0J11-M0NA00</t>
  </si>
  <si>
    <t>ASUS ProArt GeForce RTX 4060, PROART-RTX4060-8G, 8GB GDDR6, HDMI, 3x DP</t>
  </si>
  <si>
    <t>https://geizhals.eu/asus-proart-geforce-rtx-4060-90yv0jm1-m0na00-a2999795.html?hloc=at&amp;hloc=de&amp;hloc=eu&amp;hloc=pl&amp;hloc=uk</t>
  </si>
  <si>
    <t>90YV0JM1-M0NA00</t>
  </si>
  <si>
    <t>ASUS ProArt GeForce RTX 4060 Ti, PROART-RTX4060TI-16G, 16GB GDDR6, HDMI, 3x DP</t>
  </si>
  <si>
    <t>https://geizhals.eu/asus-proart-geforce-rtx-4060-ti-a2980501.html?hloc=at&amp;hloc=de&amp;hloc=eu&amp;hloc=pl&amp;hloc=uk</t>
  </si>
  <si>
    <t>90YV0JH3-M0NA00</t>
  </si>
  <si>
    <t>ASUS ProArt GeForce RTX 4060 Ti OC, PROART-RTX4060TI-O16G, 16GB GDDR6, HDMI, 3x DP</t>
  </si>
  <si>
    <t>https://geizhals.eu/asus-proart-geforce-rtx-4060-ti-oc-a2980507.html?hloc=at&amp;hloc=de&amp;hloc=eu&amp;hloc=pl&amp;hloc=uk</t>
  </si>
  <si>
    <t>90YV0JH2-M0NA00</t>
  </si>
  <si>
    <t>ASUS ProArt GeForce RTX 4060 OC, PROART-RTX4060-O8G, 8GB GDDR6, HDMI, 3x DP</t>
  </si>
  <si>
    <t>https://geizhals.eu/asus-proart-geforce-rtx-4060-oc-90yv0jm0-m0na00-a2999818.html?hloc=at&amp;hloc=de&amp;hloc=eu&amp;hloc=pl&amp;hloc=uk</t>
  </si>
  <si>
    <t>90YV0JM0-M0NA00</t>
  </si>
  <si>
    <t>ASUS Prime GeForce RTX 5080 OC, PRIME-RTX5080-O16G, 16GB GDDR7, HDMI, 3x DP</t>
  </si>
  <si>
    <t>https://geizhals.eu/asus-prime-geforce-rtx-5080-oc-90yv0lx0-m0na00-a3382462.html?hloc=at&amp;hloc=de&amp;hloc=eu&amp;hloc=pl&amp;hloc=uk</t>
  </si>
  <si>
    <t>90YV0LX0-M0NA00</t>
  </si>
  <si>
    <t>ASUS Prime GeForce RTX 5070 Ti, PRIME-RTX5070TI-16G, 16GB GDDR7, HDMI, 3x DP</t>
  </si>
  <si>
    <t>https://geizhals.eu/asus-prime-geforce-rtx-5070-ti-a3382469.html?hloc=at&amp;hloc=de&amp;hloc=eu&amp;hloc=pl&amp;hloc=uk</t>
  </si>
  <si>
    <t>90YV0MF1-M0NA00</t>
  </si>
  <si>
    <t>ASUS Prime GeForce RTX 5070 Ti OC, PRIME-RTX5070TI-O16G, 16GB GDDR7, HDMI, 3x DP</t>
  </si>
  <si>
    <t>https://geizhals.eu/asus-prime-geforce-rtx-5070-ti-oc-a3382468.html?hloc=at&amp;hloc=de&amp;hloc=eu&amp;hloc=pl&amp;hloc=uk</t>
  </si>
  <si>
    <t>90YV0MF0-M0NA00</t>
  </si>
  <si>
    <t>ASUS Prime GeForce RTX 4070 SUPER, PRIME-RTX4070S-O12G, 12GB GDDR6X, HDMI, 3x DP</t>
  </si>
  <si>
    <t>https://geizhals.eu/asus-prime-geforce-rtx-4070-super-90yv0kc6-m0na00-a3214432.html?hloc=at&amp;hloc=de&amp;hloc=eu&amp;hloc=pl&amp;hloc=uk</t>
  </si>
  <si>
    <t>90YV0KC6-M0NA00</t>
  </si>
  <si>
    <t>ASUS Prime GeForce RTX 4070 OC, PRIME-RTX4070-O12G, 12GB GDDR6X, HDMI, 3x DP</t>
  </si>
  <si>
    <t>https://geizhals.eu/asus-prime-geforce-rtx-4070-oc-a3214505.html?hloc=at&amp;hloc=de&amp;hloc=eu&amp;hloc=pl&amp;hloc=uk</t>
  </si>
  <si>
    <t>90YV0J19-M0NA00</t>
  </si>
  <si>
    <t>ASUS Phoenix Radeon RX 6400, PH-RX6400-4G, 4GB GDDR6, HDMI, DP</t>
  </si>
  <si>
    <t>https://geizhals.eu/asus-phoenix-radeon-rx-6400-90yv0h91-m0na00-a2718782.html?hloc=at&amp;hloc=de&amp;hloc=eu&amp;hloc=pl&amp;hloc=uk</t>
  </si>
  <si>
    <t>90YV0H91-M0NA00</t>
  </si>
  <si>
    <t>ASUS Phoenix GeForce RTX 3060 V2, PH-RTX3060-12G-V2, 12GB GDDR6, HDMI, 3x DP</t>
  </si>
  <si>
    <t>https://geizhals.eu/asus-phoenix-geforce-rtx-3060-v2-90yv0gb4-m0na10-a2542060.html?hloc=at&amp;hloc=de&amp;hloc=eu&amp;hloc=pl&amp;hloc=uk</t>
  </si>
  <si>
    <t>90YV0GB4-M0NA10</t>
  </si>
  <si>
    <t>ASUS Phoenix GeForce RTX 3050, PH-RTX3050-8G, 8GB GDDR6, HDMI, 3x DP</t>
  </si>
  <si>
    <t>https://geizhals.eu/asus-phoenix-geforce-rtx-3050-90yv0hh2-m0na00-a2665433.html?hloc=at&amp;hloc=de&amp;hloc=eu&amp;hloc=pl&amp;hloc=uk</t>
  </si>
  <si>
    <t>90YV0HH2-M0NA00</t>
  </si>
  <si>
    <t>ASUS Phoenix GeForce RTX 3050 V2, PH-RTX3050-8G-V2, 8GB GDDR6, DVI, HDMI, DP</t>
  </si>
  <si>
    <t>https://geizhals.eu/asus-phoenix-geforce-rtx-3050-v2-90yv0gh8-m0na00-a2951517.html?hloc=at&amp;hloc=de&amp;hloc=eu&amp;hloc=pl&amp;hloc=uk</t>
  </si>
  <si>
    <t>90YV0GH8-M0NA00</t>
  </si>
  <si>
    <t>ASUS Noctua GeForce RTX 4080 SUPER OC Edition, RTX4080S-O16G-NOCTUA, 16GB GDDR6X, 2x HDMI, 3x DP</t>
  </si>
  <si>
    <t>https://geizhals.eu/asus-noctua-geforce-rtx-4080-super-oc-edition-a3114197.html?hloc=at&amp;hloc=de&amp;hloc=eu&amp;hloc=pl&amp;hloc=uk</t>
  </si>
  <si>
    <t>90YV0KA2-M0NA00</t>
  </si>
  <si>
    <t>ASUS GeForce RTX 4080 Noctua OC, RTX4080-O16G-NOCTUA, 16GB GDDR6X, 2x HDMI, 3x DP</t>
  </si>
  <si>
    <t>https://geizhals.eu/asus-geforce-rtx-4080-noctua-oc-edition-a2872039.html?hloc=at&amp;hloc=de&amp;hloc=eu&amp;hloc=pl&amp;hloc=uk</t>
  </si>
  <si>
    <t>90YV0IB2-M0NA00</t>
  </si>
  <si>
    <t>ASUS GeForce RTX 4060 LP BRK OC, RTX4060-O8G-LP-BRK, 8GB GDDR6, 2x HDMI, 2x DP</t>
  </si>
  <si>
    <t>https://geizhals.eu/asus-geforce-rtx-4060-lp-brk-oc-a3104771.html?hloc=at&amp;hloc=de&amp;hloc=eu&amp;hloc=pl&amp;hloc=uk</t>
  </si>
  <si>
    <t>90YV0JL0-M0NA00</t>
  </si>
  <si>
    <t>ASUS GeForce RTX 3050 OC, RTX3050-O6G-LP-BRK, 6GB GDDR6, DVI, HDMI, DP</t>
  </si>
  <si>
    <t>https://geizhals.eu/asus-geforce-rtx-3050-oc-a3117233.html?hloc=at&amp;hloc=de&amp;hloc=eu&amp;hloc=pl&amp;hloc=uk</t>
  </si>
  <si>
    <t>90YV0KQ0-M0NA00</t>
  </si>
  <si>
    <t>ASUS Dual Radeon RX 7900 XTX OC, DUAL-RX7900XTX-O24G, 24GB GDDR6, HDMI, 3x DP</t>
  </si>
  <si>
    <t>https://geizhals.eu/asus-dual-radeon-rx-7900-xtx-oc-a3183045.html?hloc=at&amp;hloc=de&amp;hloc=eu&amp;hloc=pl&amp;hloc=uk</t>
  </si>
  <si>
    <t>90YV0IG2-M0NA00</t>
  </si>
  <si>
    <t>ASUS Dual Radeon RX 7900 XT OC, DUAL-RX7900XT-O20G, 20GB GDDR6, HDMI, 3x DP</t>
  </si>
  <si>
    <t>https://geizhals.eu/asus-dual-radeon-rx-7900-xt-oc-a3183032.html?hloc=at&amp;hloc=de&amp;hloc=eu&amp;hloc=pl&amp;hloc=uk</t>
  </si>
  <si>
    <t>90YV0IV2-M0NA00</t>
  </si>
  <si>
    <t>ASUS Dual Radeon RX 7900 GRE OC, DUAL-RX7900GRE-O16G, 16GB GDDR6, HDMI, 3x DP</t>
  </si>
  <si>
    <t>https://geizhals.eu/asus-dual-radeon-rx-7900-gre-oc-a3139011.html?hloc=at&amp;hloc=de&amp;hloc=eu&amp;hloc=pl&amp;hloc=uk</t>
  </si>
  <si>
    <t>90YV0J90-M0NA00</t>
  </si>
  <si>
    <t>ASUS Dual Radeon RX 7800 XT OC, DUAL-RX7800XT-O16G, 16GB GDDR6, HDMI, 3x DP</t>
  </si>
  <si>
    <t>https://geizhals.eu/asus-dual-radeon-rx-7800-xt-oc-90yv0jj1-m0na00-a3109746.html?hloc=at&amp;hloc=de&amp;hloc=eu&amp;hloc=pl&amp;hloc=uk</t>
  </si>
  <si>
    <t>90YV0JJ1-M0NA00</t>
  </si>
  <si>
    <t>ASUS Dual Radeon RX 7700 XT OC, DUAL-RX7700XT-O12G, 12GB GDDR6, HDMI, 3x DP</t>
  </si>
  <si>
    <t>https://geizhals.eu/asus-dual-radeon-rx-7700-xt-oc-90yv0jz0-m0na00-a3107849.html?hloc=at&amp;hloc=de&amp;hloc=eu&amp;hloc=pl&amp;hloc=uk</t>
  </si>
  <si>
    <t>90YV0JZ0-M0NA00</t>
  </si>
  <si>
    <t>ASUS Dual Radeon RX 7600 XT OC, DUAL-RX7600XT-O16G, 16GB GDDR6, HDMI, 3x DP</t>
  </si>
  <si>
    <t>https://geizhals.eu/asus-dual-radeon-rx-7600-xt-oc-90yv0k21-m0na00-a3109721.html?hloc=at&amp;hloc=de&amp;hloc=eu&amp;hloc=pl&amp;hloc=uk</t>
  </si>
  <si>
    <t>90YV0K21-M0NA00</t>
  </si>
  <si>
    <t>ASUS Dual Radeon RX 7600 OC, DUAL-RX7600-O8G, 8GB GDDR6, HDMI, 3x DP</t>
  </si>
  <si>
    <t>https://geizhals.eu/asus-dual-radeon-rx-7600-oc-90yv0ih1-m0na00-a2955323.html?hloc=at&amp;hloc=de&amp;hloc=eu&amp;hloc=pl&amp;hloc=uk</t>
  </si>
  <si>
    <t>90YV0IH1-M0NA00</t>
  </si>
  <si>
    <t>ASUS Dual Radeon RX 7600 OC V2, DUAL-RX7600-O8G-V2, 8GB GDDR6, HDMI, 3x DP</t>
  </si>
  <si>
    <t>https://geizhals.eu/asus-dual-radeon-rx-7600-oc-v2-90yv0ih2-m0na00-a2955333.html?hloc=at&amp;hloc=de&amp;hloc=eu&amp;hloc=pl&amp;hloc=uk</t>
  </si>
  <si>
    <t>90YV0IH2-M0NA00</t>
  </si>
  <si>
    <t>ASUS Dual Radeon RX 7600 EVO OC, DUAL-RX7600-O8G-EVO, 8GB GDDR6, HDMI, 3x DP</t>
  </si>
  <si>
    <t>https://geizhals.eu/asus-dual-radeon-rx-7600-evo-oc-90yv0ld0-m0na00-a3336255.html?hloc=at&amp;hloc=de&amp;hloc=eu&amp;hloc=pl&amp;hloc=uk</t>
  </si>
  <si>
    <t>90YV0LD0-M0NA00</t>
  </si>
  <si>
    <t>ASUS Dual Radeon RX 6600 V3, DUAL-RX6600-8G-V3, 8GB GDDR6, HDMI, 3x DP</t>
  </si>
  <si>
    <t>https://geizhals.eu/asus-dual-radeon-rx-6600-v3-90yv0gp3-m0na00-a3336253.html?hloc=at&amp;hloc=de&amp;hloc=eu&amp;hloc=pl&amp;hloc=uk</t>
  </si>
  <si>
    <t>90YV0GP3-M0NA00</t>
  </si>
  <si>
    <t>ASUS Dual GeForce RTX 4070, DUAL-RTX4070-12G, 12GB GDDR6X, HDMI, 3x DP</t>
  </si>
  <si>
    <t>https://geizhals.eu/asus-dual-geforce-rtx-4070-90yv0iz3-m0na00-a2930751.html?hloc=at&amp;hloc=de&amp;hloc=eu&amp;hloc=pl&amp;hloc=uk</t>
  </si>
  <si>
    <t>90YV0IZ3-M0NA00</t>
  </si>
  <si>
    <t>ASUS Dual GeForce RTX 4070 White, DUAL-RTX4070-12G-WHITE, 12GB GDDR6X, HDMI, 3x DP</t>
  </si>
  <si>
    <t>https://geizhals.eu/asus-dual-geforce-rtx-4070-white-edition-90yv0iz5-m0na00-a2930752.html?hloc=at&amp;hloc=de&amp;hloc=eu&amp;hloc=pl&amp;hloc=uk</t>
  </si>
  <si>
    <t>90YV0IZ5-M0NA00</t>
  </si>
  <si>
    <t>ASUS Dual GeForce RTX 4070 White OC, DUAL-RTX4070-O12G-WHITE, 12GB GDDR6X, HDMI, 3x DP</t>
  </si>
  <si>
    <t>https://geizhals.eu/asus-dual-geforce-rtx-4070-white-oc-edition-90yv0iz4-m0na00-a2930754.html?hloc=at&amp;hloc=de&amp;hloc=eu&amp;hloc=pl&amp;hloc=uk</t>
  </si>
  <si>
    <t>90YV0IZ4-M0NA00</t>
  </si>
  <si>
    <t>ASUS Dual GeForce RTX 4070 Ti SUPER OC, DUAL-RTX4070TIS-O16G, 16GB GDDR6X, HDMI, 3x DP</t>
  </si>
  <si>
    <t>https://geizhals.eu/asus-dual-geforce-rtx-4070-ti-super-oc-90yv0kf3-m0na00-a3160312.html?hloc=at&amp;hloc=de&amp;hloc=eu&amp;hloc=pl&amp;hloc=uk</t>
  </si>
  <si>
    <t>90YV0KF3-M0NA00</t>
  </si>
  <si>
    <t>ASUS Dual GeForce RTX 4070 SUPER, DUAL-RTX4070S-12G, 12GB GDDR6X, HDMI, 3x DP</t>
  </si>
  <si>
    <t>https://geizhals.eu/asus-dual-geforce-rtx-4070-super-a3097851.html?hloc=at&amp;hloc=de&amp;hloc=eu&amp;hloc=pl&amp;hloc=uk</t>
  </si>
  <si>
    <t>90YV0K83-M0NA00</t>
  </si>
  <si>
    <t>ASUS Dual GeForce RTX 4070 SUPER White OC, DUAL-RTX4070S-O12G-WHITE, 12GB GDDR6X, HDMI, 3x DP</t>
  </si>
  <si>
    <t>https://geizhals.eu/asus-dual-geforce-rtx-4070-super-white-oc-a3097824.html?hloc=at&amp;hloc=de&amp;hloc=eu&amp;hloc=pl&amp;hloc=uk</t>
  </si>
  <si>
    <t>90YV0K84-M0NA00</t>
  </si>
  <si>
    <t>ASUS Dual GeForce RTX 4070 SUPER OC, DUAL-RTX4070S-O12G, 12GB GDDR6X, HDMI, 3x DP</t>
  </si>
  <si>
    <t>https://geizhals.eu/asus-dual-geforce-rtx-4070-super-oc-a3097863.html?hloc=at&amp;hloc=de&amp;hloc=eu&amp;hloc=pl&amp;hloc=uk</t>
  </si>
  <si>
    <t>90YV0K82-M0NA00 / 90YV0K82-M0AA00</t>
  </si>
  <si>
    <t>ASUS Dual GeForce RTX 4070 SUPER EVO, DUAL-RTX4070S-12G-EVO, 12GB GDDR6X, HDMI, 3x DP</t>
  </si>
  <si>
    <t>https://geizhals.eu/asus-dual-geforce-rtx-4070-super-evo-a3097873.html?hloc=at&amp;hloc=de&amp;hloc=eu&amp;hloc=pl&amp;hloc=uk</t>
  </si>
  <si>
    <t>90YV0KC1-M0NA00</t>
  </si>
  <si>
    <t>ASUS Dual GeForce RTX 4070 SUPER EVO White OC, DUAL-RTX4070S-O12G-EVO-WHITE, 12GB GDDR6X, HDMI, 3x DP</t>
  </si>
  <si>
    <t>https://geizhals.eu/asus-dual-geforce-rtx-4070-super-evo-white-oc-90yv0kc8-m0na00-a3220209.html?hloc=at&amp;hloc=de&amp;hloc=eu&amp;hloc=pl&amp;hloc=uk</t>
  </si>
  <si>
    <t>90YV0KC8-M0NA00</t>
  </si>
  <si>
    <t>ASUS Dual GeForce RTX 4070 SUPER EVO OC, DUAL-RTX4070S-O12G-EVO, 12GB GDDR6X, HDMI, 3x DP</t>
  </si>
  <si>
    <t>https://geizhals.eu/asus-dual-geforce-rtx-4070-super-evo-oc-a3097912.html?hloc=at&amp;hloc=de&amp;hloc=eu&amp;hloc=pl&amp;hloc=uk</t>
  </si>
  <si>
    <t>90YV0KC0-M0NA00</t>
  </si>
  <si>
    <t>ASUS Dual GeForce RTX 4070 OC, DUAL-RTX4070-O12G, 12GB GDDR6X, HDMI, 3x DP</t>
  </si>
  <si>
    <t>https://geizhals.eu/asus-dual-geforce-rtx-4070-oc-edition-90yv0iz2-m0na00-a2930755.html?hloc=at&amp;hloc=de&amp;hloc=eu&amp;hloc=pl&amp;hloc=uk</t>
  </si>
  <si>
    <t>90YV0IZ2-M0NA00</t>
  </si>
  <si>
    <t>ASUS Dual GeForce RTX 4070 EVO White OC, DUAL-RTX4070-O12G-EVO-WHITE, 12GB GDDR6X, HDMI, 3x DP</t>
  </si>
  <si>
    <t>https://geizhals.eu/asus-dual-geforce-rtx-4070-evo-white-oc-a3294357.html?hloc=at&amp;hloc=de&amp;hloc=eu&amp;hloc=pl&amp;hloc=uk</t>
  </si>
  <si>
    <t>90YV0J17-M0NA00</t>
  </si>
  <si>
    <t>ASUS Dual GeForce RTX 4070 EVO OC, DUAL-RTX4070-O12GD6-EVO, 12GB GDDR6, HDMI, 3x DP</t>
  </si>
  <si>
    <t>https://geizhals.eu/asus-dual-geforce-rtx-4070-evo-oc-a3294387.html?hloc=at&amp;hloc=de&amp;hloc=eu&amp;hloc=pl&amp;hloc=uk</t>
  </si>
  <si>
    <t>90YV0LM0-M0NA00</t>
  </si>
  <si>
    <t>ASUS Dual GeForce RTX 4070 EVO OC, DUAL-RTX4070-O12G-EVO, 12GB GDDR6X, HDMI, 3x DP</t>
  </si>
  <si>
    <t>https://geizhals.eu/asus-dual-geforce-rtx-4070-evo-oc-90yv0j15-m0na00-a3105789.html?hloc=at&amp;hloc=de&amp;hloc=eu&amp;hloc=pl&amp;hloc=uk</t>
  </si>
  <si>
    <t>90YV0J15-M0NA00</t>
  </si>
  <si>
    <t>ASUS Dual GeForce RTX 4060 White, DUAL-RTX4060-8G-WHITE, 8GB GDDR6, HDMI, 3x DP</t>
  </si>
  <si>
    <t>https://geizhals.eu/asus-dual-geforce-rtx-4060-white-90yv0jc3-m0na00-a2976268.html?hloc=at&amp;hloc=de&amp;hloc=eu&amp;hloc=pl&amp;hloc=uk</t>
  </si>
  <si>
    <t>90YV0JC3-M0NA00</t>
  </si>
  <si>
    <t>ASUS Dual GeForce RTX 4060 White OC, DUAL-RTX4060-O8G, 8GB GDDR6, HDMI, 3x DP</t>
  </si>
  <si>
    <t>https://geizhals.eu/asus-dual-geforce-rtx-4060-white-oc-90yv0jc2-m0na00-a2976269.html?hloc=at&amp;hloc=de&amp;hloc=eu&amp;hloc=pl&amp;hloc=uk</t>
  </si>
  <si>
    <t>90YV0JC2-M0NA00</t>
  </si>
  <si>
    <t>ASUS Dual GeForce RTX 4060 Ti, DUAL-RTX4060TI-8G, 8GB GDDR6, HDMI, 3x DP</t>
  </si>
  <si>
    <t>https://geizhals.eu/asus-dual-geforce-rtx-4060-ti-90yv0j41-m0na00-a2951629.html?hloc=at&amp;hloc=de&amp;hloc=eu&amp;hloc=pl&amp;hloc=uk</t>
  </si>
  <si>
    <t>90YV0J41-M0NA00</t>
  </si>
  <si>
    <t>ASUS Dual GeForce RTX 4060 Ti White, DUAL-RTX4060TI-8G-WHITE, 8GB GDDR6, HDMI, 3x DP</t>
  </si>
  <si>
    <t>https://geizhals.eu/asus-dual-geforce-rtx-4060-ti-white-90yv0j43-m0na00-a2951631.html?hloc=at&amp;hloc=de&amp;hloc=eu&amp;hloc=pl&amp;hloc=uk</t>
  </si>
  <si>
    <t>90YV0J43-M0NA00</t>
  </si>
  <si>
    <t>ASUS Dual GeForce RTX 4060 Ti White OC, DUAL-RTX4060TI-O8G-WHITE, 8GB GDDR6, HDMI, 3x DP</t>
  </si>
  <si>
    <t>https://geizhals.eu/asus-dual-geforce-rtx-4060-ti-white-oc-90yv0j42-m0na00-a2951630.html?hloc=at&amp;hloc=de&amp;hloc=eu&amp;hloc=pl&amp;hloc=uk</t>
  </si>
  <si>
    <t>90YV0J42-M0NA00</t>
  </si>
  <si>
    <t>ASUS Dual GeForce RTX 4060 Ti OC, DUAL-RTX4060TI-O8G, 8GB GDDR6, HDMI, 3x DP</t>
  </si>
  <si>
    <t>https://geizhals.eu/asus-dual-geforce-rtx-4060-ti-oc-90yv0j40-m0na00-a2951628.html?hloc=at&amp;hloc=de&amp;hloc=eu&amp;hloc=pl&amp;hloc=uk</t>
  </si>
  <si>
    <t>90YV0J40-M0NA00</t>
  </si>
  <si>
    <t>ASUS Dual GeForce RTX 4060 Ti OC, DUAL-RTX4060TI-O16G, 16GB GDDR6, HDMI, 3x DP</t>
  </si>
  <si>
    <t>https://geizhals.eu/asus-dual-geforce-rtx-4060-ti-oc-a2980493.html?hloc=at&amp;hloc=de&amp;hloc=eu&amp;hloc=pl&amp;hloc=uk</t>
  </si>
  <si>
    <t>90YV0JH0-M0NA00</t>
  </si>
  <si>
    <t>ASUS Dual GeForce RTX 4060 Ti OC V2, DUAL-RTX4060TI-O8G-V2, 8GB GDDR6, HDMI, 3x DP, bulk</t>
  </si>
  <si>
    <t>https://geizhals.eu/asus-dual-geforce-rtx-4060-ti-oc-v2-90yv0j47-m0nb00-a3084491.html?hloc=at&amp;hloc=de&amp;hloc=eu&amp;hloc=pl&amp;hloc=uk</t>
  </si>
  <si>
    <t>90YV0J47-M0NB00</t>
  </si>
  <si>
    <t>ASUS Dual GeForce RTX 4060 Ti EVO, DUAL-RTX4060TI-8G-EVO, 8GB GDDR6, HDMI, 3x DP</t>
  </si>
  <si>
    <t>https://geizhals.eu/asus-dual-geforce-rtx-4060-ti-evo-90yv0j48-m0na00-a3126949.html?hloc=at&amp;hloc=de&amp;hloc=eu&amp;hloc=pl&amp;hloc=uk</t>
  </si>
  <si>
    <t>90YV0J48-M0NA00</t>
  </si>
  <si>
    <t>ASUS Dual GeForce RTX 4060 Ti EVO White OC, DUAL-RTX4060TI-O8G-EVO-WHITE, 8GB GDDR6, HDMI, 3x DP</t>
  </si>
  <si>
    <t>https://geizhals.eu/asus-dual-geforce-rtx-4060-ti-evo-white-oc-90yv0j4b-m0na00-a3328009.html?hloc=at&amp;hloc=de&amp;hloc=eu&amp;hloc=pl&amp;hloc=uk</t>
  </si>
  <si>
    <t>90YV0J4B-M0NA00</t>
  </si>
  <si>
    <t>ASUS Dual GeForce RTX 4060 Ti EVO OC, DUAL-RTX4060TI-O8G-EVO, 8GB GDDR6, HDMI, 3x DP</t>
  </si>
  <si>
    <t>https://geizhals.eu/asus-dual-geforce-rtx-4060-ti-evo-oc-90yv0j49-m0na00-a3115258.html?hloc=at&amp;hloc=de&amp;hloc=eu&amp;hloc=pl&amp;hloc=uk</t>
  </si>
  <si>
    <t>90YV0J49-M0NA00</t>
  </si>
  <si>
    <t>ASUS Dual GeForce RTX 4060 Ti EVO OC, DUAL-RTX4060TI-O16G-EVO, 16GB GDDR6, HDMI, 3x DP</t>
  </si>
  <si>
    <t>https://geizhals.eu/asus-dual-geforce-rtx-4060-ti-evo-oc-90yv0jh8-m0na00-a3196757.html?hloc=at&amp;hloc=de&amp;hloc=eu&amp;hloc=pl&amp;hloc=uk</t>
  </si>
  <si>
    <t>90YV0JH8-M0NA00</t>
  </si>
  <si>
    <t>ASUS Dual GeForce RTX 4060 Ti Advanced, DUAL-RTX4060TI-A16G, 16GB GDDR6, HDMI, 3x DP</t>
  </si>
  <si>
    <t>https://geizhals.eu/asus-dual-geforce-rtx-4060-ti-advanced-90yv0jh7-m0na00-a2987635.html?hloc=at&amp;hloc=de&amp;hloc=eu&amp;hloc=pl&amp;hloc=uk</t>
  </si>
  <si>
    <t>90YV0JH7-M0NA00</t>
  </si>
  <si>
    <t>ASUS Dual GeForce RTX 4060 OC, DUAL-RTX4060-O8G-V2, 8GB GDDR6, HDMI, 3x DP, bulk</t>
  </si>
  <si>
    <t>https://geizhals.eu/asus-dual-geforce-rtx-4060-oc-90yv0jc4-m0nb00-a3082848.html?hloc=at&amp;hloc=de&amp;hloc=eu&amp;hloc=pl&amp;hloc=uk</t>
  </si>
  <si>
    <t>90YV0JC4-M0NB00</t>
  </si>
  <si>
    <t>ASUS Dual GeForce RTX 4060 OC, DUAL-RTX4060-O8G-V2, 8GB GDDR6, HDMI, 3x DP</t>
  </si>
  <si>
    <t>https://geizhals.eu/asus-dual-geforce-rtx-4060-oc-90yv0jc4-m0na00-a3273115.html?hloc=at&amp;hloc=de&amp;hloc=eu&amp;hloc=pl&amp;hloc=uk</t>
  </si>
  <si>
    <t>90YV0JC4-M0NA00</t>
  </si>
  <si>
    <t>ASUS Dual GeForce RTX 4060 OC, DUAL-RTX4060-O8G, 8GB GDDR6, HDMI, 3x DP</t>
  </si>
  <si>
    <t>https://geizhals.eu/asus-dual-geforce-rtx-4060-oc-90yv0jc0-m0na00-a2975626.html?hloc=at&amp;hloc=de&amp;hloc=eu&amp;hloc=pl&amp;hloc=uk</t>
  </si>
  <si>
    <t>90YV0JC0-M0NA00</t>
  </si>
  <si>
    <t>ASUS Dual GeForce RTX 4060 EVO OC, DUAL-RTX4060-O8G-EVO, 8GB GDDR6, HDMI, 3x DP, retail</t>
  </si>
  <si>
    <t>https://geizhals.eu/asus-dual-geforce-rtx-4060-oc-90yv0jc7-m0na00-a3115784.html?hloc=at&amp;hloc=de&amp;hloc=eu&amp;hloc=pl&amp;hloc=uk</t>
  </si>
  <si>
    <t>90YV0JC7-M0NA00</t>
  </si>
  <si>
    <t>ASUS Dual GeForce RTX 4060 EVO OC White, DUAL-RTX4060-O8G-EVO-WHITE, 8GB GDDR6, HDMI, 3x DP, retail</t>
  </si>
  <si>
    <t>https://geizhals.eu/asus-dual-geforce-rtx-4060-evo-oc-white-90yv0jcb-m0na00-a3300728.html?hloc=at&amp;hloc=de&amp;hloc=eu&amp;hloc=pl&amp;hloc=uk</t>
  </si>
  <si>
    <t>90YV0JCB-M0NA00</t>
  </si>
  <si>
    <t>ASUS Dual GeForce RTX 3070 V2 (LHR), DUAL-RTX3070-8G-V2, 8GB GDDR6, 2x HDMI, 3x DP</t>
  </si>
  <si>
    <t>https://geizhals.eu/asus-dual-geforce-rtx-3070-v2-90yv0fq1-m0na10-a2543984.html?hloc=at&amp;hloc=de&amp;hloc=eu&amp;hloc=pl&amp;hloc=uk</t>
  </si>
  <si>
    <t>90YV0FQD-M0NA00</t>
  </si>
  <si>
    <t>ASUS Dual GeForce RTX 3070 OC V2 (LHR), DUAL-RTX3070-O8G-V2, 8GB GDDR6, 2x HDMI, 3x DP</t>
  </si>
  <si>
    <t>https://geizhals.eu/asus-dual-geforce-rtx-3070-v2-oc-90yv0fq0-m0na10-a2543983.html?hloc=at&amp;hloc=de&amp;hloc=eu&amp;hloc=pl&amp;hloc=uk</t>
  </si>
  <si>
    <t>90YV0FQC-M0NA00</t>
  </si>
  <si>
    <t>ASUS Dual GeForce RTX 3060, DUAL-RTX3060-8G, 8GB GDDR6, HDMI, 3x DP</t>
  </si>
  <si>
    <t>https://geizhals.eu/asus-dual-geforce-rtx-3060-90yv0gb6-m0na00-a2857325.html?hloc=at&amp;hloc=de&amp;hloc=eu&amp;hloc=pl&amp;hloc=uk</t>
  </si>
  <si>
    <t>90YV0GB6-M0NA00</t>
  </si>
  <si>
    <t>ASUS Dual GeForce RTX 3060, DUAL-RTX3060-12G, 12GB GDDR6, HDMI, 3x DP</t>
  </si>
  <si>
    <t>https://geizhals.eu/asus-dual-geforce-rtx-3060-90yv0gb3-m0na00-a2473965.html?hloc=at&amp;hloc=de&amp;hloc=eu&amp;hloc=pl&amp;hloc=uk</t>
  </si>
  <si>
    <t>90YV0GB3-M0NA00</t>
  </si>
  <si>
    <t>ASUS Dual GeForce RTX 3060 White, DUAL-RTX3060-8G-WHITE, 8GB GDDR6, HDMI, 3x DP</t>
  </si>
  <si>
    <t>https://geizhals.eu/asus-dual-geforce-rtx-3060-white-90yv0gb8-m0na00-a2857308.html?hloc=at&amp;hloc=de&amp;hloc=eu&amp;hloc=pl&amp;hloc=uk</t>
  </si>
  <si>
    <t>90YV0GB8-M0NA00</t>
  </si>
  <si>
    <t>ASUS Dual GeForce RTX 3060 White OC, DUAL-RTX3060-O8G-WHITE, 8GB GDDR6, HDMI, 3x DP</t>
  </si>
  <si>
    <t>https://geizhals.eu/asus-dual-geforce-rtx-3060-white-oc-90yv0gb7-m0na00-a2857280.html?hloc=at&amp;hloc=de&amp;hloc=eu&amp;hloc=pl&amp;hloc=uk</t>
  </si>
  <si>
    <t>90YV0GB7-M0NA00</t>
  </si>
  <si>
    <t>ASUS Dual GeForce RTX 3060 V2, DUAL-RTX3060-12G-V2, 12GB GDDR6, HDMI, 3x DP</t>
  </si>
  <si>
    <t>https://geizhals.eu/asus-dual-geforce-rtx-3060-v2-90yv0gb3-m0na10-a2542057.html?hloc=at&amp;hloc=de&amp;hloc=eu&amp;hloc=pl&amp;hloc=uk</t>
  </si>
  <si>
    <t>90YV0GB3-M0NA10</t>
  </si>
  <si>
    <t>ASUS Dual GeForce RTX 3060 Ti, DUAL-RTX3060TI-8GD6X, 8GB GDDR6X, HDMI, 3x DP</t>
  </si>
  <si>
    <t>https://geizhals.eu/asus-dual-geforce-rtx-3060-ti-90yv0ip1-m0na00-a2856166.html?hloc=at&amp;hloc=de&amp;hloc=eu&amp;hloc=pl&amp;hloc=uk</t>
  </si>
  <si>
    <t>90YV0IP1-M0NA00</t>
  </si>
  <si>
    <t>ASUS Dual GeForce RTX 3060 Ti White, DUAL-RTX3060TI-8GD6X-WHITE, 8GB GDDR6X, HDMI, 3x DP</t>
  </si>
  <si>
    <t>https://geizhals.eu/asus-dual-geforce-rtx-3060-ti-white-90yv0ip3-m0na00-a2896948.html?hloc=at&amp;hloc=de&amp;hloc=eu&amp;hloc=pl&amp;hloc=uk</t>
  </si>
  <si>
    <t>90YV0IP3-M0NA00</t>
  </si>
  <si>
    <t>ASUS Dual GeForce RTX 3060 Ti White OC, DUAL-RTX3060TI-O8GD6X-WHITE, 8GB GDDR6X, HDMI, 3x DP</t>
  </si>
  <si>
    <t>https://geizhals.eu/asus-dual-geforce-rtx-3060-ti-oc-90yv0ip2-m0na00-a2882337.html?hloc=at&amp;hloc=de&amp;hloc=eu&amp;hloc=pl&amp;hloc=uk</t>
  </si>
  <si>
    <t>90YV0IP2-M0NA00</t>
  </si>
  <si>
    <t>ASUS Dual GeForce RTX 3060 Ti OC V2 (LHR), DUAL-RTX3060TI-O8G-V2, 8GB GDDR6, 2x HDMI, 3x DP</t>
  </si>
  <si>
    <t>https://geizhals.eu/asus-dual-geforce-rtx-3060-ti-v2-oc-90yv0g1j-m0na00-a2556245.html?hloc=at&amp;hloc=de&amp;hloc=eu&amp;hloc=pl&amp;hloc=uk</t>
  </si>
  <si>
    <t>90YV0G1J-M0NA00</t>
  </si>
  <si>
    <t>ASUS Dual GeForce RTX 3060 OC, DUAL-RTX3060-O8G, 8GB GDDR6, HDMI, 3x DP</t>
  </si>
  <si>
    <t>https://geizhals.eu/asus-dual-geforce-rtx-3060-oc-90yv0gb5-m0na00-a2846491.html?hloc=at&amp;hloc=de&amp;hloc=eu&amp;hloc=pl&amp;hloc=uk</t>
  </si>
  <si>
    <t>90YV0GB5-M0NA00</t>
  </si>
  <si>
    <t>ASUS Dual GeForce RTX 3060 OC V2, DUAL-RTX3060-O12G-V2, 12GB GDDR6, HDMI, 3x DP</t>
  </si>
  <si>
    <t>https://geizhals.eu/asus-dual-geforce-rtx-3060-oc-v2-90yv0gb2-m0na10-a2542048.html?hloc=at&amp;hloc=de&amp;hloc=eu&amp;hloc=pl&amp;hloc=uk</t>
  </si>
  <si>
    <t>90YV0GB2-M0NA10</t>
  </si>
  <si>
    <t>ASUS Dual GeForce RTX 3050, DUAL-RTX3050-8G, 8GB GDDR6, HDMI, 3x DP</t>
  </si>
  <si>
    <t>https://geizhals.eu/asus-dual-geforce-rtx-3050-90yv0hh1-m0na00-a2665424.html?hloc=at&amp;hloc=de&amp;hloc=eu&amp;hloc=pl&amp;hloc=uk</t>
  </si>
  <si>
    <t>90YV0HH1-M0NA00</t>
  </si>
  <si>
    <t>ASUS Dual GeForce RTX 3050, DUAL-RTX3050-6G, 6GB GDDR6, DVI, HDMI, DP</t>
  </si>
  <si>
    <t>https://geizhals.eu/asus-dual-geforce-rtx-3050-90yv0k61-m0na00-a3117146.html?hloc=at&amp;hloc=de&amp;hloc=eu&amp;hloc=pl&amp;hloc=uk</t>
  </si>
  <si>
    <t>90YV0K61-M0NA00</t>
  </si>
  <si>
    <t>ASUS Dual GeForce RTX 3050 OC, DUAL-RTX3050-O8G, 8GB GDDR6, HDMI, 3x DP</t>
  </si>
  <si>
    <t>https://geizhals.eu/asus-dual-geforce-rtx-3050-oc-90yv0hh0-m0na00-a2665418.html?hloc=at&amp;hloc=de&amp;hloc=eu&amp;hloc=pl&amp;hloc=uk</t>
  </si>
  <si>
    <t>90YV0HH0-M0NA00</t>
  </si>
  <si>
    <t>ASUS Dual GeForce RTX 3050 OC, DUAL-RTX3050-O6G, 6GB GDDR6, DVI, HDMI, DP</t>
  </si>
  <si>
    <t>https://geizhals.eu/asus-dual-geforce-rtx-3050-oc-90yv0k60-m0na00-a3117139.html?hloc=at&amp;hloc=de&amp;hloc=eu&amp;hloc=pl&amp;hloc=uk</t>
  </si>
  <si>
    <t>90YV0K60-M0NA00</t>
  </si>
  <si>
    <t>ASUS Dual GeForce RTX 3050 OC V2, DUAL-RTX3050-O8G-V2, 8GB GDDR6, DVI, HDMI, DP</t>
  </si>
  <si>
    <t>https://geizhals.eu/asus-dual-geforce-rtx-3050-v2-oc-90yv0gh6-m0na00-a2951299.html?hloc=at&amp;hloc=de&amp;hloc=eu&amp;hloc=pl&amp;hloc=uk</t>
  </si>
  <si>
    <t>90YV0GH6-M0NA00</t>
  </si>
  <si>
    <t>Acer Predator BiFrost Radeon RX 7800 XT OC, 16GB GDDR6, HDMI, 3x DP</t>
  </si>
  <si>
    <t>https://geizhals.eu/acer-predator-bifrost-radeon-rx-7800-xt-oc-dp-z3aww-p01-a3128737.html?hloc=at&amp;hloc=de&amp;hloc=eu&amp;hloc=pl&amp;hloc=uk</t>
  </si>
  <si>
    <t>DP.Z3AWW.P01</t>
  </si>
  <si>
    <t>Acer Predator BiFrost Radeon RX 7800 XT OC White, 16GB GDDR6, HDMI, 3x DP</t>
  </si>
  <si>
    <t>https://geizhals.eu/acer-predator-bifrost-radeon-rx-7800-xt-oc-white-dp-z3aww-p02-a3309044.html?hloc=at&amp;hloc=de&amp;hloc=eu&amp;hloc=pl&amp;hloc=uk</t>
  </si>
  <si>
    <t>DP.Z3AWW.P02</t>
  </si>
  <si>
    <t>Acer Predator BiFrost Radeon RX 7600 OC, 8GB GDDR6, HDMI, 3x DP</t>
  </si>
  <si>
    <t>https://geizhals.eu/acer-predator-bifrost-radeon-rx-7600-oc-dp-z36ww-p02-a2995610.html?hloc=at&amp;hloc=de&amp;hloc=eu&amp;hloc=pl&amp;hloc=uk</t>
  </si>
  <si>
    <t>DP.Z36WW.P02</t>
  </si>
  <si>
    <t>Acer Nitro Radeon RX 7800 XT OC 16G, 16GB GDDR6, HDMI, 3x DP</t>
  </si>
  <si>
    <t>https://geizhals.eu/acer-radeon-rx-7800-xt-nitro-oc-dp-z37ww-p01-a3125100.html?hloc=at&amp;hloc=de&amp;hloc=eu&amp;hloc=pl&amp;hloc=uk</t>
  </si>
  <si>
    <t>DP.Z37WW.P01</t>
  </si>
  <si>
    <t>Acer Nitro Radeon RX 7700 XT OC 12G, 12GB GDDR6, HDMI, 3x DP</t>
  </si>
  <si>
    <t>https://geizhals.eu/acer-nitro-radeon-rx-7700-xt-oc-12g-dp-z39ww-p01-a3137409.html?hloc=at&amp;hloc=de&amp;hloc=eu&amp;hloc=pl&amp;hloc=uk</t>
  </si>
  <si>
    <t>DP.Z39WW.P01</t>
  </si>
  <si>
    <t>Acer Nitro Radeon RX 7600 XT OC, 16GB GDDR6, HDMI, 3x DP</t>
  </si>
  <si>
    <t>https://geizhals.eu/acer-nitro-radeon-rx-7600-xt-oc-dp-z3lww-p02-a3128771.html?hloc=at&amp;hloc=de&amp;hloc=eu&amp;hloc=pl&amp;hloc=uk</t>
  </si>
  <si>
    <t>DP.Z3LWW.P02</t>
  </si>
  <si>
    <t>Brand</t>
  </si>
  <si>
    <t>Product</t>
  </si>
  <si>
    <t>FP16</t>
  </si>
  <si>
    <t>FP32</t>
  </si>
  <si>
    <t>FP64</t>
  </si>
  <si>
    <t>GDDR6</t>
  </si>
  <si>
    <t>GDDR6X</t>
  </si>
  <si>
    <t>GDDR7</t>
  </si>
  <si>
    <t>Memory Bus Width</t>
  </si>
  <si>
    <t>Memory Speed</t>
  </si>
  <si>
    <t>Memory Capacity</t>
  </si>
  <si>
    <t>Power Connection</t>
  </si>
  <si>
    <t>PCIe Version</t>
  </si>
  <si>
    <t>Physical Lanes</t>
  </si>
  <si>
    <t>Wired Lanes</t>
  </si>
  <si>
    <t>5, 4</t>
  </si>
  <si>
    <t>CUDA Ready</t>
  </si>
  <si>
    <t>Form Factor</t>
  </si>
  <si>
    <t>Chipset</t>
  </si>
  <si>
    <t>Modules</t>
  </si>
  <si>
    <t>M2 Slots</t>
  </si>
  <si>
    <t>SATA Slots</t>
  </si>
  <si>
    <t>ASRock A520M Phantom Gaming 4</t>
  </si>
  <si>
    <t>90-MXBEK0-A0UAYZ</t>
  </si>
  <si>
    <t>µATX</t>
  </si>
  <si>
    <t>1x M.2/​M-Key (PCIe 3.0 x4, 2280), 1x M.2/​M-Key (PCIe 3.0 x2/​SATA, 2280)</t>
  </si>
  <si>
    <t>4x SATA 6Gb/s (A520)</t>
  </si>
  <si>
    <t>https://geizhals.eu/asrock-a520m-phantom-gaming-4-90-mxbek0-a0uayz-a2419531.html?hloc=at&amp;hloc=de&amp;hloc=eu&amp;hloc=pl&amp;hloc=uk</t>
  </si>
  <si>
    <t>ASRock A520M Pro4</t>
  </si>
  <si>
    <t>90-MXBDU0-A0UAYZ</t>
  </si>
  <si>
    <t>1x M.2/​M-Key (PCIe 3.0 x4, 2280), 1x M.2/​M-Key (PCIe 3.0 x2/​SATA, 2280), 1x M.2/​E-Key (2230)</t>
  </si>
  <si>
    <t>https://geizhals.eu/asrock-a520m-pro4-a2353194.html?hloc=at&amp;hloc=de&amp;hloc=eu&amp;hloc=pl&amp;hloc=uk</t>
  </si>
  <si>
    <t>ASRock A520M-HDV</t>
  </si>
  <si>
    <t>90-MXBE50-A0UAYZ</t>
  </si>
  <si>
    <t>1x M.2/​M-Key (PCIe 3.0 x4/​SATA, 2280/​2260/​2242)</t>
  </si>
  <si>
    <t>https://geizhals.eu/asrock-a520m-hdv-a2354121.html?hloc=at&amp;hloc=de&amp;hloc=eu&amp;hloc=pl&amp;hloc=uk</t>
  </si>
  <si>
    <t>ASRock A520M-HVS</t>
  </si>
  <si>
    <t>90-MXBE60-A0UAYZ</t>
  </si>
  <si>
    <t>https://geizhals.eu/asrock-a520m-hvs-90-mxbe60-a0uayz-a2353202.html?hloc=at&amp;hloc=de&amp;hloc=eu&amp;hloc=pl&amp;hloc=uk</t>
  </si>
  <si>
    <t>ASRock A520M-ITX/ac</t>
  </si>
  <si>
    <t>90-MXBDG0-A0UAYZ</t>
  </si>
  <si>
    <t>Mini-ITX</t>
  </si>
  <si>
    <t>1x M.2/​M-Key (PCIe 3.0 x4/​SATA, 2280), 1x M.2/​E-Key (2230, belegt mit WiFi+BT-Modul)</t>
  </si>
  <si>
    <t>https://geizhals.eu/asrock-a520m-itx-ac-90-mxbdg0-a0uayz-a2353217.html?hloc=at&amp;hloc=de&amp;hloc=eu&amp;hloc=pl&amp;hloc=uk</t>
  </si>
  <si>
    <t>ASRock A620I Lightning WiFi</t>
  </si>
  <si>
    <t>90-MXBMN0-A0UAYZ</t>
  </si>
  <si>
    <t>1x M.2/​M-Key (PCIe 4.0 x4, 2280), 1x M.2/​M-Key (PCIe 3.0 x4, 2280, Rückseite), 1x M.2/​E-Key (2230, belegt mit WiFi+BT-Modul)</t>
  </si>
  <si>
    <t>2x SATA 6Gb/s (A620)</t>
  </si>
  <si>
    <t>https://geizhals.eu/asrock-a620i-lightning-wifi-90-mxbmn0-a0uayz-a3046191.html?hloc=at&amp;hloc=de&amp;hloc=eu&amp;hloc=pl&amp;hloc=uk</t>
  </si>
  <si>
    <t>ASRock A620M Pro RS</t>
  </si>
  <si>
    <t>90-MXBLN0-A0UAYZ</t>
  </si>
  <si>
    <t>2x M.2/​M-Key (PCIe 4.0 x4, 2280/​2260), 1x M.2/​M-Key (PCIe 3.0 x2, 2280/​2260), 1x M.2/​E-Key (2230)</t>
  </si>
  <si>
    <t>4x SATA 6Gb/s (A620)</t>
  </si>
  <si>
    <t>https://geizhals.eu/asrock-a620m-pro-rs-a2925207.html?hloc=at&amp;hloc=de&amp;hloc=eu&amp;hloc=pl&amp;hloc=uk</t>
  </si>
  <si>
    <t>ASRock A620M Pro RS WiFi</t>
  </si>
  <si>
    <t>90-MXBLX0-A0UAYZ</t>
  </si>
  <si>
    <t>2x M.2/​M-Key (PCIe 4.0 x4, 2280/​2260), 1x M.2/​M-Key (PCIe 3.0 x2, 2280/​2260), 1x M.2/​E-Key (2230, belegt mit WiFi+BT-Modul)</t>
  </si>
  <si>
    <t>https://geizhals.eu/asrock-a620m-pro-rs-wifi-a2925236.html?hloc=at&amp;hloc=de&amp;hloc=eu&amp;hloc=pl&amp;hloc=uk</t>
  </si>
  <si>
    <t>ASRock A620M-HDV/M.2</t>
  </si>
  <si>
    <t>90-MXBLL0-A0UAYZ</t>
  </si>
  <si>
    <t>1x M.2/​M-Key (PCIe 4.0 x4, 2280), 1x M.2/​M-Key (PCIe 3.0 x2/​SATA, 2280/​2260), 1x M.2/​E-Key (2230)</t>
  </si>
  <si>
    <t>https://geizhals.eu/asrock-a620m-hdv-m-2-a2924757.html?hloc=at&amp;hloc=de&amp;hloc=eu&amp;hloc=pl&amp;hloc=uk</t>
  </si>
  <si>
    <t>ASRock A620M-HDV/M.2+</t>
  </si>
  <si>
    <t>90-MXBLK0-A0UAYZ</t>
  </si>
  <si>
    <t>1x M.2/​M-Key (PCIe 4.0 x4, 2280), 1x M.2/​M-Key (PCIe 4.0 x4, 2280/​2260), 1x M.2/​E-Key (2230)</t>
  </si>
  <si>
    <t>https://geizhals.eu/asrock-a620m-hdv-m-2-a2924859.html?hloc=at&amp;hloc=de&amp;hloc=eu&amp;hloc=pl&amp;hloc=uk</t>
  </si>
  <si>
    <t>ATX</t>
  </si>
  <si>
    <t>4x SATA 6Gb/s (B450)</t>
  </si>
  <si>
    <t>ASRock B550 PG Riptide</t>
  </si>
  <si>
    <t>90-MXBGH0-A0UAYZ</t>
  </si>
  <si>
    <t>1x M.2/​M-Key (PCIe 4.0 x4, 2280/​2260/​2242), 1x M.2/​M-Key (PCIe 3.0 x4/​SATA, 22110/​2280/​2260/​2242), 1x M.2/​E-Key (2230)</t>
  </si>
  <si>
    <t>6x SATA 6Gb/s (B550)</t>
  </si>
  <si>
    <t>https://geizhals.eu/asrock-b550-pg-riptide-a2536114.html?hloc=at&amp;hloc=de&amp;hloc=eu&amp;hloc=pl&amp;hloc=uk</t>
  </si>
  <si>
    <t>ASRock B550 PG Velocita</t>
  </si>
  <si>
    <t>90-MXBD90-A0UAYZ</t>
  </si>
  <si>
    <t>1x M.2/​M-Key (PCIe 4.0 x4, 2280/​2260/​2242/​2230), 1x M.2/​M-Key (PCIe 3.0 x2/​SATA, 22110/​2280/​2260/​2242/​2230), 1x M.2/​E-Key (2230)</t>
  </si>
  <si>
    <t>https://geizhals.eu/asrock-b550-pg-velocita-a2295710.html?hloc=at&amp;hloc=de&amp;hloc=eu&amp;hloc=pl&amp;hloc=uk</t>
  </si>
  <si>
    <t>ASRock B550 Phantom Gaming 4</t>
  </si>
  <si>
    <t>90-MXBCY0-A0UAYZ</t>
  </si>
  <si>
    <t>1x M.2/​M-Key (PCIe 4.0 x4, 22110/​2280/​2260), 1x M.2/​M-Key (PCIe 3.0 x2/​SATA, 2280/​2260/​2242), 1x M.2/​E-Key (2230)</t>
  </si>
  <si>
    <t>https://geizhals.eu/asrock-b550-phantom-gaming-4-a2295629.html?hloc=at&amp;hloc=de&amp;hloc=eu&amp;hloc=pl&amp;hloc=uk</t>
  </si>
  <si>
    <t>ASRock B550 Pro4</t>
  </si>
  <si>
    <t>90-MXBCZ0-A0UAYZ</t>
  </si>
  <si>
    <t>https://geizhals.eu/asrock-b550-pro4-a2295762.html?hloc=at&amp;hloc=de&amp;hloc=eu&amp;hloc=pl&amp;hloc=uk</t>
  </si>
  <si>
    <t>ASRock B550 Steel Legend</t>
  </si>
  <si>
    <t>90-MXBDF0-A0UAYZ</t>
  </si>
  <si>
    <t>https://geizhals.eu/asrock-b550-steel-legend-a2295849.html?hloc=at&amp;hloc=de&amp;hloc=eu&amp;hloc=pl&amp;hloc=uk</t>
  </si>
  <si>
    <t>ASRock B550M PG Riptide</t>
  </si>
  <si>
    <t>90-MXBI90-A0UAYZ</t>
  </si>
  <si>
    <t>1x M.2/​M-Key (PCIe 4.0 x4, 2280/​2260), 1x M.2/​M-Key (PCIe 3.0 x2/​SATA, 2280/​2260), 1x M.2/​E-Key (2230)</t>
  </si>
  <si>
    <t>4x SATA 6Gb/s (B550)</t>
  </si>
  <si>
    <t>https://geizhals.eu/asrock-b550m-pg-riptide-90-mxbi90-a0uayz-a2674895.html?hloc=at&amp;hloc=de&amp;hloc=eu&amp;hloc=pl&amp;hloc=uk</t>
  </si>
  <si>
    <t>ASRock B550M Phantom Gaming 4</t>
  </si>
  <si>
    <t>90-MXBE90-A0UAYZ</t>
  </si>
  <si>
    <t>1x M.2/​M-Key (PCIe 4.0 x4, 2280), 1x M.2/​M-Key (PCIe 3.0 x2/​SATA, 2280)</t>
  </si>
  <si>
    <t>https://geizhals.eu/asrock-b550m-phantom-gaming-4-90-mxbe90-a0uayz-a2401343.html?hloc=at&amp;hloc=de&amp;hloc=eu&amp;hloc=pl&amp;hloc=uk</t>
  </si>
  <si>
    <t>ASRock B550M Pro4</t>
  </si>
  <si>
    <t>90-MXBDK0-A0UAYZ</t>
  </si>
  <si>
    <t>1x M.2/​M-Key (PCIe 4.0 x4, 2280), 1x M.2/​M-Key (PCIe 3.0 x2/​SATA, 2280), 1x M.2/​E-Key (2230)</t>
  </si>
  <si>
    <t>https://geizhals.eu/asrock-b550m-pro4-a2298943.html?hloc=at&amp;hloc=de&amp;hloc=eu&amp;hloc=pl&amp;hloc=uk</t>
  </si>
  <si>
    <t>ASRock B550M Steel Legend</t>
  </si>
  <si>
    <t>90-MXBCU0-A0UAYZ</t>
  </si>
  <si>
    <t>https://geizhals.eu/asrock-b550m-steel-legend-a2298869.html?hloc=at&amp;hloc=de&amp;hloc=eu&amp;hloc=pl&amp;hloc=uk</t>
  </si>
  <si>
    <t>ASRock B550M-HDV</t>
  </si>
  <si>
    <t>90-MXBDJ0-A0UAYZ</t>
  </si>
  <si>
    <t>1x M.2/​M-Key (PCIe 4.0 x4/​SATA, 2280/​2260/​2242)</t>
  </si>
  <si>
    <t>https://geizhals.eu/asrock-b550m-hdv-a2298964.html?hloc=at&amp;hloc=de&amp;hloc=eu&amp;hloc=pl&amp;hloc=uk</t>
  </si>
  <si>
    <t>ASRock B550M-ITX/ac</t>
  </si>
  <si>
    <t>90-MXBDH0-A0UAYZ</t>
  </si>
  <si>
    <t>1x M.2/​M-Key (PCIe 4.0 x4/​SATA, 2280), 1x M.2/​E-Key (2230, belegt mit WiFi+BT-Modul)</t>
  </si>
  <si>
    <t>https://geizhals.eu/asrock-b550m-itx-ac-a2299233.html?hloc=at&amp;hloc=de&amp;hloc=eu&amp;hloc=pl&amp;hloc=uk</t>
  </si>
  <si>
    <t>ASRock B650 LiveMixer</t>
  </si>
  <si>
    <t>90-MXBJ50-A0UAYZ</t>
  </si>
  <si>
    <t>1x M.2/​M-Key (PCIe 5.0 x4, 2280/​2260), 2x M.2/​M-Key (PCIe 4.0 x4, 2280/​2260), 1x M.2/​E-Key (2230)</t>
  </si>
  <si>
    <t>2x SATA 6Gb/s (B650)</t>
  </si>
  <si>
    <t>https://geizhals.eu/asrock-b650-livemixer-90-mxbj50-a0uayz-a2827703.html?hloc=at&amp;hloc=de&amp;hloc=eu&amp;hloc=pl&amp;hloc=uk</t>
  </si>
  <si>
    <t>ASRock B650 PG Lightning</t>
  </si>
  <si>
    <t>90-MXBK20-A0UAYZ</t>
  </si>
  <si>
    <t>1x M.2/​M-Key (PCIe 5.0 x4, 2280), 1x M.2/​M-Key (PCIe 4.0 x4, 2280), 1x M.2/​M-Key (PCIe 4.0 x2, 2280), 1x M.2/​E-Key (2230)</t>
  </si>
  <si>
    <t>4x SATA 6Gb/s (B650)</t>
  </si>
  <si>
    <t>https://geizhals.eu/asrock-b650-pg-lightning-a2824293.html?hloc=at&amp;hloc=de&amp;hloc=eu&amp;hloc=pl&amp;hloc=uk</t>
  </si>
  <si>
    <t>ASRock B650 Pro RS</t>
  </si>
  <si>
    <t>90-MXBL10-A0UAYZ</t>
  </si>
  <si>
    <t>1x M.2/​M-Key (PCIe 5.0 x4, 2280), 1x M.2/​M-Key (PCIe 4.0 x4, 2280/​2260), 1x M.2/​M-Key (PCIe 3.0 x2/​SATA, 2280/​2260/​2242), 1x M.2/​E-Key (2230)</t>
  </si>
  <si>
    <t>2x SATA 6Gb/s (B650), 2x SATA 6Gb/s (ASMedia ASM1061)</t>
  </si>
  <si>
    <t>https://geizhals.eu/asrock-b650-pro-rs-a2824291.html?hloc=at&amp;hloc=de&amp;hloc=eu&amp;hloc=pl&amp;hloc=uk</t>
  </si>
  <si>
    <t>ASRock B650 Steel Legend WiFi</t>
  </si>
  <si>
    <t>90-MXBN90-A0UAYZ</t>
  </si>
  <si>
    <t>1x M.2/​M-Key (PCIe 5.0 x4, 2280/​2260), 1x M.2/​M-Key (PCIe 4.0 x4, 2280/​2260), 1x M.2/​M-Key (PCIe 4.0 x4, 2280/​2260/​2230), 1x M.2/​E-Key (2230, belegt mit WiFi+BT-Modul)</t>
  </si>
  <si>
    <t>https://geizhals.eu/asrock-b650-steel-legend-wifi-90-mxbn90-a0uayz-a3142150.html?hloc=at&amp;hloc=de&amp;hloc=eu&amp;hloc=pl&amp;hloc=uk</t>
  </si>
  <si>
    <t>ASRock B650E PG-ITX WiFi</t>
  </si>
  <si>
    <t>90-MXBJE0-A0UAYZ</t>
  </si>
  <si>
    <t>1x M.2/​M-Key (PCIe 5.0 x4, 2280), 1x M.2/​M-Key (PCIe 4.0 x4, 2280, Rückseite), 1x M.2/​E-Key (2230, belegt mit WiFi+BT-Modul)</t>
  </si>
  <si>
    <t>2x SATA 6Gb/s (B650E)</t>
  </si>
  <si>
    <t>https://geizhals.eu/asrock-b650e-pg-itx-wifi-a2824288.html?hloc=at&amp;hloc=de&amp;hloc=eu&amp;hloc=pl&amp;hloc=uk</t>
  </si>
  <si>
    <t>ASRock B650E Steel Legend WiFi</t>
  </si>
  <si>
    <t>90-MXBJY0-A0UAYZ</t>
  </si>
  <si>
    <t>1x M.2/​M-Key (PCIe 5.0 x4, 2280/​2260), 1x M.2/​M-Key (PCIe 4.0 x4, 2280/​2260/​2242), 1x M.2/​M-Key (PCIe 4.0 x4, 2280/​2260/​2242/​2230), 1x M.2/​E-Key (2230, belegt mit WiFi+BT-Modul)</t>
  </si>
  <si>
    <t>https://geizhals.eu/asrock-b650e-steel-legend-wifi-a2824282.html?hloc=at&amp;hloc=de&amp;hloc=eu&amp;hloc=pl&amp;hloc=uk</t>
  </si>
  <si>
    <t>ASRock B650E Taichi</t>
  </si>
  <si>
    <t>90-MXBKG0-A0UAYZ</t>
  </si>
  <si>
    <t>1x M.2/​M-Key (PCIe 5.0 x4, 22110/​2280/​2260/​2242/​2230), 2x M.2/​M-Key (PCIe 4.0 x4, 2280), 1x M.2/​E-Key (2230, belegt mit WiFi+BT-Modul)</t>
  </si>
  <si>
    <t>4x SATA 6Gb/s (ASMedia ASM1061)</t>
  </si>
  <si>
    <t>https://geizhals.eu/asrock-b650e-taichi-a2824242.html?hloc=at&amp;hloc=de&amp;hloc=eu&amp;hloc=pl&amp;hloc=uk</t>
  </si>
  <si>
    <t>ASRock B650I Lightning WiFi</t>
  </si>
  <si>
    <t>90-MXBMP0-A0UAYZ</t>
  </si>
  <si>
    <t>https://geizhals.eu/asrock-b650i-lightning-wifi-90-mxbmp0-a0uayz-a3046166.html?hloc=at&amp;hloc=de&amp;hloc=eu&amp;hloc=pl&amp;hloc=uk</t>
  </si>
  <si>
    <t>ASRock B650M PG Lightning</t>
  </si>
  <si>
    <t>90-MXBMV0-A0UAYZ</t>
  </si>
  <si>
    <t>1x M.2/​M-Key (PCIe 5.0 x4, 2280/​2260), 1x M.2/​M-Key (PCIe 4.0 x4, 2280/​2260), 1x M.2/​M-Key (PCIe 4.0 x2, 2280/​2260), 1x M.2/​E-Key (2230)</t>
  </si>
  <si>
    <t>https://geizhals.eu/asrock-b650m-pg-lightning-90-mxbmv0-a0uayz-a3059971.html?hloc=at&amp;hloc=de&amp;hloc=eu&amp;hloc=pl&amp;hloc=uk</t>
  </si>
  <si>
    <t>ASRock B650M PG Riptide</t>
  </si>
  <si>
    <t>90-MXBJ90-A0UAYZ</t>
  </si>
  <si>
    <t>1x M.2/​M-Key (PCIe 5.0 x4, 2280/​2260), 1x M.2/​M-Key (PCIe 4.0 x4, 2280/​2260)</t>
  </si>
  <si>
    <t>https://geizhals.eu/asrock-b650m-pg-riptide-a2824297.html?hloc=at&amp;hloc=de&amp;hloc=eu&amp;hloc=pl&amp;hloc=uk</t>
  </si>
  <si>
    <t>ASRock B650M Pro RS</t>
  </si>
  <si>
    <t>90-MXBLP0-A0UAYZ</t>
  </si>
  <si>
    <t>https://geizhals.eu/asrock-b650m-pro-rs-90-mxblp0-a0uayz-a2952673.html?hloc=at&amp;hloc=de&amp;hloc=eu&amp;hloc=pl&amp;hloc=uk</t>
  </si>
  <si>
    <t>ASRock B650M-H/M.2+</t>
  </si>
  <si>
    <t>90-MXBMS0-A0UAYZ</t>
  </si>
  <si>
    <t>1x M.2/​M-Key (PCIe 5.0 x4, 2280), 1x M.2/​M-Key (PCIe 4.0 x4, 2280/​2260), 1x M.2/​E-Key (2230)</t>
  </si>
  <si>
    <t>https://geizhals.eu/asrock-b650m-h-m-2-a3018029.html?hloc=at&amp;hloc=de&amp;hloc=eu&amp;hloc=pl&amp;hloc=uk</t>
  </si>
  <si>
    <t>ASRock B650M-HDV/M.2</t>
  </si>
  <si>
    <t>90-MXBLA0-A0UAYZ</t>
  </si>
  <si>
    <t>https://geizhals.eu/asrock-b650m-hdv-m-2-90-mxbla0-a0uayz-a2914109.html?hloc=at&amp;hloc=de&amp;hloc=eu&amp;hloc=pl&amp;hloc=uk</t>
  </si>
  <si>
    <t>ASRock B660M Pro RS</t>
  </si>
  <si>
    <t>90-MXBGW0-A0UAYZ</t>
  </si>
  <si>
    <t>1x M.2/​M-Key (PCIe 4.0 x4, 2280/​2260/​2242), 1x M.2/​M-Key (PCIe 3.0 x4/​SATA, 2280), 1x M.2/​E-Key (2230)</t>
  </si>
  <si>
    <t>4x SATA 6Gb/s (B660)</t>
  </si>
  <si>
    <t>https://geizhals.eu/asrock-b660m-pro-rs-90-mxbgw0-a0uayz-a2661037.html?hloc=at&amp;hloc=de&amp;hloc=eu&amp;hloc=pl&amp;hloc=uk</t>
  </si>
  <si>
    <t>ASRock B760 Pro RS</t>
  </si>
  <si>
    <t>90-MXBKS0-A0UAYZ</t>
  </si>
  <si>
    <t>2x M.2/​M-Key (PCIe 4.0 x4, 2280/​2260), 1x M.2/​M-Key (PCIe 4.0 x2, 2280/​2260), 1x M.2/​E-Key (2230)</t>
  </si>
  <si>
    <t>4x SATA 6Gb/s (B760)</t>
  </si>
  <si>
    <t>https://geizhals.eu/asrock-b760-pro-rs-90-mxbks0-a0uayz-a2873136.html?hloc=at&amp;hloc=de&amp;hloc=eu&amp;hloc=pl&amp;hloc=uk</t>
  </si>
  <si>
    <t>ASRock B760 Pro RS WiFi</t>
  </si>
  <si>
    <t>90-MXBLQ0-A0UAYZ</t>
  </si>
  <si>
    <t>2x M.2/​M-Key (PCIe 4.0 x4, 2280/​2260), 1x M.2/​M-Key (PCIe 4.0 x2, 2280/​2260), 1x M.2/​E-Key (2230, belegt mit WiFi+BT-Modul)</t>
  </si>
  <si>
    <t>https://geizhals.eu/asrock-b760-pro-rs-wifi-90-mxblq0-a0uayz-a2977545.html?hloc=at&amp;hloc=de&amp;hloc=eu&amp;hloc=pl&amp;hloc=uk</t>
  </si>
  <si>
    <t>ASRock B760 Pro RS/D4</t>
  </si>
  <si>
    <t>90-MXBL80-A0UAYZ</t>
  </si>
  <si>
    <t>https://geizhals.eu/asrock-b760-pro-rs-d4-90-mxbl80-a0uayz-a2873134.html?hloc=at&amp;hloc=de&amp;hloc=eu&amp;hloc=pl&amp;hloc=uk</t>
  </si>
  <si>
    <t>ASRock B760 Pro RS/D4 WiFi</t>
  </si>
  <si>
    <t>90-MXBMY0-A0UAYZ</t>
  </si>
  <si>
    <t>https://geizhals.eu/asrock-b760-pro-rs-d4-wifi-90-mxbmy0-a0uayz-a3020369.html?hloc=at&amp;hloc=de&amp;hloc=eu&amp;hloc=pl&amp;hloc=uk</t>
  </si>
  <si>
    <t>ASRock B760M PG Lightning</t>
  </si>
  <si>
    <t>90-MXBM20-A0UAYZ</t>
  </si>
  <si>
    <t>1x M.2/​M-Key (PCIe 4.0 x4, 2280/​2260/​2242), 2x M.2/​M-Key (PCIe 4.0 x4, 2280), 1x M.2/​E-Key (2230)</t>
  </si>
  <si>
    <t>https://geizhals.eu/asrock-b760m-pg-lightning-90-mxbm20-a0uayz-a2977561.html?hloc=at&amp;hloc=de&amp;hloc=eu&amp;hloc=pl&amp;hloc=uk</t>
  </si>
  <si>
    <t>ASRock B760M PG Riptide</t>
  </si>
  <si>
    <t>90-MXBL60-A0UAYZ</t>
  </si>
  <si>
    <t>2x M.2/​M-Key (PCIe 4.0 x4, 2280), 1x M.2/​E-Key (2230)</t>
  </si>
  <si>
    <t>https://geizhals.eu/asrock-b760m-pg-riptide-a2873119.html?hloc=at&amp;hloc=de&amp;hloc=eu&amp;hloc=pl&amp;hloc=uk</t>
  </si>
  <si>
    <t>ASRock B760M PG Sonic WiFi</t>
  </si>
  <si>
    <t>90-MXBKM0-A0UAYZ</t>
  </si>
  <si>
    <t>3x M.2/​M-Key (PCIe 4.0 x4, 2280/​2260), 1x M.2/​E-Key (2230, belegt mit WiFi+BT-Modul)</t>
  </si>
  <si>
    <t>https://geizhals.eu/asrock-b760m-pg-sonic-wifi-90-mxbkm0-a0uayz-a2873126.html?hloc=at&amp;hloc=de&amp;hloc=eu&amp;hloc=pl&amp;hloc=uk</t>
  </si>
  <si>
    <t>ASRock B760M Pro RS</t>
  </si>
  <si>
    <t>90-MXBLH0-A0UAYZ</t>
  </si>
  <si>
    <t>https://geizhals.eu/asrock-b760m-pro-rs-a2873095.html?hloc=at&amp;hloc=de&amp;hloc=eu&amp;hloc=pl&amp;hloc=uk</t>
  </si>
  <si>
    <t>ASRock B760M Pro RS/D4</t>
  </si>
  <si>
    <t>90-MXBKL0-A0UAYZ</t>
  </si>
  <si>
    <t>1x M.2/​M-Key (PCIe 4.0 x4, 2280/​2260/​2242), 1x M.2/​M-Key (PCIe 4.0 x4, 2280), 1x M.2/​E-Key (2230)</t>
  </si>
  <si>
    <t>https://geizhals.eu/asrock-b760m-pro-rs-d4-90-mxbkl0-a0uayz-a2873018.html?hloc=at&amp;hloc=de&amp;hloc=eu&amp;hloc=pl&amp;hloc=uk</t>
  </si>
  <si>
    <t>ASRock B760M Steel Legend WiFi</t>
  </si>
  <si>
    <t>90-MXBL70-A0UAYZ</t>
  </si>
  <si>
    <t>https://geizhals.eu/asrock-b760m-steel-legend-wifi-90-mxbl70-a0uayz-a2873106.html?hloc=at&amp;hloc=de&amp;hloc=eu&amp;hloc=pl&amp;hloc=uk</t>
  </si>
  <si>
    <t>ASRock B760M-ITX/D4 WiFi</t>
  </si>
  <si>
    <t>90-MXBKY0-A0CAYZ</t>
  </si>
  <si>
    <t>1x M.2/​M-Key (PCIe 4.0 x4, 2280), 1x M.2/​E-Key (2230, belegt mit WiFi+BT-Modul)</t>
  </si>
  <si>
    <t>https://geizhals.eu/asrock-b760m-itx-d4-wifi-a2872985.html?hloc=at&amp;hloc=de&amp;hloc=eu&amp;hloc=pl&amp;hloc=uk</t>
  </si>
  <si>
    <t>ASRock B850 LiveMixer WiFi</t>
  </si>
  <si>
    <t>90-MXBQU0-A0UAYZ</t>
  </si>
  <si>
    <t>1x M.2/​M-Key (PCIe 5.0 x4, 2280), 1x M.2/​M-Key (PCIe 4.0 x4, 2280), 1x M.2/​M-Key (PCIe 4.0 x4, 2280/​2260/​2242/​2230), 1x M.2/​E-Key (2230, belegt mit WiFi+BT-Modul)</t>
  </si>
  <si>
    <t>2x SATA 6Gb/s (B850)</t>
  </si>
  <si>
    <t>https://geizhals.eu/asrock-b850-livemixer-wifi-90-mxbqu-a0uayz-a3383835.html?hloc=at&amp;hloc=de&amp;hloc=eu&amp;hloc=pl&amp;hloc=uk</t>
  </si>
  <si>
    <t>ASRock B850 Pro RS</t>
  </si>
  <si>
    <t>90-MXBQK0-A0UAYAZ</t>
  </si>
  <si>
    <t>1x M.2/​M-Key (PCIe 5.0 x4, 2280), 1x M.2/​M-Key (PCIe 4.0 x4, 2280), 1x M.2/​M-Key (PCIe 4.0 x4, 2280/​2260/​2242/​2230), 1x M.2/​M-Key (PCIe 3.0 x4, 2280), 1x M.2/​E-Key (2230)</t>
  </si>
  <si>
    <t>2x SATA 6Gb/s (B850), 2x SATA 6Gb/s (ASMedia ASM1061)</t>
  </si>
  <si>
    <t>https://geizhals.eu/asrock-b850-pro-rs-90-mxbqk0-a0uayaz-a3384146.html?hloc=at&amp;hloc=de&amp;hloc=eu&amp;hloc=pl&amp;hloc=uk</t>
  </si>
  <si>
    <t>ASRock B850 Pro RS WiFi</t>
  </si>
  <si>
    <t>90-MXBQL0-A0UAYZ</t>
  </si>
  <si>
    <t>1x M.2/​M-Key (PCIe 5.0 x4, 2280), 1x M.2/​M-Key (PCIe 4.0 x4, 2280), 1x M.2/​M-Key (PCIe 4.0 x4, 2280/​2260/​2242/​2230), 1x M.2/​M-Key (PCIe 3.0 x4, 2280), 1x M.2/​E-Key (2230, belegt mit WiFi+BT-Modul)</t>
  </si>
  <si>
    <t>https://geizhals.eu/asrock-b850-pro-rs-wifi-90-mxbql-a0uayz-a3384136.html?hloc=at&amp;hloc=de&amp;hloc=eu&amp;hloc=pl&amp;hloc=uk</t>
  </si>
  <si>
    <t>ASRock B850 Pro-A</t>
  </si>
  <si>
    <t>90-MXBQM0-A0UAYZ</t>
  </si>
  <si>
    <t>https://geizhals.eu/asrock-b850-pro-a-90-mxbqm-a0uayz-a3384240.html?hloc=at&amp;hloc=de&amp;hloc=eu&amp;hloc=pl&amp;hloc=uk</t>
  </si>
  <si>
    <t>ASRock B850 Pro-A WiFi</t>
  </si>
  <si>
    <t>90-MXBQN0-A0UAYAZ</t>
  </si>
  <si>
    <t>https://geizhals.eu/asrock-b850-pro-a-wifi-90-mxbqn0-a0uayaz-a3384154.html?hloc=at&amp;hloc=de&amp;hloc=eu&amp;hloc=pl&amp;hloc=uk</t>
  </si>
  <si>
    <t>ASRock B850M Pro RS</t>
  </si>
  <si>
    <t>90-MXBR60-A0UAYAZ</t>
  </si>
  <si>
    <t>1x M.2/​M-Key (PCIe 5.0 x4, 2280), 2x M.2/​M-Key (PCIe 4.0 x4, 2280), 1x M.2/​E-Key (2230)</t>
  </si>
  <si>
    <t>4x SATA 6Gb/s (B850)</t>
  </si>
  <si>
    <t>https://geizhals.eu/asrock-b850m-pro-rs-90-mxbr60-a0uayaz-a3384346.html?hloc=at&amp;hloc=de&amp;hloc=eu&amp;hloc=pl&amp;hloc=uk</t>
  </si>
  <si>
    <t>ASRock B850M Pro RS WiFi</t>
  </si>
  <si>
    <t>90-MXBR70-A0UAYZ</t>
  </si>
  <si>
    <t>1x M.2/​M-Key (PCIe 5.0 x4, 2280), 2x M.2/​M-Key (PCIe 4.0 x4, 2280), 1x M.2/​E-Key (2230, belegt mit WiFi+BT-Modul)</t>
  </si>
  <si>
    <t>https://geizhals.eu/asrock-b850m-pro-rs-wifi-90-mxbr7-a0uayz-a3384323.html?hloc=at&amp;hloc=de&amp;hloc=eu&amp;hloc=pl&amp;hloc=uk</t>
  </si>
  <si>
    <t>ASRock B850M Pro-A</t>
  </si>
  <si>
    <t>90-MXBR80-A0UAYZ</t>
  </si>
  <si>
    <t>https://geizhals.eu/asrock-b850m-pro-a-90-mxbr80-a0uayaz-a3384417.html?hloc=at&amp;hloc=de&amp;hloc=eu&amp;hloc=pl&amp;hloc=uk</t>
  </si>
  <si>
    <t>ASRock B850M Pro-A WiFi</t>
  </si>
  <si>
    <t>90-MXBR90-A0UAYZ</t>
  </si>
  <si>
    <t>https://geizhals.eu/asrock-b850m-pro-a-wifi-90-mxbr9-a0uayz-a3384356.html?hloc=at&amp;hloc=de&amp;hloc=eu&amp;hloc=pl&amp;hloc=uk</t>
  </si>
  <si>
    <t>ASRock B850M Steel Legend WiFi</t>
  </si>
  <si>
    <t>90-MXBS20-A0UAYZ</t>
  </si>
  <si>
    <t>1x M.2/​M-Key (PCIe 5.0 x4, 2280), 1x M.2/​M-Key (PCIe 4.0 x4, 2280/​2260), 1x M.2/​M-Key (PCIe 4.0 x2, 2280/​2260), 1x M.2/​E-Key (2230, belegt mit WiFi+BT-Modul)</t>
  </si>
  <si>
    <t>https://geizhals.eu/asrock-b850m-steel-legend-wifi-90-mxbs2-a0uayz-a3384277.html?hloc=at&amp;hloc=de&amp;hloc=eu&amp;hloc=pl&amp;hloc=uk</t>
  </si>
  <si>
    <t>ASRock B850M-X</t>
  </si>
  <si>
    <t>90-MXBR10-A0UAYAZ</t>
  </si>
  <si>
    <t>https://geizhals.eu/asrock-b850m-x-90-mxbr10-a0uayaz-a3384498.html?hloc=at&amp;hloc=de&amp;hloc=eu&amp;hloc=pl&amp;hloc=uk</t>
  </si>
  <si>
    <t>ASRock B850M-X WiFi</t>
  </si>
  <si>
    <t>90-MXBRU0-A0UAYAZ</t>
  </si>
  <si>
    <t>1x M.2/​M-Key (PCIe 5.0 x4, 2280), 1x M.2/​M-Key (PCIe 4.0 x4, 2280/​2260), 1x M.2/​E-Key (2230, belegt mit WiFi+BT-Modul)</t>
  </si>
  <si>
    <t>https://geizhals.eu/asrock-b850m-x-wifi-90-mxbru0-a0uayaz-a3384439.html?hloc=at&amp;hloc=de&amp;hloc=eu&amp;hloc=pl&amp;hloc=uk</t>
  </si>
  <si>
    <t>ASRock B860 LiveMixer WiFi</t>
  </si>
  <si>
    <t>90-MXBQV0-A0UAYZ</t>
  </si>
  <si>
    <t>1x M.2/​M-Key (PCIe 5.0 x4, 2280), 1x M.2/​M-Key (PCIe 4.0 x4, 2280/​2260/​2242/​2230), 1x M.2/​M-Key (PCIe 4.0 x4, 2280), 1x M.2/​E-Key (2230, belegt mit WiFi+BT-Modul)</t>
  </si>
  <si>
    <t>4x SATA 6Gb/s (B860)</t>
  </si>
  <si>
    <t>https://geizhals.eu/asrock-b860-livemixer-wifi-90-mxbqv-a0uayz-a3389999.html?hloc=at&amp;hloc=de&amp;hloc=eu&amp;hloc=pl&amp;hloc=uk</t>
  </si>
  <si>
    <t>ASRock B860 Pro RS</t>
  </si>
  <si>
    <t>90-MXBRM0-A0UAYZ</t>
  </si>
  <si>
    <t>1x M.2/​M-Key (PCIe 5.0 x4, 2280), 1x M.2/​M-Key (PCIe 4.0 x4, 2280/​2260/​2242/​2230), 1x M.2/​M-Key (PCIe 4.0 x4, 2280), 1x M.2/​E-Key (2230)</t>
  </si>
  <si>
    <t>https://geizhals.eu/asrock-b860-pro-rs-90-mxbrm-a0uayz-a3389992.html?hloc=at&amp;hloc=de&amp;hloc=eu&amp;hloc=pl&amp;hloc=uk</t>
  </si>
  <si>
    <t>ASRock B860 Pro RS WiFi</t>
  </si>
  <si>
    <t>90-MXBRK0-A0UAYZ</t>
  </si>
  <si>
    <t>https://geizhals.eu/asrock-b860-pro-rs-wifi-90-mxbrk-a0uayz-a3389993.html?hloc=at&amp;hloc=de&amp;hloc=eu&amp;hloc=pl&amp;hloc=uk</t>
  </si>
  <si>
    <t>ASRock B860 Pro-A</t>
  </si>
  <si>
    <t>90-MXBRN0-A0UAYZ</t>
  </si>
  <si>
    <t>https://geizhals.eu/asrock-b860-pro-a-90-mxbrn-a0uayz-a3389997.html?hloc=at&amp;hloc=de&amp;hloc=eu&amp;hloc=pl&amp;hloc=uk</t>
  </si>
  <si>
    <t>ASRock B860 Pro-A WiFi</t>
  </si>
  <si>
    <t>90-MXBRL0-A0UAYZ</t>
  </si>
  <si>
    <t>https://geizhals.eu/asrock-b860-pro-a-wifi-90-mxbrl-a0uayz-a3389994.html?hloc=at&amp;hloc=de&amp;hloc=eu&amp;hloc=pl&amp;hloc=uk</t>
  </si>
  <si>
    <t>ASRock B860 Steel Legend WiFi</t>
  </si>
  <si>
    <t>90-MXBR30-A0UAYZ</t>
  </si>
  <si>
    <t>1x M.2/​M-Key (PCIe 5.0 x4, 2280), 1x M.2/​M-Key (PCIe 4.0 x4, 2280/​2260/​2242/​2230), 1x M.2/​M-Key (PCIe 4.0 x4, 2280), 1x M.2/​M-Key (PCIe 4.0 x2, 2280), 1x M.2/​E-Key (2230, belegt mit WiFi+BT-Modul)</t>
  </si>
  <si>
    <t>https://geizhals.eu/asrock-b860-steel-legend-wifi-90-mxbr30-a0uayz-a3389982.html?hloc=at&amp;hloc=de&amp;hloc=eu&amp;hloc=pl&amp;hloc=uk</t>
  </si>
  <si>
    <t>ASRock B860I WiFi</t>
  </si>
  <si>
    <t>90-MXBQQ0-A0UAYZ</t>
  </si>
  <si>
    <t>https://geizhals.eu/asrock-b860i-wifi-90-mxbqq0-a0uayz-a3391338.html?hloc=at&amp;hloc=de&amp;hloc=eu&amp;hloc=pl&amp;hloc=uk</t>
  </si>
  <si>
    <t>ASRock B860M LiveMixer WiFi</t>
  </si>
  <si>
    <t>90-MXBRT0-A0UAYZ</t>
  </si>
  <si>
    <t>https://geizhals.eu/asrock-b860m-livemixer-wifi-90-mxbrt0-a0uayz-a3390975.html?hloc=at&amp;hloc=de&amp;hloc=eu&amp;hloc=pl&amp;hloc=uk</t>
  </si>
  <si>
    <t>ASRock B860M Steel Legend WiFi</t>
  </si>
  <si>
    <t>90-MXBQF0-A0UAYZ</t>
  </si>
  <si>
    <t>1x M.2/​M-Key (PCIe 5.0 x4, 2280), 3x M.2/​M-Key (PCIe 4.0 x4, 2280), 1x M.2/​E-Key (2230, belegt mit WiFi+BT-Modul)</t>
  </si>
  <si>
    <t>https://geizhals.eu/asrock-b860m-steel-legend-wifi-90-mxbqf-a0uayz-a3390018.html?hloc=at&amp;hloc=de&amp;hloc=eu&amp;hloc=pl&amp;hloc=uk</t>
  </si>
  <si>
    <t>ASRock B860M-X</t>
  </si>
  <si>
    <t>90-MXBRX0-A0UAYZ</t>
  </si>
  <si>
    <t>1x M.2/​M-Key (PCIe 5.0 x4, 2280/​2260), 1x M.2/​M-Key (PCIe 4.0 x4, 2280/​2260/​2242/​2230), 1x M.2/​E-Key (2230)</t>
  </si>
  <si>
    <t>https://geizhals.eu/asrock-b860m-x-90-mxbrx0-a0uayz-a3391207.html?hloc=at&amp;hloc=de&amp;hloc=eu&amp;hloc=pl&amp;hloc=uk</t>
  </si>
  <si>
    <t>ASRock Fatal1ty B450 Gaming-ITX/ac</t>
  </si>
  <si>
    <t>90-MXB870-A0UAYZ</t>
  </si>
  <si>
    <t>1x M.2/​M-Key (PCIe 3.0 x4/​SATA, 2280, Rückseite), 1x M.2/​E-Key (2230, belegt mit WiFi+BT-Modul)</t>
  </si>
  <si>
    <t>https://geizhals.eu/asrock-fatal1ty-b450-gaming-itx-ac-90-mxb870-a0uayz-a1858741.html?hloc=at&amp;hloc=de&amp;hloc=eu&amp;hloc=pl&amp;hloc=uk</t>
  </si>
  <si>
    <t>ASRock H670 PG Riptide</t>
  </si>
  <si>
    <t>90-MXBHC0-A0UAYZ</t>
  </si>
  <si>
    <t>1x M.2/​M-Key (PCIe 4.0 x4, 2280/​2260), 1x M.2/​M-Key (PCIe 4.0 x4, 2280/​2260/​2242), 1x M.2/​M-Key (PCIe 4.0 x4/​SATA, 22110/​2280/​2260), 1x M.2/​E-Key (2230)</t>
  </si>
  <si>
    <t>4x SATA 6Gb/s (H670)</t>
  </si>
  <si>
    <t>https://geizhals.eu/asrock-h670-pg-riptide-90-mxbhc0-a0uayz-a2661048.html?hloc=at&amp;hloc=de&amp;hloc=eu&amp;hloc=pl&amp;hloc=uk</t>
  </si>
  <si>
    <t>ASRock H670M Pro RS</t>
  </si>
  <si>
    <t>90-MXBHK0-A0UAYZ</t>
  </si>
  <si>
    <t>1x M.2/​M-Key (PCIe 4.0 x4, 2280/​2242), 1x M.2/​M-Key (PCIe 4.0 x4/​SATA, 2280), 1x M.2/​E-Key (2230)</t>
  </si>
  <si>
    <t>https://geizhals.eu/asrock-h670m-pro-rs-90-mxbhk0-a0uayz-a2661047.html?hloc=at&amp;hloc=de&amp;hloc=eu&amp;hloc=pl&amp;hloc=uk</t>
  </si>
  <si>
    <t>ASRock Phantom Gaming B760I Lightning WiFi</t>
  </si>
  <si>
    <t>90-MXBNN0-A0UAYZ</t>
  </si>
  <si>
    <t>1x M.2/​M-Key (PCIe 4.0 x4, 2280), 1x M.2/​M-Key (PCIe 4.0 x4, 2280, Rückseite), 1x M.2/​E-Key (2230, belegt mit WiFi+BT-Modul)</t>
  </si>
  <si>
    <t>3x SATA 6Gb/s (B760)</t>
  </si>
  <si>
    <t>https://geizhals.eu/asrock-phantom-gaming-b760i-lightning-wifi-a3179750.html?hloc=at&amp;hloc=de&amp;hloc=eu&amp;hloc=pl&amp;hloc=uk</t>
  </si>
  <si>
    <t>ASRock Phantom Gaming B850 Riptide WiFi</t>
  </si>
  <si>
    <t>90-MXBQT0-A0UAYZ</t>
  </si>
  <si>
    <t>1x M.2/​M-Key (PCIe 5.0 x4, 2280), 1x M.2/​M-Key (PCIe 4.0 x4, 2280/​2260), 1x M.2/​M-Key (PCIe 4.0 x4, 2280/​2260/​2230), 1x M.2/​M-Key (PCIe 4.0 x4, 2280/​2260), 1x M.2/​E-Key (2230, belegt mit WiFi+BT-Modul)</t>
  </si>
  <si>
    <t>https://geizhals.eu/asrock-b850-riptide-wifi-90-mxbqt0-a0uayz-a3381545.html?hloc=at&amp;hloc=de&amp;hloc=eu&amp;hloc=pl&amp;hloc=uk</t>
  </si>
  <si>
    <t>ASRock Phantom Gaming B850I Lightning WiFi</t>
  </si>
  <si>
    <t>90-MXBQR0-A0UAYZ</t>
  </si>
  <si>
    <t>https://geizhals.eu/asrock-phantom-gaming-b850i-lightning-wifi-90-mxbqr-a0uayz-a3384538.html?hloc=at&amp;hloc=de&amp;hloc=eu&amp;hloc=pl&amp;hloc=uk</t>
  </si>
  <si>
    <t>ASRock Phantom Gaming B850M Riptide WiFi</t>
  </si>
  <si>
    <t>90-MXBS30-A0UAYZ</t>
  </si>
  <si>
    <t>https://geizhals.eu/asrock-phantom-gaming-b850m-riptide-wifi-90-mxbs3-a0uayz-a3384510.html?hloc=at&amp;hloc=de&amp;hloc=eu&amp;hloc=pl&amp;hloc=uk</t>
  </si>
  <si>
    <t>ASRock Phantom Gaming B860 Lightning WiFi</t>
  </si>
  <si>
    <t>90-MXBR20-A0UAYZ</t>
  </si>
  <si>
    <t>https://geizhals.eu/asrock-phantom-gaming-b860-lightning-wifi-90-mxbr2-a0uayz-a3390011.html?hloc=at&amp;hloc=de&amp;hloc=eu&amp;hloc=pl&amp;hloc=uk</t>
  </si>
  <si>
    <t>ASRock Phantom Gaming X870 Riptide WiFi</t>
  </si>
  <si>
    <t>90-MXBPP0-A0UAYZ</t>
  </si>
  <si>
    <t>1x M.2/​M-Key (PCIe 5.0 x4, 2280), 1x M.2/​M-Key (PCIe 4.0 x4, 2280/​2260/​2230), 1x M.2/​M-Key (PCIe 4.0 x4, 2280/​2260), 1x M.2/​E-Key (2230, belegt mit WiFi+BT-Modul)</t>
  </si>
  <si>
    <t>https://geizhals.eu/asrock-x870-riptide-wifi-a3295190.html?hloc=at&amp;hloc=de&amp;hloc=eu&amp;hloc=pl&amp;hloc=uk</t>
  </si>
  <si>
    <t>ASRock Phantom Gaming X870E Nova WiFi</t>
  </si>
  <si>
    <t>90-MXBPX0-A0UAYZ</t>
  </si>
  <si>
    <t>1x M.2/​M-Key (PCIe 5.0 x4, 2280), 3x M.2/​M-Key (PCIe 4.0 x4, 2280), 1x M.2/​M-Key (PCIe 3.0 x2/​SATA, 2280), 1x M.2/​E-Key (2230, belegt mit WiFi+BT-Modul)</t>
  </si>
  <si>
    <t>2x SATA 6Gb/s (X870E), 2x SATA 6Gb/s (ASMedia ASM1061)</t>
  </si>
  <si>
    <t>https://geizhals.eu/asrock-x870e-nova-wifi-a3295185.html?hloc=at&amp;hloc=de&amp;hloc=eu&amp;hloc=pl&amp;hloc=uk</t>
  </si>
  <si>
    <t>ASRock Phantom Gaming Z790I Lightning WiFi</t>
  </si>
  <si>
    <t>90-MXBNM0-A0UAYZ</t>
  </si>
  <si>
    <t>3x SATA 6Gb/s (Z790)</t>
  </si>
  <si>
    <t>https://geizhals.eu/asrock-phantom-gaming-z790i-lightning-wifi-90-mxbnm0-a0uayz-a3198126.html?hloc=at&amp;hloc=de&amp;hloc=eu&amp;hloc=pl&amp;hloc=uk</t>
  </si>
  <si>
    <t>ASRock Phantom Gaming Z890 Lightning WiFi</t>
  </si>
  <si>
    <t>90-MXBPG0-A0UAYZ</t>
  </si>
  <si>
    <t>1x M.2/​M-Key (PCIe 5.0 x4, 2280), 1x M.2/​M-Key (PCIe 4.0 x4, 2280), 1x M.2/​M-Key (PCIe 4.0 x4/​SATA, 2280), 1x M.2/​M-Key (PCIe 4.0 x4, 2280/​2260/​2242/​2230), 1x M.2/​E-Key (2230, belegt mit WiFi+BT-Modul)</t>
  </si>
  <si>
    <t>4x SATA 6Gb/s (Z890)</t>
  </si>
  <si>
    <t>https://geizhals.eu/asrock-phantom-gaming-z890-lightning-wifi-90-mxbpg0-a0uayz-a3331182.html?hloc=at&amp;hloc=de&amp;hloc=eu&amp;hloc=pl&amp;hloc=uk</t>
  </si>
  <si>
    <t>ASRock Phantom Gaming Z890 Nova WiFi</t>
  </si>
  <si>
    <t>90-MXBPS0-A0UAYZ</t>
  </si>
  <si>
    <t>1x M.2/​M-Key (PCIe 5.0 x4, 2280), 4x M.2/​M-Key (PCIe 4.0 x4, 2280/​2260), 1x M.2/​M-Key (PCIe 4.0 x4/​SATA, 2280/​2260/​2242/​2230), 1x M.2/​E-Key (2230, belegt mit WiFi+BT-Modul)</t>
  </si>
  <si>
    <t>https://geizhals.eu/asrock-phantom-gaming-z890-nova-wifi-90-mxbps0-a0uayz-a3331043.html?hloc=at&amp;hloc=de&amp;hloc=eu&amp;hloc=pl&amp;hloc=uk</t>
  </si>
  <si>
    <t>ASRock Phantom Gaming Z890 Riptide WiFi</t>
  </si>
  <si>
    <t>90-MXBPB0-A0UAYZ</t>
  </si>
  <si>
    <t>1x M.2/​M-Key (PCIe 5.0 x4, 2280), 3x M.2/​M-Key (PCIe 4.0 x4, 2280), 1x M.2/​M-Key (PCIe 4.0 x4/​SATA, 2280/​2260/​2242/​2230), 1x M.2/​E-Key (2230, belegt mit WiFi+BT-Modul)</t>
  </si>
  <si>
    <t>https://geizhals.eu/asrock-phantom-gaming-z890-riptide-wifi-90-mxbpb0-a0uayz-a3331161.html?hloc=at&amp;hloc=de&amp;hloc=eu&amp;hloc=pl&amp;hloc=uk</t>
  </si>
  <si>
    <t>ASRock Phantom Gaming Z890I Nova WiFi</t>
  </si>
  <si>
    <t>90-MXBPN0-A0UAYZ</t>
  </si>
  <si>
    <t>1x M.2/​M-Key (PCIe 5.0 x4, 2280), 1x M.2/​M-Key (PCIe 4.0 x4, 2280, Rückseite), 1x M.2/​M-Key (PCIe 4.0 x4/​SATA, 2280, Rückseite), 1x M.2/​E-Key (2230, belegt mit WiFi+BT-Modul)</t>
  </si>
  <si>
    <t>2x SATA 6Gb/s (Z890)</t>
  </si>
  <si>
    <t>https://geizhals.eu/asrock-phantom-gaming-z890i-nova-wifi-90-mxbpn0-a0uayz-a3331215.html?hloc=at&amp;hloc=de&amp;hloc=eu&amp;hloc=pl&amp;hloc=uk</t>
  </si>
  <si>
    <t>ASRock Phantom Gaming Z890M Riptide WiFi</t>
  </si>
  <si>
    <t>90-MXBPK0-A0UAYZ</t>
  </si>
  <si>
    <t>1x M.2/​M-Key (PCIe 5.0 x4, 2280), 1x M.2/​M-Key (PCIe 4.0 x4, 2280), 1x M.2/​M-Key (PCIe 4.0 x4/​SATA, 2280), 1x M.2/​E-Key (2230, belegt mit WiFi+BT-Modul)</t>
  </si>
  <si>
    <t>https://geizhals.eu/asrock-phantom-gaming-z890m-riptide-wifi-90-mxbpk0-a0uayz-a3331193.html?hloc=at&amp;hloc=de&amp;hloc=eu&amp;hloc=pl&amp;hloc=uk</t>
  </si>
  <si>
    <t>1x M.2/​M-Key (PCIe 4.0 x4, 2280)</t>
  </si>
  <si>
    <t>4x SATA 6Gb/s (B650E)</t>
  </si>
  <si>
    <t>2x M.2/​M-Key (PCIe 4.0 x4, 2280)</t>
  </si>
  <si>
    <t>ASRock X670E PG Lightning</t>
  </si>
  <si>
    <t>90-MXBJ60-A0UAYZ</t>
  </si>
  <si>
    <t>1x M.2/​M-Key (PCIe 5.0 x4, 2280), 1x M.2/​M-Key (PCIe 4.0 x4, 2280/​2260), 1x M.2/​M-Key (PCIe 4.0 x2, 2280), 1x M.2/​M-Key (PCIe 3.0 x4/​SATA, 2280), 1x M.2/​E-Key (2230)</t>
  </si>
  <si>
    <t>4x SATA 6Gb/s (X670E)</t>
  </si>
  <si>
    <t>https://geizhals.eu/asrock-x670e-pg-lightning-90-mxbj60-a0uayz-a2812512.html?hloc=at&amp;hloc=de&amp;hloc=eu&amp;hloc=pl&amp;hloc=uk</t>
  </si>
  <si>
    <t>ASRock X870 Pro RS</t>
  </si>
  <si>
    <t>90-MXBPZ0-A0UAYZ</t>
  </si>
  <si>
    <t>1x M.2/​M-Key (PCIe 5.0 x4, 2280), 1x M.2/​M-Key (PCIe 4.0 x4, 2280/​2260/​2242/​2230), 1x M.2/​M-Key (PCIe 3.0 x4/​SATA, 2280), 1x M.2/​E-Key (2230)</t>
  </si>
  <si>
    <t>2x SATA 6Gb/s (X870), 2x SATA 6Gb/s (ASMedia ASM1061)</t>
  </si>
  <si>
    <t>https://geizhals.eu/asrock-x870-pro-rs-a3295192.html?hloc=at&amp;hloc=de&amp;hloc=eu&amp;hloc=pl&amp;hloc=uk</t>
  </si>
  <si>
    <t>ASRock X870 Pro RS WiFi</t>
  </si>
  <si>
    <t>90-MXBQ00-A0UAYZ</t>
  </si>
  <si>
    <t>1x M.2/​M-Key (PCIe 5.0 x4, 2280), 1x M.2/​M-Key (PCIe 4.0 x4, 2280/​2260/​2242/​2230), 1x M.2/​M-Key (PCIe 3.0 x4/​SATA, 2280), 1x M.2/​E-Key (2230, belegt mit WiFi+BT-Modul)</t>
  </si>
  <si>
    <t>https://geizhals.eu/asrock-x870-pro-rs-wifi-a3295191.html?hloc=at&amp;hloc=de&amp;hloc=eu&amp;hloc=pl&amp;hloc=uk</t>
  </si>
  <si>
    <t>ASRock X870 Steel Legend WiFi</t>
  </si>
  <si>
    <t>90-MXBPJ0-A0UAYZ</t>
  </si>
  <si>
    <t>https://geizhals.eu/asrock-x870-steel-legend-wifi-a3295186.html?hloc=at&amp;hloc=de&amp;hloc=eu&amp;hloc=pl&amp;hloc=uk</t>
  </si>
  <si>
    <t>ASRock X870E Taichi</t>
  </si>
  <si>
    <t>90-MXBP90-A0UAYZ</t>
  </si>
  <si>
    <t>6x SATA 6Gb/s (X870E)</t>
  </si>
  <si>
    <t>https://geizhals.eu/asrock-x870e-taichi-a3295184.html?hloc=at&amp;hloc=de&amp;hloc=eu&amp;hloc=pl&amp;hloc=uk</t>
  </si>
  <si>
    <t>ASRock X870E Taichi Lite</t>
  </si>
  <si>
    <t>90-MXBPA0-A0UAYZ</t>
  </si>
  <si>
    <t>https://geizhals.eu/asrock-x870e-taichi-lite-a3295188.html?hloc=at&amp;hloc=de&amp;hloc=eu&amp;hloc=pl&amp;hloc=uk</t>
  </si>
  <si>
    <t>ASRock Z690 AQUA</t>
  </si>
  <si>
    <t>90-MXBHU0-A0UAYZ</t>
  </si>
  <si>
    <t>1x M.2/​M-Key (PCIe 4.0 x4, 2280/​2260), 1x M.2/​M-Key (PCIe 4.0 x4/​SATA, 2280/​2260), 1x M.2/​M-Key (PCIe 4.0 x4/​SATA, 22110/​2280/​2260/​2242), 1x M.2/​E-Key (2230, belegt mit WiFi+BT-Modul)</t>
  </si>
  <si>
    <t>https://geizhals.eu/asrock-z690-aqua-a2624907.html?hloc=at&amp;hloc=de&amp;hloc=eu&amp;hloc=pl&amp;hloc=uk</t>
  </si>
  <si>
    <t>ASRock Z690 Extreme</t>
  </si>
  <si>
    <t>90-MXBHN0-A0UAYZ</t>
  </si>
  <si>
    <t>1x M.2/​M-Key (PCIe 4.0 x4, 2280/​2260), 1x M.2/​M-Key (PCIe 3.0 x4/​SATA, 2280/​2260/​2242/​2230), 1x M.2/​M-Key (PCIe 4.0 x4, 22110/​2280/​2260/​2242), 1x M.2/​E-Key (2230)</t>
  </si>
  <si>
    <t>https://geizhals.eu/asrock-z690-extreme-a2624982.html?hloc=at&amp;hloc=de&amp;hloc=eu&amp;hloc=pl&amp;hloc=uk</t>
  </si>
  <si>
    <t>ASRock Z690 PG Riptide</t>
  </si>
  <si>
    <t>90-MXBHQ0-A0UAYZ</t>
  </si>
  <si>
    <t>1x M.2/​M-Key (PCIe 4.0 x4, 2280/​2260), 1x M.2/​M-Key (PCIe 4.0 x4, 2280/​2260/​2242), 1x M.2/​M-Key (PCIe 3.0 x4/​SATA, 22110/​2280/​2260), 1x M.2/​E-Key (2230)</t>
  </si>
  <si>
    <t>https://geizhals.eu/asrock-z690-pg-riptide-90-mxbhq0-a0uayz-a2624944.html?hloc=at&amp;hloc=de&amp;hloc=eu&amp;hloc=pl&amp;hloc=uk</t>
  </si>
  <si>
    <t>ASRock Z690 Phantom Gaming 4</t>
  </si>
  <si>
    <t>90-MXBH70-A0UAYZ</t>
  </si>
  <si>
    <t>https://geizhals.eu/asrock-z690-phantom-gaming-4-a2624954.html?hloc=at&amp;hloc=de&amp;hloc=eu&amp;hloc=pl&amp;hloc=uk</t>
  </si>
  <si>
    <t>ASRock Z690 Steel Legend</t>
  </si>
  <si>
    <t>90-MXBH00-A0UAYZ</t>
  </si>
  <si>
    <t>1x M.2/​M-Key (PCIe 4.0 x4, 2280/​2260), 1x M.2/​M-Key (PCIe 4.0 x4/​SATA, 2280/​2260/​2242/​2230), 1x M.2/​M-Key (PCIe 4.0 x4/​SATA, 22110/​2280/​2260/​2242), 1x M.2/​E-Key (2230)</t>
  </si>
  <si>
    <t>https://geizhals.eu/asrock-z690-steel-legend-a2624990.html?hloc=at&amp;hloc=de&amp;hloc=eu&amp;hloc=pl&amp;hloc=uk</t>
  </si>
  <si>
    <t>ASRock Z690M Phantom Gaming 4</t>
  </si>
  <si>
    <t>90-MXBHJ0-A0UAYZ</t>
  </si>
  <si>
    <t>https://geizhals.eu/asrock-z690m-phantom-gaming-4-a2624963.html?hloc=at&amp;hloc=de&amp;hloc=eu&amp;hloc=pl&amp;hloc=uk</t>
  </si>
  <si>
    <t>ASRock Z790 LiveMixer</t>
  </si>
  <si>
    <t>90-MXBK10-A0UAYZ</t>
  </si>
  <si>
    <t>1x M.2/​M-Key (PCIe 5.0 x4, 2280/​2260), 3x M.2/​M-Key (PCIe 4.0 x4, 2280/​2260), 1x M.2/​M-Key (PCIe 4.0 x4, 2280/​2260/​2242), 1x M.2/​E-Key (2230)</t>
  </si>
  <si>
    <t>4x SATA 6Gb/s (Z790)</t>
  </si>
  <si>
    <t>https://geizhals.eu/asrock-z790-livemixer-a2830066.html?hloc=at&amp;hloc=de&amp;hloc=eu&amp;hloc=pl&amp;hloc=uk</t>
  </si>
  <si>
    <t>ASRock Z790 NOVA WiFi</t>
  </si>
  <si>
    <t>90-MXBMB0-A0UAYZ</t>
  </si>
  <si>
    <t>1x M.2/​M-Key (PCIe 5.0 x4, 2280/​2260), 4x M.2/​M-Key (PCIe 4.0 x4, 2280/​2260), 1x M.2/​M-Key (PCIe 4.0 x4/​SATA, 2280/​2260), 1x M.2/​E-Key (2230, belegt mit WiFi+BT-Modul)</t>
  </si>
  <si>
    <t>https://geizhals.eu/asrock-z790-nova-wifi-90-mxbmb0-a0uayz-a3045663.html?hloc=at&amp;hloc=de&amp;hloc=eu&amp;hloc=pl&amp;hloc=uk</t>
  </si>
  <si>
    <t>ASRock Z790 PG Riptide</t>
  </si>
  <si>
    <t>90-MXBJX0-A0UAYZ</t>
  </si>
  <si>
    <t>1x M.2/​M-Key (PCIe 5.0 x4, 2280), 1x M.2/​M-Key (PCIe 4.0 x4, 2280), 3x M.2/​M-Key (PCIe 4.0 x4, 2280/​2260), 1x M.2/​E-Key (2230)</t>
  </si>
  <si>
    <t>8x SATA 6Gb/s (Z790)</t>
  </si>
  <si>
    <t>https://geizhals.eu/asrock-z790-pg-riptide-a2820266.html?hloc=at&amp;hloc=de&amp;hloc=eu&amp;hloc=pl&amp;hloc=uk</t>
  </si>
  <si>
    <t>ASRock Z790 PG Sonic</t>
  </si>
  <si>
    <t>90-MXBKF0-A0UAYZ</t>
  </si>
  <si>
    <t>1x M.2/​M-Key (PCIe 5.0 x4, 2280), 3x M.2/​M-Key (PCIe 4.0 x4, 2280/​2260), 1x M.2/​M-Key (PCIe 4.0 x4, 2280), 1x M.2/​E-Key (2230)</t>
  </si>
  <si>
    <t>https://geizhals.eu/asrock-z790-pg-sonic-90-mxbkf0-a0uayz-a2832384.html?hloc=at&amp;hloc=de&amp;hloc=eu&amp;hloc=pl&amp;hloc=uk</t>
  </si>
  <si>
    <t>ASRock Z790 PG-ITX/TB4</t>
  </si>
  <si>
    <t>90-MXBKC0-A0UAYZ</t>
  </si>
  <si>
    <t>1x M.2/​M-Key (PCIe 4.0 x4, 2280), 1x M.2/​M-Key (PCIe 4.0 x4/​SATA, 2280, Rückseite), 1x M.2/​M-Key (PCIe 4.0 x4, 2280, Rückseite), 1x M.2/​E-Key (2230, belegt mit WiFi+BT-Modul)</t>
  </si>
  <si>
    <t>https://geizhals.eu/asrock-z790-pg-itx-tb4-a2820307.html?hloc=at&amp;hloc=de&amp;hloc=eu&amp;hloc=pl&amp;hloc=uk</t>
  </si>
  <si>
    <t>ASRock Z790 Pro RS</t>
  </si>
  <si>
    <t>90-MXBK40-A0UAYZ</t>
  </si>
  <si>
    <t>4x M.2/​M-Key (PCIe 4.0 x4, 2280/​2260), 1x M.2/​E-Key (2230)</t>
  </si>
  <si>
    <t>https://geizhals.eu/asrock-z790-pro-rs-a2820217.html?hloc=at&amp;hloc=de&amp;hloc=eu&amp;hloc=pl&amp;hloc=uk</t>
  </si>
  <si>
    <t>ASRock Z790 Pro RS WiFi</t>
  </si>
  <si>
    <t>90-MXBL50-A0UAYZ</t>
  </si>
  <si>
    <t>4x M.2/​M-Key (PCIe 4.0 x4, 2280/​2260), 1x M.2/​E-Key (2230, belegt mit WiFi+BT-Modul)</t>
  </si>
  <si>
    <t>https://geizhals.eu/asrock-z790-pro-rs-wifi-90-mxbl50-a0uayz-a2943382.html?hloc=at&amp;hloc=de&amp;hloc=eu&amp;hloc=pl&amp;hloc=uk</t>
  </si>
  <si>
    <t>ASRock Z790 Riptide WiFi</t>
  </si>
  <si>
    <t>90-MXBMD0-A0UAYZ</t>
  </si>
  <si>
    <t>1x M.2/​M-Key (PCIe 5.0 x4, 2280), 4x M.2/​M-Key (PCIe 4.0 x4, 2280/​2260), 1x M.2/​E-Key (2230, belegt mit WiFi+BT-Modul)</t>
  </si>
  <si>
    <t>https://geizhals.eu/asrock-z790-riptide-wifi-90-mxbmd0-a0uayz-a3046012.html?hloc=at&amp;hloc=de&amp;hloc=eu&amp;hloc=pl&amp;hloc=uk</t>
  </si>
  <si>
    <t>ASRock Z790 Steel Legend WiFi</t>
  </si>
  <si>
    <t>90-MXBKD0-A0UAYZ</t>
  </si>
  <si>
    <t>1x M.2/​M-Key (PCIe 5.0 x4, 2280/​2260), 2x M.2/​M-Key (PCIe 4.0 x4, 2280/​2260), 2x M.2/​M-Key (PCIe 4.0 x4, 2280/​2260/​2242), 1x M.2/​E-Key (2230, belegt mit WiFi+BT-Modul)</t>
  </si>
  <si>
    <t>https://geizhals.eu/asrock-z790-steel-legend-wifi-a2820206.html?hloc=at&amp;hloc=de&amp;hloc=eu&amp;hloc=pl&amp;hloc=uk</t>
  </si>
  <si>
    <t>ASRock Z790 Taichi</t>
  </si>
  <si>
    <t>90-MXBJD0-A0UAYZ</t>
  </si>
  <si>
    <t>1x M.2/​M-Key (PCIe 5.0 x4, 2280), 1x M.2/​M-Key (PCIe 4.0 x4, 2280), 3x M.2/​M-Key (PCIe 4.0 x4, 2280/​2260), 1x M.2/​E-Key (2230, belegt mit WiFi+BT-Modul)</t>
  </si>
  <si>
    <t>https://geizhals.eu/asrock-z790-taichi-a2820187.html?hloc=at&amp;hloc=de&amp;hloc=eu&amp;hloc=pl&amp;hloc=uk</t>
  </si>
  <si>
    <t>ASRock Z790 Taichi Carrara</t>
  </si>
  <si>
    <t>90-MXBKK0-A0UAYZ</t>
  </si>
  <si>
    <t>https://geizhals.eu/asrock-z790-taichi-carrara-a2820202.html?hloc=at&amp;hloc=de&amp;hloc=eu&amp;hloc=pl&amp;hloc=uk</t>
  </si>
  <si>
    <t>ASRock Z790M PG Lightning D4</t>
  </si>
  <si>
    <t>90-MXBJW0-A0UAYZ</t>
  </si>
  <si>
    <t>https://geizhals.eu/asrock-z790m-pg-lightning-d4-a2820304.html?hloc=at&amp;hloc=de&amp;hloc=eu&amp;hloc=pl&amp;hloc=uk</t>
  </si>
  <si>
    <t>ASRock Z790M-ITX WiFi</t>
  </si>
  <si>
    <t>90-MXBKE0-A0UAYZ</t>
  </si>
  <si>
    <t>1x M.2/​M-Key (PCIe 4.0 x4, 2280), 1x M.2/​M-Key (PCIe 4.0 x4/​SATA, 2280), 1x M.2/​E-Key (2230, belegt mit WiFi+BT-Modul)</t>
  </si>
  <si>
    <t>https://geizhals.eu/asrock-z790m-itx-wifi-a2820313.html?hloc=at&amp;hloc=de&amp;hloc=eu&amp;hloc=pl&amp;hloc=uk</t>
  </si>
  <si>
    <t>ASRock Z890 LiveMixer WiFi</t>
  </si>
  <si>
    <t>90-MXBPE0-A0UAYZ</t>
  </si>
  <si>
    <t>1x M.2/​M-Key (PCIe 5.0 x4, 2280), 1x M.2/​M-Key (PCIe 4.0 x4, 2280), 1x M.2/​M-Key (PCIe 4.0 x4, 2280/​2260/​2242/​2230), 1x M.2/​M-Key (PCIe 4.0 x4/​SATA, 2280), 1x M.2/​E-Key (2230, belegt mit WiFi+BT-Modul)</t>
  </si>
  <si>
    <t>https://geizhals.eu/asrock-z890-livemixer-wifi-90-mxbpe0-a0uayz-a3331093.html?hloc=at&amp;hloc=de&amp;hloc=eu&amp;hloc=pl&amp;hloc=uk</t>
  </si>
  <si>
    <t>ASRock Z890 Pro RS</t>
  </si>
  <si>
    <t>90-MXBP10-A0UAYZ</t>
  </si>
  <si>
    <t>1x M.2/​M-Key (PCIe 5.0 x4, 2280), 2x M.2/​M-Key (PCIe 4.0 x4, 2280), 1x M.2/​M-Key (PCIe 4.0 x4/​SATA, 2280/​2260/​2242/​2230), 1x M.2/​E-Key (2230)</t>
  </si>
  <si>
    <t>https://geizhals.eu/asrock-z890-pro-rs-90-mxbp10-a0uayz-a3330959.html?hloc=at&amp;hloc=de&amp;hloc=eu&amp;hloc=pl&amp;hloc=uk</t>
  </si>
  <si>
    <t>ASRock Z890 Pro RS WiFi White</t>
  </si>
  <si>
    <t>90-MXBQC0-A0UAYZ</t>
  </si>
  <si>
    <t>1x M.2/​M-Key (PCIe 5.0 x4, 2280), 2x M.2/​M-Key (PCIe 4.0 x4, 2280), 1x M.2/​M-Key (PCIe 4.0 x4/​SATA, 2280/​2260/​2242/​2230), 1x M.2/​E-Key (2230, belegt mit WiFi+BT-Modul)</t>
  </si>
  <si>
    <t>https://geizhals.eu/asrock-z890-pro-rs-wifi-white-90-mxbqc0-a0uayz-a3330912.html?hloc=at&amp;hloc=de&amp;hloc=eu&amp;hloc=pl&amp;hloc=uk</t>
  </si>
  <si>
    <t>ASRock Z890 Pro-A</t>
  </si>
  <si>
    <t>90-MXBP50-A0UAYZ</t>
  </si>
  <si>
    <t>https://geizhals.eu/asrock-z890-pro-a-90-mxbp50-a0uayz-a3331033.html?hloc=at&amp;hloc=de&amp;hloc=eu&amp;hloc=pl&amp;hloc=uk</t>
  </si>
  <si>
    <t>ASRock Z890 Pro-A WiFi</t>
  </si>
  <si>
    <t>90-MXBP60-A0UAYZ</t>
  </si>
  <si>
    <t>https://geizhals.eu/asrock-z890-pro-a-wifi-90-mxbp60-a0uayz-a3331004.html?hloc=at&amp;hloc=de&amp;hloc=eu&amp;hloc=pl&amp;hloc=uk</t>
  </si>
  <si>
    <t>ASRock Z890 Steel Legend WiFi</t>
  </si>
  <si>
    <t>90-MXBPF0-A0UAYZ</t>
  </si>
  <si>
    <t>https://geizhals.eu/asrock-z890-steel-legend-wifi-90-mxbpf0-a0uayz-a3330765.html?hloc=at&amp;hloc=de&amp;hloc=eu&amp;hloc=pl&amp;hloc=uk</t>
  </si>
  <si>
    <t>ASRock Z890 Taichi</t>
  </si>
  <si>
    <t>90-MXBPR0-A0UAYZ</t>
  </si>
  <si>
    <t>https://geizhals.eu/asrock-z890-taichi-90-mxbpr0-a0uayz-a3330565.html?hloc=at&amp;hloc=de&amp;hloc=eu&amp;hloc=pl&amp;hloc=uk</t>
  </si>
  <si>
    <t>ASRock Z890 Taichi AQUA</t>
  </si>
  <si>
    <t>90-MXBPL0-A0UAYZ</t>
  </si>
  <si>
    <t>2x M.2/​M-Key (PCIe 5.0 x4, 2280), 3x M.2/​M-Key (PCIe 4.0 x4, 2280), 1x M.2/​M-Key (PCIe 4.0 x4/​SATA, 2280/​2260/​2242), 1x M.2/​E-Key (2230, belegt mit WiFi+BT-Modul)</t>
  </si>
  <si>
    <t>https://geizhals.eu/asrock-z890-taichi-aqua-90-mxbpl0-a0uayz-a3330820.html?hloc=at&amp;hloc=de&amp;hloc=eu&amp;hloc=pl&amp;hloc=uk</t>
  </si>
  <si>
    <t>ASRock Z890 Taichi Lite</t>
  </si>
  <si>
    <t>90-MXBPQ0-A0UAYZ</t>
  </si>
  <si>
    <t>https://geizhals.eu/asrock-z890-taichi-lite-90-mxbpq0-a0uayz-a3330701.html?hloc=at&amp;hloc=de&amp;hloc=eu&amp;hloc=pl&amp;hloc=uk</t>
  </si>
  <si>
    <t>ASUS B650E Max Gaming WIFI</t>
  </si>
  <si>
    <t>90MB1LD0-M0EAY0</t>
  </si>
  <si>
    <t>1x M.2/​M-Key (PCIe 5.0 x4, 2280), 1x M.2/​M-Key (PCIe 4.0 x4, 2280), 1x M.2/​M-Key (PCIe 4.0 x2, 22110/​2280/​2260/​2242), 1x M.2/​E-Key (2230, belegt mit WiFi+BT-Modul)</t>
  </si>
  <si>
    <t>https://geizhals.eu/asus-b650e-max-gaming-wifi-90mb1ld0-m0eay0-a3417117.html?hloc=at&amp;hloc=de&amp;hloc=eu&amp;hloc=pl&amp;hloc=uk</t>
  </si>
  <si>
    <t>ASUS Prime A520M-A II/CSM</t>
  </si>
  <si>
    <t>90MB17H0-M0EAYC</t>
  </si>
  <si>
    <t>https://geizhals.eu/asus-prime-a520m-a-ii-csm-90mb17h0-m0eayc-a2987089.html?hloc=at&amp;hloc=de&amp;hloc=eu&amp;hloc=pl&amp;hloc=uk</t>
  </si>
  <si>
    <t>ASUS Prime A520M-E/CSM</t>
  </si>
  <si>
    <t>90MB1510-M0EAYC</t>
  </si>
  <si>
    <t>https://geizhals.eu/asus-prime-a520m-e-csm-90mb1510-m0eayc-a3045469.html?hloc=at&amp;hloc=de&amp;hloc=eu&amp;hloc=pl&amp;hloc=uk</t>
  </si>
  <si>
    <t>ASUS Prime A520M-K</t>
  </si>
  <si>
    <t>90MB1500-M0EAY0</t>
  </si>
  <si>
    <t>https://geizhals.eu/asus-prime-a520m-k-90mb1500-m0eay0-a2353063.html?hloc=at&amp;hloc=de&amp;hloc=eu&amp;hloc=pl&amp;hloc=uk</t>
  </si>
  <si>
    <t>ASUS Prime A520M-R</t>
  </si>
  <si>
    <t>90MB1H60-M0EAY0</t>
  </si>
  <si>
    <t>https://geizhals.eu/asus-prime-a520m-r-90mb1h60-m0eay0-a3117568.html?hloc=at&amp;hloc=de&amp;hloc=eu&amp;hloc=pl&amp;hloc=uk</t>
  </si>
  <si>
    <t>ASUS Prime A620M-A-CSM</t>
  </si>
  <si>
    <t>90MB1F10-M0EAYC</t>
  </si>
  <si>
    <t>2x M.2/​M-Key (PCIe 4.0 x4, 2280/​2260/​2242)</t>
  </si>
  <si>
    <t>https://geizhals.eu/asus-prime-a620m-a-csm-90mb1f10-m0eayc-a2942479.html?hloc=at&amp;hloc=de&amp;hloc=eu&amp;hloc=pl&amp;hloc=uk</t>
  </si>
  <si>
    <t>ASUS Prime A620M-E-CSM</t>
  </si>
  <si>
    <t>90MB1F50-M0EAYC</t>
  </si>
  <si>
    <t>1x M.2/​M-Key (PCIe 4.0 x4, 2280/​2260/​2242)</t>
  </si>
  <si>
    <t>https://geizhals.eu/asus-prime-a620m-e-csm-90mb1f50-m0eayc-a2975501.html?hloc=at&amp;hloc=de&amp;hloc=eu&amp;hloc=pl&amp;hloc=uk</t>
  </si>
  <si>
    <t>ASUS Prime A620M-K</t>
  </si>
  <si>
    <t>90MB1F40-M0EAY0</t>
  </si>
  <si>
    <t>https://geizhals.eu/asus-prime-a620m-k-90mb1f40-m0eay0-a2975461.html?hloc=at&amp;hloc=de&amp;hloc=eu&amp;hloc=pl&amp;hloc=uk</t>
  </si>
  <si>
    <t>1x M.2/​M-Key (PCIe 3.0 x4/​SATA, 22110/​2280/​2260/​2242)</t>
  </si>
  <si>
    <t>ASUS Prime B550M-A</t>
  </si>
  <si>
    <t>90MB14I0-M0EAY0</t>
  </si>
  <si>
    <t>1x M.2/​M-Key (PCIe 4.0 x4/​SATA, 22110/​2280/​2260/​2242), 1x M.2/​M-Key (PCIe 3.0 x4/​SATA, 2280/​2260/​2242)</t>
  </si>
  <si>
    <t>https://geizhals.eu/asus-prime-b550m-a-a2295506.html?hloc=at&amp;hloc=de&amp;hloc=eu&amp;hloc=pl&amp;hloc=uk</t>
  </si>
  <si>
    <t>ASUS Prime B550M-A WIFI II</t>
  </si>
  <si>
    <t>90MB19X0-M0EAY0</t>
  </si>
  <si>
    <t>1x M.2/​M-Key (PCIe 4.0 x4/​SATA, 22110/​2280/​2260/​2242), 1x M.2/​M-Key (PCIe 3.0 x4/​SATA, 2280/​2260/​2242), 1x M.2/​E-Key (2230, belegt mit WiFi+BT-Modul)</t>
  </si>
  <si>
    <t>https://geizhals.eu/asus-prime-b550m-a-wifi-ii-90mb19x0-m0eay0-a2645477.html?hloc=at&amp;hloc=de&amp;hloc=eu&amp;hloc=pl&amp;hloc=uk</t>
  </si>
  <si>
    <t>ASUS Prime B550M-A/CSM</t>
  </si>
  <si>
    <t>90MB14I0-M0EAYC</t>
  </si>
  <si>
    <t>https://geizhals.eu/asus-prime-b550m-a-csm-90mb14i0-m0eayc-a2394008.html?hloc=at&amp;hloc=de&amp;hloc=eu&amp;hloc=pl&amp;hloc=uk</t>
  </si>
  <si>
    <t>ASUS Prime B550M-K</t>
  </si>
  <si>
    <t>90MB14V0-M0EAY0</t>
  </si>
  <si>
    <t>https://geizhals.eu/asus-prime-b550m-k-a2295533.html?hloc=at&amp;hloc=de&amp;hloc=eu&amp;hloc=pl&amp;hloc=uk</t>
  </si>
  <si>
    <t>ASUS Prime B550M-K ARGB</t>
  </si>
  <si>
    <t>90MB1GC0-M0EAY0</t>
  </si>
  <si>
    <t>1x M.2/​M-Key (PCIe 4.0 x4/​SATA, 2280/​2260/​2242), 1x M.2/​M-Key (PCIe 3.0 x4/​SATA, 22110/​2280/​2260/​2242)</t>
  </si>
  <si>
    <t>https://geizhals.eu/asus-prime-b550m-k-argb-90mb1gc0-m0eay0-a3019104.html?hloc=at&amp;hloc=de&amp;hloc=eu&amp;hloc=pl&amp;hloc=uk</t>
  </si>
  <si>
    <t>ASUS Prime B550-Plus</t>
  </si>
  <si>
    <t>90MB14U0-M0EAY0</t>
  </si>
  <si>
    <t>1x M.2/​M-Key (PCIe 4.0 x4/​SATA, 22110/​2280/​2260/​2242), 1x M.2/​M-Key (PCIe 3.0 x4/​SATA, 22110/​2280/​2260/​2242)</t>
  </si>
  <si>
    <t>https://geizhals.eu/asus-prime-b550-plus-a2295489.html?hloc=at&amp;hloc=de&amp;hloc=eu&amp;hloc=pl&amp;hloc=uk</t>
  </si>
  <si>
    <t>ASUS Prime B650M-A</t>
  </si>
  <si>
    <t>90MB1C10-M0EAY0</t>
  </si>
  <si>
    <t>1x M.2/​M-Key (PCIe 5.0 x4, 2280/​2260/​2242), 1x M.2/​M-Key (PCIe 4.0 x4, 2280/​2260/​2242)</t>
  </si>
  <si>
    <t>https://geizhals.eu/asus-prime-b650m-a-90mb1c10-m0eay0-a2827695.html?hloc=at&amp;hloc=de&amp;hloc=eu&amp;hloc=pl&amp;hloc=uk</t>
  </si>
  <si>
    <t>ASUS Prime B650M-A II</t>
  </si>
  <si>
    <t>90MB1EH0-M0EAY0</t>
  </si>
  <si>
    <t>https://geizhals.eu/asus-prime-b650m-a-ii-90mb1eh0-m0eay0-a2880083.html?hloc=at&amp;hloc=de&amp;hloc=eu&amp;hloc=pl&amp;hloc=uk</t>
  </si>
  <si>
    <t>ASUS Prime B650M-A II-CSM</t>
  </si>
  <si>
    <t>90MB1EH0-M0EAYC</t>
  </si>
  <si>
    <t>https://geizhals.eu/asus-prime-b650m-a-ii-csm-90mb1eh0-m0eayc-a3019838.html?hloc=at&amp;hloc=de&amp;hloc=eu&amp;hloc=pl&amp;hloc=uk</t>
  </si>
  <si>
    <t>ASUS Prime B650M-A WIFI</t>
  </si>
  <si>
    <t>90MB1C00-M0EAY0</t>
  </si>
  <si>
    <t>1x M.2/​M-Key (PCIe 5.0 x4, 2280/​2260/​2242), 1x M.2/​M-Key (PCIe 4.0 x4, 2280/​2260/​2242), 1x M.2/​E-Key (2230, belegt mit WiFi+BT-Modul)</t>
  </si>
  <si>
    <t>https://geizhals.eu/asus-prime-b650m-a-wifi-a2825938.html?hloc=at&amp;hloc=de&amp;hloc=eu&amp;hloc=pl&amp;hloc=uk</t>
  </si>
  <si>
    <t>ASUS Prime B650M-A WIFI II</t>
  </si>
  <si>
    <t>90MB1EG0-M0EAY0</t>
  </si>
  <si>
    <t>https://geizhals.eu/asus-prime-b650m-a-wifi-ii-90mb1eg0-m0eay0-a2880144.html?hloc=at&amp;hloc=de&amp;hloc=eu&amp;hloc=pl&amp;hloc=uk</t>
  </si>
  <si>
    <t>ASUS Prime B650M-A-CSM</t>
  </si>
  <si>
    <t>90MB1C10-M0EAYC</t>
  </si>
  <si>
    <t>https://geizhals.eu/asus-prime-b650m-a-csm-90mb1c10-m0eayc-a2827697.html?hloc=at&amp;hloc=de&amp;hloc=eu&amp;hloc=pl&amp;hloc=uk</t>
  </si>
  <si>
    <t>ASUS Prime B650M-K</t>
  </si>
  <si>
    <t>90MB1F60-M0EAY0</t>
  </si>
  <si>
    <t>https://geizhals.eu/asus-prime-b650m-k-90mb1f60-m0eay0-a2977533.html?hloc=at&amp;hloc=de&amp;hloc=eu&amp;hloc=pl&amp;hloc=uk</t>
  </si>
  <si>
    <t>ASUS Prime B650M-R</t>
  </si>
  <si>
    <t>90MB1H30-M0EAY0</t>
  </si>
  <si>
    <t>https://geizhals.eu/asus-prime-b650m-r-90mb1h30-m0eay0-a3105775.html?hloc=at&amp;hloc=de&amp;hloc=eu&amp;hloc=pl&amp;hloc=uk</t>
  </si>
  <si>
    <t>ASUS Prime B650-Plus</t>
  </si>
  <si>
    <t>90MB1BS0-M0EAY0</t>
  </si>
  <si>
    <t>1x M.2/​M-Key (PCIe 5.0 x4, 22110/​2280/​2260/​2242), 1x M.2/​M-Key (PCIe 4.0 x4, 22110/​2280/​2260/​2242), 1x M.2/​E-Key (2230)</t>
  </si>
  <si>
    <t>https://geizhals.eu/asus-prime-b650-plus-a2825939.html?hloc=at&amp;hloc=de&amp;hloc=eu&amp;hloc=pl&amp;hloc=uk</t>
  </si>
  <si>
    <t>ASUS Prime B650-Plus WIFI</t>
  </si>
  <si>
    <t>90MB1KP0-M0EAY0</t>
  </si>
  <si>
    <t>1x M.2/​M-Key (PCIe 5.0 x4, 22110/​2280/​2260/​2242), 1x M.2/​M-Key (PCIe 4.0 x4, 22110/​2280/​2260/​2242), 1x M.2/​E-Key (2230, belegt mit WiFi+BT-Modul)</t>
  </si>
  <si>
    <t>https://geizhals.eu/asus-prime-b650-plus-wifi-90mb1kp0-m0eay0-a3417025.html?hloc=at&amp;hloc=de&amp;hloc=eu&amp;hloc=pl&amp;hloc=uk</t>
  </si>
  <si>
    <t>ASUS Prime B650-Plus-CSM</t>
  </si>
  <si>
    <t>90MB1BS0-M0EAYC</t>
  </si>
  <si>
    <t>https://geizhals.eu/asus-prime-b650-plus-csm-90mb1bs0-m0eayc-a2827701.html?hloc=at&amp;hloc=de&amp;hloc=eu&amp;hloc=pl&amp;hloc=uk</t>
  </si>
  <si>
    <t>ASUS Prime B660M-A D4-CSM</t>
  </si>
  <si>
    <t>90MB19K0-M1EAYC</t>
  </si>
  <si>
    <t>https://geizhals.eu/asus-prime-b660m-a-d4-csm-90mb19k0-m1eayc-a2895796.html?hloc=at&amp;hloc=de&amp;hloc=eu&amp;hloc=pl&amp;hloc=uk</t>
  </si>
  <si>
    <t>ASUS Prime B660M-A WIFI D4</t>
  </si>
  <si>
    <t>90MB1AE0-M0EAY0</t>
  </si>
  <si>
    <t>2x M.2/​M-Key (PCIe 4.0 x4, 2280/​2260/​2242), 1x M.2/​E-Key (2230, belegt mit WiFi+BT-Modul)</t>
  </si>
  <si>
    <t>https://geizhals.eu/asus-prime-b660m-a-wifi-d4-90mb1ae0-m0eay0-a2660680.html?hloc=at&amp;hloc=de&amp;hloc=eu&amp;hloc=pl&amp;hloc=uk</t>
  </si>
  <si>
    <t>ASUS Prime B660M-K D4</t>
  </si>
  <si>
    <t>90MB1950-M0EAY0</t>
  </si>
  <si>
    <t>https://geizhals.eu/asus-prime-b660m-k-d4-90mb1950-m0eay0-a2660678.html?hloc=at&amp;hloc=de&amp;hloc=eu&amp;hloc=pl&amp;hloc=uk</t>
  </si>
  <si>
    <t>ASUS Prime B660-Plus D4</t>
  </si>
  <si>
    <t>90MB18X0-M0EAY0 / 90MB18X0-M1EAY0</t>
  </si>
  <si>
    <t>1x M.2/​M-Key (PCIe 4.0 x4, 2280/​2260/​2242), 1x M.2/​M-Key (PCIe 4.0 x4, 22110/​2280/​2260/​2242), 1x M.2/​M-Key (PCIe 4.0 x2, 2280/​2260/​2242), 1x M.2/​E-Key (2230)</t>
  </si>
  <si>
    <t>https://geizhals.eu/asus-prime-b660-plus-d4-90mb18x0-m0eay0-a2660681.html?hloc=at&amp;hloc=de&amp;hloc=eu&amp;hloc=pl&amp;hloc=uk</t>
  </si>
  <si>
    <t>ASUS Prime B760M-A D4-CSM</t>
  </si>
  <si>
    <t>90MB1D00-M0EAYC / 90MB1D00-M1EAYC</t>
  </si>
  <si>
    <t>https://geizhals.eu/asus-prime-b760m-a-d4-csm-90mb1d00-m0eayc-a2872231.html?hloc=at&amp;hloc=de&amp;hloc=eu&amp;hloc=pl&amp;hloc=uk</t>
  </si>
  <si>
    <t>ASUS Prime B760M-A WIFI</t>
  </si>
  <si>
    <t>90MB1EL0-M0EAY0 / 90MB1EL0-M1EAY0</t>
  </si>
  <si>
    <t>https://geizhals.eu/asus-prime-b760m-a-wifi-90mb1el0-m0eay0-a2952599.html?hloc=at&amp;hloc=de&amp;hloc=eu&amp;hloc=pl&amp;hloc=uk</t>
  </si>
  <si>
    <t>ASUS Prime B760M-A WIFI D4</t>
  </si>
  <si>
    <t>90MB1CX0-M0EAY0 / 90MB1CX0-M1EAY0</t>
  </si>
  <si>
    <t>https://geizhals.eu/asus-prime-b760m-a-wifi-d4-90mb1cx0-m0eay0-a2872232.html?hloc=at&amp;hloc=de&amp;hloc=eu&amp;hloc=pl&amp;hloc=uk</t>
  </si>
  <si>
    <t>ASUS Prime B760M-A-CSM</t>
  </si>
  <si>
    <t>90MB1EK0-M0EAYC / 90MB1EK0-M1EAYC</t>
  </si>
  <si>
    <t>https://geizhals.eu/asus-prime-b760m-a-csm-90mb1ek0-m0eayc-a2941770.html?hloc=at&amp;hloc=de&amp;hloc=eu&amp;hloc=pl&amp;hloc=uk</t>
  </si>
  <si>
    <t>ASUS Prime B760M-K</t>
  </si>
  <si>
    <t>90MB1FI0-M0EAY0 / 90MB1FI0-M1EAY0</t>
  </si>
  <si>
    <t>https://geizhals.eu/asus-prime-b760m-k-90mb1fi0-m0eay0-a2951158.html?hloc=at&amp;hloc=de&amp;hloc=eu&amp;hloc=pl&amp;hloc=uk</t>
  </si>
  <si>
    <t>ASUS Prime B760M-K D4</t>
  </si>
  <si>
    <t>90MB1DS0-M0EAY0</t>
  </si>
  <si>
    <t>https://geizhals.eu/asus-prime-b760m-k-d4-90mb1ds0-m0eay0-a2872237.html?hloc=at&amp;hloc=de&amp;hloc=eu&amp;hloc=pl&amp;hloc=uk</t>
  </si>
  <si>
    <t>ASUS Prime B760M-Plus</t>
  </si>
  <si>
    <t>90MB1GY0-M0EAY0</t>
  </si>
  <si>
    <t>https://geizhals.eu/asus-prime-b760m-plus-90mb1gy0-m0eay0-a3112552.html?hloc=at&amp;hloc=de&amp;hloc=eu&amp;hloc=pl&amp;hloc=uk</t>
  </si>
  <si>
    <t>ASUS Prime B760M-R D4</t>
  </si>
  <si>
    <t>90MB1HA0-M0EAY0</t>
  </si>
  <si>
    <t>https://geizhals.eu/asus-prime-b760m-r-d4-90mb1ha0-m0eay0-a3086467.html?hloc=at&amp;hloc=de&amp;hloc=eu&amp;hloc=pl&amp;hloc=uk</t>
  </si>
  <si>
    <t>ASUS Prime B760-Plus</t>
  </si>
  <si>
    <t>90MB1EF0-M0EAY0 / 90MB1EF0-M1EAY0</t>
  </si>
  <si>
    <t>https://geizhals.eu/asus-prime-b760-plus-90mb1ef0-m0eay0-a2914691.html?hloc=at&amp;hloc=de&amp;hloc=eu&amp;hloc=pl&amp;hloc=uk</t>
  </si>
  <si>
    <t>ASUS Prime B760-Plus D4</t>
  </si>
  <si>
    <t>90MB1CW0-M0EAY0 / 90MB1CW0-M1EAY0</t>
  </si>
  <si>
    <t>https://geizhals.eu/asus-prime-b760-plus-d4-90mb1cw0-m0eay0-a2872236.html?hloc=at&amp;hloc=de&amp;hloc=eu&amp;hloc=pl&amp;hloc=uk</t>
  </si>
  <si>
    <t>ASUS Prime B840M-A WIFI</t>
  </si>
  <si>
    <t>90MB1J20-M0EAY0</t>
  </si>
  <si>
    <t>1x M.2/​M-Key (PCIe 4.0 x4, 2280), 1x M.2/​M-Key (PCIe 4.0 x4, 2280/​2260/​2242), 1x M.2/​M-Key (PCIe 3.0 x4, 2280, Rückseite), 1x M.2/​E-Key (2230, belegt mit WiFi+BT-Modul)</t>
  </si>
  <si>
    <t>4x SATA 6Gb/s (B840)</t>
  </si>
  <si>
    <t>https://geizhals.eu/asus-prime-b840m-a-wifi-90mb1j20-m0eay0-a3381531.html?hloc=at&amp;hloc=de&amp;hloc=eu&amp;hloc=pl&amp;hloc=uk</t>
  </si>
  <si>
    <t>ASUS Prime B840M-A-CSM</t>
  </si>
  <si>
    <t>90MB1J10-M0EAYC</t>
  </si>
  <si>
    <t>1x M.2/​M-Key (PCIe 4.0 x4, 2280), 1x M.2/​M-Key (PCIe 4.0 x4, 2280/​2260/​2242), 1x M.2/​M-Key (PCIe 3.0 x4, 2280, Rückseite)</t>
  </si>
  <si>
    <t>https://geizhals.eu/asus-prime-b840m-a-csm-90mb1j10-m0eayc-a3381530.html?hloc=at&amp;hloc=de&amp;hloc=eu&amp;hloc=pl&amp;hloc=uk</t>
  </si>
  <si>
    <t>ASUS Prime B840-Plus WIFI</t>
  </si>
  <si>
    <t>90MB1IZ0-M0EAY0</t>
  </si>
  <si>
    <t>2x M.2/​M-Key (PCIe 4.0 x4, 2280), 1x M.2/​M-Key (PCIe 3.0 x4, 2280/​2260/​2242), 1x M.2/​E-Key (2230, belegt mit WiFi+BT-Modul)</t>
  </si>
  <si>
    <t>https://geizhals.eu/asus-prime-b840-plus-wifi-90mb1iz0-m0eay0-a3381532.html?hloc=at&amp;hloc=de&amp;hloc=eu&amp;hloc=pl&amp;hloc=uk</t>
  </si>
  <si>
    <t>ASUS Prime B850-Plus WIFI</t>
  </si>
  <si>
    <t>90MB1L80-M0EAY0</t>
  </si>
  <si>
    <t>https://geizhals.eu/asus-prime-b850-plus-wifi-90mb1l80-m0eay0-a3415513.html?hloc=at&amp;hloc=de&amp;hloc=eu&amp;hloc=pl&amp;hloc=uk</t>
  </si>
  <si>
    <t>ASUS Prime B860M-A WIFI</t>
  </si>
  <si>
    <t>90MB1JY0-M0EAY0</t>
  </si>
  <si>
    <t>https://geizhals.eu/asus-prime-b860m-a-wifi-90mb1jy0-m0eay0-a3381534.html?hloc=at&amp;hloc=de&amp;hloc=eu&amp;hloc=pl&amp;hloc=uk</t>
  </si>
  <si>
    <t>ASUS Prime B860M-A-CSM</t>
  </si>
  <si>
    <t>90MB1K00-M0EAYC</t>
  </si>
  <si>
    <t>https://geizhals.eu/asus-prime-b860m-a-csm-90mb1k00-m0eayc-a3385946.html?hloc=at&amp;hloc=de&amp;hloc=eu&amp;hloc=pl&amp;hloc=uk</t>
  </si>
  <si>
    <t>ASUS Prime B860M-K</t>
  </si>
  <si>
    <t>90MB1JT0-M0EAY0</t>
  </si>
  <si>
    <t>https://geizhals.eu/asus-prime-b860m-k-90mb1jt0-m0eay0-a3386191.html?hloc=at&amp;hloc=de&amp;hloc=eu&amp;hloc=pl&amp;hloc=uk</t>
  </si>
  <si>
    <t>ASUS Prime B860-Plus WIFI</t>
  </si>
  <si>
    <t>90MB1K50-M0EAY0</t>
  </si>
  <si>
    <t>1x M.2/​M-Key (PCIe 5.0 x4, 2280/​2260/​2242), 1x M.2/​M-Key (PCIe 4.0 x4, 22110/​2280/​2260/​2242), 1x M.2/​E-Key (2230, belegt mit WiFi+BT-Modul)</t>
  </si>
  <si>
    <t>https://geizhals.eu/asus-prime-b860-plus-wifi-90mb1k50-m0eay0-a3385788.html?hloc=at&amp;hloc=de&amp;hloc=eu&amp;hloc=pl&amp;hloc=uk</t>
  </si>
  <si>
    <t>ASUS Prime B860-Plus-CSM</t>
  </si>
  <si>
    <t>90MB1KA0-M0EAYC</t>
  </si>
  <si>
    <t>1x M.2/​M-Key (PCIe 5.0 x4, 2280/​2260/​2242), 1x M.2/​M-Key (PCIe 4.0 x4, 22110/​2280/​2260/​2242), 1x M.2/​M-Key (PCIe 4.0 x4, 2280/​2260/​2242), 1x M.2/​E-Key (2230)</t>
  </si>
  <si>
    <t>https://geizhals.eu/asus-prime-b860-plus-csm-90mb1ka0-m0eayc-a3385904.html?hloc=at&amp;hloc=de&amp;hloc=eu&amp;hloc=pl&amp;hloc=uk</t>
  </si>
  <si>
    <t>ASUS Prime H770-Plus</t>
  </si>
  <si>
    <t>90MB1EE0-M0EAY0</t>
  </si>
  <si>
    <t>1x M.2/​M-Key (PCIe 4.0 x4, 2280/​2260/​2242), 1x M.2/​M-Key (PCIe 4.0 x4, 22110/​2280/​2260/​2242), 1x M.2/​M-Key (PCIe 4.0 x4/​SATA, 2280/​2260/​2242), 1x M.2/​E-Key (2230)</t>
  </si>
  <si>
    <t>4x SATA 6Gb/s (H770)</t>
  </si>
  <si>
    <t>https://geizhals.eu/asus-prime-h770-plus-90mb1ee0-m0eay0-a2986881.html?hloc=at&amp;hloc=de&amp;hloc=eu&amp;hloc=pl&amp;hloc=uk</t>
  </si>
  <si>
    <t>ASUS Prime H770-Plus D4</t>
  </si>
  <si>
    <t>90MB1CU0-M0EAY0</t>
  </si>
  <si>
    <t>https://geizhals.eu/asus-prime-h770-plus-d4-90mb1cu0-m0eay0-a2872245.html?hloc=at&amp;hloc=de&amp;hloc=eu&amp;hloc=pl&amp;hloc=uk</t>
  </si>
  <si>
    <t>ASUS Prime H810M-A WIFI</t>
  </si>
  <si>
    <t>90MB1KJ0-M0EAY0</t>
  </si>
  <si>
    <t>1x M.2/​M-Key (PCIe 4.0 x4, 2280), 1x M.2/​M-Key (PCIe 4.0 x2, 2280/​2260/​2242), 1x M.2/​E-Key (2230, belegt mit WiFi+BT-Modul)</t>
  </si>
  <si>
    <t>4x SATA 6Gb/s (H810)</t>
  </si>
  <si>
    <t>https://geizhals.eu/asus-prime-h810m-a-wifi-90mb1kj0-m0eay0-a3386431.html?hloc=at&amp;hloc=de&amp;hloc=eu&amp;hloc=pl&amp;hloc=uk</t>
  </si>
  <si>
    <t>ASUS Prime H810M-A-CSM</t>
  </si>
  <si>
    <t>90MB1KK0-M0EAYC</t>
  </si>
  <si>
    <t>1x M.2/​M-Key (PCIe 4.0 x4, 2280), 1x M.2/​M-Key (PCIe 4.0 x2, 2280/​2260/​2242), 1x M.2/​E-Key (2230)</t>
  </si>
  <si>
    <t>https://geizhals.eu/asus-prime-h810m-a-csm-90mb1kk0-m0eayc-a3386476.html?hloc=at&amp;hloc=de&amp;hloc=eu&amp;hloc=pl&amp;hloc=uk</t>
  </si>
  <si>
    <t>ASUS Prime X670E-Pro WIFI</t>
  </si>
  <si>
    <t>90MB1BL0-M0EAY0</t>
  </si>
  <si>
    <t>1x M.2/​M-Key (PCIe 5.0 x4, 2280/​2260/​2242), 2x M.2/​M-Key (PCIe 4.0 x4, 2280/​2260/​2242), 1x M.2/​M-Key (PCIe 3.0 x4/​SATA, 22110/​2280/​2260/​2242), 1x M.2/​E-Key (2230, belegt mit WiFi+BT-Modul)</t>
  </si>
  <si>
    <t>https://geizhals.eu/asus-prime-x670e-pro-wifi-90mb1bl0-m0eay0-a2819571.html?hloc=at&amp;hloc=de&amp;hloc=eu&amp;hloc=pl&amp;hloc=uk</t>
  </si>
  <si>
    <t>ASUS Prime X670-P</t>
  </si>
  <si>
    <t>90MB1BU0-M0EAY0</t>
  </si>
  <si>
    <t>6x SATA 6Gb/s (X670)</t>
  </si>
  <si>
    <t>https://geizhals.eu/asus-prime-x670-p-90mb1bu0-m0eay0-a2800663.html?hloc=at&amp;hloc=de&amp;hloc=eu&amp;hloc=pl&amp;hloc=uk</t>
  </si>
  <si>
    <t>ASUS Prime X670-P WIFI</t>
  </si>
  <si>
    <t>90MB1BV0-M0EAY0</t>
  </si>
  <si>
    <t>1x M.2/​M-Key (PCIe 5.0 x4, 2280/​2260/​2242), 1x M.2/​M-Key (PCIe 4.0 x4, 22110/​2280/​2260/​2242), 1x M.2/​M-Key (PCIe 4.0 x4, 2280/​2260/​2242), 1x M.2/​E-Key (2230, belegt mit WiFi+BT-Modul)</t>
  </si>
  <si>
    <t>https://geizhals.eu/asus-prime-x670-p-wifi-90mb1bv0-m0eay0-a2800656.html?hloc=at&amp;hloc=de&amp;hloc=eu&amp;hloc=pl&amp;hloc=uk</t>
  </si>
  <si>
    <t>ASUS Prime X670-P-CSM</t>
  </si>
  <si>
    <t>90MB1BU0-M0EAYC</t>
  </si>
  <si>
    <t>https://geizhals.eu/asus-prime-x670-p-csm-a2819575.html?hloc=at&amp;hloc=de&amp;hloc=eu&amp;hloc=pl&amp;hloc=uk</t>
  </si>
  <si>
    <t>ASUS Prime X870-P</t>
  </si>
  <si>
    <t>90MB1IT0-M0EAY0</t>
  </si>
  <si>
    <t>1x M.2/​M-Key (PCIe 5.0 x4, 2280), 1x M.2/​M-Key (PCIe 4.0 x4, 2280/​2260/​2242), 1x M.2/​M-Key (PCIe 4.0 x4, 2280), 1x M.2/​M-Key (PCIe 3.0 x2, 2280)</t>
  </si>
  <si>
    <t>2x SATA 6Gb/s (X870)</t>
  </si>
  <si>
    <t>https://geizhals.eu/asus-prime-x870-p-a3272526.html?hloc=at&amp;hloc=de&amp;hloc=eu&amp;hloc=pl&amp;hloc=uk</t>
  </si>
  <si>
    <t>ASUS Prime X870-P WiFi</t>
  </si>
  <si>
    <t>90MB1IS0-M0EAY0</t>
  </si>
  <si>
    <t>1x M.2/​M-Key (PCIe 5.0 x4, 2280), 1x M.2/​M-Key (PCIe 4.0 x4, 2280/​2260/​2242), 1x M.2/​M-Key (PCIe 4.0 x4, 2280), 1x M.2/​M-Key (PCIe 3.0 x2, 2280), 1x M.2/​E-Key (2230, belegt mit WiFi+BT-Modul)</t>
  </si>
  <si>
    <t>https://geizhals.eu/asus-prime-x870-p-wifi-a3272529.html?hloc=at&amp;hloc=de&amp;hloc=eu&amp;hloc=pl&amp;hloc=uk</t>
  </si>
  <si>
    <t>ASUS Prime Z690-A</t>
  </si>
  <si>
    <t>90MB18L0-M0EAY0</t>
  </si>
  <si>
    <t>2x M.2/​M-Key (PCIe 4.0 x4, 22110/​2280/​2260/​2242), 1x M.2/​M-Key (PCIe 4.0 x4, 2280/​2260/​2242), 1x M.2/​M-Key (PCIe 4.0 x4/​SATA, 2280/​2260/​2242)</t>
  </si>
  <si>
    <t>https://geizhals.eu/asus-prime-z690-a-90mb18l0-m0eay0-a2625579.html?hloc=at&amp;hloc=de&amp;hloc=eu&amp;hloc=pl&amp;hloc=uk</t>
  </si>
  <si>
    <t>ASUS Prime Z690-P D4</t>
  </si>
  <si>
    <t>90MB18P0-M0EAY0</t>
  </si>
  <si>
    <t>1x M.2/​M-Key (PCIe 4.0 x4, 22110/​2280/​2260/​2242), 1x M.2/​M-Key (PCIe 4.0 x4, 2280/​2260/​2242), 1x M.2/​M-Key (PCIe 4.0 x4/​SATA, 22110/​2280/​2260/​2242), 1x M.2/​E-Key (2230)</t>
  </si>
  <si>
    <t>https://geizhals.eu/asus-prime-z690-p-d4-90mb18p0-m0eay0-a2625566.html?hloc=at&amp;hloc=de&amp;hloc=eu&amp;hloc=pl&amp;hloc=uk</t>
  </si>
  <si>
    <t>ASUS Prime Z690-P WIFI</t>
  </si>
  <si>
    <t>90MB1A90-M0EAY0</t>
  </si>
  <si>
    <t>1x M.2/​M-Key (PCIe 4.0 x4, 22110/​2280/​2260/​2242), 1x M.2/​M-Key (PCIe 4.0 x4, 2280/​2260/​2242), 1x M.2/​M-Key (PCIe 4.0 x4/​SATA, 22110/​2280/​2260/​2242), 1x M.2/​E-Key (2230, belegt mit WiFi+BT-Modul)</t>
  </si>
  <si>
    <t>https://geizhals.eu/asus-prime-z690-p-wifi-90mb1a90-m0eay0-a2625574.html?hloc=at&amp;hloc=de&amp;hloc=eu&amp;hloc=pl&amp;hloc=uk</t>
  </si>
  <si>
    <t>ASUS Prime Z790-A WIFI</t>
  </si>
  <si>
    <t>90MB1CS0-M0EAY0 / 90MB1CS0-M1EAY0</t>
  </si>
  <si>
    <t>2x M.2/​M-Key (PCIe 4.0 x4, 22110/​2280/​2260/​2242), 1x M.2/​M-Key (PCIe 4.0 x4, 2280/​2260/​2242), 1x M.2/​M-Key (PCIe 4.0 x4/​SATA, 2280/​2260/​2242), 1x M.2/​E-Key (2230, belegt mit WiFi+BT-Modul)</t>
  </si>
  <si>
    <t>https://geizhals.eu/asus-prime-z790-a-wifi-90mb1cs0-m0eay0-a2819908.html?hloc=at&amp;hloc=de&amp;hloc=eu&amp;hloc=pl&amp;hloc=uk</t>
  </si>
  <si>
    <t>ASUS Prime Z790M-Plus</t>
  </si>
  <si>
    <t>90MB1E70-M0EAY0 / 90MB1E70-M1EAY0</t>
  </si>
  <si>
    <t>1x M.2/​M-Key (PCIe 4.0 x4, 2280/​2260/​2242), 1x M.2/​M-Key (PCIe 4.0 x4, 2280/​2260), 1x M.2/​M-Key (PCIe 4.0 x4/​SATA, 2280/​2260/​2242), 1x M.2/​E-Key (2230)</t>
  </si>
  <si>
    <t>https://geizhals.eu/asus-prime-z790m-plus-90mb1e70-m0eay0-a2897503.html?hloc=at&amp;hloc=de&amp;hloc=eu&amp;hloc=pl&amp;hloc=uk</t>
  </si>
  <si>
    <t>ASUS Prime Z790-P</t>
  </si>
  <si>
    <t>90MB1CK0-M0EAY0 / 90MB1CK0-M1EAY0</t>
  </si>
  <si>
    <t>https://geizhals.eu/asus-prime-z790-p-90mb1ck0-m0eay0-a2819900.html?hloc=at&amp;hloc=de&amp;hloc=eu&amp;hloc=pl&amp;hloc=uk</t>
  </si>
  <si>
    <t>ASUS Prime Z790-P WIFI</t>
  </si>
  <si>
    <t>90MB1CJ0-M0EAY0 / 90MB1CJ0-M1EAY0</t>
  </si>
  <si>
    <t>https://geizhals.eu/asus-prime-z790-p-wifi-90mb1cj0-m0eay0-a2819891.html?hloc=at&amp;hloc=de&amp;hloc=eu&amp;hloc=pl&amp;hloc=uk</t>
  </si>
  <si>
    <t>ASUS Prime Z890M-Plus WIFI</t>
  </si>
  <si>
    <t>90MB1J80-M0EAY0</t>
  </si>
  <si>
    <t>6x SATA 6Gb/s (Z890)</t>
  </si>
  <si>
    <t>https://geizhals.eu/asus-prime-z890m-plus-wifi-90mb1j80-m0eay0-a3330490.html?hloc=at&amp;hloc=de&amp;hloc=eu&amp;hloc=pl&amp;hloc=uk</t>
  </si>
  <si>
    <t>ASUS Prime Z890-P</t>
  </si>
  <si>
    <t>90MB1I50-M0EAY0</t>
  </si>
  <si>
    <t>1x M.2/​M-Key (PCIe 5.0 x4, 22110/​2280), 1x M.2/​M-Key (PCIe 4.0 x4, 2280), 1x M.2/​M-Key (PCIe 4.0 x4, 22110/​2280), 1x M.2/​M-Key (PCIe 4.0 x4/​SATA, 2280/​2260/​2242)</t>
  </si>
  <si>
    <t>https://geizhals.eu/asus-prime-z890-p-90mb1i50-m0eay0-a3330485.html?hloc=at&amp;hloc=de&amp;hloc=eu&amp;hloc=pl&amp;hloc=uk</t>
  </si>
  <si>
    <t>ASUS Prime Z890-P WIFI</t>
  </si>
  <si>
    <t>90MB1I70-M0EAY0</t>
  </si>
  <si>
    <t>1x M.2/​M-Key (PCIe 5.0 x4, 22110/​2280), 1x M.2/​M-Key (PCIe 4.0 x4, 2280), 1x M.2/​M-Key (PCIe 4.0 x4, 22110/​2280), 1x M.2/​M-Key (PCIe 4.0 x4/​SATA, 2280/​2260/​2242), 1x M.2/​E-Key (2230, belegt mit WiFi+BT-Modul)</t>
  </si>
  <si>
    <t>https://geizhals.eu/asus-prime-z890-p-wifi-90mb1i70-m0eay0-a3330462.html?hloc=at&amp;hloc=de&amp;hloc=eu&amp;hloc=pl&amp;hloc=uk</t>
  </si>
  <si>
    <t>ASUS Pro A520M-C II/CSM</t>
  </si>
  <si>
    <t>90MB18F0-M0EAYC</t>
  </si>
  <si>
    <t>1x PCI, 4x SATA 6Gb/s (A520)</t>
  </si>
  <si>
    <t>https://geizhals.eu/asus-pro-a520m-c-ii-csm-90mb18f0-m0eayc-a2932819.html?hloc=at&amp;hloc=de&amp;hloc=eu&amp;hloc=pl&amp;hloc=uk</t>
  </si>
  <si>
    <t>ASUS Pro A620M-C-CSM</t>
  </si>
  <si>
    <t>90MB1F80-M0EAYC</t>
  </si>
  <si>
    <t>1x PCI, 4x SATA 6Gb/s (A620)</t>
  </si>
  <si>
    <t>https://geizhals.eu/asus-pro-a620m-c-csm-90mb1f80-m0eayc-a3000897.html?hloc=at&amp;hloc=de&amp;hloc=eu&amp;hloc=pl&amp;hloc=uk</t>
  </si>
  <si>
    <t>ASUS Pro A620M-DASH-CSM</t>
  </si>
  <si>
    <t>90MB1GD0-M0EAYC</t>
  </si>
  <si>
    <t>https://geizhals.eu/asus-pro-a620m-dash-csm-90mb1gd0-m0eayc-a3019843.html?hloc=at&amp;hloc=de&amp;hloc=eu&amp;hloc=pl&amp;hloc=uk</t>
  </si>
  <si>
    <t>ASUS Pro B550M-C/CSM</t>
  </si>
  <si>
    <t>90MB15Q0-M0EAYC</t>
  </si>
  <si>
    <t>1x M.2/​M-Key (PCIe 4.0 x4/​SATA, 2280/​2260/​2242), 1x M.2/​M-Key (PCIe 3.0 x4/​SATA, 2280/​2260/​2242), 1x M.2/​E-Key (2230)</t>
  </si>
  <si>
    <t>https://geizhals.eu/asus-pro-b550m-c-csm-90mb15q0-m0eayc-a2460352.html?hloc=at&amp;hloc=de&amp;hloc=eu&amp;hloc=pl&amp;hloc=uk</t>
  </si>
  <si>
    <t>ASUS Pro B650M-CT-CSM</t>
  </si>
  <si>
    <t>90MB1EC0-M0EAYC</t>
  </si>
  <si>
    <t>1x M.2/​M-Key (PCIe 5.0 x4, 2280/​2260/​2242), 1x M.2/​M-Key (PCIe 4.0 x4, 2280/​2260/​2242), 1x M.2/​E-Key (2230)</t>
  </si>
  <si>
    <t>https://geizhals.eu/asus-pro-b650m-ct-csm-90mb1ec0-m0eayc-a2946529.html?hloc=at&amp;hloc=de&amp;hloc=eu&amp;hloc=pl&amp;hloc=uk</t>
  </si>
  <si>
    <t>ASUS Pro B660M-C D4-CSM</t>
  </si>
  <si>
    <t>90MB19B0-M0EAYC / 90MB19B0-M1EAYC</t>
  </si>
  <si>
    <t>2x M.2/​M-Key (PCIe 4.0 x4, 2280/​2260/​2242), 1x M.2/​E-Key (2230)</t>
  </si>
  <si>
    <t>https://geizhals.eu/asus-pro-b660m-c-d4-csm-90mb19b0-m0eayc-a2661020.html?hloc=at&amp;hloc=de&amp;hloc=eu&amp;hloc=pl&amp;hloc=uk</t>
  </si>
  <si>
    <t>ASUS Pro B760M-C-CSM</t>
  </si>
  <si>
    <t>90MB1DX0-M0EAYC / 90MB1DX0-M1EAYC</t>
  </si>
  <si>
    <t>https://geizhals.eu/asus-pro-b760m-c-csm-90mb1dx0-m0eayc-a2872239.html?hloc=at&amp;hloc=de&amp;hloc=eu&amp;hloc=pl&amp;hloc=uk</t>
  </si>
  <si>
    <t>ASUS Pro B760M-CT-CSM</t>
  </si>
  <si>
    <t>90MB1DY0-M0EAYC / 90MB1DY0-M1EAYC</t>
  </si>
  <si>
    <t>https://geizhals.eu/asus-pro-b760m-ct-csm-90mb1dy0-mveayc-a2872240.html?hloc=at&amp;hloc=de&amp;hloc=eu&amp;hloc=pl&amp;hloc=uk</t>
  </si>
  <si>
    <t>ASUS Pro WS W680-ACE</t>
  </si>
  <si>
    <t>90MB1DZ0-M0EAY0</t>
  </si>
  <si>
    <t>2x M.2/​M-Key (PCIe 4.0 x4, 2280/​2260/​2242), 1x M.2/​M-Key (PCIe 4.0 x4, 22110/​2280/​2260/​2242), 1x M.2/​E-Key (2230)</t>
  </si>
  <si>
    <t>https://geizhals.eu/asus-pro-ws-w680-ace-90mb1dz0-m0eay0-a2872252.html?hloc=at&amp;hloc=de&amp;hloc=eu&amp;hloc=pl&amp;hloc=uk</t>
  </si>
  <si>
    <t>ASUS Pro WS W680-ACE IPMI</t>
  </si>
  <si>
    <t>90MB1DN0-M0EAY0</t>
  </si>
  <si>
    <t>https://geizhals.eu/asus-pro-ws-w680-ace-ipmi-90mb1dn0-m0eay0-a2872253.html?hloc=at&amp;hloc=de&amp;hloc=eu&amp;hloc=pl&amp;hloc=uk</t>
  </si>
  <si>
    <t>ASUS Pro WS W680M-ACE SE</t>
  </si>
  <si>
    <t>90MB1FA0-M0EAY0</t>
  </si>
  <si>
    <t>https://geizhals.eu/asus-pro-ws-w680m-ace-se-90mb1fa0-m0eay0-a3019961.html?hloc=at&amp;hloc=de&amp;hloc=eu&amp;hloc=pl&amp;hloc=uk</t>
  </si>
  <si>
    <t>ASUS Pro WS Z890-ACE SE</t>
  </si>
  <si>
    <t>90MB1JC0-M0EAY0</t>
  </si>
  <si>
    <t>1x M.2/​M-Key (PCIe 5.0 x4, 2280/​2260), 2x M.2/​M-Key (PCIe 4.0 x4, 2280/​2260/​2242), 1x M.2/​M-Key (PCIe 4.0 x4, 2280)</t>
  </si>
  <si>
    <t>https://geizhals.eu/asus-pro-ws-z890-ace-se-a3362081.html?hloc=at&amp;hloc=de&amp;hloc=eu&amp;hloc=pl&amp;hloc=uk</t>
  </si>
  <si>
    <t>ASUS ProArt B650-Creator</t>
  </si>
  <si>
    <t>90MB1C40-M0EAY0</t>
  </si>
  <si>
    <t>1x M.2/​M-Key (PCIe 5.0 x4, 2280/​2260/​2242), 2x M.2/​M-Key (PCIe 4.0 x4, 22110/​2280/​2260/​2242), 1x M.2/​E-Key (2230)</t>
  </si>
  <si>
    <t>https://geizhals.eu/asus-proart-b650-creator-a2824313.html?hloc=at&amp;hloc=de&amp;hloc=eu&amp;hloc=pl&amp;hloc=uk</t>
  </si>
  <si>
    <t>ASUS ProArt B660-Creator D4</t>
  </si>
  <si>
    <t>90MB19F0-M0EAY0 / 90MB19F0-M1EAY0</t>
  </si>
  <si>
    <t>2x M.2/​M-Key (PCIe 4.0 x4, 22110/​2280/​2260/​2242), 1x M.2/​M-Key (PCIe 3.0 x4, 2280/​2260/​2242), 1x M.2/​E-Key (2230)</t>
  </si>
  <si>
    <t>https://geizhals.eu/asus-proart-b660-creator-d4-90mb19f0-m0eay0-a2660691.html?hloc=at&amp;hloc=de&amp;hloc=eu&amp;hloc=pl&amp;hloc=uk</t>
  </si>
  <si>
    <t>ASUS ProArt X670E-Creator WIFI</t>
  </si>
  <si>
    <t>90MB1B90-M0EAY0</t>
  </si>
  <si>
    <t>2x M.2/​M-Key (PCIe 5.0 x4, 2280/​2260/​2242), 1x M.2/​M-Key (PCIe 4.0 x4, 2280/​2260/​2242), 1x M.2/​M-Key (PCIe 4.0 x4, 22110/​2280/​2260/​2242), 1x M.2/​E-Key (2230, belegt mit WiFi+BT-Modul)</t>
  </si>
  <si>
    <t>https://geizhals.eu/asus-proart-x670e-creator-wifi-90mb1b90-m0eay0-a2800652.html?hloc=at&amp;hloc=de&amp;hloc=eu&amp;hloc=pl&amp;hloc=uk</t>
  </si>
  <si>
    <t>ASUS ProArt Z790-Creator WIFI</t>
  </si>
  <si>
    <t>90MB1DV0-M0EAY0 / 90MB1DV0-M1EAY0</t>
  </si>
  <si>
    <t>https://geizhals.eu/asus-proart-z790-creator-wifi-90mb1dv0-m0eay0-a2867080.html?hloc=at&amp;hloc=de&amp;hloc=eu&amp;hloc=pl&amp;hloc=uk</t>
  </si>
  <si>
    <t>ASUS ProArt Z890-Creator WIFI</t>
  </si>
  <si>
    <t>90MB1JD0-M0EAY0</t>
  </si>
  <si>
    <t>1x M.2/​M-Key (PCIe 5.0 x4, 22110/​2280/​2260/​2242), 3x M.2/​M-Key (PCIe 4.0 x4, 2280/​2260/​2242), 1x M.2/​M-Key (PCIe 4.0 x4/​SATA, 2280/​2260/​2242), 1x M.2/​E-Key (2230, belegt mit WiFi+BT-Modul)</t>
  </si>
  <si>
    <t>https://geizhals.eu/asus-proart-z890-creator-wifi-90mb1jd0-m0eay0-a3354446.html?hloc=at&amp;hloc=de&amp;hloc=eu&amp;hloc=pl&amp;hloc=uk</t>
  </si>
  <si>
    <t>ASUS ROG Crosshair VIII Extreme</t>
  </si>
  <si>
    <t>90MB1860-M0EAY0</t>
  </si>
  <si>
    <t>1x M.2/​M-Key (PCIe 4.0 x4/​SATA, 2280/​2260/​2242), 2x M.2/​M-Key (PCIe 4.0 x4, 2280/​2260/​2242), 2x M.2/​M-Key (PCIe 4.0 x4/​SATA, 22110/​2280/​2260/​2242, DIMM.2), 1x M.2/​E-Key (2230, belegt mit WiFi+BT-Modul)</t>
  </si>
  <si>
    <t>6x SATA 6Gb/s (X570)</t>
  </si>
  <si>
    <t>https://geizhals.eu/asus-rog-crosshair-viii-extreme-90mb1860-m0eay0-a2576354.html?hloc=at&amp;hloc=de&amp;hloc=eu&amp;hloc=pl&amp;hloc=uk</t>
  </si>
  <si>
    <t>ASUS ROG Crosshair VIII Impact</t>
  </si>
  <si>
    <t>90MB11Q0-M0EAY0</t>
  </si>
  <si>
    <t>Mini-DTX</t>
  </si>
  <si>
    <t>2x M.2/​M-Key (PCIe 4.0 x4/​SATA, 2280/​2260/​2242, DIMM.2), 1x M.2/​E-Key (2230, belegt mit WiFi+BT-Modul)</t>
  </si>
  <si>
    <t>4x SATA 6Gb/s (X570)</t>
  </si>
  <si>
    <t>https://geizhals.eu/asus-rog-crosshair-viii-impact-90mb11q0-m0eay0-a2116083.html?hloc=at&amp;hloc=de&amp;hloc=eu&amp;hloc=pl&amp;hloc=uk</t>
  </si>
  <si>
    <t>ASUS ROG Crosshair X670E Hero</t>
  </si>
  <si>
    <t>90MB1BC0-M0EAY0</t>
  </si>
  <si>
    <t>2x M.2/​M-Key (PCIe 5.0 x4, 2280/​2260/​2242), 2x M.2/​M-Key (PCIe 4.0 x4, 2280/​2260/​2242), 1x M.2/​E-Key (2230, belegt mit WiFi+BT-Modul)</t>
  </si>
  <si>
    <t>6x SATA 6Gb/s (X670E)</t>
  </si>
  <si>
    <t>https://geizhals.eu/asus-rog-crosshair-x670e-hero-a2791726.html?hloc=at&amp;hloc=de&amp;hloc=eu&amp;hloc=pl&amp;hloc=uk</t>
  </si>
  <si>
    <t>ASUS ROG Crosshair X870E Hero</t>
  </si>
  <si>
    <t>90MB1IE0-M0EAY0</t>
  </si>
  <si>
    <t>3x M.2/​M-Key (PCIe 5.0 x4, 2280/​2260/​2242), 1x M.2/​M-Key (PCIe 4.0 x4, 2280/​2260/​2242), 1x M.2/​M-Key (PCIe 4.0 x4, 2280), 1x M.2/​E-Key (2230, belegt mit WiFi+BT-Modul)</t>
  </si>
  <si>
    <t>1x Slim SAS SFF-8654 4i (PCIe 4.0 x4), 4x SATA 6Gb/s (X870E)</t>
  </si>
  <si>
    <t>https://geizhals.eu/asus-rog-crosshair-x870e-hero-a3272813.html?hloc=at&amp;hloc=de&amp;hloc=eu&amp;hloc=pl&amp;hloc=uk</t>
  </si>
  <si>
    <t>ASUS ROG Maximus Z690 Hero</t>
  </si>
  <si>
    <t>90MB18E0-M0EAY0</t>
  </si>
  <si>
    <t>1x M.2/​M-Key (PCIe 4.0 x4, 22110/​2280/​2260/​2242), 1x M.2/​M-Key (PCIe 3.0 x4, 2280/​2260/​2242), 1x M.2/​M-Key (PCIe 4.0 x4/​SATA, 2280/​2260/​2242), 1x M.2/​E-Key (2230, belegt mit WiFi+BT-Modul)</t>
  </si>
  <si>
    <t>https://geizhals.eu/asus-rog-maximus-z690-hero-90mb18e0-m0eay0-a2625493.html?hloc=at&amp;hloc=de&amp;hloc=eu&amp;hloc=pl&amp;hloc=uk</t>
  </si>
  <si>
    <t>ASUS ROG Maximus Z690 Hero EVA Edition</t>
  </si>
  <si>
    <t>90MB1BX0-M0EAY0</t>
  </si>
  <si>
    <t>https://geizhals.eu/asus-rog-maximus-z690-hero-eva-edition-a2740500.html?hloc=at&amp;hloc=de&amp;hloc=eu&amp;hloc=pl&amp;hloc=uk</t>
  </si>
  <si>
    <t>ASUS ROG Maximus Z790 Apex Encore</t>
  </si>
  <si>
    <t>90MB1FX0-M0EAY0</t>
  </si>
  <si>
    <t>1x M.2/​M-Key (PCIe 5.0 x4, 2280/​2260/​2242), 1x M.2/​M-Key (PCIe 4.0 x4, 2280/​2260/​2242), 1x M.2/​M-Key (PCIe 4.0 x4/​SATA, 2280/​2260/​2242), 2x M.2/​M-Key (PCIe 4.0 x4, 22110/​2280/​2260/​2242, DIMM.2), 1x M.2/​E-Key (2230, belegt mit WiFi+BT-Modul)</t>
  </si>
  <si>
    <t>https://geizhals.eu/asus-rog-maximus-z790-apex-encore-90mb1fx0-m0eay0-a3043467.html?hloc=at&amp;hloc=de&amp;hloc=eu&amp;hloc=pl&amp;hloc=uk</t>
  </si>
  <si>
    <t>ASUS ROG Maximus Z790 Dark Hero</t>
  </si>
  <si>
    <t>90MB1F90-M0EAY0</t>
  </si>
  <si>
    <t>1x M.2/​M-Key (PCIe 5.0 x4, 22110/​2280/​2260/​2242), 2x M.2/​M-Key (PCIe 4.0 x4, 2280/​2260/​2242), 2x M.2/​M-Key (PCIe 4.0 x4, 2280), 1x M.2/​E-Key (2230, belegt mit WiFi+BT-Modul)</t>
  </si>
  <si>
    <t>https://geizhals.eu/asus-rog-maximus-z790-dark-hero-90mb1f90-m0eay0-a3043403.html?hloc=at&amp;hloc=de&amp;hloc=eu&amp;hloc=pl&amp;hloc=uk</t>
  </si>
  <si>
    <t>ASUS ROG Maximus Z790 Formula</t>
  </si>
  <si>
    <t>90MB1FS0-M0EAY0</t>
  </si>
  <si>
    <t>https://geizhals.eu/asus-rog-maximus-z790-formula-90mb1fs0-m0eay0-a3043440.html?hloc=at&amp;hloc=de&amp;hloc=eu&amp;hloc=pl&amp;hloc=uk</t>
  </si>
  <si>
    <t>ASUS ROG Maximus Z790 Hero</t>
  </si>
  <si>
    <t>90MB1CI0-M0EAY0</t>
  </si>
  <si>
    <t>1x M.2/​M-Key (PCIe 4.0 x4, 22110/​2280/​2260/​2242), 1x M.2/​M-Key (PCIe 4.0 x4, 2280/​2260/​2242), 1x M.2/​M-Key (PCIe 4.0 x4/​SATA, 2280/​2260/​2242), 1x M.2/​E-Key (2230, belegt mit WiFi+BT-Modul)</t>
  </si>
  <si>
    <t>6x SATA 6Gb/s (Z790)</t>
  </si>
  <si>
    <t>https://geizhals.eu/asus-rog-maximus-z790-hero-90mb1ci0-m0eay0-a2819894.html?hloc=at&amp;hloc=de&amp;hloc=eu&amp;hloc=pl&amp;hloc=uk</t>
  </si>
  <si>
    <t>ASUS ROG Maximus Z890 Apex</t>
  </si>
  <si>
    <t>90MB1IP0-M0EAY0</t>
  </si>
  <si>
    <t>1x M.2/​M-Key (PCIe 5.0 x4, 22110/​2280/​2260/​2242), 2x M.2/​M-Key (PCIe 5.0 x4, 2280/​2260/​2242), 1x M.2/​M-Key (PCIe 4.0 x4, 2280/​2260/​2242), 2x M.2/​M-Key (PCIe 4.0 x4, 22110/​2280/​2260/​2242/​2230, DIMM.2), 1x M.2/​E-Key (2230, belegt mit WiFi+BT-Modul)</t>
  </si>
  <si>
    <t>https://geizhals.eu/asus-rog-maximus-z890-apex-90mb1ip0-m0eay0-a3329516.html?hloc=at&amp;hloc=de&amp;hloc=eu&amp;hloc=pl&amp;hloc=uk</t>
  </si>
  <si>
    <t>ASUS ROG Maximus Z890 Extreme</t>
  </si>
  <si>
    <t>90MB1IA0-M0EAY0</t>
  </si>
  <si>
    <t>2x M.2/​M-Key (PCIe 5.0 x4, 22110/​2280/​2260/​2242), 1x M.2/​M-Key (PCIe 5.0 x4, 2280/​2260/​2242), 1x M.2/​M-Key (PCIe 4.0 x4, 2280/​2260/​2242), 2x M.2/​M-Key (PCIe 4.0 x4, 22110/​2280/​2260/​2242/​2230, DIMM.2), 1x M.2/​E-Key (2230, belegt mit WiFi+BT-Modul)</t>
  </si>
  <si>
    <t>https://geizhals.eu/asus-rog-maximus-z890-extreme-90mb1ia0-m0eay0-a3329623.html?hloc=at&amp;hloc=de&amp;hloc=eu&amp;hloc=pl&amp;hloc=uk</t>
  </si>
  <si>
    <t>ASUS ROG Maximus Z890 Hero</t>
  </si>
  <si>
    <t>90MB1ID0-M0EAY0</t>
  </si>
  <si>
    <t>1x M.2/​M-Key (PCIe 5.0 x4, 22110/​2280/​2260/​2242), 2x M.2/​M-Key (PCIe 5.0 x4, 2280/​2260/​2242), 3x M.2/​M-Key (PCIe 4.0 x4, 2280/​2260/​2242), 1x M.2/​E-Key (2230, belegt mit WiFi+BT-Modul)</t>
  </si>
  <si>
    <t>1x Slim SAS SFF-8654 4i (PCIe 4.0 x4/​SATA), 4x SATA 6Gb/s (Z890), 4x SATA 6Gb/s (Z890, via Slim SAS SFF-8654 4i)</t>
  </si>
  <si>
    <t>https://geizhals.eu/asus-rog-maximus-z890-hero-90mb1id0-m0eay0-a3329425.html?hloc=at&amp;hloc=de&amp;hloc=eu&amp;hloc=pl&amp;hloc=uk</t>
  </si>
  <si>
    <t>ASUS ROG Maximus Z890 Hero BTF</t>
  </si>
  <si>
    <t>90MB1KG0-M0EAY0</t>
  </si>
  <si>
    <t>1x M.2/​M-Key (PCIe 5.0 x4, 22110/​2280/​2260/​2242), 2x M.2/​M-Key (PCIe 5.0 x4, 2280/​2260/​2242), 1x M.2/​M-Key (PCIe 4.0 x4, 2280/​2260/​2242), 2x M.2/​M-Key (PCIe 4.0 x4, 2280), 1x M.2/​E-Key (2230)</t>
  </si>
  <si>
    <t>4x SATA 6Gb/s (Z890, Rückseite)</t>
  </si>
  <si>
    <t>https://geizhals.eu/asus-rog-maximus-z890-hero-btf-90mb1kg0-m0eay0-a3417282.html?hloc=at&amp;hloc=de&amp;hloc=eu&amp;hloc=pl&amp;hloc=uk</t>
  </si>
  <si>
    <t>ASUS ROG Strix B550-A Gaming</t>
  </si>
  <si>
    <t>90MB15J0-M0EAY0</t>
  </si>
  <si>
    <t>https://geizhals.eu/asus-rog-strix-b550-a-gaming-a2336593.html?hloc=at&amp;hloc=de&amp;hloc=eu&amp;hloc=pl&amp;hloc=uk</t>
  </si>
  <si>
    <t>ASUS ROG Strix B550-F Gaming</t>
  </si>
  <si>
    <t>90MB14S0-M0EAY0</t>
  </si>
  <si>
    <t>https://geizhals.eu/asus-rog-strix-b550-f-gaming-a2295403.html?hloc=at&amp;hloc=de&amp;hloc=eu&amp;hloc=pl&amp;hloc=uk</t>
  </si>
  <si>
    <t>ASUS ROG Strix B550-F Gaming WIFI II</t>
  </si>
  <si>
    <t>90MB19V0-M0EAY0</t>
  </si>
  <si>
    <t>1x M.2/​M-Key (PCIe 4.0 x4/​SATA, 22110/​2280/​2260/​2242), 1x M.2/​M-Key (PCIe 3.0 x4/​SATA, 22110/​2280/​2260/​2242), 1x M.2/​E-Key (2230, belegt mit WiFi+BT-Modul)</t>
  </si>
  <si>
    <t>https://geizhals.eu/asus-rog-strix-b550-f-gaming-wifi-ii-90mb19v0-m0eay0-a2645349.html?hloc=at&amp;hloc=de&amp;hloc=eu&amp;hloc=pl&amp;hloc=uk</t>
  </si>
  <si>
    <t>ASUS ROG Strix B650-A Gaming WIFI</t>
  </si>
  <si>
    <t>90MB1BP0-M0EAY0</t>
  </si>
  <si>
    <t>https://geizhals.eu/asus-rog-strix-b650-a-gaming-wifi-a2824309.html?hloc=at&amp;hloc=de&amp;hloc=eu&amp;hloc=pl&amp;hloc=uk</t>
  </si>
  <si>
    <t>ASUS ROG Strix B650E-E Gaming WIFI</t>
  </si>
  <si>
    <t>90MB1BB0-M0EAY0</t>
  </si>
  <si>
    <t>1x M.2/​M-Key (PCIe 5.0 x4, 2280/​2260/​2242), 1x M.2/​M-Key (PCIe 5.0 x4, 22110/​2280/​2260/​2242), 2x M.2/​M-Key (PCIe 4.0 x4, 2280/​2260/​2242), 1x M.2/​E-Key (2230, belegt mit WiFi+BT-Modul)</t>
  </si>
  <si>
    <t>https://geizhals.eu/asus-rog-strix-b650e-e-gaming-wifi-a2824306.html?hloc=at&amp;hloc=de&amp;hloc=eu&amp;hloc=pl&amp;hloc=uk</t>
  </si>
  <si>
    <t>ASUS ROG Strix B650E-F Gaming WIFI</t>
  </si>
  <si>
    <t>90MB1BQ0-M0EAY0 / 90MB1BQ0-M0EAY1</t>
  </si>
  <si>
    <t>1x M.2/​M-Key (PCIe 5.0 x4, 2280/​2260/​2242), 2x M.2/​M-Key (PCIe 4.0 x4, 22110/​2280/​2260/​2242), 1x M.2/​E-Key (2230, belegt mit WiFi+BT-Modul)</t>
  </si>
  <si>
    <t>https://geizhals.eu/asus-rog-strix-b650e-f-gaming-wifi-a2824307.html?hloc=at&amp;hloc=de&amp;hloc=eu&amp;hloc=pl&amp;hloc=uk</t>
  </si>
  <si>
    <t>ASUS ROG Strix B650E-I Gaming WIFI</t>
  </si>
  <si>
    <t>90MB1BI0-M0EAY0</t>
  </si>
  <si>
    <t>1x M.2/​M-Key (PCIe 5.0 x4, 2280/​2260/​2242), 1x M.2/​M-Key (PCIe 4.0 x4, 2280/​2260/​2242, Rückseite), 1x M.2/​E-Key (2230, belegt mit WiFi+BT-Modul)</t>
  </si>
  <si>
    <t>https://geizhals.eu/asus-rog-strix-b650e-i-gaming-wifi-a2824308.html?hloc=at&amp;hloc=de&amp;hloc=eu&amp;hloc=pl&amp;hloc=uk</t>
  </si>
  <si>
    <t>ASUS ROG Strix B660-A Gaming WIFI</t>
  </si>
  <si>
    <t>90MB1B00-M0EAY0 / 90MB1B00-M1EAY0</t>
  </si>
  <si>
    <t>2x M.2/​M-Key (PCIe 4.0 x4, 22110/​2280/​2260/​2242), 1x M.2/​M-Key (PCIe 4.0 x2, 2280/​2260/​2242), 1x M.2/​E-Key (2230, belegt mit WiFi+BT-Modul)</t>
  </si>
  <si>
    <t>https://geizhals.eu/asus-rog-strix-b660-a-gaming-wifi-90mb1b00-m0eay0-a2660975.html?hloc=at&amp;hloc=de&amp;hloc=eu&amp;hloc=pl&amp;hloc=uk</t>
  </si>
  <si>
    <t>ASUS ROG Strix B660-A Gaming WIFI D4</t>
  </si>
  <si>
    <t>90MB18S0-M0EAY0 / 90MB18S0-M1EAY0</t>
  </si>
  <si>
    <t>https://geizhals.eu/asus-rog-strix-b660-a-gaming-wifi-d4-90mb18s0-m0eay0-a2660689.html?hloc=at&amp;hloc=de&amp;hloc=eu&amp;hloc=pl&amp;hloc=uk</t>
  </si>
  <si>
    <t>ASUS ROG Strix B660-F Gaming WIFI</t>
  </si>
  <si>
    <t>90MB18R0-M0EAY0 / 90MB18R0-M1EAY0</t>
  </si>
  <si>
    <t>2x M.2/​M-Key (PCIe 4.0 x4, 22110/​2280/​2260/​2242), 1x M.2/​M-Key (PCIe 3.0 x4, 2280/​2260/​2242), 1x M.2/​E-Key (2230, belegt mit WiFi+BT-Modul)</t>
  </si>
  <si>
    <t>https://geizhals.eu/asus-rog-strix-b660-f-gaming-wifi-90mb18r0-m0eay0-a2660690.html?hloc=at&amp;hloc=de&amp;hloc=eu&amp;hloc=pl&amp;hloc=uk</t>
  </si>
  <si>
    <t>ASUS ROG Strix B760-A Gaming WIFI</t>
  </si>
  <si>
    <t>90MB1EP0-M0EAY0 / 90MB1EP0-M1EAY0</t>
  </si>
  <si>
    <t>2x M.2/​M-Key (PCIe 4.0 x4, 2280/​2260/​2242), 1x M.2/​M-Key (PCIe 4.0 x4, 22110/​2280/​2260/​2242), 1x M.2/​E-Key (2230, belegt mit WiFi+BT-Modul)</t>
  </si>
  <si>
    <t>https://geizhals.eu/asus-rog-strix-b760-a-gaming-wifi-90mb1ep0-m0eay0-a2949425.html?hloc=at&amp;hloc=de&amp;hloc=eu&amp;hloc=pl&amp;hloc=uk</t>
  </si>
  <si>
    <t>ASUS ROG Strix B760-F Gaming WIFI</t>
  </si>
  <si>
    <t>90MB1CT0-M0EAY0 / 90MB1CT0-M1EAY0</t>
  </si>
  <si>
    <t>https://geizhals.eu/asus-rog-strix-b760-f-gaming-wifi-90mb1ct0-m0eay0-a2872250.html?hloc=at&amp;hloc=de&amp;hloc=eu&amp;hloc=pl&amp;hloc=uk</t>
  </si>
  <si>
    <t>ASUS ROG Strix B760-G Gaming WIFI</t>
  </si>
  <si>
    <t>90MB1EQ0-M0EAY0 / 90MB1EQ0-M1EAY0</t>
  </si>
  <si>
    <t>https://geizhals.eu/asus-rog-strix-b760-g-gaming-wifi-90mb1eq0-m0eay0-a2940830.html?hloc=at&amp;hloc=de&amp;hloc=eu&amp;hloc=pl&amp;hloc=uk</t>
  </si>
  <si>
    <t>ASUS ROG Strix B760-G Gaming WIFI D4</t>
  </si>
  <si>
    <t>90MB1DE0-M0EAY0 / 90MB1DE0-M1EAY0</t>
  </si>
  <si>
    <t>https://geizhals.eu/asus-rog-strix-b760-g-gaming-wifi-d4-90mb1de0-m0eay0-a2872248.html?hloc=at&amp;hloc=de&amp;hloc=eu&amp;hloc=pl&amp;hloc=uk</t>
  </si>
  <si>
    <t>ASUS ROG Strix B760-I Gaming WIFI</t>
  </si>
  <si>
    <t>90MB1D90-M0EAY0 / 90MB1D90-M1EAY0</t>
  </si>
  <si>
    <t>1x M.2/​M-Key (PCIe 4.0 x4, 2280/​2260), 1x M.2/​M-Key (PCIe 4.0 x4, 2280/​2260/​2242, Rückseite), 1x M.2/​E-Key (2230, belegt mit WiFi+BT-Modul)</t>
  </si>
  <si>
    <t>https://geizhals.eu/asus-rog-strix-b760-i-gaming-wifi-90mb1d90-m0eay0-a2872251.html?hloc=at&amp;hloc=de&amp;hloc=eu&amp;hloc=pl&amp;hloc=uk</t>
  </si>
  <si>
    <t>ASUS ROG Strix B850-A Gaming WIFI</t>
  </si>
  <si>
    <t>90MB1J50-M0EAY0</t>
  </si>
  <si>
    <t>1x M.2/​M-Key (PCIe 5.0 x4, 2280/​2260/​2242), 1x M.2/​M-Key (PCIe 4.0 x4, 22110/​2280), 2x M.2/​M-Key (PCIe 4.0 x4, 2280), 1x M.2/​E-Key (2230, belegt mit WiFi+BT-Modul)</t>
  </si>
  <si>
    <t>https://geizhals.eu/asus-rog-strix-b850-a-gaming-wifi-90mb1j50-m0eay0-a3381527.html?hloc=at&amp;hloc=de&amp;hloc=eu&amp;hloc=pl&amp;hloc=uk</t>
  </si>
  <si>
    <t>ASUS ROG Strix B850-E Gaming WIFI</t>
  </si>
  <si>
    <t>90MB1J60-M0EAY0</t>
  </si>
  <si>
    <t>1x M.2/​M-Key (PCIe 5.0 x4, 2280/​2260/​2242), 1x M.2/​M-Key (PCIe 5.0 x4, 22110/​2280/​2260/​2242), 1x M.2/​M-Key (PCIe 5.0 x4, 2280), 2x M.2/​M-Key (PCIe 4.0 x4, 2280), 1x M.2/​E-Key (2230, belegt mit WiFi+BT-Modul)</t>
  </si>
  <si>
    <t>https://geizhals.eu/asus-rog-strix-b850-e-gaming-wifi-90mb1j60-m0eay0-a3381529.html?hloc=at&amp;hloc=de&amp;hloc=eu&amp;hloc=pl&amp;hloc=uk</t>
  </si>
  <si>
    <t>ASUS ROG Strix B850-F Gaming WIFI</t>
  </si>
  <si>
    <t>90MB1J70-M0EAY0</t>
  </si>
  <si>
    <t>1x M.2/​M-Key (PCIe 5.0 x4, 2280/​2260/​2242), 1x M.2/​M-Key (PCIe 5.0 x4, 22110/​2280), 2x M.2/​M-Key (PCIe 4.0 x4, 2280), 1x M.2/​E-Key (2230, belegt mit WiFi+BT-Modul)</t>
  </si>
  <si>
    <t>https://geizhals.eu/asus-rog-strix-b850-f-gaming-wifi-90mb1j70-m0eay0-a3381528.html?hloc=at&amp;hloc=de&amp;hloc=eu&amp;hloc=pl&amp;hloc=uk</t>
  </si>
  <si>
    <t>ASUS ROG Strix B850-I Gaming WIFI</t>
  </si>
  <si>
    <t>90MB1K30-M0EAY0</t>
  </si>
  <si>
    <t>1x M.2/​M-Key (PCIe 5.0 x4, 2280), 1x M.2/​M-Key (PCIe 5.0 x4, 2280/​2260/​2242), 1x M.2/​E-Key (2230, belegt mit WiFi+BT-Modul)</t>
  </si>
  <si>
    <t>https://geizhals.eu/asus-rog-strix-b850-i-gaming-wifi-90mb1k30-m0eay0-a3381523.html?hloc=at&amp;hloc=de&amp;hloc=eu&amp;hloc=pl&amp;hloc=uk</t>
  </si>
  <si>
    <t>ASUS ROG Strix B860-A Gaming WIFI</t>
  </si>
  <si>
    <t>90MB1JI0-M0EAY0</t>
  </si>
  <si>
    <t>1x M.2/​M-Key (PCIe 5.0 x4, 2280/​2260/​2242), 2x M.2/​M-Key (PCIe 4.0 x4, 2280), 1x M.2/​M-Key (PCIe 4.0 x4, 22110/​2280), 1x M.2/​E-Key (2230, belegt mit WiFi+BT-Modul)</t>
  </si>
  <si>
    <t>https://geizhals.eu/asus-rog-strix-b860-a-gaming-wifi-90mb1ji0-m0eay0-a3386282.html?hloc=at&amp;hloc=de&amp;hloc=eu&amp;hloc=pl&amp;hloc=uk</t>
  </si>
  <si>
    <t>ASUS ROG Strix B860-F Gaming WIFI</t>
  </si>
  <si>
    <t>90MB1JG0-M0EAY0</t>
  </si>
  <si>
    <t>https://geizhals.eu/asus-rog-strix-b860-f-gaming-wifi-90mb1jg0-m0eay0-a3381539.html?hloc=at&amp;hloc=de&amp;hloc=eu&amp;hloc=pl&amp;hloc=uk</t>
  </si>
  <si>
    <t>ASUS ROG Strix B860-G Gaming WIFI</t>
  </si>
  <si>
    <t>90MB1JF0-M0EAY0</t>
  </si>
  <si>
    <t>1x M.2/​M-Key (PCIe 5.0 x4, 2280/​2260/​2242), 2x M.2/​M-Key (PCIe 4.0 x4, 2280), 1x M.2/​M-Key (PCIe 4.0 x4, 2280/​2230), 1x M.2/​E-Key (2230, belegt mit WiFi+BT-Modul)</t>
  </si>
  <si>
    <t>https://geizhals.eu/asus-rog-strix-b860-g-gaming-wifi-90mb1jf0-m0eay0-a3386297.html?hloc=at&amp;hloc=de&amp;hloc=eu&amp;hloc=pl&amp;hloc=uk</t>
  </si>
  <si>
    <t>ASUS ROG Strix B860-I Gaming WIFI</t>
  </si>
  <si>
    <t>90MB1JB0-M0EAY0</t>
  </si>
  <si>
    <t>1x M.2/​M-Key (PCIe 5.0 x4, 2280/​2260), 1x M.2/​M-Key (PCIe 4.0 x4, 2280/​2260/​2242, Rückseite), 1x M.2/​E-Key (2230, belegt mit WiFi+BT-Modul), 1x M.2/​E-Key (2230)</t>
  </si>
  <si>
    <t>https://geizhals.eu/asus-rog-strix-b860-i-gaming-wifi-90mb1jb0-m0eay0-a3386372.html?hloc=at&amp;hloc=de&amp;hloc=eu&amp;hloc=pl&amp;hloc=uk</t>
  </si>
  <si>
    <t>ASUS ROG Strix X570-I Gaming</t>
  </si>
  <si>
    <t>90MB1140-M0EAY0</t>
  </si>
  <si>
    <t>2x M.2/​M-Key (PCIe 4.0 x4/​SATA, 2280/​2260/​2242), 1x M.2/​E-Key (2230, belegt mit WiFi+BT-Modul)</t>
  </si>
  <si>
    <t>https://geizhals.eu/asus-rog-strix-x570-i-gaming-90mb1140-m0eay0-a2120023.html?hloc=at&amp;hloc=de&amp;hloc=eu&amp;hloc=pl&amp;hloc=uk</t>
  </si>
  <si>
    <t>ASUS ROG Strix X670E-A Gaming WIFI</t>
  </si>
  <si>
    <t>90MB1BM0-M0EAY0</t>
  </si>
  <si>
    <t>2x M.2/​M-Key (PCIe 5.0 x4, 2280/​2260/​2242), 1x M.2/​M-Key (PCIe 4.0 x4, 22110/​2280/​2260/​2242), 1x M.2/​M-Key (PCIe 4.0 x4, 2280/​2260/​2242), 1x M.2/​E-Key (2230, belegt mit WiFi+BT-Modul)</t>
  </si>
  <si>
    <t>https://geizhals.eu/asus-rog-strix-x670e-a-gaming-wifi-90mb1bm0-m0eay0-a2800643.html?hloc=at&amp;hloc=de&amp;hloc=eu&amp;hloc=pl&amp;hloc=uk</t>
  </si>
  <si>
    <t>ASUS ROG Strix X670E-E Gaming WIFI</t>
  </si>
  <si>
    <t>90MB1BR0-M0EAY0</t>
  </si>
  <si>
    <t>2x M.2/​M-Key (PCIe 5.0 x4, 2280/​2260/​2242), 1x M.2/​M-Key (PCIe 5.0 x4, 22110/​2280/​2260/​2242), 1x M.2/​M-Key (PCIe 4.0 x4, 2280/​2260/​2242), 1x M.2/​E-Key (2230, belegt mit WiFi+BT-Modul)</t>
  </si>
  <si>
    <t>https://geizhals.eu/asus-rog-strix-x670e-e-gaming-wifi-90mb1br0-m0eay0-a2800647.html?hloc=at&amp;hloc=de&amp;hloc=eu&amp;hloc=pl&amp;hloc=uk</t>
  </si>
  <si>
    <t>ASUS ROG Strix X670E-F Gaming WIFI</t>
  </si>
  <si>
    <t>90MB1BA0-M0EAY0</t>
  </si>
  <si>
    <t>https://geizhals.eu/asus-rog-strix-x670e-f-gaming-wifi-90mb1ba0-m0eay0-a2800645.html?hloc=at&amp;hloc=de&amp;hloc=eu&amp;hloc=pl&amp;hloc=uk</t>
  </si>
  <si>
    <t>ASUS ROG Strix X670E-I Gaming WIFI</t>
  </si>
  <si>
    <t>90MB1B70-M0EAY0</t>
  </si>
  <si>
    <t>1x M.2/​M-Key (PCIe 5.0 x4, 2280), 1x M.2/​M-Key (PCIe 4.0 x4, 2280/​2260/​2242), 1x M.2/​E-Key (2230, belegt mit WiFi+BT-Modul)</t>
  </si>
  <si>
    <t>2x SATA 6Gb/s (X670E)</t>
  </si>
  <si>
    <t>https://geizhals.eu/asus-rog-strix-x670e-i-gaming-wifi-90mb1b70-m0eay0-a2819774.html?hloc=at&amp;hloc=de&amp;hloc=eu&amp;hloc=pl&amp;hloc=uk</t>
  </si>
  <si>
    <t>ASUS ROG Strix X870-A Gaming WIFI</t>
  </si>
  <si>
    <t>90MB1IF0-M0EAY0</t>
  </si>
  <si>
    <t>1x M.2/​M-Key (PCIe 5.0 x4, 2280/​2260/​2242), 1x M.2/​M-Key (PCIe 5.0 x4, 22110/​2280/​2260/​2242), 2x M.2/​M-Key (PCIe 4.0 x4, 2280), 1x M.2/​E-Key (2230, belegt mit WiFi+BT-Modul)</t>
  </si>
  <si>
    <t>https://geizhals.eu/asus-rog-strix-x870-a-gaming-wifi-a3272532.html?hloc=at&amp;hloc=de&amp;hloc=eu&amp;hloc=pl&amp;hloc=uk</t>
  </si>
  <si>
    <t>ASUS ROG Strix X870E-E Gaming WIFI</t>
  </si>
  <si>
    <t>90MB1IB0-M0EAY0</t>
  </si>
  <si>
    <t>2x M.2/​M-Key (PCIe 5.0 x4, 2280/​2260/​2242), 1x M.2/​M-Key (PCIe 5.0 x4, 22110/​2280/​2260/​2242), 2x M.2/​M-Key (PCIe 4.0 x4, 2280), 1x M.2/​E-Key (2230, belegt mit WiFi+BT-Modul)</t>
  </si>
  <si>
    <t>4x SATA 6Gb/s (X870E)</t>
  </si>
  <si>
    <t>https://geizhals.eu/asus-rog-strix-x870-e-gaming-wifi-a3272684.html?hloc=at&amp;hloc=de&amp;hloc=eu&amp;hloc=pl&amp;hloc=uk</t>
  </si>
  <si>
    <t>ASUS ROG Strix X870-F Gaming WIFI</t>
  </si>
  <si>
    <t>90MB1IV0-M0EAY0</t>
  </si>
  <si>
    <t>https://geizhals.eu/asus-rog-strix-x870-f-gaming-wifi-a3272635.html?hloc=at&amp;hloc=de&amp;hloc=eu&amp;hloc=pl&amp;hloc=uk</t>
  </si>
  <si>
    <t>ASUS ROG Strix X870-I Gaming WIFI</t>
  </si>
  <si>
    <t>90MB1IW0-M0EAY0</t>
  </si>
  <si>
    <t>https://geizhals.eu/asus-rog-strix-x870-i-gaming-wifi-a3272727.html?hloc=at&amp;hloc=de&amp;hloc=eu&amp;hloc=pl&amp;hloc=uk</t>
  </si>
  <si>
    <t>ASUS ROG Strix Z690-A Gaming WIFI</t>
  </si>
  <si>
    <t>90MB1AP0-M0EAY0</t>
  </si>
  <si>
    <t>2x M.2/​M-Key (PCIe 4.0 x4, 22110/​2280/​2260/​2242), 1x M.2/​M-Key (PCIe 4.0 x4, 2280/​2260/​2242), 1x M.2/​M-Key (PCIe 4.0 x4/​SATA, 22110/​2280/​2260/​2242), 1x M.2/​E-Key (2230, belegt mit WiFi+BT-Modul)</t>
  </si>
  <si>
    <t>https://geizhals.eu/asus-rog-strix-z690-a-gaming-wifi-90mb1ap0-m0eay0-a2700905.html?hloc=at&amp;hloc=de&amp;hloc=eu&amp;hloc=pl&amp;hloc=uk</t>
  </si>
  <si>
    <t>ASUS ROG Strix Z690-E Gaming WIFI</t>
  </si>
  <si>
    <t>90MB18J0-M0EAY0</t>
  </si>
  <si>
    <t>1x M.2/​M-Key (PCIe 5.0 x4, 22110/​2280/​2260/​2242), 1x M.2/​M-Key (PCIe 4.0 x4, 22110/​2280/​2260/​2242), 1x M.2/​M-Key (PCIe 4.0 x4/​SATA, 2280/​2260/​2242), 1x M.2/​E-Key (2230, belegt mit WiFi+BT-Modul)</t>
  </si>
  <si>
    <t>https://geizhals.eu/asus-rog-strix-z690-e-gaming-wifi-90mb18j0-m0eay0-a2625512.html?hloc=at&amp;hloc=de&amp;hloc=eu&amp;hloc=pl&amp;hloc=uk</t>
  </si>
  <si>
    <t>ASUS ROG Strix Z690-F Gaming WIFI</t>
  </si>
  <si>
    <t>90MB18M0-M0EAY0</t>
  </si>
  <si>
    <t>https://geizhals.eu/asus-rog-strix-z690-f-gaming-wifi-90mb18m0-m0eay0-a2625498.html?hloc=at&amp;hloc=de&amp;hloc=eu&amp;hloc=pl&amp;hloc=uk</t>
  </si>
  <si>
    <t>ASUS ROG Strix Z690-G Gaming WIFI</t>
  </si>
  <si>
    <t>90MB19G0-M0EAY0</t>
  </si>
  <si>
    <t>2x M.2/​M-Key (PCIe 4.0 x4, 2280/​2260/​2242), 1x M.2/​M-Key (PCIe 4.0 x4/​SATA, 2280/​2260/​2242), 1x M.2/​E-Key (2230, belegt mit WiFi+BT-Modul)</t>
  </si>
  <si>
    <t>https://geizhals.eu/asus-rog-strix-z690-g-gaming-wifi-90mb19g0-m0eay0-a2625524.html?hloc=at&amp;hloc=de&amp;hloc=eu&amp;hloc=pl&amp;hloc=uk</t>
  </si>
  <si>
    <t>ASUS ROG Strix Z790-A Gaming WIFI D4</t>
  </si>
  <si>
    <t>90MB1CN0-M0EAY0</t>
  </si>
  <si>
    <t>https://geizhals.eu/asus-rog-strix-z790-a-gaming-wifi-d4-90mb1cn0-m0eay0-a2819907.html?hloc=at&amp;hloc=de&amp;hloc=eu&amp;hloc=pl&amp;hloc=uk</t>
  </si>
  <si>
    <t>ASUS ROG Strix Z790-A Gaming WIFI II</t>
  </si>
  <si>
    <t>90MB1FN0-M0EAY0</t>
  </si>
  <si>
    <t>2x M.2/​M-Key (PCIe 4.0 x4, 22110/​2280/​2260/​2242), 2x M.2/​M-Key (PCIe 4.0 x4, 2280), 1x M.2/​M-Key (PCIe 4.0 x4/​SATA, 2280/​2260/​2242), 1x M.2/​E-Key (2230, belegt mit WiFi+BT-Modul)</t>
  </si>
  <si>
    <t>https://geizhals.eu/asus-rog-strix-z790-a-gaming-wifi-ii-90mb1fn0-m0eay0-a3043406.html?hloc=at&amp;hloc=de&amp;hloc=eu&amp;hloc=pl&amp;hloc=uk</t>
  </si>
  <si>
    <t>ASUS ROG Strix Z790-E Gaming WIFI</t>
  </si>
  <si>
    <t>90MB1CL0-M0EAY0</t>
  </si>
  <si>
    <t>https://geizhals.eu/asus-rog-strix-z790-e-gaming-wifi-90mb1cl0-m0eay0-a2819890.html?hloc=at&amp;hloc=de&amp;hloc=eu&amp;hloc=pl&amp;hloc=uk</t>
  </si>
  <si>
    <t>ASUS ROG Strix Z790-E Gaming WIFI II</t>
  </si>
  <si>
    <t>90MB1FC0-M0EAY0</t>
  </si>
  <si>
    <t>1x M.2/​M-Key (PCIe 5.0 x4, 22110/​2280/​2260/​2242), 1x M.2/​M-Key (PCIe 4.0 x4, 2280/​2260/​2242), 2x M.2/​M-Key (PCIe 4.0 x4, 2280), 1x M.2/​M-Key (PCIe 4.0 x4/​SATA, 2280/​2260/​2242), 1x M.2/​E-Key (2230, belegt mit WiFi+BT-Modul)</t>
  </si>
  <si>
    <t>https://geizhals.eu/asus-rog-strix-z790-e-gaming-wifi-ii-90mb1fc0-m0eay0-a3044229.html?hloc=at&amp;hloc=de&amp;hloc=eu&amp;hloc=pl&amp;hloc=uk</t>
  </si>
  <si>
    <t>ASUS ROG Strix Z790-F Gaming WIFI</t>
  </si>
  <si>
    <t>90MB1CP0-M0EAY0</t>
  </si>
  <si>
    <t>https://geizhals.eu/asus-rog-strix-z790-f-gaming-wifi-90mb1cp0-m0eay0-a2819902.html?hloc=at&amp;hloc=de&amp;hloc=eu&amp;hloc=pl&amp;hloc=uk</t>
  </si>
  <si>
    <t>ASUS ROG Strix Z790-F Gaming WIFI II</t>
  </si>
  <si>
    <t>90MB1FM0-M0EAY0</t>
  </si>
  <si>
    <t>https://geizhals.eu/asus-rog-strix-z790-f-gaming-wifi-ii-90mb1fm0-m0eay0-a3043583.html?hloc=at&amp;hloc=de&amp;hloc=eu&amp;hloc=pl&amp;hloc=uk</t>
  </si>
  <si>
    <t>ASUS ROG Strix Z790-H Gaming WIFI</t>
  </si>
  <si>
    <t>90MB1E10-M0EAY0</t>
  </si>
  <si>
    <t>https://geizhals.eu/asus-rog-strix-z790-h-gaming-wifi-90mb1e10-m0eay0-a2889721.html?hloc=at&amp;hloc=de&amp;hloc=eu&amp;hloc=pl&amp;hloc=uk</t>
  </si>
  <si>
    <t>ASUS ROG Strix Z790-I Gaming WIFI</t>
  </si>
  <si>
    <t>90MB1CM0-M0EAY0</t>
  </si>
  <si>
    <t>2x SATA 6Gb/s (Z790)</t>
  </si>
  <si>
    <t>https://geizhals.eu/asus-rog-strix-z790-i-gaming-wifi-90mb1cm0-m0eay0-a2819892.html?hloc=at&amp;hloc=de&amp;hloc=eu&amp;hloc=pl&amp;hloc=uk</t>
  </si>
  <si>
    <t>ASUS ROG Strix Z890-A Gaming WIFI</t>
  </si>
  <si>
    <t>90MB1I90-M0EAY0</t>
  </si>
  <si>
    <t>1x M.2/​M-Key (PCIe 5.0 x4, 22110/​2280/​2260/​2242), 2x M.2/​M-Key (PCIe 4.0 x4, 2280), 1x M.2/​M-Key (PCIe 4.0 x4, 22110/​2280), 1x M.2/​M-Key (PCIe 4.0 x4/​SATA, 2280/​2260/​2242), 1x M.2/​E-Key (2230, belegt mit WiFi+BT-Modul)</t>
  </si>
  <si>
    <t>https://geizhals.eu/asus-rog-strix-z890-a-gaming-wifi-90mb1i90-m0eay0-a3329984.html?hloc=at&amp;hloc=de&amp;hloc=eu&amp;hloc=pl&amp;hloc=uk</t>
  </si>
  <si>
    <t>ASUS ROG Strix Z890-E Gaming WIFI</t>
  </si>
  <si>
    <t>90MB1IM0-M0EAY0</t>
  </si>
  <si>
    <t>1x M.2/​M-Key (PCIe 5.0 x4, 22110/​2280/​2260/​2242), 2x M.2/​M-Key (PCIe 5.0 x4, 2280/​2260/​2242), 1x M.2/​M-Key (PCIe 4.0 x4, 2280), 2x M.2/​M-Key (PCIe 4.0 x4, 2280), 1x M.2/​M-Key (PCIe 4.0 x4/​SATA, 2280/​2260/​2242), 1x M.2/​E-Key (2230, belegt mit WiFi+BT-Modul)</t>
  </si>
  <si>
    <t>https://geizhals.eu/asus-rog-strix-z890-e-gaming-wifi-90mb1im0-m0eay0-a3330090.html?hloc=at&amp;hloc=de&amp;hloc=eu&amp;hloc=pl&amp;hloc=uk</t>
  </si>
  <si>
    <t>ASUS ROG Strix Z890-F Gaming WIFI</t>
  </si>
  <si>
    <t>90MB1I40-M0EAY0</t>
  </si>
  <si>
    <t>https://geizhals.eu/asus-rog-strix-z890-f-gaming-wifi-90mb1i40-m0eay0-a3330158.html?hloc=at&amp;hloc=de&amp;hloc=eu&amp;hloc=pl&amp;hloc=uk</t>
  </si>
  <si>
    <t>ASUS ROG Strix Z890-H Gaming WIFI</t>
  </si>
  <si>
    <t>90MB1K20-M0EAY0</t>
  </si>
  <si>
    <t>1x M.2/​M-Key (PCIe 5.0 x4, 22110/​2280/​2260/​2242), 1x M.2/​M-Key (PCIe 4.0 x4, 2280), 1x M.2/​M-Key (PCIe 4.0 x4, 22110/​2280), 1x M.2/​M-Key (PCIe 4.0 x4/​SATA, 2280/​2260/​2242), 1x M.2/​E-Key (2230, belegt mit WiFi+BT-Modul)</t>
  </si>
  <si>
    <t>https://geizhals.eu/asus-rog-strix-z890-h-gaming-wifi-90mb1k20-m0eay0-a3429808.html?hloc=at&amp;hloc=de&amp;hloc=eu&amp;hloc=pl&amp;hloc=uk</t>
  </si>
  <si>
    <t>ASUS ROG Strix Z890-I Gaming WIFI</t>
  </si>
  <si>
    <t>90MB1IC0-M0EAY0</t>
  </si>
  <si>
    <t>2x M.2/​M-Key (PCIe 5.0 x4, 2280/​2260/​2242/​2230), 1x M.2/​E-Key (2230, belegt mit WiFi+BT-Modul)</t>
  </si>
  <si>
    <t>2x SATA 6Gb/s (Z890, Erweiterungskarte)</t>
  </si>
  <si>
    <t>https://geizhals.eu/asus-rog-strix-z890-i-gaming-wifi-90mb1ic0-m0eay0-a3330283.html?hloc=at&amp;hloc=de&amp;hloc=eu&amp;hloc=pl&amp;hloc=uk</t>
  </si>
  <si>
    <t>ASUS TUF Gaming A520M-Plus II</t>
  </si>
  <si>
    <t>90MB17G0-M0EAY0</t>
  </si>
  <si>
    <t>https://geizhals.eu/asus-tuf-gaming-a520m-plus-ii-90mb17g0-m0eay0-a2541022.html?hloc=at&amp;hloc=de&amp;hloc=eu&amp;hloc=pl&amp;hloc=uk</t>
  </si>
  <si>
    <t>ASUS TUF Gaming A520M-Plus WIFI</t>
  </si>
  <si>
    <t>90MB17F0-M0EAY0</t>
  </si>
  <si>
    <t>1x M.2/​M-Key (PCIe 3.0 x4/​SATA, 2280/​2260/​2242), 1x M.2/​E-Key (2230, belegt mit WiFi+BT-Modul)</t>
  </si>
  <si>
    <t>https://geizhals.eu/asus-tuf-gaming-a520m-plus-wifi-90mb17f0-m0eay0-a2541023.html?hloc=at&amp;hloc=de&amp;hloc=eu&amp;hloc=pl&amp;hloc=uk</t>
  </si>
  <si>
    <t>ASUS TUF Gaming A620M-Plus</t>
  </si>
  <si>
    <t>90MB1EZ0-M0EAY0</t>
  </si>
  <si>
    <t>https://geizhals.eu/asus-tuf-gaming-a620m-plus-a2924749.html?hloc=at&amp;hloc=de&amp;hloc=eu&amp;hloc=pl&amp;hloc=uk</t>
  </si>
  <si>
    <t>ASUS TUF Gaming A620M-Plus WIFI</t>
  </si>
  <si>
    <t>90MB1F00-M0EAY0</t>
  </si>
  <si>
    <t>https://geizhals.eu/asus-tuf-gaming-a620m-plus-wifi-a2924722.html?hloc=at&amp;hloc=de&amp;hloc=eu&amp;hloc=pl&amp;hloc=uk</t>
  </si>
  <si>
    <t>ASUS TUF Gaming A620-Pro WIFI</t>
  </si>
  <si>
    <t>90MB1FR0-M0EAY0</t>
  </si>
  <si>
    <t>1x M.2/​M-Key (PCIe 4.0 x4, 22110/​2280/​2260/​2242), 1x M.2/​M-Key (PCIe 4.0 x4, 2280/​2260/​2242), 1x M.2/​E-Key (2230, belegt mit WiFi+BT-Modul)</t>
  </si>
  <si>
    <t>https://geizhals.eu/asus-tuf-gaming-a620-pro-wifi-90mb1fr0-m0eay0-a2956732.html?hloc=at&amp;hloc=de&amp;hloc=eu&amp;hloc=pl&amp;hloc=uk</t>
  </si>
  <si>
    <t>ASUS TUF Gaming B550M-Plus</t>
  </si>
  <si>
    <t>90MB14A0-M0EAY0</t>
  </si>
  <si>
    <t>https://geizhals.eu/asus-tuf-gaming-b550m-plus-a2295451.html?hloc=at&amp;hloc=de&amp;hloc=eu&amp;hloc=pl&amp;hloc=uk</t>
  </si>
  <si>
    <t>ASUS TUF Gaming B550M-Plus WIFI II</t>
  </si>
  <si>
    <t>90MB19Y0-M0EAY0</t>
  </si>
  <si>
    <t>1x M.2/​M-Key (PCIe 4.0 x4/​SATA, 2280/​2260/​2242), 1x M.2/​M-Key (PCIe 3.0 x4/​SATA, 22110/​2280/​2260/​2242), 1x M.2/​E-Key (2230, belegt mit WiFi+BT-Modul)</t>
  </si>
  <si>
    <t>https://geizhals.eu/asus-tuf-gaming-b550m-plus-wifi-ii-90mb19y0-m0eay0-a2657349.html?hloc=at&amp;hloc=de&amp;hloc=eu&amp;hloc=pl&amp;hloc=uk</t>
  </si>
  <si>
    <t>ASUS TUF Gaming B550-Plus</t>
  </si>
  <si>
    <t>90MB14G0-M0EAY0</t>
  </si>
  <si>
    <t>https://geizhals.eu/asus-tuf-gaming-b550-plus-a2295462.html?hloc=at&amp;hloc=de&amp;hloc=eu&amp;hloc=pl&amp;hloc=uk</t>
  </si>
  <si>
    <t>ASUS TUF Gaming B550-Plus WIFI II</t>
  </si>
  <si>
    <t>90MB19U0-M0EAY0</t>
  </si>
  <si>
    <t>https://geizhals.eu/asus-tuf-gaming-b550-plus-wifi-ii-90mb19u0-m0eay0-a2645081.html?hloc=at&amp;hloc=de&amp;hloc=eu&amp;hloc=pl&amp;hloc=uk</t>
  </si>
  <si>
    <t>ASUS TUF Gaming B550-Pro</t>
  </si>
  <si>
    <t>90MB17R0-M0EAY0</t>
  </si>
  <si>
    <t>https://geizhals.eu/asus-tuf-gaming-b550-pro-90mb17r0-m0eay0-a2460347.html?hloc=at&amp;hloc=de&amp;hloc=eu&amp;hloc=pl&amp;hloc=uk</t>
  </si>
  <si>
    <t>ASUS TUF Gaming B650-E WIFI</t>
  </si>
  <si>
    <t>90MB1GT0-M0EAY0</t>
  </si>
  <si>
    <t>1x M.2/​M-Key (PCIe 5.0 x4, 2280/​2260/​2242), 1x M.2/​M-Key (PCIe 4.0 x4, 2280/​2260/​2242), 1x M.2/​M-Key (PCIe 4.0 x4, 22110/​2280/​2260/​2242), 1x M.2/​E-Key (2230, belegt mit WiFi+BT-Modul)</t>
  </si>
  <si>
    <t>https://geizhals.eu/asus-tuf-gaming-b650-e-wifi-90mb1gt0-m0eay0-a3120786.html?hloc=at&amp;hloc=de&amp;hloc=eu&amp;hloc=pl&amp;hloc=uk</t>
  </si>
  <si>
    <t>ASUS TUF Gaming B650M-E</t>
  </si>
  <si>
    <t>90MB1FU0-M0EAY0</t>
  </si>
  <si>
    <t>https://geizhals.eu/asus-tuf-gaming-b650m-e-90mb1fu0-m0eay0-a2965510.html?hloc=at&amp;hloc=de&amp;hloc=eu&amp;hloc=pl&amp;hloc=uk</t>
  </si>
  <si>
    <t>ASUS TUF Gaming B650M-E WIFI</t>
  </si>
  <si>
    <t>90MB1FV0-M0EAY0</t>
  </si>
  <si>
    <t>https://geizhals.eu/asus-tuf-gaming-b650m-e-wifi-90mb1fv0-m0eay0-a2964842.html?hloc=at&amp;hloc=de&amp;hloc=eu&amp;hloc=pl&amp;hloc=uk</t>
  </si>
  <si>
    <t>ASUS TUF Gaming B650M-Plus</t>
  </si>
  <si>
    <t>90MB1BG0-M0EAY0</t>
  </si>
  <si>
    <t>https://geizhals.eu/asus-tuf-gaming-b650m-plus-a2825940.html?hloc=at&amp;hloc=de&amp;hloc=eu&amp;hloc=pl&amp;hloc=uk</t>
  </si>
  <si>
    <t>ASUS TUF Gaming B650M-Plus WIFI</t>
  </si>
  <si>
    <t>90MB1BF0-M0EAY0</t>
  </si>
  <si>
    <t>https://geizhals.eu/asus-tuf-gaming-b650m-plus-wifi-a2824310.html?hloc=at&amp;hloc=de&amp;hloc=eu&amp;hloc=pl&amp;hloc=uk</t>
  </si>
  <si>
    <t>ASUS TUF Gaming B650-Plus</t>
  </si>
  <si>
    <t>90MB1BY0-M0EAY0</t>
  </si>
  <si>
    <t>1x M.2/​M-Key (PCIe 5.0 x4, 2280/​2260/​2242), 1x M.2/​M-Key (PCIe 4.0 x4, 22110/​2280/​2260/​2242), 1x M.2/​M-Key (PCIe 4.0 x4, 2280/​2260/​2242)</t>
  </si>
  <si>
    <t>https://geizhals.eu/asus-tuf-gaming-b650-plus-a2824312.html?hloc=at&amp;hloc=de&amp;hloc=eu&amp;hloc=pl&amp;hloc=uk</t>
  </si>
  <si>
    <t>ASUS TUF Gaming B650-Plus WIFI</t>
  </si>
  <si>
    <t>90MB1BZ0-M0EAY0</t>
  </si>
  <si>
    <t>https://geizhals.eu/asus-tuf-gaming-b650-plus-wifi-a2824311.html?hloc=at&amp;hloc=de&amp;hloc=eu&amp;hloc=pl&amp;hloc=uk</t>
  </si>
  <si>
    <t>ASUS TUF Gaming B660M-E D4</t>
  </si>
  <si>
    <t>90MB19J0-M0EAY0 / 90MB19J0-M1EAY0</t>
  </si>
  <si>
    <t>https://geizhals.eu/asus-tuf-gaming-b660m-e-d4-90mb19j0-m0eay0-a2660682.html?hloc=at&amp;hloc=de&amp;hloc=eu&amp;hloc=pl&amp;hloc=uk</t>
  </si>
  <si>
    <t>ASUS TUF Gaming B660M-Plus D4</t>
  </si>
  <si>
    <t>90MB1940-M0EAY0 / 90MB1940-M1EAY0</t>
  </si>
  <si>
    <t>https://geizhals.eu/asus-tuf-gaming-b660m-plus-d4-90mb1940-m0eay0-a2660683.html?hloc=at&amp;hloc=de&amp;hloc=eu&amp;hloc=pl&amp;hloc=uk</t>
  </si>
  <si>
    <t>ASUS TUF Gaming B660M-Plus WIFI</t>
  </si>
  <si>
    <t>90MB1AZ0-M0EAY0 / 90MB1AZ0-M1EAY0</t>
  </si>
  <si>
    <t>https://geizhals.eu/asus-tuf-gaming-b660m-plus-wifi-90mb1az0-m0eay0-a2660685.html?hloc=at&amp;hloc=de&amp;hloc=eu&amp;hloc=pl&amp;hloc=uk</t>
  </si>
  <si>
    <t>ASUS TUF Gaming B660M-Plus WIFI D4</t>
  </si>
  <si>
    <t>90MB1930-M0EAY0 / 90MB1930-M1EAY0</t>
  </si>
  <si>
    <t>https://geizhals.eu/asus-tuf-gaming-b660m-plus-wifi-d4-90mb1930-m0eay0-a2660684.html?hloc=at&amp;hloc=de&amp;hloc=eu&amp;hloc=pl&amp;hloc=uk</t>
  </si>
  <si>
    <t>ASUS TUF Gaming B660-Plus WIFI D4</t>
  </si>
  <si>
    <t>90MB1920-M0EAY0 / 90MB1920-M1EAY0</t>
  </si>
  <si>
    <t>https://geizhals.eu/asus-tuf-gaming-b660-plus-wifi-d4-90mb1920-m0eay0-a2660687.html?hloc=at&amp;hloc=de&amp;hloc=eu&amp;hloc=pl&amp;hloc=uk</t>
  </si>
  <si>
    <t>ASUS TUF Gaming B760M-BTF WIFI</t>
  </si>
  <si>
    <t>90MB1G50-M0EAY0</t>
  </si>
  <si>
    <t>2x M.2/​M-Key (PCIe 4.0 x4, 2280/​2260/​2242), 1x M.2/​M-Key (PCIe 4.0 x4, 2280, Rückseite), 1x M.2/​E-Key (2230, belegt mit WiFi+BT-Modul)</t>
  </si>
  <si>
    <t>https://geizhals.eu/asus-tuf-gaming-b760m-btf-wifi-90mb1g50-m0eay0-a3019505.html?hloc=at&amp;hloc=de&amp;hloc=eu&amp;hloc=pl&amp;hloc=uk</t>
  </si>
  <si>
    <t>ASUS TUF Gaming B760M-BTF WIFI D4</t>
  </si>
  <si>
    <t>90MB1E50-M0EAY0 / 90MB1E50-M1EAY0</t>
  </si>
  <si>
    <t>https://geizhals.eu/asus-tuf-gaming-b760m-btf-wifi-d4-90mb1e50-m0eay0-a2965772.html?hloc=at&amp;hloc=de&amp;hloc=eu&amp;hloc=pl&amp;hloc=uk</t>
  </si>
  <si>
    <t>ASUS TUF Gaming B760M-E D4</t>
  </si>
  <si>
    <t>90MB1E90-M0EAY0 / 90MB1E90-M1EAY0</t>
  </si>
  <si>
    <t>https://geizhals.eu/asus-tuf-gaming-b760m-e-d4-90mb1e90-m0eay0-a2922376.html?hloc=at&amp;hloc=de&amp;hloc=eu&amp;hloc=pl&amp;hloc=uk</t>
  </si>
  <si>
    <t>ASUS TUF Gaming B760M-Plus</t>
  </si>
  <si>
    <t>90MB1ES0-M0EAY0 / 90MB1ES0-M1EAY0</t>
  </si>
  <si>
    <t>https://geizhals.eu/asus-tuf-gaming-b760m-plus-90mb1es0-m0eay0-a2922339.html?hloc=at&amp;hloc=de&amp;hloc=eu&amp;hloc=pl&amp;hloc=uk</t>
  </si>
  <si>
    <t>ASUS TUF Gaming B760M-Plus D4</t>
  </si>
  <si>
    <t>90MB1DI0-M0EAY0 / 90MB1DI0-M1EAY0</t>
  </si>
  <si>
    <t>https://geizhals.eu/asus-tuf-gaming-b760m-plus-d4-90mb1di0-m0eay0-a2872242.html?hloc=at&amp;hloc=de&amp;hloc=eu&amp;hloc=pl&amp;hloc=uk</t>
  </si>
  <si>
    <t>ASUS TUF Gaming B760M-Plus II</t>
  </si>
  <si>
    <t>90MB1HD0-M0EAY0</t>
  </si>
  <si>
    <t>2x M.2/​M-Key (PCIe 4.0 x4, 2280/​2260/​2242), 1x M.2/​M-Key (PCIe 4.0 x2, 2280/​2260/​2242)</t>
  </si>
  <si>
    <t>https://geizhals.eu/asus-tuf-gaming-b760m-plus-ii-90mb1hd0-m0eay0-a3112265.html?hloc=at&amp;hloc=de&amp;hloc=eu&amp;hloc=pl&amp;hloc=uk</t>
  </si>
  <si>
    <t>ASUS TUF Gaming B760M-Plus WIFI</t>
  </si>
  <si>
    <t>90MB1ET0-M0EAY0 / 90MB1ET0-M1EAY0</t>
  </si>
  <si>
    <t>https://geizhals.eu/asus-tuf-gaming-b760m-plus-wifi-90mb1et0-m0eay0-a2922296.html?hloc=at&amp;hloc=de&amp;hloc=eu&amp;hloc=pl&amp;hloc=uk</t>
  </si>
  <si>
    <t>ASUS TUF Gaming B760M-Plus WIFI D4</t>
  </si>
  <si>
    <t>90MB1DG0-M0EAY0 / 90MB1DG0-M1EAY0</t>
  </si>
  <si>
    <t>https://geizhals.eu/asus-tuf-gaming-b760m-plus-wifi-d4-90mb1dg0-m0eay0-a2872243.html?hloc=at&amp;hloc=de&amp;hloc=eu&amp;hloc=pl&amp;hloc=uk</t>
  </si>
  <si>
    <t>ASUS TUF Gaming B760M-Plus WIFI II</t>
  </si>
  <si>
    <t>90MB1HE0-M0EAY0</t>
  </si>
  <si>
    <t>2x M.2/​M-Key (PCIe 4.0 x4, 2280/​2260/​2242), 1x M.2/​M-Key (PCIe 4.0 x2, 2280/​2260/​2242), 1x M.2/​E-Key (2230, belegt mit WiFi+BT-Modul)</t>
  </si>
  <si>
    <t>https://geizhals.eu/asus-tuf-gaming-b760m-plus-wifi-ii-a3112266.html?hloc=at&amp;hloc=de&amp;hloc=eu&amp;hloc=pl&amp;hloc=uk</t>
  </si>
  <si>
    <t>ASUS TUF Gaming B760-Plus WIFI</t>
  </si>
  <si>
    <t>90MB1ER0-M0EAY0 / 90MB1ER0-M1EAY0</t>
  </si>
  <si>
    <t>https://geizhals.eu/asus-tuf-gaming-b760-plus-wifi-90mb1er0-m0eay0-a2897911.html?hloc=at&amp;hloc=de&amp;hloc=eu&amp;hloc=pl&amp;hloc=uk</t>
  </si>
  <si>
    <t>ASUS TUF Gaming B760-Plus WIFI D4</t>
  </si>
  <si>
    <t>90MB1DF0-M0EAY0 / 90MB1DF0-M1EAY0</t>
  </si>
  <si>
    <t>https://geizhals.eu/asus-tuf-gaming-b760-plus-wifi-d4-90mb1df0-m0eay0-a2872244.html?hloc=at&amp;hloc=de&amp;hloc=eu&amp;hloc=pl&amp;hloc=uk</t>
  </si>
  <si>
    <t>ASUS TUF Gaming B850M-Plus</t>
  </si>
  <si>
    <t>90MB1IX0-M0EAY0</t>
  </si>
  <si>
    <t>1x M.2/​M-Key (PCIe 5.0 x4, 2280), 1x M.2/​M-Key (PCIe 4.0 x4, 2280/​2260/​2242), 1x M.2/​M-Key (PCIe 4.0 x4, 2280)</t>
  </si>
  <si>
    <t>https://geizhals.eu/asus-tuf-gaming-b850m-plus-90mb1ix0-m0eay0-a3381524.html?hloc=at&amp;hloc=de&amp;hloc=eu&amp;hloc=pl&amp;hloc=uk</t>
  </si>
  <si>
    <t>ASUS TUF Gaming B850M-Plus WIFI</t>
  </si>
  <si>
    <t>90MB1IY0-M0EAY0</t>
  </si>
  <si>
    <t>1x M.2/​M-Key (PCIe 5.0 x4, 2280), 1x M.2/​M-Key (PCIe 4.0 x4, 2280/​2260/​2242), 1x M.2/​M-Key (PCIe 4.0 x4, 2280), 1x M.2/​E-Key (2230, belegt mit WiFi+BT-Modul)</t>
  </si>
  <si>
    <t>https://geizhals.eu/asus-tuf-gaming-b850m-plus-wifi-90mb1iy0-m0eay0-a3381525.html?hloc=at&amp;hloc=de&amp;hloc=eu&amp;hloc=pl&amp;hloc=uk</t>
  </si>
  <si>
    <t>ASUS TUF Gaming B850-Plus WIFI</t>
  </si>
  <si>
    <t>90MB1J30-M0EAY0</t>
  </si>
  <si>
    <t>1x M.2/​M-Key (PCIe 5.0 x4, 2280), 1x M.2/​M-Key (PCIe 4.0 x4, 22110/​2280/​2260/​2242), 1x M.2/​M-Key (PCIe 4.0 x4, 2280), 1x M.2/​E-Key (2230, belegt mit WiFi+BT-Modul)</t>
  </si>
  <si>
    <t>https://geizhals.eu/asus-tuf-gaming-b850-plus-wifi-90mb1j30-m0eay0-a3381526.html?hloc=at&amp;hloc=de&amp;hloc=eu&amp;hloc=pl&amp;hloc=uk</t>
  </si>
  <si>
    <t>ASUS TUF Gaming B860M-Plus</t>
  </si>
  <si>
    <t>90MB1JW0-M0EAY0</t>
  </si>
  <si>
    <t>https://geizhals.eu/asus-tuf-gaming-b860m-plus-90mb1jw0-m0eay0-a3381536.html?hloc=at&amp;hloc=de&amp;hloc=eu&amp;hloc=pl&amp;hloc=uk</t>
  </si>
  <si>
    <t>ASUS TUF Gaming B860M-Plus WIFI</t>
  </si>
  <si>
    <t>90MB1JV0-M0EAY0</t>
  </si>
  <si>
    <t>https://geizhals.eu/asus-tuf-gaming-b860m-plus-wifi-90mb1jv0-m0eay0-a3381537.html?hloc=at&amp;hloc=de&amp;hloc=eu&amp;hloc=pl&amp;hloc=uk</t>
  </si>
  <si>
    <t>ASUS TUF Gaming B860-Plus WIFI</t>
  </si>
  <si>
    <t>90MB1JL0-M0EAY0</t>
  </si>
  <si>
    <t>1x M.2/​M-Key (PCIe 5.0 x4, 2280), 1x M.2/​M-Key (PCIe 4.0 x4, 22110/​2280), 1x M.2/​M-Key (PCIe 4.0 x4, 2280/​2260/​2242), 1x M.2/​E-Key (2230, belegt mit WiFi+BT-Modul)</t>
  </si>
  <si>
    <t>https://geizhals.eu/asus-tuf-gaming-b860-plus-wifi-90mb1jl0-m0eay0-a3381538.html?hloc=at&amp;hloc=de&amp;hloc=eu&amp;hloc=pl&amp;hloc=uk</t>
  </si>
  <si>
    <t>ASUS TUF Gaming H670-Pro WIFI D4</t>
  </si>
  <si>
    <t>90MB1900-M0EAY0 / 90MB1900-M1EAY0</t>
  </si>
  <si>
    <t>2x M.2/​M-Key (PCIe 4.0 x4, 22110/​2280/​2260/​2242), 1x M.2/​M-Key (PCIe 4.0 x4/​SATA, 2280/​2260/​2242), 1x M.2/​M-Key (PCIe 4.0 x4, 2280/​2260/​2242), 1x M.2/​E-Key (2230, belegt mit WiFi+BT-Modul)</t>
  </si>
  <si>
    <t>https://geizhals.eu/asus-tuf-gaming-h670-pro-wifi-d4-90mb1900-m0eay0-a2661022.html?hloc=at&amp;hloc=de&amp;hloc=eu&amp;hloc=pl&amp;hloc=uk</t>
  </si>
  <si>
    <t>ASUS TUF Gaming H770-Pro WIFI</t>
  </si>
  <si>
    <t>90MB1D50-M0EAY0</t>
  </si>
  <si>
    <t>2x M.2/​M-Key (PCIe 4.0 x4, 2280/​2260/​2242), 1x M.2/​M-Key (PCIe 4.0 x4, 22110/​2280/​2260/​2242), 1x M.2/​M-Key (PCIe 4.0 x4/​SATA, 2280/​2260/​2242), 1x M.2/​E-Key (2230, belegt mit WiFi+BT-Modul)</t>
  </si>
  <si>
    <t>https://geizhals.eu/asus-tuf-gaming-h770-pro-wifi-90mb1d50-m0eay0-a2872247.html?hloc=at&amp;hloc=de&amp;hloc=eu&amp;hloc=pl&amp;hloc=uk</t>
  </si>
  <si>
    <t>ASUS TUF Gaming X670E-Plus WIFI</t>
  </si>
  <si>
    <t>90MB1BK0-M0EAY0</t>
  </si>
  <si>
    <t>https://geizhals.eu/asus-tuf-gaming-x670e-plus-wifi-90mb1bk0-m0eay0-a2819592.html?hloc=at&amp;hloc=de&amp;hloc=eu&amp;hloc=pl&amp;hloc=uk</t>
  </si>
  <si>
    <t>ASUS TUF Gaming X870-Plus WIFI</t>
  </si>
  <si>
    <t>90MB1IU0-M0EAY0</t>
  </si>
  <si>
    <t>2x M.2/​M-Key (PCIe 5.0 x4, 2280), 1x M.2/​M-Key (PCIe 4.0 x4, 2280), 1x M.2/​M-Key (PCIe 4.0 x4, 22110/​2280/​2260/​2242), 1x M.2/​E-Key (2230, belegt mit WiFi+BT-Modul)</t>
  </si>
  <si>
    <t>https://geizhals.eu/asus-tuf-gaming-x870-plus-wifi-a3272489.html?hloc=at&amp;hloc=de&amp;hloc=eu&amp;hloc=pl&amp;hloc=uk</t>
  </si>
  <si>
    <t>ASUS TUF Gaming Z690-Plus</t>
  </si>
  <si>
    <t>90MB1AV0-M0EAY0</t>
  </si>
  <si>
    <t>https://geizhals.eu/asus-tuf-gaming-z690-plus-90mb1av0-m0eay0-a2664195.html?hloc=at&amp;hloc=de&amp;hloc=eu&amp;hloc=pl&amp;hloc=uk</t>
  </si>
  <si>
    <t>ASUS TUF Gaming Z690-Plus WIFI</t>
  </si>
  <si>
    <t>90MB1AW0-M0EAY0</t>
  </si>
  <si>
    <t>https://geizhals.eu/asus-tuf-gaming-z690-plus-wifi-90mb1aw0-m0eay0-a2664194.html?hloc=at&amp;hloc=de&amp;hloc=eu&amp;hloc=pl&amp;hloc=uk</t>
  </si>
  <si>
    <t>ASUS TUF Gaming Z690-Plus WIFI D4</t>
  </si>
  <si>
    <t>90MB18V0-M0EAY0</t>
  </si>
  <si>
    <t>https://geizhals.eu/asus-tuf-gaming-z690-plus-wifi-d4-90mb18v0-m0eay0-a2625557.html?hloc=at&amp;hloc=de&amp;hloc=eu&amp;hloc=pl&amp;hloc=uk</t>
  </si>
  <si>
    <t>ASUS TUF Gaming Z790-BTF WIFI</t>
  </si>
  <si>
    <t>90MB1GU0-M0EAY0</t>
  </si>
  <si>
    <t>1x M.2/​M-Key (PCIe 4.0 x4, 22110/​2280), 1x M.2/​M-Key (PCIe 4.0 x4, 2280), 1x M.2/​M-Key (PCIe 4.0 x4, 22110/​2280/​2260/​2242), 1x M.2/​M-Key (PCIe 4.0 x4/​SATA, 2280/​2260/​2242), 1x M.2/​E-Key (2230, belegt mit WiFi+BT-Modul)</t>
  </si>
  <si>
    <t>https://geizhals.eu/asus-tuf-gaming-z790-btf-wifi-90mb1gu0-m0eay0-a3112010.html?hloc=at&amp;hloc=de&amp;hloc=eu&amp;hloc=pl&amp;hloc=uk</t>
  </si>
  <si>
    <t>ASUS TUF Gaming Z790-Plus D4</t>
  </si>
  <si>
    <t>90MB1CQ0-M0EAY0</t>
  </si>
  <si>
    <t>https://geizhals.eu/asus-tuf-gaming-z790-plus-d4-90mb1cq0-m0eay0-a2819906.html?hloc=at&amp;hloc=de&amp;hloc=eu&amp;hloc=pl&amp;hloc=uk</t>
  </si>
  <si>
    <t>ASUS TUF Gaming Z790-Plus WIFI</t>
  </si>
  <si>
    <t>90MB1D80-M0EAY0 / 90MB1D80-M1EAY0</t>
  </si>
  <si>
    <t>https://geizhals.eu/asus-tuf-gaming-z790-plus-wifi-90mb1d80-m0eay0-a2868196.html?hloc=at&amp;hloc=de&amp;hloc=eu&amp;hloc=pl&amp;hloc=uk</t>
  </si>
  <si>
    <t>ASUS TUF Gaming Z790-Plus WIFI D4</t>
  </si>
  <si>
    <t>90MB1CR0-M0EAY0</t>
  </si>
  <si>
    <t>https://geizhals.eu/asus-tuf-gaming-z790-plus-wifi-d4-90mb1cr0-m0eay0-a2819905.html?hloc=at&amp;hloc=de&amp;hloc=eu&amp;hloc=pl&amp;hloc=uk</t>
  </si>
  <si>
    <t>ASUS TUF Gaming Z790-Pro WIFI</t>
  </si>
  <si>
    <t>90MB1FJ0-M0EAY0</t>
  </si>
  <si>
    <t>https://geizhals.eu/asus-tuf-gaming-z790-pro-wifi-90mb1fj0-m0eay0-a3043417.html?hloc=at&amp;hloc=de&amp;hloc=eu&amp;hloc=pl&amp;hloc=uk</t>
  </si>
  <si>
    <t>ASUS TUF Gaming Z890-Plus WIFI</t>
  </si>
  <si>
    <t>90MB1IQ0-M0EAY0</t>
  </si>
  <si>
    <t>1x M.2/​M-Key (PCIe 5.0 x4, 2280/​2260/​2242), 1x M.2/​M-Key (PCIe 4.0 x4, 2280), 1x M.2/​M-Key (PCIe 4.0 x4, 22110/​2280), 1x M.2/​M-Key (PCIe 4.0 x4/​SATA, 2280/​2260/​2242), 1x M.2/​E-Key (2230, belegt mit WiFi+BT-Modul)</t>
  </si>
  <si>
    <t>https://geizhals.eu/asus-tuf-gaming-z890-plus-wifi-90mb1iq0-m0eay0-a3330387.html?hloc=at&amp;hloc=de&amp;hloc=eu&amp;hloc=pl&amp;hloc=uk</t>
  </si>
  <si>
    <t>ASUS TUF Gaming Z890-Pro WIFI</t>
  </si>
  <si>
    <t>90MB1IR0-M0EAY0</t>
  </si>
  <si>
    <t>https://geizhals.eu/asus-tuf-gaming-z890-pro-wifi-90mb1ir0-m0eay0-a3330433.html?hloc=at&amp;hloc=de&amp;hloc=eu&amp;hloc=pl&amp;hloc=uk</t>
  </si>
  <si>
    <t>Biostar A520MHP</t>
  </si>
  <si>
    <t>1x M.2/​M-Key (PCIe 3.0 x4/​SATA, 2280/​2260)</t>
  </si>
  <si>
    <t>https://geizhals.eu/biostar-a520mhp-a3356869.html?hloc=at&amp;hloc=de&amp;hloc=eu&amp;hloc=pl&amp;hloc=uk</t>
  </si>
  <si>
    <t>Biostar A620MP-E Pro</t>
  </si>
  <si>
    <t>1x M.2/​M-Key (PCIe 4.0 x4, 2280/​2260/​2242), 1x M.2/​E-Key (2230)</t>
  </si>
  <si>
    <t>https://geizhals.eu/biostar-a620mp-e-pro-a2924950.html?hloc=at&amp;hloc=de&amp;hloc=eu&amp;hloc=pl&amp;hloc=uk</t>
  </si>
  <si>
    <t>Biostar B550MHP</t>
  </si>
  <si>
    <t>https://geizhals.eu/biostar-b550mhp-a3356890.html?hloc=at&amp;hloc=de&amp;hloc=eu&amp;hloc=pl&amp;hloc=uk</t>
  </si>
  <si>
    <t>Biostar B550MX/E Pro</t>
  </si>
  <si>
    <t>https://geizhals.eu/biostar-b550mx-e-pro-a2512498.html?hloc=at&amp;hloc=de&amp;hloc=eu&amp;hloc=pl&amp;hloc=uk</t>
  </si>
  <si>
    <t>Biostar B650MP-E PRO</t>
  </si>
  <si>
    <t>https://geizhals.eu/biostar-b650mp-e-pro-a2932871.html?hloc=at&amp;hloc=de&amp;hloc=eu&amp;hloc=pl&amp;hloc=uk</t>
  </si>
  <si>
    <t>Biostar B650M-Silver</t>
  </si>
  <si>
    <t>https://geizhals.eu/biostar-b650m-silver-a2863495.html?hloc=at&amp;hloc=de&amp;hloc=eu&amp;hloc=pl&amp;hloc=uk</t>
  </si>
  <si>
    <t>Biostar B650MT</t>
  </si>
  <si>
    <t>https://geizhals.eu/biostar-b650mt-a3005472.html?hloc=at&amp;hloc=de&amp;hloc=eu&amp;hloc=pl&amp;hloc=uk</t>
  </si>
  <si>
    <t>Biostar B660T-Silver</t>
  </si>
  <si>
    <t>1x M.2/​M-Key (PCIe 4.0 x4, 2280), 1x M.2/​M-Key (PCIe 4.0 x4/​SATA, 2280, Rückseite), 1x M.2/​E-Key (2230)</t>
  </si>
  <si>
    <t>https://geizhals.eu/biostar-b660t-silver-a2751131.html?hloc=at&amp;hloc=de&amp;hloc=eu&amp;hloc=pl&amp;hloc=uk</t>
  </si>
  <si>
    <t>Biostar B760A-Silver</t>
  </si>
  <si>
    <t>2x M.2/​M-Key (PCIe 4.0 x4, 2280), 1x M.2/​M-Key (PCIe 4.0 x4/​SATA, 22110/​2280/​2260/​2242), 1x M.2/​E-Key (2230)</t>
  </si>
  <si>
    <t>https://geizhals.eu/biostar-b760a-silver-a2825859.html?hloc=at&amp;hloc=de&amp;hloc=eu&amp;hloc=pl&amp;hloc=uk</t>
  </si>
  <si>
    <t>Biostar B760M-Silver</t>
  </si>
  <si>
    <t>1x M.2/​M-Key (PCIe 4.0 x4, 2280), 1x M.2/​M-Key (PCIe 4.0 x4/​SATA, 22110/​2280/​2260/​2242), 1x M.2/​E-Key (2230)</t>
  </si>
  <si>
    <t>4x SATA 6Gb/s (B760), 2x SATA 6Gb/​s</t>
  </si>
  <si>
    <t>https://geizhals.eu/biostar-b760m-silver-a2872254.html?hloc=at&amp;hloc=de&amp;hloc=eu&amp;hloc=pl&amp;hloc=uk</t>
  </si>
  <si>
    <t>Biostar B760MX2-E D4</t>
  </si>
  <si>
    <t>1x M.2/​M-Key (PCIe 4.0 x4/​SATA, 2280/​2260/​2242), 1x M.2/​E-Key (2230)</t>
  </si>
  <si>
    <t>https://geizhals.eu/biostar-b760mx2-e-d4-a2886267.html?hloc=at&amp;hloc=de&amp;hloc=eu&amp;hloc=pl&amp;hloc=uk</t>
  </si>
  <si>
    <t>Biostar B760MX2-E PRO D4</t>
  </si>
  <si>
    <t>1x M.2/​M-Key (PCIe 4.0 x4, 2280), 1x M.2/​M-Key (PCIe 4.0 x4, 2280/​2260/​2242), 1x M.2/​E-Key (2230)</t>
  </si>
  <si>
    <t>4x SATA 6Gb/s (B760), 4x SATA 6Gb/s (ASMedia ASM1064)</t>
  </si>
  <si>
    <t>https://geizhals.eu/biostar-b760mx2-e-pro-d4-a2979672.html?hloc=at&amp;hloc=de&amp;hloc=eu&amp;hloc=pl&amp;hloc=uk</t>
  </si>
  <si>
    <t>Biostar B760NH-E</t>
  </si>
  <si>
    <t>1x M.2/​M-Key (PCIe 4.0 x4/​SATA, 2280), 1x M.2/​E-Key (2230)</t>
  </si>
  <si>
    <t>https://geizhals.eu/biostar-b760nh-e-a3086397.html?hloc=at&amp;hloc=de&amp;hloc=eu&amp;hloc=pl&amp;hloc=uk</t>
  </si>
  <si>
    <t>Biostar Racing B660GTA</t>
  </si>
  <si>
    <t>2x M.2/​M-Key (PCIe 4.0 x4, 2280), 1x M.2/​M-Key (PCIe 3.0 x4/​SATA, 22110/​2280/​2260/​2242), 1x M.2/​E-Key (2230)</t>
  </si>
  <si>
    <t>8x SATA 6Gb/s (B660)</t>
  </si>
  <si>
    <t>https://geizhals.eu/biostar-racing-b660gta-a2667966.html?hloc=at&amp;hloc=de&amp;hloc=eu&amp;hloc=pl&amp;hloc=uk</t>
  </si>
  <si>
    <t>Biostar Racing Z690GTA</t>
  </si>
  <si>
    <t>https://geizhals.eu/biostar-z690gta-a2637167.html?hloc=at&amp;hloc=de&amp;hloc=eu&amp;hloc=pl&amp;hloc=uk</t>
  </si>
  <si>
    <t>Biostar Z690MX2-E D4</t>
  </si>
  <si>
    <t>2x M.2/​M-Key (PCIe 4.0 x4/​SATA, 2280/​2260/​2242), 1x M.2/​E-Key (2230)</t>
  </si>
  <si>
    <t>https://geizhals.eu/biostar-z690mx2-e-d4-a3387189.html?hloc=at&amp;hloc=de&amp;hloc=eu&amp;hloc=pl&amp;hloc=uk</t>
  </si>
  <si>
    <t>Biostar Z790 Valkyrie</t>
  </si>
  <si>
    <t>1x M.2/​M-Key (PCIe 5.0 x4, 2280), 2x M.2/​M-Key (PCIe 4.0 x4, 22110/​2280), 1x M.2/​M-Key (PCIe 4.0 x4, 2280), 1x M.2/​M-Key (PCIe 3.0 x4/​SATA, 2280/​2260/​2242), 1x M.2/​E-Key (2230)</t>
  </si>
  <si>
    <t>https://geizhals.eu/biostar-z790-valkyrie-a2820755.html?hloc=at&amp;hloc=de&amp;hloc=eu&amp;hloc=pl&amp;hloc=uk</t>
  </si>
  <si>
    <t>Biostar Z890 Valkyrie</t>
  </si>
  <si>
    <t>1x M.2/​M-Key (PCIe 5.0 x4, 2280), 1x M.2/​M-Key (PCIe 4.0 x4, 22110/​2280), 4x M.2/​M-Key (PCIe 4.0 x4, 2280), 1x M.2/​E-Key (2230)</t>
  </si>
  <si>
    <t>https://geizhals.eu/biostar-z890-valkyrie-a3336352.html?hloc=at&amp;hloc=de&amp;hloc=eu&amp;hloc=pl&amp;hloc=uk</t>
  </si>
  <si>
    <t>Biostar Z890A-Silver</t>
  </si>
  <si>
    <t>https://geizhals.eu/biostar-z890a-silver-a3336293.html?hloc=at&amp;hloc=de&amp;hloc=eu&amp;hloc=pl&amp;hloc=uk</t>
  </si>
  <si>
    <t>Biostar Z890AX-E Pro</t>
  </si>
  <si>
    <t>1x M.2/​M-Key (PCIe 5.0 x4, 2280), 3x M.2/​M-Key (PCIe 4.0 x4, 2280), 1x M.2/​E-Key (2230)</t>
  </si>
  <si>
    <t>https://geizhals.eu/biostar-z890ax-e-pro-a3394276.html?hloc=at&amp;hloc=de&amp;hloc=eu&amp;hloc=pl&amp;hloc=uk</t>
  </si>
  <si>
    <t>GIGABYTE A520 AORUS Elite</t>
  </si>
  <si>
    <t>https://geizhals.eu/gigabyte-a520-aorus-elite-a2354216.html?hloc=at&amp;hloc=de&amp;hloc=eu&amp;hloc=pl&amp;hloc=uk</t>
  </si>
  <si>
    <t>GIGABYTE A520I AC</t>
  </si>
  <si>
    <t>1x M.2/​M-Key (PCIe 3.0 x4/​SATA, 2280/​2260), 1x M.2/​E-Key (2230, belegt mit WiFi+BT-Modul)</t>
  </si>
  <si>
    <t>https://geizhals.eu/gigabyte-a520i-ac-a2354366.html?hloc=at&amp;hloc=de&amp;hloc=eu&amp;hloc=pl&amp;hloc=uk</t>
  </si>
  <si>
    <t>GIGABYTE A520M DS3H AC</t>
  </si>
  <si>
    <t>https://geizhals.eu/gigabyte-a520m-ds3h-ac-a2354151.html?hloc=at&amp;hloc=de&amp;hloc=eu&amp;hloc=pl&amp;hloc=uk</t>
  </si>
  <si>
    <t>GIGABYTE A520M DS3H V2</t>
  </si>
  <si>
    <t>1x M.2/​M-Key (PCIe 3.0 x4/​SATA, 2280)</t>
  </si>
  <si>
    <t>https://geizhals.eu/gigabyte-a520m-ds3h-v2-a3059193.html?hloc=at&amp;hloc=de&amp;hloc=eu&amp;hloc=pl&amp;hloc=uk</t>
  </si>
  <si>
    <t>GIGABYTE A520M K V2</t>
  </si>
  <si>
    <t>https://geizhals.eu/gigabyte-a520m-k-v2-a2912585.html?hloc=at&amp;hloc=de&amp;hloc=eu&amp;hloc=pl&amp;hloc=uk</t>
  </si>
  <si>
    <t>GIGABYTE A520M S2H</t>
  </si>
  <si>
    <t>https://geizhals.eu/gigabyte-a520m-s2h-a2354350.html?hloc=at&amp;hloc=de&amp;hloc=eu&amp;hloc=pl&amp;hloc=uk</t>
  </si>
  <si>
    <t>GIGABYTE A620I AX</t>
  </si>
  <si>
    <t>https://geizhals.eu/gigabyte-a620i-ax-a2978861.html?hloc=at&amp;hloc=de&amp;hloc=eu&amp;hloc=pl&amp;hloc=uk</t>
  </si>
  <si>
    <t>GIGABYTE A620M DS3H</t>
  </si>
  <si>
    <t>https://geizhals.eu/gigabyte-a620m-ds3h-a2978870.html?hloc=at&amp;hloc=de&amp;hloc=eu&amp;hloc=pl&amp;hloc=uk</t>
  </si>
  <si>
    <t>GIGABYTE A620M Gaming X</t>
  </si>
  <si>
    <t>https://geizhals.eu/gigabyte-a620m-gaming-x-a2924907.html?hloc=at&amp;hloc=de&amp;hloc=eu&amp;hloc=pl&amp;hloc=uk</t>
  </si>
  <si>
    <t>GIGABYTE A620M H</t>
  </si>
  <si>
    <t>1x M.2/​M-Key (PCIe 4.0 x4, 2580/​2280)</t>
  </si>
  <si>
    <t>https://geizhals.eu/gigabyte-a620m-h-a2977665.html?hloc=at&amp;hloc=de&amp;hloc=eu&amp;hloc=pl&amp;hloc=uk</t>
  </si>
  <si>
    <t>GIGABYTE B450 I AORUS Pro WIFI</t>
  </si>
  <si>
    <t>https://geizhals.eu/gigabyte-b450-i-aorus-pro-wifi-a1881648.html?hloc=at&amp;hloc=de&amp;hloc=eu&amp;hloc=pl&amp;hloc=uk</t>
  </si>
  <si>
    <t>GIGABYTE B550 AORUS Elite AX V2 (Rev. 1.0)</t>
  </si>
  <si>
    <t>https://geizhals.eu/gigabyte-b550-aorus-elite-ax-v2-a2420355.html?hloc=at&amp;hloc=de&amp;hloc=eu&amp;hloc=pl&amp;hloc=uk</t>
  </si>
  <si>
    <t>GIGABYTE B550 AORUS Elite AX V2 (Rev. 1.1)</t>
  </si>
  <si>
    <t>https://geizhals.eu/gigabyte-b550-aorus-elite-ax-v2-rev-1-1-a2839626.html?hloc=at&amp;hloc=de&amp;hloc=eu&amp;hloc=pl&amp;hloc=uk</t>
  </si>
  <si>
    <t>GIGABYTE B550 AORUS Elite V2</t>
  </si>
  <si>
    <t>https://geizhals.eu/gigabyte-b550-aorus-elite-v2-a2420565.html?hloc=at&amp;hloc=de&amp;hloc=eu&amp;hloc=pl&amp;hloc=uk</t>
  </si>
  <si>
    <t>GIGABYTE B550 Gaming X V2</t>
  </si>
  <si>
    <t>https://geizhals.eu/gigabyte-b550-gaming-x-v2-a2414537.html?hloc=at&amp;hloc=de&amp;hloc=eu&amp;hloc=pl&amp;hloc=uk</t>
  </si>
  <si>
    <t>GIGABYTE B550I AORUS Pro AX (Rev. 1.0)</t>
  </si>
  <si>
    <t>1x M.2/​M-Key (PCIe 4.0 x4/​SATA, 2280/​2260), 1x M.2/​M-Key (PCIe 3.0 x4/​SATA, 2280/​2260, Rückseite), 1x M.2/​E-Key (2230, belegt mit WiFi+BT-Modul)</t>
  </si>
  <si>
    <t>https://geizhals.eu/gigabyte-b550i-aorus-pro-ax-a2295234.html?hloc=at&amp;hloc=de&amp;hloc=eu&amp;hloc=pl&amp;hloc=uk</t>
  </si>
  <si>
    <t>GIGABYTE B550M AORUS Elite</t>
  </si>
  <si>
    <t>1x M.2/​M-Key (PCIe 4.0 x4/​SATA, 22110/​2280/​2260/​2242), 1x M.2/​M-Key (PCIe 3.0 x2/​SATA, 2280/​2260/​2242)</t>
  </si>
  <si>
    <t>https://geizhals.eu/gigabyte-b550m-aorus-elite-a2310482.html?hloc=at&amp;hloc=de&amp;hloc=eu&amp;hloc=pl&amp;hloc=uk</t>
  </si>
  <si>
    <t>GIGABYTE B550M AORUS Elite AX</t>
  </si>
  <si>
    <t>1x M.2/​M-Key (PCIe 4.0 x4/​SATA, 22110/​2280/​2260/​2242), 1x M.2/​M-Key (PCIe 3.0 x2/​SATA, 2280/​2260/​2242), 1x M.2/​E-Key (2230, belegt mit WiFi+BT-Modul)</t>
  </si>
  <si>
    <t>https://geizhals.eu/gigabyte-b550m-aorus-elite-ax-a3331376.html?hloc=at&amp;hloc=de&amp;hloc=eu&amp;hloc=pl&amp;hloc=uk</t>
  </si>
  <si>
    <t>GIGABYTE B550M DS3H</t>
  </si>
  <si>
    <t>https://geizhals.eu/gigabyte-b550m-ds3h-a2295280.html?hloc=at&amp;hloc=de&amp;hloc=eu&amp;hloc=pl&amp;hloc=uk</t>
  </si>
  <si>
    <t>GIGABYTE B550M DS3H AC</t>
  </si>
  <si>
    <t>https://geizhals.eu/gigabyte-b550m-ds3h-ac-a2420584.html?hloc=at&amp;hloc=de&amp;hloc=eu&amp;hloc=pl&amp;hloc=uk</t>
  </si>
  <si>
    <t>GIGABYTE B550M K</t>
  </si>
  <si>
    <t>1x M.2/​M-Key (PCIe 4.0 x4/​SATA, 2280), 1x M.2/​M-Key (PCIe 3.0 x2, 2280)</t>
  </si>
  <si>
    <t>https://geizhals.eu/gigabyte-b550m-k-a2901610.html?hloc=at&amp;hloc=de&amp;hloc=eu&amp;hloc=pl&amp;hloc=uk</t>
  </si>
  <si>
    <t>GIGABYTE B650 Aero G</t>
  </si>
  <si>
    <t>1x M.2/​M-Key (PCIe 5.0 x4, 25110/​2580/​22110/​2280), 2x M.2/​M-Key (PCIe 4.0 x4, 25110/​2580/​22110/​2280), 1x M.2/​E-Key (2230, belegt mit WiFi+BT-Modul)</t>
  </si>
  <si>
    <t>https://geizhals.eu/gigabyte-b650-aero-g-a2824294.html?hloc=at&amp;hloc=de&amp;hloc=eu&amp;hloc=pl&amp;hloc=uk</t>
  </si>
  <si>
    <t>GIGABYTE B650 AORUS Elite AX</t>
  </si>
  <si>
    <t>https://geizhals.eu/gigabyte-b650-aorus-elite-ax-a2824266.html?hloc=at&amp;hloc=de&amp;hloc=eu&amp;hloc=pl&amp;hloc=uk</t>
  </si>
  <si>
    <t>GIGABYTE B650 AORUS Elite AX ICE (B650 A ELITE AX ICE)</t>
  </si>
  <si>
    <t>1x M.2/​M-Key (PCIe 5.0 x4, 25110/​2280), 2x M.2/​M-Key (PCIe 4.0 x4, 25110/​2280), 1x M.2/​E-Key (2230, belegt mit WiFi+BT-Modul)</t>
  </si>
  <si>
    <t>https://geizhals.eu/gigabyte-b650-aorus-elite-ax-ice-a3048061.html?hloc=at&amp;hloc=de&amp;hloc=eu&amp;hloc=pl&amp;hloc=uk</t>
  </si>
  <si>
    <t>GIGABYTE B650 AORUS Elite AX V2 (B650 A ELITE AX V2)</t>
  </si>
  <si>
    <t>https://geizhals.eu/gigabyte-b650-aorus-elite-ax-v2-b650-aorus-elite-ax-v2-a3062563.html?hloc=at&amp;hloc=de&amp;hloc=eu&amp;hloc=pl&amp;hloc=uk</t>
  </si>
  <si>
    <t>GIGABYTE B650 Eagle</t>
  </si>
  <si>
    <t>1x M.2/​M-Key (PCIe 5.0 x4, 25110/​2580/​22110/​2280), 1x M.2/​M-Key (PCIe 4.0 x2, 22110/​2280), 1x M.2/​M-Key (PCIe 4.0 x4, 22110/​2280)</t>
  </si>
  <si>
    <t>https://geizhals.eu/gigabyte-b650-eagle-a3254287.html?hloc=at&amp;hloc=de&amp;hloc=eu&amp;hloc=pl&amp;hloc=uk</t>
  </si>
  <si>
    <t>GIGABYTE B650 Eagle AX</t>
  </si>
  <si>
    <t>1x M.2/​M-Key (PCIe 5.0 x4, 25110/​2580/​22110/​2280), 1x M.2/​M-Key (PCIe 4.0 x2, 22110/​2280), 1x M.2/​M-Key (PCIe 4.0 x4, 22110/​2280), 1x M.2/​E-Key (2230, belegt mit WiFi+BT-Modul)</t>
  </si>
  <si>
    <t>https://geizhals.eu/gigabyte-b650-eagle-ax-a3108584.html?hloc=at&amp;hloc=de&amp;hloc=eu&amp;hloc=pl&amp;hloc=uk</t>
  </si>
  <si>
    <t>GIGABYTE B650 Gaming X AX V2</t>
  </si>
  <si>
    <t>1x M.2/​M-Key (PCIe 5.0 x4, 25110/​2580/​22110/​2280), 2x M.2/​M-Key (PCIe 4.0 x4, 25110/​2580), 1x M.2/​E-Key (2230, belegt mit WiFi+BT-Modul)</t>
  </si>
  <si>
    <t>https://geizhals.eu/gigabyte-b650-gaming-x-ax-v2-a3110852.html?hloc=at&amp;hloc=de&amp;hloc=eu&amp;hloc=pl&amp;hloc=uk</t>
  </si>
  <si>
    <t>GIGABYTE B650 UD AC</t>
  </si>
  <si>
    <t>https://geizhals.eu/gigabyte-b650-ud-ac-a3108631.html?hloc=at&amp;hloc=de&amp;hloc=eu&amp;hloc=pl&amp;hloc=uk</t>
  </si>
  <si>
    <t>GIGABYTE B650 UD AX</t>
  </si>
  <si>
    <t>https://geizhals.eu/gigabyte-b650-ud-ax-a3254304.html?hloc=at&amp;hloc=de&amp;hloc=eu&amp;hloc=pl&amp;hloc=uk</t>
  </si>
  <si>
    <t>GIGABYTE B650E AORUS Elite X AX ICE (B650E A ELITE X ICE)</t>
  </si>
  <si>
    <t>1x M.2/​M-Key (PCIe 5.0 x4, 25110/​2580/​22110/​2280), 2x M.2/​M-Key (PCIe 4.0 x4, 22110/​2280), 1x M.2/​E-Key (2230, belegt mit WiFi+BT-Modul)</t>
  </si>
  <si>
    <t>https://geizhals.eu/gigabyte-b650e-aorus-elite-ax-ice-b650e-a-elite-ax-ice-a3107139.html?hloc=at&amp;hloc=de&amp;hloc=eu&amp;hloc=pl&amp;hloc=uk</t>
  </si>
  <si>
    <t>GIGABYTE B650E AORUS Stealth ICE (B650E A STEALTH ICE)</t>
  </si>
  <si>
    <t>https://geizhals.eu/gigabyte-b650e-aorus-stealth-ice-b650e-a-stealth-ice-a3245751.html?hloc=at&amp;hloc=de&amp;hloc=eu&amp;hloc=pl&amp;hloc=uk</t>
  </si>
  <si>
    <t>GIGABYTE B650I AX</t>
  </si>
  <si>
    <t>https://geizhals.eu/gigabyte-b650i-ax-a3128387.html?hloc=at&amp;hloc=de&amp;hloc=eu&amp;hloc=pl&amp;hloc=uk</t>
  </si>
  <si>
    <t>GIGABYTE B650M AORUS Elite AX (Rev. 1.0)</t>
  </si>
  <si>
    <t>1x M.2/​M-Key (PCIe 5.0 x4, 25110/​2580/​22110/​2280), 1x M.2/​M-Key (PCIe 4.0 x4, 22110/​2280), 1x M.2/​E-Key (2230, belegt mit WiFi+BT-Modul)</t>
  </si>
  <si>
    <t>https://geizhals.eu/gigabyte-b650m-aorus-elite-ax-a2824292.html?hloc=at&amp;hloc=de&amp;hloc=eu&amp;hloc=pl&amp;hloc=uk</t>
  </si>
  <si>
    <t>GIGABYTE B650M AORUS Elite AX ICE (B650M A ELITE AX ICE)</t>
  </si>
  <si>
    <t>1x M.2/​M-Key (PCIe 5.0 x4, 25110/​2580/​22110/​2280), 1x M.2/​M-Key (PCIe 4.0 x4, 25110/​2580/​22110/​2280), 1x M.2/​E-Key (2230, belegt mit WiFi+BT-Modul)</t>
  </si>
  <si>
    <t>https://geizhals.eu/gigabyte-b650m-aorus-elite-ax-ice-a3063206.html?hloc=at&amp;hloc=de&amp;hloc=eu&amp;hloc=pl&amp;hloc=uk</t>
  </si>
  <si>
    <t>GIGABYTE B650M D3HP</t>
  </si>
  <si>
    <t>1x M.2/​M-Key (PCIe 4.0 x4, 2580/​2280), 1x M.2/​M-Key (PCIe 4.0 x4, 22110/​2280)</t>
  </si>
  <si>
    <t>https://geizhals.eu/gigabyte-b650m-d3hp-a3014087.html?hloc=at&amp;hloc=de&amp;hloc=eu&amp;hloc=pl&amp;hloc=uk</t>
  </si>
  <si>
    <t>GIGABYTE B650M D3HP AX</t>
  </si>
  <si>
    <t>https://geizhals.eu/gigabyte-b650m-d3hp-ax-a3072874.html?hloc=at&amp;hloc=de&amp;hloc=eu&amp;hloc=pl&amp;hloc=uk</t>
  </si>
  <si>
    <t>GIGABYTE B650M DS3H</t>
  </si>
  <si>
    <t>2x M.2/​M-Key (PCIe 4.0 x4, 25110/​2280)</t>
  </si>
  <si>
    <t>https://geizhals.eu/gigabyte-b650m-ds3h-a2824417.html?hloc=at&amp;hloc=de&amp;hloc=eu&amp;hloc=pl&amp;hloc=uk</t>
  </si>
  <si>
    <t>GIGABYTE B650M Gaming Plus WIFI (B650M Gaming Plus WF)</t>
  </si>
  <si>
    <t>https://geizhals.eu/gigabyte-b650m-gaming-plus-wifi-b650m-gaming-plus-wf-a3326831.html?hloc=at&amp;hloc=de&amp;hloc=eu&amp;hloc=pl&amp;hloc=uk</t>
  </si>
  <si>
    <t>GIGABYTE B650M Gaming X AX</t>
  </si>
  <si>
    <t>2x M.2/​M-Key (PCIe 4.0 x4, 25110/​2280), 1x M.2/​E-Key (2230, belegt mit WiFi+BT-Modul)</t>
  </si>
  <si>
    <t>https://geizhals.eu/gigabyte-b650m-gaming-x-ax-a2824415.html?hloc=at&amp;hloc=de&amp;hloc=eu&amp;hloc=pl&amp;hloc=uk</t>
  </si>
  <si>
    <t>GIGABYTE B650M K</t>
  </si>
  <si>
    <t>1x M.2/​M-Key (PCIe 4.0 x4, 2580/​2280), 1x M.2/​M-Key (PCIe 4.0 x4, 25110/​2280)</t>
  </si>
  <si>
    <t>https://geizhals.eu/gigabyte-b650m-k-a2943351.html?hloc=at&amp;hloc=de&amp;hloc=eu&amp;hloc=pl&amp;hloc=uk</t>
  </si>
  <si>
    <t>GIGABYTE B650M S2H</t>
  </si>
  <si>
    <t>https://geizhals.eu/gigabyte-b650m-s2h-a3009809.html?hloc=at&amp;hloc=de&amp;hloc=eu&amp;hloc=pl&amp;hloc=uk</t>
  </si>
  <si>
    <t>GIGABYTE B760 AORUS Elite</t>
  </si>
  <si>
    <t>3x M.2/​M-Key (PCIe 4.0 x4, 22110/​2280)</t>
  </si>
  <si>
    <t>https://geizhals.eu/gigabyte-b760-aorus-elite-a2872209.html?hloc=at&amp;hloc=de&amp;hloc=eu&amp;hloc=pl&amp;hloc=uk</t>
  </si>
  <si>
    <t>GIGABYTE B760 AORUS Elite AX</t>
  </si>
  <si>
    <t>3x M.2/​M-Key (PCIe 4.0 x4, 22110/​2280), 1x M.2/​E-Key (2230, belegt mit WiFi+BT-Modul)</t>
  </si>
  <si>
    <t>https://geizhals.eu/gigabyte-b760-aorus-elite-ax-a2872208.html?hloc=at&amp;hloc=de&amp;hloc=eu&amp;hloc=pl&amp;hloc=uk</t>
  </si>
  <si>
    <t>GIGABYTE B760 AORUS Elite AX DDR4 (B760 A Elite AX DDR4)</t>
  </si>
  <si>
    <t>https://geizhals.eu/gigabyte-b760-aorus-elite-ax-ddr4-a2872210.html?hloc=at&amp;hloc=de&amp;hloc=eu&amp;hloc=pl&amp;hloc=uk</t>
  </si>
  <si>
    <t>GIGABYTE B760 AORUS Master DDR4</t>
  </si>
  <si>
    <t>https://geizhals.eu/gigabyte-b760-aorus-master-ddr4-a2872215.html?hloc=at&amp;hloc=de&amp;hloc=eu&amp;hloc=pl&amp;hloc=uk</t>
  </si>
  <si>
    <t>GIGABYTE B760 DS3H</t>
  </si>
  <si>
    <t>1x M.2/​M-Key (PCIe 4.0 x4, 22110/​2280), 1x M.2/​M-Key (PCIe 4.0 x4, 2280)</t>
  </si>
  <si>
    <t>https://geizhals.eu/gigabyte-b760-ds3h-a2878890.html?hloc=at&amp;hloc=de&amp;hloc=eu&amp;hloc=pl&amp;hloc=uk</t>
  </si>
  <si>
    <t>GIGABYTE B760 DS3H AX</t>
  </si>
  <si>
    <t>1x M.2/​M-Key (PCIe 4.0 x4, 22110/​2280), 1x M.2/​M-Key (PCIe 4.0 x4, 2280), 1x M.2/​E-Key (2230, belegt mit WiFi+BT-Modul)</t>
  </si>
  <si>
    <t>https://geizhals.eu/gigabyte-b760-ds3h-ax-a2878899.html?hloc=at&amp;hloc=de&amp;hloc=eu&amp;hloc=pl&amp;hloc=uk</t>
  </si>
  <si>
    <t>GIGABYTE B760 DS3H AX DDR4</t>
  </si>
  <si>
    <t>https://geizhals.eu/gigabyte-b760-ds3h-ax-ddr4-a2871170.html?hloc=at&amp;hloc=de&amp;hloc=eu&amp;hloc=pl&amp;hloc=uk</t>
  </si>
  <si>
    <t>GIGABYTE B760 DS3H DDR4</t>
  </si>
  <si>
    <t>https://geizhals.eu/gigabyte-b760-ds3h-ddr4-a2872176.html?hloc=at&amp;hloc=de&amp;hloc=eu&amp;hloc=pl&amp;hloc=uk</t>
  </si>
  <si>
    <t>GIGABYTE B760 Gaming X</t>
  </si>
  <si>
    <t>https://geizhals.eu/gigabyte-b760-gaming-x-a2872180.html?hloc=at&amp;hloc=de&amp;hloc=eu&amp;hloc=pl&amp;hloc=uk</t>
  </si>
  <si>
    <t>GIGABYTE B760 Gaming X AX</t>
  </si>
  <si>
    <t>https://geizhals.eu/gigabyte-b760-gaming-x-ax-a2872179.html?hloc=at&amp;hloc=de&amp;hloc=eu&amp;hloc=pl&amp;hloc=uk</t>
  </si>
  <si>
    <t>GIGABYTE B760 Gaming X DDR4</t>
  </si>
  <si>
    <t>https://geizhals.eu/gigabyte-b760-gaming-x-ddr4-a2872178.html?hloc=at&amp;hloc=de&amp;hloc=eu&amp;hloc=pl&amp;hloc=uk</t>
  </si>
  <si>
    <t>GIGABYTE B760I AORUS Pro</t>
  </si>
  <si>
    <t>2x SATA 6Gb/s (B760)</t>
  </si>
  <si>
    <t>https://geizhals.eu/gigabyte-b760i-aorus-pro-a2950106.html?hloc=at&amp;hloc=de&amp;hloc=eu&amp;hloc=pl&amp;hloc=uk</t>
  </si>
  <si>
    <t>GIGABYTE B760I AORUS Pro DDR4</t>
  </si>
  <si>
    <t>https://geizhals.eu/gigabyte-b760i-aorus-pro-ddr4-a2872207.html?hloc=at&amp;hloc=de&amp;hloc=eu&amp;hloc=pl&amp;hloc=uk</t>
  </si>
  <si>
    <t>GIGABYTE B760M AORUS Elite AX</t>
  </si>
  <si>
    <t>1x M.2/​M-Key (PCIe 4.0 x4, 2280), 1x M.2/​M-Key (PCIe 4.0 x4, 22110/​2280), 1x M.2/​E-Key (2230, belegt mit WiFi+BT-Modul)</t>
  </si>
  <si>
    <t>https://geizhals.eu/gigabyte-b760m-aorus-elite-ax-a2872196.html?hloc=at&amp;hloc=de&amp;hloc=eu&amp;hloc=pl&amp;hloc=uk</t>
  </si>
  <si>
    <t>GIGABYTE B760M AORUS Elite X AX (B760M A Elite X AX) (Rev. 1.0)</t>
  </si>
  <si>
    <t>https://geizhals.eu/gigabyte-b760m-aorus-elite-x-ax-b760m-a-elite-x-ax-rev-1-0-a3062618.html?hloc=at&amp;hloc=de&amp;hloc=eu&amp;hloc=pl&amp;hloc=uk</t>
  </si>
  <si>
    <t>GIGABYTE B760M D3HP</t>
  </si>
  <si>
    <t>https://geizhals.eu/gigabyte-b760m-d3hp-a3331603.html?hloc=at&amp;hloc=de&amp;hloc=eu&amp;hloc=pl&amp;hloc=uk</t>
  </si>
  <si>
    <t>GIGABYTE B760M D3HP DDR4</t>
  </si>
  <si>
    <t>https://geizhals.eu/gigabyte-b760m-d3hp-ddr4-a3254374.html?hloc=at&amp;hloc=de&amp;hloc=eu&amp;hloc=pl&amp;hloc=uk</t>
  </si>
  <si>
    <t>GIGABYTE B760M DS3H</t>
  </si>
  <si>
    <t>https://geizhals.eu/gigabyte-b760m-ds3h-a2872212.html?hloc=at&amp;hloc=de&amp;hloc=eu&amp;hloc=pl&amp;hloc=uk</t>
  </si>
  <si>
    <t>GIGABYTE B760M DS3H AX</t>
  </si>
  <si>
    <t>2x M.2/​M-Key (PCIe 4.0 x4, 2280), 1x M.2/​E-Key (2230, belegt mit WiFi+BT-Modul)</t>
  </si>
  <si>
    <t>https://geizhals.eu/gigabyte-b760m-ds3h-ax-a2872213.html?hloc=at&amp;hloc=de&amp;hloc=eu&amp;hloc=pl&amp;hloc=uk</t>
  </si>
  <si>
    <t>GIGABYTE B760M DS3H AX DDR4</t>
  </si>
  <si>
    <t>1x M.2/​M-Key (PCIe 4.0 x4, 2280), 1x M.2/​M-Key (PCIe 4.0 x4, 2280/​2260), 1x M.2/​E-Key (2230, belegt mit WiFi+BT-Modul)</t>
  </si>
  <si>
    <t>https://geizhals.eu/gigabyte-b760m-ds3h-ax-ddr4-a2872189.html?hloc=at&amp;hloc=de&amp;hloc=eu&amp;hloc=pl&amp;hloc=uk</t>
  </si>
  <si>
    <t>GIGABYTE B760M DS3H DDR4</t>
  </si>
  <si>
    <t>https://geizhals.eu/gigabyte-b760m-ds3h-ddr4-a2872190.html?hloc=at&amp;hloc=de&amp;hloc=eu&amp;hloc=pl&amp;hloc=uk</t>
  </si>
  <si>
    <t>GIGABYTE B760M Gaming DDR4</t>
  </si>
  <si>
    <t>https://geizhals.eu/gigabyte-b760m-gaming-ddr4-a2872194.html?hloc=at&amp;hloc=de&amp;hloc=eu&amp;hloc=pl&amp;hloc=uk</t>
  </si>
  <si>
    <t>GIGABYTE B760M Gaming Plus WIFI DDR4</t>
  </si>
  <si>
    <t>https://geizhals.eu/gigabyte-b760m-gaming-plus-wifi-ddr4-a3369111.html?hloc=at&amp;hloc=de&amp;hloc=eu&amp;hloc=pl&amp;hloc=uk</t>
  </si>
  <si>
    <t>GIGABYTE B760M Gaming X AX (B760M G X AX)</t>
  </si>
  <si>
    <t>1x M.2/​M-Key (PCIe 4.0 x4, 2280), 1x M.2/​M-Key (PCIe 4.0 x4, 22110/​2280/​2260), 1x M.2/​E-Key (2230, belegt mit WiFi+BT-Modul)</t>
  </si>
  <si>
    <t>https://geizhals.eu/gigabyte-b760m-gaming-x-ax-b760m-g-x-ax-a3019419.html?hloc=at&amp;hloc=de&amp;hloc=eu&amp;hloc=pl&amp;hloc=uk</t>
  </si>
  <si>
    <t>GIGABYTE B760M Gaming X DDR4</t>
  </si>
  <si>
    <t>1x M.2/​M-Key (PCIe 4.0 x4, 2280), 1x M.2/​M-Key (PCIe 4.0 x4, 22110/​2280/​2260)</t>
  </si>
  <si>
    <t>https://geizhals.eu/gigabyte-b760m-gaming-x-ddr4-a2872188.html?hloc=at&amp;hloc=de&amp;hloc=eu&amp;hloc=pl&amp;hloc=uk</t>
  </si>
  <si>
    <t>GIGABYTE B850 AI TOP</t>
  </si>
  <si>
    <t>2x M.2/​M-Key (PCIe 5.0 x4, 25110/​2580/​22110/​2280), 1x M.2/​M-Key (PCIe 4.0 x2, 25110/​2580/​22110/​2280), 1x M.2/​E-Key (2230, belegt mit WiFi+BT-Modul)</t>
  </si>
  <si>
    <t>https://geizhals.eu/gigabyte-b850-ai-top-a3383095.html?hloc=at&amp;hloc=de&amp;hloc=eu&amp;hloc=pl&amp;hloc=uk</t>
  </si>
  <si>
    <t>GIGABYTE B850 AORUS Elite WIFI7</t>
  </si>
  <si>
    <t>https://geizhals.eu/gigabyte-b850-aorus-elite-wifi7-a3380367.html?hloc=at&amp;hloc=de&amp;hloc=eu&amp;hloc=pl&amp;hloc=uk</t>
  </si>
  <si>
    <t>GIGABYTE B850 AORUS Elite WIFI7 ICE</t>
  </si>
  <si>
    <t>https://geizhals.eu/gigabyte-b850-aorus-elite-wifi7-ice-a3380369.html?hloc=at&amp;hloc=de&amp;hloc=eu&amp;hloc=pl&amp;hloc=uk</t>
  </si>
  <si>
    <t>GIGABYTE B850 Eagle WIFI6E</t>
  </si>
  <si>
    <t>1x M.2/​M-Key (PCIe 5.0 x4, 22110/​2280), 1x M.2/​M-Key (PCIe 4.0 x4, 22110/​2280), 1x M.2/​M-Key (PCIe 4.0 x2, 22110/​2280), 1x M.2/​E-Key (2230, belegt mit WiFi+BT-Modul)</t>
  </si>
  <si>
    <t>https://geizhals.eu/gigabyte-b850-eagle-wifi6e-a3380364.html?hloc=at&amp;hloc=de&amp;hloc=eu&amp;hloc=pl&amp;hloc=uk</t>
  </si>
  <si>
    <t>GIGABYTE B850 Gaming WIFI6</t>
  </si>
  <si>
    <t>https://geizhals.eu/gigabyte-b850-gaming-wifi6-a3380362.html?hloc=at&amp;hloc=de&amp;hloc=eu&amp;hloc=pl&amp;hloc=uk</t>
  </si>
  <si>
    <t>GIGABYTE B850 Gaming X WIFI6E</t>
  </si>
  <si>
    <t>https://geizhals.eu/gigabyte-b850-gaming-x-wifi6e-a3383219.html?hloc=at&amp;hloc=de&amp;hloc=eu&amp;hloc=pl&amp;hloc=uk</t>
  </si>
  <si>
    <t>GIGABYTE B850I AORUS Pro</t>
  </si>
  <si>
    <t>https://geizhals.eu/gigabyte-b850i-aorus-pro-a3380372.html?hloc=at&amp;hloc=de&amp;hloc=eu&amp;hloc=pl&amp;hloc=uk</t>
  </si>
  <si>
    <t>GIGABYTE B850M AORUS Elite WIFI6E ICE</t>
  </si>
  <si>
    <t>https://geizhals.eu/gigabyte-b850m-aorus-elite-wifi6e-ice-a3383142.html?hloc=at&amp;hloc=de&amp;hloc=eu&amp;hloc=pl&amp;hloc=uk</t>
  </si>
  <si>
    <t>GIGABYTE B850M D3HP</t>
  </si>
  <si>
    <t>1x M.2/​M-Key (PCIe 5.0 x4, 2580/​2280), 1x M.2/​M-Key (PCIe 4.0 x4, 22110/​2280)</t>
  </si>
  <si>
    <t>https://geizhals.eu/gigabyte-b850m-d3hp-a3381555.html?hloc=at&amp;hloc=de&amp;hloc=eu&amp;hloc=pl&amp;hloc=uk</t>
  </si>
  <si>
    <t>GIGABYTE B850M DS3H</t>
  </si>
  <si>
    <t>1x M.2/​M-Key (PCIe 5.0 x4, 25110/​2580/​22110/​2280), 1x M.2/​M-Key (PCIe 4.0 x4, 25110/​2580/​22110/​2280)</t>
  </si>
  <si>
    <t>https://geizhals.eu/gigabyte-b850m-ds3h-a3380356.html?hloc=at&amp;hloc=de&amp;hloc=eu&amp;hloc=pl&amp;hloc=uk</t>
  </si>
  <si>
    <t>GIGABYTE B850M Gaming X WIFI6E</t>
  </si>
  <si>
    <t>https://geizhals.eu/gigabyte-b850m-gaming-x-wifi6e-a3383086.html?hloc=at&amp;hloc=de&amp;hloc=eu&amp;hloc=pl&amp;hloc=uk</t>
  </si>
  <si>
    <t>GIGABYTE B860 AORUS Elite WIFI7 ICE</t>
  </si>
  <si>
    <t>https://geizhals.eu/gigabyte-b860-aorus-elite-wifi7-ice-a3385112.html?hloc=at&amp;hloc=de&amp;hloc=eu&amp;hloc=pl&amp;hloc=uk</t>
  </si>
  <si>
    <t>GIGABYTE B860 DS3H</t>
  </si>
  <si>
    <t>https://geizhals.eu/gigabyte-b860-ds3h-a3385213.html?hloc=at&amp;hloc=de&amp;hloc=eu&amp;hloc=pl&amp;hloc=uk</t>
  </si>
  <si>
    <t>GIGABYTE B860 DS3H WIFI6E</t>
  </si>
  <si>
    <t>https://geizhals.eu/gigabyte-b860-ds3h-wifi6e-a3385152.html?hloc=at&amp;hloc=de&amp;hloc=eu&amp;hloc=pl&amp;hloc=uk</t>
  </si>
  <si>
    <t>GIGABYTE B860 Eagle WIFI6E</t>
  </si>
  <si>
    <t>https://geizhals.eu/gigabyte-b860-eagle-wifi6e-a3385140.html?hloc=at&amp;hloc=de&amp;hloc=eu&amp;hloc=pl&amp;hloc=uk</t>
  </si>
  <si>
    <t>GIGABYTE B860 Gaming X WIFI6E</t>
  </si>
  <si>
    <t>https://geizhals.eu/gigabyte-b860-gaming-x-wifi6e-a3385123.html?hloc=at&amp;hloc=de&amp;hloc=eu&amp;hloc=pl&amp;hloc=uk</t>
  </si>
  <si>
    <t>GIGABYTE B860I AORUS Pro ICE</t>
  </si>
  <si>
    <t>2x SATA 6Gb/s (B860)</t>
  </si>
  <si>
    <t>https://geizhals.eu/gigabyte-b860i-aorus-pro-ice-a3385396.html?hloc=at&amp;hloc=de&amp;hloc=eu&amp;hloc=pl&amp;hloc=uk</t>
  </si>
  <si>
    <t>GIGABYTE B860M AORUS Elite WIFI6E</t>
  </si>
  <si>
    <t>1x M.2/​M-Key (PCIe 5.0 x4, 2280), 1x M.2/​M-Key (PCIe 4.0 x4, 2580/​2280), 1x M.2/​M-Key (PCIe 4.0 x4, 25110/​2580/​22110/​2280), 1x M.2/​E-Key (2230, belegt mit WiFi+BT-Modul)</t>
  </si>
  <si>
    <t>https://geizhals.eu/gigabyte-b860m-aorus-elite-wifi6e-a3385276.html?hloc=at&amp;hloc=de&amp;hloc=eu&amp;hloc=pl&amp;hloc=uk</t>
  </si>
  <si>
    <t>GIGABYTE B860M AORUS Elite WIFI6E ICE</t>
  </si>
  <si>
    <t>https://geizhals.eu/gigabyte-b860m-aorus-elite-wifi6e-ice-a3385222.html?hloc=at&amp;hloc=de&amp;hloc=eu&amp;hloc=pl&amp;hloc=uk</t>
  </si>
  <si>
    <t>GIGABYTE B860M D3HP</t>
  </si>
  <si>
    <t>https://geizhals.eu/gigabyte-b860m-d3hp-a3385377.html?hloc=at&amp;hloc=de&amp;hloc=eu&amp;hloc=pl&amp;hloc=uk</t>
  </si>
  <si>
    <t>GIGABYTE B860M DS3H</t>
  </si>
  <si>
    <t>1x M.2/​M-Key (PCIe 5.0 x4, 2280), 1x M.2/​M-Key (PCIe 4.0 x4, 2280)</t>
  </si>
  <si>
    <t>https://geizhals.eu/gigabyte-b860m-ds3h-a3385387.html?hloc=at&amp;hloc=de&amp;hloc=eu&amp;hloc=pl&amp;hloc=uk</t>
  </si>
  <si>
    <t>GIGABYTE B860M DS3H WIFI6E</t>
  </si>
  <si>
    <t>1x M.2/​M-Key (PCIe 5.0 x4, 2280), 1x M.2/​M-Key (PCIe 4.0 x4, 2280), 1x M.2/​E-Key (2230, belegt mit WiFi+BT-Modul)</t>
  </si>
  <si>
    <t>https://geizhals.eu/gigabyte-b860m-ds3h-wifi6e-a3385394.html?hloc=at&amp;hloc=de&amp;hloc=eu&amp;hloc=pl&amp;hloc=uk</t>
  </si>
  <si>
    <t>GIGABYTE B860M Eagle</t>
  </si>
  <si>
    <t>https://geizhals.eu/gigabyte-b860m-eagle-a3385339.html?hloc=at&amp;hloc=de&amp;hloc=eu&amp;hloc=pl&amp;hloc=uk</t>
  </si>
  <si>
    <t>GIGABYTE B860M Gaming X WIFI6E</t>
  </si>
  <si>
    <t>1x M.2/​M-Key (PCIe 5.0 x4, 2280), 1x M.2/​M-Key (PCIe 4.0 x4, 25110/​2580/​22110/​2280), 1x M.2/​E-Key (2230, belegt mit WiFi+BT-Modul)</t>
  </si>
  <si>
    <t>https://geizhals.eu/gigabyte-b860m-gaming-x-wifi6e-a3385292.html?hloc=at&amp;hloc=de&amp;hloc=eu&amp;hloc=pl&amp;hloc=uk</t>
  </si>
  <si>
    <t>GIGABYTE MC12-LE0</t>
  </si>
  <si>
    <t>9MC12LE0MR-00</t>
  </si>
  <si>
    <t>1x M.2/​M-Key (PCIe 3.0 x1, 2280/​2242)</t>
  </si>
  <si>
    <t>https://geizhals.eu/gigabyte-mc12-le0-9mc12le0mr-00-a3102913.html?hloc=at&amp;hloc=de&amp;hloc=eu&amp;hloc=pl&amp;hloc=uk</t>
  </si>
  <si>
    <t>GIGABYTE Q670M D3H</t>
  </si>
  <si>
    <t>https://geizhals.eu/gigabyte-q670m-d3h-a3059379.html?hloc=at&amp;hloc=de&amp;hloc=eu&amp;hloc=pl&amp;hloc=uk</t>
  </si>
  <si>
    <t>GIGABYTE X570 AORUS Xtreme</t>
  </si>
  <si>
    <t>3x M.2/​M-Key (PCIe 4.0 x4/​SATA, 22110/​2280/​2260/​2242), 1x M.2/​E-Key (2230, belegt mit WiFi+BT-Modul)</t>
  </si>
  <si>
    <t>https://geizhals.eu/gigabyte-x570-aorus-xtreme-a2076314.html?hloc=at&amp;hloc=de&amp;hloc=eu&amp;hloc=pl&amp;hloc=uk</t>
  </si>
  <si>
    <t>GIGABYTE X670 Gaming X AX</t>
  </si>
  <si>
    <t>1x M.2/​M-Key (PCIe 5.0 x4, 25110/​2280), 3x M.2/​M-Key (PCIe 4.0 x4, 22110/​2280), 1x M.2/​E-Key (2230, belegt mit WiFi+BT-Modul)</t>
  </si>
  <si>
    <t>4x SATA 6Gb/s (X670)</t>
  </si>
  <si>
    <t>https://geizhals.eu/gigabyte-x670-gaming-x-ax-a2800955.html?hloc=at&amp;hloc=de&amp;hloc=eu&amp;hloc=pl&amp;hloc=uk</t>
  </si>
  <si>
    <t>GIGABYTE X670 Gaming X AX V2</t>
  </si>
  <si>
    <t>https://geizhals.eu/gigabyte-x670-gaming-x-ax-v2-a3064248.html?hloc=at&amp;hloc=de&amp;hloc=eu&amp;hloc=pl&amp;hloc=uk</t>
  </si>
  <si>
    <t>GIGABYTE X670E AORUS Master</t>
  </si>
  <si>
    <t>1x M.2/​M-Key (PCIe 5.0 x4, 25110/​2280), 1x M.2/​M-Key (PCIe 5.0 x4, 22110/​2280), 2x M.2/​M-Key (PCIe 4.0 x4, 22110/​2280), 1x M.2/​E-Key (2230, belegt mit WiFi+BT-Modul)</t>
  </si>
  <si>
    <t>https://geizhals.eu/gigabyte-x670e-aorus-master-a2791714.html?hloc=at&amp;hloc=de&amp;hloc=eu&amp;hloc=pl&amp;hloc=uk</t>
  </si>
  <si>
    <t>GIGABYTE X870 AORUS Elite WIFI7 (X870 A ELITE WIFI7)</t>
  </si>
  <si>
    <t>1x M.2/​M-Key (PCIe 5.0 x4, 25110/​2580/​22110/​2280), 2x M.2/​M-Key (PCIe 5.0 x4, 22110/​2280), 1x M.2/​M-Key (PCIe 4.0 x4, 22110/​2280), 1x M.2/​E-Key (2230, belegt mit WiFi+BT-Modul)</t>
  </si>
  <si>
    <t>4x SATA 6Gb/s (X870)</t>
  </si>
  <si>
    <t>https://geizhals.eu/gigabyte-x870-aorus-elite-wifi7-x870-a-elite-wifi7-a3287832.html?hloc=at&amp;hloc=de&amp;hloc=eu&amp;hloc=pl&amp;hloc=uk</t>
  </si>
  <si>
    <t>GIGABYTE X870 AORUS Elite WIFI7 ICE (X870 A ELITE WF7 ICE)</t>
  </si>
  <si>
    <t>https://geizhals.eu/gigabyte-x870-aorus-elite-wifi7-ice-x870-a-elite-wifi7-ice-a3287491.html?hloc=at&amp;hloc=de&amp;hloc=eu&amp;hloc=pl&amp;hloc=uk</t>
  </si>
  <si>
    <t>GIGABYTE X870 Eagle WIFI7</t>
  </si>
  <si>
    <t>1x M.2/​M-Key (PCIe 5.0 x4, 25110/​2580/​22110/​2280), 1x M.2/​M-Key (PCIe 4.0 x4, 25110/​2580/​22110/​2280), 1x M.2/​M-Key (PCIe 4.0 x2, 25110/​2580/​22110/​2280), 1x M.2/​E-Key (2230, belegt mit WiFi+BT-Modul)</t>
  </si>
  <si>
    <t>https://geizhals.eu/gigabyte-x870-eagle-wifi7-a3288517.html?hloc=at&amp;hloc=de&amp;hloc=eu&amp;hloc=pl&amp;hloc=uk</t>
  </si>
  <si>
    <t>GIGABYTE X870 Gaming WIFI6 (X870 GAMING WF6)</t>
  </si>
  <si>
    <t>https://geizhals.eu/gigabyte-x870-gaming-wifi6-x870-gaming-wf6-a3288524.html?hloc=at&amp;hloc=de&amp;hloc=eu&amp;hloc=pl&amp;hloc=uk</t>
  </si>
  <si>
    <t>GIGABYTE X870 Gaming X WIFI7</t>
  </si>
  <si>
    <t>https://geizhals.eu/gigabyte-x870-gaming-x-wifi7-a3287836.html?hloc=at&amp;hloc=de&amp;hloc=eu&amp;hloc=pl&amp;hloc=uk</t>
  </si>
  <si>
    <t>GIGABYTE X870E AORUS Elite WIFI7 (X870E A ELITE WIFI7)</t>
  </si>
  <si>
    <t>https://geizhals.eu/gigabyte-x870e-aorus-elite-wifi7-x870e-a-elite-wifi7-a3286589.html?hloc=at&amp;hloc=de&amp;hloc=eu&amp;hloc=pl&amp;hloc=uk</t>
  </si>
  <si>
    <t>GIGABYTE X870E AORUS Master</t>
  </si>
  <si>
    <t>https://geizhals.eu/gigabyte-x870e-aorus-master-a3274402.html?hloc=at&amp;hloc=de&amp;hloc=eu&amp;hloc=pl&amp;hloc=uk</t>
  </si>
  <si>
    <t>GIGABYTE X870E AORUS Pro</t>
  </si>
  <si>
    <t>https://geizhals.eu/gigabyte-x870e-aorus-pro-a3287137.html?hloc=at&amp;hloc=de&amp;hloc=eu&amp;hloc=pl&amp;hloc=uk</t>
  </si>
  <si>
    <t>GIGABYTE X870E AORUS Pro ICE</t>
  </si>
  <si>
    <t>https://geizhals.eu/gigabyte-x870e-aorus-pro-ice-a3286711.html?hloc=at&amp;hloc=de&amp;hloc=eu&amp;hloc=pl&amp;hloc=uk</t>
  </si>
  <si>
    <t>GIGABYTE X870E AORUS Xtreme AI TOP</t>
  </si>
  <si>
    <t>1x M.2/​M-Key (PCIe 5.0 x4, 25110/​2580/​22110/​2280), 2x M.2/​M-Key (PCIe 4.0 x4, 22110/​2280), 1x M.2/​M-Key (PCIe 4.0 x2, 22110/​2280), 1x M.2/​E-Key (2230, belegt mit WiFi+BT-Modul)</t>
  </si>
  <si>
    <t>https://geizhals.eu/gigabyte-x870e-aorus-xtreme-ai-top-a3352440.html?hloc=at&amp;hloc=de&amp;hloc=eu&amp;hloc=pl&amp;hloc=uk</t>
  </si>
  <si>
    <t>GIGABYTE X870I AORUS Pro ICE</t>
  </si>
  <si>
    <t>https://geizhals.eu/gigabyte-x870i-aorus-pro-ice-a3350288.html?hloc=at&amp;hloc=de&amp;hloc=eu&amp;hloc=pl&amp;hloc=uk</t>
  </si>
  <si>
    <t>GIGABYTE Z690 AORUS Tachyon</t>
  </si>
  <si>
    <t>1x M.2/​M-Key (PCIe 4.0 x4, 22110/​2280/​2260), 2x M.2/​M-Key (PCIe 4.0 x4, 22110/​2280/​2260), 1x M.2/​M-Key (PCIe 4.0 x4/​SATA, 22110/​2280/​2260), 1x M.2/​E-Key (2230, belegt mit WiFi+BT-Modul)</t>
  </si>
  <si>
    <t>https://geizhals.eu/gigabyte-z690-aorus-tachyon-a2625068.html?hloc=at&amp;hloc=de&amp;hloc=eu&amp;hloc=pl&amp;hloc=uk</t>
  </si>
  <si>
    <t>GIGABYTE Z690 AORUS Ultra</t>
  </si>
  <si>
    <t>1x M.2/​M-Key (PCIe 4.0 x4, 22110/​2280/​2260), 1x M.2/​M-Key (PCIe 4.0 x4/​SATA, 22110/​2280/​2260), 2x M.2/​M-Key (PCIe 4.0 x4, 22110/​2280/​2260), 1x M.2/​E-Key (2230, belegt mit WiFi+BT-Modul)</t>
  </si>
  <si>
    <t>https://geizhals.eu/gigabyte-z690-aorus-ultra-a2625082.html?hloc=at&amp;hloc=de&amp;hloc=eu&amp;hloc=pl&amp;hloc=uk</t>
  </si>
  <si>
    <t>GIGABYTE Z790 Aero G</t>
  </si>
  <si>
    <t>1x M.2/​M-Key (PCIe 5.0 x4, 25110/​2280), 2x M.2/​M-Key (PCIe 4.0 x4, 22110/​2280), 1x M.2/​M-Key (PCIe 4.0 x4, 2280), 1x M.2/​M-Key (PCIe 4.0 x4/​SATA, 2280), 1x M.2/​E-Key (2230, belegt mit WiFi+BT-Modul)</t>
  </si>
  <si>
    <t>https://geizhals.eu/gigabyte-z790-aero-g-a2819889.html?hloc=at&amp;hloc=de&amp;hloc=eu&amp;hloc=pl&amp;hloc=uk</t>
  </si>
  <si>
    <t>GIGABYTE Z790 AORUS Elite AX</t>
  </si>
  <si>
    <t>3x M.2/​M-Key (PCIe 4.0 x4, 22110/​2280), 1x M.2/​M-Key (PCIe 4.0 x4/​SATA, 22110/​2280), 1x M.2/​E-Key (2230, belegt mit WiFi+BT-Modul)</t>
  </si>
  <si>
    <t>https://geizhals.eu/gigabyte-z790-aorus-elite-ax-a2819887.html?hloc=at&amp;hloc=de&amp;hloc=eu&amp;hloc=pl&amp;hloc=uk</t>
  </si>
  <si>
    <t>GIGABYTE Z790 AORUS Elite AX DDR4</t>
  </si>
  <si>
    <t>https://geizhals.eu/gigabyte-z790-aorus-elite-ax-ddr4-a2824703.html?hloc=at&amp;hloc=de&amp;hloc=eu&amp;hloc=pl&amp;hloc=uk</t>
  </si>
  <si>
    <t>GIGABYTE Z790 AORUS Elite AX ICE (Z790 A Elite AX ICE)</t>
  </si>
  <si>
    <t>https://geizhals.eu/gigabyte-z790-aorus-elite-ax-ice-z790-a-elite-ax-ice-a3034938.html?hloc=at&amp;hloc=de&amp;hloc=eu&amp;hloc=pl&amp;hloc=uk</t>
  </si>
  <si>
    <t>GIGABYTE Z790 AORUS Elite AX-W</t>
  </si>
  <si>
    <t>https://geizhals.eu/gigabyte-z790-aorus-elite-ax-w-a2951602.html?hloc=at&amp;hloc=de&amp;hloc=eu&amp;hloc=pl&amp;hloc=uk</t>
  </si>
  <si>
    <t>GIGABYTE Z790 AORUS Elite DDR4 (Z790 A Elite DDR4)</t>
  </si>
  <si>
    <t>3x M.2/​M-Key (PCIe 4.0 x4, 22110/​2280), 1x M.2/​M-Key (PCIe 4.0 x4/​SATA, 22110/​2280)</t>
  </si>
  <si>
    <t>https://geizhals.eu/gigabyte-z790-aorus-elite-ddr4-z790-a-elite-ddr4-a2894871.html?hloc=at&amp;hloc=de&amp;hloc=eu&amp;hloc=pl&amp;hloc=uk</t>
  </si>
  <si>
    <t>GIGABYTE Z790 AORUS Elite X WIFI7</t>
  </si>
  <si>
    <t>https://geizhals.eu/gigabyte-z790-aorus-elite-x-wifi7-a3020736.html?hloc=at&amp;hloc=de&amp;hloc=eu&amp;hloc=pl&amp;hloc=uk</t>
  </si>
  <si>
    <t>GIGABYTE Z790 AORUS Master</t>
  </si>
  <si>
    <t>1x M.2/​M-Key (PCIe 5.0 x4, 25110/​2280), 2x M.2/​M-Key (PCIe 4.0 x4, 22110/​2280), 1x M.2/​M-Key (PCIe 4.0 x4, 2280/​2260), 1x M.2/​M-Key (PCIe 4.0 x4/​SATA, 2280/​2260), 1x M.2/​E-Key (2230, belegt mit WiFi+BT-Modul)</t>
  </si>
  <si>
    <t>https://geizhals.eu/gigabyte-z790-aorus-master-a2819886.html?hloc=at&amp;hloc=de&amp;hloc=eu&amp;hloc=pl&amp;hloc=uk</t>
  </si>
  <si>
    <t>GIGABYTE Z790 AORUS Master X (Rev. 1.0)</t>
  </si>
  <si>
    <t>https://geizhals.eu/gigabyte-z790-aorus-master-x-a3025954.html?hloc=at&amp;hloc=de&amp;hloc=eu&amp;hloc=pl&amp;hloc=uk</t>
  </si>
  <si>
    <t>GIGABYTE Z790 AORUS Pro X</t>
  </si>
  <si>
    <t>1x M.2/​M-Key (PCIe 5.0 x4, 25110/​2580), 2x M.2/​M-Key (PCIe 4.0 x4, 22110/​2280), 1x M.2/​M-Key (PCIe 4.0 x4, 2280), 1x M.2/​M-Key (PCIe 4.0 x4/​SATA, 2280), 1x M.2/​E-Key (2230)</t>
  </si>
  <si>
    <t>https://geizhals.eu/gigabyte-z790-aorus-pro-x-a3020567.html?hloc=at&amp;hloc=de&amp;hloc=eu&amp;hloc=pl&amp;hloc=uk</t>
  </si>
  <si>
    <t>GIGABYTE Z790 AORUS Pro X WIFI7 (Z790 A Pro X WIFI7)</t>
  </si>
  <si>
    <t>https://geizhals.eu/gigabyte-z790-aorus-pro-x-wifi7-z790-a-pro-x-wifi7-a3107251.html?hloc=at&amp;hloc=de&amp;hloc=eu&amp;hloc=pl&amp;hloc=uk</t>
  </si>
  <si>
    <t>GIGABYTE Z790 AORUS Tachyon</t>
  </si>
  <si>
    <t>https://geizhals.eu/gigabyte-z790-aorus-tachyon-a2907749.html?hloc=at&amp;hloc=de&amp;hloc=eu&amp;hloc=pl&amp;hloc=uk</t>
  </si>
  <si>
    <t>GIGABYTE Z790 AORUS Xtreme X ICE</t>
  </si>
  <si>
    <t>1x M.2/​M-Key (PCIe 5.0 x4, 25110/​2280), 3x M.2/​M-Key (PCIe 4.0 x4, 22110/​2280), 1x M.2/​M-Key (PCIe 4.0 x4/​SATA, 2280/​2260), 1x M.2/​E-Key (2230, belegt mit WiFi+BT-Modul)</t>
  </si>
  <si>
    <t>https://geizhals.eu/gigabyte-z790-aorus-xtreme-x-ice-a3197583.html?hloc=at&amp;hloc=de&amp;hloc=eu&amp;hloc=pl&amp;hloc=uk</t>
  </si>
  <si>
    <t>GIGABYTE Z790 D</t>
  </si>
  <si>
    <t>1x M.2/​M-Key (PCIe 4.0 x4, 22110/​2280), 1x M.2/​M-Key (PCIe 4.0 x4, 2280), 1x M.2/​M-Key (PCIe 4.0 x4/​SATA, 2280)</t>
  </si>
  <si>
    <t>https://geizhals.eu/gigabyte-z790-d-a3143817.html?hloc=at&amp;hloc=de&amp;hloc=eu&amp;hloc=pl&amp;hloc=uk</t>
  </si>
  <si>
    <t>GIGABYTE Z790 D AX</t>
  </si>
  <si>
    <t>1x M.2/​M-Key (PCIe 4.0 x4, 22110/​2280), 1x M.2/​M-Key (PCIe 4.0 x4, 2280), 1x M.2/​M-Key (PCIe 4.0 x4/​SATA, 2280), 1x M.2/​E-Key (2230, belegt mit WiFi+BT-Modul)</t>
  </si>
  <si>
    <t>https://geizhals.eu/gigabyte-z790-d-ax-a3143769.html?hloc=at&amp;hloc=de&amp;hloc=eu&amp;hloc=pl&amp;hloc=uk</t>
  </si>
  <si>
    <t>GIGABYTE Z790 Eagle AX</t>
  </si>
  <si>
    <t>https://geizhals.eu/gigabyte-z790-eagle-ax-a3137483.html?hloc=at&amp;hloc=de&amp;hloc=eu&amp;hloc=pl&amp;hloc=uk</t>
  </si>
  <si>
    <t>GIGABYTE Z790 Gaming X AX</t>
  </si>
  <si>
    <t>https://geizhals.eu/gigabyte-z790-gaming-x-ax-a2820142.html?hloc=at&amp;hloc=de&amp;hloc=eu&amp;hloc=pl&amp;hloc=uk</t>
  </si>
  <si>
    <t>GIGABYTE Z790 S DDR4</t>
  </si>
  <si>
    <t>https://geizhals.eu/gigabyte-z790-s-ddr4-a3254408.html?hloc=at&amp;hloc=de&amp;hloc=eu&amp;hloc=pl&amp;hloc=uk</t>
  </si>
  <si>
    <t>GIGABYTE Z790 UD</t>
  </si>
  <si>
    <t>1x M.2/​M-Key (PCIe 4.0 x4, 22110/​2280), 2x M.2/​M-Key (PCIe 4.0 x4, 2280)</t>
  </si>
  <si>
    <t>https://geizhals.eu/gigabyte-z790-ud-a2824745.html?hloc=at&amp;hloc=de&amp;hloc=eu&amp;hloc=pl&amp;hloc=uk</t>
  </si>
  <si>
    <t>GIGABYTE Z790 UD AX</t>
  </si>
  <si>
    <t>1x M.2/​M-Key (PCIe 4.0 x4, 22110/​2280), 2x M.2/​M-Key (PCIe 4.0 x4, 2280), 1x M.2/​E-Key (2230, belegt mit WiFi+BT-Modul)</t>
  </si>
  <si>
    <t>https://geizhals.eu/gigabyte-z790-ud-ax-a2824752.html?hloc=at&amp;hloc=de&amp;hloc=eu&amp;hloc=pl&amp;hloc=uk</t>
  </si>
  <si>
    <t>GIGABYTE Z890 Aero D</t>
  </si>
  <si>
    <t>1x M.2/​M-Key (PCIe 5.0 x4, 25110/​2580/​22110/​2280), 1x M.2/​M-Key (PCIe 4.0 x4, 25110/​2580/​22110/​2280), 2x M.2/​M-Key (PCIe 4.0 x4, 22110/​2280), 1x M.2/​E-Key (2230, belegt mit WiFi+BT-Modul)</t>
  </si>
  <si>
    <t>4x SATA 6Gb/s (Z890), 4x SATA 6Gb/s (ASMedia ASM1164)</t>
  </si>
  <si>
    <t>https://geizhals.eu/gigabyte-z890-aorus-aero-d-a3350547.html?hloc=at&amp;hloc=de&amp;hloc=eu&amp;hloc=pl&amp;hloc=uk</t>
  </si>
  <si>
    <t>GIGABYTE Z890 Aero G</t>
  </si>
  <si>
    <t>1x M.2/​M-Key (PCIe 5.0 x4, 25110/​2580/​22110/​2280), 1x M.2/​M-Key (PCIe 4.0 x4, 25110/​2580/​22110/​2280), 1x M.2/​M-Key (PCIe 4.0 x4, 22110/​2280), 1x M.2/​M-Key (PCIe 4.0 x4, 2280), 1x M.2/​M-Key (PCIe 4.0 x4/​SATA, 2280), 1x M.2/​E-Key (2230, belegt mit WiFi+BT-Modul)</t>
  </si>
  <si>
    <t>https://geizhals.eu/gigabyte-z890-aorus-aero-g-a3328408.html?hloc=at&amp;hloc=de&amp;hloc=eu&amp;hloc=pl&amp;hloc=uk</t>
  </si>
  <si>
    <t>GIGABYTE Z890 AI TOP</t>
  </si>
  <si>
    <t>https://geizhals.eu/gigabyte-z890-ai-top-a3328438.html?hloc=at&amp;hloc=de&amp;hloc=eu&amp;hloc=pl&amp;hloc=uk</t>
  </si>
  <si>
    <t>GIGABYTE Z890 AORUS Elite WIFI7</t>
  </si>
  <si>
    <t>1x M.2/​M-Key (PCIe 5.0 x4, 25110/​2580/​22110/​2280), 1x M.2/​M-Key (PCIe 4.0 x4, 22110/​2280), 1x M.2/​M-Key (PCIe 4.0 x4, 25110/​2580/​22110/​2280), 1x M.2/​M-Key (PCIe 4.0 x4/​SATA, 22110/​2280), 1x M.2/​E-Key (2230, belegt mit WiFi+BT-Modul)</t>
  </si>
  <si>
    <t>https://geizhals.eu/gigabyte-z890-aorus-elite-wifi7-a3328011.html?hloc=at&amp;hloc=de&amp;hloc=eu&amp;hloc=pl&amp;hloc=uk</t>
  </si>
  <si>
    <t>GIGABYTE Z890 AORUS Elite WIFI7 ICE</t>
  </si>
  <si>
    <t>https://geizhals.eu/gigabyte-z890-aorus-elite-wifi7-ice-a3327999.html?hloc=at&amp;hloc=de&amp;hloc=eu&amp;hloc=pl&amp;hloc=uk</t>
  </si>
  <si>
    <t>GIGABYTE Z890 AORUS Elite X ICE</t>
  </si>
  <si>
    <t>1x M.2/​M-Key (PCIe 5.0 x4, 25110/​2580/​22110/​2280), 2x M.2/​M-Key (PCIe 4.0 x4, 22110/​2280), 1x M.2/​M-Key (PCIe 4.0 x4, 2280), 1x M.2/​M-Key (PCIe 4.0 x4/​SATA, 2280), 1x M.2/​E-Key (2230, belegt mit WiFi+BT-Modul)</t>
  </si>
  <si>
    <t>https://geizhals.eu/gigabyte-z890-aorus-elite-x-ice-a3327995.html?hloc=at&amp;hloc=de&amp;hloc=eu&amp;hloc=pl&amp;hloc=uk</t>
  </si>
  <si>
    <t>GIGABYTE Z890 AORUS Master</t>
  </si>
  <si>
    <t>1x M.2/​M-Key (PCIe 5.0 x4, 25110/​2580/​22110/​2280), 1x M.2/​M-Key (PCIe 5.0 x4, 22110/​2280), 1x M.2/​M-Key (PCIe 4.0 x4, 22110/​2280), 1x M.2/​M-Key (PCIe 4.0 x4, 2280), 1x M.2/​M-Key (PCIe 4.0 x4/​SATA, 2280), 1x M.2/​E-Key (2230, belegt mit WiFi+BT-Modul)</t>
  </si>
  <si>
    <t>https://geizhals.eu/gigabyte-z890-aorus-master-a3327967.html?hloc=at&amp;hloc=de&amp;hloc=eu&amp;hloc=pl&amp;hloc=uk</t>
  </si>
  <si>
    <t>GIGABYTE Z890 AORUS Master AI TOP</t>
  </si>
  <si>
    <t>1x M.2/​M-Key (PCIe 5.0 x4, 25110/​2580/​22110/​2280), 2x M.2/​M-Key (PCIe 4.0 x4, 22110/​2280), 1x M.2/​M-Key (PCIe 4.0 x4/​SATA, 22110/​2280), 1x M.2/​E-Key (2230, belegt mit WiFi+BT-Modul)</t>
  </si>
  <si>
    <t>https://geizhals.eu/gigabyte-z890-aorus-master-ai-top-a3328547.html?hloc=at&amp;hloc=de&amp;hloc=eu&amp;hloc=pl&amp;hloc=uk</t>
  </si>
  <si>
    <t>GIGABYTE Z890 AORUS Pro ICE</t>
  </si>
  <si>
    <t>https://geizhals.eu/gigabyte-z890-aorus-pro-ice-a3327998.html?hloc=at&amp;hloc=de&amp;hloc=eu&amp;hloc=pl&amp;hloc=uk</t>
  </si>
  <si>
    <t>GIGABYTE Z890 AORUS Xtreme AI TOP</t>
  </si>
  <si>
    <t>1x M.2/​M-Key (PCIe 5.0 x4, 25110/​2580/​22110/​2280), 1x M.2/​M-Key (PCIe 4.0 x4, 25110/​2580/​22110/​2280), 1x M.2/​M-Key (PCIe 4.0 x4, 22110/​2280), 1x M.2/​M-Key (PCIe 4.0 x4/​SATA, 22110/​2280), 1x M.2/​E-Key (2230, belegt mit WiFi+BT-Modul)</t>
  </si>
  <si>
    <t>https://geizhals.eu/gigabyte-z890-aorus-xtreme-ai-top-a3328812.html?hloc=at&amp;hloc=de&amp;hloc=eu&amp;hloc=pl&amp;hloc=uk</t>
  </si>
  <si>
    <t>GIGABYTE Z890 Eagle</t>
  </si>
  <si>
    <t>1x M.2/​M-Key (PCIe 5.0 x4, 25110/​2580/​22110/​2280), 2x M.2/​M-Key (PCIe 4.0 x4, 22110/​2280), 1x M.2/​M-Key (PCIe 4.0 x4/​SATA, 22110/​2280)</t>
  </si>
  <si>
    <t>https://geizhals.eu/gigabyte-z890-eagle-a3329353.html?hloc=at&amp;hloc=de&amp;hloc=eu&amp;hloc=pl&amp;hloc=uk</t>
  </si>
  <si>
    <t>GIGABYTE Z890 Eagle WIFI7</t>
  </si>
  <si>
    <t>https://geizhals.eu/gigabyte-z890-eagle-wifi7-a3328399.html?hloc=at&amp;hloc=de&amp;hloc=eu&amp;hloc=pl&amp;hloc=uk</t>
  </si>
  <si>
    <t>GIGABYTE Z890 Gaming X WIFI7</t>
  </si>
  <si>
    <t>https://geizhals.eu/gigabyte-z890-gaming-x-wifi7-a3328034.html?hloc=at&amp;hloc=de&amp;hloc=eu&amp;hloc=pl&amp;hloc=uk</t>
  </si>
  <si>
    <t>GIGABYTE Z890 UD WIFI6E</t>
  </si>
  <si>
    <t>1x M.2/​M-Key (PCIe 5.0 x4, 25110/​2580/​22110/​2280), 1x M.2/​M-Key (PCIe 4.0 x4, 25110/​2580/​22110/​2280), 1x M.2/​M-Key (PCIe 4.0 x4/​SATA, 25110/​2580/​22110/​2280), 1x M.2/​E-Key (2230, belegt mit WiFi+BT-Modul)</t>
  </si>
  <si>
    <t>https://geizhals.eu/gigabyte-z890-ud-wifi6e-a3328223.html?hloc=at&amp;hloc=de&amp;hloc=eu&amp;hloc=pl&amp;hloc=uk</t>
  </si>
  <si>
    <t>GIGABYTE Z890I AORUS Ultra</t>
  </si>
  <si>
    <t>https://geizhals.eu/gigabyte-z890i-aorus-ultra-a3328911.html?hloc=at&amp;hloc=de&amp;hloc=eu&amp;hloc=pl&amp;hloc=uk</t>
  </si>
  <si>
    <t>GIGABYTE Z890M AORUS Elite WIFI7 ICE</t>
  </si>
  <si>
    <t>1x M.2/​M-Key (PCIe 5.0 x4, 2580/​2280), 1x M.2/​M-Key (PCIe 4.0 x4, 2580/​2280), 1x M.2/​M-Key (PCIe 4.0 x4, 25110/​2580/​22110/​2280), 1x M.2/​E-Key (2230, belegt mit WiFi+BT-Modul)</t>
  </si>
  <si>
    <t>https://geizhals.eu/gigabyte-z890m-aorus-elite-wifi7-ice-a3328838.html?hloc=at&amp;hloc=de&amp;hloc=eu&amp;hloc=pl&amp;hloc=uk</t>
  </si>
  <si>
    <t>GIGABYTE Z890M Gaming X</t>
  </si>
  <si>
    <t>1x M.2/​M-Key (PCIe 5.0 x4, 25110/​2580/​22110/​2280), 1x M.2/​M-Key (PCIe 4.0 x4, 2280), 1x M.2/​M-Key (PCIe 4.0 x4, 25110/​2580/​22110/​2280)</t>
  </si>
  <si>
    <t>https://geizhals.eu/gigabyte-z890m-gaming-x-a3328860.html?hloc=at&amp;hloc=de&amp;hloc=eu&amp;hloc=pl&amp;hloc=uk</t>
  </si>
  <si>
    <t>MSI A520M Pro</t>
  </si>
  <si>
    <t>7D14-005R</t>
  </si>
  <si>
    <t>https://geizhals.eu/msi-a520m-pro-7d14-005r-a2354420.html?hloc=at&amp;hloc=de&amp;hloc=eu&amp;hloc=pl&amp;hloc=uk</t>
  </si>
  <si>
    <t>MSI A520M-A Pro</t>
  </si>
  <si>
    <t>7C96-001R</t>
  </si>
  <si>
    <t>https://geizhals.eu/msi-a520m-a-pro-7c96-001r-a2354421.html?hloc=at&amp;hloc=de&amp;hloc=eu&amp;hloc=pl&amp;hloc=uk</t>
  </si>
  <si>
    <t>MSI B550 Gaming Gen3</t>
  </si>
  <si>
    <t>7B86-050R</t>
  </si>
  <si>
    <t>1x M.2/​M-Key (PCIe 3.0 x4/​SATA, 22110/​2280/​2260)</t>
  </si>
  <si>
    <t>https://geizhals.eu/msi-b550-gaming-gen3-7b86-050r-a2802848.html?hloc=at&amp;hloc=de&amp;hloc=eu&amp;hloc=pl&amp;hloc=uk</t>
  </si>
  <si>
    <t>MSI B550-A Pro</t>
  </si>
  <si>
    <t>7C56-002R</t>
  </si>
  <si>
    <t>1x M.2/​M-Key (PCIe 4.0 x4/​SATA, 22110/​2280/​2260/​2242), 1x M.2/​M-Key (PCIe 3.0 x4, 2280/​2260/​2242)</t>
  </si>
  <si>
    <t>https://geizhals.eu/msi-b550-a-pro-a2295021.html?hloc=at&amp;hloc=de&amp;hloc=eu&amp;hloc=pl&amp;hloc=uk</t>
  </si>
  <si>
    <t>MSI B550M Pro-VDH</t>
  </si>
  <si>
    <t>7C95-017R</t>
  </si>
  <si>
    <t>1x M.2/​M-Key (PCIe 4.0 x4/​SATA, 2280/​2260/​2242), 1x M.2/​M-Key (PCIe 3.0 x4, 2280/​2260/​2242)</t>
  </si>
  <si>
    <t>https://geizhals.eu/msi-b550m-pro-vdh-a2354423.html?hloc=at&amp;hloc=de&amp;hloc=eu&amp;hloc=pl&amp;hloc=uk</t>
  </si>
  <si>
    <t>MSI B550M Pro-VDH WIFI</t>
  </si>
  <si>
    <t>7C95-001R</t>
  </si>
  <si>
    <t>1x M.2/​M-Key (PCIe 4.0 x4/​SATA, 2280/​2260/​2242), 1x M.2/​M-Key (PCIe 3.0 x4, 2280/​2260/​2242), 1x M.2/​E-Key (2230, belegt mit WiFi+BT-Modul)</t>
  </si>
  <si>
    <t>https://geizhals.eu/msi-b550m-pro-vdh-7c95-001r-a2309014.html?hloc=at&amp;hloc=de&amp;hloc=eu&amp;hloc=pl&amp;hloc=uk</t>
  </si>
  <si>
    <t>MSI B650 Gaming Plus WIFI</t>
  </si>
  <si>
    <t>7E26-001R</t>
  </si>
  <si>
    <t>1x M.2/​M-Key (PCIe 4.0 x4, 22110/​2280), 1x M.2/​M-Key (PCIe 4.0 x4, 2280/​2260), 1x M.2/​E-Key (2230, belegt mit WiFi+BT-Modul)</t>
  </si>
  <si>
    <t>https://geizhals.eu/msi-b650-gaming-plus-wifi-7e26-001r-a2975546.html?hloc=at&amp;hloc=de&amp;hloc=eu&amp;hloc=pl&amp;hloc=uk</t>
  </si>
  <si>
    <t>MSI B650M Gaming Plus WIFI (B650M GAMING PLUS WF)</t>
  </si>
  <si>
    <t>7E24-001R</t>
  </si>
  <si>
    <t>2x M.2/​M-Key (PCIe 4.0 x4, 2280/​2260), 1x M.2/​E-Key (2230, belegt mit WiFi+BT-Modul)</t>
  </si>
  <si>
    <t>https://geizhals.eu/msi-b650m-gaming-plus-wifi-7e24-001r-a3142232.html?hloc=at&amp;hloc=de&amp;hloc=eu&amp;hloc=pl&amp;hloc=uk</t>
  </si>
  <si>
    <t>MSI B650M Project Zero</t>
  </si>
  <si>
    <t>7E09-003R</t>
  </si>
  <si>
    <t>https://geizhals.eu/msi-b650m-project-zero-a3051990.html?hloc=at&amp;hloc=de&amp;hloc=eu&amp;hloc=pl&amp;hloc=uk</t>
  </si>
  <si>
    <t>MSI B760 Gaming Plus WIFI</t>
  </si>
  <si>
    <t>7D98-007R</t>
  </si>
  <si>
    <t>1x M.2/​M-Key (PCIe 4.0 x4, 22110/​2280/​2260/​2242), 1x M.2/​M-Key (PCIe 4.0 x4/​SATA, 2280/​2260/​2242), 1x M.2/​E-Key (2230, belegt mit WiFi+BT-Modul)</t>
  </si>
  <si>
    <t>https://geizhals.eu/msi-b760-gaming-plus-wifi-7d98-007r-a2962812.html?hloc=at&amp;hloc=de&amp;hloc=eu&amp;hloc=pl&amp;hloc=uk</t>
  </si>
  <si>
    <t>MSI B760 Gaming Plus WIFI DDR4</t>
  </si>
  <si>
    <t>7D98-043R</t>
  </si>
  <si>
    <t>https://geizhals.eu/msi-b760-gaming-plus-wifi-ddr4-7d89-043r-a3271252.html?hloc=at&amp;hloc=de&amp;hloc=eu&amp;hloc=pl&amp;hloc=uk</t>
  </si>
  <si>
    <t>MSI B760M Gaming Plus WIFI</t>
  </si>
  <si>
    <t>7D99-017R</t>
  </si>
  <si>
    <t>1x M.2/​M-Key (PCIe 4.0 x4, 2280/​2260/​2242), 1x M.2/​M-Key (PCIe 4.0 x4/​SATA, 2280/​2260/​2242), 1x M.2/​E-Key (2230, belegt mit WiFi+BT-Modul)</t>
  </si>
  <si>
    <t>https://geizhals.eu/msi-b760m-gaming-plus-wifi-7d99-017r-a3090503.html?hloc=at&amp;hloc=de&amp;hloc=eu&amp;hloc=pl&amp;hloc=uk</t>
  </si>
  <si>
    <t>MSI B760M Project Zero</t>
  </si>
  <si>
    <t>7E14-001R</t>
  </si>
  <si>
    <t>https://geizhals.eu/msi-b760m-project-zero-a3052005.html?hloc=at&amp;hloc=de&amp;hloc=eu&amp;hloc=pl&amp;hloc=uk</t>
  </si>
  <si>
    <t>MSI B840 Gaming Plus WIFI</t>
  </si>
  <si>
    <t>7E57-002R</t>
  </si>
  <si>
    <t>1x M.2/​M-Key (PCIe 4.0 x4, 2280/​2260), 1x M.2/​M-Key (PCIe 4.0 x4, 22110/​2280/​2260), 1x M.2/​E-Key (2230, belegt mit WiFi+BT-Modul)</t>
  </si>
  <si>
    <t>https://geizhals.eu/msi-b840-gaming-plus-wifi-7e57-002r-a3383571.html?hloc=at&amp;hloc=de&amp;hloc=eu&amp;hloc=pl&amp;hloc=uk</t>
  </si>
  <si>
    <t>MSI B850 Gaming Plus WIFI</t>
  </si>
  <si>
    <t>7E56-001R</t>
  </si>
  <si>
    <t>1x M.2/​M-Key (PCIe 5.0 x4, 2280/​2260), 1x M.2/​M-Key (PCIe 4.0 x4, 22110/​2280), 1x M.2/​M-Key (PCIe 4.0 x2, 2280/​2260), 1x M.2/​E-Key (2230, belegt mit WiFi+BT-Modul)</t>
  </si>
  <si>
    <t>https://geizhals.eu/msi-b850-gaming-plus-wifi-7e56-001r-a3383264.html?hloc=at&amp;hloc=de&amp;hloc=eu&amp;hloc=pl&amp;hloc=uk</t>
  </si>
  <si>
    <t>MSI B860 Gaming Plus WIFI</t>
  </si>
  <si>
    <t>7E41-003R</t>
  </si>
  <si>
    <t>1x M.2/​M-Key (PCIe 5.0 x4, 2280/​2260), 1x M.2/​M-Key (PCIe 4.0 x4, 2280/​2260/​2242), 1x M.2/​M-Key (PCIe 4.0 x2, 2280/​2260), 1x M.2/​E-Key (2230, belegt mit WiFi+BT-Modul)</t>
  </si>
  <si>
    <t>https://geizhals.eu/msi-b860-gaming-plus-wifi-7e41-003r-a3386628.html?hloc=at&amp;hloc=de&amp;hloc=eu&amp;hloc=pl&amp;hloc=uk</t>
  </si>
  <si>
    <t>MSI B860M Gaming Plus WIFI</t>
  </si>
  <si>
    <t>7E42-003R</t>
  </si>
  <si>
    <t>1x M.2/​M-Key (PCIe 5.0 x4, 2280/​2260/​2242), 1x M.2/​M-Key (PCIe 4.0 x4, 2280/​2260), 1x M.2/​M-Key (PCIe 4.0 x2, 2280, Rückseite), 1x M.2/​E-Key (2230, belegt mit WiFi+BT-Modul)</t>
  </si>
  <si>
    <t>https://geizhals.eu/msi-b860m-gaming-plus-wifi-7e42-003r-a3386709.html?hloc=at&amp;hloc=de&amp;hloc=eu&amp;hloc=pl&amp;hloc=uk</t>
  </si>
  <si>
    <t>MSI MAG B550 Tomahawk</t>
  </si>
  <si>
    <t>7C91-001R</t>
  </si>
  <si>
    <t>https://geizhals.eu/msi-mag-b550-tomahawk-a2294990.html?hloc=at&amp;hloc=de&amp;hloc=eu&amp;hloc=pl&amp;hloc=uk</t>
  </si>
  <si>
    <t>MSI MAG B550 Tomahawk Max WIFI</t>
  </si>
  <si>
    <t>7C94-043R</t>
  </si>
  <si>
    <t>1x M.2/​M-Key (PCIe 4.0 x4/​SATA, 22110/​2280/​2260/​2242), 1x M.2/​M-Key (PCIe 3.0 x4, 2280/​2260/​2242), 1x M.2/​E-Key (2230, belegt mit WiFi+BT-Modul)</t>
  </si>
  <si>
    <t>https://geizhals.eu/msi-mag-b550-tomahawk-max-wifi-7c94-043r-a2774974.html?hloc=at&amp;hloc=de&amp;hloc=eu&amp;hloc=pl&amp;hloc=uk</t>
  </si>
  <si>
    <t>MSI MAG B650 Tomahawk WIFI</t>
  </si>
  <si>
    <t>7D75-001R</t>
  </si>
  <si>
    <t>4x SATA 6Gb/s (B650), 2x SATA 6Gb/s (ASMedia ASM1061)</t>
  </si>
  <si>
    <t>https://geizhals.eu/msi-mag-b650-tomahawk-wifi-a2824300.html?hloc=at&amp;hloc=de&amp;hloc=eu&amp;hloc=pl&amp;hloc=uk</t>
  </si>
  <si>
    <t>MSI MAG B650M Mortar WIFI</t>
  </si>
  <si>
    <t>7D76-001R</t>
  </si>
  <si>
    <t>https://geizhals.eu/msi-mag-b650m-mortar-wifi-a2824303.html?hloc=at&amp;hloc=de&amp;hloc=eu&amp;hloc=pl&amp;hloc=uk</t>
  </si>
  <si>
    <t>MSI MAG B760 Tomahawk WIFI</t>
  </si>
  <si>
    <t>7D96-003R</t>
  </si>
  <si>
    <t>https://geizhals.eu/msi-b760-tomahawk-wifi-7d96-003r-a2872229.html?hloc=at&amp;hloc=de&amp;hloc=eu&amp;hloc=pl&amp;hloc=uk</t>
  </si>
  <si>
    <t>MSI MAG B760M Mortar WIFI II</t>
  </si>
  <si>
    <t>7E13-001R</t>
  </si>
  <si>
    <t>1x M.2/​M-Key (PCIe 4.0 x4, 2280/​2260/​2242), 1x M.2/​M-Key (PCIe 4.0 x4, 2280/​2260), 1x M.2/​M-Key (PCIe 4.0 x4/​SATA, 2280), 1x M.2/​E-Key (2230, belegt mit WiFi+BT-Modul)</t>
  </si>
  <si>
    <t>https://geizhals.eu/msi-mag-b760m-mortar-wifi-ii-7e13-001r-a3045540.html?hloc=at&amp;hloc=de&amp;hloc=eu&amp;hloc=pl&amp;hloc=uk</t>
  </si>
  <si>
    <t>MSI MAG B850 Tomahawk Max WIFI</t>
  </si>
  <si>
    <t>7E62-002R</t>
  </si>
  <si>
    <t>1x M.2/​M-Key (PCIe 5.0 x4, 22110/​2280), 1x M.2/​M-Key (PCIe 5.0 x4, 2280/​2260), 1x M.2/​M-Key (PCIe 4.0 x4, 2280/​2260), 1x M.2/​M-Key (PCIe 4.0 x2, 2280/​2260), 1x M.2/​E-Key (2230, belegt mit WiFi+BT-Modul)</t>
  </si>
  <si>
    <t>https://geizhals.eu/msi-mag-b850-tomahawk-max-wifi-7e62-002r-a3383450.html?hloc=at&amp;hloc=de&amp;hloc=eu&amp;hloc=pl&amp;hloc=uk</t>
  </si>
  <si>
    <t>MSI MAG B860 Tomahawk WIFI</t>
  </si>
  <si>
    <t>7E39-001R</t>
  </si>
  <si>
    <t>1x M.2/​M-Key (PCIe 5.0 x4, 2280), 1x M.2/​M-Key (PCIe 4.0 x4/​SATA, 22110/​2280/​2260), 1x M.2/​M-Key (PCIe 4.0 x4/​SATA, 2280/​2260/​2242), 1x M.2/​E-Key (2230, belegt mit WiFi+BT-Modul)</t>
  </si>
  <si>
    <t>https://geizhals.eu/msi-sport-mag-b860-tomahawk-wifi-7e39-001r-a3386584.html?hloc=at&amp;hloc=de&amp;hloc=eu&amp;hloc=pl&amp;hloc=uk</t>
  </si>
  <si>
    <t>MSI MAG X670E Tomahawk WIFI</t>
  </si>
  <si>
    <t>7E12-001R</t>
  </si>
  <si>
    <t>1x M.2/​M-Key (PCIe 5.0 x4, 2280/​2260), 3x M.2/​M-Key (PCIe 4.0 x4, 2280/​2260), 1x M.2/​E-Key (2230, belegt mit WiFi+BT-Modul)</t>
  </si>
  <si>
    <t>https://geizhals.eu/msi-mag-x670e-tomahawk-wifi-a2906280.html?hloc=at&amp;hloc=de&amp;hloc=eu&amp;hloc=pl&amp;hloc=uk</t>
  </si>
  <si>
    <t>MSI MAG X870 Tomahawk WIFI</t>
  </si>
  <si>
    <t>7E51-001R</t>
  </si>
  <si>
    <t>4x SATA 6Gb/s (ASMedia ASM1064)</t>
  </si>
  <si>
    <t>https://geizhals.eu/msi-mag-x870-tomahawk-wifi-a3295182.html?hloc=at&amp;hloc=de&amp;hloc=eu&amp;hloc=pl&amp;hloc=uk</t>
  </si>
  <si>
    <t>MSI MAG X870E Tomahawk WIFI</t>
  </si>
  <si>
    <t>7E59-004R</t>
  </si>
  <si>
    <t>1x M.2/​M-Key (PCIe 5.0 x4, 22110/​2280), 1x M.2/​M-Key (PCIe 5.0 x4, 2280/​2260), 2x M.2/​M-Key (PCIe 4.0 x4, 2280/​2260), 1x M.2/​E-Key (2230, belegt mit WiFi+BT-Modul)</t>
  </si>
  <si>
    <t>https://geizhals.eu/msi-mag-x870e-tomahawk-wifi-7e59-004r-a3383704.html?hloc=at&amp;hloc=de&amp;hloc=eu&amp;hloc=pl&amp;hloc=uk</t>
  </si>
  <si>
    <t>MSI MAG Z690 Torpedo</t>
  </si>
  <si>
    <t>7D32-001R</t>
  </si>
  <si>
    <t>1x M.2/​M-Key (PCIe 4.0 x4, 22110/​2280/​2260/​2242), 1x M.2/​M-Key (PCIe 4.0 x4, 2280/​2260/​2242), 1x M.2/​M-Key (PCIe 3.0 x4/​SATA, 2280/​2260/​2242), 1x M.2/​M-Key (PCIe 4.0 x4/​SATA, 2280/​2260/​2242)</t>
  </si>
  <si>
    <t>https://geizhals.eu/msi-mag-z690-torpedo-a2625647.html?hloc=at&amp;hloc=de&amp;hloc=eu&amp;hloc=pl&amp;hloc=uk</t>
  </si>
  <si>
    <t>MSI MAG Z790 Tomahawk Max WIFI</t>
  </si>
  <si>
    <t>7E25-002R</t>
  </si>
  <si>
    <t>1x M.2/​M-Key (PCIe 5.0 x4, 22110/​2280/​2260), 1x M.2/​M-Key (PCIe 4.0 x4, 2280/​2260), 1x M.2/​M-Key (PCIe 4.0 x4, 2280/​2260/​2242), 1x M.2/​M-Key (PCIe 4.0 x4/​SATA, 2280/​2260/​2242), 1x M.2/​E-Key (2230, belegt mit WiFi+BT-Modul)</t>
  </si>
  <si>
    <t>6x SATA 6Gb/s (Z790), 2x SATA 6Gb/s (ASMedia ASM1061)</t>
  </si>
  <si>
    <t>https://geizhals.eu/msi-mag-z790-tomahawk-max-wifi-7e25-002r-a3046002.html?hloc=at&amp;hloc=de&amp;hloc=eu&amp;hloc=pl&amp;hloc=uk</t>
  </si>
  <si>
    <t>MSI MAG Z790 Tomahawk WIFI</t>
  </si>
  <si>
    <t>7D91-009R</t>
  </si>
  <si>
    <t>1x M.2/​M-Key (PCIe 4.0 x4, 22110/​2280/​2260), 1x M.2/​M-Key (PCIe 4.0 x4, 2280/​2260), 1x M.2/​M-Key (PCIe 4.0 x4, 2280/​2260/​2242), 1x M.2/​M-Key (PCIe 4.0 x4/​SATA, 2280/​2260/​2242), 1x M.2/​E-Key (2230, belegt mit WiFi+BT-Modul)</t>
  </si>
  <si>
    <t>5x SATA 6Gb/s (Z790), 2x SATA 6Gb/s (ASMedia ASM1061)</t>
  </si>
  <si>
    <t>https://geizhals.eu/msi-mag-z790-tomahawk-wifi-7d91-009r-a2819922.html?hloc=at&amp;hloc=de&amp;hloc=eu&amp;hloc=pl&amp;hloc=uk</t>
  </si>
  <si>
    <t>MSI MAG Z890 Tomahawk WIFI</t>
  </si>
  <si>
    <t>7E32-001R</t>
  </si>
  <si>
    <t>1x M.2/​M-Key (PCIe 5.0 x4, 2280/​2260), 1x M.2/​M-Key (PCIe 4.0 x4, 22110/​2280/​2260), 1x M.2/​M-Key (PCIe 4.0 x4, 2280/​2260/​2242), 1x M.2/​M-Key (PCIe 4.0 x4/​SATA, 2280/​2260/​2242), 1x M.2/​E-Key (2230, belegt mit WiFi+BT-Modul)</t>
  </si>
  <si>
    <t>https://geizhals.eu/msi-mag-z890-tomahawk-wifi-7e32-001r-a3329384.html?hloc=at&amp;hloc=de&amp;hloc=eu&amp;hloc=pl&amp;hloc=uk</t>
  </si>
  <si>
    <t>MSI MEG X870E Godlike</t>
  </si>
  <si>
    <t>7E48-001R</t>
  </si>
  <si>
    <t>2x M.2/​M-Key (PCIe 5.0 x4, 2280/​2260), 1x M.2/​M-Key (PCIe 4.0 x4, 22110/​2280), 1x M.2/​M-Key (PCIe 4.0 x4, 2280/​2260), 1x M.2/​M-Key (PCIe 4.0 x2, 2280/​2260), 1x M.2/​E-Key (2230, belegt mit WiFi+BT-Modul)</t>
  </si>
  <si>
    <t>https://geizhals.eu/msi-meg-x870e-godlike-a3295178.html?hloc=at&amp;hloc=de&amp;hloc=eu&amp;hloc=pl&amp;hloc=uk</t>
  </si>
  <si>
    <t>MSI MEG Z690 Unify</t>
  </si>
  <si>
    <t>7D28-001R</t>
  </si>
  <si>
    <t>3x M.2/​M-Key (PCIe 4.0 x4, 2280/​2260), 1x M.2/​M-Key (PCIe 4.0 x4/​SATA, 22110/​2280/​2260), 1x M.2/​M-Key (PCIe 3.0 x4, 2280/​2260), 1x M.2/​M-Key (PCIe 4.0 x4/​SATA, 2280/​2260), 1x M.2/​E-Key (2230, belegt mit WiFi+BT-Modul)</t>
  </si>
  <si>
    <t>https://geizhals.eu/msi-meg-z690-unify-a2625601.html?hloc=at&amp;hloc=de&amp;hloc=eu&amp;hloc=pl&amp;hloc=uk</t>
  </si>
  <si>
    <t>MSI MEG Z890 Ace</t>
  </si>
  <si>
    <t>7E22-001R</t>
  </si>
  <si>
    <t>1x M.2/​M-Key (PCIe 5.0 x4, 2280/​2260), 2x M.2/​M-Key (PCIe 4.0 x4, 2280/​2260), 1x M.2/​M-Key (PCIe 4.0 x4, 22110/​2280), 1x M.2/​M-Key (PCIe 4.0 x4/​SATA, 2280/​2260), 1x M.2/​E-Key (2230, belegt mit WiFi+BT-Modul)</t>
  </si>
  <si>
    <t>https://geizhals.eu/msi-meg-z890-ace-7e22-001r-a3329281.html?hloc=at&amp;hloc=de&amp;hloc=eu&amp;hloc=pl&amp;hloc=uk</t>
  </si>
  <si>
    <t>MSI MEG Z890 Godlike</t>
  </si>
  <si>
    <t>7E21-001R</t>
  </si>
  <si>
    <t>1x M.2/​M-Key (PCIe 5.0 x4, 2280/​2260), 2x M.2/​M-Key (PCIe 4.0 x4, 2280/​2260), 1x M.2/​M-Key (PCIe 4.0 x4, 22110/​2280), 1x M.2/​M-Key (PCIe 4.0 x4/​SATA, 2280/​2260), 1x M.2/​M-Key (PCIe 5.0 x4, 2280/​2242), 1x M.2/​E-Key (2230, belegt mit WiFi+BT-Modul)</t>
  </si>
  <si>
    <t>https://geizhals.eu/msi-meg-z890-godlike-7e21-001r-a3329391.html?hloc=at&amp;hloc=de&amp;hloc=eu&amp;hloc=pl&amp;hloc=uk</t>
  </si>
  <si>
    <t>MSI MEG Z890 Unify-X</t>
  </si>
  <si>
    <t>7E20-001R</t>
  </si>
  <si>
    <t>1x M.2/​M-Key (PCIe 5.0 x4, 22110/​2280/​2260), 1x M.2/​M-Key (PCIe 5.0 x4, 2280/​2260), 3x M.2/​M-Key (PCIe 4.0 x4, 2280/​2260), 1x M.2/​M-Key (PCIe 4.0 x4/​SATA, 2280/​2260), 1x M.2/​E-Key (2230, belegt mit WiFi+BT-Modul)</t>
  </si>
  <si>
    <t>https://geizhals.eu/msi-meg-z890-unify-x-a3329359.html?hloc=at&amp;hloc=de&amp;hloc=eu&amp;hloc=pl&amp;hloc=uk</t>
  </si>
  <si>
    <t>MSI MPG B550 Gaming Plus</t>
  </si>
  <si>
    <t>7C56-003R</t>
  </si>
  <si>
    <t>https://geizhals.eu/msi-mpg-b550-gaming-plus-7c56-003r-a2308973.html?hloc=at&amp;hloc=de&amp;hloc=eu&amp;hloc=pl&amp;hloc=uk</t>
  </si>
  <si>
    <t>MSI MPG B650 Edge WIFI</t>
  </si>
  <si>
    <t>7E10-001R</t>
  </si>
  <si>
    <t>1x M.2/​M-Key (PCIe 5.0 x4, 2280/​2260), 2x M.2/​M-Key (PCIe 4.0 x4, 2280/​2260), 1x M.2/​E-Key (2230, belegt mit WiFi+BT-Modul)</t>
  </si>
  <si>
    <t>https://geizhals.eu/msi-mpg-b650-edge-wifi-a2824298.html?hloc=at&amp;hloc=de&amp;hloc=eu&amp;hloc=pl&amp;hloc=uk</t>
  </si>
  <si>
    <t>MSI MPG B650I Edge WIFI</t>
  </si>
  <si>
    <t>7D73-001R</t>
  </si>
  <si>
    <t>https://geizhals.eu/msi-mpg-b650i-edge-wifi-a2824299.html?hloc=at&amp;hloc=de&amp;hloc=eu&amp;hloc=pl&amp;hloc=uk</t>
  </si>
  <si>
    <t>MSI MPG B760I Edge WIFI</t>
  </si>
  <si>
    <t>7D40-005R</t>
  </si>
  <si>
    <t>1x M.2/​M-Key (PCIe 4.0 x4, 2280), 1x M.2/​M-Key (PCIe 4.0 x4/​SATA, 2280, Rückseite), 1x M.2/​E-Key (2230, belegt mit WiFi+BT-Modul)</t>
  </si>
  <si>
    <t>https://geizhals.eu/msi-mpg-b760i-edge-wifi-7d40-005r-a2934170.html?hloc=at&amp;hloc=de&amp;hloc=eu&amp;hloc=pl&amp;hloc=uk</t>
  </si>
  <si>
    <t>MSI MPG B850 Edge TI WIFI</t>
  </si>
  <si>
    <t>7E62-001R</t>
  </si>
  <si>
    <t>https://geizhals.eu/msi-mpg-b850-edge-ti-wifi-7e62-001r-a3383485.html?hloc=at&amp;hloc=de&amp;hloc=eu&amp;hloc=pl&amp;hloc=uk</t>
  </si>
  <si>
    <t>MSI MPG X670E Carbon WIFI</t>
  </si>
  <si>
    <t>7D70-001R</t>
  </si>
  <si>
    <t>2x M.2/​M-Key (PCIe 5.0 x4, 2280/​2260), 1x M.2/​M-Key (PCIe 4.0 x4, 2280/​2260), 1x M.2/​M-Key (PCIe 4.0 x4, 22110/​2280/​2260), 1x M.2/​E-Key (2230, belegt mit WiFi+BT-Modul)</t>
  </si>
  <si>
    <t>https://geizhals.eu/msi-mpg-x670e-carbon-wifi-a2791719.html?hloc=at&amp;hloc=de&amp;hloc=eu&amp;hloc=pl&amp;hloc=uk</t>
  </si>
  <si>
    <t>MSI MPG X870E Carbon WIFI</t>
  </si>
  <si>
    <t>7E49-001R</t>
  </si>
  <si>
    <t>2x M.2/​M-Key (PCIe 5.0 x4, 2280/​2260), 1x M.2/​M-Key (PCIe 4.0 x4, 22110/​2280), 1x M.2/​M-Key (PCIe 4.0 x4, 2280/​2260), 1x M.2/​E-Key (2230, belegt mit WiFi+BT-Modul)</t>
  </si>
  <si>
    <t>https://geizhals.eu/msi-mpg-x870e-carbon-wifi-a3295180.html?hloc=at&amp;hloc=de&amp;hloc=eu&amp;hloc=pl&amp;hloc=uk</t>
  </si>
  <si>
    <t>MSI MPG X870E Edge TI WIFI</t>
  </si>
  <si>
    <t>7E59-002R</t>
  </si>
  <si>
    <t>https://geizhals.eu/msi-mpg-x870e-edge-ti-wifi-7e59-002r-a3383669.html?hloc=at&amp;hloc=de&amp;hloc=eu&amp;hloc=pl&amp;hloc=uk</t>
  </si>
  <si>
    <t>MSI MPG Z690 Carbon WIFI</t>
  </si>
  <si>
    <t>7D30-005R</t>
  </si>
  <si>
    <t>1x M.2/​M-Key (PCIe 4.0 x4, 22110/​2280/​2260), 1x M.2/​M-Key (PCIe 4.0 x4, 2280/​2260), 1x M.2/​M-Key (PCIe 4.0 x4, 22110/​2280/​2260/​2242), 1x M.2/​M-Key (PCIe 3.0 x4/​SATA, 2280/​2260/​2242), 1x M.2/​M-Key (PCIe 4.0 x4/​SATA, 2280/​2260), 1x M.2/​E-Key (2230, belegt mit WiFi+BT-Modul)</t>
  </si>
  <si>
    <t>https://geizhals.eu/msi-mpg-z690-carbon-wifi-a2625610.html?hloc=at&amp;hloc=de&amp;hloc=eu&amp;hloc=pl&amp;hloc=uk</t>
  </si>
  <si>
    <t>MSI MPG Z690 Edge WIFI</t>
  </si>
  <si>
    <t>7D31-001R</t>
  </si>
  <si>
    <t>1x M.2/​M-Key (PCIe 4.0 x4, 22110/​2280/​2260), 1x M.2/​M-Key (PCIe 4.0 x4, 2280/​2260), 2x M.2/​M-Key (PCIe 4.0 x4/​SATA, 2280/​2260/​2242), 1x M.2/​E-Key (2230, belegt mit WiFi+BT-Modul)</t>
  </si>
  <si>
    <t>https://geizhals.eu/msi-mpg-z690-edge-wifi-a2625630.html?hloc=at&amp;hloc=de&amp;hloc=eu&amp;hloc=pl&amp;hloc=uk</t>
  </si>
  <si>
    <t>MSI MPG Z790 Carbon Max WIFI II</t>
  </si>
  <si>
    <t>7D89-015R</t>
  </si>
  <si>
    <t>1x M.2/​M-Key (PCIe 5.0 x4, 22110/​2280/​2260), 3x M.2/​M-Key (PCIe 4.0 x4, 2280/​2260), 1x M.2/​M-Key (PCIe 4.0 x4/​SATA, 2280/​2260), 1x M.2/​E-Key (2230, belegt mit WiFi+BT-Modul)</t>
  </si>
  <si>
    <t>4x SATA 6Gb/s (Z790), 2x SATA 6Gb/s (ASMedia ASM1061)</t>
  </si>
  <si>
    <t>https://geizhals.eu/msi-mpg-z790-carbon-max-wifi-ii-7d89-015r-a3254263.html?hloc=at&amp;hloc=de&amp;hloc=eu&amp;hloc=pl&amp;hloc=uk</t>
  </si>
  <si>
    <t>MSI MPG Z790 Carbon WIFI</t>
  </si>
  <si>
    <t>7D89-001R</t>
  </si>
  <si>
    <t>https://geizhals.eu/msi-mpg-z790-carbon-wifi-7d89-001r-a2819920.html?hloc=at&amp;hloc=de&amp;hloc=eu&amp;hloc=pl&amp;hloc=uk</t>
  </si>
  <si>
    <t>MSI MPG Z790 Edge Ti Max WIFI</t>
  </si>
  <si>
    <t>7E25-001R</t>
  </si>
  <si>
    <t>1x M.2/​M-Key (PCIe 5.0 x4, 22110/​2280/​2260), 2x M.2/​M-Key (PCIe 4.0 x4, 2280/​2260), 1x M.2/​M-Key (PCIe 4.0 x4, 2280/​2260/​2242), 1x M.2/​M-Key (PCIe 4.0 x4/​SATA, 2280/​2260/​2242), 1x M.2/​E-Key (2230, belegt mit WiFi+BT-Modul)</t>
  </si>
  <si>
    <t>https://geizhals.eu/msi-mpg-z790-edge-ti-max-wifi-7e25-001r-a3041682.html?hloc=at&amp;hloc=de&amp;hloc=eu&amp;hloc=pl&amp;hloc=uk</t>
  </si>
  <si>
    <t>MSI MPG Z790I Edge WIFI</t>
  </si>
  <si>
    <t>7E03-001R</t>
  </si>
  <si>
    <t>2x M.2/​M-Key (PCIe 4.0 x4, 2280), 1x M.2/​M-Key (PCIe 3.0 x4/​SATA, 2280), 1x M.2/​E-Key (2230, belegt mit WiFi+BT-Modul)</t>
  </si>
  <si>
    <t>https://geizhals.eu/msi-mpg-z790i-edge-wifi-7e03-001r-a2819919.html?hloc=at&amp;hloc=de&amp;hloc=eu&amp;hloc=pl&amp;hloc=uk</t>
  </si>
  <si>
    <t>MSI MPG Z890 Carbon WIFI</t>
  </si>
  <si>
    <t>7E17-001R</t>
  </si>
  <si>
    <t>1x M.2/​M-Key (PCIe 5.0 x4, 2280/​2260), 2x M.2/​M-Key (PCIe 4.0 x4, 2280/​2260), 1x M.2/​M-Key (PCIe 4.0 x4, 22110/​2280/​2260), 1x M.2/​M-Key (PCIe 4.0 x4/​SATA, 2280/​2260), 1x M.2/​E-Key (2230, belegt mit WiFi+BT-Modul)</t>
  </si>
  <si>
    <t>https://geizhals.eu/msi-mpg-z890-carbon-wifi-7e17-001r-a3329377.html?hloc=at&amp;hloc=de&amp;hloc=eu&amp;hloc=pl&amp;hloc=uk</t>
  </si>
  <si>
    <t>MSI MPG Z890 Edge TI WIFI</t>
  </si>
  <si>
    <t>7E19-001R</t>
  </si>
  <si>
    <t>1x M.2/​M-Key (PCIe 5.0 x4, 2280/​2260), 2x M.2/​M-Key (PCIe 4.0 x4, 2280/​2260), 1x M.2/​M-Key (PCIe 4.0 x4, 22110/​2280), 1x M.2/​M-Key (PCIe 4.0 x4/​SATA, 22110/​2280/​2260), 1x M.2/​E-Key (2230, belegt mit WiFi+BT-Modul)</t>
  </si>
  <si>
    <t>https://geizhals.eu/msi-mpg-z890-edge-ti-wifi-a3329383.html?hloc=at&amp;hloc=de&amp;hloc=eu&amp;hloc=pl&amp;hloc=uk</t>
  </si>
  <si>
    <t>MSI MPG Z890I Edge TI WIFI</t>
  </si>
  <si>
    <t>7E33-001R</t>
  </si>
  <si>
    <t>1x M.2/​M-Key (PCIe 5.0 x4, 2280), 1x M.2/​M-Key (PCIe 4.0 x4, 2280), 1x M.2/​M-Key (PCIe 4.0 x4/​SATA, 2280, Rückseite), 1x M.2/​M-Key (PCIe 4.0 x4, 2280, Erweiterungskarte), 1x M.2/​E-Key (2230, belegt mit WiFi+BT-Modul)</t>
  </si>
  <si>
    <t>https://geizhals.eu/msi-mpg-z890i-edge-ti-wifi-7e33-001r-a3340257.html?hloc=at&amp;hloc=de&amp;hloc=eu&amp;hloc=pl&amp;hloc=uk</t>
  </si>
  <si>
    <t>MSI PRO A620M-B</t>
  </si>
  <si>
    <t>7E28-017R</t>
  </si>
  <si>
    <t>1x M.2/​M-Key (PCIe 4.0 x4, 2280/​2260)</t>
  </si>
  <si>
    <t>https://geizhals.eu/msi-pro-a620m-b-7e28-017r-a3387032.html?hloc=at&amp;hloc=de&amp;hloc=eu&amp;hloc=pl&amp;hloc=uk</t>
  </si>
  <si>
    <t>MSI PRO A620M-E</t>
  </si>
  <si>
    <t>7E28-001R</t>
  </si>
  <si>
    <t>https://geizhals.eu/msi-pro-a620m-e-a2924891.html?hloc=at&amp;hloc=de&amp;hloc=eu&amp;hloc=pl&amp;hloc=uk</t>
  </si>
  <si>
    <t>MSI PRO B550M-P GEN3</t>
  </si>
  <si>
    <t>7D95-001R</t>
  </si>
  <si>
    <t>https://geizhals.eu/msi-pro-b550m-p-gen3-7d95-001r-a2775274.html?hloc=at&amp;hloc=de&amp;hloc=eu&amp;hloc=pl&amp;hloc=uk</t>
  </si>
  <si>
    <t>MSI PRO B650-A WIFI</t>
  </si>
  <si>
    <t>7D75-013R</t>
  </si>
  <si>
    <t>1x M.2/​M-Key (PCIe 4.0 x4, 22110/​2280), 2x M.2/​M-Key (PCIe 4.0 x4, 2280/​2260), 1x M.2/​E-Key (2230, belegt mit WiFi+BT-Modul)</t>
  </si>
  <si>
    <t>https://geizhals.eu/msi-pro-b650-a-wifi-7d75-013r-a3265510.html?hloc=at&amp;hloc=de&amp;hloc=eu&amp;hloc=pl&amp;hloc=uk</t>
  </si>
  <si>
    <t>MSI PRO B650M-A WIFI</t>
  </si>
  <si>
    <t>7D77-001R</t>
  </si>
  <si>
    <t>https://geizhals.eu/msi-pro-b650m-a-wifi-a2824302.html?hloc=at&amp;hloc=de&amp;hloc=eu&amp;hloc=pl&amp;hloc=uk</t>
  </si>
  <si>
    <t>MSI PRO B650M-B</t>
  </si>
  <si>
    <t>7E28-005R</t>
  </si>
  <si>
    <t>https://geizhals.eu/msi-pro-b650m-b-7e28-005r-a3089902.html?hloc=at&amp;hloc=de&amp;hloc=eu&amp;hloc=pl&amp;hloc=uk</t>
  </si>
  <si>
    <t>MSI PRO B650M-P</t>
  </si>
  <si>
    <t>7E27-001R</t>
  </si>
  <si>
    <t>2x M.2/​M-Key (PCIe 4.0 x4, 2280/​2260)</t>
  </si>
  <si>
    <t>https://geizhals.eu/msi-pro-b650m-p-7e27-001r-a3011810.html?hloc=at&amp;hloc=de&amp;hloc=eu&amp;hloc=pl&amp;hloc=uk</t>
  </si>
  <si>
    <t>MSI PRO B650-S WIFI</t>
  </si>
  <si>
    <t>7E26-003R</t>
  </si>
  <si>
    <t>https://geizhals.eu/msi-pro-b650-s-wifi-7e26-003r-a3053114.html?hloc=at&amp;hloc=de&amp;hloc=eu&amp;hloc=pl&amp;hloc=uk</t>
  </si>
  <si>
    <t>MSI PRO B660M-A WIFI</t>
  </si>
  <si>
    <t>7D43-006R</t>
  </si>
  <si>
    <t>https://geizhals.eu/msi-pro-b660m-a-wifi-7d43-006r-a2664190.html?hloc=at&amp;hloc=de&amp;hloc=eu&amp;hloc=pl&amp;hloc=uk</t>
  </si>
  <si>
    <t>MSI PRO B660M-A WIFI DDR4</t>
  </si>
  <si>
    <t>7D43-002R</t>
  </si>
  <si>
    <t>https://geizhals.eu/msi-pro-b660m-a-wifi-ddr4-7d43-002r-a2660672.html?hloc=at&amp;hloc=de&amp;hloc=eu&amp;hloc=pl&amp;hloc=uk</t>
  </si>
  <si>
    <t>MSI PRO B760M-A WIFI</t>
  </si>
  <si>
    <t>7D99-007R</t>
  </si>
  <si>
    <t>https://geizhals.eu/msi-pro-b760m-a-wifi-7d99-007r-a2952732.html?hloc=at&amp;hloc=de&amp;hloc=eu&amp;hloc=pl&amp;hloc=uk</t>
  </si>
  <si>
    <t>MSI PRO B760M-P</t>
  </si>
  <si>
    <t>7E02-009R</t>
  </si>
  <si>
    <t>1x M.2/​M-Key (PCIe 4.0 x4, 2280/​2260/​2242), 1x M.2/​M-Key (PCIe 4.0 x4/​SATA, 2280/​2260/​2242)</t>
  </si>
  <si>
    <t>https://geizhals.eu/msi-pro-b760m-p-7e02-009r-a2956712.html?hloc=at&amp;hloc=de&amp;hloc=eu&amp;hloc=pl&amp;hloc=uk</t>
  </si>
  <si>
    <t>MSI PRO B760M-P DDR4</t>
  </si>
  <si>
    <t>7E02-001R</t>
  </si>
  <si>
    <t>https://geizhals.eu/msi-pro-b760m-p-ddr4-7e02-001r-a2872218.html?hloc=at&amp;hloc=de&amp;hloc=eu&amp;hloc=pl&amp;hloc=uk</t>
  </si>
  <si>
    <t>MSI PRO B760-P DDR4 II</t>
  </si>
  <si>
    <t>7E29-001R</t>
  </si>
  <si>
    <t>https://geizhals.eu/msi-pro-b760-p-ddr4-ii-7e29-001r-a3009789.html?hloc=at&amp;hloc=de&amp;hloc=eu&amp;hloc=pl&amp;hloc=uk</t>
  </si>
  <si>
    <t>MSI PRO B760-P II</t>
  </si>
  <si>
    <t>7E29-002R</t>
  </si>
  <si>
    <t>https://geizhals.eu/msi-pro-b760-p-ii-7e29-002r-a3221187.html?hloc=at&amp;hloc=de&amp;hloc=eu&amp;hloc=pl&amp;hloc=uk</t>
  </si>
  <si>
    <t>MSI PRO B760-P WIFI DDR4</t>
  </si>
  <si>
    <t>7D98-001R</t>
  </si>
  <si>
    <t>https://geizhals.eu/msi-pro-b760-p-wifi-ddr4-7d98-001r-a2872219.html?hloc=at&amp;hloc=de&amp;hloc=eu&amp;hloc=pl&amp;hloc=uk</t>
  </si>
  <si>
    <t>MSI PRO B840-P WIFI</t>
  </si>
  <si>
    <t>7E57-001R</t>
  </si>
  <si>
    <t>https://geizhals.eu/msi-pro-b840-p-wifi-7e57-001r-a3383630.html?hloc=at&amp;hloc=de&amp;hloc=eu&amp;hloc=pl&amp;hloc=uk</t>
  </si>
  <si>
    <t>MSI PRO B850-P WIFI</t>
  </si>
  <si>
    <t>7E56-002R</t>
  </si>
  <si>
    <t>https://geizhals.eu/msi-pro-b850-p-wifi-7e56-002r-a3383519.html?hloc=at&amp;hloc=de&amp;hloc=eu&amp;hloc=pl&amp;hloc=uk</t>
  </si>
  <si>
    <t>MSI PRO B860M-A WIFI</t>
  </si>
  <si>
    <t>7E42-002R</t>
  </si>
  <si>
    <t>https://geizhals.eu/msi-pro-b860m-a-wifi-7e42-002r-a3386737.html?hloc=at&amp;hloc=de&amp;hloc=eu&amp;hloc=pl&amp;hloc=uk</t>
  </si>
  <si>
    <t>MSI PRO B860-P</t>
  </si>
  <si>
    <t>7E41-002R</t>
  </si>
  <si>
    <t>1x M.2/​M-Key (PCIe 5.0 x4, 2280/​2260), 1x M.2/​M-Key (PCIe 4.0 x4, 2280/​2260/​2242), 1x M.2/​M-Key (PCIe 4.0 x2, 2280/​2260)</t>
  </si>
  <si>
    <t>https://geizhals.eu/msi-pro-b860-p-7e41-002r-a3386680.html?hloc=at&amp;hloc=de&amp;hloc=eu&amp;hloc=pl&amp;hloc=uk</t>
  </si>
  <si>
    <t>MSI PRO B860-P WIFI</t>
  </si>
  <si>
    <t>7E41-001R</t>
  </si>
  <si>
    <t>https://geizhals.eu/msi-pro-b860-p-wifi-7e41-001r-a3386671.html?hloc=at&amp;hloc=de&amp;hloc=eu&amp;hloc=pl&amp;hloc=uk</t>
  </si>
  <si>
    <t>MSI PRO X870-P WIFI</t>
  </si>
  <si>
    <t>7E47-001R</t>
  </si>
  <si>
    <t>https://geizhals.eu/msi-pro-x870-p-wifi-a3295183.html?hloc=at&amp;hloc=de&amp;hloc=eu&amp;hloc=pl&amp;hloc=uk</t>
  </si>
  <si>
    <t>MSI PRO Z690-A WIFI</t>
  </si>
  <si>
    <t>7D25-017R</t>
  </si>
  <si>
    <t>1x M.2/​M-Key (PCIe 4.0 x4, 22110/​2280/​2260/​2242), 1x M.2/​M-Key (PCIe 4.0 x4, 2280/​2260/​2242), 1x M.2/​M-Key (PCIe 3.0 x4/​SATA, 2280/​2260/​2242), 1x M.2/​M-Key (PCIe 4.0 x4/​SATA, 2280/​2260/​2242), 1x M.2/​E-Key (2230, belegt mit WiFi+BT-Modul)</t>
  </si>
  <si>
    <t>https://geizhals.eu/msi-pro-z690-a-wifi-a2625656.html?hloc=at&amp;hloc=de&amp;hloc=eu&amp;hloc=pl&amp;hloc=uk</t>
  </si>
  <si>
    <t>MSI PRO Z790-A Max WIFI</t>
  </si>
  <si>
    <t>7E07-014R</t>
  </si>
  <si>
    <t>1x M.2/​M-Key (PCIe 4.0 x4, 22110/​2280/​2260/​2242), 1x M.2/​M-Key (PCIe 4.0 x4, 2280/​2260/​2242), 2x M.2/​M-Key (PCIe 4.0 x4/​SATA, 2280/​2260/​2242), 1x M.2/​E-Key (2230, belegt mit WiFi+BT-Modul)</t>
  </si>
  <si>
    <t>https://geizhals.eu/msi-pro-z790-a-max-wifi-7e07-014r-a3045709.html?hloc=at&amp;hloc=de&amp;hloc=eu&amp;hloc=pl&amp;hloc=uk</t>
  </si>
  <si>
    <t>MSI PRO Z790-P WIFI</t>
  </si>
  <si>
    <t>7E06-001R</t>
  </si>
  <si>
    <t>https://geizhals.eu/msi-pro-z790-p-wifi-7e06-001r-a2819911.html?hloc=at&amp;hloc=de&amp;hloc=eu&amp;hloc=pl&amp;hloc=uk</t>
  </si>
  <si>
    <t>MSI PRO Z790-S WIFI</t>
  </si>
  <si>
    <t>7D88-001R</t>
  </si>
  <si>
    <t>https://geizhals.eu/msi-pro-z790-s-wifi-7d88-001r-a3013657.html?hloc=at&amp;hloc=de&amp;hloc=eu&amp;hloc=pl&amp;hloc=uk</t>
  </si>
  <si>
    <t>MSI PRO Z890-A WIFI</t>
  </si>
  <si>
    <t>7E32-002R</t>
  </si>
  <si>
    <t>https://geizhals.eu/msi-pro-z890-a-wifi-a3329385.html?hloc=at&amp;hloc=de&amp;hloc=eu&amp;hloc=pl&amp;hloc=uk</t>
  </si>
  <si>
    <t>MSI PRO Z890-P WIFI</t>
  </si>
  <si>
    <t>7E34-001R</t>
  </si>
  <si>
    <t>https://geizhals.eu/msi-pro-z890-p-wifi-7e34-001r-a3329386.html?hloc=at&amp;hloc=de&amp;hloc=eu&amp;hloc=pl&amp;hloc=uk</t>
  </si>
  <si>
    <t>MSI PRO Z890-S WIFI</t>
  </si>
  <si>
    <t>7E54-001R</t>
  </si>
  <si>
    <t>1x M.2/​M-Key (PCIe 5.0 x4, 2280/​2260/​2242), 1x M.2/​M-Key (PCIe 4.0 x4, 2280/​2260/​2242), 1x M.2/​M-Key (PCIe 4.0 x4/​SATA, 2280/​2260/​2242), 1x M.2/​E-Key (2230, belegt mit WiFi+BT-Modul)</t>
  </si>
  <si>
    <t>https://geizhals.eu/msi-pro-z890-s-wifi-a3329387.html?hloc=at&amp;hloc=de&amp;hloc=eu&amp;hloc=pl&amp;hloc=uk</t>
  </si>
  <si>
    <t>MSI X670E Gaming Plus WIFI</t>
  </si>
  <si>
    <t>7E16-001R / 7E16-003R</t>
  </si>
  <si>
    <t>1x M.2/​M-Key (PCIe 5.0 x4, 22110/​2280), 3x M.2/​M-Key (PCIe 4.0 x4, 2280/​2260), 1x M.2/​E-Key (2230, belegt mit WiFi+BT-Modul)</t>
  </si>
  <si>
    <t>https://geizhals.eu/msi-x670e-gaming-plus-wifi-7e16-001r-7e16-003r-a3086588.html?hloc=at&amp;hloc=de&amp;hloc=eu&amp;hloc=pl&amp;hloc=uk</t>
  </si>
  <si>
    <t>MSI X870 Gaming Plus WIFI</t>
  </si>
  <si>
    <t>7E47-004R</t>
  </si>
  <si>
    <t>https://geizhals.eu/msi-x870-gaming-plus-wifi-7e47-004r-a3365734.html?hloc=at&amp;hloc=de&amp;hloc=eu&amp;hloc=pl&amp;hloc=uk</t>
  </si>
  <si>
    <t>MSI Z790 Gaming Plus WIFI</t>
  </si>
  <si>
    <t>7E06-026R</t>
  </si>
  <si>
    <t>https://geizhals.eu/msi-z790-gaming-plus-wifi-7e06-026r-a3027525.html?hloc=at&amp;hloc=de&amp;hloc=eu&amp;hloc=pl&amp;hloc=uk</t>
  </si>
  <si>
    <t>MSI Z790 Gaming PRO WIFI</t>
  </si>
  <si>
    <t>7D93-001R</t>
  </si>
  <si>
    <t>https://geizhals.eu/msi-z790-gaming-pro-wifi-7d93-001r-a2974203.html?hloc=at&amp;hloc=de&amp;hloc=eu&amp;hloc=pl&amp;hloc=uk</t>
  </si>
  <si>
    <t>MSI Z790 Project Zero</t>
  </si>
  <si>
    <t>7E23-001R</t>
  </si>
  <si>
    <t>https://geizhals.eu/msi-z790-project-zero-7e23-001r-a3169950.html?hloc=at&amp;hloc=de&amp;hloc=eu&amp;hloc=pl&amp;hloc=uk</t>
  </si>
  <si>
    <t>MSI Z890 Gaming Plus WIFI</t>
  </si>
  <si>
    <t>7E34-002R</t>
  </si>
  <si>
    <t>https://geizhals.eu/msi-z890-gaming-plus-wifi-7e34-002r-a3329389.html?hloc=at&amp;hloc=de&amp;hloc=eu&amp;hloc=pl&amp;hloc=uk</t>
  </si>
  <si>
    <t>NZXT N7 B650E Matte Black</t>
  </si>
  <si>
    <t>N7-B65XT-B1</t>
  </si>
  <si>
    <t>1x M.2/​M-Key (PCIe 5.0 x4, 2280/​2260/​2242), 1x M.2/​M-Key (PCIe 4.0 x4, 2280/​2260/​2242), 1x M.2/​M-Key (PCIe 4.0 x2, 2280/​2260/​2242), 1x M.2/​E-Key (2230, belegt mit WiFi+BT-Modul)</t>
  </si>
  <si>
    <t>https://geizhals.eu/nzxt-n7-b650e-matte-black-n7-b65xt-b1-a2825873.html?hloc=at&amp;hloc=de&amp;hloc=eu&amp;hloc=pl&amp;hloc=uk</t>
  </si>
  <si>
    <t>NZXT N7 B650E Matte White</t>
  </si>
  <si>
    <t>N7-B65XT-W1</t>
  </si>
  <si>
    <t>https://geizhals.eu/nzxt-n7-b650e-matte-white-n7-b65xt-w1-a2825886.html?hloc=at&amp;hloc=de&amp;hloc=eu&amp;hloc=pl&amp;hloc=uk</t>
  </si>
  <si>
    <t>NZXT N7 Z790 Matte Black</t>
  </si>
  <si>
    <t>N7-Z79XT-B1</t>
  </si>
  <si>
    <t>1x M.2/​M-Key (PCIe 4.0 x4, 2280/​2260/​2242), 1x M.2/​M-Key (PCIe 4.0 x4, 22110/​2280/​2260/​2242), 1x M.2/​M-Key (PCIe 4.0 x4/​SATA, 2280/​2260/​2242), 1x M.2/​E-Key (2230, belegt mit WiFi+BT-Modul)</t>
  </si>
  <si>
    <t>https://geizhals.eu/nzxt-n7-z790-matte-black-n7-z79xt-b1-a2825871.html?hloc=at&amp;hloc=de&amp;hloc=eu&amp;hloc=pl&amp;hloc=uk</t>
  </si>
  <si>
    <t>NZXT N7 Z790 Matte White</t>
  </si>
  <si>
    <t>N7-Z79XT-W1</t>
  </si>
  <si>
    <t>https://geizhals.eu/nzxt-n7-z790-matte-white-n7-z79xt-w1-a2825866.html?hloc=at&amp;hloc=de&amp;hloc=eu&amp;hloc=pl&amp;hloc=uk</t>
  </si>
  <si>
    <t>Motherboard</t>
  </si>
  <si>
    <t>E-ATX</t>
  </si>
  <si>
    <t>3, 3, 3</t>
  </si>
  <si>
    <t>16, 16, 1</t>
  </si>
  <si>
    <t>16, 2, 1</t>
  </si>
  <si>
    <t>3, 3</t>
  </si>
  <si>
    <t>16, 16</t>
  </si>
  <si>
    <t>16, 2</t>
  </si>
  <si>
    <t>16, 1</t>
  </si>
  <si>
    <t>4, 3, 3</t>
  </si>
  <si>
    <t>16, 1, 1</t>
  </si>
  <si>
    <t>16, 16, 1, 1, 1, 1</t>
  </si>
  <si>
    <t>16, 4, 1, 1, 1, 1</t>
  </si>
  <si>
    <t>16, 4, 1</t>
  </si>
  <si>
    <t>4, 3, 3, 3</t>
  </si>
  <si>
    <t>16, 16, 16, 1</t>
  </si>
  <si>
    <t>16, 4, 1, 1</t>
  </si>
  <si>
    <t>16, 16, 1, 1</t>
  </si>
  <si>
    <t>4, 3</t>
  </si>
  <si>
    <t>4, 4, 4</t>
  </si>
  <si>
    <t>16, 16, 16</t>
  </si>
  <si>
    <t>4, 4, 4, 4</t>
  </si>
  <si>
    <t>16, 2, 1, 1</t>
  </si>
  <si>
    <t>4, 4, 3</t>
  </si>
  <si>
    <t>16, 1, 16</t>
  </si>
  <si>
    <t>16, 1, 4</t>
  </si>
  <si>
    <t>5, 4, 3</t>
  </si>
  <si>
    <t>5, 3</t>
  </si>
  <si>
    <t>4, 4, 3, 3</t>
  </si>
  <si>
    <t>5, 4, 3, 3</t>
  </si>
  <si>
    <t>4, 4</t>
  </si>
  <si>
    <t>5, 4, 4</t>
  </si>
  <si>
    <t>16, 4, 4</t>
  </si>
  <si>
    <t>5, 4, 3, 3, 3</t>
  </si>
  <si>
    <t>16, 16, 1, 1, 1</t>
  </si>
  <si>
    <t>16, 4, 1, 1, 1</t>
  </si>
  <si>
    <t>5, 3, 3</t>
  </si>
  <si>
    <t>16, 16, 4</t>
  </si>
  <si>
    <t>5, 4, 4, 4</t>
  </si>
  <si>
    <t>5, 5</t>
  </si>
  <si>
    <t>16, 8</t>
  </si>
  <si>
    <t>5, 5, 4, 3</t>
  </si>
  <si>
    <t>16, 8, 4, 1</t>
  </si>
  <si>
    <t>16, 4, 4, 1</t>
  </si>
  <si>
    <t>16, 16, 16, 1, 1</t>
  </si>
  <si>
    <t>16, 4, 4, 1, 1</t>
  </si>
  <si>
    <t>5, 4, 4, 3</t>
  </si>
  <si>
    <t>16, 4, 2</t>
  </si>
  <si>
    <t>5, 5, 4</t>
  </si>
  <si>
    <t>16, 8, 4</t>
  </si>
  <si>
    <t>16, 16, 16, 16</t>
  </si>
  <si>
    <t>4, 3, 3, 3, 3</t>
  </si>
  <si>
    <t>16, 16, 16, 16, 1</t>
  </si>
  <si>
    <t>5, 4, 4, 4, 4</t>
  </si>
  <si>
    <t>16, 16, 16, 16, 16</t>
  </si>
  <si>
    <t>5, 4, 4, 3, 3</t>
  </si>
  <si>
    <t>4, 4, 4, 3</t>
  </si>
  <si>
    <t>16, 1, 1, 1</t>
  </si>
  <si>
    <t>5, 3, 3, 3, 3</t>
  </si>
  <si>
    <t>16, 16, 4, 1, 1</t>
  </si>
  <si>
    <t>16, 4, 4, 4, 1</t>
  </si>
  <si>
    <t>5, 4, 4, 4, 3</t>
  </si>
  <si>
    <t>5, 5, 3, 3, 3</t>
  </si>
  <si>
    <t>16, 8, 4, 4, 1</t>
  </si>
  <si>
    <t>16, 8, 2</t>
  </si>
  <si>
    <t>16, 8, 1</t>
  </si>
  <si>
    <t>5, 5, 4, 4</t>
  </si>
  <si>
    <t>16, 16, 4, 4</t>
  </si>
  <si>
    <t>16, 8, 4, 4</t>
  </si>
  <si>
    <t>5, 3, 3, 3</t>
  </si>
  <si>
    <t>16, 16, 4, 16, 1</t>
  </si>
  <si>
    <t>5, 5, 5</t>
  </si>
  <si>
    <t>3, 3, 3, 3, 3</t>
  </si>
  <si>
    <t>16, 2, 1, 1, 1</t>
  </si>
  <si>
    <t>16, 1, 1, 1, 1</t>
  </si>
  <si>
    <t>5, 5, 3</t>
  </si>
  <si>
    <t>3, 3, 3, 3, 3, 3</t>
  </si>
  <si>
    <t>4, 4, 3, 3, 3</t>
  </si>
  <si>
    <t>16, 4, 2, 1</t>
  </si>
  <si>
    <t>4, 4, 4, 3, 3</t>
  </si>
  <si>
    <t>16, 2, 2</t>
  </si>
  <si>
    <t>RAM Type</t>
  </si>
  <si>
    <t>VRAM Type</t>
  </si>
  <si>
    <t>RAM</t>
  </si>
  <si>
    <t>Data Rate</t>
  </si>
  <si>
    <t>CAS CL</t>
  </si>
  <si>
    <t>Lighting</t>
  </si>
  <si>
    <t>Voltage</t>
  </si>
  <si>
    <t>Kingston FURY Renegade weiß/silber DIMM Kit 64GB, DDR5-6400, CL32-39-39, on-die ECC</t>
  </si>
  <si>
    <t>KF564C32RWK2-64</t>
  </si>
  <si>
    <t>https://geizhals.eu/kingston-fury-renegade-weiss-silber-dimm-kit-64gb-kf564c32rwk2-64-a3043922.html?hloc=at&amp;hloc=de&amp;hloc=eu&amp;hloc=pl&amp;hloc=uk</t>
  </si>
  <si>
    <t>Kingston FURY Renegade weiß/silber DIMM Kit 64GB, DDR5-6000, CL32-38-38, on-die ECC</t>
  </si>
  <si>
    <t>KF560C32RWK2-64</t>
  </si>
  <si>
    <t>https://geizhals.eu/kingston-fury-renegade-weiss-silber-dimm-kit-64gb-kf560c32rwk2-64-a2921587.html?hloc=at&amp;hloc=de&amp;hloc=eu&amp;hloc=pl&amp;hloc=uk</t>
  </si>
  <si>
    <t>Kingston FURY Renegade weiß/silber DIMM Kit 32GB, DDR5-7600, CL38-46-46, on-die ECC</t>
  </si>
  <si>
    <t>KF576C38RWK2-32</t>
  </si>
  <si>
    <t>https://geizhals.eu/kingston-fury-renegade-weiss-silber-dimm-kit-32gb-kf576c38rwk2-32-a3043891.html?hloc=at&amp;hloc=de&amp;hloc=eu&amp;hloc=pl&amp;hloc=uk</t>
  </si>
  <si>
    <t>Kingston FURY Renegade weiß/silber DIMM Kit 32GB, DDR5-6800, CL36-42-42, on-die ECC</t>
  </si>
  <si>
    <t>KF568C36RWK2-32</t>
  </si>
  <si>
    <t>https://geizhals.eu/kingston-fury-renegade-weiss-silber-dimm-kit-32gb-kf568c36rwk2-32-a2921584.html?hloc=at&amp;hloc=de&amp;hloc=eu&amp;hloc=pl&amp;hloc=uk</t>
  </si>
  <si>
    <t>Kingston FURY Renegade weiß/silber DIMM Kit 32GB, DDR5-6400, CL32-39-39, on-die ECC</t>
  </si>
  <si>
    <t>KF564C32RWK2-32</t>
  </si>
  <si>
    <t>https://geizhals.eu/kingston-fury-renegade-weiss-silber-dimm-kit-32gb-kf564c32rwk2-32-a2921583.html?hloc=at&amp;hloc=de&amp;hloc=eu&amp;hloc=pl&amp;hloc=uk</t>
  </si>
  <si>
    <t>Kingston FURY Renegade weiß/silber DIMM 32GB, DDR5-6400, CL32-39-39, on-die ECC</t>
  </si>
  <si>
    <t>KF564C32RW-32</t>
  </si>
  <si>
    <t>https://geizhals.eu/kingston-fury-renegade-weiss-silber-dimm-32gb-kf564c32rw-32-a3043920.html?hloc=at&amp;hloc=de&amp;hloc=eu&amp;hloc=pl&amp;hloc=uk</t>
  </si>
  <si>
    <t>Kingston FURY Renegade weiß/silber DIMM 16GB, DDR5-8000, CL38-48-48, on-die ECC</t>
  </si>
  <si>
    <t>KF580C38RW-16</t>
  </si>
  <si>
    <t>https://geizhals.eu/kingston-fury-renegade-weiss-silber-dimm-16gb-kf580c38rw-16-a3043874.html?hloc=at&amp;hloc=de&amp;hloc=eu&amp;hloc=pl&amp;hloc=uk</t>
  </si>
  <si>
    <t>Kingston FURY Renegade weiß/silber DIMM 16GB, DDR5-7600, CL38-46-46, on-die ECC</t>
  </si>
  <si>
    <t>KF576C38RW-16</t>
  </si>
  <si>
    <t>https://geizhals.eu/kingston-fury-renegade-weiss-silber-dimm-16gb-kf576c38rw-16-a3043892.html?hloc=at&amp;hloc=de&amp;hloc=eu&amp;hloc=pl&amp;hloc=uk</t>
  </si>
  <si>
    <t>Kingston FURY Renegade weiß/silber DIMM 16GB, DDR5-7200, CL38-44-44, on-die ECC</t>
  </si>
  <si>
    <t>KF572C38RW-16</t>
  </si>
  <si>
    <t>https://geizhals.eu/kingston-fury-renegade-weiss-silber-dimm-16gb-kf572c38rw-16-a2921579.html?hloc=at&amp;hloc=de&amp;hloc=eu&amp;hloc=pl&amp;hloc=uk</t>
  </si>
  <si>
    <t>Kingston FURY Renegade weiß/silber DIMM 16GB, DDR5-6400, CL32-39-39, on-die ECC</t>
  </si>
  <si>
    <t>KF564C32RW-16</t>
  </si>
  <si>
    <t>https://geizhals.eu/kingston-fury-renegade-weiss-silber-dimm-16gb-kf564c32rw-16-a2921577.html?hloc=at&amp;hloc=de&amp;hloc=eu&amp;hloc=pl&amp;hloc=uk</t>
  </si>
  <si>
    <t>Kingston FURY Renegade weiß/silber CUDIMM Kit 48GB, DDR5-8400, CL40-52-52, on-die ECC, CKD</t>
  </si>
  <si>
    <t>KF584CU40RWK2-48</t>
  </si>
  <si>
    <t>https://geizhals.eu/kingston-fury-renegade-weiss-silber-cudimm-kit-48gb-kf584cu40rwk2-48-a3358941.html?hloc=at&amp;hloc=de&amp;hloc=eu&amp;hloc=pl&amp;hloc=uk</t>
  </si>
  <si>
    <t>Kingston FURY Renegade weiß/silber CUDIMM 24GB, DDR5-8400, CL40-52-52, on-die ECC, CKD</t>
  </si>
  <si>
    <t>KF584CU40RW-24</t>
  </si>
  <si>
    <t>https://geizhals.eu/kingston-fury-renegade-weiss-silber-cudimm-24gb-kf584cu40rw-24-a3358939.html?hloc=at&amp;hloc=de&amp;hloc=eu&amp;hloc=pl&amp;hloc=uk</t>
  </si>
  <si>
    <t>Kingston FURY Renegade schwarz/silber DIMM Kit 96GB, DDR5-6400, CL32-39-39, on-die ECC</t>
  </si>
  <si>
    <t>KF564C32RSK2-96</t>
  </si>
  <si>
    <t>https://geizhals.eu/kingston-fury-renegade-schwarz-silber-dimm-kit-96gb-kf564c32rsk2-96-a3026627.html?hloc=at&amp;hloc=de&amp;hloc=eu&amp;hloc=pl&amp;hloc=uk</t>
  </si>
  <si>
    <t>Kingston FURY Renegade schwarz/silber DIMM Kit 96GB, DDR5-6000, CL32-38-38, on-die ECC</t>
  </si>
  <si>
    <t>KF560C32RSK2-96</t>
  </si>
  <si>
    <t>https://geizhals.eu/kingston-fury-renegade-schwarz-silber-dimm-kit-96gb-kf560c32rsk2-96-a3026621.html?hloc=at&amp;hloc=de&amp;hloc=eu&amp;hloc=pl&amp;hloc=uk</t>
  </si>
  <si>
    <t>Kingston FURY Renegade schwarz/silber DIMM Kit 64GB, DDR5-6400, CL32-39-39, on-die ECC</t>
  </si>
  <si>
    <t>KF564C32RSK2-64</t>
  </si>
  <si>
    <t>https://geizhals.eu/kingston-fury-renegade-schwarz-silber-dimm-kit-64gb-kf564c32rsk2-64-a3043917.html?hloc=at&amp;hloc=de&amp;hloc=eu&amp;hloc=pl&amp;hloc=uk</t>
  </si>
  <si>
    <t>Kingston FURY Renegade schwarz/silber DIMM Kit 48GB, DDR5-7200, CL38-44-44, on-die ECC</t>
  </si>
  <si>
    <t>KF572C38RSK2-48</t>
  </si>
  <si>
    <t>https://geizhals.eu/kingston-fury-renegade-schwarz-silber-dimm-kit-48gb-kf572c38rsk2-48-a3026605.html?hloc=at&amp;hloc=de&amp;hloc=eu&amp;hloc=pl&amp;hloc=uk</t>
  </si>
  <si>
    <t>Kingston FURY Renegade schwarz/silber DIMM Kit 48GB, DDR5-6400, CL32-39-39, on-die ECC</t>
  </si>
  <si>
    <t>KF564C32RSK2-48</t>
  </si>
  <si>
    <t>https://geizhals.eu/kingston-fury-renegade-schwarz-silber-dimm-kit-48gb-kf564c32rsk2-48-a3026614.html?hloc=at&amp;hloc=de&amp;hloc=eu&amp;hloc=pl&amp;hloc=uk</t>
  </si>
  <si>
    <t>Kingston FURY Renegade schwarz/silber DIMM Kit 32GB, DDR5-8000, CL38-48-48, on-die ECC</t>
  </si>
  <si>
    <t>KF580C38RSK2-32</t>
  </si>
  <si>
    <t>https://geizhals.eu/kingston-fury-renegade-schwarz-silber-dimm-kit-32gb-kf580c38rsk2-32-a3043873.html?hloc=at&amp;hloc=de&amp;hloc=eu&amp;hloc=pl&amp;hloc=uk</t>
  </si>
  <si>
    <t>Kingston FURY Renegade schwarz/silber DIMM Kit 32GB, DDR5-7600, CL38-46-46, on-die ECC</t>
  </si>
  <si>
    <t>KF576C38RSK2-32</t>
  </si>
  <si>
    <t>https://geizhals.eu/kingston-fury-renegade-schwarz-silber-dimm-kit-32gb-kf576c38rsk2-32-a3043893.html?hloc=at&amp;hloc=de&amp;hloc=eu&amp;hloc=pl&amp;hloc=uk</t>
  </si>
  <si>
    <t>Kingston FURY Renegade schwarz/silber DIMM Kit 32GB, DDR5-7200, CL38-44-44, on-die ECC</t>
  </si>
  <si>
    <t>KF572C38RSK2-32</t>
  </si>
  <si>
    <t>https://geizhals.eu/kingston-fury-renegade-dimm-kit-32gb-kf572c38rsk2-32-a2858283.html?hloc=at&amp;hloc=de&amp;hloc=eu&amp;hloc=pl&amp;hloc=uk</t>
  </si>
  <si>
    <t>Kingston FURY Renegade schwarz/silber DIMM Kit 32GB, DDR5-6800, CL36-42-42, on-die ECC</t>
  </si>
  <si>
    <t>KF568C36RSK2-32</t>
  </si>
  <si>
    <t>https://geizhals.eu/kingston-fury-renegade-dimm-kit-32gb-kf568c36rsk2-32-a2858262.html?hloc=at&amp;hloc=de&amp;hloc=eu&amp;hloc=pl&amp;hloc=uk</t>
  </si>
  <si>
    <t>Kingston FURY Renegade schwarz/silber DIMM Kit 32GB, DDR5-6400, CL32-39-39, on-die ECC</t>
  </si>
  <si>
    <t>KF564C32RSK2-32</t>
  </si>
  <si>
    <t>https://geizhals.eu/kingston-fury-renegade-dimm-kit-32gb-kf564c32rsk2-32-a2773378.html?hloc=at&amp;hloc=de&amp;hloc=eu&amp;hloc=pl&amp;hloc=uk</t>
  </si>
  <si>
    <t>Kingston FURY Renegade schwarz/silber DIMM Kit 32GB, DDR5-6000, CL32-38-38, on-die ECC</t>
  </si>
  <si>
    <t>KF560C32RSK2-32</t>
  </si>
  <si>
    <t>https://geizhals.eu/kingston-fury-renegade-dimm-kit-32gb-kf560c32rsk2-32-a2773272.html?hloc=at&amp;hloc=de&amp;hloc=eu&amp;hloc=pl&amp;hloc=uk</t>
  </si>
  <si>
    <t>Kingston FURY Renegade schwarz/silber DIMM 48GB, DDR5-6400, CL32-39-39, on-die ECC</t>
  </si>
  <si>
    <t>KF564C32RS-48</t>
  </si>
  <si>
    <t>https://geizhals.eu/kingston-fury-renegade-schwarz-silber-dimm-48gb-kf564c32rs-48-a3026625.html?hloc=at&amp;hloc=de&amp;hloc=eu&amp;hloc=pl&amp;hloc=uk</t>
  </si>
  <si>
    <t>Kingston FURY Renegade schwarz/silber DIMM 48GB, DDR5-6000, CL32-38-38, on-die ECC</t>
  </si>
  <si>
    <t>KF560C32RS-48</t>
  </si>
  <si>
    <t>https://geizhals.eu/kingston-fury-renegade-schwarz-silber-dimm-48gb-kf560c32rs-48-a3026620.html?hloc=at&amp;hloc=de&amp;hloc=eu&amp;hloc=pl&amp;hloc=uk</t>
  </si>
  <si>
    <t>Kingston FURY Renegade schwarz/silber DIMM 32GB, DDR5-6400, CL32-39-39, on-die ECC</t>
  </si>
  <si>
    <t>KF564C32RS-32</t>
  </si>
  <si>
    <t>https://geizhals.eu/kingston-fury-renegade-schwarz-silber-dimm-32gb-kf564c32rs-32-a3043916.html?hloc=at&amp;hloc=de&amp;hloc=eu&amp;hloc=pl&amp;hloc=uk</t>
  </si>
  <si>
    <t>Kingston FURY Renegade schwarz/silber DIMM 24GB, DDR5-7200, CL38-44-44, on-die ECC</t>
  </si>
  <si>
    <t>KF572C38RS-24</t>
  </si>
  <si>
    <t>https://geizhals.eu/kingston-fury-renegade-schwarz-silber-dimm-24gb-kf572c38rs-24-a3026607.html?hloc=at&amp;hloc=de&amp;hloc=eu&amp;hloc=pl&amp;hloc=uk</t>
  </si>
  <si>
    <t>Kingston FURY Renegade schwarz/silber DIMM 24GB, DDR5-6400, CL32-39-39, on-die ECC</t>
  </si>
  <si>
    <t>KF564C32RS-24</t>
  </si>
  <si>
    <t>https://geizhals.eu/kingston-fury-renegade-schwarz-silber-dimm-24gb-kf564c32rs-24-a3026615.html?hloc=at&amp;hloc=de&amp;hloc=eu&amp;hloc=pl&amp;hloc=uk</t>
  </si>
  <si>
    <t>Kingston FURY Renegade schwarz/silber DIMM 16GB, DDR5-8000, CL38-48-48, on-die ECC</t>
  </si>
  <si>
    <t>KF580C38RS-16</t>
  </si>
  <si>
    <t>https://geizhals.eu/kingston-fury-renegade-schwarz-silber-dimm-16gb-kf580c38rs-16-a3043872.html?hloc=at&amp;hloc=de&amp;hloc=eu&amp;hloc=pl&amp;hloc=uk</t>
  </si>
  <si>
    <t>Kingston FURY Renegade schwarz/silber DIMM 16GB, DDR5-7600, CL38-46-46, on-die ECC</t>
  </si>
  <si>
    <t>KF576C38RS-16</t>
  </si>
  <si>
    <t>https://geizhals.eu/kingston-fury-renegade-schwarz-silber-dimm-16gb-kf576c38rs-16-a3043894.html?hloc=at&amp;hloc=de&amp;hloc=eu&amp;hloc=pl&amp;hloc=uk</t>
  </si>
  <si>
    <t>Kingston FURY Renegade schwarz/silber DIMM 16GB, DDR5-7200, CL38-44-44, on-die ECC</t>
  </si>
  <si>
    <t>KF572C38RS-16</t>
  </si>
  <si>
    <t>https://geizhals.eu/kingston-fury-renegade-dimm-16gb-kf572c38rs-16-a2858281.html?hloc=at&amp;hloc=de&amp;hloc=eu&amp;hloc=pl&amp;hloc=uk</t>
  </si>
  <si>
    <t>Kingston FURY Renegade schwarz/silber DIMM 16GB, DDR5-6800, CL36-42-42, on-die ECC</t>
  </si>
  <si>
    <t>KF568C36RS-16</t>
  </si>
  <si>
    <t>https://geizhals.eu/kingston-fury-renegade-dimm-16gb-kf568c36rs-16-a2858260.html?hloc=at&amp;hloc=de&amp;hloc=eu&amp;hloc=pl&amp;hloc=uk</t>
  </si>
  <si>
    <t>Kingston FURY Renegade schwarz/silber DIMM 16GB, DDR5-6400, CL32-39-39, on-die ECC</t>
  </si>
  <si>
    <t>KF564C32RS-16</t>
  </si>
  <si>
    <t>https://geizhals.eu/kingston-fury-renegade-dimm-16gb-kf564c32rs-16-a2773377.html?hloc=at&amp;hloc=de&amp;hloc=eu&amp;hloc=pl&amp;hloc=uk</t>
  </si>
  <si>
    <t>Kingston FURY Renegade schwarz/silber CUDIMM Kit 48GB, DDR5-8400, CL40-52-52, on-die ECC, CKD</t>
  </si>
  <si>
    <t>KF584CU40RSK2-48</t>
  </si>
  <si>
    <t>https://geizhals.eu/kingston-fury-renegade-schwarz-silber-cudimm-kit-48gb-kf584cu40rsk2-48-a3358926.html?hloc=at&amp;hloc=de&amp;hloc=eu&amp;hloc=pl&amp;hloc=uk</t>
  </si>
  <si>
    <t>Kingston FURY Renegade schwarz/silber CUDIMM 24GB, DDR5-8400, CL40-52-52, on-die ECC, CKD</t>
  </si>
  <si>
    <t>KF584CU40RS-24</t>
  </si>
  <si>
    <t>https://geizhals.eu/kingston-fury-renegade-schwarz-silber-cudimm-24gb-kf584cu40rs-24-a3358925.html?hloc=at&amp;hloc=de&amp;hloc=eu&amp;hloc=pl&amp;hloc=uk</t>
  </si>
  <si>
    <t>Kingston FURY Renegade RGB weiß/silber DIMM Kit 64GB, DDR5-6400, CL32-39-39, on-die ECC</t>
  </si>
  <si>
    <t>KF564C32RWAK2-64</t>
  </si>
  <si>
    <t>RGB, Multi-Zone, ASRock Polychrome Sync, ASUS Aura Sync, Gigabyte RGB Fusion 2.0, MSI Mystic Light Sync</t>
  </si>
  <si>
    <t>https://geizhals.eu/kingston-fury-renegade-rgb-weiss-silber-dimm-kit-64gb-kf564c32rwak2-64-a3043915.html?hloc=at&amp;hloc=de&amp;hloc=eu&amp;hloc=pl&amp;hloc=uk</t>
  </si>
  <si>
    <t>Kingston FURY Renegade RGB weiß/silber DIMM Kit 32GB, DDR5-8000, CL38-48-48, on-die ECC</t>
  </si>
  <si>
    <t>KF580C38RWAK2-32</t>
  </si>
  <si>
    <t>https://geizhals.eu/kingston-fury-renegade-rgb-weiss-silber-dimm-kit-32gb-kf580c38rwak2-32-a3043870.html?hloc=at&amp;hloc=de&amp;hloc=eu&amp;hloc=pl&amp;hloc=uk</t>
  </si>
  <si>
    <t>Kingston FURY Renegade RGB weiß/silber DIMM Kit 32GB, DDR5-7600, CL38-46-46, on-die ECC</t>
  </si>
  <si>
    <t>KF576C38RWAK2-32</t>
  </si>
  <si>
    <t>https://geizhals.eu/kingston-fury-renegade-rgb-weiss-silber-dimm-kit-32gb-kf576c38rwak2-32-a3043896.html?hloc=at&amp;hloc=de&amp;hloc=eu&amp;hloc=pl&amp;hloc=uk</t>
  </si>
  <si>
    <t>Kingston FURY Renegade RGB weiß/silber DIMM Kit 32GB, DDR5-7200, CL38-44-44, on-die ECC</t>
  </si>
  <si>
    <t>KF572C38RWAK2-32</t>
  </si>
  <si>
    <t>https://geizhals.eu/kingston-fury-renegade-rgb-weiss-silber-dimm-kit-32gb-kf572c38rwak2-32-a2921572.html?hloc=at&amp;hloc=de&amp;hloc=eu&amp;hloc=pl&amp;hloc=uk</t>
  </si>
  <si>
    <t>Kingston FURY Renegade RGB weiß/silber DIMM Kit 32GB, DDR5-6800, CL36-42-42, on-die ECC</t>
  </si>
  <si>
    <t>KF568C36RWAK2-32</t>
  </si>
  <si>
    <t>https://geizhals.eu/kingston-fury-renegade-rgb-weiss-silber-dimm-kit-32gb-kf568c36rwak2-32-a2921571.html?hloc=at&amp;hloc=de&amp;hloc=eu&amp;hloc=pl&amp;hloc=uk</t>
  </si>
  <si>
    <t>Kingston FURY Renegade RGB weiß/silber DIMM Kit 32GB, DDR5-6400, CL32-39-39, on-die ECC</t>
  </si>
  <si>
    <t>KF564C32RWAK2-32</t>
  </si>
  <si>
    <t>https://geizhals.eu/kingston-fury-renegade-rgb-weiss-silber-dimm-kit-32gb-kf564c32rwak2-32-a2921570.html?hloc=at&amp;hloc=de&amp;hloc=eu&amp;hloc=pl&amp;hloc=uk</t>
  </si>
  <si>
    <t>Kingston FURY Renegade RGB weiß/silber DIMM 32GB, DDR5-6400, CL32-39-39, on-die ECC</t>
  </si>
  <si>
    <t>KF564C32RWA-32</t>
  </si>
  <si>
    <t>https://geizhals.eu/kingston-fury-renegade-rgb-weiss-silber-dimm-32gb-kf564c32rwa-32-a3043914.html?hloc=at&amp;hloc=de&amp;hloc=eu&amp;hloc=pl&amp;hloc=uk</t>
  </si>
  <si>
    <t>Kingston FURY Renegade RGB weiß/silber DIMM 16GB, DDR5-8000, CL38-48-48, on-die ECC</t>
  </si>
  <si>
    <t>KF580C38RWA-16</t>
  </si>
  <si>
    <t>https://geizhals.eu/kingston-fury-renegade-rgb-weiss-silber-dimm-16gb-kf580c38rwa-16-a3043867.html?hloc=at&amp;hloc=de&amp;hloc=eu&amp;hloc=pl&amp;hloc=uk</t>
  </si>
  <si>
    <t>Kingston FURY Renegade RGB weiß/silber DIMM 16GB, DDR5-7600, CL38-46-46, on-die ECC</t>
  </si>
  <si>
    <t>KF576C38RWA-16</t>
  </si>
  <si>
    <t>https://geizhals.eu/kingston-fury-renegade-rgb-weiss-silber-dimm-16gb-kf576c38rwa-16-a3043897.html?hloc=at&amp;hloc=de&amp;hloc=eu&amp;hloc=pl&amp;hloc=uk</t>
  </si>
  <si>
    <t>Kingston FURY Renegade RGB weiß/silber DIMM 16GB, DDR5-7200, CL38-44-44, on-die ECC</t>
  </si>
  <si>
    <t>KF572C38RWA-16</t>
  </si>
  <si>
    <t>https://geizhals.eu/kingston-fury-renegade-rgb-weiss-silber-dimm-16gb-kf572c38rwa-16-a2921564.html?hloc=at&amp;hloc=de&amp;hloc=eu&amp;hloc=pl&amp;hloc=uk</t>
  </si>
  <si>
    <t>Kingston FURY Renegade RGB weiß/silber DIMM 16GB, DDR5-6800, CL36-42-42, on-die ECC</t>
  </si>
  <si>
    <t>KF568C36RWA-16</t>
  </si>
  <si>
    <t>https://geizhals.eu/kingston-fury-renegade-rgb-weiss-silber-dimm-16gb-kf568c36rwa-16-a2921563.html?hloc=at&amp;hloc=de&amp;hloc=eu&amp;hloc=pl&amp;hloc=uk</t>
  </si>
  <si>
    <t>Kingston FURY Renegade RGB weiß/silber DIMM 16GB, DDR5-6400, CL32-39-39, on-die ECC</t>
  </si>
  <si>
    <t>KF564C32RWA-16</t>
  </si>
  <si>
    <t>https://geizhals.eu/kingston-fury-renegade-rgb-weiss-silber-dimm-16gb-kf564c32rwa-16-a2921559.html?hloc=at&amp;hloc=de&amp;hloc=eu&amp;hloc=pl&amp;hloc=uk</t>
  </si>
  <si>
    <t>Kingston FURY Renegade RGB weiß/silber DIMM 16GB, DDR5-6000, CL32-38-38, on-die ECC</t>
  </si>
  <si>
    <t>KF560C32RWA-16</t>
  </si>
  <si>
    <t>https://geizhals.eu/kingston-fury-renegade-rgb-weiss-silber-dimm-16gb-kf560c32rwa-16-a2921557.html?hloc=at&amp;hloc=de&amp;hloc=eu&amp;hloc=pl&amp;hloc=uk</t>
  </si>
  <si>
    <t>Kingston FURY Renegade RGB weiß/silber CUDIMM Kit 48GB, DDR5-8400, CL40-52-52, on-die ECC, CKD</t>
  </si>
  <si>
    <t>KF584CU40RWAK2-48</t>
  </si>
  <si>
    <t>https://geizhals.eu/kingston-fury-renegade-rgb-weiss-silber-cudimm-kit-48gb-kf584cu40rwak2-48-a3358938.html?hloc=at&amp;hloc=de&amp;hloc=eu&amp;hloc=pl&amp;hloc=uk</t>
  </si>
  <si>
    <t>Kingston FURY Renegade RGB weiß/silber CUDIMM 24GB, DDR5-8400, CL40-52-52, on-die ECC, CKD</t>
  </si>
  <si>
    <t>KF584CU40RWA-24</t>
  </si>
  <si>
    <t>https://geizhals.eu/kingston-fury-renegade-rgb-weiss-silber-cudimm-24gb-kf584cu40rwa-24-a3358937.html?hloc=at&amp;hloc=de&amp;hloc=eu&amp;hloc=pl&amp;hloc=uk</t>
  </si>
  <si>
    <t>Kingston FURY Renegade RGB schwarz/silber DIMM Kit 96GB, DDR5-6400, CL32-39-39, on-die ECC</t>
  </si>
  <si>
    <t>KF564C32RSAK2-96</t>
  </si>
  <si>
    <t>https://geizhals.eu/kingston-fury-renegade-rgb-schwarz-silber-dimm-kit-96gb-kf564c32rsak2-96-a3026590.html?hloc=at&amp;hloc=de&amp;hloc=eu&amp;hloc=pl&amp;hloc=uk</t>
  </si>
  <si>
    <t>Kingston FURY Renegade RGB schwarz/silber DIMM Kit 96GB, DDR5-6000, CL32-38-38, on-die ECC</t>
  </si>
  <si>
    <t>KF560C32RSAK2-96</t>
  </si>
  <si>
    <t>https://geizhals.eu/kingston-fury-renegade-rgb-schwarz-silber-dimm-kit-96gb-kf560c32rsak2-96-a3026596.html?hloc=at&amp;hloc=de&amp;hloc=eu&amp;hloc=pl&amp;hloc=uk</t>
  </si>
  <si>
    <t>Kingston FURY Renegade RGB schwarz/silber DIMM Kit 64GB, DDR5-6400, CL32-39-39, on-die ECC</t>
  </si>
  <si>
    <t>KF564C32RSAK2-64</t>
  </si>
  <si>
    <t>https://geizhals.eu/kingston-fury-renegade-rgb-schwarz-silber-dimm-kit-64gb-kf564c32rsak2-64-a3043913.html?hloc=at&amp;hloc=de&amp;hloc=eu&amp;hloc=pl&amp;hloc=uk</t>
  </si>
  <si>
    <t>Kingston FURY Renegade RGB schwarz/silber DIMM Kit 48GB, DDR5-7200, CL38-44-44, on-die ECC</t>
  </si>
  <si>
    <t>KF572C38RSAK2-48</t>
  </si>
  <si>
    <t>https://geizhals.eu/kingston-fury-renegade-rgb-schwarz-silber-dimm-kit-48gb-kf572c38rsak2-48-a3026584.html?hloc=at&amp;hloc=de&amp;hloc=eu&amp;hloc=pl&amp;hloc=uk</t>
  </si>
  <si>
    <t>Kingston FURY Renegade RGB schwarz/silber DIMM Kit 32GB, DDR5-8000, CL38-48-48, on-die ECC</t>
  </si>
  <si>
    <t>KF580C38RSAK2-32</t>
  </si>
  <si>
    <t>https://geizhals.eu/kingston-fury-renegade-rgb-schwarz-silber-dimm-kit-32gb-kf580c38rsak2-32-a3043865.html?hloc=at&amp;hloc=de&amp;hloc=eu&amp;hloc=pl&amp;hloc=uk</t>
  </si>
  <si>
    <t>Kingston FURY Renegade RGB schwarz/silber DIMM Kit 32GB, DDR5-7600, CL38-46-46, on-die ECC</t>
  </si>
  <si>
    <t>KF576C38RSAK2-32</t>
  </si>
  <si>
    <t>https://geizhals.eu/kingston-fury-renegade-rgb-schwarz-silber-dimm-kit-32gb-kf576c38rsak2-32-a3043898.html?hloc=at&amp;hloc=de&amp;hloc=eu&amp;hloc=pl&amp;hloc=uk</t>
  </si>
  <si>
    <t>Kingston FURY Renegade RGB schwarz/silber DIMM Kit 32GB, DDR5-7200, CL38-44-44, on-die ECC</t>
  </si>
  <si>
    <t>KF572C38RSAK2-32</t>
  </si>
  <si>
    <t>https://geizhals.eu/kingston-fury-renegade-rgb-dimm-kit-32gb-kf572c38rsak2-32-a2858286.html?hloc=at&amp;hloc=de&amp;hloc=eu&amp;hloc=pl&amp;hloc=uk</t>
  </si>
  <si>
    <t>Kingston FURY Renegade RGB schwarz/silber DIMM Kit 32GB, DDR5-6800, CL36-42-42, on-die ECC</t>
  </si>
  <si>
    <t>KF568C36RSAK2-32</t>
  </si>
  <si>
    <t>https://geizhals.eu/kingston-fury-renegade-rgb-dimm-kit-32gb-kf568c36rsak2-32-a2858264.html?hloc=at&amp;hloc=de&amp;hloc=eu&amp;hloc=pl&amp;hloc=uk</t>
  </si>
  <si>
    <t>Kingston FURY Renegade RGB schwarz/silber DIMM Kit 32GB, DDR5-6400, CL32-39-39, on-die ECC</t>
  </si>
  <si>
    <t>KF564C32RSAK2-32</t>
  </si>
  <si>
    <t>https://geizhals.eu/kingston-fury-renegade-rgb-dimm-kit-32gb-kf564c32rsak2-32-a2773380.html?hloc=at&amp;hloc=de&amp;hloc=eu&amp;hloc=pl&amp;hloc=uk</t>
  </si>
  <si>
    <t>Kingston FURY Renegade RGB schwarz/silber DIMM 48GB, DDR5-6400, CL32-39-39, on-die ECC</t>
  </si>
  <si>
    <t>KF564C32RSA-48</t>
  </si>
  <si>
    <t>https://geizhals.eu/kingston-fury-renegade-rgb-schwarz-silber-dimm-48gb-kf564c32rsa-48-a3026592.html?hloc=at&amp;hloc=de&amp;hloc=eu&amp;hloc=pl&amp;hloc=uk</t>
  </si>
  <si>
    <t>Kingston FURY Renegade RGB schwarz/silber DIMM 48GB, DDR5-6000, CL32-38-38, on-die ECC</t>
  </si>
  <si>
    <t>KF560C32RSA-48</t>
  </si>
  <si>
    <t>https://geizhals.eu/kingston-fury-renegade-rgb-schwarz-silber-dimm-48gb-kf560c32rsa-48-a3026597.html?hloc=at&amp;hloc=de&amp;hloc=eu&amp;hloc=pl&amp;hloc=uk</t>
  </si>
  <si>
    <t>Kingston FURY Renegade RGB schwarz/silber DIMM 32GB, DDR5-6400, CL32-39-39, on-die ECC</t>
  </si>
  <si>
    <t>KF564C32RSA-32</t>
  </si>
  <si>
    <t>https://geizhals.eu/kingston-fury-renegade-rgb-schwarz-silber-dimm-32gb-kf564c32rsa-32-a3043911.html?hloc=at&amp;hloc=de&amp;hloc=eu&amp;hloc=pl&amp;hloc=uk</t>
  </si>
  <si>
    <t>Kingston FURY Renegade RGB schwarz/silber DIMM 32GB, DDR5-6000, CL32-38-38, on-die ECC</t>
  </si>
  <si>
    <t>KF560C32RSA-32</t>
  </si>
  <si>
    <t>https://geizhals.eu/kingston-fury-renegade-rgb-dimm-32gb-kf560c32rsa-32-a2898983.html?hloc=at&amp;hloc=de&amp;hloc=eu&amp;hloc=pl&amp;hloc=uk</t>
  </si>
  <si>
    <t>Kingston FURY Renegade RGB schwarz/silber DIMM 24GB, DDR5-7200, CL38-44-44, on-die ECC</t>
  </si>
  <si>
    <t>KF572C38RSA-24</t>
  </si>
  <si>
    <t>https://geizhals.eu/kingston-fury-renegade-rgb-schwarz-silber-dimm-24gb-kf572c38rsa-24-a3026585.html?hloc=at&amp;hloc=de&amp;hloc=eu&amp;hloc=pl&amp;hloc=uk</t>
  </si>
  <si>
    <t>Kingston FURY Renegade RGB schwarz/silber DIMM 24GB, DDR5-6400, CL32-39-39, on-die ECC</t>
  </si>
  <si>
    <t>KF564C32RSA-24</t>
  </si>
  <si>
    <t>https://geizhals.eu/kingston-fury-renegade-rgb-schwarz-silber-dimm-24gb-kf564c32rsa-24-a3026575.html?hloc=at&amp;hloc=de&amp;hloc=eu&amp;hloc=pl&amp;hloc=uk</t>
  </si>
  <si>
    <t>Kingston FURY Renegade RGB schwarz/silber DIMM 16GB, DDR5-8000, CL38-48-48, on-die ECC</t>
  </si>
  <si>
    <t>KF580C38RSA-16</t>
  </si>
  <si>
    <t>https://geizhals.eu/kingston-fury-renegade-rgb-schwarz-silber-dimm-16gb-kf580c38rsa-16-a3043863.html?hloc=at&amp;hloc=de&amp;hloc=eu&amp;hloc=pl&amp;hloc=uk</t>
  </si>
  <si>
    <t>Kingston FURY Renegade RGB schwarz/silber DIMM 16GB, DDR5-7600, CL38-46-46, on-die ECC</t>
  </si>
  <si>
    <t>KF576C38RSA-16</t>
  </si>
  <si>
    <t>https://geizhals.eu/kingston-fury-renegade-rgb-schwarz-silber-dimm-16gb-kf576c38rsa-16-a3043899.html?hloc=at&amp;hloc=de&amp;hloc=eu&amp;hloc=pl&amp;hloc=uk</t>
  </si>
  <si>
    <t>Kingston FURY Renegade RGB schwarz/silber DIMM 16GB, DDR5-7200, CL38-44-44, on-die ECC</t>
  </si>
  <si>
    <t>KF572C38RSA-16</t>
  </si>
  <si>
    <t>https://geizhals.eu/kingston-fury-renegade-rgb-dimm-16gb-kf572c38rsa-16-a2858285.html?hloc=at&amp;hloc=de&amp;hloc=eu&amp;hloc=pl&amp;hloc=uk</t>
  </si>
  <si>
    <t>Kingston FURY Renegade RGB schwarz/silber DIMM 16GB, DDR5-6800, CL36-42-42, on-die ECC</t>
  </si>
  <si>
    <t>KF568C36RSA-16</t>
  </si>
  <si>
    <t>https://geizhals.eu/kingston-fury-renegade-rgb-dimm-16gb-kf568c36rsa-16-a2858263.html?hloc=at&amp;hloc=de&amp;hloc=eu&amp;hloc=pl&amp;hloc=uk</t>
  </si>
  <si>
    <t>Kingston FURY Renegade RGB schwarz/silber DIMM 16GB, DDR5-6400, CL32-39-39, on-die ECC</t>
  </si>
  <si>
    <t>KF564C32RSA-16</t>
  </si>
  <si>
    <t>https://geizhals.eu/kingston-fury-renegade-rgb-dimm-16gb-kf564c32rsa-16-a2773379.html?hloc=at&amp;hloc=de&amp;hloc=eu&amp;hloc=pl&amp;hloc=uk</t>
  </si>
  <si>
    <t>Kingston FURY Renegade RGB schwarz/silber CUDIMM Kit 48GB, DDR5-8400, CL40-52-52, on-die ECC, CKD</t>
  </si>
  <si>
    <t>KF584CU40RSAK2-48</t>
  </si>
  <si>
    <t>https://geizhals.eu/kingston-fury-renegade-rgb-schwarz-silber-cudimm-kit-48gb-kf584cu40rsak2-48-a3358923.html?hloc=at&amp;hloc=de&amp;hloc=eu&amp;hloc=pl&amp;hloc=uk</t>
  </si>
  <si>
    <t>Kingston FURY Renegade RGB schwarz/silber CUDIMM 24GB, DDR5-8400, CL40-52-52, on-die ECC, CKD</t>
  </si>
  <si>
    <t>KF584CU40RSA-24</t>
  </si>
  <si>
    <t>https://geizhals.eu/kingston-fury-renegade-rgb-schwarz-silber-cudimm-24gb-kf584cu40rsa-24-a3358922.html?hloc=at&amp;hloc=de&amp;hloc=eu&amp;hloc=pl&amp;hloc=uk</t>
  </si>
  <si>
    <t>Kingston FURY Renegade RGB Limited Edition DIMM Kit 48GB, DDR5-8000, CL36-48-48, on-die ECC</t>
  </si>
  <si>
    <t>KF580C36RLAK2-48</t>
  </si>
  <si>
    <t>https://geizhals.eu/kingston-fury-renegade-rgb-limited-edition-dimm-kit-48gb-kf580c36rlak2-48-a3218135.html?hloc=at&amp;hloc=de&amp;hloc=eu&amp;hloc=pl&amp;hloc=uk</t>
  </si>
  <si>
    <t>Kingston FURY Beast weiß DIMM Kit 128GB, DDR5-5600, CL40-40-40, on-die ECC</t>
  </si>
  <si>
    <t>KF556C40BWK4-128</t>
  </si>
  <si>
    <t>https://geizhals.eu/kingston-fury-beast-weiss-dimm-kit-128gb-kf556c40bwk4-128-a2938753.html?hloc=at&amp;hloc=de&amp;hloc=eu&amp;hloc=pl&amp;hloc=uk</t>
  </si>
  <si>
    <t>Kingston FURY Beast weiß DIMM Kit 128GB, DDR5-5200, CL40-40-40, on-die ECC</t>
  </si>
  <si>
    <t>KF552C40BWK4-128</t>
  </si>
  <si>
    <t>https://geizhals.eu/kingston-fury-beast-weiss-dimm-kit-128gb-kf552c40bwk4-128-a2938748.html?hloc=at&amp;hloc=de&amp;hloc=eu&amp;hloc=pl&amp;hloc=uk</t>
  </si>
  <si>
    <t>Kingston FURY Beast weiß DIMM Kit 64GB, DDR5-6400, CL32-39-39, on-die ECC</t>
  </si>
  <si>
    <t>KF564C32BWK2-64</t>
  </si>
  <si>
    <t>https://geizhals.eu/kingston-fury-beast-weiss-dimm-kit-64gb-kf564c32bwk2-64-a3165468.html?hloc=at&amp;hloc=de&amp;hloc=eu&amp;hloc=pl&amp;hloc=uk</t>
  </si>
  <si>
    <t>KF564C32BWEK2-64</t>
  </si>
  <si>
    <t>https://geizhals.eu/kingston-fury-beast-weiss-dimm-kit-64gb-kf564c32bwek2-64-a3165584.html?hloc=at&amp;hloc=de&amp;hloc=eu&amp;hloc=pl&amp;hloc=uk</t>
  </si>
  <si>
    <t>Kingston FURY Beast weiß DIMM Kit 64GB, DDR5-6000, CL36-38-38, on-die ECC</t>
  </si>
  <si>
    <t>KF560C36BWEK2-64</t>
  </si>
  <si>
    <t>https://geizhals.eu/kingston-fury-beast-weiss-dimm-kit-64gb-kf560c36bwek2-64-a2921689.html?hloc=at&amp;hloc=de&amp;hloc=eu&amp;hloc=pl&amp;hloc=uk</t>
  </si>
  <si>
    <t>Kingston FURY Beast weiß DIMM Kit 64GB, DDR5-6000, CL30-36-36, on-die ECC</t>
  </si>
  <si>
    <t>KF560C30BWK2-64</t>
  </si>
  <si>
    <t>https://geizhals.eu/kingston-fury-beast-weiss-dimm-kit-64gb-kf560c30bwk2-64-a3165265.html?hloc=at&amp;hloc=de&amp;hloc=eu&amp;hloc=pl&amp;hloc=uk</t>
  </si>
  <si>
    <t>KF560C30BWEK2-64</t>
  </si>
  <si>
    <t>https://geizhals.eu/kingston-fury-beast-weiss-dimm-kit-64gb-kf560c30bwek2-64-a3165122.html?hloc=at&amp;hloc=de&amp;hloc=eu&amp;hloc=pl&amp;hloc=uk</t>
  </si>
  <si>
    <t>Kingston FURY Beast weiß DIMM Kit 64GB, DDR5-5600, CL40-40-40, on-die ECC</t>
  </si>
  <si>
    <t>KF556C40BWK4-64</t>
  </si>
  <si>
    <t>https://geizhals.eu/kingston-fury-beast-weiss-dimm-kit-64gb-kf556c40bwk4-64-a2938741.html?hloc=at&amp;hloc=de&amp;hloc=eu&amp;hloc=pl&amp;hloc=uk</t>
  </si>
  <si>
    <t>KF556C40BWK2-64</t>
  </si>
  <si>
    <t>https://geizhals.eu/kingston-fury-beast-weiss-dimm-kit-64gb-kf556c40bwk2-64-a2921688.html?hloc=at&amp;hloc=de&amp;hloc=eu&amp;hloc=pl&amp;hloc=uk</t>
  </si>
  <si>
    <t>Kingston FURY Beast weiß DIMM Kit 64GB, DDR5-5600, CL36-38-38, on-die ECC</t>
  </si>
  <si>
    <t>KF556C36BWEK2-64</t>
  </si>
  <si>
    <t>https://geizhals.eu/kingston-fury-beast-weiss-dimm-kit-64gb-kf556c36bwek2-64-a2921687.html?hloc=at&amp;hloc=de&amp;hloc=eu&amp;hloc=pl&amp;hloc=uk</t>
  </si>
  <si>
    <t>Kingston FURY Beast weiß DIMM Kit 64GB, DDR5-5200, CL40-40-40, on-die ECC</t>
  </si>
  <si>
    <t>KF552C40BWK2-64</t>
  </si>
  <si>
    <t>https://geizhals.eu/kingston-fury-beast-weiss-dimm-kit-64gb-kf552c40bwk2-64-a2921686.html?hloc=at&amp;hloc=de&amp;hloc=eu&amp;hloc=pl&amp;hloc=uk</t>
  </si>
  <si>
    <t>Kingston FURY Beast weiß DIMM Kit 64GB, DDR5-5200, CL36-40-40, on-die ECC</t>
  </si>
  <si>
    <t>KF552C36BWEK2-64</t>
  </si>
  <si>
    <t>https://geizhals.eu/kingston-fury-beast-weiss-dimm-kit-64gb-kf552c36bwek2-64-a2921685.html?hloc=at&amp;hloc=de&amp;hloc=eu&amp;hloc=pl&amp;hloc=uk</t>
  </si>
  <si>
    <t>Kingston FURY Beast weiß DIMM Kit 32GB, DDR5-6800, CL34-45-45, on-die ECC</t>
  </si>
  <si>
    <t>KF568C34BWK2-32</t>
  </si>
  <si>
    <t>https://geizhals.eu/kingston-fury-beast-weiss-dimm-kit-32gb-kf568c34bwk2-32-a3166284.html?hloc=at&amp;hloc=de&amp;hloc=eu&amp;hloc=pl&amp;hloc=uk</t>
  </si>
  <si>
    <t>KF568C34BWEK2-32</t>
  </si>
  <si>
    <t>https://geizhals.eu/kingston-fury-beast-weiss-dimm-kit-32gb-kf568c34bwek2-32-a3166282.html?hloc=at&amp;hloc=de&amp;hloc=eu&amp;hloc=pl&amp;hloc=uk</t>
  </si>
  <si>
    <t>Kingston FURY Beast weiß DIMM Kit 32GB, DDR5-6400, CL32-39-39, on-die ECC</t>
  </si>
  <si>
    <t>KF564C32BWK2-32</t>
  </si>
  <si>
    <t>https://geizhals.eu/kingston-fury-beast-weiss-dimm-kit-32gb-kf564c32bwk2-32-a3165457.html?hloc=at&amp;hloc=de&amp;hloc=eu&amp;hloc=pl&amp;hloc=uk</t>
  </si>
  <si>
    <t>KF564C32BWEK2-32</t>
  </si>
  <si>
    <t>https://geizhals.eu/kingston-fury-beast-weiss-dimm-kit-32gb-kf564c32bwek2-32-a3165582.html?hloc=at&amp;hloc=de&amp;hloc=eu&amp;hloc=pl&amp;hloc=uk</t>
  </si>
  <si>
    <t>Kingston FURY Beast weiß DIMM Kit 32GB, DDR5-6000, CL36-44-44, on-die ECC</t>
  </si>
  <si>
    <t>KF560C36BWE2K2-32</t>
  </si>
  <si>
    <t>https://geizhals.eu/kingston-fury-beast-weiss-dimm-kit-32gb-kf560c36bwe2k2-32-a3271724.html?hloc=at&amp;hloc=de&amp;hloc=eu&amp;hloc=pl&amp;hloc=uk</t>
  </si>
  <si>
    <t>Kingston FURY Beast weiß DIMM Kit 32GB, DDR5-6000, CL30-36-36, on-die ECC</t>
  </si>
  <si>
    <t>KF560C30BWK2-32</t>
  </si>
  <si>
    <t>https://geizhals.eu/kingston-fury-beast-weiss-dimm-kit-32gb-kf560c30bwk2-32-a3165260.html?hloc=at&amp;hloc=de&amp;hloc=eu&amp;hloc=pl&amp;hloc=uk</t>
  </si>
  <si>
    <t>KF560C30BWEK2-32</t>
  </si>
  <si>
    <t>https://geizhals.eu/kingston-fury-beast-weiss-dimm-kit-32gb-kf560c30bwek2-32-a3165118.html?hloc=at&amp;hloc=de&amp;hloc=eu&amp;hloc=pl&amp;hloc=uk</t>
  </si>
  <si>
    <t>Kingston FURY Beast weiß DIMM Kit 32GB, DDR5-5600, CL40-40-40, on-die ECC</t>
  </si>
  <si>
    <t>KF556C40BWK2-32</t>
  </si>
  <si>
    <t>https://geizhals.eu/kingston-fury-beast-weiss-dimm-kit-32gb-kf556c40bwk2-32-a2921681.html?hloc=at&amp;hloc=de&amp;hloc=eu&amp;hloc=pl&amp;hloc=uk</t>
  </si>
  <si>
    <t>Kingston FURY Beast weiß DIMM Kit 32GB, DDR5-5600, CL36-38-38, on-die ECC</t>
  </si>
  <si>
    <t>KF556C36BWEK2-32</t>
  </si>
  <si>
    <t>https://geizhals.eu/kingston-fury-beast-weiss-dimm-kit-32gb-kf556c36bwek2-32-a2921680.html?hloc=at&amp;hloc=de&amp;hloc=eu&amp;hloc=pl&amp;hloc=uk</t>
  </si>
  <si>
    <t>Kingston FURY Beast weiß DIMM Kit 32GB, DDR5-5200, CL36-40-40, on-die ECC</t>
  </si>
  <si>
    <t>KF552C36BWEK2-32</t>
  </si>
  <si>
    <t>https://geizhals.eu/kingston-fury-beast-weiss-dimm-kit-32gb-kf552c36bwek2-32-a2921677.html?hloc=at&amp;hloc=de&amp;hloc=eu&amp;hloc=pl&amp;hloc=uk</t>
  </si>
  <si>
    <t>Kingston FURY Beast weiß DIMM 32GB, DDR5-6400, CL32-39-39, on-die ECC</t>
  </si>
  <si>
    <t>KF564C32BWE-32</t>
  </si>
  <si>
    <t>https://geizhals.eu/kingston-fury-beast-weiss-dimm-32gb-kf564c32bwe-32-a3165444.html?hloc=at&amp;hloc=de&amp;hloc=eu&amp;hloc=pl&amp;hloc=uk</t>
  </si>
  <si>
    <t>KF564C32BW-32</t>
  </si>
  <si>
    <t>https://geizhals.eu/kingston-fury-beast-weiss-dimm-32gb-kf564c32bw-32-a3165451.html?hloc=at&amp;hloc=de&amp;hloc=eu&amp;hloc=pl&amp;hloc=uk</t>
  </si>
  <si>
    <t>Kingston FURY Beast weiß DIMM 32GB, DDR5-6000, CL30-36-36, on-die ECC</t>
  </si>
  <si>
    <t>KF560C30BWE-32</t>
  </si>
  <si>
    <t>https://geizhals.eu/kingston-fury-beast-weiss-dimm-32gb-kf560c30bwe-32-a3165114.html?hloc=at&amp;hloc=de&amp;hloc=eu&amp;hloc=pl&amp;hloc=uk</t>
  </si>
  <si>
    <t>KF560C30BW-32</t>
  </si>
  <si>
    <t>https://geizhals.eu/kingston-fury-beast-weiss-dimm-32gb-kf560c30bw-32-a3165252.html?hloc=at&amp;hloc=de&amp;hloc=eu&amp;hloc=pl&amp;hloc=uk</t>
  </si>
  <si>
    <t>Kingston FURY Beast weiß DIMM 32GB, DDR5-5600, CL40-40-40, on-die ECC</t>
  </si>
  <si>
    <t>KF556C40BW-32</t>
  </si>
  <si>
    <t>https://geizhals.eu/kingston-fury-beast-weiss-dimm-32gb-kf556c40bw-32-a2921665.html?hloc=at&amp;hloc=de&amp;hloc=eu&amp;hloc=pl&amp;hloc=uk</t>
  </si>
  <si>
    <t>Kingston FURY Beast weiß DIMM 32GB, DDR5-5600, CL36-38-38, on-die ECC</t>
  </si>
  <si>
    <t>KF556C36BWE-32</t>
  </si>
  <si>
    <t>https://geizhals.eu/kingston-fury-beast-weiss-dimm-32gb-kf556c36bwe-32-a2921664.html?hloc=at&amp;hloc=de&amp;hloc=eu&amp;hloc=pl&amp;hloc=uk</t>
  </si>
  <si>
    <t>Kingston FURY Beast weiß DIMM 32GB, DDR5-5200, CL40-40-40, on-die ECC</t>
  </si>
  <si>
    <t>KF552C40BW-32</t>
  </si>
  <si>
    <t>https://geizhals.eu/kingston-fury-beast-weiss-dimm-32gb-kf552c40bw-32-a2921663.html?hloc=at&amp;hloc=de&amp;hloc=eu&amp;hloc=pl&amp;hloc=uk</t>
  </si>
  <si>
    <t>Kingston FURY Beast weiß DIMM 32GB, DDR5-5200, CL36-40-40, on-die ECC</t>
  </si>
  <si>
    <t>KF552C36BWE-32</t>
  </si>
  <si>
    <t>https://geizhals.eu/kingston-fury-beast-weiss-dimm-32gb-kf552c36bwe-32-a2921662.html?hloc=at&amp;hloc=de&amp;hloc=eu&amp;hloc=pl&amp;hloc=uk</t>
  </si>
  <si>
    <t>Kingston FURY Beast weiß DIMM 16GB, DDR5-6800, CL34-45-45, on-die ECC</t>
  </si>
  <si>
    <t>KF568C34BWE-16</t>
  </si>
  <si>
    <t>https://geizhals.eu/kingston-fury-beast-weiss-dimm-16gb-kf568c34bwe-16-a3166070.html?hloc=at&amp;hloc=de&amp;hloc=eu&amp;hloc=pl&amp;hloc=uk</t>
  </si>
  <si>
    <t>KF568C34BW-16</t>
  </si>
  <si>
    <t>https://geizhals.eu/kingston-fury-beast-weiss-dimm-16gb-kf568c34bw-16-a3166076.html?hloc=at&amp;hloc=de&amp;hloc=eu&amp;hloc=pl&amp;hloc=uk</t>
  </si>
  <si>
    <t>Kingston FURY Beast weiß DIMM 16GB, DDR5-6400, CL32-39-39, on-die ECC</t>
  </si>
  <si>
    <t>KF564C32BWE-16</t>
  </si>
  <si>
    <t>https://geizhals.eu/kingston-fury-beast-weiss-dimm-16gb-kf564c32bwe-16-a3165443.html?hloc=at&amp;hloc=de&amp;hloc=eu&amp;hloc=pl&amp;hloc=uk</t>
  </si>
  <si>
    <t>KF564C32BW-16</t>
  </si>
  <si>
    <t>https://geizhals.eu/kingston-fury-beast-weiss-dimm-16gb-kf564c32bw-16-a3165448.html?hloc=at&amp;hloc=de&amp;hloc=eu&amp;hloc=pl&amp;hloc=uk</t>
  </si>
  <si>
    <t>Kingston FURY Beast weiß DIMM 16GB, DDR5-6000, CL36-44-44, on-die ECC</t>
  </si>
  <si>
    <t>KF560C36BWE2-16</t>
  </si>
  <si>
    <t>https://geizhals.eu/kingston-fury-beast-weiss-dimm-16gb-kf560c36bwe2-16-a3271733.html?hloc=at&amp;hloc=de&amp;hloc=eu&amp;hloc=pl&amp;hloc=uk</t>
  </si>
  <si>
    <t>Kingston FURY Beast weiß DIMM 16GB, DDR5-6000, CL30-36-36, on-die ECC</t>
  </si>
  <si>
    <t>KF560C30BWE-16</t>
  </si>
  <si>
    <t>https://geizhals.eu/kingston-fury-beast-weiss-dimm-16gb-kf560c30bwe-16-a3165108.html?hloc=at&amp;hloc=de&amp;hloc=eu&amp;hloc=pl&amp;hloc=uk</t>
  </si>
  <si>
    <t>KF560C30BW-16</t>
  </si>
  <si>
    <t>https://geizhals.eu/kingston-fury-beast-weiss-dimm-16gb-kf560c30bw-16-a3165243.html?hloc=at&amp;hloc=de&amp;hloc=eu&amp;hloc=pl&amp;hloc=uk</t>
  </si>
  <si>
    <t>Kingston FURY Beast weiß DIMM 16GB, DDR5-5600, CL40-40-40, on-die ECC</t>
  </si>
  <si>
    <t>KF556C40BW-16</t>
  </si>
  <si>
    <t>https://geizhals.eu/kingston-fury-beast-weiss-dimm-16gb-kf556c40bw-16-a2921659.html?hloc=at&amp;hloc=de&amp;hloc=eu&amp;hloc=pl&amp;hloc=uk</t>
  </si>
  <si>
    <t>Kingston FURY Beast weiß DIMM 16GB, DDR5-5600, CL36-38-38, on-die ECC</t>
  </si>
  <si>
    <t>KF556C36BWE-16</t>
  </si>
  <si>
    <t>https://geizhals.eu/kingston-fury-beast-weiss-dimm-16gb-kf556c36bwe-16-a2921657.html?hloc=at&amp;hloc=de&amp;hloc=eu&amp;hloc=pl&amp;hloc=uk</t>
  </si>
  <si>
    <t>Kingston FURY Beast weiß DIMM 16GB, DDR5-5200, CL40-40-40, on-die ECC</t>
  </si>
  <si>
    <t>KF552C40BW-16</t>
  </si>
  <si>
    <t>https://geizhals.eu/kingston-fury-beast-weiss-dimm-16gb-kf552c40bw-16-a2921656.html?hloc=at&amp;hloc=de&amp;hloc=eu&amp;hloc=pl&amp;hloc=uk</t>
  </si>
  <si>
    <t>Kingston FURY Beast weiß DIMM 16GB, DDR5-5200, CL36-40-40, on-die ECC</t>
  </si>
  <si>
    <t>KF552C36BWE-16</t>
  </si>
  <si>
    <t>https://geizhals.eu/kingston-fury-beast-weiss-dimm-16gb-kf552c36bwe-16-a2921655.html?hloc=at&amp;hloc=de&amp;hloc=eu&amp;hloc=pl&amp;hloc=uk</t>
  </si>
  <si>
    <t>Kingston FURY Beast schwarz DIMM Kit 128GB, DDR5-5600, CL40-40-40, on-die ECC</t>
  </si>
  <si>
    <t>KF556C40BBK4-128</t>
  </si>
  <si>
    <t>https://geizhals.eu/kingston-fury-beast-schwarz-dimm-kit-128gb-kf556c40bbk4-128-a2940948.html?hloc=at&amp;hloc=de&amp;hloc=eu&amp;hloc=pl&amp;hloc=uk</t>
  </si>
  <si>
    <t>Kingston FURY Beast schwarz DIMM Kit 128GB, DDR5-5200, CL40-40-40, on-die ECC</t>
  </si>
  <si>
    <t>KF552C40BBK4-128</t>
  </si>
  <si>
    <t>https://geizhals.eu/kingston-fury-beast-schwarz-dimm-kit-128gb-kf552c40bbk4-128-a2940947.html?hloc=at&amp;hloc=de&amp;hloc=eu&amp;hloc=pl&amp;hloc=uk</t>
  </si>
  <si>
    <t>Kingston FURY Beast schwarz DIMM Kit 64GB, DDR5-6400, CL32-39-39, on-die ECC</t>
  </si>
  <si>
    <t>KF564C32BBK2-64</t>
  </si>
  <si>
    <t>https://geizhals.eu/kingston-fury-beast-schwarz-dimm-kit-64gb-kf564c32bbk2-64-a3165426.html?hloc=at&amp;hloc=de&amp;hloc=eu&amp;hloc=pl&amp;hloc=uk</t>
  </si>
  <si>
    <t>KF564C32BBEK2-64</t>
  </si>
  <si>
    <t>https://geizhals.eu/kingston-fury-beast-schwarz-dimm-kit-64gb-kf564c32bbek2-64-a3165333.html?hloc=at&amp;hloc=de&amp;hloc=eu&amp;hloc=pl&amp;hloc=uk</t>
  </si>
  <si>
    <t>Kingston FURY Beast schwarz DIMM Kit 64GB, DDR5-6000, CL40-40-40, on-die ECC</t>
  </si>
  <si>
    <t>KF560C40BBK4-64</t>
  </si>
  <si>
    <t>https://geizhals.eu/kingston-fury-beast-schwarz-dimm-kit-64gb-kf560c40bbk4-64-a2940943.html?hloc=at&amp;hloc=de&amp;hloc=eu&amp;hloc=pl&amp;hloc=uk</t>
  </si>
  <si>
    <t>Kingston FURY Beast schwarz DIMM Kit 64GB, DDR5-6000, CL36-38-38, on-die ECC</t>
  </si>
  <si>
    <t>KF560C36BBEK2-64</t>
  </si>
  <si>
    <t>https://geizhals.eu/kingston-fury-beast-dimm-kit-64gb-kf560c36bbek2-64-a2876917.html?hloc=at&amp;hloc=de&amp;hloc=eu&amp;hloc=pl&amp;hloc=uk</t>
  </si>
  <si>
    <t>Kingston FURY Beast schwarz DIMM Kit 64GB, DDR5-6000, CL30-36-36, on-die ECC</t>
  </si>
  <si>
    <t>KF560C30BBK2-64</t>
  </si>
  <si>
    <t>https://geizhals.eu/kingston-fury-beast-schwarz-dimm-kit-64gb-kf560c30bbk2-64-a3165052.html?hloc=at&amp;hloc=de&amp;hloc=eu&amp;hloc=pl&amp;hloc=uk</t>
  </si>
  <si>
    <t>KF560C30BBEK2-64</t>
  </si>
  <si>
    <t>https://geizhals.eu/kingston-fury-beast-schwarz-dimm-kit-64gb-kf560c30bbek2-64-a3164913.html?hloc=at&amp;hloc=de&amp;hloc=eu&amp;hloc=pl&amp;hloc=uk</t>
  </si>
  <si>
    <t>Kingston FURY Beast schwarz DIMM Kit 64GB, DDR5-5600, CL40-40-40, on-die ECC</t>
  </si>
  <si>
    <t>KF556C40BBK4-64</t>
  </si>
  <si>
    <t>https://geizhals.eu/kingston-fury-beast-schwarz-dimm-kit-64gb-kf556c40bbk4-64-a2940944.html?hloc=at&amp;hloc=de&amp;hloc=eu&amp;hloc=pl&amp;hloc=uk</t>
  </si>
  <si>
    <t>KF556C40BBK2-64</t>
  </si>
  <si>
    <t>https://geizhals.eu/kingston-fury-beast-dimm-kit-64gb-kf556c40bbk2-64-a2684945.html?hloc=at&amp;hloc=de&amp;hloc=eu&amp;hloc=pl&amp;hloc=uk</t>
  </si>
  <si>
    <t>Kingston FURY Beast schwarz DIMM Kit 64GB, DDR5-5600, CL36-38-38, on-die ECC</t>
  </si>
  <si>
    <t>KF556C36BBEK2-64</t>
  </si>
  <si>
    <t>https://geizhals.eu/kingston-fury-beast-dimm-kit-64gb-kf556c36bbek2-64-a2876907.html?hloc=at&amp;hloc=de&amp;hloc=eu&amp;hloc=pl&amp;hloc=uk</t>
  </si>
  <si>
    <t>Kingston FURY Beast schwarz DIMM Kit 64GB, DDR5-5200, CL40-40-40, on-die ECC</t>
  </si>
  <si>
    <t>KF552C40BBK4-64</t>
  </si>
  <si>
    <t>https://geizhals.eu/kingston-fury-beast-schwarz-dimm-kit-64gb-kf552c40bbk4-64-a2940946.html?hloc=at&amp;hloc=de&amp;hloc=eu&amp;hloc=pl&amp;hloc=uk</t>
  </si>
  <si>
    <t>KF552C40BBK2-64</t>
  </si>
  <si>
    <t>https://geizhals.eu/kingston-fury-beast-dimm-kit-64gb-kf552c40bbk2-64-a2684933.html?hloc=at&amp;hloc=de&amp;hloc=eu&amp;hloc=pl&amp;hloc=uk</t>
  </si>
  <si>
    <t>Kingston FURY Beast schwarz DIMM Kit 64GB, DDR5-5200, CL36-40-40, on-die ECC</t>
  </si>
  <si>
    <t>KF552C36BBEK2-64</t>
  </si>
  <si>
    <t>https://geizhals.eu/kingston-fury-beast-dimm-kit-64gb-kf552c36bbek2-64-a2876905.html?hloc=at&amp;hloc=de&amp;hloc=eu&amp;hloc=pl&amp;hloc=uk</t>
  </si>
  <si>
    <t>Kingston FURY Beast schwarz DIMM Kit 32GB, DDR5-6800, CL34-45-45, on-die ECC</t>
  </si>
  <si>
    <t>KF568C34BBK2-32</t>
  </si>
  <si>
    <t>https://geizhals.eu/kingston-fury-beast-schwarz-dimm-kit-32gb-kf568c34bbk2-32-a3166247.html?hloc=at&amp;hloc=de&amp;hloc=eu&amp;hloc=pl&amp;hloc=uk</t>
  </si>
  <si>
    <t>KF568C34BBEK2-32</t>
  </si>
  <si>
    <t>https://geizhals.eu/kingston-fury-beast-schwarz-dimm-kit-32gb-kf568c34bbek2-32-a3166243.html?hloc=at&amp;hloc=de&amp;hloc=eu&amp;hloc=pl&amp;hloc=uk</t>
  </si>
  <si>
    <t>Kingston FURY Beast schwarz DIMM Kit 32GB, DDR5-6400, CL32-39-39, on-die ECC</t>
  </si>
  <si>
    <t>KF564C32BBK2-32</t>
  </si>
  <si>
    <t>https://geizhals.eu/kingston-fury-beast-schwarz-dimm-kit-32gb-kf564c32bbk2-32-a3165421.html?hloc=at&amp;hloc=de&amp;hloc=eu&amp;hloc=pl&amp;hloc=uk</t>
  </si>
  <si>
    <t>KF564C32BBEK2-32</t>
  </si>
  <si>
    <t>https://geizhals.eu/kingston-fury-beast-schwarz-dimm-kit-32gb-kf564c32bbek2-32-a3165334.html?hloc=at&amp;hloc=de&amp;hloc=eu&amp;hloc=pl&amp;hloc=uk</t>
  </si>
  <si>
    <t>Kingston FURY Beast schwarz DIMM Kit 32GB, DDR5-6000, CL40-40-40, on-die ECC</t>
  </si>
  <si>
    <t>KF560C40BBK2-32</t>
  </si>
  <si>
    <t>https://geizhals.eu/kingston-fury-beast-dimm-kit-32gb-kf560c40bbk2-32-a2649159.html?hloc=at&amp;hloc=de&amp;hloc=eu&amp;hloc=pl&amp;hloc=uk</t>
  </si>
  <si>
    <t>Kingston FURY Beast schwarz DIMM Kit 32GB, DDR5-6000, CL36-44-44, on-die ECC</t>
  </si>
  <si>
    <t>KF560C36BBE2K2-32</t>
  </si>
  <si>
    <t>https://geizhals.eu/kingston-fury-beast-schwarz-dimm-kit-32gb-kf560c36bbe2k2-32-a3271718.html?hloc=at&amp;hloc=de&amp;hloc=eu&amp;hloc=pl&amp;hloc=uk</t>
  </si>
  <si>
    <t>Kingston FURY Beast schwarz DIMM Kit 32GB, DDR5-6000, CL30-36-36, on-die ECC</t>
  </si>
  <si>
    <t>KF560C30BBK2-32</t>
  </si>
  <si>
    <t>https://geizhals.eu/kingston-fury-beast-schwarz-dimm-kit-32gb-kf560c30bbk2-32-a3165050.html?hloc=at&amp;hloc=de&amp;hloc=eu&amp;hloc=pl&amp;hloc=uk</t>
  </si>
  <si>
    <t>KF560C30BBEK2-32</t>
  </si>
  <si>
    <t>https://geizhals.eu/kingston-fury-beast-schwarz-dimm-kit-32gb-kf560c30bbek2-32-a3164911.html?hloc=at&amp;hloc=de&amp;hloc=eu&amp;hloc=pl&amp;hloc=uk</t>
  </si>
  <si>
    <t>Kingston FURY Beast schwarz DIMM Kit 32GB, DDR5-5600, CL40-40-40, on-die ECC</t>
  </si>
  <si>
    <t>KF556C40BBK2-32</t>
  </si>
  <si>
    <t>https://geizhals.eu/kingston-fury-beast-dimm-kit-32gb-kf556c40bbk2-32-a2649156.html?hloc=at&amp;hloc=de&amp;hloc=eu&amp;hloc=pl&amp;hloc=uk</t>
  </si>
  <si>
    <t>Kingston FURY Beast schwarz DIMM Kit 32GB, DDR5-5600, CL36-38-38, on-die ECC</t>
  </si>
  <si>
    <t>KF556C36BBEK2-32</t>
  </si>
  <si>
    <t>https://geizhals.eu/kingston-fury-beast-dimm-kit-32gb-kf556c36bbek2-32-a2812852.html?hloc=at&amp;hloc=de&amp;hloc=eu&amp;hloc=pl&amp;hloc=uk</t>
  </si>
  <si>
    <t>Kingston FURY Beast schwarz DIMM Kit 32GB, DDR5-5200, CL40-40-40, on-die ECC</t>
  </si>
  <si>
    <t>KF552C40BBK2-32</t>
  </si>
  <si>
    <t>https://geizhals.eu/kingston-fury-beast-dimm-kit-32gb-kf552c40bbk2-32-a2627382.html?hloc=at&amp;hloc=de&amp;hloc=eu&amp;hloc=pl&amp;hloc=uk</t>
  </si>
  <si>
    <t>Kingston FURY Beast schwarz DIMM Kit 32GB, DDR5-5200, CL36-40-40, on-die ECC</t>
  </si>
  <si>
    <t>KF552C36BBEK2-32</t>
  </si>
  <si>
    <t>https://geizhals.eu/kingston-fury-beast-dimm-kit-32gb-kf552c36bbek2-32-a2812874.html?hloc=at&amp;hloc=de&amp;hloc=eu&amp;hloc=pl&amp;hloc=uk</t>
  </si>
  <si>
    <t>Kingston FURY Beast schwarz DIMM Kit 16GB, DDR5-6000, CL40-40-40, on-die ECC</t>
  </si>
  <si>
    <t>KF560C40BBK2-16</t>
  </si>
  <si>
    <t>https://geizhals.eu/kingston-fury-beast-dimm-kit-16gb-kf560c40bbk2-16-a2684949.html?hloc=at&amp;hloc=de&amp;hloc=eu&amp;hloc=pl&amp;hloc=uk</t>
  </si>
  <si>
    <t>Kingston FURY Beast schwarz DIMM Kit 16GB, DDR5-6000, CL36-38-38, on-die ECC</t>
  </si>
  <si>
    <t>KF560C36BBEK2-16</t>
  </si>
  <si>
    <t>https://geizhals.eu/kingston-fury-beast-dimm-kit-16gb-kf560c36bbek2-16-a2876915.html?hloc=at&amp;hloc=de&amp;hloc=eu&amp;hloc=pl&amp;hloc=uk</t>
  </si>
  <si>
    <t>Kingston FURY Beast schwarz DIMM Kit 16GB, DDR5-6000, CL30-36-36, on-die ECC</t>
  </si>
  <si>
    <t>KF560C30BBK2-16</t>
  </si>
  <si>
    <t>https://geizhals.eu/kingston-fury-beast-schwarz-dimm-kit-16gb-kf560c30bbk2-16-a3165045.html?hloc=at&amp;hloc=de&amp;hloc=eu&amp;hloc=pl&amp;hloc=uk</t>
  </si>
  <si>
    <t>KF560C30BBEK2-16</t>
  </si>
  <si>
    <t>https://geizhals.eu/kingston-fury-beast-schwarz-dimm-kit-16gb-kf560c30bbek2-16-a3164900.html?hloc=at&amp;hloc=de&amp;hloc=eu&amp;hloc=pl&amp;hloc=uk</t>
  </si>
  <si>
    <t>Kingston FURY Beast schwarz DIMM Kit 16GB, DDR5-5600, CL40-40-40, on-die ECC</t>
  </si>
  <si>
    <t>KF556C40BBK2-16</t>
  </si>
  <si>
    <t>https://geizhals.eu/kingston-fury-beast-dimm-kit-16gb-kf556c40bbk2-16-a2684940.html?hloc=at&amp;hloc=de&amp;hloc=eu&amp;hloc=pl&amp;hloc=uk</t>
  </si>
  <si>
    <t>Kingston FURY Beast schwarz DIMM Kit 16GB, DDR5-5600, CL36-38-38, on-die ECC</t>
  </si>
  <si>
    <t>KF556C36BBEK2-16</t>
  </si>
  <si>
    <t>https://geizhals.eu/kingston-fury-beast-dimm-kit-16gb-kf556c36bbek2-16-a2876909.html?hloc=at&amp;hloc=de&amp;hloc=eu&amp;hloc=pl&amp;hloc=uk</t>
  </si>
  <si>
    <t>Kingston FURY Beast schwarz DIMM Kit 16GB, DDR5-5200, CL40-40-40, on-die ECC</t>
  </si>
  <si>
    <t>KF552C40BBK2-16</t>
  </si>
  <si>
    <t>https://geizhals.eu/kingston-fury-beast-dimm-kit-16gb-kf552c40bbk2-16-a2684937.html?hloc=at&amp;hloc=de&amp;hloc=eu&amp;hloc=pl&amp;hloc=uk</t>
  </si>
  <si>
    <t>Kingston FURY Beast schwarz DIMM Kit 16GB, DDR5-5200, CL36-40-40, on-die ECC</t>
  </si>
  <si>
    <t>KF552C36BBEK2-16</t>
  </si>
  <si>
    <t>https://geizhals.eu/kingston-fury-beast-dimm-kit-16gb-kf552c36bbek2-16-a2876902.html?hloc=at&amp;hloc=de&amp;hloc=eu&amp;hloc=pl&amp;hloc=uk</t>
  </si>
  <si>
    <t>Kingston FURY Beast schwarz DIMM 32GB, DDR5-6400, CL32-39-39, on-die ECC</t>
  </si>
  <si>
    <t>KF564C32BBE-32</t>
  </si>
  <si>
    <t>https://geizhals.eu/kingston-fury-beast-schwarz-dimm-32gb-kf564c32bbe-32-a3165341.html?hloc=at&amp;hloc=de&amp;hloc=eu&amp;hloc=pl&amp;hloc=uk</t>
  </si>
  <si>
    <t>KF564C32BB-32</t>
  </si>
  <si>
    <t>https://geizhals.eu/kingston-fury-beast-schwarz-dimm-32gb-kf564c32bb-32-a3165414.html?hloc=at&amp;hloc=de&amp;hloc=eu&amp;hloc=pl&amp;hloc=uk</t>
  </si>
  <si>
    <t>Kingston FURY Beast schwarz DIMM 32GB, DDR5-6000, CL40-40-40, on-die ECC</t>
  </si>
  <si>
    <t>KF560C40BB-32</t>
  </si>
  <si>
    <t>https://geizhals.eu/kingston-fury-beast-dimm-32gb-kf560c40bb-32-a2876893.html?hloc=at&amp;hloc=de&amp;hloc=eu&amp;hloc=pl&amp;hloc=uk</t>
  </si>
  <si>
    <t>Kingston FURY Beast schwarz DIMM 32GB, DDR5-6000, CL36-38-38, on-die ECC</t>
  </si>
  <si>
    <t>KF560C36BBE-32</t>
  </si>
  <si>
    <t>https://geizhals.eu/kingston-fury-beast-dimm-32gb-kf560c36bbe-32-a2876884.html?hloc=at&amp;hloc=de&amp;hloc=eu&amp;hloc=pl&amp;hloc=uk</t>
  </si>
  <si>
    <t>Kingston FURY Beast schwarz DIMM 32GB, DDR5-6000, CL30-36-36, on-die ECC</t>
  </si>
  <si>
    <t>KF560C30BBE-32</t>
  </si>
  <si>
    <t>https://geizhals.eu/kingston-fury-beast-schwarz-dimm-32gb-kf560c30bbe-32-a3164874.html?hloc=at&amp;hloc=de&amp;hloc=eu&amp;hloc=pl&amp;hloc=uk</t>
  </si>
  <si>
    <t>KF560C30BB-32</t>
  </si>
  <si>
    <t>https://geizhals.eu/kingston-fury-beast-schwarz-dimm-32gb-kf560c30bb-32-a3165043.html?hloc=at&amp;hloc=de&amp;hloc=eu&amp;hloc=pl&amp;hloc=uk</t>
  </si>
  <si>
    <t>Kingston FURY Beast schwarz DIMM 32GB, DDR5-5600, CL40-40-40, on-die ECC</t>
  </si>
  <si>
    <t>KF556C40BB-32</t>
  </si>
  <si>
    <t>https://geizhals.eu/kingston-fury-beast-dimm-32gb-kf556c40bb-32-a2686439.html?hloc=at&amp;hloc=de&amp;hloc=eu&amp;hloc=pl&amp;hloc=uk</t>
  </si>
  <si>
    <t>Kingston FURY Beast schwarz DIMM 32GB, DDR5-5600, CL36-38-38, on-die ECC</t>
  </si>
  <si>
    <t>KF556C36BBE-32</t>
  </si>
  <si>
    <t>https://geizhals.eu/kingston-fury-beast-dimm-32gb-kf556c36bbe-32-a2876881.html?hloc=at&amp;hloc=de&amp;hloc=eu&amp;hloc=pl&amp;hloc=uk</t>
  </si>
  <si>
    <t>Kingston FURY Beast schwarz DIMM 32GB, DDR5-5200, CL40-40-40, on-die ECC</t>
  </si>
  <si>
    <t>KF552C40BB-32</t>
  </si>
  <si>
    <t>https://geizhals.eu/kingston-fury-beast-dimm-32gb-kf552c40bb-32-a2684911.html?hloc=at&amp;hloc=de&amp;hloc=eu&amp;hloc=pl&amp;hloc=uk</t>
  </si>
  <si>
    <t>Kingston FURY Beast schwarz DIMM 32GB, DDR5-5200, CL36-40-40, on-die ECC</t>
  </si>
  <si>
    <t>KF552C36BBE-32</t>
  </si>
  <si>
    <t>https://geizhals.eu/kingston-fury-beast-dimm-32gb-kf552c36bbe-32-a2876882.html?hloc=at&amp;hloc=de&amp;hloc=eu&amp;hloc=pl&amp;hloc=uk</t>
  </si>
  <si>
    <t>Kingston FURY Beast schwarz DIMM 16GB, DDR5-6800, CL34-45-45, on-die ECC</t>
  </si>
  <si>
    <t>KF568C34BBE-16</t>
  </si>
  <si>
    <t>https://geizhals.eu/kingston-fury-beast-schwarz-dimm-16gb-kf568c34bbe-16-a3166143.html?hloc=at&amp;hloc=de&amp;hloc=eu&amp;hloc=pl&amp;hloc=uk</t>
  </si>
  <si>
    <t>KF568C34BB-16</t>
  </si>
  <si>
    <t>https://geizhals.eu/kingston-fury-beast-schwarz-dimm-16gb-kf568c34bb-16-a3166152.html?hloc=at&amp;hloc=de&amp;hloc=eu&amp;hloc=pl&amp;hloc=uk</t>
  </si>
  <si>
    <t>Kingston FURY Beast schwarz DIMM 16GB, DDR5-6400, CL32-39-39, on-die ECC</t>
  </si>
  <si>
    <t>KF564C32BBE-16</t>
  </si>
  <si>
    <t>https://geizhals.eu/kingston-fury-beast-schwarz-dimm-16gb-kf564c32bbe-16-a3165338.html?hloc=at&amp;hloc=de&amp;hloc=eu&amp;hloc=pl&amp;hloc=uk</t>
  </si>
  <si>
    <t>KF564C32BB-16</t>
  </si>
  <si>
    <t>https://geizhals.eu/kingston-fury-beast-schwarz-dimm-16gb-kf564c32bb-16-a3165412.html?hloc=at&amp;hloc=de&amp;hloc=eu&amp;hloc=pl&amp;hloc=uk</t>
  </si>
  <si>
    <t>Kingston FURY Beast schwarz DIMM 16GB, DDR5-6000, CL40-40-40, on-die ECC</t>
  </si>
  <si>
    <t>KF560C40BB-16</t>
  </si>
  <si>
    <t>https://geizhals.eu/kingston-fury-beast-dimm-16gb-kf560c40bb-16-a2649157.html?hloc=at&amp;hloc=de&amp;hloc=eu&amp;hloc=pl&amp;hloc=uk</t>
  </si>
  <si>
    <t>Kingston FURY Beast schwarz DIMM 16GB, DDR5-6000, CL36-44-44, on-die ECC</t>
  </si>
  <si>
    <t>KF560C36BBE2-16</t>
  </si>
  <si>
    <t>https://geizhals.eu/kingston-fury-beast-schwarz-dimm-16gb-kf560c36bbe2-16-a3271715.html?hloc=at&amp;hloc=de&amp;hloc=eu&amp;hloc=pl&amp;hloc=uk</t>
  </si>
  <si>
    <t>Kingston FURY Beast schwarz DIMM 16GB, DDR5-6000, CL36-38-38, on-die ECC</t>
  </si>
  <si>
    <t>KF560C36BBE-16</t>
  </si>
  <si>
    <t>https://geizhals.eu/kingston-fury-beast-dimm-16gb-kf560c36bbe-16-a2812843.html?hloc=at&amp;hloc=de&amp;hloc=eu&amp;hloc=pl&amp;hloc=uk</t>
  </si>
  <si>
    <t>Kingston FURY Beast schwarz DIMM 16GB, DDR5-6000, CL30-36-36, on-die ECC</t>
  </si>
  <si>
    <t>KF560C30BBE-16</t>
  </si>
  <si>
    <t>https://geizhals.eu/kingston-fury-beast-schwarz-dimm-16gb-kf560c30bbe-16-a3164866.html?hloc=at&amp;hloc=de&amp;hloc=eu&amp;hloc=pl&amp;hloc=uk</t>
  </si>
  <si>
    <t>KF560C30BB-16</t>
  </si>
  <si>
    <t>https://geizhals.eu/kingston-fury-beast-schwarz-dimm-16gb-kf560c30bb-16-a3165038.html?hloc=at&amp;hloc=de&amp;hloc=eu&amp;hloc=pl&amp;hloc=uk</t>
  </si>
  <si>
    <t>Kingston FURY Beast schwarz DIMM 16GB, DDR5-5600, CL40-40-40, on-die ECC</t>
  </si>
  <si>
    <t>KF556C40BB-16</t>
  </si>
  <si>
    <t>https://geizhals.eu/kingston-fury-beast-dimm-16gb-kf556c40bb-16-a2649152.html?hloc=at&amp;hloc=de&amp;hloc=eu&amp;hloc=pl&amp;hloc=uk</t>
  </si>
  <si>
    <t>Kingston FURY Beast schwarz DIMM 16GB, DDR5-5600, CL36-38-38, on-die ECC</t>
  </si>
  <si>
    <t>KF556C36BBE-16</t>
  </si>
  <si>
    <t>https://geizhals.eu/kingston-fury-beast-dimm-16gb-kf556c36bbe-16-a2812848.html?hloc=at&amp;hloc=de&amp;hloc=eu&amp;hloc=pl&amp;hloc=uk</t>
  </si>
  <si>
    <t>Kingston FURY Beast schwarz DIMM 16GB, DDR5-5200, CL40-40-40, on-die ECC</t>
  </si>
  <si>
    <t>KF552C40BB-16</t>
  </si>
  <si>
    <t>https://geizhals.eu/kingston-fury-beast-dimm-16gb-kf552c40bb-16-a2627391.html?hloc=at&amp;hloc=de&amp;hloc=eu&amp;hloc=pl&amp;hloc=uk</t>
  </si>
  <si>
    <t>Kingston FURY Beast schwarz DIMM 16GB, DDR5-5200, CL36-40-40, on-die ECC</t>
  </si>
  <si>
    <t>KF552C36BBE-16</t>
  </si>
  <si>
    <t>https://geizhals.eu/kingston-fury-beast-dimm-16gb-kf552c36bbe-16-a2812858.html?hloc=at&amp;hloc=de&amp;hloc=eu&amp;hloc=pl&amp;hloc=uk</t>
  </si>
  <si>
    <t>Kingston FURY Beast schwarz DIMM 8GB, DDR5-6000, CL40-40-40, on-die ECC</t>
  </si>
  <si>
    <t>KF560C40BB-8</t>
  </si>
  <si>
    <t>https://geizhals.eu/kingston-fury-beast-dimm-8gb-kf560c40bb-8-a2684928.html?hloc=at&amp;hloc=de&amp;hloc=eu&amp;hloc=pl&amp;hloc=uk</t>
  </si>
  <si>
    <t>Kingston FURY Beast schwarz DIMM 8GB, DDR5-6000, CL36-38-38, on-die ECC</t>
  </si>
  <si>
    <t>KF560C36BBE-8</t>
  </si>
  <si>
    <t>https://geizhals.eu/kingston-fury-beast-dimm-8gb-kf560c36bbe-8-a2876879.html?hloc=at&amp;hloc=de&amp;hloc=eu&amp;hloc=pl&amp;hloc=uk</t>
  </si>
  <si>
    <t>Kingston FURY Beast schwarz DIMM 8GB, DDR5-6000, CL30-36-36, on-die ECC</t>
  </si>
  <si>
    <t>KF560C30BBE-8</t>
  </si>
  <si>
    <t>https://geizhals.eu/kingston-fury-beast-schwarz-dimm-8gb-kf560c30bbe-8-a3164871.html?hloc=at&amp;hloc=de&amp;hloc=eu&amp;hloc=pl&amp;hloc=uk</t>
  </si>
  <si>
    <t>KF560C30BB-8</t>
  </si>
  <si>
    <t>https://geizhals.eu/kingston-fury-beast-schwarz-dimm-8gb-kf560c30bb-8-a3165030.html?hloc=at&amp;hloc=de&amp;hloc=eu&amp;hloc=pl&amp;hloc=uk</t>
  </si>
  <si>
    <t>Kingston FURY Beast schwarz DIMM 8GB, DDR5-5600, CL40-40-40, on-die ECC</t>
  </si>
  <si>
    <t>KF556C40BB-8</t>
  </si>
  <si>
    <t>https://geizhals.eu/kingston-fury-beast-dimm-8gb-kf556c40bb-8-a2684920.html?hloc=at&amp;hloc=de&amp;hloc=eu&amp;hloc=pl&amp;hloc=uk</t>
  </si>
  <si>
    <t>Kingston FURY Beast schwarz DIMM 8GB, DDR5-5600, CL36-38-38, on-die ECC</t>
  </si>
  <si>
    <t>KF556C36BBE-8</t>
  </si>
  <si>
    <t>https://geizhals.eu/kingston-fury-beast-dimm-8gb-kf556c36bbe-8-a2876897.html?hloc=at&amp;hloc=de&amp;hloc=eu&amp;hloc=pl&amp;hloc=uk</t>
  </si>
  <si>
    <t>Kingston FURY Beast schwarz DIMM 8GB, DDR5-5200, CL40-40-40, on-die ECC</t>
  </si>
  <si>
    <t>KF552C40BB-8</t>
  </si>
  <si>
    <t>https://geizhals.eu/kingston-fury-beast-dimm-8gb-kf552c40bb-8-a2684906.html?hloc=at&amp;hloc=de&amp;hloc=eu&amp;hloc=pl&amp;hloc=uk</t>
  </si>
  <si>
    <t>Kingston FURY Beast schwarz DIMM 8GB, DDR5-5200, CL36-40-40, on-die ECC</t>
  </si>
  <si>
    <t>KF552C36BBE-8</t>
  </si>
  <si>
    <t>https://geizhals.eu/kingston-fury-beast-dimm-8gb-kf552c36bbe-8-a2876888.html?hloc=at&amp;hloc=de&amp;hloc=eu&amp;hloc=pl&amp;hloc=uk</t>
  </si>
  <si>
    <t>Kingston FURY Beast schwarz DIMM 8GB, DDR5-4800, CL38-38-38, on-die ECC</t>
  </si>
  <si>
    <t>KF548C38BB-8</t>
  </si>
  <si>
    <t>https://geizhals.eu/kingston-fury-beast-dimm-8gb-kf548c38bb-8-a2684850.html?hloc=at&amp;hloc=de&amp;hloc=eu&amp;hloc=pl&amp;hloc=uk</t>
  </si>
  <si>
    <t>Kingston FURY Beast RGB weiß DIMM Kit 128GB, DDR5-5600, CL40-40-40, on-die ECC</t>
  </si>
  <si>
    <t>KF556C40BWAK4-128</t>
  </si>
  <si>
    <t>RGB, Multi-Zone, ASRock Polychrome Sync, ASUS Aura Sync, Gigabyte RGB Fusion 2.0, Kingston FURY CTRL, MSI Mystic Light Sync</t>
  </si>
  <si>
    <t>https://geizhals.eu/kingston-fury-beast-rgb-weiss-dimm-kit-128gb-kf556c40bwak4-128-a2939526.html?hloc=at&amp;hloc=de&amp;hloc=eu&amp;hloc=pl&amp;hloc=uk</t>
  </si>
  <si>
    <t>Kingston FURY Beast RGB weiß DIMM Kit 64GB, DDR5-6400, CL32-39-39, on-die ECC</t>
  </si>
  <si>
    <t>KF564C32BWEAK2-64</t>
  </si>
  <si>
    <t>https://geizhals.eu/kingston-fury-beast-rgb-weiss-dimm-kit-64gb-kf564c32bweak2-64-a3166056.html?hloc=at&amp;hloc=de&amp;hloc=eu&amp;hloc=pl&amp;hloc=uk</t>
  </si>
  <si>
    <t>KF564C32BWAK2-64</t>
  </si>
  <si>
    <t>https://geizhals.eu/kingston-fury-beast-rgb-weiss-dimm-kit-64gb-kf564c32bwak2-64-a3166057.html?hloc=at&amp;hloc=de&amp;hloc=eu&amp;hloc=pl&amp;hloc=uk</t>
  </si>
  <si>
    <t>Kingston FURY Beast RGB weiß DIMM Kit 64GB, DDR5-6000, CL40-40-40, on-die ECC</t>
  </si>
  <si>
    <t>KF560C40BWAK4-64</t>
  </si>
  <si>
    <t>https://geizhals.eu/kingston-fury-beast-rgb-weiss-dimm-kit-64gb-kf560c40bwak4-64-a2940905.html?hloc=at&amp;hloc=de&amp;hloc=eu&amp;hloc=pl&amp;hloc=uk</t>
  </si>
  <si>
    <t>Kingston FURY Beast RGB weiß DIMM Kit 64GB, DDR5-6000, CL36-38-38, on-die ECC</t>
  </si>
  <si>
    <t>KF560C36BWEAK2-64</t>
  </si>
  <si>
    <t>https://geizhals.eu/kingston-fury-beast-rgb-weiss-dimm-kit-64gb-kf560c36bweak2-64-a2921644.html?hloc=at&amp;hloc=de&amp;hloc=eu&amp;hloc=pl&amp;hloc=uk</t>
  </si>
  <si>
    <t>Kingston FURY Beast RGB weiß DIMM Kit 64GB, DDR5-6000, CL30-36-36, on-die ECC</t>
  </si>
  <si>
    <t>KF560C30BWEAK2-64</t>
  </si>
  <si>
    <t>https://geizhals.eu/kingston-fury-beast-rgb-weiss-dimm-kit-64gb-kf560c30bweak2-64-a3165197.html?hloc=at&amp;hloc=de&amp;hloc=eu&amp;hloc=pl&amp;hloc=uk</t>
  </si>
  <si>
    <t>KF560C30BWAK2-64</t>
  </si>
  <si>
    <t>https://geizhals.eu/kingston-fury-beast-rgb-weiss-dimm-kit-64gb-kf560c30bwak2-64-a3165320.html?hloc=at&amp;hloc=de&amp;hloc=eu&amp;hloc=pl&amp;hloc=uk</t>
  </si>
  <si>
    <t>Kingston FURY Beast RGB weiß DIMM Kit 64GB, DDR5-5600, CL40-40-40, on-die ECC</t>
  </si>
  <si>
    <t>KF556C40BWAK4-64</t>
  </si>
  <si>
    <t>https://geizhals.eu/kingston-fury-beast-rgb-weiss-dimm-kit-64gb-kf556c40bwak4-64-a2940937.html?hloc=at&amp;hloc=de&amp;hloc=eu&amp;hloc=pl&amp;hloc=uk</t>
  </si>
  <si>
    <t>KF556C40BWAK2-64</t>
  </si>
  <si>
    <t>https://geizhals.eu/kingston-fury-beast-rgb-weiss-dimm-kit-64gb-kf556c40bwak2-64-a2921643.html?hloc=at&amp;hloc=de&amp;hloc=eu&amp;hloc=pl&amp;hloc=uk</t>
  </si>
  <si>
    <t>Kingston FURY Beast RGB weiß DIMM Kit 64GB, DDR5-5600, CL36-38-38, on-die ECC</t>
  </si>
  <si>
    <t>KF556C36BWEAK2-64</t>
  </si>
  <si>
    <t>https://geizhals.eu/kingston-fury-beast-rgb-weiss-dimm-kit-64gb-kf556c36bweak2-64-a2921642.html?hloc=at&amp;hloc=de&amp;hloc=eu&amp;hloc=pl&amp;hloc=uk</t>
  </si>
  <si>
    <t>Kingston FURY Beast RGB weiß DIMM Kit 64GB, DDR5-5200, CL40-40-40, on-die ECC</t>
  </si>
  <si>
    <t>KF552C40BWAK4-64</t>
  </si>
  <si>
    <t>https://geizhals.eu/kingston-fury-beast-rgb-weiss-dimm-kit-64gb-kf552c40bwak4-64-a2940938.html?hloc=at&amp;hloc=de&amp;hloc=eu&amp;hloc=pl&amp;hloc=uk</t>
  </si>
  <si>
    <t>KF552C40BWAK2-64</t>
  </si>
  <si>
    <t>https://geizhals.eu/kingston-fury-beast-rgb-weiss-dimm-kit-64gb-kf552c40bwak2-64-a2921641.html?hloc=at&amp;hloc=de&amp;hloc=eu&amp;hloc=pl&amp;hloc=uk</t>
  </si>
  <si>
    <t>Kingston FURY Beast RGB weiß DIMM Kit 64GB, DDR5-5200, CL36-38-38, on-die ECC</t>
  </si>
  <si>
    <t>KF552C36BWEAK2-64</t>
  </si>
  <si>
    <t>https://geizhals.eu/kingston-fury-beast-rgb-weiss-dimm-kit-64gb-kf552c36bweak2-64-a2921640.html?hloc=at&amp;hloc=de&amp;hloc=eu&amp;hloc=pl&amp;hloc=uk</t>
  </si>
  <si>
    <t>Kingston FURY Beast RGB weiß DIMM Kit 32GB, DDR5-6800, CL34-45-45, on-die ECC</t>
  </si>
  <si>
    <t>KF568C34BWEAK2-32</t>
  </si>
  <si>
    <t>https://geizhals.eu/kingston-fury-beast-rgb-weiss-dimm-kit-32gb-kf568c34bweak2-32-a3166299.html?hloc=at&amp;hloc=de&amp;hloc=eu&amp;hloc=pl&amp;hloc=uk</t>
  </si>
  <si>
    <t>KF568C34BWAK2-32</t>
  </si>
  <si>
    <t>https://geizhals.eu/kingston-fury-beast-rgb-weiss-dimm-kit-32gb-kf568c34bwak2-32-a3166304.html?hloc=at&amp;hloc=de&amp;hloc=eu&amp;hloc=pl&amp;hloc=uk</t>
  </si>
  <si>
    <t>Kingston FURY Beast RGB weiß DIMM Kit 32GB, DDR5-6400, CL32-39-39, on-die ECC</t>
  </si>
  <si>
    <t>KF564C32BWEAK2-32</t>
  </si>
  <si>
    <t>https://geizhals.eu/kingston-fury-beast-rgb-weiss-dimm-kit-32gb-kf564c32bweak2-32-a3166050.html?hloc=at&amp;hloc=de&amp;hloc=eu&amp;hloc=pl&amp;hloc=uk</t>
  </si>
  <si>
    <t>KF564C32BWAK2-32</t>
  </si>
  <si>
    <t>https://geizhals.eu/kingston-fury-beast-rgb-weiss-dimm-kit-32gb-kf564c32bwak2-32-a3166061.html?hloc=at&amp;hloc=de&amp;hloc=eu&amp;hloc=pl&amp;hloc=uk</t>
  </si>
  <si>
    <t>Kingston FURY Beast RGB weiß DIMM Kit 32GB, DDR5-6000, CL40-40-40, on-die ECC</t>
  </si>
  <si>
    <t>KF560C40BWAK2-32</t>
  </si>
  <si>
    <t>https://geizhals.eu/kingston-fury-beast-rgb-weiss-dimm-kit-32gb-kf560c40bwak2-32-a2921637.html?hloc=at&amp;hloc=de&amp;hloc=eu&amp;hloc=pl&amp;hloc=uk</t>
  </si>
  <si>
    <t>Kingston FURY Beast RGB weiß DIMM Kit 32GB, DDR5-6000, CL36-44-44, on-die ECC</t>
  </si>
  <si>
    <t>KF560C36BWE2AK2-32</t>
  </si>
  <si>
    <t>https://geizhals.eu/kingston-fury-beast-rgb-weiss-dimm-kit-32gb-kf560c36bwe2ak2-32-a3271987.html?hloc=at&amp;hloc=de&amp;hloc=eu&amp;hloc=pl&amp;hloc=uk</t>
  </si>
  <si>
    <t>Kingston FURY Beast RGB weiß DIMM Kit 32GB, DDR5-6000, CL30-36-36, on-die ECC</t>
  </si>
  <si>
    <t>KF560C30BWEAK2-32</t>
  </si>
  <si>
    <t>https://geizhals.eu/kingston-fury-beast-rgb-weiss-dimm-kit-32gb-kf560c30bweak2-32-a3165189.html?hloc=at&amp;hloc=de&amp;hloc=eu&amp;hloc=pl&amp;hloc=uk</t>
  </si>
  <si>
    <t>KF560C30BWAK2-32</t>
  </si>
  <si>
    <t>https://geizhals.eu/kingston-fury-beast-rgb-weiss-dimm-kit-32gb-kf560c30bwak2-32-a3165317.html?hloc=at&amp;hloc=de&amp;hloc=eu&amp;hloc=pl&amp;hloc=uk</t>
  </si>
  <si>
    <t>Kingston FURY Beast RGB weiß DIMM Kit 32GB, DDR5-5600, CL40-40-40, on-die ECC</t>
  </si>
  <si>
    <t>KF556C40BWAK2-32</t>
  </si>
  <si>
    <t>https://geizhals.eu/kingston-fury-beast-rgb-weiss-dimm-kit-32gb-kf556c40bwak2-32-a2921635.html?hloc=at&amp;hloc=de&amp;hloc=eu&amp;hloc=pl&amp;hloc=uk</t>
  </si>
  <si>
    <t>Kingston FURY Beast RGB weiß DIMM Kit 32GB, DDR5-5600, CL36-38-38, on-die ECC</t>
  </si>
  <si>
    <t>KF556C36BWEAK2-32</t>
  </si>
  <si>
    <t>https://geizhals.eu/kingston-fury-beast-rgb-weiss-dimm-kit-32gb-kf556c36bweak2-32-a2921634.html?hloc=at&amp;hloc=de&amp;hloc=eu&amp;hloc=pl&amp;hloc=uk</t>
  </si>
  <si>
    <t>Kingston FURY Beast RGB weiß DIMM Kit 32GB, DDR5-5200, CL40-40-40, on-die ECC</t>
  </si>
  <si>
    <t>KF552C40BWAK2-32</t>
  </si>
  <si>
    <t>https://geizhals.eu/kingston-fury-beast-rgb-weiss-dimm-kit-32gb-kf552c40bwak2-32-a2921633.html?hloc=at&amp;hloc=de&amp;hloc=eu&amp;hloc=pl&amp;hloc=uk</t>
  </si>
  <si>
    <t>Kingston FURY Beast RGB weiß DIMM Kit 32GB, DDR5-5200, CL36-40-40, on-die ECC</t>
  </si>
  <si>
    <t>KF552C36BWEAK2-32</t>
  </si>
  <si>
    <t>https://geizhals.eu/kingston-fury-beast-rgb-weiss-dimm-kit-32gb-kf552c36bweak2-32-a2921632.html?hloc=at&amp;hloc=de&amp;hloc=eu&amp;hloc=pl&amp;hloc=uk</t>
  </si>
  <si>
    <t>Kingston FURY Beast RGB weiß DIMM 32GB, DDR5-6400, CL32-39-39, on-die ECC</t>
  </si>
  <si>
    <t>KF564C32BWEA-32</t>
  </si>
  <si>
    <t>https://geizhals.eu/kingston-fury-beast-rgb-weiss-dimm-32gb-kf564c32bwea-32-a3166026.html?hloc=at&amp;hloc=de&amp;hloc=eu&amp;hloc=pl&amp;hloc=uk</t>
  </si>
  <si>
    <t>KF564C32BWA-32</t>
  </si>
  <si>
    <t>https://geizhals.eu/kingston-fury-beast-rgb-weiss-dimm-32gb-kf564c32bwa-32-a3166036.html?hloc=at&amp;hloc=de&amp;hloc=eu&amp;hloc=pl&amp;hloc=uk</t>
  </si>
  <si>
    <t>Kingston FURY Beast RGB weiß DIMM 32GB, DDR5-6000, CL40-40-40, on-die ECC</t>
  </si>
  <si>
    <t>KF560C40BWA-32</t>
  </si>
  <si>
    <t>https://geizhals.eu/kingston-fury-beast-rgb-weiss-dimm-32gb-kf560c40bwa-32-a2921623.html?hloc=at&amp;hloc=de&amp;hloc=eu&amp;hloc=pl&amp;hloc=uk</t>
  </si>
  <si>
    <t>Kingston FURY Beast RGB weiß DIMM 32GB, DDR5-6000, CL36-38-38, on-die ECC</t>
  </si>
  <si>
    <t>KF560C36BWEA-32</t>
  </si>
  <si>
    <t>https://geizhals.eu/kingston-fury-beast-rgb-weiss-dimm-32gb-kf560c36bwea-32-a2921621.html?hloc=at&amp;hloc=de&amp;hloc=eu&amp;hloc=pl&amp;hloc=uk</t>
  </si>
  <si>
    <t>Kingston FURY Beast RGB weiß DIMM 32GB, DDR5-6000, CL30-36-36, on-die ECC</t>
  </si>
  <si>
    <t>KF560C30BWEA-32</t>
  </si>
  <si>
    <t>https://geizhals.eu/kingston-fury-beast-rgb-weiss-dimm-32gb-kf560c30bwea-32-a3165159.html?hloc=at&amp;hloc=de&amp;hloc=eu&amp;hloc=pl&amp;hloc=uk</t>
  </si>
  <si>
    <t>KF560C30BWA-32</t>
  </si>
  <si>
    <t>https://geizhals.eu/kingston-fury-beast-rgb-weiss-dimm-32gb-kf560c30bwa-32-a3165302.html?hloc=at&amp;hloc=de&amp;hloc=eu&amp;hloc=pl&amp;hloc=uk</t>
  </si>
  <si>
    <t>Kingston FURY Beast RGB weiß DIMM 32GB, DDR5-5600, CL40-40-40, on-die ECC</t>
  </si>
  <si>
    <t>KF556C40BWA-32</t>
  </si>
  <si>
    <t>https://geizhals.eu/kingston-fury-beast-rgb-weiss-dimm-32gb-kf556c40bwa-32-a2921622.html?hloc=at&amp;hloc=de&amp;hloc=eu&amp;hloc=pl&amp;hloc=uk</t>
  </si>
  <si>
    <t>Kingston FURY Beast RGB weiß DIMM 32GB, DDR5-5600, CL36-38-38, on-die ECC</t>
  </si>
  <si>
    <t>KF556C36BWEA-32</t>
  </si>
  <si>
    <t>https://geizhals.eu/kingston-fury-beast-rgb-weiss-dimm-32gb-kf556c36bwea-32-a2921620.html?hloc=at&amp;hloc=de&amp;hloc=eu&amp;hloc=pl&amp;hloc=uk</t>
  </si>
  <si>
    <t>Kingston FURY Beast RGB weiß DIMM 32GB, DDR5-5200, CL40-40-40, on-die ECC</t>
  </si>
  <si>
    <t>KF552C40BWA-32</t>
  </si>
  <si>
    <t>https://geizhals.eu/kingston-fury-beast-rgb-weiss-dimm-32gb-kf552c40bwa-32-a2921619.html?hloc=at&amp;hloc=de&amp;hloc=eu&amp;hloc=pl&amp;hloc=uk</t>
  </si>
  <si>
    <t>Kingston FURY Beast RGB weiß DIMM 32GB, DDR5-5200, CL36-38-38, on-die ECC</t>
  </si>
  <si>
    <t>KF552C36BWEA-32</t>
  </si>
  <si>
    <t>https://geizhals.eu/kingston-fury-beast-rgb-weiss-dimm-32gb-kf552c36bwea-32-a2921618.html?hloc=at&amp;hloc=de&amp;hloc=eu&amp;hloc=pl&amp;hloc=uk</t>
  </si>
  <si>
    <t>Kingston FURY Beast RGB weiß DIMM 16GB, DDR5-6800, CL34-45-45, on-die ECC</t>
  </si>
  <si>
    <t>KF568C34BWEA-16</t>
  </si>
  <si>
    <t>https://geizhals.eu/kingston-fury-beast-rgb-weiss-dimm-16gb-kf568c34bwea-16-a3166317.html?hloc=at&amp;hloc=de&amp;hloc=eu&amp;hloc=pl&amp;hloc=uk</t>
  </si>
  <si>
    <t>KF568C34BWA-16</t>
  </si>
  <si>
    <t>https://geizhals.eu/kingston-fury-beast-rgb-weiss-dimm-16gb-kf568c34bwa-16-a3166319.html?hloc=at&amp;hloc=de&amp;hloc=eu&amp;hloc=pl&amp;hloc=uk</t>
  </si>
  <si>
    <t>Kingston FURY Beast RGB weiß DIMM 16GB, DDR5-6400, CL32-39-39, on-die ECC</t>
  </si>
  <si>
    <t>KF564C32BWEA-16</t>
  </si>
  <si>
    <t>https://geizhals.eu/kingston-fury-beast-rgb-weiss-dimm-16gb-kf564c32bwea-16-a3166018.html?hloc=at&amp;hloc=de&amp;hloc=eu&amp;hloc=pl&amp;hloc=uk</t>
  </si>
  <si>
    <t>KF564C32BWA-16</t>
  </si>
  <si>
    <t>https://geizhals.eu/kingston-fury-beast-rgb-weiss-dimm-16gb-kf564c32bwa-16-a3166039.html?hloc=at&amp;hloc=de&amp;hloc=eu&amp;hloc=pl&amp;hloc=uk</t>
  </si>
  <si>
    <t>Kingston FURY Beast RGB weiß DIMM 16GB, DDR5-6000, CL40-40-40, on-die ECC</t>
  </si>
  <si>
    <t>KF560C40BWA-16</t>
  </si>
  <si>
    <t>https://geizhals.eu/kingston-fury-beast-rgb-weiss-dimm-16gb-kf560c40bwa-16-a2921617.html?hloc=at&amp;hloc=de&amp;hloc=eu&amp;hloc=pl&amp;hloc=uk</t>
  </si>
  <si>
    <t>Kingston FURY Beast RGB weiß DIMM 16GB, DDR5-6000, CL36-44-44, on-die ECC</t>
  </si>
  <si>
    <t>KF560C36BWE2A-16</t>
  </si>
  <si>
    <t>https://geizhals.eu/kingston-fury-beast-rgb-weiss-dimm-16gb-kf560c36bwe2a-16-a3271991.html?hloc=at&amp;hloc=de&amp;hloc=eu&amp;hloc=pl&amp;hloc=uk</t>
  </si>
  <si>
    <t>Kingston FURY Beast RGB weiß DIMM 16GB, DDR5-6000, CL30-36-36, on-die ECC</t>
  </si>
  <si>
    <t>KF560C30BWEA-16</t>
  </si>
  <si>
    <t>https://geizhals.eu/kingston-fury-beast-rgb-weiss-dimm-16gb-kf560c30bwea-16-a3165154.html?hloc=at&amp;hloc=de&amp;hloc=eu&amp;hloc=pl&amp;hloc=uk</t>
  </si>
  <si>
    <t>KF560C30BWA-16</t>
  </si>
  <si>
    <t>https://geizhals.eu/kingston-fury-beast-rgb-weiss-dimm-16gb-kf560c30bwa-16-a3165298.html?hloc=at&amp;hloc=de&amp;hloc=eu&amp;hloc=pl&amp;hloc=uk</t>
  </si>
  <si>
    <t>Kingston FURY Beast RGB weiß DIMM 16GB, DDR5-5600, CL40-40-40, on-die ECC</t>
  </si>
  <si>
    <t>KF556C40BWA-16</t>
  </si>
  <si>
    <t>https://geizhals.eu/kingston-fury-beast-rgb-weiss-dimm-16gb-kf556c40bwa-16-a2921614.html?hloc=at&amp;hloc=de&amp;hloc=eu&amp;hloc=pl&amp;hloc=uk</t>
  </si>
  <si>
    <t>Kingston FURY Beast RGB weiß DIMM 16GB, DDR5-5600, CL36-38-38, on-die ECC</t>
  </si>
  <si>
    <t>KF556C36BWEA-16</t>
  </si>
  <si>
    <t>https://geizhals.eu/kingston-fury-beast-rgb-weiss-dimm-16gb-kf556c36bwea-16-a2921613.html?hloc=at&amp;hloc=de&amp;hloc=eu&amp;hloc=pl&amp;hloc=uk</t>
  </si>
  <si>
    <t>Kingston FURY Beast RGB weiß DIMM 16GB, DDR5-5200, CL40-40-40, on-die ECC</t>
  </si>
  <si>
    <t>KF552C40BWA-16</t>
  </si>
  <si>
    <t>https://geizhals.eu/kingston-fury-beast-rgb-weiss-dimm-16gb-kf552c40bwa-16-a2921612.html?hloc=at&amp;hloc=de&amp;hloc=eu&amp;hloc=pl&amp;hloc=uk</t>
  </si>
  <si>
    <t>Kingston FURY Beast RGB weiß DIMM 16GB, DDR5-5200, CL36-40-40, on-die ECC</t>
  </si>
  <si>
    <t>KF552C36BWEA-16</t>
  </si>
  <si>
    <t>https://geizhals.eu/kingston-fury-beast-rgb-weiss-dimm-16gb-kf552c36bwea-16-a2921611.html?hloc=at&amp;hloc=de&amp;hloc=eu&amp;hloc=pl&amp;hloc=uk</t>
  </si>
  <si>
    <t>Kingston FURY Beast RGB schwarz DIMM Kit 128GB, DDR5-5600, CL40-40-40, on-die ECC</t>
  </si>
  <si>
    <t>KF556C40BBAK4-128</t>
  </si>
  <si>
    <t>https://geizhals.eu/kingston-fury-beast-rgb-schwarz-dimm-kit-128gb-kf556c40bbak4-128-a2939527.html?hloc=at&amp;hloc=de&amp;hloc=eu&amp;hloc=pl&amp;hloc=uk</t>
  </si>
  <si>
    <t>Kingston FURY Beast RGB schwarz DIMM Kit 128GB, DDR5-5200, CL40-40-40, on-die ECC</t>
  </si>
  <si>
    <t>KF552C40BBAK4-128</t>
  </si>
  <si>
    <t>https://geizhals.eu/kingston-fury-beast-rgb-schwarz-dimm-kit-128gb-kf552c40bbak4-128-a2939520.html?hloc=at&amp;hloc=de&amp;hloc=eu&amp;hloc=pl&amp;hloc=uk</t>
  </si>
  <si>
    <t>Kingston FURY Beast RGB schwarz DIMM Kit 64GB, DDR5-6400, CL32-39-39, on-die ECC</t>
  </si>
  <si>
    <t>KF564C32BBEAK2-64</t>
  </si>
  <si>
    <t>https://geizhals.eu/kingston-fury-beast-rgb-schwarz-dimm-kit-64gb-kf564c32bbeak2-64-a3165410.html?hloc=at&amp;hloc=de&amp;hloc=eu&amp;hloc=pl&amp;hloc=uk</t>
  </si>
  <si>
    <t>KF564C32BBAK2-64</t>
  </si>
  <si>
    <t>https://geizhals.eu/kingston-fury-beast-rgb-schwarz-dimm-kit-64gb-kf564c32bbak2-64-a3165439.html?hloc=at&amp;hloc=de&amp;hloc=eu&amp;hloc=pl&amp;hloc=uk</t>
  </si>
  <si>
    <t>Kingston FURY Beast RGB schwarz DIMM Kit 64GB, DDR5-6000, CL40-40-40, on-die ECC</t>
  </si>
  <si>
    <t>KF560C40BBAK4-64</t>
  </si>
  <si>
    <t>https://geizhals.eu/kingston-fury-beast-rgb-schwarz-dimm-kit-64gb-kf560c40bbak4-64-a2940939.html?hloc=at&amp;hloc=de&amp;hloc=eu&amp;hloc=pl&amp;hloc=uk</t>
  </si>
  <si>
    <t>KF560C40BBAK2-64</t>
  </si>
  <si>
    <t>https://geizhals.eu/kingston-fury-beast-rgb-dimm-kit-64gb-kf560c40bbak2-64-a2876859.html?hloc=at&amp;hloc=de&amp;hloc=eu&amp;hloc=pl&amp;hloc=uk</t>
  </si>
  <si>
    <t>Kingston FURY Beast RGB schwarz DIMM Kit 64GB, DDR5-6000, CL36-38-38, on-die ECC</t>
  </si>
  <si>
    <t>KF560C36BBEAK2-64</t>
  </si>
  <si>
    <t>https://geizhals.eu/kingston-fury-beast-rgb-dimm-kit-64gb-kf560c36bbeak2-64-a2876825.html?hloc=at&amp;hloc=de&amp;hloc=eu&amp;hloc=pl&amp;hloc=uk</t>
  </si>
  <si>
    <t>Kingston FURY Beast RGB schwarz DIMM Kit 64GB, DDR5-6000, CL30-36-36, on-die ECC</t>
  </si>
  <si>
    <t>KF560C30BBEAK2-64</t>
  </si>
  <si>
    <t>https://geizhals.eu/kingston-fury-beast-rgb-schwarz-dimm-kit-64gb-kf560c30bbeak2-64-a3164897.html?hloc=at&amp;hloc=de&amp;hloc=eu&amp;hloc=pl&amp;hloc=uk</t>
  </si>
  <si>
    <t>KF560C30BBAK2-64</t>
  </si>
  <si>
    <t>https://geizhals.eu/kingston-fury-beast-rgb-schwarz-dimm-kit-64gb-kf560c30bbak2-64-a3165070.html?hloc=at&amp;hloc=de&amp;hloc=eu&amp;hloc=pl&amp;hloc=uk</t>
  </si>
  <si>
    <t>Kingston FURY Beast RGB schwarz DIMM Kit 64GB, DDR5-5600, CL40-40-40, on-die ECC</t>
  </si>
  <si>
    <t>KF556C40BBAK4-64</t>
  </si>
  <si>
    <t>https://geizhals.eu/kingston-fury-beast-rgb-schwarz-dimm-kit-64gb-kf556c40bbak4-64-a2940940.html?hloc=at&amp;hloc=de&amp;hloc=eu&amp;hloc=pl&amp;hloc=uk</t>
  </si>
  <si>
    <t>KF556C40BBAK2-64</t>
  </si>
  <si>
    <t>https://geizhals.eu/kingston-fury-beast-rgb-dimm-kit-64gb-kf556c40bbak2-64-a2739503.html?hloc=at&amp;hloc=de&amp;hloc=eu&amp;hloc=pl&amp;hloc=uk</t>
  </si>
  <si>
    <t>Kingston FURY Beast RGB schwarz DIMM Kit 64GB, DDR5-5600, CL36-38-38, on-die ECC</t>
  </si>
  <si>
    <t>KF556C36BBEAK2-64</t>
  </si>
  <si>
    <t>https://geizhals.eu/kingston-fury-beast-rgb-dimm-kit-64gb-kf556c36bbeak2-64-a2876823.html?hloc=at&amp;hloc=de&amp;hloc=eu&amp;hloc=pl&amp;hloc=uk</t>
  </si>
  <si>
    <t>Kingston FURY Beast RGB schwarz DIMM Kit 64GB, DDR5-5200, CL40-40-40, on-die ECC</t>
  </si>
  <si>
    <t>KF552C40BBAK4-64</t>
  </si>
  <si>
    <t>https://geizhals.eu/kingston-fury-beast-rgb-schwarz-dimm-kit-64gb-kf552c40bbak4-64-a2940942.html?hloc=at&amp;hloc=de&amp;hloc=eu&amp;hloc=pl&amp;hloc=uk</t>
  </si>
  <si>
    <t>KF552C40BBAK2-64</t>
  </si>
  <si>
    <t>https://geizhals.eu/kingston-fury-beast-rgb-dimm-kit-64gb-kf552c40bbak2-64-a2739499.html?hloc=at&amp;hloc=de&amp;hloc=eu&amp;hloc=pl&amp;hloc=uk</t>
  </si>
  <si>
    <t>Kingston FURY Beast RGB schwarz DIMM Kit 64GB, DDR5-5200, CL36-38-38, on-die ECC</t>
  </si>
  <si>
    <t>KF552C36BBEAK2-64</t>
  </si>
  <si>
    <t>https://geizhals.eu/kingston-fury-beast-rgb-dimm-kit-64gb-kf552c36bbeak2-64-a2876822.html?hloc=at&amp;hloc=de&amp;hloc=eu&amp;hloc=pl&amp;hloc=uk</t>
  </si>
  <si>
    <t>Kingston FURY Beast RGB schwarz DIMM Kit 32GB, DDR5-6800, CL34-45-45, on-die ECC</t>
  </si>
  <si>
    <t>KF568C34BBEAK2-32</t>
  </si>
  <si>
    <t>https://geizhals.eu/kingston-fury-beast-rgb-schwarz-dimm-kit-32gb-kf568c34bbeak2-32-a3166267.html?hloc=at&amp;hloc=de&amp;hloc=eu&amp;hloc=pl&amp;hloc=uk</t>
  </si>
  <si>
    <t>KF568C34BBAK2-32</t>
  </si>
  <si>
    <t>https://geizhals.eu/kingston-fury-beast-rgb-schwarz-dimm-kit-32gb-kf568c34bbak2-32-a3166274.html?hloc=at&amp;hloc=de&amp;hloc=eu&amp;hloc=pl&amp;hloc=uk</t>
  </si>
  <si>
    <t>Kingston FURY Beast RGB schwarz DIMM Kit 32GB, DDR5-6400, CL32-39-39, on-die ECC</t>
  </si>
  <si>
    <t>KF564C32BBEAK2-32</t>
  </si>
  <si>
    <t>https://geizhals.eu/kingston-fury-beast-rgb-schwarz-dimm-kit-32gb-kf564c32bbeak2-32-a3165408.html?hloc=at&amp;hloc=de&amp;hloc=eu&amp;hloc=pl&amp;hloc=uk</t>
  </si>
  <si>
    <t>KF564C32BBAK2-32</t>
  </si>
  <si>
    <t>https://geizhals.eu/kingston-fury-beast-rgb-schwarz-dimm-kit-32gb-kf564c32bbak2-32-a3165438.html?hloc=at&amp;hloc=de&amp;hloc=eu&amp;hloc=pl&amp;hloc=uk</t>
  </si>
  <si>
    <t>Kingston FURY Beast RGB schwarz DIMM Kit 32GB, DDR5-6000, CL40-40-40, on-die ECC</t>
  </si>
  <si>
    <t>KF560C40BBAK2-32</t>
  </si>
  <si>
    <t>https://geizhals.eu/kingston-fury-beast-rgb-dimm-kit-32gb-kf560c40bbak2-32-a2739512.html?hloc=at&amp;hloc=de&amp;hloc=eu&amp;hloc=pl&amp;hloc=uk</t>
  </si>
  <si>
    <t>Kingston FURY Beast RGB schwarz DIMM Kit 32GB, DDR5-6000, CL36-44-44, on-die ECC</t>
  </si>
  <si>
    <t>KF560C36BBE2AK2-32</t>
  </si>
  <si>
    <t>https://geizhals.eu/kingston-fury-beast-rgb-schwarz-dimm-kit-32gb-kf560c36bbe2ak2-32-a3271985.html?hloc=at&amp;hloc=de&amp;hloc=eu&amp;hloc=pl&amp;hloc=uk</t>
  </si>
  <si>
    <t>Kingston FURY Beast RGB schwarz DIMM Kit 32GB, DDR5-6000, CL36-38-38, on-die ECC</t>
  </si>
  <si>
    <t>KF560C36BBEAK2-32</t>
  </si>
  <si>
    <t>https://geizhals.eu/kingston-fury-beast-rgb-dimm-kit-32gb-kf560c36bbeak2-32-a2812883.html?hloc=at&amp;hloc=de&amp;hloc=eu&amp;hloc=pl&amp;hloc=uk</t>
  </si>
  <si>
    <t>Kingston FURY Beast RGB schwarz DIMM Kit 32GB, DDR5-6000, CL30-36-36, on-die ECC</t>
  </si>
  <si>
    <t>KF560C30BBEAK2-32</t>
  </si>
  <si>
    <t>https://geizhals.eu/kingston-fury-beast-rgb-schwarz-dimm-kit-32gb-kf560c30bbeak2-32-a3164895.html?hloc=at&amp;hloc=de&amp;hloc=eu&amp;hloc=pl&amp;hloc=uk</t>
  </si>
  <si>
    <t>KF560C30BBAK2-32</t>
  </si>
  <si>
    <t>https://geizhals.eu/kingston-fury-beast-rgb-schwarz-dimm-kit-32gb-kf560c30bbak2-32-a3165068.html?hloc=at&amp;hloc=de&amp;hloc=eu&amp;hloc=pl&amp;hloc=uk</t>
  </si>
  <si>
    <t>Kingston FURY Beast RGB schwarz DIMM Kit 32GB, DDR5-5600, CL40-40-40, on-die ECC</t>
  </si>
  <si>
    <t>KF556C40BBAK2-32</t>
  </si>
  <si>
    <t>https://geizhals.eu/kingston-fury-beast-rgb-dimm-kit-32gb-kf556c40bbak2-32-a2739509.html?hloc=at&amp;hloc=de&amp;hloc=eu&amp;hloc=pl&amp;hloc=uk</t>
  </si>
  <si>
    <t>Kingston FURY Beast RGB schwarz DIMM Kit 32GB, DDR5-5600, CL36-38-38, on-die ECC</t>
  </si>
  <si>
    <t>KF556C36BBEAK2-32</t>
  </si>
  <si>
    <t>https://geizhals.eu/kingston-fury-beast-rgb-dimm-kit-32gb-kf556c36bbeak2-32-a2812880.html?hloc=at&amp;hloc=de&amp;hloc=eu&amp;hloc=pl&amp;hloc=uk</t>
  </si>
  <si>
    <t>Kingston FURY Beast RGB schwarz DIMM Kit 32GB, DDR5-5200, CL40-40-40, on-die ECC</t>
  </si>
  <si>
    <t>KF552C40BBAK2-32</t>
  </si>
  <si>
    <t>https://geizhals.eu/kingston-fury-beast-rgb-dimm-kit-32gb-kf552c40bbak2-32-a2739506.html?hloc=at&amp;hloc=de&amp;hloc=eu&amp;hloc=pl&amp;hloc=uk</t>
  </si>
  <si>
    <t>Kingston FURY Beast RGB schwarz DIMM Kit 32GB, DDR5-5200, CL36-40-40, on-die ECC</t>
  </si>
  <si>
    <t>KF552C36BBEAK2-32</t>
  </si>
  <si>
    <t>https://geizhals.eu/kingston-fury-beast-rgb-dimm-kit-32gb-kf552c36bbeak2-32-a2812881.html?hloc=at&amp;hloc=de&amp;hloc=eu&amp;hloc=pl&amp;hloc=uk</t>
  </si>
  <si>
    <t>Kingston FURY Beast RGB schwarz DIMM Kit 16GB, DDR5-6000, CL36-38-38, on-die ECC</t>
  </si>
  <si>
    <t>KF560C36BBEAK2-16</t>
  </si>
  <si>
    <t>https://geizhals.eu/kingston-fury-beast-rgb-dimm-kit-16gb-kf560c36bbeak2-16-a2876815.html?hloc=at&amp;hloc=de&amp;hloc=eu&amp;hloc=pl&amp;hloc=uk</t>
  </si>
  <si>
    <t>Kingston FURY Beast RGB schwarz DIMM Kit 16GB, DDR5-6000, CL30-36-36, on-die ECC</t>
  </si>
  <si>
    <t>KF560C30BBEAK2-16</t>
  </si>
  <si>
    <t>https://geizhals.eu/kingston-fury-beast-rgb-schwarz-dimm-kit-16gb-kf560c30bbeak2-16-a3164891.html?hloc=at&amp;hloc=de&amp;hloc=eu&amp;hloc=pl&amp;hloc=uk</t>
  </si>
  <si>
    <t>KF560C30BBAK2-16</t>
  </si>
  <si>
    <t>https://geizhals.eu/kingston-fury-beast-rgb-schwarz-dimm-kit-16gb-kf560c30bbak2-16-a3165066.html?hloc=at&amp;hloc=de&amp;hloc=eu&amp;hloc=pl&amp;hloc=uk</t>
  </si>
  <si>
    <t>Kingston FURY Beast RGB schwarz DIMM Kit 16GB, DDR5-5600, CL40-40-40, on-die ECC</t>
  </si>
  <si>
    <t>KF556C40BBAK2-16</t>
  </si>
  <si>
    <t>https://geizhals.eu/kingston-fury-beast-rgb-dimm-kit-16gb-kf556c40bbak2-16-a2739517.html?hloc=at&amp;hloc=de&amp;hloc=eu&amp;hloc=pl&amp;hloc=uk</t>
  </si>
  <si>
    <t>Kingston FURY Beast RGB schwarz DIMM Kit 16GB, DDR5-5600, CL36-38-38, on-die ECC</t>
  </si>
  <si>
    <t>KF556C36BBEAK2-16</t>
  </si>
  <si>
    <t>https://geizhals.eu/kingston-fury-beast-rgb-dimm-kit-16gb-kf556c36bbeak2-16-a2876818.html?hloc=at&amp;hloc=de&amp;hloc=eu&amp;hloc=pl&amp;hloc=uk</t>
  </si>
  <si>
    <t>Kingston FURY Beast RGB schwarz DIMM Kit 16GB, DDR5-5200, CL40-40-40, on-die ECC</t>
  </si>
  <si>
    <t>KF552C40BBAK2-16</t>
  </si>
  <si>
    <t>https://geizhals.eu/kingston-fury-beast-rgb-dimm-kit-16gb-kf552c40bbak2-16-a2739519.html?hloc=at&amp;hloc=de&amp;hloc=eu&amp;hloc=pl&amp;hloc=uk</t>
  </si>
  <si>
    <t>Kingston FURY Beast RGB schwarz DIMM Kit 16GB, DDR5-5200, CL36-38-38, on-die ECC</t>
  </si>
  <si>
    <t>KF552C36BBEAK2-16</t>
  </si>
  <si>
    <t>https://geizhals.eu/kingston-fury-beast-rgb-dimm-kit-16gb-kf552c36bbeak2-16-a2876821.html?hloc=at&amp;hloc=de&amp;hloc=eu&amp;hloc=pl&amp;hloc=uk</t>
  </si>
  <si>
    <t>Kingston FURY Beast RGB schwarz DIMM 32GB, DDR5-6400, CL32-39-39, on-die ECC</t>
  </si>
  <si>
    <t>KF564C32BBEA-32</t>
  </si>
  <si>
    <t>https://geizhals.eu/kingston-fury-beast-rgb-schwarz-dimm-32gb-kf564c32bbea-32-a3165356.html?hloc=at&amp;hloc=de&amp;hloc=eu&amp;hloc=pl&amp;hloc=uk</t>
  </si>
  <si>
    <t>KF564C32BBA-32</t>
  </si>
  <si>
    <t>https://geizhals.eu/kingston-fury-beast-rgb-schwarz-dimm-32gb-kf564c32bba-32-a3165433.html?hloc=at&amp;hloc=de&amp;hloc=eu&amp;hloc=pl&amp;hloc=uk</t>
  </si>
  <si>
    <t>Kingston FURY Beast RGB schwarz DIMM 32GB, DDR5-6000, CL36-38-38, on-die ECC</t>
  </si>
  <si>
    <t>KF560C36BBEA-32</t>
  </si>
  <si>
    <t>https://geizhals.eu/kingston-fury-beast-rgb-dimm-32gb-kf560c36bbea-32-a2876788.html?hloc=at&amp;hloc=de&amp;hloc=eu&amp;hloc=pl&amp;hloc=uk</t>
  </si>
  <si>
    <t>Kingston FURY Beast RGB schwarz DIMM 32GB, DDR5-6000, CL30-36-36, on-die ECC</t>
  </si>
  <si>
    <t>KF560C30BBEA-32</t>
  </si>
  <si>
    <t>https://geizhals.eu/kingston-fury-beast-rgb-schwarz-dimm-32gb-kf560c30bbea-32-a3164885.html?hloc=at&amp;hloc=de&amp;hloc=eu&amp;hloc=pl&amp;hloc=uk</t>
  </si>
  <si>
    <t>Kingston FURY Beast RGB schwarz DIMM 32GB, DDR5-5600, CL40-40-40, on-die ECC</t>
  </si>
  <si>
    <t>KF556C40BBA-32</t>
  </si>
  <si>
    <t>https://geizhals.eu/kingston-fury-beast-rgb-dimm-32gb-kf556c40bba-32-a2739489.html?hloc=at&amp;hloc=de&amp;hloc=eu&amp;hloc=pl&amp;hloc=uk</t>
  </si>
  <si>
    <t>Kingston FURY Beast RGB schwarz DIMM 32GB, DDR5-5600, CL36-38-38, on-die ECC</t>
  </si>
  <si>
    <t>KF556C36BBEA-32</t>
  </si>
  <si>
    <t>https://geizhals.eu/kingston-fury-beast-rgb-dimm-32gb-kf556c36bbea-32-a2876792.html?hloc=at&amp;hloc=de&amp;hloc=eu&amp;hloc=pl&amp;hloc=uk</t>
  </si>
  <si>
    <t>Kingston FURY Beast RGB schwarz DIMM 32GB, DDR5-5200, CL40-40-40, on-die ECC</t>
  </si>
  <si>
    <t>KF552C40BBA-32</t>
  </si>
  <si>
    <t>https://geizhals.eu/kingston-fury-beast-rgb-dimm-32gb-kf552c40bba-32-a2739486.html?hloc=at&amp;hloc=de&amp;hloc=eu&amp;hloc=pl&amp;hloc=uk</t>
  </si>
  <si>
    <t>Kingston FURY Beast RGB schwarz DIMM 32GB, DDR5-5200, CL36-38-38, on-die ECC</t>
  </si>
  <si>
    <t>KF552C36BBEA-32</t>
  </si>
  <si>
    <t>https://geizhals.eu/kingston-fury-beast-rgb-dimm-32gb-kf552c36bbea-32-a2876798.html?hloc=at&amp;hloc=de&amp;hloc=eu&amp;hloc=pl&amp;hloc=uk</t>
  </si>
  <si>
    <t>Kingston FURY Beast RGB schwarz DIMM 32GB, DDR5-4800, CL38-38-38, on-die ECC</t>
  </si>
  <si>
    <t>KF548C38BBA-32</t>
  </si>
  <si>
    <t>https://geizhals.eu/kingston-fury-beast-rgb-dimm-32gb-kf548c38bba-32-a2739481.html?hloc=at&amp;hloc=de&amp;hloc=eu&amp;hloc=pl&amp;hloc=uk</t>
  </si>
  <si>
    <t>Kingston FURY Beast RGB schwarz DIMM 16GB, DDR5-6800, CL34-45-45, on-die ECC</t>
  </si>
  <si>
    <t>KF568C34BBEA-16</t>
  </si>
  <si>
    <t>https://geizhals.eu/kingston-fury-beast-rgb-schwarz-dimm-16gb-kf568c34bbea-16-a3166257.html?hloc=at&amp;hloc=de&amp;hloc=eu&amp;hloc=pl&amp;hloc=uk</t>
  </si>
  <si>
    <t>KF568C34BBA-16</t>
  </si>
  <si>
    <t>https://geizhals.eu/kingston-fury-beast-rgb-schwarz-dimm-16gb-kf568c34bba-16-a3166260.html?hloc=at&amp;hloc=de&amp;hloc=eu&amp;hloc=pl&amp;hloc=uk</t>
  </si>
  <si>
    <t>Kingston FURY Beast RGB schwarz DIMM 16GB, DDR5-6400, CL32-39-39, on-die ECC</t>
  </si>
  <si>
    <t>KF564C32BBEA-16</t>
  </si>
  <si>
    <t>https://geizhals.eu/kingston-fury-beast-rgb-schwarz-dimm-16gb-kf564c32bbea-16-a3165351.html?hloc=at&amp;hloc=de&amp;hloc=eu&amp;hloc=pl&amp;hloc=uk</t>
  </si>
  <si>
    <t>KF564C32BBA-16</t>
  </si>
  <si>
    <t>https://geizhals.eu/kingston-fury-beast-rgb-schwarz-dimm-16gb-kf564c32bba-16-a3165430.html?hloc=at&amp;hloc=de&amp;hloc=eu&amp;hloc=pl&amp;hloc=uk</t>
  </si>
  <si>
    <t>Kingston FURY Beast RGB schwarz DIMM 16GB, DDR5-6000, CL36-44-44, on-die ECC</t>
  </si>
  <si>
    <t>KF560C36BBE2A-16</t>
  </si>
  <si>
    <t>https://geizhals.eu/kingston-fury-beast-rgb-schwarz-dimm-16gb-kf560c36bbe2a-16-a3271989.html?hloc=at&amp;hloc=de&amp;hloc=eu&amp;hloc=pl&amp;hloc=uk</t>
  </si>
  <si>
    <t>Kingston FURY Beast RGB schwarz DIMM 16GB, DDR5-6000, CL36-38-38, on-die ECC</t>
  </si>
  <si>
    <t>KF560C36BBEA-16</t>
  </si>
  <si>
    <t>https://geizhals.eu/kingston-fury-beast-rgb-dimm-16gb-kf560c36bbea-16-a2812893.html?hloc=at&amp;hloc=de&amp;hloc=eu&amp;hloc=pl&amp;hloc=uk</t>
  </si>
  <si>
    <t>Kingston FURY Beast RGB schwarz DIMM 16GB, DDR5-6000, CL30-36-36, on-die ECC</t>
  </si>
  <si>
    <t>KF560C30BBEA-16</t>
  </si>
  <si>
    <t>https://geizhals.eu/kingston-fury-beast-rgb-schwarz-dimm-16gb-kf560c30bbea-16-a3164882.html?hloc=at&amp;hloc=de&amp;hloc=eu&amp;hloc=pl&amp;hloc=uk</t>
  </si>
  <si>
    <t>KF560C30BBA-32</t>
  </si>
  <si>
    <t>https://geizhals.eu/kingston-fury-beast-rgb-schwarz-dimm-16gb-kf560c30bba-32-a3165064.html?hloc=at&amp;hloc=de&amp;hloc=eu&amp;hloc=pl&amp;hloc=uk</t>
  </si>
  <si>
    <t>KF560C30BBA-16</t>
  </si>
  <si>
    <t>https://geizhals.eu/kingston-fury-beast-rgb-schwarz-dimm-16gb-kf560c30bba-16-a3165061.html?hloc=at&amp;hloc=de&amp;hloc=eu&amp;hloc=pl&amp;hloc=uk</t>
  </si>
  <si>
    <t>Kingston FURY Beast RGB schwarz DIMM 16GB, DDR5-5600, CL40-40-40, on-die ECC</t>
  </si>
  <si>
    <t>KF556C40BBA-16</t>
  </si>
  <si>
    <t>https://geizhals.eu/kingston-fury-beast-rgb-dimm-16gb-kf556c40bba-16-a2739471.html?hloc=at&amp;hloc=de&amp;hloc=eu&amp;hloc=pl&amp;hloc=uk</t>
  </si>
  <si>
    <t>Kingston FURY Beast RGB schwarz DIMM 16GB, DDR5-5600, CL36-38-38, on-die ECC</t>
  </si>
  <si>
    <t>KF556C36BBEA-16</t>
  </si>
  <si>
    <t>https://geizhals.eu/kingston-fury-beast-rgb-dimm-16gb-kf556c36bbea-16-a2812888.html?hloc=at&amp;hloc=de&amp;hloc=eu&amp;hloc=pl&amp;hloc=uk</t>
  </si>
  <si>
    <t>Kingston FURY Beast RGB schwarz DIMM 16GB, DDR5-5200, CL40-40-40, on-die ECC</t>
  </si>
  <si>
    <t>KF552C40BBA-16</t>
  </si>
  <si>
    <t>https://geizhals.eu/kingston-fury-beast-rgb-dimm-16gb-kf552c40bba-16-a2739467.html?hloc=at&amp;hloc=de&amp;hloc=eu&amp;hloc=pl&amp;hloc=uk</t>
  </si>
  <si>
    <t>Kingston FURY Beast RGB schwarz DIMM 16GB, DDR5-5200, CL36-40-40, on-die ECC</t>
  </si>
  <si>
    <t>KF552C36BBEA-16</t>
  </si>
  <si>
    <t>https://geizhals.eu/kingston-fury-beast-rgb-dimm-8gb-kf552c36bbea-16-a2818662.html?hloc=at&amp;hloc=de&amp;hloc=eu&amp;hloc=pl&amp;hloc=uk</t>
  </si>
  <si>
    <t>Kingston FURY Beast RGB schwarz DIMM 8GB, DDR5-6000, CL40-40-40, on-die ECC</t>
  </si>
  <si>
    <t>KF560C40BBA-8</t>
  </si>
  <si>
    <t>https://geizhals.eu/kingston-fury-beast-rgb-dimm-8gb-kf560c40bba-8-a2739463.html?hloc=at&amp;hloc=de&amp;hloc=eu&amp;hloc=pl&amp;hloc=uk</t>
  </si>
  <si>
    <t>Kingston FURY Beast RGB schwarz DIMM 8GB, DDR5-6000, CL36-38-38, on-die ECC</t>
  </si>
  <si>
    <t>KF560C36BBEA-8</t>
  </si>
  <si>
    <t>https://geizhals.eu/kingston-fury-beast-rgb-dimm-8gb-kf560c36bbea-8-a2876812.html?hloc=at&amp;hloc=de&amp;hloc=eu&amp;hloc=pl&amp;hloc=uk</t>
  </si>
  <si>
    <t>Kingston FURY Beast RGB schwarz DIMM 8GB, DDR5-6000, CL30-36-36, on-die ECC</t>
  </si>
  <si>
    <t>KF560C30BBEA-8</t>
  </si>
  <si>
    <t>https://geizhals.eu/kingston-fury-beast-rgb-schwarz-dimm-8gb-kf560c30bbea-8-a3164876.html?hloc=at&amp;hloc=de&amp;hloc=eu&amp;hloc=pl&amp;hloc=uk</t>
  </si>
  <si>
    <t>KF560C30BBA-8</t>
  </si>
  <si>
    <t>https://geizhals.eu/kingston-fury-beast-rgb-schwarz-dimm-8gb-kf560c30bba-8-a3165057.html?hloc=at&amp;hloc=de&amp;hloc=eu&amp;hloc=pl&amp;hloc=uk</t>
  </si>
  <si>
    <t>Kingston FURY Beast RGB schwarz DIMM 8GB, DDR5-5600, CL40-40-40, on-die ECC</t>
  </si>
  <si>
    <t>KF556C40BBA-8</t>
  </si>
  <si>
    <t>https://geizhals.eu/kingston-fury-beast-rgb-dimm-8gb-kf556c40bba-8-a2739456.html?hloc=at&amp;hloc=de&amp;hloc=eu&amp;hloc=pl&amp;hloc=uk</t>
  </si>
  <si>
    <t>Kingston FURY Beast RGB schwarz DIMM 8GB, DDR5-5600, CL36-38-38, on-die ECC</t>
  </si>
  <si>
    <t>KF556C36BBEA-8</t>
  </si>
  <si>
    <t>https://geizhals.eu/kingston-fury-beast-rgb-dimm-8gb-kf556c36bbea-8-a2876809.html?hloc=at&amp;hloc=de&amp;hloc=eu&amp;hloc=pl&amp;hloc=uk</t>
  </si>
  <si>
    <t>Kingston FURY Beast RGB schwarz DIMM 8GB, DDR5-5200, CL40-40-40, on-die ECC</t>
  </si>
  <si>
    <t>KF552C40BBA-8</t>
  </si>
  <si>
    <t>https://geizhals.eu/kingston-fury-beast-rgb-dimm-8gb-kf552c40bba-8-a2739451.html?hloc=at&amp;hloc=de&amp;hloc=eu&amp;hloc=pl&amp;hloc=uk</t>
  </si>
  <si>
    <t>Kingston FURY Beast RGB schwarz DIMM 8GB, DDR5-5200, CL36-38-38, on-die ECC</t>
  </si>
  <si>
    <t>KF552C36BBEA-8</t>
  </si>
  <si>
    <t>https://geizhals.eu/kingston-fury-beast-rgb-dimm-8gb-kf552c36bbea-8-a2876805.html?hloc=at&amp;hloc=de&amp;hloc=eu&amp;hloc=pl&amp;hloc=uk</t>
  </si>
  <si>
    <t>G.Skill Trident Z5 silber DIMM Kit 64GB, DDR5-6000, CL32-38-38-96, on-die ECC</t>
  </si>
  <si>
    <t>F5-6000J3238G32GX2-TZ5S</t>
  </si>
  <si>
    <t>https://geizhals.eu/g-skill-trident-z5-silber-dimm-kit-64gb-f5-6000j3238g32gx2-tz5s-a2806646.html?hloc=at&amp;hloc=de&amp;hloc=eu&amp;hloc=pl&amp;hloc=uk</t>
  </si>
  <si>
    <t>G.Skill Trident Z5 silber DIMM Kit 32GB, DDR5-6400, CL32-39-39-102, on-die ECC</t>
  </si>
  <si>
    <t>F5-6400J3239G16GX2-TZ5S</t>
  </si>
  <si>
    <t>https://geizhals.eu/g-skill-trident-z5-silber-dimm-kit-32gb-f5-6400j3239g16gx2-tz5s-a2671373.html?hloc=at&amp;hloc=de&amp;hloc=eu&amp;hloc=pl&amp;hloc=uk</t>
  </si>
  <si>
    <t>G.Skill Trident Z5 silber DIMM Kit 32GB, DDR5-6000, CL40-40-40-96, on-die ECC</t>
  </si>
  <si>
    <t>F5-6000J4040F16GX2-TZ5S</t>
  </si>
  <si>
    <t>https://geizhals.eu/g-skill-trident-z5-silber-dimm-kit-32gb-f5-6000j4040f16gx2-tz5s-a2663324.html?hloc=at&amp;hloc=de&amp;hloc=eu&amp;hloc=pl&amp;hloc=uk</t>
  </si>
  <si>
    <t>G.Skill Trident Z5 silber DIMM Kit 32GB, DDR5-6000, CL30-40-40-96, on-die ECC</t>
  </si>
  <si>
    <t>F5-6000J3040F16GX2-TZ5S</t>
  </si>
  <si>
    <t>https://geizhals.eu/g-skill-trident-z5-silber-dimm-kit-32gb-f5-6000j3040f16gx2-tz5s-a2719804.html?hloc=at&amp;hloc=de&amp;hloc=eu&amp;hloc=pl&amp;hloc=uk</t>
  </si>
  <si>
    <t>G.Skill Trident Z5 silber DIMM Kit 32GB, DDR5-5600, CL36-36-36-89, on-die ECC</t>
  </si>
  <si>
    <t>F5-5600J3636C16GX2-TZ5S</t>
  </si>
  <si>
    <t>https://geizhals.eu/g-skill-trident-z5-silber-dimm-kit-32gb-f5-5600j3636c16gx2-tz5s-a2663310.html?hloc=at&amp;hloc=de&amp;hloc=eu&amp;hloc=pl&amp;hloc=uk</t>
  </si>
  <si>
    <t>G.Skill Trident Z5 silber DIMM Kit 32GB, DDR5-5600, CL36-36-36-76, on-die ECC</t>
  </si>
  <si>
    <t>F5-5600U3636C16GX2-TZ5S</t>
  </si>
  <si>
    <t>https://geizhals.eu/g-skill-trident-z5-silber-dimm-kit-32gb-f5-5600u3636c16gx2-tz5s-a2637946.html?hloc=at&amp;hloc=de&amp;hloc=eu&amp;hloc=pl&amp;hloc=uk</t>
  </si>
  <si>
    <t>G.Skill Trident Z5 schwarz DIMM Kit 64GB, DDR5-6000, CL32-38-38-96, on-die ECC</t>
  </si>
  <si>
    <t>F5-6000J3238G32GX2-TZ5K</t>
  </si>
  <si>
    <t>https://geizhals.eu/g-skill-trident-z5-schwarz-dimm-kit-64gb-f5-6000j3238g32gx2-tz5k-a2806645.html?hloc=at&amp;hloc=de&amp;hloc=eu&amp;hloc=pl&amp;hloc=uk</t>
  </si>
  <si>
    <t>G.Skill Trident Z5 schwarz DIMM Kit 64GB, DDR5-6000, CL30-40-40-96, on-die ECC</t>
  </si>
  <si>
    <t>F5-6000J3040G32GX2-TZ5K</t>
  </si>
  <si>
    <t>https://geizhals.eu/g-skill-trident-z5-schwarz-dimm-kit-64gb-f5-6000j3040g32gx2-tz5k-a2722049.html?hloc=at&amp;hloc=de&amp;hloc=eu&amp;hloc=pl&amp;hloc=uk</t>
  </si>
  <si>
    <t>G.Skill Trident Z5 schwarz DIMM Kit 32GB, DDR5-7600, CL36-46-46-121, on-die ECC</t>
  </si>
  <si>
    <t>F5-7600J3646G16GX2-TZ5K</t>
  </si>
  <si>
    <t>https://geizhals.eu/g-skill-trident-z5-schwarz-dimm-kit-32gb-f5-7600j3646g16gx2-tz5k-a2834944.html?hloc=at&amp;hloc=de&amp;hloc=eu&amp;hloc=pl&amp;hloc=uk</t>
  </si>
  <si>
    <t>G.Skill Trident Z5 schwarz DIMM Kit 32GB, DDR5-6400, CL32-39-39-102, on-die ECC</t>
  </si>
  <si>
    <t>F5-6400J3239G16GX2-TZ5K</t>
  </si>
  <si>
    <t>https://geizhals.eu/g-skill-trident-z5-schwarz-dimm-kit-32gb-f5-6400j3239g16gx2-tz5k-a2670975.html?hloc=at&amp;hloc=de&amp;hloc=eu&amp;hloc=pl&amp;hloc=uk</t>
  </si>
  <si>
    <t>G.Skill Trident Z5 schwarz DIMM Kit 32GB, DDR5-6000, CL40-40-40-96, on-die ECC</t>
  </si>
  <si>
    <t>F5-6000J4040F16GX2-TZ5K</t>
  </si>
  <si>
    <t>https://geizhals.eu/g-skill-trident-z5-schwarz-dimm-kit-32gb-f5-6000j4040f16gx2-tz5k-a2663325.html?hloc=at&amp;hloc=de&amp;hloc=eu&amp;hloc=pl&amp;hloc=uk</t>
  </si>
  <si>
    <t>G.Skill Trident Z5 schwarz DIMM Kit 32GB, DDR5-6000, CL36-36-36-96, on-die ECC</t>
  </si>
  <si>
    <t>F5-6000J3636F16GX2-TZ5K</t>
  </si>
  <si>
    <t>https://geizhals.eu/g-skill-trident-z5-schwarz-dimm-kit-32gb-f5-6000j3636f16gx2-tz5k-a2663319.html?hloc=at&amp;hloc=de&amp;hloc=eu&amp;hloc=pl&amp;hloc=uk</t>
  </si>
  <si>
    <t>G.Skill Trident Z5 schwarz DIMM Kit 32GB, DDR5-6000, CL30-40-40-96, on-die ECC</t>
  </si>
  <si>
    <t>F5-6000J3040F16GX2-TZ5K</t>
  </si>
  <si>
    <t>https://geizhals.eu/g-skill-trident-z5-schwarz-dimm-kit-32gb-f5-6000j3040f16gx2-tz5k-a2719809.html?hloc=at&amp;hloc=de&amp;hloc=eu&amp;hloc=pl&amp;hloc=uk</t>
  </si>
  <si>
    <t>G.Skill Trident Z5 Royal RGB Silver DIMM Kit 96GB, DDR5-6400, CL32-39-39-102, on-die ECC</t>
  </si>
  <si>
    <t>F5-6400J3239F48GX2-TR5S</t>
  </si>
  <si>
    <t>RGB, Multi-Zone, 8 LED, ASRock Polychrome Sync, ASUS Aura Sync, Gigabyte RGB Fusion 2.0, MSI Mystic Light Sync</t>
  </si>
  <si>
    <t>https://geizhals.eu/g-skill-trident-z5-rgb-royal-silver-dimm-kit-96gb-f5-6400j3239f48gx2-tr5s-a3219106.html?hloc=at&amp;hloc=de&amp;hloc=eu&amp;hloc=pl&amp;hloc=uk</t>
  </si>
  <si>
    <t>G.Skill Trident Z5 Royal RGB Silver DIMM Kit 64GB, DDR5-6400, CL32-39-39-102, on-die ECC</t>
  </si>
  <si>
    <t>F5-6400J3239G32GX2-TR5S</t>
  </si>
  <si>
    <t>https://geizhals.eu/g-skill-trident-z5-rgb-royal-dimm-kit-64gb-f5-6400j3239g32gx2-tr5s-a3198562.html?hloc=at&amp;hloc=de&amp;hloc=eu&amp;hloc=pl&amp;hloc=uk</t>
  </si>
  <si>
    <t>G.Skill Trident Z5 Royal RGB Silver DIMM Kit 48GB, DDR5-8400, CL40-52-52-134, on-die ECC</t>
  </si>
  <si>
    <t>F5-8400J4052G24GX2-TR5S</t>
  </si>
  <si>
    <t>https://geizhals.eu/g-skill-trident-z5-rgb-royal-silver-dimm-kit-48gb-f5-8400j4052g24gx2-tr5s-a3219103.html?hloc=at&amp;hloc=de&amp;hloc=eu&amp;hloc=pl&amp;hloc=uk</t>
  </si>
  <si>
    <t>G.Skill Trident Z5 Royal RGB Silver DIMM Kit 48GB, DDR5-8200, CL40-52-52-131, on-die ECC</t>
  </si>
  <si>
    <t>F5-8200J4052F24GX2-TR5S</t>
  </si>
  <si>
    <t>https://geizhals.eu/g-skill-trident-z5-royal-rgb-silver-dimm-kit-48gb-f5-8200j4052f24gx2-tr5s-a3268249.html?hloc=at&amp;hloc=de&amp;hloc=eu&amp;hloc=pl&amp;hloc=uk</t>
  </si>
  <si>
    <t>G.Skill Trident Z5 Royal RGB Silver DIMM Kit 48GB, DDR5-7200, CL36-46-46-115, on-die ECC</t>
  </si>
  <si>
    <t>F5-7200J3646F24GX2-TR5S</t>
  </si>
  <si>
    <t>https://geizhals.eu/g-skill-trident-z5-rgb-royal-dimm-kit-48gb-f5-7200j3646f24gx2-tr5s-a3198564.html?hloc=at&amp;hloc=de&amp;hloc=eu&amp;hloc=pl&amp;hloc=uk</t>
  </si>
  <si>
    <t>G.Skill Trident Z5 Royal RGB Silver DIMM Kit 32GB, DDR5-7600, CL36-46-46-121, on-die ECC</t>
  </si>
  <si>
    <t>F5-7600J3646G16GX2-TR5S</t>
  </si>
  <si>
    <t>https://geizhals.eu/g-skill-trident-z5-rgb-royal-dimm-kit-32gb-f5-7600j3646g16gx2-tr5s-a3198566.html?hloc=at&amp;hloc=de&amp;hloc=eu&amp;hloc=pl&amp;hloc=uk</t>
  </si>
  <si>
    <t>G.Skill Trident Z5 Royal RGB Silver DIMM Kit 32GB, DDR5-7200, CL34-45-45-115, on-die ECC</t>
  </si>
  <si>
    <t>F5-7200J3445G16GX2-TR5S</t>
  </si>
  <si>
    <t>https://geizhals.eu/g-skill-trident-z5-rgb-royal-dimm-kit-32gb-f5-7200j3445g16gx2-tr5s-a3198563.html?hloc=at&amp;hloc=de&amp;hloc=eu&amp;hloc=pl&amp;hloc=uk</t>
  </si>
  <si>
    <t>G.Skill Trident Z5 Royal RGB Silver DIMM Kit 32GB, DDR5-6400, CL32-39-39-102, on-die ECC</t>
  </si>
  <si>
    <t>F5-6400J3239G16GX2-TR5S</t>
  </si>
  <si>
    <t>https://geizhals.eu/g-skill-trident-z5-rgb-royal-dimm-kit-32gb-f5-6400j3239g16gx2-tr5s-a3198561.html?hloc=at&amp;hloc=de&amp;hloc=eu&amp;hloc=pl&amp;hloc=uk</t>
  </si>
  <si>
    <t>G.Skill Trident Z5 Royal RGB Silver DIMM Kit 32GB, DDR5-6400, CL30-39-39-102, on-die ECC</t>
  </si>
  <si>
    <t>F5-6400J3039G16GX2-TR5S</t>
  </si>
  <si>
    <t>https://geizhals.eu/g-skill-trident-z5-royal-rgb-silver-dimm-kit-32gb-f5-6400j3039g16gx2-tr5s-a3268670.html?hloc=at&amp;hloc=de&amp;hloc=eu&amp;hloc=pl&amp;hloc=uk</t>
  </si>
  <si>
    <t>G.Skill Trident Z5 Royal RGB Gold DIMM Kit 48GB, DDR5-8400, CL40-52-52-134, on-die ECC</t>
  </si>
  <si>
    <t>F5-8400J4052G24GX2-TR5G</t>
  </si>
  <si>
    <t>https://geizhals.eu/g-skill-trident-z5-rgb-royal-gold-dimm-kit-48gb-f5-8400j4052g24gx2-tr5g-a3219104.html?hloc=at&amp;hloc=de&amp;hloc=eu&amp;hloc=pl&amp;hloc=uk</t>
  </si>
  <si>
    <t>G.Skill Trident Z5 Royal NEO RGB Silver DIMM Kit 48GB, DDR5-8000, CL40-48-48-128, on-die ECC</t>
  </si>
  <si>
    <t>F5-8000J4048G24GX2-TR5NS</t>
  </si>
  <si>
    <t>https://geizhals.eu/g-skill-trident-z5-royal-neo-rgb-silver-dimm-kit-48gb-f5-8000j4048g24gx2-tr5ns-a3302847.html?hloc=at&amp;hloc=de&amp;hloc=eu&amp;hloc=pl&amp;hloc=uk</t>
  </si>
  <si>
    <t>G.Skill Trident Z5 Royal NEO RGB Silver DIMM Kit 32GB, DDR5-6400, CL30-39-39-102, on-die ECC</t>
  </si>
  <si>
    <t>F5-6400J3039G16GX2-TR5NS</t>
  </si>
  <si>
    <t>https://geizhals.eu/g-skill-trident-z5-royal-neo-rgb-silver-dimm-kit-32gb-f5-6400j3039g16gx2-tr5ns-a3268089.html?hloc=at&amp;hloc=de&amp;hloc=eu&amp;hloc=pl&amp;hloc=uk</t>
  </si>
  <si>
    <t>G.Skill Trident Z5 Royal NEO RGB Silver DIMM Kit 32GB, DDR5-6000, CL28-36-36-96, on-die ECC</t>
  </si>
  <si>
    <t>F5-6000J2836G16GX2-TR5NS</t>
  </si>
  <si>
    <t>https://geizhals.eu/g-skill-trident-z5-royal-neo-rgb-silver-dimm-kit-32gb-f5-6000j2836g16gx2-tr5ns-a3268092.html?hloc=at&amp;hloc=de&amp;hloc=eu&amp;hloc=pl&amp;hloc=uk</t>
  </si>
  <si>
    <t>G.Skill Trident Z5 Royal NEO RGB Gold DIMM Kit 32GB, DDR5-8000, CL38-48-48-128, on-die ECC</t>
  </si>
  <si>
    <t>F5-8000J3848H16GX2-TR5NG</t>
  </si>
  <si>
    <t>https://geizhals.eu/g-skill-trident-z5-royal-neo-rgb-gold-dimm-kit-32gb-f5-8000j3848h16gx2-tr5ng-a3265499.html?hloc=at&amp;hloc=de&amp;hloc=eu&amp;hloc=pl&amp;hloc=uk</t>
  </si>
  <si>
    <t>G.Skill Trident Z5 Royal NEO RGB Gold DIMM Kit 32GB, DDR5-6400, CL30-39-39-102, on-die ECC</t>
  </si>
  <si>
    <t>F5-6400J3039G16GX2-TR5NG</t>
  </si>
  <si>
    <t>https://geizhals.eu/g-skill-trident-z5-royal-neo-rgb-gold-dimm-kit-32gb-f5-6400j3039g16gx2-tr5ng-a3268146.html?hloc=at&amp;hloc=de&amp;hloc=eu&amp;hloc=pl&amp;hloc=uk</t>
  </si>
  <si>
    <t>G.Skill Trident Z5 Royal NEO RGB Gold DIMM Kit 32GB, DDR5-6000, CL28-36-36-96, on-die ECC</t>
  </si>
  <si>
    <t>F5-6000J2836G16GX2-TR5NG</t>
  </si>
  <si>
    <t>https://geizhals.eu/g-skill-trident-z5-royal-neo-rgb-gold-dimm-kit-32gb-f5-6000j2836g16gx2-tr5ng-a3268102.html?hloc=at&amp;hloc=de&amp;hloc=eu&amp;hloc=pl&amp;hloc=uk</t>
  </si>
  <si>
    <t>G.Skill Trident Z5 RGB weiß DIMM Kit 64GB, DDR5-6400, CL32-39-39-102, on-die ECC</t>
  </si>
  <si>
    <t>F5-6400J3239G32GX2-TZ5RW</t>
  </si>
  <si>
    <t>https://geizhals.eu/g-skill-trident-z5-rgb-weiss-dimm-kit-64gb-f5-6400j3239g32gx2-tz5rw-a2988630.html?hloc=at&amp;hloc=de&amp;hloc=eu&amp;hloc=pl&amp;hloc=uk</t>
  </si>
  <si>
    <t>G.Skill Trident Z5 RGB weiß DIMM Kit 64GB, DDR5-6000, CL30-40-40-96, on-die ECC</t>
  </si>
  <si>
    <t>F5-6000J3040G32GX2-TZ5RW</t>
  </si>
  <si>
    <t>https://geizhals.eu/g-skill-trident-z5-rgb-weiss-dimm-kit-64gb-f5-6000j3040g32gx2-tz5rw-a2988628.html?hloc=at&amp;hloc=de&amp;hloc=eu&amp;hloc=pl&amp;hloc=uk</t>
  </si>
  <si>
    <t>G.Skill Trident Z5 RGB weiß DIMM Kit 64GB, DDR5-6000, CL28-36-36-96, on-die ECC</t>
  </si>
  <si>
    <t>F5-6000J2836G32GX2-TZ5RW</t>
  </si>
  <si>
    <t>https://geizhals.eu/g-skill-trident-z5-rgb-weiss-dimm-kit-64gb-f5-6000j2836g32gx2-tz5rw-a3411804.html?hloc=at&amp;hloc=de&amp;hloc=eu&amp;hloc=pl&amp;hloc=uk</t>
  </si>
  <si>
    <t>G.Skill Trident Z5 RGB weiß DIMM Kit 48GB, DDR5-8400, CL40-52-52-134, on-die ECC</t>
  </si>
  <si>
    <t>F5-8400J4052G24GX2-TZ5RW</t>
  </si>
  <si>
    <t>https://geizhals.eu/g-skill-trident-z5-rgb-weiss-dimm-kit-48gb-f5-8400j4052g24gx2-tz5rw-a3097323.html?hloc=at&amp;hloc=de&amp;hloc=eu&amp;hloc=pl&amp;hloc=uk</t>
  </si>
  <si>
    <t>G.Skill Trident Z5 RGB weiß DIMM Kit 48GB, DDR5-8200, CL40-52-52-131, on-die ECC</t>
  </si>
  <si>
    <t>F5-8200J4052F24GX2-TZ5RW</t>
  </si>
  <si>
    <t>https://geizhals.eu/g-skill-trident-z5-rgb-weiss-dimm-kit-48gb-f5-8200j4052f24gx2-tz5rw-a2988649.html?hloc=at&amp;hloc=de&amp;hloc=eu&amp;hloc=pl&amp;hloc=uk</t>
  </si>
  <si>
    <t>G.Skill Trident Z5 RGB weiß DIMM Kit 48GB, DDR5-8000, CL40-48-48-128, on-die ECC</t>
  </si>
  <si>
    <t>F5-8000J4048F24GX2-TZ5RW</t>
  </si>
  <si>
    <t>https://geizhals.eu/g-skill-trident-z5-rgb-weiss-dimm-kit-48gb-f5-8000j4048f24gx2-tz5rw-a2988627.html?hloc=at&amp;hloc=de&amp;hloc=eu&amp;hloc=pl&amp;hloc=uk</t>
  </si>
  <si>
    <t>G.Skill Trident Z5 RGB weiß DIMM Kit 48GB, DDR5-7600, CL38-48-48-121, on-die ECC</t>
  </si>
  <si>
    <t>F5-7600J3848F24GX2-TZ5RW</t>
  </si>
  <si>
    <t>https://geizhals.eu/g-skill-trident-z5-rgb-weiss-dimm-kit-48gb-f5-7600j3848f24gx2-tz5rw-a2988648.html?hloc=at&amp;hloc=de&amp;hloc=eu&amp;hloc=pl&amp;hloc=uk</t>
  </si>
  <si>
    <t>G.Skill Trident Z5 RGB weiß DIMM Kit 48GB, DDR5-7200, CL36-46-46-115, on-die ECC</t>
  </si>
  <si>
    <t>F5-7200J3646F24GX2-TZ5RW</t>
  </si>
  <si>
    <t>https://geizhals.eu/g-skill-trident-z5-rgb-weiss-dimm-kit-48gb-f5-7200j3646f24gx2-tz5rw-a2988626.html?hloc=at&amp;hloc=de&amp;hloc=eu&amp;hloc=pl&amp;hloc=uk</t>
  </si>
  <si>
    <t>G.Skill Trident Z5 RGB weiß DIMM Kit 32GB, DDR5-6400, CL32-39-39-102, on-die ECC</t>
  </si>
  <si>
    <t>F5-6400J3239G16GX2-TZ5RW</t>
  </si>
  <si>
    <t>https://geizhals.eu/g-skill-trident-z5-rgb-weiss-dimm-kit-32gb-f5-6400j3239g16gx2-tz5rw-a2988625.html?hloc=at&amp;hloc=de&amp;hloc=eu&amp;hloc=pl&amp;hloc=uk</t>
  </si>
  <si>
    <t>G.Skill Trident Z5 RGB weiß DIMM Kit 32GB, DDR5-6400, CL30-39-39-102, on-die ECC</t>
  </si>
  <si>
    <t>F5-6400J3039G16GX2-TZ5RW</t>
  </si>
  <si>
    <t>https://geizhals.eu/g-skill-trident-z5-rgb-weiss-dimm-kit-32gb-f5-6400j3039g16gx2-tz5rw-a3268667.html?hloc=at&amp;hloc=de&amp;hloc=eu&amp;hloc=pl&amp;hloc=uk</t>
  </si>
  <si>
    <t>G.Skill Trident Z5 RGB weiß DIMM Kit 32GB, DDR5-6000, CL32-38-38-96, on-die ECC</t>
  </si>
  <si>
    <t>F5-6000J3238F16GX2-TZ5RW</t>
  </si>
  <si>
    <t>https://geizhals.eu/g-skill-trident-z5-rgb-weiss-dimm-kit-32gb-f5-6000j3238f16gx2-tz5rw-a2988623.html?hloc=at&amp;hloc=de&amp;hloc=eu&amp;hloc=pl&amp;hloc=uk</t>
  </si>
  <si>
    <t>G.Skill Trident Z5 RGB weiß DIMM Kit 32GB, DDR5-6000, CL28-36-36-96, on-die ECC</t>
  </si>
  <si>
    <t>F5-6000J2836G16GX2-TZ5RW</t>
  </si>
  <si>
    <t>https://geizhals.eu/g-skill-trident-z5-rgb-weiss-dimm-kit-32gb-f5-6000j2836g16gx2-tz5rw-a3410388.html?hloc=at&amp;hloc=de&amp;hloc=eu&amp;hloc=pl&amp;hloc=uk</t>
  </si>
  <si>
    <t>G.Skill Trident Z5 RGB silber DIMM Kit 64GB, DDR5-6400, CL32-39-39-102, on-die ECC</t>
  </si>
  <si>
    <t>F5-6400J3239G32GX2-TZ5RS</t>
  </si>
  <si>
    <t>https://geizhals.eu/g-skill-trident-z5-rgb-silber-dimm-kit-64gb-f5-6400j3239g32gx2-tz5rs-a2837600.html?hloc=at&amp;hloc=de&amp;hloc=eu&amp;hloc=pl&amp;hloc=uk</t>
  </si>
  <si>
    <t>G.Skill Trident Z5 RGB silber DIMM Kit 64GB, DDR5-6000, CL32-38-38-96, on-die ECC</t>
  </si>
  <si>
    <t>F5-6000J3238G32GX2-TZ5RS</t>
  </si>
  <si>
    <t>https://geizhals.eu/g-skill-trident-z5-rgb-silber-dimm-kit-64gb-f5-6000j3238g32gx2-tz5rs-a2806644.html?hloc=at&amp;hloc=de&amp;hloc=eu&amp;hloc=pl&amp;hloc=uk</t>
  </si>
  <si>
    <t>G.Skill Trident Z5 RGB silber DIMM Kit 64GB, DDR5-6000, CL30-40-40-96, on-die ECC</t>
  </si>
  <si>
    <t>F5-6000J3040G32GX2-TZ5RS</t>
  </si>
  <si>
    <t>https://geizhals.eu/g-skill-trident-z5-rgb-silber-dimm-kit-64gb-f5-6000j3040g32gx2-tz5rs-a2722052.html?hloc=at&amp;hloc=de&amp;hloc=eu&amp;hloc=pl&amp;hloc=uk</t>
  </si>
  <si>
    <t>G.Skill Trident Z5 RGB silber DIMM Kit 64GB, DDR5-5600, CL28-34-34-89, on-die ECC</t>
  </si>
  <si>
    <t>F5-5600J2834F32GX2-TZ5RS</t>
  </si>
  <si>
    <t>https://geizhals.eu/g-skill-trident-z5-rgb-silber-dimm-kit-64gb-f5-5600j2834f32gx2-tz5rs-a2761818.html?hloc=at&amp;hloc=de&amp;hloc=eu&amp;hloc=pl&amp;hloc=uk</t>
  </si>
  <si>
    <t>G.Skill Trident Z5 RGB silber DIMM Kit 48GB, DDR5-8000, CL40-48-48-128, on-die ECC</t>
  </si>
  <si>
    <t>F5-8000J4048F24GX2-TZ5RS</t>
  </si>
  <si>
    <t>https://geizhals.eu/g-skill-trident-z5-rgb-silber-dimm-kit-48gb-f5-8000j4048f24gx2-tz5rs-a2926824.html?hloc=at&amp;hloc=de&amp;hloc=eu&amp;hloc=pl&amp;hloc=uk</t>
  </si>
  <si>
    <t>G.Skill Trident Z5 RGB silber DIMM Kit 32GB, DDR5-8000, CL38-48-48-128, on-die ECC</t>
  </si>
  <si>
    <t>F5-8000J3848H16GX2-TZ5RS</t>
  </si>
  <si>
    <t>https://geizhals.eu/g-skill-trident-z5-rgb-silber-dimm-kit-32gb-f5-8000j3848h16gx2-tz5rs-a2857984.html?hloc=at&amp;hloc=de&amp;hloc=eu&amp;hloc=pl&amp;hloc=uk</t>
  </si>
  <si>
    <t>G.Skill Trident Z5 RGB silber DIMM Kit 32GB, DDR5-7800, CL36-46-46-125, on-die ECC</t>
  </si>
  <si>
    <t>F5-7800J3646H16GX2-TZ5RS</t>
  </si>
  <si>
    <t>https://geizhals.eu/g-skill-trident-z5-rgb-silber-dimm-kit-32gb-f5-7800j3646h16gx2-tz5rs-a2858991.html?hloc=at&amp;hloc=de&amp;hloc=eu&amp;hloc=pl&amp;hloc=uk</t>
  </si>
  <si>
    <t>G.Skill Trident Z5 RGB silber DIMM Kit 32GB, DDR5-7600, CL36-46-46-121, on-die ECC</t>
  </si>
  <si>
    <t>F5-7600J3646G16GX2-TZ5RS</t>
  </si>
  <si>
    <t>https://geizhals.eu/g-skill-trident-z5-rgb-silber-dimm-kit-32gb-f5-7600j3646g16gx2-tz5rs-a2834943.html?hloc=at&amp;hloc=de&amp;hloc=eu&amp;hloc=pl&amp;hloc=uk</t>
  </si>
  <si>
    <t>G.Skill Trident Z5 RGB silber DIMM Kit 32GB, DDR5-7200, CL34-45-45-115, on-die ECC</t>
  </si>
  <si>
    <t>F5-7200J3445G16GX2-TZ5RS</t>
  </si>
  <si>
    <t>https://geizhals.eu/g-skill-trident-z5-rgb-silber-dimm-kit-32gb-f5-7200j3445g16gx2-tz5rs-a2837607.html?hloc=at&amp;hloc=de&amp;hloc=eu&amp;hloc=pl&amp;hloc=uk</t>
  </si>
  <si>
    <t>G.Skill Trident Z5 RGB silber DIMM Kit 32GB, DDR5-6800, CL34-45-45-108, on-die ECC</t>
  </si>
  <si>
    <t>F5-6800J3445G16GX2-TZ5RS</t>
  </si>
  <si>
    <t>https://geizhals.eu/g-skill-trident-z5-rgb-silber-dimm-kit-32gb-f5-6800j3445g16gx2-tz5rs-a2837604.html?hloc=at&amp;hloc=de&amp;hloc=eu&amp;hloc=pl&amp;hloc=uk</t>
  </si>
  <si>
    <t>G.Skill Trident Z5 RGB silber DIMM Kit 32GB, DDR5-6600, CL34-40-40-105, on-die ECC</t>
  </si>
  <si>
    <t>F5-6600J3440G16GX2-TZ5RS</t>
  </si>
  <si>
    <t>https://geizhals.eu/g-skill-trident-z5-rgb-silber-dimm-kit-32gb-f5-6600j3440g16gx2-tz5rs-a2722057.html?hloc=at&amp;hloc=de&amp;hloc=eu&amp;hloc=pl&amp;hloc=uk</t>
  </si>
  <si>
    <t>G.Skill Trident Z5 RGB silber DIMM Kit 32GB, DDR5-6400, CL32-39-39-102, on-die ECC</t>
  </si>
  <si>
    <t>F5-6400J3239G16GX2-TZ5RS</t>
  </si>
  <si>
    <t>https://geizhals.eu/g-skill-trident-z5-rgb-silber-dimm-kit-32gb-f5-6400j3239g16gx2-tz5rs-a2669241.html?hloc=at&amp;hloc=de&amp;hloc=eu&amp;hloc=pl&amp;hloc=uk</t>
  </si>
  <si>
    <t>G.Skill Trident Z5 RGB silber DIMM Kit 32GB, DDR5-6000, CL40-40-40-96, on-die ECC</t>
  </si>
  <si>
    <t>F5-6000J4040F16GX2-TZ5RS</t>
  </si>
  <si>
    <t>https://geizhals.eu/g-skill-trident-z5-rgb-silber-dimm-kit-32gb-f5-6000j4040f16gx2-tz5rs-a2663243.html?hloc=at&amp;hloc=de&amp;hloc=eu&amp;hloc=pl&amp;hloc=uk</t>
  </si>
  <si>
    <t>G.Skill Trident Z5 RGB silber DIMM Kit 32GB, DDR5-6000, CL36-36-36-96, on-die ECC</t>
  </si>
  <si>
    <t>F5-6000J3636F16GX2-TZ5RS</t>
  </si>
  <si>
    <t>https://geizhals.eu/g-skill-trident-z5-rgb-silber-dimm-kit-32gb-f5-6000j3636f16gx2-tz5rs-a2663293.html?hloc=at&amp;hloc=de&amp;hloc=eu&amp;hloc=pl&amp;hloc=uk</t>
  </si>
  <si>
    <t>G.Skill Trident Z5 RGB silber DIMM Kit 32GB, DDR5-6000, CL32-38-38-96, on-die ECC</t>
  </si>
  <si>
    <t>F5-6000J3238F16GX2-TZ5RS</t>
  </si>
  <si>
    <t>https://geizhals.eu/g-skill-trident-z5-rgb-silber-dimm-kit-32gb-f5-6000j3238f16gx2-tz5rs-a2719852.html?hloc=at&amp;hloc=de&amp;hloc=eu&amp;hloc=pl&amp;hloc=uk</t>
  </si>
  <si>
    <t>G.Skill Trident Z5 RGB silber DIMM Kit 32GB, DDR5-6000, CL30-40-40-96, on-die ECC</t>
  </si>
  <si>
    <t>F5-6000J3040F16GX2-TZ5RS</t>
  </si>
  <si>
    <t>https://geizhals.eu/g-skill-trident-z5-rgb-silber-dimm-kit-32gb-f5-6000j3040f16gx2-tz5rs-a2719840.html?hloc=at&amp;hloc=de&amp;hloc=eu&amp;hloc=pl&amp;hloc=uk</t>
  </si>
  <si>
    <t>G.Skill Trident Z5 RGB silber DIMM Kit 32GB, DDR5-5600, CL36-36-36-89, on-die ECC</t>
  </si>
  <si>
    <t>F5-5600J3636C16GX2-TZ5RS</t>
  </si>
  <si>
    <t>https://geizhals.eu/g-skill-trident-z5-rgb-silber-dimm-kit-32gb-f5-5600j3636c16gx2-tz5rs-a2668116.html?hloc=at&amp;hloc=de&amp;hloc=eu&amp;hloc=pl&amp;hloc=uk</t>
  </si>
  <si>
    <t>G.Skill Trident Z5 RGB silber DIMM Kit 32GB, DDR5-5600, CL36-36-36-76, on-die ECC</t>
  </si>
  <si>
    <t>F5-5600U3636C16GX2-TZ5RS</t>
  </si>
  <si>
    <t>https://geizhals.eu/g-skill-trident-z5-rgb-silber-dimm-kit-32gb-f5-5600u3636c16gx2-tz5rs-a2637968.html?hloc=at&amp;hloc=de&amp;hloc=eu&amp;hloc=pl&amp;hloc=uk</t>
  </si>
  <si>
    <t>G.Skill Trident Z5 RGB silber DIMM Kit 32GB, DDR5-5600, CL28-34-34-89, on-die ECC</t>
  </si>
  <si>
    <t>F5-5600J2834F16GX2-TZ5RS</t>
  </si>
  <si>
    <t>https://geizhals.eu/g-skill-trident-z5-rgb-silber-dimm-kit-32gb-f5-5600j2834f16gx2-tz5rs-a2747414.html?hloc=at&amp;hloc=de&amp;hloc=eu&amp;hloc=pl&amp;hloc=uk</t>
  </si>
  <si>
    <t>G.Skill Trident Z5 RGB silber DIMM Kit 32GB, DDR5-5200, CL36-36-36-83, on-die ECC</t>
  </si>
  <si>
    <t>F5-5200J3636C16GX2-TZ5RS</t>
  </si>
  <si>
    <t>https://geizhals.eu/g-skill-trident-z5-rgb-silber-dimm-kit-32gb-f5-5200j3636c16gx2-tz5rs-a2663340.html?hloc=at&amp;hloc=de&amp;hloc=eu&amp;hloc=pl&amp;hloc=uk</t>
  </si>
  <si>
    <t>G.Skill Trident Z5 RGB schwarz DIMM Kit 96GB, DDR5-6800, CL34-46-46-108, on-die ECC</t>
  </si>
  <si>
    <t>F5-6800J3446F48GX2-TZ5RK</t>
  </si>
  <si>
    <t>https://geizhals.eu/g-skill-trident-z5-rgb-schwarz-dimm-kit-96gb-f5-6800j3446f48gx2-tz5rk-a2962101.html?hloc=at&amp;hloc=de&amp;hloc=eu&amp;hloc=pl&amp;hloc=uk</t>
  </si>
  <si>
    <t>G.Skill Trident Z5 RGB schwarz DIMM Kit 96GB, DDR5-6400, CL32-39-39-102, on-die ECC</t>
  </si>
  <si>
    <t>F5-6400J3239F48GX2-TZ5RK</t>
  </si>
  <si>
    <t>https://geizhals.eu/g-skill-trident-z5-rgb-schwarz-dimm-kit-96gb-f5-6400j3239f48gx2-tz5rk-a2936624.html?hloc=at&amp;hloc=de&amp;hloc=eu&amp;hloc=pl&amp;hloc=uk</t>
  </si>
  <si>
    <t>G.Skill Trident Z5 RGB schwarz DIMM Kit 96GB, DDR5-5600, CL40-40-40-89, on-die ECC</t>
  </si>
  <si>
    <t>F5-5600J4040D48GX2-TZ5RK</t>
  </si>
  <si>
    <t>https://geizhals.eu/g-skill-trident-z5-rgb-schwarz-dimm-kit-96gb-f5-5600j4040d48gx2-tz5rk-a2945215.html?hloc=at&amp;hloc=de&amp;hloc=eu&amp;hloc=pl&amp;hloc=uk</t>
  </si>
  <si>
    <t>G.Skill Trident Z5 RGB schwarz DIMM Kit 64GB, DDR5-6800, CL34-45-45-108, on-die ECC</t>
  </si>
  <si>
    <t>F5-6800J3445G32GX2-TZ5RK</t>
  </si>
  <si>
    <t>https://geizhals.eu/g-skill-trident-z5-rgb-schwarz-dimm-kit-64gb-f5-6800j3445g32gx2-tz5rk-a2962214.html?hloc=at&amp;hloc=de&amp;hloc=eu&amp;hloc=pl&amp;hloc=uk</t>
  </si>
  <si>
    <t>G.Skill Trident Z5 RGB schwarz DIMM Kit 64GB, DDR5-6400, CL32-39-39-102, on-die ECC</t>
  </si>
  <si>
    <t>F5-6400J3239G32GX2-TZ5RK</t>
  </si>
  <si>
    <t>https://geizhals.eu/g-skill-trident-z5-rgb-schwarz-dimm-kit-64gb-f5-6400j3239g32gx2-tz5rk-a2837601.html?hloc=at&amp;hloc=de&amp;hloc=eu&amp;hloc=pl&amp;hloc=uk</t>
  </si>
  <si>
    <t>G.Skill Trident Z5 RGB schwarz DIMM Kit 64GB, DDR5-6000, CL32-38-38-96, on-die ECC</t>
  </si>
  <si>
    <t>F5-6000J3238G32GX2-TZ5RK</t>
  </si>
  <si>
    <t>https://geizhals.eu/g-skill-trident-z5-rgb-schwarz-dimm-kit-64gb-f5-6000j3238g32gx2-tz5rk-a2806643.html?hloc=at&amp;hloc=de&amp;hloc=eu&amp;hloc=pl&amp;hloc=uk</t>
  </si>
  <si>
    <t>G.Skill Trident Z5 RGB schwarz DIMM Kit 64GB, DDR5-6000, CL30-40-40-96, on-die ECC</t>
  </si>
  <si>
    <t>F5-6000J3040G32GX2-TZ5RK</t>
  </si>
  <si>
    <t>https://geizhals.eu/g-skill-trident-z5-rgb-schwarz-dimm-kit-64gb-f5-6000j3040g32gx2-tz5rk-a2722053.html?hloc=at&amp;hloc=de&amp;hloc=eu&amp;hloc=pl&amp;hloc=uk</t>
  </si>
  <si>
    <t>G.Skill Trident Z5 RGB schwarz DIMM Kit 64GB, DDR5-6000, CL28-36-36-96, on-die ECC</t>
  </si>
  <si>
    <t>F5-6000J2836G32GX2-TZ5RK</t>
  </si>
  <si>
    <t>https://geizhals.eu/g-skill-trident-z5-rgb-schwarz-dimm-kit-64gb-f5-6000j2836g32gx2-tz5rk-a3411803.html?hloc=at&amp;hloc=de&amp;hloc=eu&amp;hloc=pl&amp;hloc=uk</t>
  </si>
  <si>
    <t>G.Skill Trident Z5 RGB schwarz DIMM Kit 64GB, DDR5-5600, CL30-36-36-89, on-die ECC</t>
  </si>
  <si>
    <t>F5-5600J3036D32GX2-TZ5RK</t>
  </si>
  <si>
    <t>https://geizhals.eu/g-skill-trident-z5-rgb-schwarz-dimm-kit-64gb-f5-5600j3036d32gx2-tz5rk-a2721972.html?hloc=at&amp;hloc=de&amp;hloc=eu&amp;hloc=pl&amp;hloc=uk</t>
  </si>
  <si>
    <t>G.Skill Trident Z5 RGB schwarz DIMM Kit 64GB, DDR5-5600, CL28-34-34-89, on-die ECC</t>
  </si>
  <si>
    <t>F5-5600J2834F32GX2-TZ5RK</t>
  </si>
  <si>
    <t>https://geizhals.eu/g-skill-trident-z5-rgb-schwarz-dimm-kit-64gb-f5-5600j2834f32gx2-tz5rk-a2761816.html?hloc=at&amp;hloc=de&amp;hloc=eu&amp;hloc=pl&amp;hloc=uk</t>
  </si>
  <si>
    <t>G.Skill Trident Z5 RGB schwarz DIMM Kit 48GB, DDR5-8400, CL40-52-52-134, on-die ECC</t>
  </si>
  <si>
    <t>F5-8400J4052G24GX2-TZ5RK</t>
  </si>
  <si>
    <t>https://geizhals.eu/g-skill-trident-z5-rgb-schwarz-dimm-kit-48gb-f5-8400j4052g24gx2-tz5rk-a3097266.html?hloc=at&amp;hloc=de&amp;hloc=eu&amp;hloc=pl&amp;hloc=uk</t>
  </si>
  <si>
    <t>G.Skill Trident Z5 RGB schwarz DIMM Kit 48GB, DDR5-8200, CL40-52-52-131, on-die ECC</t>
  </si>
  <si>
    <t>F5-8200J4052F24GX2-TZ5RK</t>
  </si>
  <si>
    <t>https://geizhals.eu/g-skill-trident-z5-rgb-schwarz-dimm-kit-48gb-f5-8200j4052f24gx2-tz5rk-a3054267.html?hloc=at&amp;hloc=de&amp;hloc=eu&amp;hloc=pl&amp;hloc=uk</t>
  </si>
  <si>
    <t>G.Skill Trident Z5 RGB schwarz DIMM Kit 48GB, DDR5-8000, CL40-48-48-128, on-die ECC</t>
  </si>
  <si>
    <t>F5-8000J4048F24GX2-TZ5RK</t>
  </si>
  <si>
    <t>https://geizhals.eu/g-skill-trident-z5-rgb-schwarz-dimm-kit-48gb-f5-8000j4048f24gx2-tz5rk-a2926823.html?hloc=at&amp;hloc=de&amp;hloc=eu&amp;hloc=pl&amp;hloc=uk</t>
  </si>
  <si>
    <t>G.Skill Trident Z5 RGB schwarz DIMM Kit 48GB, DDR5-7600, CL38-48-48-121, on-die ECC</t>
  </si>
  <si>
    <t>F5-7600J3848F24GX2-TZ5RK</t>
  </si>
  <si>
    <t>https://geizhals.eu/g-skill-trident-z5-rgb-schwarz-dimm-kit-48gb-f5-7600j3848f24gx2-tz5rk-a2995603.html?hloc=at&amp;hloc=de&amp;hloc=eu&amp;hloc=pl&amp;hloc=uk</t>
  </si>
  <si>
    <t>G.Skill Trident Z5 RGB schwarz DIMM Kit 48GB, DDR5-6800, CL34-46-46-108, on-die ECC</t>
  </si>
  <si>
    <t>F5-6800J3446F24GX2-TZ5RK</t>
  </si>
  <si>
    <t>https://geizhals.eu/g-skill-trident-z5-rgb-schwarz-dimm-kit-48gb-f5-6800j3446f24gx2-tz5rk-a2962086.html?hloc=at&amp;hloc=de&amp;hloc=eu&amp;hloc=pl&amp;hloc=uk</t>
  </si>
  <si>
    <t>G.Skill Trident Z5 RGB schwarz DIMM Kit 48GB, DDR5-6400, CL36-48-48-102, on-die ECC</t>
  </si>
  <si>
    <t>F5-6400J3648G24GX2-TZ5RK</t>
  </si>
  <si>
    <t>https://geizhals.eu/g-skill-trident-z5-rgb-schwarz-dimm-kit-48gb-f5-6400j3648g24gx2-tz5rk-a2962177.html?hloc=at&amp;hloc=de&amp;hloc=eu&amp;hloc=pl&amp;hloc=uk</t>
  </si>
  <si>
    <t>G.Skill Trident Z5 RGB schwarz DIMM Kit 48GB, DDR5-6400, CL32-39-39-102, on-die ECC</t>
  </si>
  <si>
    <t>F5-6400J3239F24GX2-TZ5RK</t>
  </si>
  <si>
    <t>https://geizhals.eu/g-skill-trident-z5-rgb-schwarz-dimm-kit-48gb-f5-6400j3239f24gx2-tz5rk-a2962199.html?hloc=at&amp;hloc=de&amp;hloc=eu&amp;hloc=pl&amp;hloc=uk</t>
  </si>
  <si>
    <t>G.Skill Trident Z5 RGB schwarz DIMM Kit 48GB, DDR5-6000, CL40-48-48-96, on-die ECC</t>
  </si>
  <si>
    <t>F5-6000J4048F24GX2-TZ5RK</t>
  </si>
  <si>
    <t>https://geizhals.eu/g-skill-trident-z5-rgb-schwarz-dimm-kit-48gb-f5-6000j4048f24gx2-tz5rk-a2947090.html?hloc=at&amp;hloc=de&amp;hloc=eu&amp;hloc=pl&amp;hloc=uk</t>
  </si>
  <si>
    <t>G.Skill Trident Z5 RGB schwarz DIMM Kit 48GB, DDR5-5600, CL40-40-40-89, on-die ECC</t>
  </si>
  <si>
    <t>F5-5600J4040D24GX2-TZ5RK</t>
  </si>
  <si>
    <t>https://geizhals.eu/g-skill-trident-z5-rgb-schwarz-dimm-kit-48gb-f5-5600j4040d24gx2-tz5rk-a2947231.html?hloc=at&amp;hloc=de&amp;hloc=eu&amp;hloc=pl&amp;hloc=uk</t>
  </si>
  <si>
    <t>G.Skill Trident Z5 RGB schwarz DIMM Kit 32GB, DDR5-8000, CL38-48-48-128, on-die ECC</t>
  </si>
  <si>
    <t>F5-8000J3848H16GX2-TZ5RK</t>
  </si>
  <si>
    <t>https://geizhals.eu/g-skill-trident-z5-rgb-schwarz-dimm-kit-32gb-f5-8000j3848h16gx2-tz5rk-a2857979.html?hloc=at&amp;hloc=de&amp;hloc=eu&amp;hloc=pl&amp;hloc=uk</t>
  </si>
  <si>
    <t>G.Skill Trident Z5 RGB schwarz DIMM Kit 32GB, DDR5-7800, CL36-46-46-125, on-die ECC</t>
  </si>
  <si>
    <t>F5-7800J3646H16GX2-TZ5RK</t>
  </si>
  <si>
    <t>https://geizhals.eu/g-skill-trident-z5-rgb-schwarz-dimm-kit-32gb-f5-7800j3646h16gx2-tz5rk-a2858992.html?hloc=at&amp;hloc=de&amp;hloc=eu&amp;hloc=pl&amp;hloc=uk</t>
  </si>
  <si>
    <t>G.Skill Trident Z5 RGB schwarz DIMM Kit 32GB, DDR5-7600, CL36-46-46-121, on-die ECC</t>
  </si>
  <si>
    <t>F5-7600J3646G16GX2-TZ5RK</t>
  </si>
  <si>
    <t>https://geizhals.eu/g-skill-trident-z5-rgb-schwarz-dimm-kit-32gb-f5-7600j3646g16gx2-tz5rk-a2834942.html?hloc=at&amp;hloc=de&amp;hloc=eu&amp;hloc=pl&amp;hloc=uk</t>
  </si>
  <si>
    <t>G.Skill Trident Z5 RGB schwarz DIMM Kit 32GB, DDR5-7200, CL34-45-45-115, on-die ECC</t>
  </si>
  <si>
    <t>F5-7200J3445G16GX2-TZ5RK</t>
  </si>
  <si>
    <t>https://geizhals.eu/g-skill-trident-z5-rgb-schwarz-dimm-kit-32gb-f5-7200j3445g16gx2-tz5rk-a2837608.html?hloc=at&amp;hloc=de&amp;hloc=eu&amp;hloc=pl&amp;hloc=uk</t>
  </si>
  <si>
    <t>G.Skill Trident Z5 RGB schwarz DIMM Kit 32GB, DDR5-6800, CL34-45-45-108, on-die ECC</t>
  </si>
  <si>
    <t>F5-6800J3445G16GX2-TZ5RK</t>
  </si>
  <si>
    <t>https://geizhals.eu/g-skill-trident-z5-rgb-schwarz-dimm-kit-32gb-f5-6800j3445g16gx2-tz5rk-a2837603.html?hloc=at&amp;hloc=de&amp;hloc=eu&amp;hloc=pl&amp;hloc=uk</t>
  </si>
  <si>
    <t>G.Skill Trident Z5 RGB schwarz DIMM Kit 32GB, DDR5-6600, CL34-40-40-105, on-die ECC</t>
  </si>
  <si>
    <t>F5-6600J3440G16GX2-TZ5RK</t>
  </si>
  <si>
    <t>https://geizhals.eu/g-skill-trident-z5-rgb-schwarz-dimm-kit-32gb-f5-6600j3440g16gx2-tz5rk-a2722056.html?hloc=at&amp;hloc=de&amp;hloc=eu&amp;hloc=pl&amp;hloc=uk</t>
  </si>
  <si>
    <t>G.Skill Trident Z5 RGB schwarz DIMM Kit 32GB, DDR5-6400, CL32-39-39-102, on-die ECC</t>
  </si>
  <si>
    <t>F5-6400J3239G16GX2-TZ5RK</t>
  </si>
  <si>
    <t>https://geizhals.eu/g-skill-trident-z5-rgb-schwarz-dimm-kit-32gb-f5-6400j3239g16gx2-tz5rk-a2669242.html?hloc=at&amp;hloc=de&amp;hloc=eu&amp;hloc=pl&amp;hloc=uk</t>
  </si>
  <si>
    <t>G.Skill Trident Z5 RGB schwarz DIMM Kit 32GB, DDR5-6400, CL30-39-39-102, on-die ECC</t>
  </si>
  <si>
    <t>F5-6400J3039G16GX2-TZ5RK</t>
  </si>
  <si>
    <t>https://geizhals.eu/g-skill-trident-z5-rgb-schwarz-dimm-kit-32gb-f5-6400j3039g16gx2-tz5rk-a3268666.html?hloc=at&amp;hloc=de&amp;hloc=eu&amp;hloc=pl&amp;hloc=uk</t>
  </si>
  <si>
    <t>G.Skill Trident Z5 RGB schwarz DIMM Kit 32GB, DDR5-6000, CL40-40-40-96, on-die ECC</t>
  </si>
  <si>
    <t>F5-6000J4040F16GX2-TZ5RK</t>
  </si>
  <si>
    <t>https://geizhals.eu/g-skill-trident-z5-rgb-schwarz-dimm-kit-32gb-f5-6000j4040f16gx2-tz5rk-a2663241.html?hloc=at&amp;hloc=de&amp;hloc=eu&amp;hloc=pl&amp;hloc=uk</t>
  </si>
  <si>
    <t>G.Skill Trident Z5 RGB schwarz DIMM Kit 32GB, DDR5-6000, CL36-36-36-96, on-die ECC</t>
  </si>
  <si>
    <t>F5-6000J3636F16GX2-TZ5RK</t>
  </si>
  <si>
    <t>https://geizhals.eu/g-skill-trident-z5-rgb-schwarz-dimm-kit-32gb-f5-6000j3636f16gx2-tz5rk-a2663294.html?hloc=at&amp;hloc=de&amp;hloc=eu&amp;hloc=pl&amp;hloc=uk</t>
  </si>
  <si>
    <t>G.Skill Trident Z5 RGB schwarz DIMM Kit 32GB, DDR5-6000, CL32-38-38-96, on-die ECC</t>
  </si>
  <si>
    <t>F5-6000J3238F16GX2-TZ5RK</t>
  </si>
  <si>
    <t>https://geizhals.eu/g-skill-trident-z5-rgb-schwarz-dimm-kit-32gb-f5-6000j3238f16gx2-tz5rk-a2719851.html?hloc=at&amp;hloc=de&amp;hloc=eu&amp;hloc=pl&amp;hloc=uk</t>
  </si>
  <si>
    <t>G.Skill Trident Z5 RGB schwarz DIMM Kit 32GB, DDR5-6000, CL30-40-40-96, on-die ECC</t>
  </si>
  <si>
    <t>F5-6000J3040F16GX2-TZ5RK</t>
  </si>
  <si>
    <t>https://geizhals.eu/g-skill-trident-z5-rgb-schwarz-dimm-kit-32gb-f5-6000j3040f16gx2-tz5rk-a2719844.html?hloc=at&amp;hloc=de&amp;hloc=eu&amp;hloc=pl&amp;hloc=uk</t>
  </si>
  <si>
    <t>G.Skill Trident Z5 RGB schwarz DIMM Kit 32GB, DDR5-6000, CL30-36-36-96, on-die ECC</t>
  </si>
  <si>
    <t>F5-6000J3036F16GX2-TZ5RK</t>
  </si>
  <si>
    <t>https://geizhals.eu/g-skill-trident-z5-rgb-schwarz-dimm-kit-32gb-f5-6000j3036f16gx2-tz5rk-a3302832.html?hloc=at&amp;hloc=de&amp;hloc=eu&amp;hloc=pl&amp;hloc=uk</t>
  </si>
  <si>
    <t>G.Skill Trident Z5 RGB schwarz DIMM Kit 32GB, DDR5-6000, CL28-36-36-96, on-die ECC</t>
  </si>
  <si>
    <t>F5-6000J2836G16GX2-TZ5RK</t>
  </si>
  <si>
    <t>https://geizhals.eu/g-skill-trident-z5-rgb-schwarz-dimm-kit-32gb-f5-6000j2836g16gx2-tz5rk-a3410386.html?hloc=at&amp;hloc=de&amp;hloc=eu&amp;hloc=pl&amp;hloc=uk</t>
  </si>
  <si>
    <t>G.Skill Trident Z5 RGB schwarz DIMM Kit 32GB, DDR5-5600, CL40-40-40-89, on-die ECC</t>
  </si>
  <si>
    <t>F5-5600J4040C16GX2-TZ5RK</t>
  </si>
  <si>
    <t>https://geizhals.eu/g-skill-trident-z5-rgb-schwarz-dimm-kit-32gb-f5-5600j4040c16gx2-tz5rk-a2668144.html?hloc=at&amp;hloc=de&amp;hloc=eu&amp;hloc=pl&amp;hloc=uk</t>
  </si>
  <si>
    <t>G.Skill Trident Z5 RGB schwarz DIMM Kit 32GB, DDR5-5600, CL36-36-36-89, on-die ECC</t>
  </si>
  <si>
    <t>F5-5600J3636C16GX2-TZ5RK</t>
  </si>
  <si>
    <t>https://geizhals.eu/g-skill-trident-z5-rgb-schwarz-dimm-kit-32gb-f5-5600j3636c16gx2-tz5rk-a2668136.html?hloc=at&amp;hloc=de&amp;hloc=eu&amp;hloc=pl&amp;hloc=uk</t>
  </si>
  <si>
    <t>G.Skill Trident Z5 RGB schwarz DIMM Kit 32GB, DDR5-5600, CL36-36-36-76, on-die ECC</t>
  </si>
  <si>
    <t>F5-5600U3636C16GX2-TZ5RK</t>
  </si>
  <si>
    <t>https://geizhals.eu/g-skill-trident-z5-rgb-schwarz-dimm-kit-32gb-f5-5600u3636c16gx2-tz5rk-a2637970.html?hloc=at&amp;hloc=de&amp;hloc=eu&amp;hloc=pl&amp;hloc=uk</t>
  </si>
  <si>
    <t>G.Skill Trident Z5 RGB schwarz DIMM Kit 32GB, DDR5-5600, CL30-36-36-89, on-die ECC</t>
  </si>
  <si>
    <t>F5-5600J3036D16GX2-TZ5RK</t>
  </si>
  <si>
    <t>https://geizhals.eu/g-skill-trident-z5-rgb-schwarz-dimm-kit-32gb-f5-5600j3036d16gx2-tz5rk-a2721955.html?hloc=at&amp;hloc=de&amp;hloc=eu&amp;hloc=pl&amp;hloc=uk</t>
  </si>
  <si>
    <t>G.Skill Trident Z5 RGB schwarz DIMM Kit 32GB, DDR5-5200, CL36-36-36-83, on-die ECC</t>
  </si>
  <si>
    <t>F5-5200J3636C16GX2-TZ5RK</t>
  </si>
  <si>
    <t>https://geizhals.eu/g-skill-trident-z5-rgb-schwarz-dimm-kit-32gb-f5-5200j3636c16gx2-tz5rk-a2663341.html?hloc=at&amp;hloc=de&amp;hloc=eu&amp;hloc=pl&amp;hloc=uk</t>
  </si>
  <si>
    <t>G.Skill Trident Z5 NEO schwarz DIMM Kit 64GB, DDR5-6000, CL32-38-38-96, on-die ECC</t>
  </si>
  <si>
    <t>F5-6000J3238G32GX2-TZ5N</t>
  </si>
  <si>
    <t>https://geizhals.eu/g-skill-trident-z5-neo-schwarz-dimm-kit-64gb-f5-6000j3238g32gx2-tz5n-a2837561.html?hloc=at&amp;hloc=de&amp;hloc=eu&amp;hloc=pl&amp;hloc=uk</t>
  </si>
  <si>
    <t>G.Skill Trident Z5 NEO schwarz DIMM Kit 64GB, DDR5-6000, CL30-40-40-96, on-die ECC</t>
  </si>
  <si>
    <t>F5-6000J3040G32GX2-TZ5N</t>
  </si>
  <si>
    <t>https://geizhals.eu/g-skill-trident-z5-neo-schwarz-dimm-kit-64gb-f5-6000j3040g32gx2-tz5n-a2837567.html?hloc=at&amp;hloc=de&amp;hloc=eu&amp;hloc=pl&amp;hloc=uk</t>
  </si>
  <si>
    <t>G.Skill Trident Z5 NEO schwarz DIMM Kit 32GB, DDR5-6000, CL36-36-36-96, on-die ECC</t>
  </si>
  <si>
    <t>F5-6000J3636F16GX2-TZ5N</t>
  </si>
  <si>
    <t>https://geizhals.eu/g-skill-trident-z5-neo-schwarz-dimm-kit-32gb-f5-6000j3636f16gx2-tz5n-a2815887.html?hloc=at&amp;hloc=de&amp;hloc=eu&amp;hloc=pl&amp;hloc=uk</t>
  </si>
  <si>
    <t>G.Skill Trident Z5 NEO schwarz DIMM Kit 32GB, DDR5-6000, CL32-38-38-96, on-die ECC</t>
  </si>
  <si>
    <t>F5-6000J3238F16GX2-TZ5N</t>
  </si>
  <si>
    <t>https://geizhals.eu/g-skill-trident-z5-neo-schwarz-dimm-kit-32gb-f5-6000j3238f16gx2-tz5n-a2815886.html?hloc=at&amp;hloc=de&amp;hloc=eu&amp;hloc=pl&amp;hloc=uk</t>
  </si>
  <si>
    <t>G.Skill Trident Z5 NEO schwarz DIMM Kit 32GB, DDR5-6000, CL30-38-38-96, on-die ECC</t>
  </si>
  <si>
    <t>F5-6000J3038F16GX2-TZ5N</t>
  </si>
  <si>
    <t>https://geizhals.eu/g-skill-trident-z5-neo-schwarz-dimm-kit-32gb-f5-6000j3038f16gx2-tz5n-a2815884.html?hloc=at&amp;hloc=de&amp;hloc=eu&amp;hloc=pl&amp;hloc=uk</t>
  </si>
  <si>
    <t>G.Skill Trident Z5 NEO schwarz DIMM Kit 32GB, DDR5-5600, CL30-36-36-89, on-die ECC</t>
  </si>
  <si>
    <t>F5-5600J3036D16GX2-TZ5N</t>
  </si>
  <si>
    <t>https://geizhals.eu/g-skill-trident-z5-neo-schwarz-dimm-kit-32gb-f5-5600j3036d16gx2-tz5n-a2815883.html?hloc=at&amp;hloc=de&amp;hloc=eu&amp;hloc=pl&amp;hloc=uk</t>
  </si>
  <si>
    <t>G.Skill Trident Z5 NEO schwarz DIMM Kit 32GB, DDR5-5600, CL28-34-34-89, on-die ECC</t>
  </si>
  <si>
    <t>F5-5600J2834F16GX2-TZ5N</t>
  </si>
  <si>
    <t>https://geizhals.eu/g-skill-trident-z5-neo-schwarz-dimm-kit-32gb-f5-5600j2834f16gx2-tz5n-a2815882.html?hloc=at&amp;hloc=de&amp;hloc=eu&amp;hloc=pl&amp;hloc=uk</t>
  </si>
  <si>
    <t>G.Skill Trident Z5 NEO RGB weiß DIMM Kit 64GB, DDR5-6000, CL30-36-36-96, on-die ECC</t>
  </si>
  <si>
    <t>F5-6000J3036G32GX2-TZ5NRW</t>
  </si>
  <si>
    <t>RGB</t>
  </si>
  <si>
    <t>https://geizhals.eu/g-skill-trident-z5-neo-rgb-weiss-dimm-kit-64gb-f5-6000j3036g32gx2-tz5nrw-a3124299.html?hloc=at&amp;hloc=de&amp;hloc=eu&amp;hloc=pl&amp;hloc=uk</t>
  </si>
  <si>
    <t>G.Skill Trident Z5 NEO RGB weiß DIMM Kit 64GB, DDR5-6000, CL26-36-36-96, on-die ECC</t>
  </si>
  <si>
    <t>F5-6000J2636G32GX2-TZ5NRW</t>
  </si>
  <si>
    <t>https://geizhals.eu/g-skill-trident-z5-neo-rgb-weiss-dimm-kit-64gb-f5-6000j2636g32gx2-tz5nrw-a3410334.html?hloc=at&amp;hloc=de&amp;hloc=eu&amp;hloc=pl&amp;hloc=uk</t>
  </si>
  <si>
    <t>G.Skill Trident Z5 NEO RGB weiß DIMM Kit 48GB, DDR5-6400, CL32-39-39-102, on-die ECC</t>
  </si>
  <si>
    <t>F5-6400J3239F24GX2-TZ5NRW</t>
  </si>
  <si>
    <t>https://geizhals.eu/g-skill-trident-z5-neo-rgb-weiss-dimm-kit-48gb-f5-6400j3239f24gx2-tz5nrw-a3035839.html?hloc=at&amp;hloc=de&amp;hloc=eu&amp;hloc=pl&amp;hloc=uk</t>
  </si>
  <si>
    <t>G.Skill Trident Z5 NEO RGB weiß DIMM Kit 48GB, DDR5-6000, CL28-36-36-96, on-die ECC</t>
  </si>
  <si>
    <t>F5-6000J2836F24GX2-TZ5NRW</t>
  </si>
  <si>
    <t>https://geizhals.eu/g-skill-trident-z5-neo-rgb-weiss-dimm-kit-48gb-f5-6000j2836f24gx2-tz5nrw-a3410307.html?hloc=at&amp;hloc=de&amp;hloc=eu&amp;hloc=pl&amp;hloc=uk</t>
  </si>
  <si>
    <t>G.Skill Trident Z5 NEO RGB weiß DIMM Kit 32GB, DDR5-6400, CL32-39-39-102, on-die ECC</t>
  </si>
  <si>
    <t>F5-6400J3239G16GX2-TZ5NRW</t>
  </si>
  <si>
    <t>https://geizhals.eu/g-skill-trident-z5-neo-rgb-weiss-dimm-kit-32gb-f5-6400j3239g16gx2-tz5nrw-a3035845.html?hloc=at&amp;hloc=de&amp;hloc=eu&amp;hloc=pl&amp;hloc=uk</t>
  </si>
  <si>
    <t>G.Skill Trident Z5 NEO RGB weiß DIMM Kit 32GB, DDR5-6400, CL30-39-39-102, on-die ECC</t>
  </si>
  <si>
    <t>F5-6400J3039G16GX2-TZ5NRW</t>
  </si>
  <si>
    <t>https://geizhals.eu/g-skill-trident-z5-neo-rgb-weiss-dimm-kit-32gb-f5-6400j3039g16gx2-tz5nrw-a3268665.html?hloc=at&amp;hloc=de&amp;hloc=eu&amp;hloc=pl&amp;hloc=uk</t>
  </si>
  <si>
    <t>G.Skill Trident Z5 NEO RGB weiß DIMM Kit 32GB, DDR5-6000, CL30-36-36-96, on-die ECC</t>
  </si>
  <si>
    <t>F5-6000J3036F16GX2-TZ5NRW</t>
  </si>
  <si>
    <t>https://geizhals.eu/g-skill-trident-z5-neo-rgb-weiss-dimm-kit-32gb-f5-6000j3036f16gx2-tz5nrw-a3124297.html?hloc=at&amp;hloc=de&amp;hloc=eu&amp;hloc=pl&amp;hloc=uk</t>
  </si>
  <si>
    <t>G.Skill Trident Z5 NEO RGB weiß DIMM Kit 32GB, DDR5-6000, CL28-36-36-96, on-die ECC</t>
  </si>
  <si>
    <t>F5-6000J2836G16GX2-TZ5NRW</t>
  </si>
  <si>
    <t>https://geizhals.eu/g-skill-trident-z5-neo-rgb-weiss-dimm-kit-32gb-f5-6000j2836g16gx2-tz5nrw-a3302858.html?hloc=at&amp;hloc=de&amp;hloc=eu&amp;hloc=pl&amp;hloc=uk</t>
  </si>
  <si>
    <t>G.Skill Trident Z5 NEO RGB weiß DIMM Kit 32GB, DDR5-6000, CL26-36-36-96, on-die ECC</t>
  </si>
  <si>
    <t>F5-6000J2636G16GX2-TZ5NRW</t>
  </si>
  <si>
    <t>https://geizhals.eu/g-skill-trident-z5-neo-rgb-weiss-dimm-kit-32gb-f5-6000j2636g16gx2-tz5nrw-a3410321.html?hloc=at&amp;hloc=de&amp;hloc=eu&amp;hloc=pl&amp;hloc=uk</t>
  </si>
  <si>
    <t>G.Skill Trident Z5 NEO RGB schwarz DIMM Kit 96GB, DDR5-5600, CL40-40-40-89, on-die ECC</t>
  </si>
  <si>
    <t>F5-5600J4040D48GX2-TZ5NR</t>
  </si>
  <si>
    <t>https://geizhals.eu/g-skill-trident-z5-neo-rgb-schwarz-dimm-kit-96gb-f5-5600j4040d48gx2-tz5nr-a2947195.html?hloc=at&amp;hloc=de&amp;hloc=eu&amp;hloc=pl&amp;hloc=uk</t>
  </si>
  <si>
    <t>G.Skill Trident Z5 NEO RGB schwarz DIMM Kit 64GB, DDR5-6000, CL32-38-38-96, on-die ECC</t>
  </si>
  <si>
    <t>F5-6000J3238G32GX2-TZ5NR</t>
  </si>
  <si>
    <t>https://geizhals.eu/g-skill-trident-z5-neo-rgb-schwarz-dimm-kit-64gb-f5-6000j3238g32gx2-tz5nr-a2837562.html?hloc=at&amp;hloc=de&amp;hloc=eu&amp;hloc=pl&amp;hloc=uk</t>
  </si>
  <si>
    <t>G.Skill Trident Z5 NEO RGB schwarz DIMM Kit 64GB, DDR5-6000, CL30-40-40-96, on-die ECC</t>
  </si>
  <si>
    <t>F5-6000J3040G32GX2-TZ5NR</t>
  </si>
  <si>
    <t>https://geizhals.eu/g-skill-trident-z5-neo-rgb-schwarz-dimm-kit-64gb-f5-6000j3040g32gx2-tz5nr-a2837569.html?hloc=at&amp;hloc=de&amp;hloc=eu&amp;hloc=pl&amp;hloc=uk</t>
  </si>
  <si>
    <t>G.Skill Trident Z5 NEO RGB schwarz DIMM Kit 64GB, DDR5-6000, CL26-36-36-96, on-die ECC</t>
  </si>
  <si>
    <t>F5-6000J2636G32GX2-TZ5NR</t>
  </si>
  <si>
    <t>https://geizhals.eu/g-skill-trident-z5-neo-rgb-schwarz-dimm-kit-64gb-f5-6000j2636g32gx2-tz5nr-a3410333.html?hloc=at&amp;hloc=de&amp;hloc=eu&amp;hloc=pl&amp;hloc=uk</t>
  </si>
  <si>
    <t>G.Skill Trident Z5 NEO RGB schwarz DIMM Kit 48GB, DDR5-6400, CL32-39-39-102, on-die ECC</t>
  </si>
  <si>
    <t>F5-6400J3239F24GX2-TZ5NR</t>
  </si>
  <si>
    <t>https://geizhals.eu/g-skill-trident-z5-neo-rgb-schwarz-dimm-kit-48gb-f5-6400j3239f24gx2-tz5nr-a3035837.html?hloc=at&amp;hloc=de&amp;hloc=eu&amp;hloc=pl&amp;hloc=uk</t>
  </si>
  <si>
    <t>G.Skill Trident Z5 NEO RGB schwarz DIMM Kit 48GB, DDR5-6000, CL40-48-48-96, on-die ECC</t>
  </si>
  <si>
    <t>F5-6000J4048F24GX2-TZ5NR</t>
  </si>
  <si>
    <t>https://geizhals.eu/g-skill-trident-z5-neo-rgb-schwarz-dimm-kit-48gb-f5-6000j4048f24gx2-tz5nr-a2947110.html?hloc=at&amp;hloc=de&amp;hloc=eu&amp;hloc=pl&amp;hloc=uk</t>
  </si>
  <si>
    <t>G.Skill Trident Z5 NEO RGB schwarz DIMM Kit 48GB, DDR5-6000, CL28-36-36-96, on-die ECC</t>
  </si>
  <si>
    <t>F5-6000J2836F24GX2-TZ5NR</t>
  </si>
  <si>
    <t>https://geizhals.eu/g-skill-trident-z5-neo-rgb-schwarz-dimm-kit-48gb-f5-6000j2836f24gx2-tz5nr-a3410306.html?hloc=at&amp;hloc=de&amp;hloc=eu&amp;hloc=pl&amp;hloc=uk</t>
  </si>
  <si>
    <t>G.Skill Trident Z5 NEO RGB schwarz DIMM Kit 32GB, DDR5-8000, CL38-48-48-128, on-die ECC</t>
  </si>
  <si>
    <t>F5-8000J3848H16GX2-TZ5NR</t>
  </si>
  <si>
    <t>https://geizhals.eu/g-skill-trident-z5-neo-rgb-schwarz-dimm-kit-32gb-f5-8000j3848h16gx2-tz5nr-a3269982.html?hloc=at&amp;hloc=de&amp;hloc=eu&amp;hloc=pl&amp;hloc=uk</t>
  </si>
  <si>
    <t>G.Skill Trident Z5 NEO RGB schwarz DIMM Kit 32GB, DDR5-7200, CL34-45-45-115, on-die ECC</t>
  </si>
  <si>
    <t>F5-7200J3445G16GX2-TZ5NR</t>
  </si>
  <si>
    <t>https://geizhals.eu/g-skill-trident-z5-neo-rgb-schwarz-dimm-kit-32gb-f5-7200j3445g16gx2-tz5nr-a3268679.html?hloc=at&amp;hloc=de&amp;hloc=eu&amp;hloc=pl&amp;hloc=uk</t>
  </si>
  <si>
    <t>G.Skill Trident Z5 NEO RGB schwarz DIMM Kit 32GB, DDR5-6400, CL32-39-39-102, on-die ECC</t>
  </si>
  <si>
    <t>F5-6400J3239G16GX2-TZ5NR</t>
  </si>
  <si>
    <t>https://geizhals.eu/g-skill-trident-z5-neo-rgb-schwarz-dimm-kit-32gb-f5-6400j3239g16gx2-tz5nr-a3035849.html?hloc=at&amp;hloc=de&amp;hloc=eu&amp;hloc=pl&amp;hloc=uk</t>
  </si>
  <si>
    <t>G.Skill Trident Z5 NEO RGB schwarz DIMM Kit 32GB, DDR5-6400, CL30-39-39-102, on-die ECC</t>
  </si>
  <si>
    <t>F5-6400J3039G16GX2-TZ5NR</t>
  </si>
  <si>
    <t>https://geizhals.eu/g-skill-trident-z5-neo-rgb-schwarz-dimm-kit-32gb-f5-6400j3039g16gx2-tz5nr-a3268664.html?hloc=at&amp;hloc=de&amp;hloc=eu&amp;hloc=pl&amp;hloc=uk</t>
  </si>
  <si>
    <t>G.Skill Trident Z5 NEO RGB schwarz DIMM Kit 32GB, DDR5-6000, CL36-36-36-96, on-die ECC</t>
  </si>
  <si>
    <t>F5-6000J3636F16GX2-TZ5NR</t>
  </si>
  <si>
    <t>https://geizhals.eu/g-skill-trident-z5-neo-rgb-schwarz-dimm-kit-32gb-f5-6000j3636f16gx2-tz5nr-a2815838.html?hloc=at&amp;hloc=de&amp;hloc=eu&amp;hloc=pl&amp;hloc=uk</t>
  </si>
  <si>
    <t>G.Skill Trident Z5 NEO RGB schwarz DIMM Kit 32GB, DDR5-6000, CL32-38-38-96, on-die ECC</t>
  </si>
  <si>
    <t>F5-6000J3238F16GX2-TZ5NR</t>
  </si>
  <si>
    <t>https://geizhals.eu/g-skill-trident-z5-neo-rgb-schwarz-dimm-kit-32gb-f5-6000j3238f16gx2-tz5nr-a2815840.html?hloc=at&amp;hloc=de&amp;hloc=eu&amp;hloc=pl&amp;hloc=uk</t>
  </si>
  <si>
    <t>G.Skill Trident Z5 NEO RGB schwarz DIMM Kit 32GB, DDR5-6000, CL30-38-38-96, on-die ECC</t>
  </si>
  <si>
    <t>F5-6000J3038F16GX2-TZ5NR</t>
  </si>
  <si>
    <t>https://geizhals.eu/g-skill-trident-z5-neo-rgb-schwarz-dimm-kit-32gb-f5-6000j3038f16gx2-tz5nr-a2815824.html?hloc=at&amp;hloc=de&amp;hloc=eu&amp;hloc=pl&amp;hloc=uk</t>
  </si>
  <si>
    <t>G.Skill Trident Z5 NEO RGB schwarz DIMM Kit 32GB, DDR5-6000, CL26-36-36-96, on-die ECC</t>
  </si>
  <si>
    <t>F5-6000J2636G16GX2-TZ5NR</t>
  </si>
  <si>
    <t>https://geizhals.eu/g-skill-trident-z5-neo-rgb-schwarz-dimm-kit-32gb-f5-6000j2636g16gx2-tz5nr-a3410318.html?hloc=at&amp;hloc=de&amp;hloc=eu&amp;hloc=pl&amp;hloc=uk</t>
  </si>
  <si>
    <t>G.Skill Trident Z5 NEO RGB schwarz DIMM Kit 32GB, DDR5-5600, CL30-36-36-89, on-die ECC</t>
  </si>
  <si>
    <t>F5-5600J3036D16GX2-TZ5NR</t>
  </si>
  <si>
    <t>https://geizhals.eu/g-skill-trident-z5-neo-rgb-schwarz-dimm-kit-32gb-f5-5600j3036d16gx2-tz5nr-a2815822.html?hloc=at&amp;hloc=de&amp;hloc=eu&amp;hloc=pl&amp;hloc=uk</t>
  </si>
  <si>
    <t>G.Skill Trident Z5 NEO RGB schwarz DIMM Kit 32GB, DDR5-5600, CL28-34-34-89, on-die ECC</t>
  </si>
  <si>
    <t>F5-5600J2834F16GX2-TZ5NR</t>
  </si>
  <si>
    <t>https://geizhals.eu/g-skill-trident-z5-neo-rgb-schwarz-dimm-kit-32gb-f5-5600j2834f16gx2-tz5nr-a2815816.html?hloc=at&amp;hloc=de&amp;hloc=eu&amp;hloc=pl&amp;hloc=uk</t>
  </si>
  <si>
    <t>G.Skill Trident Z5 CK schwarz CUDIMM Kit 48GB, DDR5-8800, CL42-55-55-140, on-die ECC, CKD</t>
  </si>
  <si>
    <t>F5-8800C4255H24GX2-TZ5CK</t>
  </si>
  <si>
    <t>https://geizhals.eu/g-skill-trident-z5-ck-schwarz-cudimm-kit-48gb-f5-8800c4255h24gx2-tz5ck-a3345915.html?hloc=at&amp;hloc=de&amp;hloc=eu&amp;hloc=pl&amp;hloc=uk</t>
  </si>
  <si>
    <t>G.Skill Trident Z5 CK schwarz CUDIMM Kit 48GB, DDR5-8400, CL40-52-52-134, on-die ECC, CKD</t>
  </si>
  <si>
    <t>F5-8400C4052G24GX2-TZ5CK</t>
  </si>
  <si>
    <t>https://geizhals.eu/g-skill-trident-z5-ck-schwarz-cudimm-kit-48gb-f5-8400c4052g24gx2-tz5ck-a3346001.html?hloc=at&amp;hloc=de&amp;hloc=eu&amp;hloc=pl&amp;hloc=uk</t>
  </si>
  <si>
    <t>G.Skill Trident Z5 CK schwarz CUDIMM Kit 48GB, DDR5-8200, CL40-52-52-131, on-die ECC, CKD</t>
  </si>
  <si>
    <t>F5-8200C4052G24GX2-TZ5CK</t>
  </si>
  <si>
    <t>https://geizhals.eu/g-skill-trident-z5-ck-schwarz-cudimm-kit-48gb-f5-8200c4052g24gx2-tz5ck-a3346029.html?hloc=at&amp;hloc=de&amp;hloc=eu&amp;hloc=pl&amp;hloc=uk</t>
  </si>
  <si>
    <t>G.Skill Trident Z5 CK RGB schwarz CUDIMM Kit 48GB, DDR5-8800, CL42-55-55-140, on-die ECC, CKD</t>
  </si>
  <si>
    <t>F5-8800C4255H24GX2-TZ5CRK</t>
  </si>
  <si>
    <t>https://geizhals.eu/g-skill-trident-z5-ck-rgb-schwarz-cudimm-kit-48gb-f5-8800c4255h24gx2-tz5crk-a3346133.html?hloc=at&amp;hloc=de&amp;hloc=eu&amp;hloc=pl&amp;hloc=uk</t>
  </si>
  <si>
    <t>G.Skill Trident Z5 CK RGB schwarz CUDIMM Kit 48GB, DDR5-8400, CL40-52-52-134, on-die ECC, CKD</t>
  </si>
  <si>
    <t>F5-8400C4052G24GX2-TZ5CRK</t>
  </si>
  <si>
    <t>https://geizhals.eu/g-skill-trident-z5-ck-rgb-schwarz-cudimm-kit-48gb-f5-8400c4052g24gx2-tz5crk-a3346132.html?hloc=at&amp;hloc=de&amp;hloc=eu&amp;hloc=pl&amp;hloc=uk</t>
  </si>
  <si>
    <t>G.Skill Trident Z5 CK RGB schwarz CUDIMM Kit 48GB, DDR5-8200, CL40-52-52-131, on-die ECC, CKD</t>
  </si>
  <si>
    <t>F5-8200C4052G24GX2-TZ5CRK</t>
  </si>
  <si>
    <t>https://geizhals.eu/g-skill-trident-z5-ck-rgb-schwarz-cudimm-kit-48gb-f5-8200c4052g24gx2-tz5crk-a3346131.html?hloc=at&amp;hloc=de&amp;hloc=eu&amp;hloc=pl&amp;hloc=uk</t>
  </si>
  <si>
    <t>G.Skill Ripjaws S5 weiß DIMM Kit 64GB, DDR5-6000, CL32-38-38-96, on-die ECC</t>
  </si>
  <si>
    <t>F5-6000J2836G32GX2-RS5W</t>
  </si>
  <si>
    <t>https://geizhals.eu/g-skill-ripjaws-s5-weiss-dimm-kit-64gb-f5-6000j2836g32gx2-rs5w-a3395781.html?hloc=at&amp;hloc=de&amp;hloc=eu&amp;hloc=pl&amp;hloc=uk</t>
  </si>
  <si>
    <t>G.Skill Ripjaws S5 weiß DIMM Kit 64GB, DDR5-6000, CL30-40-40-96, on-die ECC</t>
  </si>
  <si>
    <t>F5-6000J3040G32GX2-RS5W</t>
  </si>
  <si>
    <t>https://geizhals.eu/g-skill-ripjaws-s5-weiss-dimm-kit-64gb-f5-6000j3040g32gx2-rs5w-a2722041.html?hloc=at&amp;hloc=de&amp;hloc=eu&amp;hloc=pl&amp;hloc=uk</t>
  </si>
  <si>
    <t>G.Skill Ripjaws S5 weiß DIMM Kit 64GB, DDR5-5600, CL46-45-45-89, on-die ECC</t>
  </si>
  <si>
    <t>F5-5600J4645A32GX2-RS5W</t>
  </si>
  <si>
    <t>https://geizhals.eu/g-skill-ripjaws-s5-weiss-dimm-kit-64gb-f5-5600j4645a32gx2-rs5w-a3198607.html?hloc=at&amp;hloc=de&amp;hloc=eu&amp;hloc=pl&amp;hloc=uk</t>
  </si>
  <si>
    <t>G.Skill Ripjaws S5 weiß DIMM Kit 64GB, DDR5-5600, CL36-36-36-89, on-die ECC</t>
  </si>
  <si>
    <t>F5-5600J3636D32GX2-RS5W</t>
  </si>
  <si>
    <t>https://geizhals.eu/g-skill-ripjaws-s5-weiss-dimm-kit-64gb-f5-5600j3636d32gx2-rs5w-a2721864.html?hloc=at&amp;hloc=de&amp;hloc=eu&amp;hloc=pl&amp;hloc=uk</t>
  </si>
  <si>
    <t>G.Skill Ripjaws S5 weiß DIMM Kit 64GB, DDR5-5600, CL28-34-34-89, on-die ECC</t>
  </si>
  <si>
    <t>F5-5600J2834F32GX2-RS5W</t>
  </si>
  <si>
    <t>https://geizhals.eu/g-skill-ripjaws-s5-weiss-dimm-kit-64gb-f5-5600j2834f32gx2-rs5w-a2837586.html?hloc=at&amp;hloc=de&amp;hloc=eu&amp;hloc=pl&amp;hloc=uk</t>
  </si>
  <si>
    <t>G.Skill Ripjaws S5 weiß DIMM Kit 64GB, DDR5-5200, CL36-36-36-83, on-die ECC</t>
  </si>
  <si>
    <t>F5-5200J3636D32GX2-RS5W</t>
  </si>
  <si>
    <t>https://geizhals.eu/g-skill-ripjaws-s5-weiss-dimm-kit-64gb-f5-5200j3636d32gx2-rs5w-a2721987.html?hloc=at&amp;hloc=de&amp;hloc=eu&amp;hloc=pl&amp;hloc=uk</t>
  </si>
  <si>
    <t>G.Skill Ripjaws S5 weiß DIMM Kit 48GB, DDR5-6000, CL30-36-36-96, on-die ECC</t>
  </si>
  <si>
    <t>F5-6000J3036F24GX2-RS5W</t>
  </si>
  <si>
    <t>https://geizhals.eu/g-skill-ripjaws-s5-weiss-dimm-kit-48gb-f5-6000j3036f24gx2-rs5w-a3395786.html?hloc=at&amp;hloc=de&amp;hloc=eu&amp;hloc=pl&amp;hloc=uk</t>
  </si>
  <si>
    <t>G.Skill Ripjaws S5 weiß DIMM Kit 32GB, DDR5-6400, CL36-48-48-102, on-die ECC</t>
  </si>
  <si>
    <t>F5-6400J3648F16GX2-RS5W</t>
  </si>
  <si>
    <t>https://geizhals.eu/g-skill-ripjaws-s5-weiss-dimm-kit-32gb-f5-6400j3648f16gx2-rs5w-a3219093.html?hloc=at&amp;hloc=de&amp;hloc=eu&amp;hloc=pl&amp;hloc=uk</t>
  </si>
  <si>
    <t>G.Skill Ripjaws S5 weiß DIMM Kit 32GB, DDR5-6000, CL36-44-44-96, on-die ECC</t>
  </si>
  <si>
    <t>F5-6000J3648D16GX2-RS5W</t>
  </si>
  <si>
    <t>https://geizhals.eu/g-skill-ripjaws-s5-weiss-dimm-kit-32gb-f5-6000j3648d16gx2-rs5w-a3221622.html?hloc=at&amp;hloc=de&amp;hloc=eu&amp;hloc=pl&amp;hloc=uk</t>
  </si>
  <si>
    <t>F5-6000J3644F16GX2-RS5W</t>
  </si>
  <si>
    <t>https://geizhals.eu/g-skill-ripjaws-s5-weiss-dimm-kit-32gb-f5-6000j3644f16gx2-rs5w-a3219096.html?hloc=at&amp;hloc=de&amp;hloc=eu&amp;hloc=pl&amp;hloc=uk</t>
  </si>
  <si>
    <t>G.Skill Ripjaws S5 weiß DIMM Kit 32GB, DDR5-6000, CL32-38-38-96, on-die ECC</t>
  </si>
  <si>
    <t>F5-6000J3238F16GX2-RS5W</t>
  </si>
  <si>
    <t>https://geizhals.eu/g-skill-ripjaws-s5-weiss-dimm-kit-32gb-f5-6000j3238f16gx2-rs5w-a2722020.html?hloc=at&amp;hloc=de&amp;hloc=eu&amp;hloc=pl&amp;hloc=uk</t>
  </si>
  <si>
    <t>G.Skill Ripjaws S5 weiß DIMM Kit 32GB, DDR5-6000, CL30-40-40-96, on-die ECC</t>
  </si>
  <si>
    <t>F5-6000J3040F16GX2-RS5W</t>
  </si>
  <si>
    <t>https://geizhals.eu/g-skill-ripjaws-s5-weiss-dimm-kit-32gb-f5-6000j3040f16gx2-rs5w-a2722031.html?hloc=at&amp;hloc=de&amp;hloc=eu&amp;hloc=pl&amp;hloc=uk</t>
  </si>
  <si>
    <t>G.Skill Ripjaws S5 weiß DIMM Kit 32GB, DDR5-6000, CL28-36-36-96, on-die ECC</t>
  </si>
  <si>
    <t>F5-6000J2836G16GX2-RS5W</t>
  </si>
  <si>
    <t>https://geizhals.eu/g-skill-ripjaws-s5-weiss-dimm-kit-32gb-f5-6000j2836g16gx2-rs5w-a3410385.html?hloc=at&amp;hloc=de&amp;hloc=eu&amp;hloc=pl&amp;hloc=uk</t>
  </si>
  <si>
    <t>G.Skill Ripjaws S5 weiß DIMM Kit 32GB, DDR5-5600, CL46-45-40-89, on-die ECC</t>
  </si>
  <si>
    <t>F5-5600J4645A16GX2-RS5W</t>
  </si>
  <si>
    <t>https://geizhals.eu/g-skill-ripjaws-s5-weiss-dimm-kit-32gb-f5-5600j4645a16gx2-rs5w-a3209032.html?hloc=at&amp;hloc=de&amp;hloc=eu&amp;hloc=pl&amp;hloc=uk</t>
  </si>
  <si>
    <t>G.Skill Ripjaws S5 weiß DIMM Kit 32GB, DDR5-5600, CL40-40-40-89, on-die ECC</t>
  </si>
  <si>
    <t>F5-5600J4040C16GX2-RS5W</t>
  </si>
  <si>
    <t>https://geizhals.eu/g-skill-ripjaws-s5-weiss-dimm-kit-32gb-f5-5600j4040c16gx2-rs5w-a2669248.html?hloc=at&amp;hloc=de&amp;hloc=eu&amp;hloc=pl&amp;hloc=uk</t>
  </si>
  <si>
    <t>G.Skill Ripjaws S5 weiß DIMM Kit 32GB, DDR5-5600, CL30-36-36-89, on-die ECC</t>
  </si>
  <si>
    <t>F5-5600J3036D16GX2-RS5W</t>
  </si>
  <si>
    <t>https://geizhals.eu/g-skill-ripjaws-s5-weiss-dimm-kit-32gb-f5-5600j3036d16gx2-rs5w-a2721847.html?hloc=at&amp;hloc=de&amp;hloc=eu&amp;hloc=pl&amp;hloc=uk</t>
  </si>
  <si>
    <t>G.Skill Ripjaws S5 weiß DIMM Kit 32GB, DDR5-5600, CL28-34-34-89, on-die ECC</t>
  </si>
  <si>
    <t>F5-5600J2834F16GX2-RS5W</t>
  </si>
  <si>
    <t>https://geizhals.eu/g-skill-ripjaws-s5-weiss-dimm-kit-32gb-f5-5600j2834f16gx2-rs5w-a2747417.html?hloc=at&amp;hloc=de&amp;hloc=eu&amp;hloc=pl&amp;hloc=uk</t>
  </si>
  <si>
    <t>G.Skill Ripjaws S5 schwarz DIMM Kit 96GB, DDR5-6800, CL34-46-46-108, on-die ECC</t>
  </si>
  <si>
    <t>F5-6800J3446F48GX2-RS5K</t>
  </si>
  <si>
    <t>https://geizhals.eu/g-skill-ripjaws-s5-schwarz-dimm-kit-96gb-f5-6800j3446f48gx2-rs5k-a2960419.html?hloc=at&amp;hloc=de&amp;hloc=eu&amp;hloc=pl&amp;hloc=uk</t>
  </si>
  <si>
    <t>G.Skill Ripjaws S5 schwarz DIMM Kit 96GB, DDR5-5600, CL40-40-40-89, on-die ECC</t>
  </si>
  <si>
    <t>F5-5600J4040D48GX2-RS5K</t>
  </si>
  <si>
    <t>https://geizhals.eu/g-skill-ripjaws-s5-schwarz-dimm-kit-96gb-f5-5600j4040d48gx2-rs5k-a2945220.html?hloc=at&amp;hloc=de&amp;hloc=eu&amp;hloc=pl&amp;hloc=uk</t>
  </si>
  <si>
    <t>G.Skill Ripjaws S5 schwarz DIMM Kit 64GB, DDR5-6800, CL34-45-45-108, on-die ECC</t>
  </si>
  <si>
    <t>F5-6800J3445G32GX2-RS5K</t>
  </si>
  <si>
    <t>https://geizhals.eu/g-skill-ripjaws-s5-schwarz-dimm-kit-64gb-f5-6800j3445g32gx2-rs5k-a2960411.html?hloc=at&amp;hloc=de&amp;hloc=eu&amp;hloc=pl&amp;hloc=uk</t>
  </si>
  <si>
    <t>G.Skill Ripjaws S5 schwarz DIMM Kit 64GB, DDR5-6400, CL32-39-39-102, on-die ECC</t>
  </si>
  <si>
    <t>F5-6400J3239G32GX2-RS5K</t>
  </si>
  <si>
    <t>https://geizhals.eu/g-skill-ripjaws-s5-schwarz-dimm-kit-64gb-f5-6400j3239g32gx2-rs5k-a2922436.html?hloc=at&amp;hloc=de&amp;hloc=eu&amp;hloc=pl&amp;hloc=uk</t>
  </si>
  <si>
    <t>G.Skill Ripjaws S5 schwarz DIMM Kit 64GB, DDR5-6000, CL36-36-36-96, on-die ECC</t>
  </si>
  <si>
    <t>F5-6000J3636F32GX2-RS5K</t>
  </si>
  <si>
    <t>https://geizhals.eu/g-skill-ripjaws-s5-schwarz-dimm-kit-64gb-f5-6000j3636f32gx2-rs5k-a2947358.html?hloc=at&amp;hloc=de&amp;hloc=eu&amp;hloc=pl&amp;hloc=uk</t>
  </si>
  <si>
    <t>G.Skill Ripjaws S5 schwarz DIMM Kit 64GB, DDR5-6000, CL32-38-38-96, on-die ECC</t>
  </si>
  <si>
    <t>F5-6000J3238G32GX2-RS5K</t>
  </si>
  <si>
    <t>https://geizhals.eu/g-skill-ripjaws-s5-schwarz-dimm-kit-64gb-f5-6000j3238g32gx2-rs5k-a2806640.html?hloc=at&amp;hloc=de&amp;hloc=eu&amp;hloc=pl&amp;hloc=uk</t>
  </si>
  <si>
    <t>F5-6000J2836G32GX2-RS5K</t>
  </si>
  <si>
    <t>https://geizhals.eu/g-skill-ripjaws-s5-schwarz-dimm-kit-64gb-f5-6000j2836g32gx2-rs5k-a3395782.html?hloc=at&amp;hloc=de&amp;hloc=eu&amp;hloc=pl&amp;hloc=uk</t>
  </si>
  <si>
    <t>G.Skill Ripjaws S5 schwarz DIMM Kit 64GB, DDR5-6000, CL30-40-40-96, on-die ECC</t>
  </si>
  <si>
    <t>F5-6000J3040G32GX2-RS5K</t>
  </si>
  <si>
    <t>https://geizhals.eu/g-skill-ripjaws-s5-schwarz-dimm-kit-64gb-f5-6000j3040g32gx2-rs5k-a2722042.html?hloc=at&amp;hloc=de&amp;hloc=eu&amp;hloc=pl&amp;hloc=uk</t>
  </si>
  <si>
    <t>G.Skill Ripjaws S5 schwarz DIMM Kit 64GB, DDR5-5600, CL36-36-36-89, on-die ECC</t>
  </si>
  <si>
    <t>F5-5600J3636D32GX2-RS5K</t>
  </si>
  <si>
    <t>https://geizhals.eu/g-skill-ripjaws-s5-schwarz-dimm-kit-64gb-f5-5600j3636d32gx2-rs5k-a2721858.html?hloc=at&amp;hloc=de&amp;hloc=eu&amp;hloc=pl&amp;hloc=uk</t>
  </si>
  <si>
    <t>G.Skill Ripjaws S5 schwarz DIMM Kit 64GB, DDR5-5600, CL30-36-36-89, on-die ECC</t>
  </si>
  <si>
    <t>F5-5600J3036D32GX2-RS5K</t>
  </si>
  <si>
    <t>https://geizhals.eu/g-skill-ripjaws-s5-schwarz-dimm-kit-64gb-f5-5600j3036d32gx2-rs5k-a2721887.html?hloc=at&amp;hloc=de&amp;hloc=eu&amp;hloc=pl&amp;hloc=uk</t>
  </si>
  <si>
    <t>G.Skill Ripjaws S5 schwarz DIMM Kit 64GB, DDR5-5600, CL28-34-34-89, on-die ECC</t>
  </si>
  <si>
    <t>F5-5600J2834F32GX2-RS5K</t>
  </si>
  <si>
    <t>https://geizhals.eu/g-skill-ripjaws-s5-schwarz-dimm-kit-64gb-f5-5600j2834f32gx2-rs5k-a2766853.html?hloc=at&amp;hloc=de&amp;hloc=eu&amp;hloc=pl&amp;hloc=uk</t>
  </si>
  <si>
    <t>G.Skill Ripjaws S5 schwarz DIMM Kit 64GB, DDR5-5200, CL40-40-40-83, on-die ECC</t>
  </si>
  <si>
    <t>F5-5200J4040A32GX2-RS5K</t>
  </si>
  <si>
    <t>https://geizhals.eu/g-skill-ripjaws-s5-schwarz-dimm-kit-64gb-f5-5200j4040a32gx2-rs5k-a3198600.html?hloc=at&amp;hloc=de&amp;hloc=eu&amp;hloc=pl&amp;hloc=uk</t>
  </si>
  <si>
    <t>G.Skill Ripjaws S5 schwarz DIMM Kit 64GB, DDR5-5200, CL36-36-36-83, on-die ECC</t>
  </si>
  <si>
    <t>F5-5200J3636D32GX2-RS5K</t>
  </si>
  <si>
    <t>https://geizhals.eu/g-skill-ripjaws-s5-schwarz-dimm-kit-64gb-f5-5200j3636d32gx2-rs5k-a2721988.html?hloc=at&amp;hloc=de&amp;hloc=eu&amp;hloc=pl&amp;hloc=uk</t>
  </si>
  <si>
    <t>G.Skill Ripjaws S5 schwarz DIMM Kit 48GB, DDR5-6800, CL34-46-46-108, on-die ECC</t>
  </si>
  <si>
    <t>F5-6800J3446F24GX2-RS5K</t>
  </si>
  <si>
    <t>https://geizhals.eu/g-skill-ripjaws-s5-schwarz-dimm-kit-48gb-f5-6800j3446f24gx2-rs5k-a2960416.html?hloc=at&amp;hloc=de&amp;hloc=eu&amp;hloc=pl&amp;hloc=uk</t>
  </si>
  <si>
    <t>G.Skill Ripjaws S5 schwarz DIMM Kit 48GB, DDR5-6400, CL36-48-48-102, on-die ECC</t>
  </si>
  <si>
    <t>F5-6400J3648G24GX2-RS5K</t>
  </si>
  <si>
    <t>https://geizhals.eu/g-skill-ripjaws-s5-schwarz-dimm-kit-48gb-f5-6400j3648g24gx2-rs5k-a2960395.html?hloc=at&amp;hloc=de&amp;hloc=eu&amp;hloc=pl&amp;hloc=uk</t>
  </si>
  <si>
    <t>G.Skill Ripjaws S5 schwarz DIMM Kit 48GB, DDR5-6000, CL30-36-36-96, on-die ECC</t>
  </si>
  <si>
    <t>F5-6000J3036F24GX2-RS5K</t>
  </si>
  <si>
    <t>https://geizhals.eu/g-skill-ripjaws-s5-schwarz-dimm-kit-48gb-f5-6000j3036f24gx2-rs5k-a3395785.html?hloc=at&amp;hloc=de&amp;hloc=eu&amp;hloc=pl&amp;hloc=uk</t>
  </si>
  <si>
    <t>G.Skill Ripjaws S5 schwarz DIMM Kit 48GB, DDR5-5600, CL40-40-40-89, on-die ECC</t>
  </si>
  <si>
    <t>F5-5600J4040D24GX2-RS5K</t>
  </si>
  <si>
    <t>https://geizhals.eu/g-skill-ripjaws-s5-schwarz-dimm-kit-48gb-f5-5600j4040d24gx2-rs5k-a2947221.html?hloc=at&amp;hloc=de&amp;hloc=eu&amp;hloc=pl&amp;hloc=uk</t>
  </si>
  <si>
    <t>G.Skill Ripjaws S5 schwarz DIMM Kit 32GB, DDR5-6800, CL34-45-45-108, on-die ECC</t>
  </si>
  <si>
    <t>F5-6800J3445G16GX2-RS5K</t>
  </si>
  <si>
    <t>https://geizhals.eu/g-skill-ripjaws-s5-schwarz-dimm-kit-32gb-f5-6800j3445g16gx2-rs5k-a2960405.html?hloc=at&amp;hloc=de&amp;hloc=eu&amp;hloc=pl&amp;hloc=uk</t>
  </si>
  <si>
    <t>G.Skill Ripjaws S5 schwarz DIMM Kit 32GB, DDR5-6600, CL34-40-40-105, on-die ECC</t>
  </si>
  <si>
    <t>F5-6600J3440G16GX2-RS5K</t>
  </si>
  <si>
    <t>https://geizhals.eu/g-skill-ripjaws-s5-schwarz-dimm-kit-32gb-f5-6600j3440g16gx2-rs5k-a2960401.html?hloc=at&amp;hloc=de&amp;hloc=eu&amp;hloc=pl&amp;hloc=uk</t>
  </si>
  <si>
    <t>G.Skill Ripjaws S5 schwarz DIMM Kit 32GB, DDR5-6400, CL32-39-39-102, on-die ECC</t>
  </si>
  <si>
    <t>F5-6400J3239G16GX2-RS5K</t>
  </si>
  <si>
    <t>https://geizhals.eu/g-skill-ripjaws-s5-schwarz-dimm-kit-32gb-f5-6400j3239g16gx2-rs5k-a2860113.html?hloc=at&amp;hloc=de&amp;hloc=eu&amp;hloc=pl&amp;hloc=uk</t>
  </si>
  <si>
    <t>G.Skill Ripjaws S5 schwarz DIMM Kit 32GB, DDR5-6000, CL40-40-40-96, on-die ECC</t>
  </si>
  <si>
    <t>F5-6000J4040F16GX2-RS5K</t>
  </si>
  <si>
    <t>https://geizhals.eu/g-skill-ripjaws-s5-schwarz-dimm-kit-32gb-f5-6000j4040f16gx2-rs5k-a2960378.html?hloc=at&amp;hloc=de&amp;hloc=eu&amp;hloc=pl&amp;hloc=uk</t>
  </si>
  <si>
    <t>G.Skill Ripjaws S5 schwarz DIMM Kit 32GB, DDR5-6000, CL36-44-44-96, on-die ECC</t>
  </si>
  <si>
    <t>F5-6000J3644F16GX2-RS5K</t>
  </si>
  <si>
    <t>https://geizhals.eu/g-skill-ripjaws-s5-schwarz-dimm-kit-32gb-f5-6000j3644f16gx2-rs5k-a3219097.html?hloc=at&amp;hloc=de&amp;hloc=eu&amp;hloc=pl&amp;hloc=uk</t>
  </si>
  <si>
    <t>G.Skill Ripjaws S5 schwarz DIMM Kit 32GB, DDR5-6000, CL36-36-36-96, on-die ECC</t>
  </si>
  <si>
    <t>F5-6000J3636F16GX2-RS5K</t>
  </si>
  <si>
    <t>https://geizhals.eu/g-skill-ripjaws-s5-schwarz-dimm-kit-32gb-f5-6000j3636f16gx2-rs5k-a2825614.html?hloc=at&amp;hloc=de&amp;hloc=eu&amp;hloc=pl&amp;hloc=uk</t>
  </si>
  <si>
    <t>G.Skill Ripjaws S5 schwarz DIMM Kit 32GB, DDR5-6000, CL32-38-38-96, on-die ECC</t>
  </si>
  <si>
    <t>F5-6000J3238F16GX2-RS5K</t>
  </si>
  <si>
    <t>https://geizhals.eu/g-skill-ripjaws-s5-schwarz-dimm-kit-32gb-f5-6000j3238f16gx2-rs5k-a2722021.html?hloc=at&amp;hloc=de&amp;hloc=eu&amp;hloc=pl&amp;hloc=uk</t>
  </si>
  <si>
    <t>G.Skill Ripjaws S5 schwarz DIMM Kit 32GB, DDR5-6000, CL30-40-40-96, on-die ECC</t>
  </si>
  <si>
    <t>F5-6000J3040F16GX2-RS5K</t>
  </si>
  <si>
    <t>https://geizhals.eu/g-skill-ripjaws-s5-schwarz-dimm-kit-32gb-f5-6000j3040f16gx2-rs5k-a2722030.html?hloc=at&amp;hloc=de&amp;hloc=eu&amp;hloc=pl&amp;hloc=uk</t>
  </si>
  <si>
    <t>G.Skill Ripjaws S5 schwarz DIMM Kit 32GB, DDR5-6000, CL28-36-36-96, on-die ECC</t>
  </si>
  <si>
    <t>F5-6000J2836G16GX2-RS5K</t>
  </si>
  <si>
    <t>https://geizhals.eu/g-skill-ripjaws-s5-schwarz-dimm-kit-32gb-f5-6000j2836g16gx2-rs5k-a3410382.html?hloc=at&amp;hloc=de&amp;hloc=eu&amp;hloc=pl&amp;hloc=uk</t>
  </si>
  <si>
    <t>G.Skill Ripjaws S5 schwarz DIMM Kit 32GB, DDR5-5600, CL46-45-40-89, on-die ECC</t>
  </si>
  <si>
    <t>F5-5600J4645A16GX2-RS5K</t>
  </si>
  <si>
    <t>https://geizhals.eu/g-skill-ripjaws-s5-schwarz-dimm-kit-32gb-f5-5600j4645a16gx2-rs5k-a3209031.html?hloc=at&amp;hloc=de&amp;hloc=eu&amp;hloc=pl&amp;hloc=uk</t>
  </si>
  <si>
    <t>G.Skill Ripjaws S5 schwarz DIMM Kit 32GB, DDR5-5600, CL40-40-40-89, on-die ECC</t>
  </si>
  <si>
    <t>F5-5600J4040C16GX2-RS5K</t>
  </si>
  <si>
    <t>https://geizhals.eu/g-skill-ripjaws-s5-schwarz-dimm-kit-32gb-f5-5600j4040c16gx2-rs5k-a2669249.html?hloc=at&amp;hloc=de&amp;hloc=eu&amp;hloc=pl&amp;hloc=uk</t>
  </si>
  <si>
    <t>G.Skill Ripjaws S5 schwarz DIMM Kit 32GB, DDR5-5600, CL36-36-36-89, on-die ECC</t>
  </si>
  <si>
    <t>F5-5600J3636C16GX2-RS5K</t>
  </si>
  <si>
    <t>https://geizhals.eu/g-skill-ripjaws-s5-schwarz-dimm-kit-32gb-f5-5600j3636c16gx2-rs5k-a2669247.html?hloc=at&amp;hloc=de&amp;hloc=eu&amp;hloc=pl&amp;hloc=uk</t>
  </si>
  <si>
    <t>G.Skill Ripjaws S5 schwarz DIMM Kit 32GB, DDR5-5600, CL28-34-34-89, on-die ECC</t>
  </si>
  <si>
    <t>F5-5600J2834F16GX2-RS5K</t>
  </si>
  <si>
    <t>https://geizhals.eu/g-skill-ripjaws-s5-schwarz-dimm-kit-32gb-f5-5600j2834f16gx2-rs5k-a2747419.html?hloc=at&amp;hloc=de&amp;hloc=eu&amp;hloc=pl&amp;hloc=uk</t>
  </si>
  <si>
    <t>G.Skill Ripjaws S5 schwarz DIMM Kit 32GB, DDR5-5200, CL36-36-36-83, on-die ECC</t>
  </si>
  <si>
    <t>F5-5200J3636C16GX2-RS5K</t>
  </si>
  <si>
    <t>https://geizhals.eu/g-skill-ripjaws-s5-schwarz-dimm-kit-32gb-f5-5200j3636c16gx2-rs5k-a2663307.html?hloc=at&amp;hloc=de&amp;hloc=eu&amp;hloc=pl&amp;hloc=uk</t>
  </si>
  <si>
    <t>G.Skill Ripjaws M5 RGB weiß DIMM Kit 96GB, DDR5-6400, CL32-39-39-102, on-die ECC</t>
  </si>
  <si>
    <t>F5-6400J3239F48GX2-RM5RW</t>
  </si>
  <si>
    <t>https://geizhals.eu/g-skill-ripjaws-m5-rgb-weiss-dimm-kit-96gb-f5-6400j3239f48gx2-rm5rw-a3198521.html?hloc=at&amp;hloc=de&amp;hloc=eu&amp;hloc=pl&amp;hloc=uk</t>
  </si>
  <si>
    <t>G.Skill Ripjaws M5 RGB weiß DIMM Kit 96GB, DDR5-6000, CL30-36-36-96, on-die ECC</t>
  </si>
  <si>
    <t>F5-6000J3036F48GX2-RM5RW</t>
  </si>
  <si>
    <t>https://geizhals.eu/g-skill-ripjaws-m5-rgb-weiss-dimm-kit-96gb-f5-6000j3036f48gx2-rm5rw-a3412567.html?hloc=at&amp;hloc=de&amp;hloc=eu&amp;hloc=pl&amp;hloc=uk</t>
  </si>
  <si>
    <t>G.Skill Ripjaws M5 RGB weiß DIMM Kit 96GB, DDR5-5600, CL40-40-40-89, on-die ECC</t>
  </si>
  <si>
    <t>F5-5600J4040D48GX2-RM5RW</t>
  </si>
  <si>
    <t>https://geizhals.eu/g-skill-ripjaws-m5-rgb-weiss-dimm-kit-96gb-f5-5600j4040d48gx2-rm5rw-a3198487.html?hloc=at&amp;hloc=de&amp;hloc=eu&amp;hloc=pl&amp;hloc=uk</t>
  </si>
  <si>
    <t>G.Skill Ripjaws M5 RGB weiß DIMM Kit 64GB, DDR5-6000, CL32-38-38-96, on-die ECC</t>
  </si>
  <si>
    <t>F5-6000J3238G32GX2-RM5RW</t>
  </si>
  <si>
    <t>https://geizhals.eu/g-skill-ripjaws-m5-rgb-weiss-dimm-kit-64gb-f5-6000j3238g32gx2-rm5rw-a3198481.html?hloc=at&amp;hloc=de&amp;hloc=eu&amp;hloc=pl&amp;hloc=uk</t>
  </si>
  <si>
    <t>F5-6000J2836G32GX2-RM5RW</t>
  </si>
  <si>
    <t>https://geizhals.eu/g-skill-ripjaws-m5-rgb-weiss-dimm-kit-64gb-f5-6000j2836g32gx2-rm5rw-a3412563.html?hloc=at&amp;hloc=de&amp;hloc=eu&amp;hloc=pl&amp;hloc=uk</t>
  </si>
  <si>
    <t>G.Skill Ripjaws M5 RGB weiß DIMM Kit 64GB, DDR5-6000, CL30-40-40-96, on-die ECC</t>
  </si>
  <si>
    <t>F5-6000J3040G32GX2-RM5RW</t>
  </si>
  <si>
    <t>https://geizhals.eu/g-skill-ripjaws-m5-rgb-weiss-dimm-kit-64gb-f5-6000j3040g32gx2-rm5rw-a3198513.html?hloc=at&amp;hloc=de&amp;hloc=eu&amp;hloc=pl&amp;hloc=uk</t>
  </si>
  <si>
    <t>G.Skill Ripjaws M5 RGB weiß DIMM Kit 64GB, DDR5-5600, CL30-36-36-89, on-die ECC</t>
  </si>
  <si>
    <t>F5-5600J3036D32GX2-RM5RW</t>
  </si>
  <si>
    <t>https://geizhals.eu/g-skill-ripjaws-m5-rgb-weiss-dimm-kit-64gb-f5-5600j3036d32gx2-rm5rw-a3198442.html?hloc=at&amp;hloc=de&amp;hloc=eu&amp;hloc=pl&amp;hloc=uk</t>
  </si>
  <si>
    <t>G.Skill Ripjaws M5 RGB weiß DIMM Kit 64GB, DDR5-5200, CL40-40-40-83, on-die ECC</t>
  </si>
  <si>
    <t>F5-5200J4040A32GX2-RM5RW</t>
  </si>
  <si>
    <t>https://geizhals.eu/g-skill-ripjaws-m5-rgb-weiss-dimm-kit-64gb-f5-5200j4040a32gx2-rm5rw-a3198498.html?hloc=at&amp;hloc=de&amp;hloc=eu&amp;hloc=pl&amp;hloc=uk</t>
  </si>
  <si>
    <t>G.Skill Ripjaws M5 RGB weiß DIMM Kit 48GB, DDR5-6000, CL30-36-36-96, on-die ECC</t>
  </si>
  <si>
    <t>F5-6000J3036F24GX2-RM5RW</t>
  </si>
  <si>
    <t>https://geizhals.eu/g-skill-ripjaws-m5-rgb-weiss-dimm-kit-48gb-f5-6000j3036f24gx2-rm5rw-a3395772.html?hloc=at&amp;hloc=de&amp;hloc=eu&amp;hloc=pl&amp;hloc=uk</t>
  </si>
  <si>
    <t>G.Skill Ripjaws M5 RGB weiß DIMM Kit 48GB, DDR5-5200, CL40-40-40-83, on-die ECC</t>
  </si>
  <si>
    <t>F5-5200J4040A24GX2-RM5RW</t>
  </si>
  <si>
    <t>https://geizhals.eu/g-skill-ripjaws-m5-rgb-weiss-dimm-kit-48gb-f5-5200j4040a24gx2-rm5rw-a3211198.html?hloc=at&amp;hloc=de&amp;hloc=eu&amp;hloc=pl&amp;hloc=uk</t>
  </si>
  <si>
    <t>G.Skill Ripjaws M5 RGB weiß DIMM Kit 32GB, DDR5-6400, CL36-48-48-102, on-die ECC</t>
  </si>
  <si>
    <t>F5-6400J3648F16GX2-RM5RW</t>
  </si>
  <si>
    <t>https://geizhals.eu/g-skill-ripjaws-m5-rgb-weiss-dimm-kit-32gb-f5-6400j3648f16gx2-rm5rw-a3214256.html?hloc=at&amp;hloc=de&amp;hloc=eu&amp;hloc=pl&amp;hloc=uk</t>
  </si>
  <si>
    <t>G.Skill Ripjaws M5 RGB weiß DIMM Kit 32GB, DDR5-6400, CL32-39-39-102, on-die ECC</t>
  </si>
  <si>
    <t>F5-6400J3239G16GX2-RM5RW</t>
  </si>
  <si>
    <t>https://geizhals.eu/g-skill-ripjaws-m5-rgb-weiss-dimm-kit-32gb-f5-6400j3239g16gx2-rm5rw-a3198509.html?hloc=at&amp;hloc=de&amp;hloc=eu&amp;hloc=pl&amp;hloc=uk</t>
  </si>
  <si>
    <t>G.Skill Ripjaws M5 RGB weiß DIMM Kit 32GB, DDR5-6000, CL36-48-48-96, on-die ECC</t>
  </si>
  <si>
    <t>F5-6000J3648D16GX2-RM5RW</t>
  </si>
  <si>
    <t>https://geizhals.eu/g-skill-ripjaws-m5-rgb-weiss-dimm-kit-32gb-f5-6000j3648d16gx2-rm5rw-a3221633.html?hloc=at&amp;hloc=de&amp;hloc=eu&amp;hloc=pl&amp;hloc=uk</t>
  </si>
  <si>
    <t>G.Skill Ripjaws M5 RGB weiß DIMM Kit 32GB, DDR5-6000, CL36-44-44-96, on-die ECC</t>
  </si>
  <si>
    <t>F5-6000J3644F16GX2-RM5RW</t>
  </si>
  <si>
    <t>https://geizhals.eu/g-skill-ripjaws-m5-rgb-weiss-dimm-kit-32gb-f5-6000j3644f16gx2-rm5rw-a3214251.html?hloc=at&amp;hloc=de&amp;hloc=eu&amp;hloc=pl&amp;hloc=uk</t>
  </si>
  <si>
    <t>G.Skill Ripjaws M5 RGB weiß DIMM Kit 32GB, DDR5-6000, CL32-38-38-96, on-die ECC</t>
  </si>
  <si>
    <t>F5-6000J3238F16GX2-RM5RW</t>
  </si>
  <si>
    <t>https://geizhals.eu/g-skill-ripjaws-m5-rgb-weiss-dimm-kit-32gb-f5-6000j3238f16gx2-rm5rw-a3198492.html?hloc=at&amp;hloc=de&amp;hloc=eu&amp;hloc=pl&amp;hloc=uk</t>
  </si>
  <si>
    <t>G.Skill Ripjaws M5 RGB weiß DIMM Kit 32GB, DDR5-6000, CL30-40-40-96, on-die ECC</t>
  </si>
  <si>
    <t>F5-6000J3040F16GX2-RM5RW</t>
  </si>
  <si>
    <t>https://geizhals.eu/g-skill-ripjaws-m5-rgb-weiss-dimm-kit-32gb-f5-6000j3040f16gx2-rm5rw-a3198517.html?hloc=at&amp;hloc=de&amp;hloc=eu&amp;hloc=pl&amp;hloc=uk</t>
  </si>
  <si>
    <t>G.Skill Ripjaws M5 RGB weiß DIMM Kit 32GB, DDR5-6000, CL28-36-36-96, on-die ECC</t>
  </si>
  <si>
    <t>F5-6000J2836G16GX2-RM5RW</t>
  </si>
  <si>
    <t>https://geizhals.eu/g-skill-ripjaws-m5-rgb-weiss-dimm-kit-32gb-f5-6000j2836g16gx2-rm5rw-a3412558.html?hloc=at&amp;hloc=de&amp;hloc=eu&amp;hloc=pl&amp;hloc=uk</t>
  </si>
  <si>
    <t>G.Skill Ripjaws M5 RGB weiß DIMM Kit 32GB, DDR5-5600, CL46-45-45-89, on-die ECC</t>
  </si>
  <si>
    <t>F5-5600J4645A16GX2-RM5RW</t>
  </si>
  <si>
    <t>https://geizhals.eu/g-skill-ripjaws-m5-rgb-weiss-dimm-kit-32gb-f5-5600j4645a16gx2-rm5rw-a3211162.html?hloc=at&amp;hloc=de&amp;hloc=eu&amp;hloc=pl&amp;hloc=uk</t>
  </si>
  <si>
    <t>G.Skill Ripjaws M5 RGB weiß DIMM Kit 32GB, DDR5-5600, CL30-36-36-89, on-die ECC</t>
  </si>
  <si>
    <t>F5-5600J3036D16GX2-RM5RW</t>
  </si>
  <si>
    <t>https://geizhals.eu/g-skill-ripjaws-m5-rgb-weiss-dimm-kit-32gb-f5-5600j3036d16gx2-rm5rw-a3198505.html?hloc=at&amp;hloc=de&amp;hloc=eu&amp;hloc=pl&amp;hloc=uk</t>
  </si>
  <si>
    <t>G.Skill Ripjaws M5 RGB weiß DIMM Kit 32GB, DDR5-5200, CL40-40-40-83, on-die ECC</t>
  </si>
  <si>
    <t>F5-5200J4040A16GX2-RM5RW</t>
  </si>
  <si>
    <t>https://geizhals.eu/g-skill-ripjaws-m5-rgb-weiss-dimm-kit-32gb-f5-5200j4040a16gx2-rm5rw-a3198526.html?hloc=at&amp;hloc=de&amp;hloc=eu&amp;hloc=pl&amp;hloc=uk</t>
  </si>
  <si>
    <t>G.Skill Ripjaws M5 RGB schwarz DIMM Kit 96GB, DDR5-6400, CL32-39-39-102, on-die ECC</t>
  </si>
  <si>
    <t>F5-6400J3239F48GX2-RM5RK</t>
  </si>
  <si>
    <t>https://geizhals.eu/g-skill-ripjaws-m5-rgb-schwarz-dimm-kit-96gb-f5-6400j3239f48gx2-rm5rk-a3198522.html?hloc=at&amp;hloc=de&amp;hloc=eu&amp;hloc=pl&amp;hloc=uk</t>
  </si>
  <si>
    <t>G.Skill Ripjaws M5 RGB schwarz DIMM Kit 96GB, DDR5-6000, CL30-36-36-96, on-die ECC</t>
  </si>
  <si>
    <t>F5-6000J3036F48GX2-RM5RK</t>
  </si>
  <si>
    <t>https://geizhals.eu/g-skill-ripjaws-m5-rgb-schwarz-dimm-kit-96gb-f5-6000j3036f48gx2-rm5rk-a3412569.html?hloc=at&amp;hloc=de&amp;hloc=eu&amp;hloc=pl&amp;hloc=uk</t>
  </si>
  <si>
    <t>G.Skill Ripjaws M5 RGB schwarz DIMM Kit 96GB, DDR5-5600, CL40-40-40-89, on-die ECC</t>
  </si>
  <si>
    <t>F5-5600J4040D48GX2-RM5RK</t>
  </si>
  <si>
    <t>https://geizhals.eu/g-skill-ripjaws-m5-rgb-schwarz-dimm-kit-96gb-f5-5600j4040d48gx2-rm5rk-a3198488.html?hloc=at&amp;hloc=de&amp;hloc=eu&amp;hloc=pl&amp;hloc=uk</t>
  </si>
  <si>
    <t>G.Skill Ripjaws M5 RGB schwarz DIMM Kit 96GB, DDR5-5200, CL40-40-40-83, on-die ECC</t>
  </si>
  <si>
    <t>F5-5200J4040A48GX2-RM5RK</t>
  </si>
  <si>
    <t>https://geizhals.eu/g-skill-ripjaws-m5-rgb-schwarz-dimm-kit-96gb-f5-5200j4040a48gx2-rm5rk-a3211286.html?hloc=at&amp;hloc=de&amp;hloc=eu&amp;hloc=pl&amp;hloc=uk</t>
  </si>
  <si>
    <t>G.Skill Ripjaws M5 RGB schwarz DIMM Kit 64GB, DDR5-6400, CL32-39-39-102, on-die ECC</t>
  </si>
  <si>
    <t>F5-6400J3239G32GX2-RM5RK</t>
  </si>
  <si>
    <t>https://geizhals.eu/g-skill-ripjaws-m5-rgb-schwarz-dimm-kit-64gb-f5-6400j3239g32gx2-rm5rk-a3198473.html?hloc=at&amp;hloc=de&amp;hloc=eu&amp;hloc=pl&amp;hloc=uk</t>
  </si>
  <si>
    <t>G.Skill Ripjaws M5 RGB schwarz DIMM Kit 64GB, DDR5-6000, CL32-38-38-96, on-die ECC</t>
  </si>
  <si>
    <t>F5-6000J3238G32GX2-RM5RK</t>
  </si>
  <si>
    <t>https://geizhals.eu/g-skill-ripjaws-m5-rgb-schwarz-dimm-kit-64gb-f5-6000j3238g32gx2-rm5rk-a3198480.html?hloc=at&amp;hloc=de&amp;hloc=eu&amp;hloc=pl&amp;hloc=uk</t>
  </si>
  <si>
    <t>F5-6000J2836G32GX2-RM5RK</t>
  </si>
  <si>
    <t>https://geizhals.eu/g-skill-ripjaws-m5-rgb-schwarz-dimm-kit-64gb-f5-6000j2836g32gx2-rm5rk-a3412564.html?hloc=at&amp;hloc=de&amp;hloc=eu&amp;hloc=pl&amp;hloc=uk</t>
  </si>
  <si>
    <t>G.Skill Ripjaws M5 RGB schwarz DIMM Kit 64GB, DDR5-6000, CL30-40-40-96, on-die ECC</t>
  </si>
  <si>
    <t>F5-6000J3040G32GX2-RM5RK</t>
  </si>
  <si>
    <t>https://geizhals.eu/g-skill-ripjaws-m5-rgb-schwarz-dimm-kit-64gb-f5-6000j3040g32gx2-rm5rk-a3198512.html?hloc=at&amp;hloc=de&amp;hloc=eu&amp;hloc=pl&amp;hloc=uk</t>
  </si>
  <si>
    <t>G.Skill Ripjaws M5 RGB schwarz DIMM Kit 64GB, DDR5-5600, CL30-36-36-89, on-die ECC</t>
  </si>
  <si>
    <t>F5-5600J3036D32GX2-RM5RK</t>
  </si>
  <si>
    <t>https://geizhals.eu/g-skill-ripjaws-m5-rgb-schwarz-dimm-kit-64gb-f5-5600j3036d32gx2-rm5rk-a3198439.html?hloc=at&amp;hloc=de&amp;hloc=eu&amp;hloc=pl&amp;hloc=uk</t>
  </si>
  <si>
    <t>G.Skill Ripjaws M5 RGB schwarz DIMM Kit 64GB, DDR5-5200, CL40-40-40-83, on-die ECC</t>
  </si>
  <si>
    <t>F5-5200J4040A32GX2-RM5RK</t>
  </si>
  <si>
    <t>https://geizhals.eu/g-skill-ripjaws-m5-rgb-schwarz-dimm-kit-64gb-f5-5200j4040a32gx2-rm5rk-a3198501.html?hloc=at&amp;hloc=de&amp;hloc=eu&amp;hloc=pl&amp;hloc=uk</t>
  </si>
  <si>
    <t>G.Skill Ripjaws M5 RGB schwarz DIMM Kit 48GB, DDR5-6000, CL30-36-36-96, on-die ECC</t>
  </si>
  <si>
    <t>F5-6000J3036F24GX2-RM5RK</t>
  </si>
  <si>
    <t>https://geizhals.eu/g-skill-ripjaws-m5-rgb-schwarz-dimm-kit-48gb-f5-6000j3036f24gx2-rm5rk-a3395773.html?hloc=at&amp;hloc=de&amp;hloc=eu&amp;hloc=pl&amp;hloc=uk</t>
  </si>
  <si>
    <t>G.Skill Ripjaws M5 RGB schwarz DIMM Kit 32GB, DDR5-6400, CL36-48-48-102, on-die ECC</t>
  </si>
  <si>
    <t>F5-6400J3648F16GX2-RM5RK</t>
  </si>
  <si>
    <t>https://geizhals.eu/g-skill-ripjaws-m5-rgb-schwarz-dimm-kit-32gb-f5-6400j3648f16gx2-rm5rk-a3214255.html?hloc=at&amp;hloc=de&amp;hloc=eu&amp;hloc=pl&amp;hloc=uk</t>
  </si>
  <si>
    <t>G.Skill Ripjaws M5 RGB schwarz DIMM Kit 32GB, DDR5-6400, CL32-39-39-102, on-die ECC</t>
  </si>
  <si>
    <t>F5-6400J3239G16GX2-RM5RK</t>
  </si>
  <si>
    <t>https://geizhals.eu/g-skill-ripjaws-m5-rgb-schwarz-dimm-kit-32gb-f5-6400j3239g16gx2-rm5rk-a3198508.html?hloc=at&amp;hloc=de&amp;hloc=eu&amp;hloc=pl&amp;hloc=uk</t>
  </si>
  <si>
    <t>G.Skill Ripjaws M5 RGB schwarz DIMM Kit 32GB, DDR5-6000, CL36-48-48-96, on-die ECC</t>
  </si>
  <si>
    <t>F5-6000J3648D16GX2-RM5RK</t>
  </si>
  <si>
    <t>https://geizhals.eu/g-skill-ripjaws-m5-rgb-schwarz-dimm-kit-32gb-f5-6000j3648d16gx2-rm5rk-a3221631.html?hloc=at&amp;hloc=de&amp;hloc=eu&amp;hloc=pl&amp;hloc=uk</t>
  </si>
  <si>
    <t>G.Skill Ripjaws M5 RGB schwarz DIMM Kit 32GB, DDR5-6000, CL32-38-38-96, on-die ECC</t>
  </si>
  <si>
    <t>F5-6000J3238F16GX2-RM5RK</t>
  </si>
  <si>
    <t>https://geizhals.eu/g-skill-ripjaws-m5-rgb-schwarz-dimm-kit-32gb-f5-6000j3238f16gx2-rm5rk-a3198494.html?hloc=at&amp;hloc=de&amp;hloc=eu&amp;hloc=pl&amp;hloc=uk</t>
  </si>
  <si>
    <t>G.Skill Ripjaws M5 RGB schwarz DIMM Kit 32GB, DDR5-6000, CL30-40-40-96, on-die ECC</t>
  </si>
  <si>
    <t>F5-6000J3040F16GX2-RM5RK</t>
  </si>
  <si>
    <t>https://geizhals.eu/g-skill-ripjaws-m5-rgb-schwarz-dimm-kit-32gb-f5-6000j3040f16gx2-rm5rk-a3198519.html?hloc=at&amp;hloc=de&amp;hloc=eu&amp;hloc=pl&amp;hloc=uk</t>
  </si>
  <si>
    <t>G.Skill Ripjaws M5 RGB schwarz DIMM Kit 32GB, DDR5-6000, CL28-36-36-96, on-die ECC</t>
  </si>
  <si>
    <t>F5-6000J2836G16GX2-RM5RK</t>
  </si>
  <si>
    <t>https://geizhals.eu/g-skill-ripjaws-m5-rgb-schwarz-dimm-kit-32gb-f5-6000j2836g16gx2-rm5rk-a3412559.html?hloc=at&amp;hloc=de&amp;hloc=eu&amp;hloc=pl&amp;hloc=uk</t>
  </si>
  <si>
    <t>G.Skill Ripjaws M5 RGB schwarz DIMM Kit 32GB, DDR5-5600, CL46-45-45-89, on-die ECC</t>
  </si>
  <si>
    <t>F5-5600J4645A16GX2-RM5RK</t>
  </si>
  <si>
    <t>https://geizhals.eu/g-skill-ripjaws-m5-rgb-schwarz-dimm-kit-32gb-f5-5600j4645a16gx2-rm5rk-a3211161.html?hloc=at&amp;hloc=de&amp;hloc=eu&amp;hloc=pl&amp;hloc=uk</t>
  </si>
  <si>
    <t>G.Skill Ripjaws M5 RGB schwarz DIMM Kit 32GB, DDR5-5600, CL30-36-36-89, on-die ECC</t>
  </si>
  <si>
    <t>F5-5600J3036D16GX2-RM5RK</t>
  </si>
  <si>
    <t>https://geizhals.eu/g-skill-ripjaws-m5-rgb-schwarz-dimm-kit-32gb-f5-5600j3036d16gx2-rm5rk-a3198504.html?hloc=at&amp;hloc=de&amp;hloc=eu&amp;hloc=pl&amp;hloc=uk</t>
  </si>
  <si>
    <t>G.Skill Ripjaws M5 RGB schwarz DIMM Kit 32GB, DDR5-5200, CL40-40-40-83, on-die ECC</t>
  </si>
  <si>
    <t>F5-5200J4040A16GX2-RM5RK</t>
  </si>
  <si>
    <t>https://geizhals.eu/g-skill-ripjaws-m5-rgb-schwarz-dimm-kit-32gb-f5-5200j4040a16gx2-rm5rk-a3198525.html?hloc=at&amp;hloc=de&amp;hloc=eu&amp;hloc=pl&amp;hloc=uk</t>
  </si>
  <si>
    <t>G.Skill Ripjaws M5 Neo RGB weiß DIMM Kit 64GB, DDR5-6000, CL36-36-36-96, on-die ECC</t>
  </si>
  <si>
    <t>F5-6000J3636F32GX2-RM5NRW</t>
  </si>
  <si>
    <t>https://geizhals.eu/g-skill-ripjaws-m5-neo-rgb-weiss-dimm-kit-64gb-f5-6000j3636f32gx2-rm5nrw-a3381058.html?hloc=at&amp;hloc=de&amp;hloc=eu&amp;hloc=pl&amp;hloc=uk</t>
  </si>
  <si>
    <t>G.Skill Ripjaws M5 Neo RGB weiß DIMM Kit 64GB, DDR5-6000, CL32-38-38-96, on-die ECC</t>
  </si>
  <si>
    <t>F5-6000J3238G32GX2-RM5NRW</t>
  </si>
  <si>
    <t>https://geizhals.eu/g-skill-ripjaws-m5-neo-rgb-weiss-dimm-kit-64gb-f5-6000j3238g32gx2-rm5nrw-a3412605.html?hloc=at&amp;hloc=de&amp;hloc=eu&amp;hloc=pl&amp;hloc=uk</t>
  </si>
  <si>
    <t>G.Skill Ripjaws M5 Neo RGB weiß DIMM Kit 64GB, DDR5-6000, CL30-40-40-96, on-die ECC</t>
  </si>
  <si>
    <t>F5-6000J3040G32GX2-RM5NRW</t>
  </si>
  <si>
    <t>https://geizhals.eu/g-skill-ripjaws-m5-neo-rgb-weiss-dimm-kit-64gb-f5-6000j3040g32gx2-rm5nrw-a3411789.html?hloc=at&amp;hloc=de&amp;hloc=eu&amp;hloc=pl&amp;hloc=uk</t>
  </si>
  <si>
    <t>G.Skill Ripjaws M5 Neo RGB weiß DIMM Kit 64GB, DDR5-6000, CL28-36-36-96, on-die ECC</t>
  </si>
  <si>
    <t>F5-6000J2836G32GX2-RM5NRW</t>
  </si>
  <si>
    <t>https://geizhals.eu/g-skill-ripjaws-m5-neo-rgb-weiss-dimm-kit-64gb-f5-6000j2836g32gx2-rm5nrw-a3409810.html?hloc=at&amp;hloc=de&amp;hloc=eu&amp;hloc=pl&amp;hloc=uk</t>
  </si>
  <si>
    <t>G.Skill Ripjaws M5 Neo RGB weiß DIMM Kit 32GB, DDR5-6400, CL32-39-39-102, on-die ECC</t>
  </si>
  <si>
    <t>F5-6400J3240G16GX2-RM5NRW</t>
  </si>
  <si>
    <t>https://geizhals.eu/g-skill-ripjaws-m5-neo-rgb-weiss-dimm-kit-32gb-f5-6400j3240g16gx2-rm5nrw-a3312659.html?hloc=at&amp;hloc=de&amp;hloc=eu&amp;hloc=pl&amp;hloc=uk</t>
  </si>
  <si>
    <t>G.Skill Ripjaws M5 Neo RGB weiß DIMM Kit 32GB, DDR5-6000, CL36-48-48-96, on-die ECC</t>
  </si>
  <si>
    <t>F5-6000J3648D16GX2-RM5NRW</t>
  </si>
  <si>
    <t>https://geizhals.eu/g-skill-ripjaws-m5-neo-rgb-weiss-dimm-kit-32gb-f5-6000j3648d16gx2-rm5nrw-a3255139.html?hloc=at&amp;hloc=de&amp;hloc=eu&amp;hloc=pl&amp;hloc=uk</t>
  </si>
  <si>
    <t>G.Skill Ripjaws M5 Neo RGB weiß DIMM Kit 32GB, DDR5-6000, CL36-36-36-96, on-die ECC</t>
  </si>
  <si>
    <t>F5-6000J3636F16GX2-RM5NRW</t>
  </si>
  <si>
    <t>https://geizhals.eu/g-skill-ripjaws-m5-neo-rgb-weiss-dimm-kit-32gb-f5-6000j3636f16gx2-rm5nrw-a3312640.html?hloc=at&amp;hloc=de&amp;hloc=eu&amp;hloc=pl&amp;hloc=uk</t>
  </si>
  <si>
    <t>G.Skill Ripjaws M5 Neo RGB weiß DIMM Kit 32GB, DDR5-6000, CL30-38-38-96, on-die ECC</t>
  </si>
  <si>
    <t>F5-6000J3038F16GX2-RM5NRW</t>
  </si>
  <si>
    <t>https://geizhals.eu/g-skill-ripjaws-m5-neo-rgb-weiss-dimm-kit-32gb-f5-6000j3038f16gx2-rm5nrw-a3409808.html?hloc=at&amp;hloc=de&amp;hloc=eu&amp;hloc=pl&amp;hloc=uk</t>
  </si>
  <si>
    <t>G.Skill Ripjaws M5 Neo RGB weiß DIMM Kit 32GB, DDR5-6000, CL28-36-36-96, on-die ECC</t>
  </si>
  <si>
    <t>F5-6000J2836G16GX2-RM5NRW</t>
  </si>
  <si>
    <t>https://geizhals.eu/g-skill-ripjaws-m5-neo-rgb-weiss-dimm-kit-32gb-f5-6000j2836g16gx2-rm5nrw-a3381055.html?hloc=at&amp;hloc=de&amp;hloc=eu&amp;hloc=pl&amp;hloc=uk</t>
  </si>
  <si>
    <t>G.Skill Ripjaws M5 Neo RGB schwarz DIMM Kit 64GB, DDR5-6000, CL36-36-36-96, on-die ECC</t>
  </si>
  <si>
    <t>F5-6000J3636F32GX2-RM5NRK</t>
  </si>
  <si>
    <t>https://geizhals.eu/g-skill-ripjaws-m5-neo-rgb-schwarz-dimm-kit-64gb-f5-6000j3636f32gx2-rm5nrk-a3381057.html?hloc=at&amp;hloc=de&amp;hloc=eu&amp;hloc=pl&amp;hloc=uk</t>
  </si>
  <si>
    <t>G.Skill Ripjaws M5 Neo RGB schwarz DIMM Kit 64GB, DDR5-6000, CL32-38-38-96, on-die ECC</t>
  </si>
  <si>
    <t>F5-6000J3238G32GX2-RM5NRK</t>
  </si>
  <si>
    <t>https://geizhals.eu/g-skill-ripjaws-m5-neo-rgb-schwarz-dimm-kit-64gb-f5-6000j3238g32gx2-rm5nrk-a3412618.html?hloc=at&amp;hloc=de&amp;hloc=eu&amp;hloc=pl&amp;hloc=uk</t>
  </si>
  <si>
    <t>G.Skill Ripjaws M5 Neo RGB schwarz DIMM Kit 64GB, DDR5-6000, CL30-40-40-96, on-die ECC</t>
  </si>
  <si>
    <t>F5-6000J3040G32GX2-RM5NRK</t>
  </si>
  <si>
    <t>https://geizhals.eu/g-skill-ripjaws-m5-neo-rgb-schwarz-dimm-kit-64gb-f5-6000j3040g32gx2-rm5nrk-a3411788.html?hloc=at&amp;hloc=de&amp;hloc=eu&amp;hloc=pl&amp;hloc=uk</t>
  </si>
  <si>
    <t>G.Skill Ripjaws M5 Neo RGB schwarz DIMM Kit 64GB, DDR5-6000, CL28-36-36-96, on-die ECC</t>
  </si>
  <si>
    <t>F5-6000J2836G32GX2-RM5NRK</t>
  </si>
  <si>
    <t>https://geizhals.eu/g-skill-ripjaws-m5-neo-rgb-schwarz-dimm-kit-64gb-f5-6000j2836g32gx2-rm5nrk-a3409811.html?hloc=at&amp;hloc=de&amp;hloc=eu&amp;hloc=pl&amp;hloc=uk</t>
  </si>
  <si>
    <t>G.Skill Ripjaws M5 Neo RGB schwarz DIMM Kit 48GB, DDR5-6000, CL30-36-36-96, on-die ECC</t>
  </si>
  <si>
    <t>F5-6000J3036F24GX2-RM5NRK</t>
  </si>
  <si>
    <t>https://geizhals.eu/g-skill-ripjaws-m5-neo-rgb-schwarz-dimm-kit-48gb-f5-6000j3036f24gx2-rm5nrk-a3412591.html?hloc=at&amp;hloc=de&amp;hloc=eu&amp;hloc=pl&amp;hloc=uk</t>
  </si>
  <si>
    <t>G.Skill Ripjaws M5 Neo RGB schwarz DIMM Kit 32GB, DDR5-6000, CL36-48-48-96, on-die ECC</t>
  </si>
  <si>
    <t>F5-6000J3648D16GX2-RM5NRK</t>
  </si>
  <si>
    <t>https://geizhals.eu/g-skill-ripjaws-m5-neo-rgb-schwarz-dimm-kit-32gb-f5-6000j3648d16gx2-rm5nrk-a3255138.html?hloc=at&amp;hloc=de&amp;hloc=eu&amp;hloc=pl&amp;hloc=uk</t>
  </si>
  <si>
    <t>G.Skill Ripjaws M5 Neo RGB schwarz DIMM Kit 32GB, DDR5-6000, CL36-36-36-96, on-die ECC</t>
  </si>
  <si>
    <t>F5-6000J3636F16GX2-RM5NRK</t>
  </si>
  <si>
    <t>https://geizhals.eu/g-skill-ripjaws-m5-neo-rgb-schwarz-dimm-kit-32gb-f5-6000j3636f16gx2-rm5nrk-a3312641.html?hloc=at&amp;hloc=de&amp;hloc=eu&amp;hloc=pl&amp;hloc=uk</t>
  </si>
  <si>
    <t>G.Skill Ripjaws M5 Neo RGB schwarz DIMM Kit 32GB, DDR5-6000, CL30-38-38-96, on-die ECC</t>
  </si>
  <si>
    <t>F5-6000J3038F16GX2-RM5NRK</t>
  </si>
  <si>
    <t>https://geizhals.eu/g-skill-ripjaws-m5-neo-rgb-schwarz-dimm-kit-32gb-f5-6000j3038f16gx2-rm5nrk-a3409809.html?hloc=at&amp;hloc=de&amp;hloc=eu&amp;hloc=pl&amp;hloc=uk</t>
  </si>
  <si>
    <t>G.Skill Ripjaws M5 Neo RGB schwarz DIMM Kit 32GB, DDR5-6000, CL28-36-36-96, on-die ECC</t>
  </si>
  <si>
    <t>F5-6000J2836G16GX2-RM5NRK</t>
  </si>
  <si>
    <t>https://geizhals.eu/g-skill-ripjaws-m5-neo-rgb-schwarz-dimm-kit-32gb-f5-6000j2836g16gx2-rm5nrk-a3381053.html?hloc=at&amp;hloc=de&amp;hloc=eu&amp;hloc=pl&amp;hloc=uk</t>
  </si>
  <si>
    <t>G.Skill Flare X5 weiß DIMM Kit 64GB, DDR5-6000, CL36-36-36-96, on-die ECC</t>
  </si>
  <si>
    <t>F5-6000J3636F32GX2-FX5W</t>
  </si>
  <si>
    <t>https://geizhals.eu/g-skill-flare-x5-weiss-dimm-kit-32gb-f5-6000j3636f32gx2-fx5w-a3361461.html?hloc=at&amp;hloc=de&amp;hloc=eu&amp;hloc=pl&amp;hloc=uk</t>
  </si>
  <si>
    <t>G.Skill Flare X5 weiß DIMM Kit 32GB, DDR5-6400, CL32-40-40-102, on-die ECC</t>
  </si>
  <si>
    <t>F5-6400J3240G16GX2-FX5W</t>
  </si>
  <si>
    <t>https://geizhals.eu/g-skill-flare-x5-weiss-dimm-kit-32gb-f5-6400j3240g16gx2-fx5w-a3361466.html?hloc=at&amp;hloc=de&amp;hloc=eu&amp;hloc=pl&amp;hloc=uk</t>
  </si>
  <si>
    <t>G.Skill Flare X5 weiß DIMM Kit 32GB, DDR5-6000, CL28-36-36-96, on-die ECC</t>
  </si>
  <si>
    <t>F5-6000J2836G16GX2-FX5W</t>
  </si>
  <si>
    <t>https://geizhals.eu/g-skill-flare-x5-weiss-dimm-kit-32gb-f5-6000j2836g16gx2-fx5w-a3361021.html?hloc=at&amp;hloc=de&amp;hloc=eu&amp;hloc=pl&amp;hloc=uk</t>
  </si>
  <si>
    <t>G.Skill Flare X5 schwarz DIMM Kit 96GB, DDR5-5600, CL40-40-40-89, on-die ECC</t>
  </si>
  <si>
    <t>F5-5600J4040D48GX2-FX5</t>
  </si>
  <si>
    <t>https://geizhals.eu/g-skill-flare-x5-schwarz-dimm-kit-96gb-f5-5600j4040d48gx2-fx5-a2947197.html?hloc=at&amp;hloc=de&amp;hloc=eu&amp;hloc=pl&amp;hloc=uk</t>
  </si>
  <si>
    <t>G.Skill Flare X5 schwarz DIMM Kit 64GB, DDR5-6000, CL36-36-36-96, on-die ECC</t>
  </si>
  <si>
    <t>F5-6000J3636F32GX2-FX5</t>
  </si>
  <si>
    <t>https://geizhals.eu/g-skill-flare-x5-schwarz-dimm-kit-32gb-f5-6000j3636f32gx2-fx5-a3361462.html?hloc=at&amp;hloc=de&amp;hloc=eu&amp;hloc=pl&amp;hloc=uk</t>
  </si>
  <si>
    <t>G.Skill Flare X5 schwarz DIMM Kit 64GB, DDR5-6000, CL30-40-40-96, on-die ECC</t>
  </si>
  <si>
    <t>F5-6000J3040G32GX2-FX5</t>
  </si>
  <si>
    <t>https://geizhals.eu/g-skill-flare-x5-schwarz-dimm-kit-64gb-f5-6000j3040g32gx2-fx5-a3003771.html?hloc=at&amp;hloc=de&amp;hloc=eu&amp;hloc=pl&amp;hloc=uk</t>
  </si>
  <si>
    <t>G.Skill Flare X5 schwarz DIMM Kit 64GB, DDR5-5600, CL46-45-45-89, on-die ECC</t>
  </si>
  <si>
    <t>F5-5600J4645A32GX2-FX5</t>
  </si>
  <si>
    <t>https://geizhals.eu/g-skill-flare-x5-schwarz-dimm-kit-64gb-f5-5600j4645a32gx2-fx5-a3209028.html?hloc=at&amp;hloc=de&amp;hloc=eu&amp;hloc=pl&amp;hloc=uk</t>
  </si>
  <si>
    <t>G.Skill Flare X5 schwarz DIMM Kit 64GB, DDR5-5600, CL36-36-36-89, on-die ECC</t>
  </si>
  <si>
    <t>F5-5600J3636D32GX2-FX5</t>
  </si>
  <si>
    <t>https://geizhals.eu/g-skill-flare-x5-schwarz-dimm-kit-64gb-f5-5600j3636d32gx2-fx5-a2837557.html?hloc=at&amp;hloc=de&amp;hloc=eu&amp;hloc=pl&amp;hloc=uk</t>
  </si>
  <si>
    <t>G.Skill Flare X5 schwarz DIMM Kit 48GB, DDR5-6000, CL40-48-48-96, on-die ECC</t>
  </si>
  <si>
    <t>F5-6000J4048F24GX2-FX5</t>
  </si>
  <si>
    <t>https://geizhals.eu/g-skill-flare-x5-schwarz-dimm-kit-48gb-f5-6000j4048f24gx2-fx5-a2947107.html?hloc=at&amp;hloc=de&amp;hloc=eu&amp;hloc=pl&amp;hloc=uk</t>
  </si>
  <si>
    <t>G.Skill Flare X5 schwarz DIMM Kit 48GB, DDR5-5600, CL40-40-40-89, on-die ECC</t>
  </si>
  <si>
    <t>F5-5600J4040D24GX2-FX5</t>
  </si>
  <si>
    <t>https://geizhals.eu/g-skill-flare-x5-schwarz-dimm-kit-48gb-f5-5600j4040d24gx2-fx5-a2947220.html?hloc=at&amp;hloc=de&amp;hloc=eu&amp;hloc=pl&amp;hloc=uk</t>
  </si>
  <si>
    <t>G.Skill Flare X5 schwarz DIMM Kit 48GB, DDR5-5200, CL40-40-40-83, on-die ECC</t>
  </si>
  <si>
    <t>F5-5200J4040A24GX2-FX5</t>
  </si>
  <si>
    <t>https://geizhals.eu/g-skill-flare-x5-schwarz-dimm-kit-48gb-f5-5200j4040a24gx2-fx5-a3178301.html?hloc=at&amp;hloc=de&amp;hloc=eu&amp;hloc=pl&amp;hloc=uk</t>
  </si>
  <si>
    <t>G.Skill Flare X5 schwarz DIMM Kit 32GB, DDR5-6400, CL32-39-39-102, on-die ECC</t>
  </si>
  <si>
    <t>F5-6400J3240G16GX2-FX5</t>
  </si>
  <si>
    <t>https://geizhals.eu/g-skill-flare-x5-schwarz-dimm-kit-32gb-f5-6400j3240g16gx2-fx5-a3312660.html?hloc=at&amp;hloc=de&amp;hloc=eu&amp;hloc=pl&amp;hloc=uk</t>
  </si>
  <si>
    <t>F5-6400J3239G16GX2-FX5</t>
  </si>
  <si>
    <t>https://geizhals.eu/g-skill-flare-x5-schwarz-dimm-kit-32gb-f5-6400j3239g16gx2-fx5-a3269986.html?hloc=at&amp;hloc=de&amp;hloc=eu&amp;hloc=pl&amp;hloc=uk</t>
  </si>
  <si>
    <t>G.Skill Flare X5 schwarz DIMM Kit 32GB, DDR5-6000, CL36-48-48-96, on-die ECC</t>
  </si>
  <si>
    <t>F5-6000J3648D16GX2-FX5</t>
  </si>
  <si>
    <t>https://geizhals.eu/g-skill-flare-x5-schwarz-dimm-kit-32gb-f5-6000j3648d16gx2-fx5-a3226623.html?hloc=at&amp;hloc=de&amp;hloc=eu&amp;hloc=pl&amp;hloc=uk</t>
  </si>
  <si>
    <t>G.Skill Flare X5 schwarz DIMM Kit 32GB, DDR5-6000, CL36-36-36-96, on-die ECC</t>
  </si>
  <si>
    <t>F5-6000J3636F16GX2-FX5</t>
  </si>
  <si>
    <t>https://geizhals.eu/g-skill-flare-x5-schwarz-dimm-kit-32gb-f5-6000j3636f16gx2-fx5-a2816008.html?hloc=at&amp;hloc=de&amp;hloc=eu&amp;hloc=pl&amp;hloc=uk</t>
  </si>
  <si>
    <t>G.Skill Flare X5 schwarz DIMM Kit 32GB, DDR5-6000, CL32-38-38-96, on-die ECC</t>
  </si>
  <si>
    <t>F5-6000J3238F16GX2-FX5</t>
  </si>
  <si>
    <t>https://geizhals.eu/g-skill-flare-x5-schwarz-dimm-kit-32gb-f5-6000j3238f16gx2-fx5-a2816010.html?hloc=at&amp;hloc=de&amp;hloc=eu&amp;hloc=pl&amp;hloc=uk</t>
  </si>
  <si>
    <t>G.Skill Flare X5 schwarz DIMM Kit 32GB, DDR5-6000, CL30-38-38-96, on-die ECC</t>
  </si>
  <si>
    <t>F5-6000J3038F16GX2-FX5</t>
  </si>
  <si>
    <t>https://geizhals.eu/g-skill-flare-x5-schwarz-dimm-kit-32gb-f5-6000j3038f16gx2-fx5-a2921918.html?hloc=at&amp;hloc=de&amp;hloc=eu&amp;hloc=pl&amp;hloc=uk</t>
  </si>
  <si>
    <t>G.Skill Flare X5 schwarz DIMM Kit 32GB, DDR5-6000, CL30-36-36-96, on-die ECC</t>
  </si>
  <si>
    <t>F5-6000J3036F16GX2-FX5</t>
  </si>
  <si>
    <t>https://geizhals.eu/g-skill-flare-x5-schwarz-dimm-kit-32gb-f5-6000j3036f16gx2-fx5-a3269983.html?hloc=at&amp;hloc=de&amp;hloc=eu&amp;hloc=pl&amp;hloc=uk</t>
  </si>
  <si>
    <t>G.Skill Flare X5 schwarz DIMM Kit 32GB, DDR5-6000, CL28-36-36-96, on-die ECC</t>
  </si>
  <si>
    <t>F5-6000J2836G16GX2-FX5</t>
  </si>
  <si>
    <t>https://geizhals.eu/g-skill-flare-x5-schwarz-dimm-kit-32gb-f5-6000j2836g16gx2-fx5-a3361016.html?hloc=at&amp;hloc=de&amp;hloc=eu&amp;hloc=pl&amp;hloc=uk</t>
  </si>
  <si>
    <t>G.Skill Flare X5 schwarz DIMM Kit 32GB, DDR5-5600, CL36-36-36-89, on-die ECC</t>
  </si>
  <si>
    <t>F5-5600J3636C16GX2-FX5</t>
  </si>
  <si>
    <t>https://geizhals.eu/g-skill-flare-x5-schwarz-dimm-kit-32gb-f5-5600j3636c16gx2-fx5-a2816003.html?hloc=at&amp;hloc=de&amp;hloc=eu&amp;hloc=pl&amp;hloc=uk</t>
  </si>
  <si>
    <t>G.Skill Flare X5 schwarz DIMM Kit 32GB, DDR5-5600, CL30-36-36-89, on-die ECC</t>
  </si>
  <si>
    <t>F5-5600J3036D16GX2-FX5</t>
  </si>
  <si>
    <t>https://geizhals.eu/g-skill-flare-x5-schwarz-dimm-kit-32gb-f5-5600j3036d16gx2-fx5-a2816006.html?hloc=at&amp;hloc=de&amp;hloc=eu&amp;hloc=pl&amp;hloc=uk</t>
  </si>
  <si>
    <t>G.Skill Flare X5 schwarz DIMM Kit 32GB, DDR5-5200, CL36-36-36-83, on-die ECC</t>
  </si>
  <si>
    <t>F5-5200J3636C16GX2-FX5</t>
  </si>
  <si>
    <t>https://geizhals.eu/g-skill-flare-x5-schwarz-dimm-kit-32gb-f5-5200j3636c16gx2-fx5-a2837555.html?hloc=at&amp;hloc=de&amp;hloc=eu&amp;hloc=pl&amp;hloc=uk</t>
  </si>
  <si>
    <t>G.Skill Aegis 5 DIMM Kit 32GB, DDR5-5600, CL36-36-36-89, on-die ECC</t>
  </si>
  <si>
    <t>F5-5600J3636C16GX2-IS</t>
  </si>
  <si>
    <t>https://geizhals.eu/g-skill-aegis-5-dimm-kit-32gb-f5-5600j3636c16gx2-is-a3386288.html?hloc=at&amp;hloc=de&amp;hloc=eu&amp;hloc=pl&amp;hloc=uk</t>
  </si>
  <si>
    <t>G.Skill Aegis 5 DIMM 32GB, DDR5-5600, CL36-36-36-89, on-die ECC</t>
  </si>
  <si>
    <t>F5-5600J3636D32GX1-IS</t>
  </si>
  <si>
    <t>https://geizhals.eu/g-skill-aegis-5-dimm-32gb-f5-5600j3636d32gx1-is-a3386373.html?hloc=at&amp;hloc=de&amp;hloc=eu&amp;hloc=pl&amp;hloc=uk</t>
  </si>
  <si>
    <t>G.Skill Aegis 5 DIMM 16GB, DDR5-5600, CL36-36-36-89, on-die ECC</t>
  </si>
  <si>
    <t>F5-5600J3636C16GX1-IS</t>
  </si>
  <si>
    <t>https://geizhals.eu/g-skill-aegis-5-dimm-16gb-f5-5600j3636c16gx1-is-a3386371.html?hloc=at&amp;hloc=de&amp;hloc=eu&amp;hloc=pl&amp;hloc=uk</t>
  </si>
  <si>
    <t>Corsair Vengeance weiß DIMM Kit 64GB, DDR5-6000, CL40-40-40-77, on-die ECC</t>
  </si>
  <si>
    <t>CMK64GX5M2B6000C40W</t>
  </si>
  <si>
    <t>https://geizhals.eu/corsair-vengeance-weiss-dimm-kit-64gb-cmk64gx5m2b6000c40w-a2952148.html?hloc=at&amp;hloc=de&amp;hloc=eu&amp;hloc=pl&amp;hloc=uk</t>
  </si>
  <si>
    <t>Corsair Vengeance weiß DIMM Kit 64GB, DDR5-6000, CL30-36-36-76, on-die ECC</t>
  </si>
  <si>
    <t>CMK64GX5M2B6000Z30W</t>
  </si>
  <si>
    <t>https://geizhals.eu/corsair-vengeance-weiss-dimm-kit-64gb-cmk64gx5m2b6000z30w-a3374076.html?hloc=at&amp;hloc=de&amp;hloc=eu&amp;hloc=pl&amp;hloc=uk</t>
  </si>
  <si>
    <t>Corsair Vengeance weiß DIMM Kit 64GB, DDR5-5600, CL40-40-40-77, on-die ECC</t>
  </si>
  <si>
    <t>CMK64GX5M2B5600C40W</t>
  </si>
  <si>
    <t>https://geizhals.eu/corsair-vengeance-weiss-dimm-kit-64gb-cmk64gx5m2b5600c40w-a2952225.html?hloc=at&amp;hloc=de&amp;hloc=eu&amp;hloc=pl&amp;hloc=uk</t>
  </si>
  <si>
    <t>Corsair Vengeance weiß DIMM Kit 64GB, DDR5-5200, CL40-40-40-77, on-die ECC</t>
  </si>
  <si>
    <t>CMK64GX5M2B5200C40W</t>
  </si>
  <si>
    <t>https://geizhals.eu/corsair-vengeance-weiss-dimm-kit-64gb-cmk64gx5m2b5200c40w-a2727341.html?hloc=at&amp;hloc=de&amp;hloc=eu&amp;hloc=pl&amp;hloc=uk</t>
  </si>
  <si>
    <t>Corsair Vengeance weiß DIMM Kit 48GB, DDR5-6000, CL30-36-36-76, on-die ECC</t>
  </si>
  <si>
    <t>CMK48GX5M2B6000C30W</t>
  </si>
  <si>
    <t>https://geizhals.eu/corsair-vengeance-weiss-dimm-kit-48gb-cmk48gx5m2b6000c30w-a3006564.html?hloc=at&amp;hloc=de&amp;hloc=eu&amp;hloc=pl&amp;hloc=uk</t>
  </si>
  <si>
    <t>Corsair Vengeance weiß DIMM Kit 32GB, DDR5-6400, CL32-40-40-84, on-die ECC</t>
  </si>
  <si>
    <t>CMK32GX5M2B6400C32W</t>
  </si>
  <si>
    <t>https://geizhals.eu/corsair-vengeance-weiss-dimm-kit-32gb-cmk32gx5m2b6400c32w-a2952328.html?hloc=at&amp;hloc=de&amp;hloc=eu&amp;hloc=pl&amp;hloc=uk</t>
  </si>
  <si>
    <t>Corsair Vengeance weiß DIMM Kit 32GB, DDR5-6000, CL36-44-44-96, on-die ECC</t>
  </si>
  <si>
    <t>CMK32GX5M2E6000Z36W</t>
  </si>
  <si>
    <t>https://geizhals.eu/corsair-vengeance-weiss-dimm-kit-32gb-cmk32gx5m2e6000z36w-a3374072.html?hloc=at&amp;hloc=de&amp;hloc=eu&amp;hloc=pl&amp;hloc=uk</t>
  </si>
  <si>
    <t>CMK32GX5M2E6000C36W</t>
  </si>
  <si>
    <t>https://geizhals.eu/corsair-vengeance-weiss-dimm-kit-32gb-cmk32gx5m2e6000c36w-a3030204.html?hloc=at&amp;hloc=de&amp;hloc=eu&amp;hloc=pl&amp;hloc=uk</t>
  </si>
  <si>
    <t>Corsair Vengeance weiß DIMM Kit 32GB, DDR5-6000, CL36-36-36-76, on-die ECC</t>
  </si>
  <si>
    <t>CMK32GX5M2D6000C36W</t>
  </si>
  <si>
    <t>https://geizhals.eu/corsair-vengeance-weiss-dimm-kit-32gb-cmk32gx5m2d6000c36w-a2736621.html?hloc=at&amp;hloc=de&amp;hloc=eu&amp;hloc=pl&amp;hloc=uk</t>
  </si>
  <si>
    <t>Corsair Vengeance weiß DIMM Kit 32GB, DDR5-6000, CL30-36-36-76, on-die ECC</t>
  </si>
  <si>
    <t>CMK32GX5M2B6000Z30W</t>
  </si>
  <si>
    <t>https://geizhals.eu/corsair-vengeance-weiss-dimm-kit-32gb-cmk32gx5m2b6000z30w-a2998431.html?hloc=at&amp;hloc=de&amp;hloc=eu&amp;hloc=pl&amp;hloc=uk</t>
  </si>
  <si>
    <t>Corsair Vengeance weiß DIMM Kit 32GB, DDR5-5600, CL40-40-40-77, on-die ECC</t>
  </si>
  <si>
    <t>CMK32GX5M2B5600C40W</t>
  </si>
  <si>
    <t>https://geizhals.eu/corsair-vengeance-weiss-dimm-kit-32gb-cmk32gx5m2b5600c40w-a3026648.html?hloc=at&amp;hloc=de&amp;hloc=eu&amp;hloc=pl&amp;hloc=uk</t>
  </si>
  <si>
    <t>Corsair Vengeance weiß DIMM Kit 32GB, DDR5-5600, CL36-36-36-76, on-die ECC</t>
  </si>
  <si>
    <t>CMK32GX5M2B5600C36W</t>
  </si>
  <si>
    <t>https://geizhals.eu/corsair-vengeance-weiss-dimm-kit-32gb-cmk32gx5m2b5600c36w-a2720745.html?hloc=at&amp;hloc=de&amp;hloc=eu&amp;hloc=pl&amp;hloc=uk</t>
  </si>
  <si>
    <t>Corsair Vengeance weiß DIMM Kit 32GB, DDR5-5200, CL40-40-40-77, on-die ECC</t>
  </si>
  <si>
    <t>CMK32GX5M2B5200C40W</t>
  </si>
  <si>
    <t>https://geizhals.eu/corsair-vengeance-weiss-dimm-kit-32gb-cmk32gx5m2b5200c40w-a2727338.html?hloc=at&amp;hloc=de&amp;hloc=eu&amp;hloc=pl&amp;hloc=uk</t>
  </si>
  <si>
    <t>Corsair Vengeance silber CUDIMM Kit 48GB, DDR5-8400, CL40-52-52-135, on-die ECC, CKD</t>
  </si>
  <si>
    <t>CMKC48GX5M2X8400C40</t>
  </si>
  <si>
    <t>https://geizhals.eu/corsair-vengeance-silber-cudimm-kit-48gb-cmkc48gx5m2x8400c40-a3360992.html?hloc=at&amp;hloc=de&amp;hloc=eu&amp;hloc=pl&amp;hloc=uk</t>
  </si>
  <si>
    <t>Corsair Vengeance silber CUDIMM Kit 48GB, DDR5-8200, CL40-52-52-132, on-die ECC, CKD</t>
  </si>
  <si>
    <t>CMKC48GX5M2X8200C40</t>
  </si>
  <si>
    <t>https://geizhals.eu/corsair-vengeance-silber-cudimm-kit-48gb-cmkc48gx5m2x8200c40-a3360991.html?hloc=at&amp;hloc=de&amp;hloc=eu&amp;hloc=pl&amp;hloc=uk</t>
  </si>
  <si>
    <t>Corsair Vengeance silber CUDIMM Kit 48GB, DDR5-8000, CL38-50-50-128, on-die ECC, CKD</t>
  </si>
  <si>
    <t>CMKC48GX5M2X8000C38</t>
  </si>
  <si>
    <t>https://geizhals.eu/corsair-vengeance-silber-cudimm-kit-48gb-cmkc48gx5m2x8000c38-a3360990.html?hloc=at&amp;hloc=de&amp;hloc=eu&amp;hloc=pl&amp;hloc=uk</t>
  </si>
  <si>
    <t>Corsair Vengeance schwarz DIMM Kit 192GB, DDR5-5200, CL38-38-38-84, on-die ECC</t>
  </si>
  <si>
    <t>CMK192GX5M4B5200C38</t>
  </si>
  <si>
    <t>https://geizhals.eu/corsair-vengeance-schwarz-dimm-kit-192gb-cmk192gx5m4b5200c38-a2912207.html?hloc=at&amp;hloc=de&amp;hloc=eu&amp;hloc=pl&amp;hloc=uk</t>
  </si>
  <si>
    <t>Corsair Vengeance schwarz DIMM Kit 128GB, DDR5-5600, CL40-40-40-77, on-die ECC</t>
  </si>
  <si>
    <t>CMK128GX5M4B5600C40</t>
  </si>
  <si>
    <t>https://geizhals.eu/corsair-vengeance-schwarz-dimm-kit-128gb-cmk128gx5m4b5600c40-a3006594.html?hloc=at&amp;hloc=de&amp;hloc=eu&amp;hloc=pl&amp;hloc=uk</t>
  </si>
  <si>
    <t>Corsair Vengeance schwarz DIMM Kit 96GB, DDR5-7000, CL40-52-52-114, on-die ECC</t>
  </si>
  <si>
    <t>CMK96GX5M2B7000C40</t>
  </si>
  <si>
    <t>https://geizhals.eu/corsair-vengeance-schwarz-dimm-kit-96gb-cmk96gx5m2b7000c40-a3286606.html?hloc=at&amp;hloc=de&amp;hloc=eu&amp;hloc=pl&amp;hloc=uk</t>
  </si>
  <si>
    <t>Corsair Vengeance schwarz DIMM Kit 96GB, DDR5-6800, CL40-50-50-110, on-die ECC</t>
  </si>
  <si>
    <t>CMK96GX5M2B6800C40</t>
  </si>
  <si>
    <t>https://geizhals.eu/corsair-vengeance-schwarz-dimm-kit-96gb-cmk96gx5m2b6800c40-a3006623.html?hloc=at&amp;hloc=de&amp;hloc=eu&amp;hloc=pl&amp;hloc=uk</t>
  </si>
  <si>
    <t>Corsair Vengeance schwarz DIMM Kit 96GB, DDR5-6600, CL32-39-39-76, on-die ECC</t>
  </si>
  <si>
    <t>CMK96GX5M2B6600C32</t>
  </si>
  <si>
    <t>https://geizhals.eu/corsair-vengeance-schwarz-dimm-kit-96gb-cmk96gx5m2b6600c32-a2999911.html?hloc=at&amp;hloc=de&amp;hloc=eu&amp;hloc=pl&amp;hloc=uk</t>
  </si>
  <si>
    <t>Corsair Vengeance schwarz DIMM Kit 96GB, DDR5-6400, CL32-40-40-84, on-die ECC</t>
  </si>
  <si>
    <t>CMK96GX5M4B6400C32</t>
  </si>
  <si>
    <t>https://geizhals.eu/corsair-vengeance-schwarz-dimm-kit-96gb-cmk96gx5m4b6400c32-a3148915.html?hloc=at&amp;hloc=de&amp;hloc=eu&amp;hloc=pl&amp;hloc=uk</t>
  </si>
  <si>
    <t>CMK96GX5M2B6400C32</t>
  </si>
  <si>
    <t>https://geizhals.eu/corsair-vengeance-schwarz-dimm-kit-96gb-cmk96gx5m2b6400c32-a2952288.html?hloc=at&amp;hloc=de&amp;hloc=eu&amp;hloc=pl&amp;hloc=uk</t>
  </si>
  <si>
    <t>Corsair Vengeance schwarz DIMM Kit 96GB, DDR5-6000, CL30-36-36-76, on-die ECC</t>
  </si>
  <si>
    <t>CMK96GX5M4B6000C30</t>
  </si>
  <si>
    <t>https://geizhals.eu/corsair-vengeance-schwarz-dimm-kit-96gb-cmk96gx5m4b6000c30-a3006628.html?hloc=at&amp;hloc=de&amp;hloc=eu&amp;hloc=pl&amp;hloc=uk</t>
  </si>
  <si>
    <t>CMK96GX5M2B6000C30</t>
  </si>
  <si>
    <t>https://geizhals.eu/corsair-vengeance-schwarz-dimm-kit-96gb-cmk96gx5m2b6000c30-a3011353.html?hloc=at&amp;hloc=de&amp;hloc=eu&amp;hloc=pl&amp;hloc=uk</t>
  </si>
  <si>
    <t>Corsair Vengeance schwarz DIMM Kit 96GB, DDR5-5600, CL40-40-40-77, on-die ECC</t>
  </si>
  <si>
    <t>CMK96GX5M4B5600C40</t>
  </si>
  <si>
    <t>https://geizhals.eu/corsair-vengeance-schwarz-dimm-kit-96gb-cmk96gx5m4b5600c40-a2998400.html?hloc=at&amp;hloc=de&amp;hloc=eu&amp;hloc=pl&amp;hloc=uk</t>
  </si>
  <si>
    <t>CMK96GX5M2B5600C40</t>
  </si>
  <si>
    <t>https://geizhals.eu/corsair-vengeance-schwarz-dimm-kit-96gb-cmk96gx5m2b5600c40-a2900583.html?hloc=at&amp;hloc=de&amp;hloc=eu&amp;hloc=pl&amp;hloc=uk</t>
  </si>
  <si>
    <t>Corsair Vengeance schwarz DIMM Kit 96GB, DDR5-5200, CL38-38-38-84, on-die ECC</t>
  </si>
  <si>
    <t>CMK96GX5M2B5200C38</t>
  </si>
  <si>
    <t>https://geizhals.eu/corsair-vengeance-schwarz-dimm-kit-96gb-cmk96gx5m2b5200c38-a2900582.html?hloc=at&amp;hloc=de&amp;hloc=eu&amp;hloc=pl&amp;hloc=uk</t>
  </si>
  <si>
    <t>Corsair Vengeance schwarz DIMM Kit 64GB, DDR5-6800, CL32-40-40-96, on-die ECC</t>
  </si>
  <si>
    <t>CMK64GX5M2X6800C32</t>
  </si>
  <si>
    <t>https://geizhals.eu/corsair-vengeance-schwarz-dimm-kit-64gb-cmk64gx5m2x6800c32-a3006639.html?hloc=at&amp;hloc=de&amp;hloc=eu&amp;hloc=pl&amp;hloc=uk</t>
  </si>
  <si>
    <t>Corsair Vengeance schwarz DIMM Kit 64GB, DDR5-6600, CL32-39-39-76, on-die ECC</t>
  </si>
  <si>
    <t>CMK64GX5M4B6600C32</t>
  </si>
  <si>
    <t>https://geizhals.eu/corsair-vengeance-schwarz-dimm-kit-64gb-cmk64gx5m4b6600c32-a2900805.html?hloc=at&amp;hloc=de&amp;hloc=eu&amp;hloc=pl&amp;hloc=uk</t>
  </si>
  <si>
    <t>CMK64GX5M2B6600C32</t>
  </si>
  <si>
    <t>https://geizhals.eu/corsair-vengeance-schwarz-dimm-kit-64gb-cmk64gx5m2b6600c32-a2900712.html?hloc=at&amp;hloc=de&amp;hloc=eu&amp;hloc=pl&amp;hloc=uk</t>
  </si>
  <si>
    <t>Corsair Vengeance schwarz DIMM Kit 64GB, DDR5-6400, CL32-40-40-84, on-die ECC</t>
  </si>
  <si>
    <t>CMK64GX5M4B6400C32</t>
  </si>
  <si>
    <t>https://geizhals.eu/corsair-vengeance-schwarz-dimm-kit-64gb-cmk64gx5m4b6400c32-a2900801.html?hloc=at&amp;hloc=de&amp;hloc=eu&amp;hloc=pl&amp;hloc=uk</t>
  </si>
  <si>
    <t>CMK64GX5M2B6400C32</t>
  </si>
  <si>
    <t>https://geizhals.eu/corsair-vengeance-schwarz-dimm-kit-64gb-cmk64gx5m2b6400c32-a2900708.html?hloc=at&amp;hloc=de&amp;hloc=eu&amp;hloc=pl&amp;hloc=uk</t>
  </si>
  <si>
    <t>Corsair Vengeance schwarz DIMM Kit 64GB, DDR5-6200, CL32-38-38-80, on-die ECC</t>
  </si>
  <si>
    <t>CMK64GX5M4B6200C32</t>
  </si>
  <si>
    <t>https://geizhals.eu/corsair-vengeance-schwarz-dimm-kit-64gb-cmk64gx5m4b6200c32-a2900800.html?hloc=at&amp;hloc=de&amp;hloc=eu&amp;hloc=pl&amp;hloc=uk</t>
  </si>
  <si>
    <t>CMK64GX5M2B6200C32</t>
  </si>
  <si>
    <t>https://geizhals.eu/corsair-vengeance-schwarz-dimm-kit-64gb-cmk64gx5m2b6200c32-a2900681.html?hloc=at&amp;hloc=de&amp;hloc=eu&amp;hloc=pl&amp;hloc=uk</t>
  </si>
  <si>
    <t>Corsair Vengeance schwarz DIMM Kit 64GB, DDR5-6000, CL40-40-40-77, on-die ECC</t>
  </si>
  <si>
    <t>CMK64GX5M2B6000C40</t>
  </si>
  <si>
    <t>https://geizhals.eu/corsair-vengeance-schwarz-dimm-kit-64gb-cmk64gx5m2b6000c40-a2853080.html?hloc=at&amp;hloc=de&amp;hloc=eu&amp;hloc=pl&amp;hloc=uk</t>
  </si>
  <si>
    <t>Corsair Vengeance schwarz DIMM Kit 64GB, DDR5-6000, CL38-44-44-96, on-die ECC</t>
  </si>
  <si>
    <t>CMK64GX5M2B6000C38</t>
  </si>
  <si>
    <t>https://geizhals.eu/corsair-vengeance-schwarz-dimm-kit-64gb-cmk64gx5m2b6000c38-a3123357.html?hloc=at&amp;hloc=de&amp;hloc=eu&amp;hloc=pl&amp;hloc=uk</t>
  </si>
  <si>
    <t>Corsair Vengeance schwarz DIMM Kit 64GB, DDR5-6000, CL36-36-36-76, on-die ECC</t>
  </si>
  <si>
    <t>CMK64GX5M4B6000C36</t>
  </si>
  <si>
    <t>https://geizhals.eu/corsair-vengeance-schwarz-dimm-kit-64gb-cmk64gx5m4b6000c36-a2998418.html?hloc=at&amp;hloc=de&amp;hloc=eu&amp;hloc=pl&amp;hloc=uk</t>
  </si>
  <si>
    <t>Corsair Vengeance schwarz DIMM Kit 64GB, DDR5-6000, CL30-36-36-76, on-die ECC</t>
  </si>
  <si>
    <t>CMK64GX5M2B6000C30</t>
  </si>
  <si>
    <t>https://geizhals.eu/corsair-vengeance-schwarz-dimm-kit-64gb-cmk64gx5m2b6000c30-a2952193.html?hloc=at&amp;hloc=de&amp;hloc=eu&amp;hloc=pl&amp;hloc=uk</t>
  </si>
  <si>
    <t>Corsair Vengeance schwarz DIMM Kit 64GB, DDR5-5600, CL40-40-40-77, on-die ECC</t>
  </si>
  <si>
    <t>CMK64GX5M2B5600C40</t>
  </si>
  <si>
    <t>https://geizhals.eu/corsair-vengeance-schwarz-dimm-kit-64gb-cmk64gx5m2b5600c40-a2716024.html?hloc=at&amp;hloc=de&amp;hloc=eu&amp;hloc=pl&amp;hloc=uk</t>
  </si>
  <si>
    <t>Corsair Vengeance schwarz DIMM Kit 64GB, DDR5-5600, CL36-36-36-76, on-die ECC</t>
  </si>
  <si>
    <t>CMK64GX5M4B5600C36</t>
  </si>
  <si>
    <t>https://geizhals.eu/corsair-vengeance-schwarz-dimm-kit-64gb-cmk64gx5m4b5600c36-a2844677.html?hloc=at&amp;hloc=de&amp;hloc=eu&amp;hloc=pl&amp;hloc=uk</t>
  </si>
  <si>
    <t>CMK64GX5M2B5600C36</t>
  </si>
  <si>
    <t>https://geizhals.eu/corsair-vengeance-schwarz-dimm-kit-64gb-cmk64gx5m2b5600c36-a2952236.html?hloc=at&amp;hloc=de&amp;hloc=eu&amp;hloc=pl&amp;hloc=uk</t>
  </si>
  <si>
    <t>Corsair Vengeance schwarz DIMM Kit 64GB, DDR5-5200, CL40-40-40-77, on-die ECC</t>
  </si>
  <si>
    <t>CMK64GX5M2B5200C40</t>
  </si>
  <si>
    <t>https://geizhals.eu/corsair-vengeance-schwarz-dimm-kit-64gb-cmk64gx5m2b5200c40-a2669284.html?hloc=at&amp;hloc=de&amp;hloc=eu&amp;hloc=pl&amp;hloc=uk</t>
  </si>
  <si>
    <t>Corsair Vengeance schwarz DIMM Kit 64GB, DDR5-4800, CL40-40-40-77, on-die ECC</t>
  </si>
  <si>
    <t>CMK64GX5M2A4800C40</t>
  </si>
  <si>
    <t>https://geizhals.eu/corsair-vengeance-schwarz-dimm-kit-128gb-cmk64gx5m2a4800c40-a2769069.html?hloc=at&amp;hloc=de&amp;hloc=eu&amp;hloc=pl&amp;hloc=uk</t>
  </si>
  <si>
    <t>Corsair Vengeance schwarz DIMM Kit 48GB, DDR5-7000, CL40-52-52-114, on-die ECC</t>
  </si>
  <si>
    <t>CMK48GX5M2B7000C40</t>
  </si>
  <si>
    <t>https://geizhals.eu/corsair-vengeance-schwarz-dimm-kit-48gb-cmk48gx5m2b7000c40-a2912196.html?hloc=at&amp;hloc=de&amp;hloc=eu&amp;hloc=pl&amp;hloc=uk</t>
  </si>
  <si>
    <t>Corsair Vengeance schwarz DIMM Kit 48GB, DDR5-6400, CL36-48-48-104, on-die ECC</t>
  </si>
  <si>
    <t>CMK48GX5M2B6400C36</t>
  </si>
  <si>
    <t>https://geizhals.eu/corsair-vengeance-schwarz-dimm-kit-48gb-cmk48gx5m2b6400c36-a2928535.html?hloc=at&amp;hloc=de&amp;hloc=eu&amp;hloc=pl&amp;hloc=uk</t>
  </si>
  <si>
    <t>Corsair Vengeance schwarz DIMM Kit 48GB, DDR5-6000, CL36-44-44-96, on-die ECC</t>
  </si>
  <si>
    <t>CMK48GX5M2E6000C36</t>
  </si>
  <si>
    <t>https://geizhals.eu/corsair-vengeance-schwarz-dimm-kit-48gb-cmk48gx5m2e6000c36-a2952256.html?hloc=at&amp;hloc=de&amp;hloc=eu&amp;hloc=pl&amp;hloc=uk</t>
  </si>
  <si>
    <t>Corsair Vengeance schwarz DIMM Kit 48GB, DDR5-6000, CL30-36-36-76, on-die ECC</t>
  </si>
  <si>
    <t>CMK48GX5M2B6000C30</t>
  </si>
  <si>
    <t>https://geizhals.eu/corsair-vengeance-schwarz-dimm-kit-48gb-cmk48gx5m2b6000c30-a3006565.html?hloc=at&amp;hloc=de&amp;hloc=eu&amp;hloc=pl&amp;hloc=uk</t>
  </si>
  <si>
    <t>Corsair Vengeance schwarz DIMM Kit 48GB, DDR5-5600, CL40-40-40-77, on-die ECC</t>
  </si>
  <si>
    <t>CMK48GX5M2B5600C40</t>
  </si>
  <si>
    <t>https://geizhals.eu/corsair-vengeance-schwarz-dimm-kit-48gb-cmk48gx5m2b5600c40-a2900586.html?hloc=at&amp;hloc=de&amp;hloc=eu&amp;hloc=pl&amp;hloc=uk</t>
  </si>
  <si>
    <t>Corsair Vengeance schwarz DIMM Kit 48GB, DDR5-5200, CL38-38-38-84, on-die ECC</t>
  </si>
  <si>
    <t>CMK48GX5M2B5200C38</t>
  </si>
  <si>
    <t>https://geizhals.eu/corsair-vengeance-schwarz-dimm-kit-48gb-cmk48gx5m2b5200c38-a2900581.html?hloc=at&amp;hloc=de&amp;hloc=eu&amp;hloc=pl&amp;hloc=uk</t>
  </si>
  <si>
    <t>Corsair Vengeance schwarz DIMM Kit 32GB, DDR5-7200, CL34-44-44-96, on-die ECC</t>
  </si>
  <si>
    <t>CMK32GX5M2X7200C34</t>
  </si>
  <si>
    <t>https://geizhals.eu/corsair-vengeance-schwarz-dimm-kit-32gb-cmk32gx5m2x7200c34-a2850568.html?hloc=at&amp;hloc=de&amp;hloc=eu&amp;hloc=pl&amp;hloc=uk</t>
  </si>
  <si>
    <t>Corsair Vengeance schwarz DIMM Kit 32GB, DDR5-7000, CL40-52-52-114, on-die ECC</t>
  </si>
  <si>
    <t>CMK32GX5M2B7000C40</t>
  </si>
  <si>
    <t>https://geizhals.eu/corsair-vengeance-schwarz-dimm-kit-32gb-cmk32gx5m2b7000c40-a2998425.html?hloc=at&amp;hloc=de&amp;hloc=eu&amp;hloc=pl&amp;hloc=uk</t>
  </si>
  <si>
    <t>Corsair Vengeance schwarz DIMM Kit 32GB, DDR5-7000, CL34-42-42-96, on-die ECC</t>
  </si>
  <si>
    <t>CMK32GX5M2X7000C34</t>
  </si>
  <si>
    <t>https://geizhals.eu/corsair-vengeance-schwarz-dimm-kit-32gb-cmk32gx5m2x7000c34-a2849414.html?hloc=at&amp;hloc=de&amp;hloc=eu&amp;hloc=pl&amp;hloc=uk</t>
  </si>
  <si>
    <t>Corsair Vengeance schwarz DIMM Kit 32GB, DDR5-6800, CL40-50-50-110, on-die ECC</t>
  </si>
  <si>
    <t>CMK32GX5M2B6800C40</t>
  </si>
  <si>
    <t>https://geizhals.eu/corsair-vengeance-schwarz-dimm-kit-32gb-cmk32gx5m2b6800c40-a2912452.html?hloc=at&amp;hloc=de&amp;hloc=eu&amp;hloc=pl&amp;hloc=uk</t>
  </si>
  <si>
    <t>Corsair Vengeance schwarz DIMM Kit 32GB, DDR5-6600, CL38-48-48-106, on-die ECC</t>
  </si>
  <si>
    <t>CMK32GX5M2B6600C38</t>
  </si>
  <si>
    <t>https://geizhals.eu/corsair-vengeance-schwarz-dimm-kit-32gb-cmk32gx5m2b6600c38-a2952138.html?hloc=at&amp;hloc=de&amp;hloc=eu&amp;hloc=pl&amp;hloc=uk</t>
  </si>
  <si>
    <t>Corsair Vengeance schwarz DIMM Kit 32GB, DDR5-6400, CL36-48-48-104, on-die ECC</t>
  </si>
  <si>
    <t>CMK32GX5M2B6400C36</t>
  </si>
  <si>
    <t>https://geizhals.eu/corsair-vengeance-schwarz-dimm-kit-32gb-cmk32gx5m2b6400c36-a2912446.html?hloc=at&amp;hloc=de&amp;hloc=eu&amp;hloc=pl&amp;hloc=uk</t>
  </si>
  <si>
    <t>Corsair Vengeance schwarz DIMM Kit 32GB, DDR5-6400, CL32-40-40-84, on-die ECC</t>
  </si>
  <si>
    <t>CMK32GX5M2B6400C32</t>
  </si>
  <si>
    <t>https://geizhals.eu/corsair-vengeance-schwarz-dimm-kit-32gb-cmk32gx5m2b6400c32-a2866111.html?hloc=at&amp;hloc=de&amp;hloc=eu&amp;hloc=pl&amp;hloc=uk</t>
  </si>
  <si>
    <t>Corsair Vengeance schwarz DIMM Kit 32GB, DDR5-6200, CL36-46-46-100, on-die ECC</t>
  </si>
  <si>
    <t>CMK32GX5M2E6200C36</t>
  </si>
  <si>
    <t>https://geizhals.eu/corsair-vengeance-schwarz-dimm-kit-32gb-cmk32gx5m2e6200c36-a2930139.html?hloc=at&amp;hloc=de&amp;hloc=eu&amp;hloc=pl&amp;hloc=uk</t>
  </si>
  <si>
    <t>Corsair Vengeance schwarz DIMM Kit 32GB, DDR5-6200, CL36-39-39-76, on-die ECC</t>
  </si>
  <si>
    <t>CMK32GX5M2B6200C36</t>
  </si>
  <si>
    <t>https://geizhals.eu/corsair-vengeance-schwarz-dimm-kit-32gb-cmk32gx5m2b6200c36-a2747360.html?hloc=at&amp;hloc=de&amp;hloc=eu&amp;hloc=pl&amp;hloc=uk</t>
  </si>
  <si>
    <t>Corsair Vengeance schwarz DIMM Kit 32GB, DDR5-6200, CL32-38-38-80, on-die ECC</t>
  </si>
  <si>
    <t>CMK32GX5M2X6200C32</t>
  </si>
  <si>
    <t>https://geizhals.eu/corsair-vengeance-schwarz-dimm-kit-32gb-cmk32gx5m2x6200c32-a3001908.html?hloc=at&amp;hloc=de&amp;hloc=eu&amp;hloc=pl&amp;hloc=uk</t>
  </si>
  <si>
    <t>Corsair Vengeance schwarz DIMM Kit 32GB, DDR5-6000, CL40-40-40-77, on-die ECC</t>
  </si>
  <si>
    <t>CMK32GX5M2B6000C40</t>
  </si>
  <si>
    <t>https://geizhals.eu/corsair-vengeance-schwarz-dimm-kit-32gb-cmk32gx5m2b6000c40-a2769076.html?hloc=at&amp;hloc=de&amp;hloc=eu&amp;hloc=pl&amp;hloc=uk</t>
  </si>
  <si>
    <t>Corsair Vengeance schwarz DIMM Kit 32GB, DDR5-6000, CL38-44-44-96, on-die ECC</t>
  </si>
  <si>
    <t>CMK32GX5M2B6000C38</t>
  </si>
  <si>
    <t>https://geizhals.eu/corsair-vengeance-schwarz-dimm-kit-32gb-cmk32gx5m2b6000c38-a3123364.html?hloc=at&amp;hloc=de&amp;hloc=eu&amp;hloc=pl&amp;hloc=uk</t>
  </si>
  <si>
    <t>Corsair Vengeance schwarz DIMM Kit 32GB, DDR5-6000, CL36-44-44-96, on-die ECC</t>
  </si>
  <si>
    <t>CMK32GX5M2E6000C36</t>
  </si>
  <si>
    <t>https://geizhals.eu/corsair-vengeance-schwarz-dimm-kit-32gb-cmk32gx5m2e6000c36-a2930132.html?hloc=at&amp;hloc=de&amp;hloc=eu&amp;hloc=pl&amp;hloc=uk</t>
  </si>
  <si>
    <t>Corsair Vengeance schwarz DIMM Kit 32GB, DDR5-6000, CL36-38-38-76, on-die ECC</t>
  </si>
  <si>
    <t>CMK32GX5M2B6000C36</t>
  </si>
  <si>
    <t>https://geizhals.eu/corsair-vengeance-schwarz-dimm-kit-32gb-cmk32gx5m2b6000c36-a2736607.html?hloc=at&amp;hloc=de&amp;hloc=eu&amp;hloc=pl&amp;hloc=uk</t>
  </si>
  <si>
    <t>Corsair Vengeance schwarz DIMM Kit 32GB, DDR5-6000, CL36-36-36-76, on-die ECC</t>
  </si>
  <si>
    <t>CMK32GX5M2D6000C36</t>
  </si>
  <si>
    <t>https://geizhals.eu/corsair-vengeance-schwarz-dimm-kit-32gb-cmk32gx5m2d6000c36-a2736622.html?hloc=at&amp;hloc=de&amp;hloc=eu&amp;hloc=pl&amp;hloc=uk</t>
  </si>
  <si>
    <t>Corsair Vengeance schwarz DIMM Kit 32GB, DDR5-6000, CL30-36-36-76, on-die ECC</t>
  </si>
  <si>
    <t>CMK32GX5M2B6000C30</t>
  </si>
  <si>
    <t>https://geizhals.eu/corsair-vengeance-schwarz-dimm-kit-32gb-cmk32gx5m2b6000c30-a2951609.html?hloc=at&amp;hloc=de&amp;hloc=eu&amp;hloc=pl&amp;hloc=uk</t>
  </si>
  <si>
    <t>Corsair Vengeance schwarz DIMM Kit 32GB, DDR5-6000, CL28-36-36-96, on-die ECC</t>
  </si>
  <si>
    <t>CMK32GX5M2B6000C28</t>
  </si>
  <si>
    <t>https://geizhals.eu/corsair-vengeance-schwarz-dimm-kit-32gb-cmk32gx5m2b6000c28-a3323767.html?hloc=at&amp;hloc=de&amp;hloc=eu&amp;hloc=pl&amp;hloc=uk</t>
  </si>
  <si>
    <t>Corsair Vengeance schwarz DIMM Kit 32GB, DDR5-5600, CL40-40-40-77, on-die ECC</t>
  </si>
  <si>
    <t>CMK32GX5M2B5600C40</t>
  </si>
  <si>
    <t>https://geizhals.eu/corsair-vengeance-schwarz-dimm-kit-32gb-cmk32gx5m2b5600c40-a3026647.html?hloc=at&amp;hloc=de&amp;hloc=eu&amp;hloc=pl&amp;hloc=uk</t>
  </si>
  <si>
    <t>Corsair Vengeance schwarz DIMM Kit 32GB, DDR5-5600, CL36-36-36-76, on-die ECC</t>
  </si>
  <si>
    <t>CMK32GX5M2B5600C36</t>
  </si>
  <si>
    <t>https://geizhals.eu/corsair-vengeance-schwarz-dimm-kit-32gb-cmk32gx5m2b5600c36-a2659482.html?hloc=at&amp;hloc=de&amp;hloc=eu&amp;hloc=pl&amp;hloc=uk</t>
  </si>
  <si>
    <t>Corsair Vengeance schwarz DIMM Kit 32GB, DDR5-5200, CL40-40-40-77, on-die ECC</t>
  </si>
  <si>
    <t>CMK32GX5M2B5200C40</t>
  </si>
  <si>
    <t>https://geizhals.eu/corsair-vengeance-schwarz-dimm-kit-32gb-cmk32gx5m2b5200c40-a2657557.html?hloc=at&amp;hloc=de&amp;hloc=eu&amp;hloc=pl&amp;hloc=uk</t>
  </si>
  <si>
    <t>Corsair Vengeance schwarz DIMM Kit 32GB, DDR5-4800, CL40-40-40-77, on-die ECC</t>
  </si>
  <si>
    <t>CMK32GX5M2A4800C40</t>
  </si>
  <si>
    <t>https://geizhals.eu/corsair-vengeance-schwarz-dimm-kit-32gb-cmk32gx5m2a4800c40-a2657551.html?hloc=at&amp;hloc=de&amp;hloc=eu&amp;hloc=pl&amp;hloc=uk</t>
  </si>
  <si>
    <t>Corsair Vengeance schwarz DIMM Kit 16GB, DDR5-5200, CL40-40-40-77, on-die ECC</t>
  </si>
  <si>
    <t>CMK16GX5M2B5200C40</t>
  </si>
  <si>
    <t>https://geizhals.eu/corsair-vengeance-schwarz-dimm-kit-16gb-cmk16gx5m2b5200c40-a2925768.html?hloc=at&amp;hloc=de&amp;hloc=eu&amp;hloc=pl&amp;hloc=uk</t>
  </si>
  <si>
    <t>Corsair Vengeance schwarz DIMM 32GB, DDR5-5600, CL40-40-40-77, on-die ECC</t>
  </si>
  <si>
    <t>CMK32GX5M1B5600C40</t>
  </si>
  <si>
    <t>https://geizhals.eu/corsair-vengeance-schwarz-dimm-32gb-cmk32gx5m1b5600c40-a3381298.html?hloc=at&amp;hloc=de&amp;hloc=eu&amp;hloc=pl&amp;hloc=uk</t>
  </si>
  <si>
    <t>Corsair Vengeance schwarz DIMM 16GB, DDR5-5200, CL40-40-40-77, on-die ECC</t>
  </si>
  <si>
    <t>CMK16GX5M1B5200C40</t>
  </si>
  <si>
    <t>https://geizhals.eu/corsair-vengeance-schwarz-dimm-16gb-cmk16gx5m1b5200c40-a2866131.html?hloc=at&amp;hloc=de&amp;hloc=eu&amp;hloc=pl&amp;hloc=uk</t>
  </si>
  <si>
    <t>Corsair Vengeance RGB weiß DIMM Kit 64GB, DDR5-6400, CL32-40-40-84, on-die ECC</t>
  </si>
  <si>
    <t>CMH64GX5M2B6400C32W</t>
  </si>
  <si>
    <t>RGB, Multi-Zone, 10 LED, Corsair iCUE, Gigabyte RGB Fusion, MSI Mystic Light Sync</t>
  </si>
  <si>
    <t>https://geizhals.eu/corsair-vengeance-rgb-weiss-dimm-kit-64gb-cmh64gx5m2b6400c32w-a3209346.html?hloc=at&amp;hloc=de&amp;hloc=eu&amp;hloc=pl&amp;hloc=uk</t>
  </si>
  <si>
    <t>Corsair Vengeance RGB weiß DIMM Kit 64GB, DDR5-6000, CL40-40-40-77, on-die ECC</t>
  </si>
  <si>
    <t>CMH64GX5M2B6000C40W</t>
  </si>
  <si>
    <t>https://geizhals.eu/corsair-vengeance-rgb-weiss-dimm-kit-64gb-cmh64gx5m2b6000c40w-a2952149.html?hloc=at&amp;hloc=de&amp;hloc=eu&amp;hloc=pl&amp;hloc=uk</t>
  </si>
  <si>
    <t>Corsair Vengeance RGB weiß DIMM Kit 64GB, DDR5-6000, CL30-36-36-76, on-die ECC</t>
  </si>
  <si>
    <t>CMH64GX5M2B6000Z30W</t>
  </si>
  <si>
    <t>https://geizhals.eu/corsair-vengeance-rgb-weiss-dimm-kit-64gb-cmh64gx5m2b6000z30w-a3374070.html?hloc=at&amp;hloc=de&amp;hloc=eu&amp;hloc=pl&amp;hloc=uk</t>
  </si>
  <si>
    <t>CMH64GX5M2B6000C30W</t>
  </si>
  <si>
    <t>https://geizhals.eu/corsair-vengeance-rgb-weiss-dimm-kit-64gb-cmh64gx5m2b6000c30w-a2952192.html?hloc=at&amp;hloc=de&amp;hloc=eu&amp;hloc=pl&amp;hloc=uk</t>
  </si>
  <si>
    <t>Corsair Vengeance RGB weiß DIMM Kit 64GB, DDR5-5600, CL40-40-40-77, on-die ECC</t>
  </si>
  <si>
    <t>CMH64GX5M2B5600C40W</t>
  </si>
  <si>
    <t>https://geizhals.eu/corsair-vengeance-rgb-weiss-dimm-kit-64gb-cmh64gx5m2b5600c40w-a2952224.html?hloc=at&amp;hloc=de&amp;hloc=eu&amp;hloc=pl&amp;hloc=uk</t>
  </si>
  <si>
    <t>Corsair Vengeance RGB weiß DIMM Kit 64GB, DDR5-5200, CL40-40-40-77, on-die ECC</t>
  </si>
  <si>
    <t>CMH64GX5M2B5200C40W</t>
  </si>
  <si>
    <t>https://geizhals.eu/corsair-vengeance-rgb-weiss-dimm-kit-64gb-cmh64gx5m2b5200c40w-a2817411.html?hloc=at&amp;hloc=de&amp;hloc=eu&amp;hloc=pl&amp;hloc=uk</t>
  </si>
  <si>
    <t>Corsair Vengeance RGB weiß DIMM Kit 32GB, DDR5-6400, CL36-48-48-104, on-die ECC</t>
  </si>
  <si>
    <t>CMH32GX5M2B6400C36W</t>
  </si>
  <si>
    <t>https://geizhals.eu/corsair-vengeance-rgb-weiss-dimm-kit-32gb-cmh32gx5m2b6400c36w-a2952298.html?hloc=at&amp;hloc=de&amp;hloc=eu&amp;hloc=pl&amp;hloc=uk</t>
  </si>
  <si>
    <t>Corsair Vengeance RGB weiß DIMM Kit 32GB, DDR5-6400, CL32-40-40-84, on-die ECC</t>
  </si>
  <si>
    <t>CMH32GX5M2B6400C32W</t>
  </si>
  <si>
    <t>https://geizhals.eu/corsair-vengeance-rgb-weiss-dimm-kit-32gb-cmh32gx5m2b6400c32w-a2952327.html?hloc=at&amp;hloc=de&amp;hloc=eu&amp;hloc=pl&amp;hloc=uk</t>
  </si>
  <si>
    <t>Corsair Vengeance RGB weiß DIMM Kit 32GB, DDR5-6200, CL36-39-39-76, on-die ECC</t>
  </si>
  <si>
    <t>CMH32GX5M2B6200C36W</t>
  </si>
  <si>
    <t>https://geizhals.eu/corsair-vengeance-rgb-weiss-dimm-kit-32gb-cmh32gx5m2b6200c36w-a2770832.html?hloc=at&amp;hloc=de&amp;hloc=eu&amp;hloc=pl&amp;hloc=uk</t>
  </si>
  <si>
    <t>Corsair Vengeance RGB weiß DIMM Kit 32GB, DDR5-6000, CL40-40-40-77, on-die ECC</t>
  </si>
  <si>
    <t>CMH32GX5M2B6000C40W</t>
  </si>
  <si>
    <t>https://geizhals.eu/corsair-vengeance-rgb-weiss-dimm-kit-32gb-cmh32gx5m2b6000c40w-a2770830.html?hloc=at&amp;hloc=de&amp;hloc=eu&amp;hloc=pl&amp;hloc=uk</t>
  </si>
  <si>
    <t>Corsair Vengeance RGB weiß DIMM Kit 32GB, DDR5-6000, CL36-44-44-96, on-die ECC</t>
  </si>
  <si>
    <t>CMH32GX5M2E6000Z36W</t>
  </si>
  <si>
    <t>https://geizhals.eu/corsair-vengeance-rgb-weiss-dimm-kit-32gb-cmh32gx5m2e6000z36w-a3374074.html?hloc=at&amp;hloc=de&amp;hloc=eu&amp;hloc=pl&amp;hloc=uk</t>
  </si>
  <si>
    <t>CMH32GX5M2E6000C36W</t>
  </si>
  <si>
    <t>https://geizhals.eu/corsair-vengeance-rgb-weiss-dimm-kit-32gb-cmh32gx5m2e6000c36w-a2999684.html?hloc=at&amp;hloc=de&amp;hloc=eu&amp;hloc=pl&amp;hloc=uk</t>
  </si>
  <si>
    <t>Corsair Vengeance RGB weiß DIMM Kit 32GB, DDR5-6000, CL36-38-38-76, on-die ECC</t>
  </si>
  <si>
    <t>CMH32GX5M2B6000C36W</t>
  </si>
  <si>
    <t>https://geizhals.eu/corsair-vengeance-rgb-weiss-dimm-kit-32gb-cmh32gx5m2b6000c36w-a2999027.html?hloc=at&amp;hloc=de&amp;hloc=eu&amp;hloc=pl&amp;hloc=uk</t>
  </si>
  <si>
    <t>Corsair Vengeance RGB weiß DIMM Kit 32GB, DDR5-6000, CL36-36-36-76, on-die ECC</t>
  </si>
  <si>
    <t>CMH32GX5M2D6000C36W</t>
  </si>
  <si>
    <t>https://geizhals.eu/corsair-vengeance-rgb-weiss-dimm-kit-32gb-cmh32gx5m2d6000c36w-a2776555.html?hloc=at&amp;hloc=de&amp;hloc=eu&amp;hloc=pl&amp;hloc=uk</t>
  </si>
  <si>
    <t>Corsair Vengeance RGB weiß DIMM Kit 32GB, DDR5-6000, CL30-36-36-76, on-die ECC</t>
  </si>
  <si>
    <t>CMH32GX5M2B6000Z30W</t>
  </si>
  <si>
    <t>https://geizhals.eu/corsair-vengeance-rgb-weiss-dimm-kit-32gb-cmh32gx5m2b6000z30w-a3374073.html?hloc=at&amp;hloc=de&amp;hloc=eu&amp;hloc=pl&amp;hloc=uk</t>
  </si>
  <si>
    <t>CMH32GX5M2B6000C30W</t>
  </si>
  <si>
    <t>https://geizhals.eu/corsair-vengeance-rgb-weiss-dimm-kit-32gb-cmh32gx5m2b6000c30w-a3000831.html?hloc=at&amp;hloc=de&amp;hloc=eu&amp;hloc=pl&amp;hloc=uk</t>
  </si>
  <si>
    <t>Corsair Vengeance RGB weiß DIMM Kit 32GB, DDR5-5600, CL40-40-40-77, on-die ECC</t>
  </si>
  <si>
    <t>CMH32GX5M2B5600C40W</t>
  </si>
  <si>
    <t>https://geizhals.eu/corsair-vengeance-rgb-weiss-dimm-kit-32gb-cmh32gx5m2b5600c40w-a2770826.html?hloc=at&amp;hloc=de&amp;hloc=eu&amp;hloc=pl&amp;hloc=uk</t>
  </si>
  <si>
    <t>Corsair Vengeance RGB weiß DIMM Kit 32GB, DDR5-5200, CL40-40-40-77, on-die ECC</t>
  </si>
  <si>
    <t>CMH32GX5M2B5200C40W</t>
  </si>
  <si>
    <t>https://geizhals.eu/corsair-vengeance-rgb-weiss-dimm-kit-32gb-cmh32gx5m2b5200c40w-a2770820.html?hloc=at&amp;hloc=de&amp;hloc=eu&amp;hloc=pl&amp;hloc=uk</t>
  </si>
  <si>
    <t>Corsair Vengeance RGB silber CUDIMM Kit 48GB, DDR5-8400, CL40-52-52-135, on-die ECC, CKD</t>
  </si>
  <si>
    <t>CMHC48GX5M2X8400C40</t>
  </si>
  <si>
    <t>https://geizhals.eu/corsair-vengeance-rgb-silber-cudimm-kit-48gb-cmhc48gx5m2x8400c40-a3360985.html?hloc=at&amp;hloc=de&amp;hloc=eu&amp;hloc=pl&amp;hloc=uk</t>
  </si>
  <si>
    <t>Corsair Vengeance RGB silber CUDIMM Kit 48GB, DDR5-8200, CL40-52-52-132, on-die ECC, CKD</t>
  </si>
  <si>
    <t>CMHC48GX5M2X8200C40</t>
  </si>
  <si>
    <t>https://geizhals.eu/corsair-vengeance-rgb-silber-cudimm-kit-48gb-cmhc48gx5m2x8200c40-a3360980.html?hloc=at&amp;hloc=de&amp;hloc=eu&amp;hloc=pl&amp;hloc=uk</t>
  </si>
  <si>
    <t>Corsair Vengeance RGB silber CUDIMM Kit 48GB, DDR5-8000, CL38-50-50-128, on-die ECC, CKD</t>
  </si>
  <si>
    <t>CMHC48GX5M2X8000C38</t>
  </si>
  <si>
    <t>https://geizhals.eu/corsair-vengeance-rgb-silber-cudimm-kit-48gb-cmhc48gx5m2x8000c38-a3360987.html?hloc=at&amp;hloc=de&amp;hloc=eu&amp;hloc=pl&amp;hloc=uk</t>
  </si>
  <si>
    <t>Corsair Vengeance RGB schwarz DIMM Kit 192GB, DDR5-5200, CL38-38-38-84, on-die ECC</t>
  </si>
  <si>
    <t>CMH192GX5M4B5200C38</t>
  </si>
  <si>
    <t>https://geizhals.eu/corsair-vengeance-rgb-schwarz-dimm-kit-192gb-cmh192gx5m4b5200c38-a2912444.html?hloc=at&amp;hloc=de&amp;hloc=eu&amp;hloc=pl&amp;hloc=uk</t>
  </si>
  <si>
    <t>Corsair Vengeance RGB schwarz DIMM Kit 128GB, DDR5-5600, CL40-40-40-77, on-die ECC</t>
  </si>
  <si>
    <t>CMH128GX5M4B5600C40</t>
  </si>
  <si>
    <t>https://geizhals.eu/corsair-vengeance-rgb-schwarz-dimm-kit-128gb-cmh128gx5m4b5600c40-a3006607.html?hloc=at&amp;hloc=de&amp;hloc=eu&amp;hloc=pl&amp;hloc=uk</t>
  </si>
  <si>
    <t>Corsair Vengeance RGB schwarz DIMM Kit 96GB, DDR5-7200, CL40-54-54-116, on-die ECC</t>
  </si>
  <si>
    <t>CMH96GX5M2B7200C40</t>
  </si>
  <si>
    <t>https://geizhals.eu/corsair-vengeance-rgb-schwarz-dimm-kit-96gb-cmh96gx5m2b7200c40-a3381222.html?hloc=at&amp;hloc=de&amp;hloc=eu&amp;hloc=pl&amp;hloc=uk</t>
  </si>
  <si>
    <t>Corsair Vengeance RGB schwarz DIMM Kit 96GB, DDR5-7000, CL40-52-52-114, on-die ECC</t>
  </si>
  <si>
    <t>CMH96GX5M2B7000C40</t>
  </si>
  <si>
    <t>https://geizhals.eu/corsair-vengeance-rgb-schwarz-dimm-kit-96gb-cmh96gx5m2b7000c40-a3286607.html?hloc=at&amp;hloc=de&amp;hloc=eu&amp;hloc=pl&amp;hloc=uk</t>
  </si>
  <si>
    <t>Corsair Vengeance RGB schwarz DIMM Kit 96GB, DDR5-6800, CL40-50-50-110, on-die ECC</t>
  </si>
  <si>
    <t>CMH96GX5M2B6800C40</t>
  </si>
  <si>
    <t>https://geizhals.eu/corsair-vengeance-rgb-schwarz-dimm-kit-96gb-cmh96gx5m2b6800c40-a2999915.html?hloc=at&amp;hloc=de&amp;hloc=eu&amp;hloc=pl&amp;hloc=uk</t>
  </si>
  <si>
    <t>Corsair Vengeance RGB schwarz DIMM Kit 96GB, DDR5-6600, CL32-39-39-76, on-die ECC</t>
  </si>
  <si>
    <t>CMH96GX5M2B6600C32</t>
  </si>
  <si>
    <t>https://geizhals.eu/corsair-vengeance-rgb-schwarz-dimm-kit-96gb-cmh96gx5m2b6600c32-a2999913.html?hloc=at&amp;hloc=de&amp;hloc=eu&amp;hloc=pl&amp;hloc=uk</t>
  </si>
  <si>
    <t>Corsair Vengeance RGB schwarz DIMM Kit 96GB, DDR5-6400, CL32-40-40-84, on-die ECC</t>
  </si>
  <si>
    <t>CMH96GX5M4B6400C32</t>
  </si>
  <si>
    <t>https://geizhals.eu/corsair-vengeance-rgb-schwarz-dimm-kit-96gb-cmh96gx5m4b6400c32-a3148925.html?hloc=at&amp;hloc=de&amp;hloc=eu&amp;hloc=pl&amp;hloc=uk</t>
  </si>
  <si>
    <t>CMH96GX5M2B6400C32</t>
  </si>
  <si>
    <t>https://geizhals.eu/corsair-vengeance-rgb-schwarz-dimm-kit-96gb-cmh96gx5m2b6400c32-a2952287.html?hloc=at&amp;hloc=de&amp;hloc=eu&amp;hloc=pl&amp;hloc=uk</t>
  </si>
  <si>
    <t>Corsair Vengeance RGB schwarz DIMM Kit 96GB, DDR5-6000, CL30-36-36-76, on-die ECC</t>
  </si>
  <si>
    <t>CMH96GX5M4B6000C30</t>
  </si>
  <si>
    <t>https://geizhals.eu/corsair-vengeance-rgb-schwarz-dimm-kit-96gb-cmh96gx5m4b6000c30-a3006644.html?hloc=at&amp;hloc=de&amp;hloc=eu&amp;hloc=pl&amp;hloc=uk</t>
  </si>
  <si>
    <t>CMH96GX5M2B6000C30</t>
  </si>
  <si>
    <t>https://geizhals.eu/corsair-vengeance-rgb-schwarz-dimm-kit-96gb-cmh96gx5m2b6000c30-a2999912.html?hloc=at&amp;hloc=de&amp;hloc=eu&amp;hloc=pl&amp;hloc=uk</t>
  </si>
  <si>
    <t>Corsair Vengeance RGB schwarz DIMM Kit 96GB, DDR5-5600, CL40-40-40-77, on-die ECC</t>
  </si>
  <si>
    <t>CMH96GX5M4B5600C40</t>
  </si>
  <si>
    <t>https://geizhals.eu/corsair-vengeance-rgb-schwarz-dimm-kit-96gb-cmh96gx5m4b5600c40-a2998397.html?hloc=at&amp;hloc=de&amp;hloc=eu&amp;hloc=pl&amp;hloc=uk</t>
  </si>
  <si>
    <t>CMH96GX5M2B5600C40</t>
  </si>
  <si>
    <t>https://geizhals.eu/corsair-vengeance-rgb-schwarz-dimm-kit-96gb-cmh96gx5m2b5600c40-a2900559.html?hloc=at&amp;hloc=de&amp;hloc=eu&amp;hloc=pl&amp;hloc=uk</t>
  </si>
  <si>
    <t>Corsair Vengeance RGB schwarz DIMM Kit 96GB, DDR5-5200, CL38-38-38-84, on-die ECC</t>
  </si>
  <si>
    <t>CMH96GX5M2B5200C38</t>
  </si>
  <si>
    <t>https://geizhals.eu/corsair-vengeance-rgb-schwarz-dimm-kit-96gb-cmh96gx5m2b5200c38-a2900563.html?hloc=at&amp;hloc=de&amp;hloc=eu&amp;hloc=pl&amp;hloc=uk</t>
  </si>
  <si>
    <t>Corsair Vengeance RGB schwarz DIMM Kit 64GB, DDR5-6600, CL32-39-39-76, on-die ECC</t>
  </si>
  <si>
    <t>CMH64GX5M4B6600C32</t>
  </si>
  <si>
    <t>https://geizhals.eu/corsair-vengeance-rgb-schwarz-dimm-kit-64gb-cmh64gx5m4b6600c32-a2900746.html?hloc=at&amp;hloc=de&amp;hloc=eu&amp;hloc=pl&amp;hloc=uk</t>
  </si>
  <si>
    <t>CMH64GX5M2B6600C32</t>
  </si>
  <si>
    <t>https://geizhals.eu/corsair-vengeance-rgb-schwarz-dimm-kit-64gb-cmh64gx5m2b6600c32-a2941674.html?hloc=at&amp;hloc=de&amp;hloc=eu&amp;hloc=pl&amp;hloc=uk</t>
  </si>
  <si>
    <t>Corsair Vengeance RGB schwarz DIMM Kit 64GB, DDR5-6400, CL32-40-40-84, on-die ECC</t>
  </si>
  <si>
    <t>CMH64GX5M4B6400C32</t>
  </si>
  <si>
    <t>https://geizhals.eu/corsair-vengeance-rgb-schwarz-dimm-kit-64gb-cmh64gx5m4b6400c32-a2900743.html?hloc=at&amp;hloc=de&amp;hloc=eu&amp;hloc=pl&amp;hloc=uk</t>
  </si>
  <si>
    <t>CMH64GX5M2B6400C32</t>
  </si>
  <si>
    <t>https://geizhals.eu/corsair-vengeance-rgb-schwarz-dimm-kit-64gb-cmh64gx5m2b6400c32-a2928541.html?hloc=at&amp;hloc=de&amp;hloc=eu&amp;hloc=pl&amp;hloc=uk</t>
  </si>
  <si>
    <t>Corsair Vengeance RGB schwarz DIMM Kit 64GB, DDR5-6200, CL32-38-38-80, on-die ECC</t>
  </si>
  <si>
    <t>CMH64GX5M4B6200C32</t>
  </si>
  <si>
    <t>https://geizhals.eu/corsair-vengeance-rgb-schwarz-dimm-kit-64gb-cmh64gx5m4b6200c32-a2900740.html?hloc=at&amp;hloc=de&amp;hloc=eu&amp;hloc=pl&amp;hloc=uk</t>
  </si>
  <si>
    <t>CMH64GX5M2B6200C32</t>
  </si>
  <si>
    <t>https://geizhals.eu/corsair-vengeance-rgb-schwarz-dimm-kit-64gb-cmh64gx5m2b6200c32-a2998410.html?hloc=at&amp;hloc=de&amp;hloc=eu&amp;hloc=pl&amp;hloc=uk</t>
  </si>
  <si>
    <t>Corsair Vengeance RGB schwarz DIMM Kit 64GB, DDR5-6000, CL40-40-40-77, on-die ECC</t>
  </si>
  <si>
    <t>CMH64GX5M2B6000C40</t>
  </si>
  <si>
    <t>https://geizhals.eu/corsair-vengeance-rgb-schwarz-dimm-kit-64gb-cmh64gx5m2b6000c40-a2852985.html?hloc=at&amp;hloc=de&amp;hloc=eu&amp;hloc=pl&amp;hloc=uk</t>
  </si>
  <si>
    <t>Corsair Vengeance RGB schwarz DIMM Kit 64GB, DDR5-6000, CL38-44-44-96, on-die ECC</t>
  </si>
  <si>
    <t>CMH64GX5M2B6000C38</t>
  </si>
  <si>
    <t>https://geizhals.eu/corsair-vengeance-rgb-schwarz-dimm-kit-64gb-cmh64gx5m2b6000c38-a3123355.html?hloc=at&amp;hloc=de&amp;hloc=eu&amp;hloc=pl&amp;hloc=uk</t>
  </si>
  <si>
    <t>Corsair Vengeance RGB schwarz DIMM Kit 64GB, DDR5-6000, CL36-36-36-76, on-die ECC</t>
  </si>
  <si>
    <t>CMH64GX5M4B6000C36</t>
  </si>
  <si>
    <t>https://geizhals.eu/corsair-vengeance-rgb-schwarz-dimm-kit-64gb-cmh64gx5m4b6000c36-a2998416.html?hloc=at&amp;hloc=de&amp;hloc=eu&amp;hloc=pl&amp;hloc=uk</t>
  </si>
  <si>
    <t>Corsair Vengeance RGB schwarz DIMM Kit 64GB, DDR5-6000, CL30-36-36-76, on-die ECC</t>
  </si>
  <si>
    <t>CMH64GX5M2B6000C30</t>
  </si>
  <si>
    <t>https://geizhals.eu/corsair-vengeance-rgb-schwarz-dimm-kit-64gb-cmh64gx5m2b6000c30-a2952188.html?hloc=at&amp;hloc=de&amp;hloc=eu&amp;hloc=pl&amp;hloc=uk</t>
  </si>
  <si>
    <t>Corsair Vengeance RGB schwarz DIMM Kit 64GB, DDR5-5600, CL40-40-40-77, on-die ECC</t>
  </si>
  <si>
    <t>CMH64GX5M2B5600C40</t>
  </si>
  <si>
    <t>https://geizhals.eu/corsair-vengeance-rgb-schwarz-dimm-kit-64gb-cmh64gx5m2b5600c40-a2952223.html?hloc=at&amp;hloc=de&amp;hloc=eu&amp;hloc=pl&amp;hloc=uk</t>
  </si>
  <si>
    <t>Corsair Vengeance RGB schwarz DIMM Kit 64GB, DDR5-5600, CL36-36-36-76, on-die ECC</t>
  </si>
  <si>
    <t>CMH64GX5M4B5600C36</t>
  </si>
  <si>
    <t>https://geizhals.eu/corsair-vengeance-rgb-schwarz-dimm-kit-64gb-cmh64gx5m4b5600c36-a2844675.html?hloc=at&amp;hloc=de&amp;hloc=eu&amp;hloc=pl&amp;hloc=uk</t>
  </si>
  <si>
    <t>CMH64GX5M2B5600C36</t>
  </si>
  <si>
    <t>https://geizhals.eu/corsair-vengeance-rgb-schwarz-dimm-kit-64gb-cmh64gx5m2b5600c36-a2817417.html?hloc=at&amp;hloc=de&amp;hloc=eu&amp;hloc=pl&amp;hloc=uk</t>
  </si>
  <si>
    <t>Corsair Vengeance RGB schwarz DIMM Kit 64GB, DDR5-5200, CL40-40-40-77, on-die ECC</t>
  </si>
  <si>
    <t>CMH64GX5M2B5200C40</t>
  </si>
  <si>
    <t>https://geizhals.eu/corsair-vengeance-rgb-schwarz-dimm-kit-64gb-cmh64gx5m2b5200c40-a2817412.html?hloc=at&amp;hloc=de&amp;hloc=eu&amp;hloc=pl&amp;hloc=uk</t>
  </si>
  <si>
    <t>Corsair Vengeance RGB schwarz DIMM Kit 48GB, DDR5-7200, CL36-46-46-116, on-die ECC</t>
  </si>
  <si>
    <t>CMH48GX5M2B7200C36</t>
  </si>
  <si>
    <t>https://geizhals.eu/corsair-vengeance-rgb-schwarz-dimm-kit-48gb-cmh48gx5m2b7200c36-a2998435.html?hloc=at&amp;hloc=de&amp;hloc=eu&amp;hloc=pl&amp;hloc=uk</t>
  </si>
  <si>
    <t>Corsair Vengeance RGB schwarz DIMM Kit 48GB, DDR5-7000, CL40-52-52-114, on-die ECC</t>
  </si>
  <si>
    <t>CMH48GX5M2B7000C40</t>
  </si>
  <si>
    <t>https://geizhals.eu/corsair-vengeance-rgb-schwarz-dimm-kit-48gb-cmh48gx5m2b7000c40-a2912200.html?hloc=at&amp;hloc=de&amp;hloc=eu&amp;hloc=pl&amp;hloc=uk</t>
  </si>
  <si>
    <t>Corsair Vengeance RGB schwarz DIMM Kit 48GB, DDR5-7000, CL36-44-44-114, on-die ECC</t>
  </si>
  <si>
    <t>CMH48GX5M2B7000C36</t>
  </si>
  <si>
    <t>https://geizhals.eu/corsair-vengeance-rgb-schwarz-dimm-kit-48gb-cmh48gx5m2b7000c36-a2998440.html?hloc=at&amp;hloc=de&amp;hloc=eu&amp;hloc=pl&amp;hloc=uk</t>
  </si>
  <si>
    <t>Corsair Vengeance RGB schwarz DIMM Kit 48GB, DDR5-6400, CL36-48-48-104, on-die ECC</t>
  </si>
  <si>
    <t>CMH48GX5M2B6400C36</t>
  </si>
  <si>
    <t>https://geizhals.eu/corsair-vengeance-rgb-schwarz-dimm-kit-48gb-cmh48gx5m2b6400c36-a2928538.html?hloc=at&amp;hloc=de&amp;hloc=eu&amp;hloc=pl&amp;hloc=uk</t>
  </si>
  <si>
    <t>Corsair Vengeance RGB schwarz DIMM Kit 48GB, DDR5-6000, CL36-44-44-96, on-die ECC</t>
  </si>
  <si>
    <t>CMH48GX5M2E6000C36</t>
  </si>
  <si>
    <t>https://geizhals.eu/corsair-vengeance-rgb-schwarz-dimm-kit-48gb-cmh48gx5m2e6000c36-a2952253.html?hloc=at&amp;hloc=de&amp;hloc=eu&amp;hloc=pl&amp;hloc=uk</t>
  </si>
  <si>
    <t>Corsair Vengeance RGB schwarz DIMM Kit 48GB, DDR5-6000, CL30-36-36-76, on-die ECC</t>
  </si>
  <si>
    <t>CMH48GX5M2B6000C30</t>
  </si>
  <si>
    <t>https://geizhals.eu/corsair-vengeance-rgb-schwarz-dimm-kit-48gb-cmh48gx5m2b6000c30-a2999914.html?hloc=at&amp;hloc=de&amp;hloc=eu&amp;hloc=pl&amp;hloc=uk</t>
  </si>
  <si>
    <t>Corsair Vengeance RGB schwarz DIMM Kit 48GB, DDR5-5600, CL40-40-40-77, on-die ECC</t>
  </si>
  <si>
    <t>CMH48GX5M2B5600C40</t>
  </si>
  <si>
    <t>https://geizhals.eu/corsair-vengeance-rgb-schwarz-dimm-kit-48gb-cmh48gx5m2b5600c40-a2900569.html?hloc=at&amp;hloc=de&amp;hloc=eu&amp;hloc=pl&amp;hloc=uk</t>
  </si>
  <si>
    <t>Corsair Vengeance RGB schwarz DIMM Kit 48GB, DDR5-5200, CL38-38-38-84, on-die ECC</t>
  </si>
  <si>
    <t>CMH48GX5M2B5200C38</t>
  </si>
  <si>
    <t>https://geizhals.eu/corsair-vengeance-rgb-schwarz-dimm-kit-48gb-cmh48gx5m2b5200c38-a2900551.html?hloc=at&amp;hloc=de&amp;hloc=eu&amp;hloc=pl&amp;hloc=uk</t>
  </si>
  <si>
    <t>Corsair Vengeance RGB schwarz DIMM Kit 32GB, DDR5-7200, CL34-44-44-96, on-die ECC</t>
  </si>
  <si>
    <t>CMH32GX5M2X7200C34</t>
  </si>
  <si>
    <t>https://geizhals.eu/corsair-vengeance-rgb-schwarz-dimm-kit-32gb-cmh32gx5m2x7200c34-a2852993.html?hloc=at&amp;hloc=de&amp;hloc=eu&amp;hloc=pl&amp;hloc=uk</t>
  </si>
  <si>
    <t>Corsair Vengeance RGB schwarz DIMM Kit 32GB, DDR5-7000, CL40-52-52-114, on-die ECC</t>
  </si>
  <si>
    <t>CMH32GX5M2B7000C40</t>
  </si>
  <si>
    <t>https://geizhals.eu/corsair-vengeance-rgb-schwarz-dimm-kit-32gb-cmh32gx5m2b7000c40-a2998423.html?hloc=at&amp;hloc=de&amp;hloc=eu&amp;hloc=pl&amp;hloc=uk</t>
  </si>
  <si>
    <t>Corsair Vengeance RGB schwarz DIMM Kit 32GB, DDR5-7000, CL34-42-42-96, on-die ECC</t>
  </si>
  <si>
    <t>CMH32GX5M2X7000C34</t>
  </si>
  <si>
    <t>https://geizhals.eu/corsair-vengeance-rgb-schwarz-dimm-kit-32gb-cmh32gx5m2x7000c34-a2852989.html?hloc=at&amp;hloc=de&amp;hloc=eu&amp;hloc=pl&amp;hloc=uk</t>
  </si>
  <si>
    <t>Corsair Vengeance RGB schwarz DIMM Kit 32GB, DDR5-6800, CL40-50-50-110, on-die ECC</t>
  </si>
  <si>
    <t>CMH32GX5M2B6800C40</t>
  </si>
  <si>
    <t>https://geizhals.eu/corsair-vengeance-rgb-schwarz-dimm-kit-32gb-cmh32gx5m2b6800c40-a2912454.html?hloc=at&amp;hloc=de&amp;hloc=eu&amp;hloc=pl&amp;hloc=uk</t>
  </si>
  <si>
    <t>Corsair Vengeance RGB schwarz DIMM Kit 32GB, DDR5-6600, CL38-48-48-106, on-die ECC</t>
  </si>
  <si>
    <t>CMH32GX5M2B6600C38</t>
  </si>
  <si>
    <t>https://geizhals.eu/corsair-vengeance-rgb-schwarz-dimm-kit-32gb-cmh32gx5m2b6600c38-a2952135.html?hloc=at&amp;hloc=de&amp;hloc=eu&amp;hloc=pl&amp;hloc=uk</t>
  </si>
  <si>
    <t>Corsair Vengeance RGB schwarz DIMM Kit 32GB, DDR5-6400, CL36-48-48-104, on-die ECC</t>
  </si>
  <si>
    <t>CMH32GX5M2B6400C36</t>
  </si>
  <si>
    <t>https://geizhals.eu/corsair-vengeance-rgb-schwarz-dimm-kit-32gb-cmh32gx5m2b6400c36-a2912450.html?hloc=at&amp;hloc=de&amp;hloc=eu&amp;hloc=pl&amp;hloc=uk</t>
  </si>
  <si>
    <t>Corsair Vengeance RGB schwarz DIMM Kit 32GB, DDR5-6400, CL32-40-40-84, on-die ECC</t>
  </si>
  <si>
    <t>CMH32GX5M2B6400C32</t>
  </si>
  <si>
    <t>https://geizhals.eu/corsair-vengeance-rgb-schwarz-dimm-kit-32gb-cmh32gx5m2b6400c32-a2872171.html?hloc=at&amp;hloc=de&amp;hloc=eu&amp;hloc=pl&amp;hloc=uk</t>
  </si>
  <si>
    <t>Corsair Vengeance RGB schwarz DIMM Kit 32GB, DDR5-6200, CL36-46-46-100, on-die ECC</t>
  </si>
  <si>
    <t>CMH32GX5M2E6200C36</t>
  </si>
  <si>
    <t>https://geizhals.eu/corsair-vengeance-rgb-schwarz-dimm-kit-32gb-cmh32gx5m2e6200c36-a2930111.html?hloc=at&amp;hloc=de&amp;hloc=eu&amp;hloc=pl&amp;hloc=uk</t>
  </si>
  <si>
    <t>Corsair Vengeance RGB schwarz DIMM Kit 32GB, DDR5-6200, CL36-39-39-76, on-die ECC</t>
  </si>
  <si>
    <t>CMH32GX5M2B6200C36</t>
  </si>
  <si>
    <t>https://geizhals.eu/corsair-vengeance-rgb-schwarz-dimm-kit-32gb-cmh32gx5m2b6200c36-a2770833.html?hloc=at&amp;hloc=de&amp;hloc=eu&amp;hloc=pl&amp;hloc=uk</t>
  </si>
  <si>
    <t>Corsair Vengeance RGB schwarz DIMM Kit 32GB, DDR5-6000, CL38-44-44-96, on-die ECC</t>
  </si>
  <si>
    <t>CMH32GX5M2B6000C38</t>
  </si>
  <si>
    <t>https://geizhals.eu/corsair-vengeance-rgb-schwarz-dimm-kit-32gb-cmh32gx5m2b6000c38-a3123362.html?hloc=at&amp;hloc=de&amp;hloc=eu&amp;hloc=pl&amp;hloc=uk</t>
  </si>
  <si>
    <t>Corsair Vengeance RGB schwarz DIMM Kit 32GB, DDR5-6000, CL36-44-44-96, on-die ECC</t>
  </si>
  <si>
    <t>CMH32GX5M2E6000C36</t>
  </si>
  <si>
    <t>https://geizhals.eu/corsair-vengeance-rgb-schwarz-dimm-kit-32gb-cmh32gx5m2e6000c36-a2930122.html?hloc=at&amp;hloc=de&amp;hloc=eu&amp;hloc=pl&amp;hloc=uk</t>
  </si>
  <si>
    <t>Corsair Vengeance RGB schwarz DIMM Kit 32GB, DDR5-6000, CL36-38-38-76, on-die ECC</t>
  </si>
  <si>
    <t>CMH32GX5M2B6000C36</t>
  </si>
  <si>
    <t>https://geizhals.eu/corsair-vengeance-rgb-schwarz-dimm-kit-32gb-cmh32gx5m2b6000c36-a2790201.html?hloc=at&amp;hloc=de&amp;hloc=eu&amp;hloc=pl&amp;hloc=uk</t>
  </si>
  <si>
    <t>Corsair Vengeance RGB schwarz DIMM Kit 32GB, DDR5-6000, CL36-36-36-76, on-die ECC</t>
  </si>
  <si>
    <t>CMH32GX5M2D6000C36</t>
  </si>
  <si>
    <t>https://geizhals.eu/corsair-vengeance-rgb-schwarz-dimm-kit-32gb-cmh32gx5m2d6000c36-a2776552.html?hloc=at&amp;hloc=de&amp;hloc=eu&amp;hloc=pl&amp;hloc=uk</t>
  </si>
  <si>
    <t>Corsair Vengeance RGB schwarz DIMM Kit 32GB, DDR5-6000, CL30-36-36-76, on-die ECC</t>
  </si>
  <si>
    <t>CMH32GX5M2B6000C30</t>
  </si>
  <si>
    <t>https://geizhals.eu/corsair-vengeance-rgb-schwarz-dimm-kit-32gb-cmh32gx5m2b6000c30-a2943347.html?hloc=at&amp;hloc=de&amp;hloc=eu&amp;hloc=pl&amp;hloc=uk</t>
  </si>
  <si>
    <t>Corsair Vengeance RGB schwarz DIMM Kit 32GB, DDR5-6000, CL28-36-36-96, on-die ECC</t>
  </si>
  <si>
    <t>CMH32GX5M2B6000C28</t>
  </si>
  <si>
    <t>https://geizhals.eu/corsair-vengeance-rgb-schwarz-dimm-kit-32gb-cmh32gx5m2b6000c28-a3323741.html?hloc=at&amp;hloc=de&amp;hloc=eu&amp;hloc=pl&amp;hloc=uk</t>
  </si>
  <si>
    <t>Corsair Vengeance RGB schwarz DIMM Kit 32GB, DDR5-5600, CL40-40-40-77, on-die ECC</t>
  </si>
  <si>
    <t>CMH32GX5M2B5600C40K</t>
  </si>
  <si>
    <t>https://geizhals.eu/corsair-vengeance-rgb-schwarz-dimm-kit-32gb-cmh32gx5m2b5600c40k-a2837610.html?hloc=at&amp;hloc=de&amp;hloc=eu&amp;hloc=pl&amp;hloc=uk</t>
  </si>
  <si>
    <t>Corsair Vengeance RGB schwarz DIMM Kit 32GB, DDR5-5600, CL36-36-36-76, on-die ECC</t>
  </si>
  <si>
    <t>CMH32GX5M2B5600C36K</t>
  </si>
  <si>
    <t>https://geizhals.eu/corsair-vengeance-rgb-schwarz-dimm-kit-32gb-cmh32gx5m2b5600c36k-a2836939.html?hloc=at&amp;hloc=de&amp;hloc=eu&amp;hloc=pl&amp;hloc=uk</t>
  </si>
  <si>
    <t>Corsair Vengeance RGB schwarz DIMM Kit 32GB, DDR5-5200, CL40-40-40-77, on-die ECC</t>
  </si>
  <si>
    <t>CMH32GX5M2B5200C40</t>
  </si>
  <si>
    <t>https://geizhals.eu/corsair-vengeance-rgb-schwarz-dimm-kit-32gb-cmh32gx5m2b5200c40-a2770821.html?hloc=at&amp;hloc=de&amp;hloc=eu&amp;hloc=pl&amp;hloc=uk</t>
  </si>
  <si>
    <t>Corsair Vengeance RGB schwarz DIMM Kit 16GB, DDR5-5200, CL40-40-40-77, on-die ECC</t>
  </si>
  <si>
    <t>CMH16GX5M2B5200C40</t>
  </si>
  <si>
    <t>https://geizhals.eu/corsair-vengeance-rgb-schwarz-dimm-kit-16gb-cmh16gx5m2b5200c40-a3323731.html?hloc=at&amp;hloc=de&amp;hloc=eu&amp;hloc=pl&amp;hloc=uk</t>
  </si>
  <si>
    <t>Corsair Vengeance RGB schwarz DIMM 16GB, DDR5-5600, CL40-40-40-77, on-die ECC</t>
  </si>
  <si>
    <t>CMH16GX5M1B5600C40</t>
  </si>
  <si>
    <t>https://geizhals.eu/corsair-vengeance-rgb-schwarz-dimm-16gb-cmh16gx5m1b5600c40-a3297804.html?hloc=at&amp;hloc=de&amp;hloc=eu&amp;hloc=pl&amp;hloc=uk</t>
  </si>
  <si>
    <t>Corsair Vengeance RGB schwarz DIMM 16GB, DDR5-5200, CL40-40-40-77, on-die ECC</t>
  </si>
  <si>
    <t>CMH16GX5M1B5200C40</t>
  </si>
  <si>
    <t>https://geizhals.eu/corsair-vengeance-rgb-schwarz-dimm-16gb-cmh16gx5m1b5200c40-a3241285.html?hloc=at&amp;hloc=de&amp;hloc=eu&amp;hloc=pl&amp;hloc=uk</t>
  </si>
  <si>
    <t>Corsair Vengeance RGB grau DIMM Kit 64GB, DDR5-6000, CL40-40-40-77, on-die ECC</t>
  </si>
  <si>
    <t>CMH64GX5M2B6000Z40</t>
  </si>
  <si>
    <t>https://geizhals.eu/corsair-vengeance-rgb-grau-dimm-kit-64gb-cmh64gx5m2b6000z40-a2857821.html?hloc=at&amp;hloc=de&amp;hloc=eu&amp;hloc=pl&amp;hloc=uk</t>
  </si>
  <si>
    <t>Corsair Vengeance RGB grau DIMM Kit 64GB, DDR5-6000, CL30-36-36-76, on-die ECC</t>
  </si>
  <si>
    <t>CMH64GX5M2B6000Z30</t>
  </si>
  <si>
    <t>https://geizhals.eu/corsair-vengeance-rgb-grau-dimm-kit-64gb-cmh64gx5m2b6000z30-a2952272.html?hloc=at&amp;hloc=de&amp;hloc=eu&amp;hloc=pl&amp;hloc=uk</t>
  </si>
  <si>
    <t>Corsair Vengeance RGB grau DIMM Kit 64GB, DDR5-6000, CL28-36-36-96, on-die ECC</t>
  </si>
  <si>
    <t>CMH64GX5M2B6000Z28</t>
  </si>
  <si>
    <t>https://geizhals.eu/corsair-vengeance-rgb-grau-dimm-kit-32gb-cmh64gx5m2b6000z28-a3397984.html?hloc=at&amp;hloc=de&amp;hloc=eu&amp;hloc=pl&amp;hloc=uk</t>
  </si>
  <si>
    <t>Corsair Vengeance RGB grau DIMM Kit 64GB, DDR5-5600, CL40-40-40-77, on-die ECC</t>
  </si>
  <si>
    <t>CMH64GX5M2B5600Z40K</t>
  </si>
  <si>
    <t>https://geizhals.eu/corsair-vengeance-rgb-grau-dimm-kit-64gb-cmh64gx5m2b5600z40k-a2829590.html?hloc=at&amp;hloc=de&amp;hloc=eu&amp;hloc=pl&amp;hloc=uk</t>
  </si>
  <si>
    <t>CMH64GX5M2B5600Z40</t>
  </si>
  <si>
    <t>https://geizhals.eu/corsair-vengeance-rgb-schwarz-dimm-kit-64gb-cmh64gx5m2b5600z40-a2815457.html?hloc=at&amp;hloc=de&amp;hloc=eu&amp;hloc=pl&amp;hloc=uk</t>
  </si>
  <si>
    <t>Corsair Vengeance RGB grau DIMM Kit 64GB, DDR5-5600, CL36-36-36-76, on-die ECC</t>
  </si>
  <si>
    <t>CMH64GX5M4B5600Z36</t>
  </si>
  <si>
    <t>https://geizhals.eu/corsair-vengeance-rgb-grau-dimm-kit-64gb-cmh64gx5m4b5600z36-a2872173.html?hloc=at&amp;hloc=de&amp;hloc=eu&amp;hloc=pl&amp;hloc=uk</t>
  </si>
  <si>
    <t>CMH64GX5M2B5600Z36K</t>
  </si>
  <si>
    <t>https://geizhals.eu/corsair-vengeance-rgb-grau-dimm-kit-64gb-cmh64gx5m2b5600z36k-a2977461.html?hloc=at&amp;hloc=de&amp;hloc=eu&amp;hloc=pl&amp;hloc=uk</t>
  </si>
  <si>
    <t>Corsair Vengeance RGB grau DIMM Kit 64GB, DDR5-5200, CL40-40-40-77, on-die ECC</t>
  </si>
  <si>
    <t>CMH64GX5M2B5200Z40K</t>
  </si>
  <si>
    <t>https://geizhals.eu/corsair-vengeance-rgb-grau-dimm-kit-64gb-cmh64gx5m2b5200z40k-a2829595.html?hloc=at&amp;hloc=de&amp;hloc=eu&amp;hloc=pl&amp;hloc=uk</t>
  </si>
  <si>
    <t>Corsair Vengeance RGB grau DIMM Kit 48GB, DDR5-6000, CL30-36-36-76, on-die ECC</t>
  </si>
  <si>
    <t>CMH48GX5M2B6000Z30</t>
  </si>
  <si>
    <t>https://geizhals.eu/corsair-vengeance-rgb-grau-dimm-kit-48gb-cmh48gx5m2b6000z30-a3286683.html?hloc=at&amp;hloc=de&amp;hloc=eu&amp;hloc=pl&amp;hloc=uk</t>
  </si>
  <si>
    <t>Corsair Vengeance RGB grau DIMM Kit 32GB, DDR5-6400, CL36-48-48-104, on-die ECC</t>
  </si>
  <si>
    <t>CMH32GX5M2B6400Z36</t>
  </si>
  <si>
    <t>https://geizhals.eu/corsair-vengeance-rgb-grau-dimm-kit-32gb-cmh32gx5m2b6400z36-a3381251.html?hloc=at&amp;hloc=de&amp;hloc=eu&amp;hloc=pl&amp;hloc=uk</t>
  </si>
  <si>
    <t>Corsair Vengeance RGB grau DIMM Kit 32GB, DDR5-6400, CL32-44-40-84, on-die ECC</t>
  </si>
  <si>
    <t>CMH32GX5M2B6400Z32</t>
  </si>
  <si>
    <t>https://geizhals.eu/corsair-vengeance-rgb-grau-dimm-kit-32gb-cmh32gx5m2b6400z32-a3286672.html?hloc=at&amp;hloc=de&amp;hloc=eu&amp;hloc=pl&amp;hloc=uk</t>
  </si>
  <si>
    <t>Corsair Vengeance RGB grau DIMM Kit 32GB, DDR5-6400, CL30-40-40-104, on-die ECC</t>
  </si>
  <si>
    <t>CMH32GX5M2B6400Z30</t>
  </si>
  <si>
    <t>https://geizhals.eu/corsair-vengeance-rgb-grau-dimm-kit-32gb-cmh32gx5m2b6400z30-a3397983.html?hloc=at&amp;hloc=de&amp;hloc=eu&amp;hloc=pl&amp;hloc=uk</t>
  </si>
  <si>
    <t>Corsair Vengeance RGB grau DIMM Kit 32GB, DDR5-6000, CL36-44-44-96, on-die ECC</t>
  </si>
  <si>
    <t>CMH32GX5M2E6000Z36</t>
  </si>
  <si>
    <t>https://geizhals.eu/corsair-vengeance-rgb-grau-dimm-kit-32gb-cmh32gx5m2e6000z36-a3036228.html?hloc=at&amp;hloc=de&amp;hloc=eu&amp;hloc=pl&amp;hloc=uk</t>
  </si>
  <si>
    <t>Corsair Vengeance RGB grau DIMM Kit 32GB, DDR5-6000, CL36-36-36-76, on-die ECC</t>
  </si>
  <si>
    <t>CMH32GX5M2D6000Z36K</t>
  </si>
  <si>
    <t>https://geizhals.eu/corsair-vengeance-rgb-grau-dimm-kit-32gb-cmh32gx5m2d6000z36k-a2829597.html?hloc=at&amp;hloc=de&amp;hloc=eu&amp;hloc=pl&amp;hloc=uk</t>
  </si>
  <si>
    <t>CMH32GX5M2D6000Z36</t>
  </si>
  <si>
    <t>https://geizhals.eu/corsair-vengeance-rgb-schwarz-dimm-kit-32gb-cmh32gx5m2d6000z36-a2815408.html?hloc=at&amp;hloc=de&amp;hloc=eu&amp;hloc=pl&amp;hloc=uk</t>
  </si>
  <si>
    <t>Corsair Vengeance RGB grau DIMM Kit 32GB, DDR5-6000, CL30-36-36-76, on-die ECC</t>
  </si>
  <si>
    <t>CMH32GX5M2B6000Z30K</t>
  </si>
  <si>
    <t>https://geizhals.eu/corsair-vengeance-rgb-grau-dimm-kit-32gb-cmh32gx5m2b6000z30k-a2866139.html?hloc=at&amp;hloc=de&amp;hloc=eu&amp;hloc=pl&amp;hloc=uk</t>
  </si>
  <si>
    <t>Corsair Vengeance RGB grau DIMM Kit 32GB, DDR5-6000, CL28-36-36-96, on-die ECC</t>
  </si>
  <si>
    <t>CMH32GX5M2B6000Z28</t>
  </si>
  <si>
    <t>https://geizhals.eu/corsair-vengeance-rgb-grau-dimm-kit-32gb-cmh32gx5m2b6000z28-a3313926.html?hloc=at&amp;hloc=de&amp;hloc=eu&amp;hloc=pl&amp;hloc=uk</t>
  </si>
  <si>
    <t>Corsair Vengeance RGB grau DIMM Kit 32GB, DDR5-5600, CL40-40-40-77, on-die ECC</t>
  </si>
  <si>
    <t>CMH32GX5M2B5600Z40</t>
  </si>
  <si>
    <t>https://geizhals.eu/corsair-vengeance-rgb-grau-dimm-kit-32gb-cmh32gx5m2b5600z40-a3036231.html?hloc=at&amp;hloc=de&amp;hloc=eu&amp;hloc=pl&amp;hloc=uk</t>
  </si>
  <si>
    <t>Corsair Vengeance RGB grau DIMM Kit 32GB, DDR5-5600, CL36-36-36-76, on-die ECC</t>
  </si>
  <si>
    <t>CMH32GX5M2B5600Z36K</t>
  </si>
  <si>
    <t>https://geizhals.eu/corsair-vengeance-rgb-grau-dimm-kit-32gb-cmh32gx5m2b5600z36k-a2829594.html?hloc=at&amp;hloc=de&amp;hloc=eu&amp;hloc=pl&amp;hloc=uk</t>
  </si>
  <si>
    <t>CMH32GX5M2B5600Z36</t>
  </si>
  <si>
    <t>https://geizhals.eu/corsair-vengeance-rgb-schwarz-dimm-kit-32gb-cmh32gx5m2b5600z36-a2812935.html?hloc=at&amp;hloc=de&amp;hloc=eu&amp;hloc=pl&amp;hloc=uk</t>
  </si>
  <si>
    <t>Corsair Vengeance RGB grau DIMM Kit 32GB, DDR5-5200, CL40-40-40-77, on-die ECC</t>
  </si>
  <si>
    <t>CMH32GX5M2B5200Z40K</t>
  </si>
  <si>
    <t>https://geizhals.eu/corsair-vengeance-rgb-grau-dimm-kit-32gb-cmh32gx5m2b5200z40k-a2829592.html?hloc=at&amp;hloc=de&amp;hloc=eu&amp;hloc=pl&amp;hloc=uk</t>
  </si>
  <si>
    <t>CMH32GX5M2B5200Z40</t>
  </si>
  <si>
    <t>https://geizhals.eu/corsair-vengeance-rgb-schwarz-dimm-kit-32gb-cmh32gx5m2b5200z40-a2812954.html?hloc=at&amp;hloc=de&amp;hloc=eu&amp;hloc=pl&amp;hloc=uk</t>
  </si>
  <si>
    <t>Corsair Vengeance RGB grau DIMM 16GB, DDR5-5200, CL40-40-40-77, on-die ECC</t>
  </si>
  <si>
    <t>CMH16GX5M1B5200Z40</t>
  </si>
  <si>
    <t>https://geizhals.eu/corsair-vengeance-rgb-grau-dimm-16gb-cmh16gx5m1b5200z40-a3381227.html?hloc=at&amp;hloc=de&amp;hloc=eu&amp;hloc=pl&amp;hloc=uk</t>
  </si>
  <si>
    <t>Corsair Vengeance grau DIMM Kit 96GB, DDR5-6000, CL30-36-36-76, on-die ECC</t>
  </si>
  <si>
    <t>CMK96GX5M2B6000Z30</t>
  </si>
  <si>
    <t>https://geizhals.eu/corsair-vengeance-grau-dimm-kit-96gb-cmk96gx5m2b6000z30-a3286676.html?hloc=at&amp;hloc=de&amp;hloc=eu&amp;hloc=pl&amp;hloc=uk</t>
  </si>
  <si>
    <t>Corsair Vengeance grau DIMM Kit 64GB, DDR5-6000, CL40-40-40-77, on-die ECC</t>
  </si>
  <si>
    <t>CMK64GX5M2B6000Z40</t>
  </si>
  <si>
    <t>https://geizhals.eu/corsair-vengeance-grau-dimm-kit-64gb-cmk64gx5m2b6000z40-a2857820.html?hloc=at&amp;hloc=de&amp;hloc=eu&amp;hloc=pl&amp;hloc=uk</t>
  </si>
  <si>
    <t>Corsair Vengeance grau DIMM Kit 64GB, DDR5-6000, CL36-36-36-76, on-die ECC</t>
  </si>
  <si>
    <t>CMK64GX5M4B6000Z36</t>
  </si>
  <si>
    <t>https://geizhals.eu/corsair-vengeance-grau-dimm-kit-64gb-cmk64gx5m4b6000z36-a3001907.html?hloc=at&amp;hloc=de&amp;hloc=eu&amp;hloc=pl&amp;hloc=uk</t>
  </si>
  <si>
    <t>Corsair Vengeance grau DIMM Kit 64GB, DDR5-6000, CL30-36-36-76, on-die ECC</t>
  </si>
  <si>
    <t>CMK64GX5M2B6000Z30</t>
  </si>
  <si>
    <t>https://geizhals.eu/corsair-vengeance-grau-dimm-kit-64gb-cmk64gx5m2b6000z30-a2952275.html?hloc=at&amp;hloc=de&amp;hloc=eu&amp;hloc=pl&amp;hloc=uk</t>
  </si>
  <si>
    <t>Corsair Vengeance grau DIMM Kit 64GB, DDR5-5600, CL40-40-40-77, on-die ECC</t>
  </si>
  <si>
    <t>CMK64GX5M2B5600Z40</t>
  </si>
  <si>
    <t>https://geizhals.eu/corsair-vengeance-schwarz-dimm-kit-64gb-cmk64gx5m2b5600z40-a2815459.html?hloc=at&amp;hloc=de&amp;hloc=eu&amp;hloc=pl&amp;hloc=uk</t>
  </si>
  <si>
    <t>Corsair Vengeance grau DIMM Kit 64GB, DDR5-5600, CL36-36-36-76, on-die ECC</t>
  </si>
  <si>
    <t>CMK64GX5M4B5600Z36</t>
  </si>
  <si>
    <t>https://geizhals.eu/corsair-vengeance-rgb-schwarz-dimm-kit-64gb-cmk64gx5m4b5600z36-a2868016.html?hloc=at&amp;hloc=de&amp;hloc=eu&amp;hloc=pl&amp;hloc=uk</t>
  </si>
  <si>
    <t>Corsair Vengeance grau DIMM Kit 64GB, DDR5-5200, CL40-40-40-77, on-die ECC</t>
  </si>
  <si>
    <t>CMK64GX5M2B5200Z40</t>
  </si>
  <si>
    <t>https://geizhals.eu/corsair-vengeance-schwarz-dimm-kit-64gb-cmk64gx5m2b5200z40-a2812950.html?hloc=at&amp;hloc=de&amp;hloc=eu&amp;hloc=pl&amp;hloc=uk</t>
  </si>
  <si>
    <t>Corsair Vengeance grau DIMM Kit 48GB, DDR5-6000, CL30-36-36-76, on-die ECC</t>
  </si>
  <si>
    <t>CMK48GX5M2B6000Z30</t>
  </si>
  <si>
    <t>https://geizhals.eu/corsair-vengeance-grau-dimm-kit-48gb-cmk48gx5m2b6000z30-a3286684.html?hloc=at&amp;hloc=de&amp;hloc=eu&amp;hloc=pl&amp;hloc=uk</t>
  </si>
  <si>
    <t>Corsair Vengeance grau DIMM Kit 32GB, DDR5-6400, CL36-48-48-104, on-die ECC</t>
  </si>
  <si>
    <t>CMK32GX5M2B6400Z36</t>
  </si>
  <si>
    <t>https://geizhals.eu/corsair-vengeance-grau-dimm-kit-32gb-cmk32gx5m2b6400z36-a3381294.html?hloc=at&amp;hloc=de&amp;hloc=eu&amp;hloc=pl&amp;hloc=uk</t>
  </si>
  <si>
    <t>Corsair Vengeance grau DIMM Kit 32GB, DDR5-6400, CL32-40-40-84, on-die ECC</t>
  </si>
  <si>
    <t>CMK32GX5M2B6400Z32</t>
  </si>
  <si>
    <t>https://geizhals.eu/corsair-vengeance-grau-dimm-kit-32gb-cmk32gx5m2b6400z32-a3286673.html?hloc=at&amp;hloc=de&amp;hloc=eu&amp;hloc=pl&amp;hloc=uk</t>
  </si>
  <si>
    <t>Corsair Vengeance grau DIMM Kit 32GB, DDR5-6400, CL30-40-40-104, on-die ECC</t>
  </si>
  <si>
    <t>CMK32GX5M2B6400Z30</t>
  </si>
  <si>
    <t>https://geizhals.eu/corsair-vengeance-grau-dimm-kit-32gb-cmk32gx5m2b6400z30-a3397982.html?hloc=at&amp;hloc=de&amp;hloc=eu&amp;hloc=pl&amp;hloc=uk</t>
  </si>
  <si>
    <t>Corsair Vengeance grau DIMM Kit 32GB, DDR5-6000, CL36-44-44-96, on-die ECC</t>
  </si>
  <si>
    <t>CMK32GX5M2E6000Z36</t>
  </si>
  <si>
    <t>https://geizhals.eu/corsair-vengeance-grau-dimm-kit-32gb-cmk32gx5m2e6000z36-a3036227.html?hloc=at&amp;hloc=de&amp;hloc=eu&amp;hloc=pl&amp;hloc=uk</t>
  </si>
  <si>
    <t>Corsair Vengeance grau DIMM Kit 32GB, DDR5-6000, CL36-36-36-76, on-die ECC</t>
  </si>
  <si>
    <t>CMK32GX5M2D6000Z36</t>
  </si>
  <si>
    <t>https://geizhals.eu/corsair-vengeance-schwarz-dimm-kit-32gb-cmk32gx5m2d6000z36-a2815401.html?hloc=at&amp;hloc=de&amp;hloc=eu&amp;hloc=pl&amp;hloc=uk</t>
  </si>
  <si>
    <t>Corsair Vengeance grau DIMM Kit 32GB, DDR5-6000, CL30-36-36-76, on-die ECC</t>
  </si>
  <si>
    <t>CMK32GX5M2B6000Z30</t>
  </si>
  <si>
    <t>https://geizhals.eu/corsair-vengeance-grau-dimm-kit-32gb-cmk32gx5m2b6000z30-a2998430.html?hloc=at&amp;hloc=de&amp;hloc=eu&amp;hloc=pl&amp;hloc=uk</t>
  </si>
  <si>
    <t>Corsair Vengeance grau DIMM Kit 32GB, DDR5-6000, CL28-36-36-96, on-die ECC</t>
  </si>
  <si>
    <t>CMK32GX5M2B6000Z28</t>
  </si>
  <si>
    <t>https://geizhals.eu/corsair-vengeance-grau-dimm-kit-32gb-cmk32gx5m2b6000z28-a3323762.html?hloc=at&amp;hloc=de&amp;hloc=eu&amp;hloc=pl&amp;hloc=uk</t>
  </si>
  <si>
    <t>Corsair Vengeance grau DIMM Kit 32GB, DDR5-5600, CL40-40-40-77, on-die ECC</t>
  </si>
  <si>
    <t>CMK32GX5M2B5600Z40</t>
  </si>
  <si>
    <t>https://geizhals.eu/corsair-vengeance-grau-dimm-kit-32gb-cmk32gx5m2b5600z40-a3036232.html?hloc=at&amp;hloc=de&amp;hloc=eu&amp;hloc=pl&amp;hloc=uk</t>
  </si>
  <si>
    <t>Corsair Vengeance grau DIMM Kit 32GB, DDR5-5600, CL36-36-36-76, on-die ECC</t>
  </si>
  <si>
    <t>CMK32GX5M2B5600Z36</t>
  </si>
  <si>
    <t>https://geizhals.eu/corsair-vengeance-schwarz-dimm-kit-32gb-cmk32gx5m2b5600z36-a2812938.html?hloc=at&amp;hloc=de&amp;hloc=eu&amp;hloc=pl&amp;hloc=uk</t>
  </si>
  <si>
    <t>Corsair Vengeance grau DIMM Kit 32GB, DDR5-5200, CL40-40-40-77, on-die ECC</t>
  </si>
  <si>
    <t>CMK32GX5M2B5200Z40</t>
  </si>
  <si>
    <t>https://geizhals.eu/corsair-vengeance-schwarz-dimm-kit-32gb-cmk32gx5m2b5200z40-a2812956.html?hloc=at&amp;hloc=de&amp;hloc=eu&amp;hloc=pl&amp;hloc=uk</t>
  </si>
  <si>
    <t>Corsair Vengeance grau DIMM Kit 16GB, DDR5-5200, CL40-40-40-77, on-die ECC</t>
  </si>
  <si>
    <t>CMK16GX5M2B5200Z40</t>
  </si>
  <si>
    <t>https://geizhals.eu/corsair-vengeance-grau-dimm-kit-16gb-cmk16gx5m2b5200z40-a3190893.html?hloc=at&amp;hloc=de&amp;hloc=eu&amp;hloc=pl&amp;hloc=uk</t>
  </si>
  <si>
    <t>Corsair Vengeance grau DIMM 32GB, DDR5-5600, CL40-40-40-77, on-die ECC</t>
  </si>
  <si>
    <t>CMK32GX5M1B5600Z40</t>
  </si>
  <si>
    <t>https://geizhals.eu/corsair-vengeance-grau-dimm-32gb-cmk32gx5m1b5600z40-a3381301.html?hloc=at&amp;hloc=de&amp;hloc=eu&amp;hloc=pl&amp;hloc=uk</t>
  </si>
  <si>
    <t>Corsair Vengeance grau DIMM 32GB, DDR5-5200, CL40-40-40-77, on-die ECC</t>
  </si>
  <si>
    <t>CMK32GX5M1B5200Z40</t>
  </si>
  <si>
    <t>https://geizhals.eu/corsair-vengeance-grau-dimm-32gb-cmk32gx5m1b5200z40-a3374082.html?hloc=at&amp;hloc=de&amp;hloc=eu&amp;hloc=pl&amp;hloc=uk</t>
  </si>
  <si>
    <t>Corsair Vengeance grau DIMM 16GB, DDR5-5600, CL40-40-40-77, on-die ECC</t>
  </si>
  <si>
    <t>CMK16GX5M1B5600Z40</t>
  </si>
  <si>
    <t>https://geizhals.eu/corsair-vengeance-grau-dimm-16gb-cmk16gx5m1b5600z40-a3381278.html?hloc=at&amp;hloc=de&amp;hloc=eu&amp;hloc=pl&amp;hloc=uk</t>
  </si>
  <si>
    <t>Corsair Vengeance grau DIMM 16GB, DDR5-5200, CL40-40-40-77, on-die ECC</t>
  </si>
  <si>
    <t>CMK16GX5M1B5200Z40</t>
  </si>
  <si>
    <t>https://geizhals.eu/corsair-vengeance-grau-dimm-16gb-cmk16gx5m1b5200z40-a3381270.html?hloc=at&amp;hloc=de&amp;hloc=eu&amp;hloc=pl&amp;hloc=uk</t>
  </si>
  <si>
    <t>Corsair Dominator Titanium RGB weiß DIMM Kit 96GB, DDR5-6600, CL32-39-39-76, on-die ECC</t>
  </si>
  <si>
    <t>CMP96GX5M2B6600C32W</t>
  </si>
  <si>
    <t>RGB, Multi-Zone, 11 LED, Corsair iCUE, Gigabyte RGB Fusion, MSI Mystic Light Sync</t>
  </si>
  <si>
    <t>https://geizhals.eu/corsair-dominator-titanium-rgb-weiss-dimm-kit-96gb-cmp96gx5m2b6600c32w-a3025224.html?hloc=at&amp;hloc=de&amp;hloc=eu&amp;hloc=pl&amp;hloc=uk</t>
  </si>
  <si>
    <t>Corsair Dominator Titanium RGB weiß DIMM Kit 96GB, DDR5-6400, CL32-40-40-84, on-die ECC</t>
  </si>
  <si>
    <t>CMP96GX5M2B6400C32W</t>
  </si>
  <si>
    <t>https://geizhals.eu/corsair-dominator-titanium-rgb-weiss-dimm-kit-96gb-cmp96gx5m2b6400c32w-a3024560.html?hloc=at&amp;hloc=de&amp;hloc=eu&amp;hloc=pl&amp;hloc=uk</t>
  </si>
  <si>
    <t>Corsair Dominator Titanium RGB weiß DIMM Kit 64GB, DDR5-6600, CL32-39-39-76, on-die ECC</t>
  </si>
  <si>
    <t>CMP64GX5M2X6600C32W</t>
  </si>
  <si>
    <t>https://geizhals.eu/corsair-dominator-titanium-rgb-weiss-dimm-kit-64gb-cmp64gx5m2x6600c32w-a3025227.html?hloc=at&amp;hloc=de&amp;hloc=eu&amp;hloc=pl&amp;hloc=uk</t>
  </si>
  <si>
    <t>Corsair Dominator Titanium RGB weiß DIMM Kit 64GB, DDR5-6400, CL32-40-40-84, on-die ECC</t>
  </si>
  <si>
    <t>CMP64GX5M4B6400C32W</t>
  </si>
  <si>
    <t>https://geizhals.eu/corsair-dominator-titanium-rgb-weiss-dimm-kit-64gb-cmp64gx5m4b6400c32w-a3026631.html?hloc=at&amp;hloc=de&amp;hloc=eu&amp;hloc=pl&amp;hloc=uk</t>
  </si>
  <si>
    <t>CMP64GX5M2B6400C32W</t>
  </si>
  <si>
    <t>https://geizhals.eu/corsair-dominator-titanium-rgb-weiss-dimm-kit-64gb-cmp64gx5m2b6400c32w-a3025229.html?hloc=at&amp;hloc=de&amp;hloc=eu&amp;hloc=pl&amp;hloc=uk</t>
  </si>
  <si>
    <t>Corsair Dominator Titanium RGB weiß DIMM Kit 64GB, DDR5-6000, CL36-36-36-76, on-die ECC</t>
  </si>
  <si>
    <t>CMP64GX5M4B6000C36W</t>
  </si>
  <si>
    <t>https://geizhals.eu/corsair-dominator-titanium-rgb-weiss-dimm-kit-64gb-cmp64gx5m4b6000c36w-a3030199.html?hloc=at&amp;hloc=de&amp;hloc=eu&amp;hloc=pl&amp;hloc=uk</t>
  </si>
  <si>
    <t>Corsair Dominator Titanium RGB weiß DIMM Kit 64GB, DDR5-6000, CL30-36-36-76, on-die ECC</t>
  </si>
  <si>
    <t>CMP64GX5M2B6000C30W</t>
  </si>
  <si>
    <t>https://geizhals.eu/corsair-dominator-titanium-rgb-weiss-dimm-kit-64gb-cmp64gx5m2b6000c30w-a3028304.html?hloc=at&amp;hloc=de&amp;hloc=eu&amp;hloc=pl&amp;hloc=uk</t>
  </si>
  <si>
    <t>Corsair Dominator Titanium RGB weiß DIMM Kit 48GB, DDR5-7200, CL36-46-46-116, on-die ECC</t>
  </si>
  <si>
    <t>CMP48GX5M2X7200C36W</t>
  </si>
  <si>
    <t>https://geizhals.eu/corsair-dominator-titanium-rgb-weiss-dimm-kit-48gb-cmp48gx5m2x7200c36w-a3028290.html?hloc=at&amp;hloc=de&amp;hloc=eu&amp;hloc=pl&amp;hloc=uk</t>
  </si>
  <si>
    <t>Corsair Dominator Titanium RGB weiß DIMM Kit 48GB, DDR5-7000, CL36-44-44-114, on-die ECC</t>
  </si>
  <si>
    <t>CMP48GX5M2B7000C36W</t>
  </si>
  <si>
    <t>https://geizhals.eu/corsair-dominator-titanium-rgb-weiss-dimm-kit-48gb-cmp48gx5m2b7000c36w-a3028294.html?hloc=at&amp;hloc=de&amp;hloc=eu&amp;hloc=pl&amp;hloc=uk</t>
  </si>
  <si>
    <t>Corsair Dominator Titanium RGB weiß DIMM Kit 48GB, DDR5-6000, CL30-36-36-76, on-die ECC</t>
  </si>
  <si>
    <t>CMP48GX5M2B6000C30W</t>
  </si>
  <si>
    <t>https://geizhals.eu/corsair-dominator-titanium-rgb-weiss-dimm-kit-48gb-cmp48gx5m2b6000c30w-a3025232.html?hloc=at&amp;hloc=de&amp;hloc=eu&amp;hloc=pl&amp;hloc=uk</t>
  </si>
  <si>
    <t>Corsair Dominator Titanium RGB weiß DIMM Kit 32GB, DDR5-7200, CL34-44-44-96, on-die ECC</t>
  </si>
  <si>
    <t>CMP32GX5M2X7200C34W</t>
  </si>
  <si>
    <t>https://geizhals.eu/corsair-dominator-titanium-rgb-weiss-dimm-kit-32gb-cmp32gx5m2x7200c34w-a3028287.html?hloc=at&amp;hloc=de&amp;hloc=eu&amp;hloc=pl&amp;hloc=uk</t>
  </si>
  <si>
    <t>Corsair Dominator Titanium RGB weiß DIMM Kit 32GB, DDR5-7000, CL34-42-42-96, on-die ECC</t>
  </si>
  <si>
    <t>CMP32GX5M2X7000C34W</t>
  </si>
  <si>
    <t>https://geizhals.eu/corsair-dominator-titanium-rgb-weiss-dimm-kit-32gb-cmp32gx5m2x7000c34w-a3028292.html?hloc=at&amp;hloc=de&amp;hloc=eu&amp;hloc=pl&amp;hloc=uk</t>
  </si>
  <si>
    <t>Corsair Dominator Titanium RGB weiß DIMM Kit 32GB, DDR5-6600, CL32-39-39-76, on-die ECC</t>
  </si>
  <si>
    <t>CMP32GX5M2X6600C32W</t>
  </si>
  <si>
    <t>https://geizhals.eu/corsair-dominator-titanium-rgb-weiss-dimm-kit-32gb-cmp32gx5m2x6600c32w-a3028297.html?hloc=at&amp;hloc=de&amp;hloc=eu&amp;hloc=pl&amp;hloc=uk</t>
  </si>
  <si>
    <t>Corsair Dominator Titanium RGB weiß DIMM Kit 32GB, DDR5-6400, CL32-40-40-84, on-die ECC</t>
  </si>
  <si>
    <t>CMP32GX5M2B6400C32W</t>
  </si>
  <si>
    <t>https://geizhals.eu/corsair-dominator-titanium-rgb-weiss-dimm-kit-32gb-cmp32gx5m2b6400c32w-a3025231.html?hloc=at&amp;hloc=de&amp;hloc=eu&amp;hloc=pl&amp;hloc=uk</t>
  </si>
  <si>
    <t>Corsair Dominator Titanium RGB weiß DIMM Kit 32GB, DDR5-6000, CL30-36-36-76, on-die ECC</t>
  </si>
  <si>
    <t>CMP32GX5M2B6000C30W</t>
  </si>
  <si>
    <t>https://geizhals.eu/corsair-dominator-titanium-rgb-weiss-dimm-kit-32gb-cmp32gx5m2b6000c30w-a3028300.html?hloc=at&amp;hloc=de&amp;hloc=eu&amp;hloc=pl&amp;hloc=uk</t>
  </si>
  <si>
    <t>Corsair Dominator Titanium RGB schwarz DIMM Kit 96GB, DDR5-7000, CL40-52-52-114, on-die ECC</t>
  </si>
  <si>
    <t>CMP96GX5M2B7000C40</t>
  </si>
  <si>
    <t>https://geizhals.eu/corsair-dominator-titanium-rgb-schwarz-dimm-kit-96gb-cmp96gx5m2b7000c40-a3286667.html?hloc=at&amp;hloc=de&amp;hloc=eu&amp;hloc=pl&amp;hloc=uk</t>
  </si>
  <si>
    <t>Corsair Dominator Titanium RGB schwarz DIMM Kit 96GB, DDR5-6600, CL32-39-39-76, on-die ECC</t>
  </si>
  <si>
    <t>CMP96GX5M2B6600C32</t>
  </si>
  <si>
    <t>https://geizhals.eu/corsair-dominator-titanium-rgb-schwarz-dimm-kit-96gb-cmp96gx5m2b6600c32-a3025225.html?hloc=at&amp;hloc=de&amp;hloc=eu&amp;hloc=pl&amp;hloc=uk</t>
  </si>
  <si>
    <t>Corsair Dominator Titanium RGB schwarz DIMM Kit 96GB, DDR5-6400, CL32-40-40-84, on-die ECC</t>
  </si>
  <si>
    <t>CMP96GX5M4B6400C32</t>
  </si>
  <si>
    <t>https://geizhals.eu/corsair-dominator-titanium-rgb-schwarz-dimm-kit-96gb-cmp96gx5m4b6400c32-a3148922.html?hloc=at&amp;hloc=de&amp;hloc=eu&amp;hloc=pl&amp;hloc=uk</t>
  </si>
  <si>
    <t>CMP96GX5M2B6400C32</t>
  </si>
  <si>
    <t>https://geizhals.eu/corsair-dominator-titanium-rgb-schwarz-dimm-kit-96gb-cmp96gx5m2b6400c32-a3024568.html?hloc=at&amp;hloc=de&amp;hloc=eu&amp;hloc=pl&amp;hloc=uk</t>
  </si>
  <si>
    <t>Corsair Dominator Titanium RGB schwarz DIMM Kit 96GB, DDR5-6000, CL30-36-36-76, on-die ECC</t>
  </si>
  <si>
    <t>CMP96GX5M4B6000C30</t>
  </si>
  <si>
    <t>https://geizhals.eu/corsair-dominator-titanium-rgb-schwarz-dimm-kit-96gb-cmp96gx5m4b6000c30-a3024570.html?hloc=at&amp;hloc=de&amp;hloc=eu&amp;hloc=pl&amp;hloc=uk</t>
  </si>
  <si>
    <t>Corsair Dominator Titanium RGB schwarz DIMM Kit 64GB, DDR5-6600, CL32-39-39-76, on-die ECC</t>
  </si>
  <si>
    <t>CMP64GX5M2X6600C32</t>
  </si>
  <si>
    <t>https://geizhals.eu/corsair-dominator-titanium-rgb-schwarz-dimm-kit-64gb-cmp64gx5m2x6600c32-a3025226.html?hloc=at&amp;hloc=de&amp;hloc=eu&amp;hloc=pl&amp;hloc=uk</t>
  </si>
  <si>
    <t>Corsair Dominator Titanium RGB schwarz DIMM Kit 64GB, DDR5-6400, CL32-40-40-84, on-die ECC</t>
  </si>
  <si>
    <t>CMP64GX5M4B6400C32</t>
  </si>
  <si>
    <t>https://geizhals.eu/corsair-dominator-titanium-rgb-schwarz-dimm-kit-64gb-cmp64gx5m4b6400c32-a3026632.html?hloc=at&amp;hloc=de&amp;hloc=eu&amp;hloc=pl&amp;hloc=uk</t>
  </si>
  <si>
    <t>CMP64GX5M2B6400C32</t>
  </si>
  <si>
    <t>https://geizhals.eu/corsair-dominator-titanium-rgb-schwarz-dimm-kit-64gb-cmp64gx5m2b6400c32-a3025228.html?hloc=at&amp;hloc=de&amp;hloc=eu&amp;hloc=pl&amp;hloc=uk</t>
  </si>
  <si>
    <t>Corsair Dominator Titanium RGB schwarz DIMM Kit 64GB, DDR5-6000, CL36-36-36-76, on-die ECC</t>
  </si>
  <si>
    <t>CMP64GX5M4B6000C36</t>
  </si>
  <si>
    <t>https://geizhals.eu/corsair-dominator-titanium-rgb-schwarz-dimm-kit-64gb-cmp64gx5m4b6000c36-a3030200.html?hloc=at&amp;hloc=de&amp;hloc=eu&amp;hloc=pl&amp;hloc=uk</t>
  </si>
  <si>
    <t>Corsair Dominator Titanium RGB schwarz DIMM Kit 64GB, DDR5-6000, CL30-36-36-76, on-die ECC</t>
  </si>
  <si>
    <t>CMP64GX5M2B6000C30</t>
  </si>
  <si>
    <t>https://geizhals.eu/corsair-dominator-titanium-rgb-schwarz-dimm-kit-64gb-cmp64gx5m2b6000c30-a3028302.html?hloc=at&amp;hloc=de&amp;hloc=eu&amp;hloc=pl&amp;hloc=uk</t>
  </si>
  <si>
    <t>Corsair Dominator Titanium RGB schwarz DIMM Kit 48GB, DDR5-7200, CL36-46-46-116, on-die ECC</t>
  </si>
  <si>
    <t>CMP48GX5M2X7200C36</t>
  </si>
  <si>
    <t>https://geizhals.eu/corsair-dominator-titanium-rgb-schwarz-dimm-kit-48gb-cmp48gx5m2x7200c36-a3028289.html?hloc=at&amp;hloc=de&amp;hloc=eu&amp;hloc=pl&amp;hloc=uk</t>
  </si>
  <si>
    <t>Corsair Dominator Titanium RGB schwarz DIMM Kit 48GB, DDR5-7000, CL36-44-44-114, on-die ECC</t>
  </si>
  <si>
    <t>CMP48GX5M2B7000C36</t>
  </si>
  <si>
    <t>https://geizhals.eu/corsair-dominator-titanium-rgb-schwarz-dimm-kit-48gb-cmp48gx5m2b7000c36-a3028295.html?hloc=at&amp;hloc=de&amp;hloc=eu&amp;hloc=pl&amp;hloc=uk</t>
  </si>
  <si>
    <t>Corsair Dominator Titanium RGB schwarz DIMM Kit 48GB, DDR5-6000, CL30-36-36-76, on-die ECC</t>
  </si>
  <si>
    <t>CMP48GX5M2B6000C30</t>
  </si>
  <si>
    <t>https://geizhals.eu/corsair-dominator-titanium-rgb-schwarz-dimm-kit-48gb-cmp48gx5m2b6000c30-a3025233.html?hloc=at&amp;hloc=de&amp;hloc=eu&amp;hloc=pl&amp;hloc=uk</t>
  </si>
  <si>
    <t>Corsair Dominator Titanium RGB schwarz DIMM Kit 32GB, DDR5-7200, CL34-44-44-96, on-die ECC</t>
  </si>
  <si>
    <t>CMP32GX5M2X7200C34</t>
  </si>
  <si>
    <t>https://geizhals.eu/corsair-dominator-titanium-rgb-schwarz-dimm-kit-32gb-cmp32gx5m2x7200c34-a3028288.html?hloc=at&amp;hloc=de&amp;hloc=eu&amp;hloc=pl&amp;hloc=uk</t>
  </si>
  <si>
    <t>Corsair Dominator Titanium RGB schwarz DIMM Kit 32GB, DDR5-7000, CL34-42-42-96, on-die ECC</t>
  </si>
  <si>
    <t>CMP32GX5M2X7000C34</t>
  </si>
  <si>
    <t>https://geizhals.eu/corsair-dominator-titanium-rgb-schwarz-dimm-kit-32gb-cmp32gx5m2x7000c34-a3028293.html?hloc=at&amp;hloc=de&amp;hloc=eu&amp;hloc=pl&amp;hloc=uk</t>
  </si>
  <si>
    <t>Corsair Dominator Titanium RGB schwarz DIMM Kit 32GB, DDR5-6600, CL32-39-39-76, on-die ECC</t>
  </si>
  <si>
    <t>CMP32GX5M2X6600C32</t>
  </si>
  <si>
    <t>https://geizhals.eu/corsair-dominator-titanium-rgb-schwarz-dimm-kit-32gb-cmp32gx5m2x6600c32-a3028296.html?hloc=at&amp;hloc=de&amp;hloc=eu&amp;hloc=pl&amp;hloc=uk</t>
  </si>
  <si>
    <t>Corsair Dominator Titanium RGB schwarz DIMM Kit 32GB, DDR5-6400, CL32-40-40-84, on-die ECC</t>
  </si>
  <si>
    <t>CMP32GX5M2B6400C32</t>
  </si>
  <si>
    <t>https://geizhals.eu/corsair-dominator-titanium-rgb-schwarz-dimm-kit-32gb-cmp32gx5m2b6400c32-a3025230.html?hloc=at&amp;hloc=de&amp;hloc=eu&amp;hloc=pl&amp;hloc=uk</t>
  </si>
  <si>
    <t>Corsair Dominator Titanium RGB schwarz DIMM Kit 32GB, DDR5-6000, CL30-36-36-76, on-die ECC</t>
  </si>
  <si>
    <t>CMP32GX5M2B6000C30</t>
  </si>
  <si>
    <t>https://geizhals.eu/corsair-dominator-titanium-rgb-schwarz-dimm-kit-32gb-cmp32gx5m2b6000c30-a3028299.html?hloc=at&amp;hloc=de&amp;hloc=eu&amp;hloc=pl&amp;hloc=uk</t>
  </si>
  <si>
    <t>Corsair Dominator Titanium RGB grau DIMM Kit 64GB, DDR5-6000, CL30-36-36-76, on-die ECC</t>
  </si>
  <si>
    <t>CMP64GX5M2B6000Z30</t>
  </si>
  <si>
    <t>https://geizhals.eu/corsair-dominator-titanium-rgb-schwarz-dimm-kit-64gb-cmp64gx5m2b6000z30-a3024575.html?hloc=at&amp;hloc=de&amp;hloc=eu&amp;hloc=pl&amp;hloc=uk</t>
  </si>
  <si>
    <t>Corsair Dominator Titanium RGB grau DIMM Kit 32GB, DDR5-6000, CL30-36-36-76, on-die ECC</t>
  </si>
  <si>
    <t>CMP32GX5M2B6000Z30</t>
  </si>
  <si>
    <t>https://geizhals.eu/corsair-dominator-titanium-rgb-schwarz-dimm-kit-32gb-cmp32gx5m2b6000z30-a3030203.html?hloc=at&amp;hloc=de&amp;hloc=eu&amp;hloc=pl&amp;hloc=uk</t>
  </si>
  <si>
    <t>Corsair Dominator Platinum RGB weiß DIMM Kit 64GB, DDR5-5600, CL40-40-40-77, on-die ECC</t>
  </si>
  <si>
    <t>CMT64GX5M2B5600C40W</t>
  </si>
  <si>
    <t>RGB, Multi-Zone, 12 LED, Corsair iCUE, Gigabyte RGB Fusion, MSI Mystic Light Sync</t>
  </si>
  <si>
    <t>https://geizhals.eu/corsair-dominator-platinum-rgb-weiss-dimm-kit-64gb-cmt64gx5m2b5600c40w-a2745606.html?hloc=at&amp;hloc=de&amp;hloc=eu&amp;hloc=pl&amp;hloc=uk</t>
  </si>
  <si>
    <t>Corsair Dominator Platinum RGB weiß DIMM Kit 64GB, DDR5-5200, CL40-40-40-77, on-die ECC</t>
  </si>
  <si>
    <t>CMT64GX5M2B5200C40W</t>
  </si>
  <si>
    <t>https://geizhals.eu/corsair-dominator-platinum-rgb-weiss-dimm-kit-64gb-cmt64gx5m2b5200c40w-a2727342.html?hloc=at&amp;hloc=de&amp;hloc=eu&amp;hloc=pl&amp;hloc=uk</t>
  </si>
  <si>
    <t>Corsair Dominator Platinum RGB weiß DIMM Kit 32GB, DDR5-6200, CL36-39-39-76, on-die ECC</t>
  </si>
  <si>
    <t>CMT32GX5M2X6200C36W</t>
  </si>
  <si>
    <t>https://geizhals.eu/corsair-dominator-platinum-rgb-weiss-dimm-kit-32gb-cmt32gx5m2x6200c36w-a2736630.html?hloc=at&amp;hloc=de&amp;hloc=eu&amp;hloc=pl&amp;hloc=uk</t>
  </si>
  <si>
    <t>Corsair Dominator Platinum RGB weiß DIMM Kit 32GB, DDR5-5200, CL40-40-40-77, on-die ECC</t>
  </si>
  <si>
    <t>CMT32GX5M2B5200C40W</t>
  </si>
  <si>
    <t>https://geizhals.eu/corsair-dominator-platinum-rgb-weiss-dimm-kit-32gb-cmt32gx5m2b5200c40w-a2727336.html?hloc=at&amp;hloc=de&amp;hloc=eu&amp;hloc=pl&amp;hloc=uk</t>
  </si>
  <si>
    <t>Corsair Dominator Platinum RGB schwarz DIMM Kit 64GB, DDR5-6800, CL40-50-50-110, on-die ECC</t>
  </si>
  <si>
    <t>CMT64GX5M2B6800C40</t>
  </si>
  <si>
    <t>https://geizhals.eu/corsair-dominator-platinum-rgb-schwarz-dimm-kit-64gb-cmt64gx5m2b6800c40-a2952310.html?hloc=at&amp;hloc=de&amp;hloc=eu&amp;hloc=pl&amp;hloc=uk</t>
  </si>
  <si>
    <t>Corsair Dominator Platinum RGB schwarz DIMM Kit 64GB, DDR5-6600, CL32-39-39-76, on-die ECC</t>
  </si>
  <si>
    <t>CMT64GX5M4B6600C32</t>
  </si>
  <si>
    <t>https://geizhals.eu/corsair-dominator-platinum-rgb-schwarz-dimm-kit-64gb-cmt64gx5m4b6600c32-a2900726.html?hloc=at&amp;hloc=de&amp;hloc=eu&amp;hloc=pl&amp;hloc=uk</t>
  </si>
  <si>
    <t>CMT64GX5M2B6600C32</t>
  </si>
  <si>
    <t>https://geizhals.eu/corsair-dominator-platinum-rgb-schwarz-dimm-kit-64gb-cmt64gx5m2b6600c32-a2941677.html?hloc=at&amp;hloc=de&amp;hloc=eu&amp;hloc=pl&amp;hloc=uk</t>
  </si>
  <si>
    <t>Corsair Dominator Platinum RGB schwarz DIMM Kit 64GB, DDR5-6400, CL32-40-40-84, on-die ECC</t>
  </si>
  <si>
    <t>CMT64GX5M4B6400C32</t>
  </si>
  <si>
    <t>https://geizhals.eu/corsair-dominator-platinum-rgb-schwarz-dimm-kit-64gb-cmt64gx5m4b6400c32-a2900722.html?hloc=at&amp;hloc=de&amp;hloc=eu&amp;hloc=pl&amp;hloc=uk</t>
  </si>
  <si>
    <t>CMT64GX5M2B6400C32</t>
  </si>
  <si>
    <t>https://geizhals.eu/corsair-dominator-platinum-rgb-schwarz-dimm-kit-64gb-cmt64gx5m2b6400c32-a2928544.html?hloc=at&amp;hloc=de&amp;hloc=eu&amp;hloc=pl&amp;hloc=uk</t>
  </si>
  <si>
    <t>Corsair Dominator Platinum RGB schwarz DIMM Kit 64GB, DDR5-6200, CL32-38-38-80, on-die ECC</t>
  </si>
  <si>
    <t>CMT64GX5M4B6200C32</t>
  </si>
  <si>
    <t>https://geizhals.eu/corsair-dominator-platinum-rgb-schwarz-dimm-kit-64gb-cmt64gx5m4b6200c32-a2900535.html?hloc=at&amp;hloc=de&amp;hloc=eu&amp;hloc=pl&amp;hloc=uk</t>
  </si>
  <si>
    <t>Corsair Dominator Platinum RGB schwarz DIMM Kit 64GB, DDR5-6000, CL40-40-40-77, on-die ECC</t>
  </si>
  <si>
    <t>CMT64GX5M2B6000C40</t>
  </si>
  <si>
    <t>https://geizhals.eu/corsair-dominator-platinum-rgb-schwarz-dimm-kit-64gb-cmt64gx5m2b6000c40-a2871102.html?hloc=at&amp;hloc=de&amp;hloc=eu&amp;hloc=pl&amp;hloc=uk</t>
  </si>
  <si>
    <t>Corsair Dominator Platinum RGB schwarz DIMM Kit 64GB, DDR5-6000, CL30-36-36-76, on-die ECC</t>
  </si>
  <si>
    <t>CMT64GX5M2B6000C30</t>
  </si>
  <si>
    <t>https://geizhals.eu/corsair-dominator-platinum-rgb-schwarz-dimm-kit-64gb-cmt64gx5m2b6000c30-a2952205.html?hloc=at&amp;hloc=de&amp;hloc=eu&amp;hloc=pl&amp;hloc=uk</t>
  </si>
  <si>
    <t>Corsair Dominator Platinum RGB schwarz DIMM Kit 64GB, DDR5-5600, CL40-40-40-77, on-die ECC</t>
  </si>
  <si>
    <t>CMT64GX5M2X5600C40</t>
  </si>
  <si>
    <t>https://geizhals.eu/corsair-dominator-platinum-rgb-schwarz-dimm-kit-64gb-cmt64gx5m2x5600c40-a2736624.html?hloc=at&amp;hloc=de&amp;hloc=eu&amp;hloc=pl&amp;hloc=uk</t>
  </si>
  <si>
    <t>CMT64GX5M2B5600C40</t>
  </si>
  <si>
    <t>https://geizhals.eu/corsair-dominator-platinum-rgb-schwarz-dimm-kit-64gb-cmt64gx5m2b5600c40-a2745604.html?hloc=at&amp;hloc=de&amp;hloc=eu&amp;hloc=pl&amp;hloc=uk</t>
  </si>
  <si>
    <t>Corsair Dominator Platinum RGB schwarz DIMM Kit 64GB, DDR5-5200, CL40-40-40-77, on-die ECC</t>
  </si>
  <si>
    <t>CMT64GX5M2B5200C40</t>
  </si>
  <si>
    <t>https://geizhals.eu/corsair-dominator-platinum-rgb-schwarz-dimm-kit-64gb-cmt64gx5m2b5200c40-a2669753.html?hloc=at&amp;hloc=de&amp;hloc=eu&amp;hloc=pl&amp;hloc=uk</t>
  </si>
  <si>
    <t>Corsair Dominator Platinum RGB schwarz DIMM Kit 32GB, DDR5-7200, CL34-44-44-96, on-die ECC</t>
  </si>
  <si>
    <t>CMT32GX5M2X7200C34</t>
  </si>
  <si>
    <t>https://geizhals.eu/corsair-dominator-platinum-rgb-schwarz-dimm-kit-32gb-cmt32gx5m2x7200c34-a2862798.html?hloc=at&amp;hloc=de&amp;hloc=eu&amp;hloc=pl&amp;hloc=uk</t>
  </si>
  <si>
    <t>Corsair Dominator Platinum RGB schwarz DIMM Kit 32GB, DDR5-6600, CL32-39-39-76, on-die ECC</t>
  </si>
  <si>
    <t>CMT32GX5M2X6600C32</t>
  </si>
  <si>
    <t>https://geizhals.eu/corsair-dominator-platinum-rgb-schwarz-dimm-kit-32gb-cmt32gx5m2x6600c32-a2782303.html?hloc=at&amp;hloc=de&amp;hloc=eu&amp;hloc=pl&amp;hloc=uk</t>
  </si>
  <si>
    <t>Corsair Dominator Platinum RGB schwarz DIMM Kit 32GB, DDR5-6400, CL32-40-40-84, on-die ECC</t>
  </si>
  <si>
    <t>CMT32GX5M2B6400C32</t>
  </si>
  <si>
    <t>https://geizhals.eu/corsair-dominator-platinum-rgb-schwarz-dimm-kit-32gb-cmt32gx5m2b6400c32-a2868018.html?hloc=at&amp;hloc=de&amp;hloc=eu&amp;hloc=pl&amp;hloc=uk</t>
  </si>
  <si>
    <t>Corsair Dominator Platinum RGB schwarz DIMM Kit 32GB, DDR5-6200, CL36-46-46-100, on-die ECC</t>
  </si>
  <si>
    <t>CMT32GX5M2E6200C36</t>
  </si>
  <si>
    <t>https://geizhals.eu/corsair-dominator-platinum-rgb-schwarz-dimm-kit-32gb-cmt32gx5m2e6200c36-a2930118.html?hloc=at&amp;hloc=de&amp;hloc=eu&amp;hloc=pl&amp;hloc=uk</t>
  </si>
  <si>
    <t>Corsair Dominator Platinum RGB schwarz DIMM Kit 32GB, DDR5-6200, CL36-39-39-76, on-die ECC</t>
  </si>
  <si>
    <t>CMT32GX5M2X6200C36</t>
  </si>
  <si>
    <t>https://geizhals.eu/corsair-dominator-platinum-rgb-schwarz-dimm-kit-32gb-cmt32gx5m2x6200c36-a2667444.html?hloc=at&amp;hloc=de&amp;hloc=eu&amp;hloc=pl&amp;hloc=uk</t>
  </si>
  <si>
    <t>Corsair Dominator Platinum RGB schwarz DIMM Kit 32GB, DDR5-6000, CL36-44-44-96, on-die ECC</t>
  </si>
  <si>
    <t>CMT32GX5M2E6000C36</t>
  </si>
  <si>
    <t>https://geizhals.eu/corsair-dominator-platinum-rgb-schwarz-dimm-kit-32gb-cmt32gx5m2e6000c36-a2930128.html?hloc=at&amp;hloc=de&amp;hloc=eu&amp;hloc=pl&amp;hloc=uk</t>
  </si>
  <si>
    <t>Corsair Dominator Platinum RGB schwarz DIMM Kit 32GB, DDR5-6000, CL36-38-38-76, on-die ECC</t>
  </si>
  <si>
    <t>CMT32GX5M2X6000C36</t>
  </si>
  <si>
    <t>https://geizhals.eu/corsair-dominator-platinum-rgb-schwarz-dimm-kit-32gb-cmt32gx5m2b6000c36-a2667450.html?hloc=at&amp;hloc=de&amp;hloc=eu&amp;hloc=pl&amp;hloc=uk</t>
  </si>
  <si>
    <t>Corsair Dominator Platinum RGB schwarz DIMM Kit 32GB, DDR5-6000, CL30-36-36-76, on-die ECC</t>
  </si>
  <si>
    <t>CMT32GX5M2B6000C30</t>
  </si>
  <si>
    <t>https://geizhals.eu/corsair-dominator-platinum-rgb-schwarz-dimm-kit-32gb-cmt32gx5m2b6000c30-a2951608.html?hloc=at&amp;hloc=de&amp;hloc=eu&amp;hloc=pl&amp;hloc=uk</t>
  </si>
  <si>
    <t>Corsair Dominator Platinum RGB schwarz DIMM Kit 32GB, DDR5-5600, CL36-36-36-76, on-die ECC</t>
  </si>
  <si>
    <t>CMT32GX5M2X5600C36</t>
  </si>
  <si>
    <t>https://geizhals.eu/corsair-dominator-platinum-rgb-schwarz-dimm-kit-32gb-cmt32gx5m2x5600c36-a2659505.html?hloc=at&amp;hloc=de&amp;hloc=eu&amp;hloc=pl&amp;hloc=uk</t>
  </si>
  <si>
    <t>Corsair Dominator Platinum RGB schwarz DIMM Kit 32GB, DDR5-5200, CL40-40-40-77, on-die ECC</t>
  </si>
  <si>
    <t>CMT32GX5M2B5200C40</t>
  </si>
  <si>
    <t>https://geizhals.eu/corsair-dominator-platinum-rgb-schwarz-dimm-kit-32gb-cmt32gx5m2b5200c40-a2659506.html?hloc=at&amp;hloc=de&amp;hloc=eu&amp;hloc=pl&amp;hloc=uk</t>
  </si>
  <si>
    <t>Corsair Dominator Platinum RGB grau DIMM Kit 64GB, DDR5-6000, CL30-36-36-76, on-die ECC</t>
  </si>
  <si>
    <t>CMT64GX5M2B6000Z30</t>
  </si>
  <si>
    <t>https://geizhals.eu/corsair-dominator-platinum-rgb-grau-dimm-kit-64gb-cmt64gx5m2b6000z30-a2952273.html?hloc=at&amp;hloc=de&amp;hloc=eu&amp;hloc=pl&amp;hloc=uk</t>
  </si>
  <si>
    <t>Corsair Dominator Platinum RGB grau DIMM Kit 64GB, DDR5-5600, CL40-40-40-77, on-die ECC</t>
  </si>
  <si>
    <t>CMT64GX5M2B5600Z40K</t>
  </si>
  <si>
    <t>https://geizhals.eu/corsair-dominator-platinum-rgb-grau-dimm-kit-64gb-cmt64gx5m2b5600z40k-a2829608.html?hloc=at&amp;hloc=de&amp;hloc=eu&amp;hloc=pl&amp;hloc=uk</t>
  </si>
  <si>
    <t>Corsair Dominator Platinum RGB grau DIMM Kit 32GB, DDR5-6000, CL36-36-36-76, on-die ECC</t>
  </si>
  <si>
    <t>CMT32GX5M2D6000Z36</t>
  </si>
  <si>
    <t>https://geizhals.eu/corsair-dominator-platinum-rgb-schwarz-dimm-kit-32gb-cmt32gx5m2d6000z36-a2815414.html?hloc=at&amp;hloc=de&amp;hloc=eu&amp;hloc=pl&amp;hloc=uk</t>
  </si>
  <si>
    <t>Corsair Dominator Platinum RGB grau DIMM Kit 32GB, DDR5-6000, CL30-36-36-76, on-die ECC</t>
  </si>
  <si>
    <t>CMT32GX5M2B6000Z30K</t>
  </si>
  <si>
    <t>https://geizhals.eu/corsair-dominator-platinum-rgb-grau-dimm-kit-32gb-cmt32gx5m2b6000z30k-a2943722.html?hloc=at&amp;hloc=de&amp;hloc=eu&amp;hloc=pl&amp;hloc=uk</t>
  </si>
  <si>
    <t>Corsair Dominator Platinum RGB grau DIMM Kit 32GB, DDR5-5600, CL36-36-36-76, on-die ECC</t>
  </si>
  <si>
    <t>CMT32GX5M2B5600Z36</t>
  </si>
  <si>
    <t>https://geizhals.eu/corsair-dominator-platinum-rgb-schwarz-dimm-kit-32gb-cmt32gx5m2b5600z36-a2806677.html?hloc=at&amp;hloc=de&amp;hloc=eu&amp;hloc=pl&amp;hloc=uk</t>
  </si>
  <si>
    <t>Corsair Dominator Platinum RGB grau DIMM Kit 32GB, DDR5-5200, CL40-40-40-77, on-die ECC</t>
  </si>
  <si>
    <t>CMT32GX5M2B5200Z40</t>
  </si>
  <si>
    <t>https://geizhals.eu/corsair-dominator-platinum-rgb-schwarz-dimm-kit-32gb-cmt32gx5m2b5200z40-a2806717.html?hloc=at&amp;hloc=de&amp;hloc=eu&amp;hloc=pl&amp;hloc=uk</t>
  </si>
  <si>
    <t>6400</t>
  </si>
  <si>
    <t>6000</t>
  </si>
  <si>
    <t>7600</t>
  </si>
  <si>
    <t>6800</t>
  </si>
  <si>
    <t>8000</t>
  </si>
  <si>
    <t>7200</t>
  </si>
  <si>
    <t>8400</t>
  </si>
  <si>
    <t>4800</t>
  </si>
  <si>
    <t>8200</t>
  </si>
  <si>
    <t>7800</t>
  </si>
  <si>
    <t>6600</t>
  </si>
  <si>
    <t>8800</t>
  </si>
  <si>
    <t>7000</t>
  </si>
  <si>
    <t>6200</t>
  </si>
  <si>
    <t>1</t>
  </si>
  <si>
    <t>Capacity</t>
  </si>
  <si>
    <t>38</t>
  </si>
  <si>
    <t>36</t>
  </si>
  <si>
    <t>40</t>
  </si>
  <si>
    <t>30</t>
  </si>
  <si>
    <t>34</t>
  </si>
  <si>
    <t>28</t>
  </si>
  <si>
    <t>26</t>
  </si>
  <si>
    <t>42</t>
  </si>
  <si>
    <t>46</t>
  </si>
  <si>
    <t>Kingston FURY Renegade DDR5-6400 64/2</t>
  </si>
  <si>
    <t>Kingston FURY Renegade DDR5-6000 64/2</t>
  </si>
  <si>
    <t>Kingston FURY Renegade DDR5-7600 32/2</t>
  </si>
  <si>
    <t>Kingston FURY Renegade DDR5-6800 32/2</t>
  </si>
  <si>
    <t>Kingston FURY Renegade DDR5-6400 32/2</t>
  </si>
  <si>
    <t>Kingston FURY Renegade DDR5-6400 32/1</t>
  </si>
  <si>
    <t>Kingston FURY Renegade DDR5-8000 16/1</t>
  </si>
  <si>
    <t>Kingston FURY Renegade DDR5-7600 16/1</t>
  </si>
  <si>
    <t>Kingston FURY Renegade DDR5-7200 16/1</t>
  </si>
  <si>
    <t>Kingston FURY Renegade DDR5-6400 16/1</t>
  </si>
  <si>
    <t>Kingston FURY Renegade DDR5-8400 48/2</t>
  </si>
  <si>
    <t>Kingston FURY Renegade DDR5-8400 24/1</t>
  </si>
  <si>
    <t>Kingston FURY Renegade DDR5-6400 96/2</t>
  </si>
  <si>
    <t>Kingston FURY Renegade DDR5-6000 96/2</t>
  </si>
  <si>
    <t>Kingston FURY Renegade DDR5-7200 48/2</t>
  </si>
  <si>
    <t>Kingston FURY Renegade DDR5-6400 48/2</t>
  </si>
  <si>
    <t>Kingston FURY Renegade DDR5-8000 32/2</t>
  </si>
  <si>
    <t>Kingston FURY Renegade DDR5-7200 32/2</t>
  </si>
  <si>
    <t>Kingston FURY Renegade DDR5-6000 32/2</t>
  </si>
  <si>
    <t>Kingston FURY Renegade DDR5-6400 48/1</t>
  </si>
  <si>
    <t>Kingston FURY Renegade DDR5-6000 48/1</t>
  </si>
  <si>
    <t>Kingston FURY Renegade DDR5-7200 24/1</t>
  </si>
  <si>
    <t>Kingston FURY Renegade DDR5-6400 24/1</t>
  </si>
  <si>
    <t>Kingston FURY Renegade DDR5-6800 16/1</t>
  </si>
  <si>
    <t>Kingston FURY Renegade DDR5-6000 16/1</t>
  </si>
  <si>
    <t>Kingston FURY Renegade DDR5-6000 32/1</t>
  </si>
  <si>
    <t>Kingston FURY Renegade DDR5-8000 48/2</t>
  </si>
  <si>
    <t>Kingston FURY Beast DDR5-5600 128/4</t>
  </si>
  <si>
    <t>Kingston FURY Beast DDR5-5200 128/4</t>
  </si>
  <si>
    <t>Kingston FURY Beast DDR5-6400 64/2</t>
  </si>
  <si>
    <t>Kingston FURY Beast DDR5-6000 64/2</t>
  </si>
  <si>
    <t>Kingston FURY Beast DDR5-5600 64/4</t>
  </si>
  <si>
    <t>Kingston FURY Beast DDR5-5600 64/2</t>
  </si>
  <si>
    <t>Kingston FURY Beast DDR5-5200 64/2</t>
  </si>
  <si>
    <t>Kingston FURY Beast DDR5-6800 32/2</t>
  </si>
  <si>
    <t>Kingston FURY Beast DDR5-6400 32/2</t>
  </si>
  <si>
    <t>Kingston FURY Beast DDR5-6000 32/2</t>
  </si>
  <si>
    <t>Kingston FURY Beast DDR5-5600 32/2</t>
  </si>
  <si>
    <t>Kingston FURY Beast DDR5-5200 32/2</t>
  </si>
  <si>
    <t>Kingston FURY Beast DDR5-6400 32/1</t>
  </si>
  <si>
    <t>Kingston FURY Beast DDR5-6000 32/1</t>
  </si>
  <si>
    <t>Kingston FURY Beast DDR5-5600 32/1</t>
  </si>
  <si>
    <t>Kingston FURY Beast DDR5-5200 32/1</t>
  </si>
  <si>
    <t>Kingston FURY Beast DDR5-6800 16/1</t>
  </si>
  <si>
    <t>Kingston FURY Beast DDR5-6400 16/1</t>
  </si>
  <si>
    <t>Kingston FURY Beast DDR5-6000 16/1</t>
  </si>
  <si>
    <t>Kingston FURY Beast DDR5-5600 16/1</t>
  </si>
  <si>
    <t>Kingston FURY Beast DDR5-5200 16/1</t>
  </si>
  <si>
    <t>Kingston FURY Beast DDR5-6000 64/4</t>
  </si>
  <si>
    <t>Kingston FURY Beast DDR5-5200 64/4</t>
  </si>
  <si>
    <t>Kingston FURY Beast DDR5-6000 16/2</t>
  </si>
  <si>
    <t>Kingston FURY Beast DDR5-5600 16/2</t>
  </si>
  <si>
    <t>Kingston FURY Beast DDR5-5200 16/2</t>
  </si>
  <si>
    <t>Kingston FURY Beast DDR5-6000 8/1</t>
  </si>
  <si>
    <t>Kingston FURY Beast DDR5-5600 8/1</t>
  </si>
  <si>
    <t>Kingston FURY Beast DDR5-5200 8/1</t>
  </si>
  <si>
    <t>Kingston FURY Beast DDR5-4800 8/1</t>
  </si>
  <si>
    <t>Kingston FURY Beast DDR5-4800 32/1</t>
  </si>
  <si>
    <t>G.Skill Trident Z5 DDR5-6000 64/2</t>
  </si>
  <si>
    <t>G.Skill Trident Z5 DDR5-6400 32/2</t>
  </si>
  <si>
    <t>G.Skill Trident Z5 DDR5-6000 32/2</t>
  </si>
  <si>
    <t>G.Skill Trident Z5 DDR5-5600 32/2</t>
  </si>
  <si>
    <t>G.Skill Trident Z5 DDR5-7600 32/2</t>
  </si>
  <si>
    <t>G.Skill Trident Z5 DDR5-6400 96/2</t>
  </si>
  <si>
    <t>G.Skill Trident Z5 DDR5-6400 64/2</t>
  </si>
  <si>
    <t>G.Skill Trident Z5 DDR5-8400 48/2</t>
  </si>
  <si>
    <t>G.Skill Trident Z5 DDR5-8200 48/2</t>
  </si>
  <si>
    <t>G.Skill Trident Z5 DDR5-7200 48/2</t>
  </si>
  <si>
    <t>G.Skill Trident Z5 DDR5-7200 32/2</t>
  </si>
  <si>
    <t>G.Skill Trident Z5 DDR5-8000 48/2</t>
  </si>
  <si>
    <t>G.Skill Trident Z5 DDR5-8000 32/2</t>
  </si>
  <si>
    <t>G.Skill Trident Z5 DDR5-7600 48/2</t>
  </si>
  <si>
    <t>G.Skill Trident Z5 DDR5-5600 64/2</t>
  </si>
  <si>
    <t>G.Skill Trident Z5 DDR5-7800 32/2</t>
  </si>
  <si>
    <t>G.Skill Trident Z5 DDR5-6800 32/2</t>
  </si>
  <si>
    <t>G.Skill Trident Z5 DDR5-6600 32/2</t>
  </si>
  <si>
    <t>G.Skill Trident Z5 DDR5-5200 32/2</t>
  </si>
  <si>
    <t>G.Skill Trident Z5 DDR5-6800 96/2</t>
  </si>
  <si>
    <t>G.Skill Trident Z5 DDR5-5600 96/2</t>
  </si>
  <si>
    <t>G.Skill Trident Z5 DDR5-6800 64/2</t>
  </si>
  <si>
    <t>G.Skill Trident Z5 DDR5-6800 48/2</t>
  </si>
  <si>
    <t>G.Skill Trident Z5 DDR5-6400 48/2</t>
  </si>
  <si>
    <t>G.Skill Trident Z5 DDR5-6000 48/2</t>
  </si>
  <si>
    <t>G.Skill Trident Z5 DDR5-5600 48/2</t>
  </si>
  <si>
    <t>G.Skill Trident Z5 DDR5-8800 48/2</t>
  </si>
  <si>
    <t>G.Skill Ripjaws S5 DDR5-6000 64/2</t>
  </si>
  <si>
    <t>G.Skill Ripjaws S5 DDR5-5600 64/2</t>
  </si>
  <si>
    <t>G.Skill Ripjaws S5 DDR5-5200 64/2</t>
  </si>
  <si>
    <t>G.Skill Ripjaws S5 DDR5-6000 48/2</t>
  </si>
  <si>
    <t>G.Skill Ripjaws S5 DDR5-6400 32/2</t>
  </si>
  <si>
    <t>G.Skill Ripjaws S5 DDR5-6000 32/2</t>
  </si>
  <si>
    <t>G.Skill Ripjaws S5 DDR5-5600 32/2</t>
  </si>
  <si>
    <t>G.Skill Ripjaws S5 DDR5-6800 96/2</t>
  </si>
  <si>
    <t>G.Skill Ripjaws S5 DDR5-5600 96/2</t>
  </si>
  <si>
    <t>G.Skill Ripjaws S5 DDR5-6800 64/2</t>
  </si>
  <si>
    <t>G.Skill Ripjaws S5 DDR5-6400 64/2</t>
  </si>
  <si>
    <t>G.Skill Ripjaws S5 DDR5-6800 48/2</t>
  </si>
  <si>
    <t>G.Skill Ripjaws S5 DDR5-6400 48/2</t>
  </si>
  <si>
    <t>G.Skill Ripjaws S5 DDR5-5600 48/2</t>
  </si>
  <si>
    <t>G.Skill Ripjaws S5 DDR5-6800 32/2</t>
  </si>
  <si>
    <t>G.Skill Ripjaws S5 DDR5-6600 32/2</t>
  </si>
  <si>
    <t>G.Skill Ripjaws S5 DDR5-5200 32/2</t>
  </si>
  <si>
    <t>G.Skill Ripjaws M5 DDR5-6400 96/2</t>
  </si>
  <si>
    <t>G.Skill Ripjaws M5 DDR5-6000 96/2</t>
  </si>
  <si>
    <t>G.Skill Ripjaws M5 DDR5-5600 96/2</t>
  </si>
  <si>
    <t>G.Skill Ripjaws M5 DDR5-6000 64/2</t>
  </si>
  <si>
    <t>G.Skill Ripjaws M5 DDR5-5600 64/2</t>
  </si>
  <si>
    <t>G.Skill Ripjaws M5 DDR5-5200 64/2</t>
  </si>
  <si>
    <t>G.Skill Ripjaws M5 DDR5-6000 48/2</t>
  </si>
  <si>
    <t>G.Skill Ripjaws M5 DDR5-5200 48/2</t>
  </si>
  <si>
    <t>G.Skill Ripjaws M5 DDR5-6400 32/2</t>
  </si>
  <si>
    <t>G.Skill Ripjaws M5 DDR5-6000 32/2</t>
  </si>
  <si>
    <t>G.Skill Ripjaws M5 DDR5-5600 32/2</t>
  </si>
  <si>
    <t>G.Skill Ripjaws M5 DDR5-5200 32/2</t>
  </si>
  <si>
    <t>G.Skill Ripjaws M5 DDR5-5200 96/2</t>
  </si>
  <si>
    <t>G.Skill Ripjaws M5 DDR5-6400 64/2</t>
  </si>
  <si>
    <t>G.Skill Ripjaws M5 Neo DDR5-6000 64/2</t>
  </si>
  <si>
    <t>G.Skill Ripjaws M5 Neo DDR5-6400 32/2</t>
  </si>
  <si>
    <t>G.Skill Ripjaws M5 Neo DDR5-6000 32/2</t>
  </si>
  <si>
    <t>G.Skill Ripjaws M5 Neo DDR5-6000 48/2</t>
  </si>
  <si>
    <t>G.Skill Flare X5 DDR5-6000 64/2</t>
  </si>
  <si>
    <t>G.Skill Flare X5 DDR5-6400 32/2</t>
  </si>
  <si>
    <t>G.Skill Flare X5 DDR5-6000 32/2</t>
  </si>
  <si>
    <t>G.Skill Flare X5 DDR5-5600 96/2</t>
  </si>
  <si>
    <t>G.Skill Flare X5 DDR5-5600 64/2</t>
  </si>
  <si>
    <t>G.Skill Flare X5 DDR5-6000 48/2</t>
  </si>
  <si>
    <t>G.Skill Flare X5 DDR5-5600 48/2</t>
  </si>
  <si>
    <t>G.Skill Flare X5 DDR5-5200 48/2</t>
  </si>
  <si>
    <t>G.Skill Flare X5 DDR5-5600 32/2</t>
  </si>
  <si>
    <t>G.Skill Flare X5 DDR5-5200 32/2</t>
  </si>
  <si>
    <t>G.Skill Aegis 5 DDR5-5600 32/2</t>
  </si>
  <si>
    <t>G.Skill Aegis 5 DDR5-5600 32/1</t>
  </si>
  <si>
    <t>G.Skill Aegis 5 DDR5-5600 16/1</t>
  </si>
  <si>
    <t>Corsair Vengeance  DDR5-6000 64/2</t>
  </si>
  <si>
    <t>Corsair Vengeance  DDR5-5600 64/2</t>
  </si>
  <si>
    <t>Corsair Vengeance  DDR5-5200 64/2</t>
  </si>
  <si>
    <t>Corsair Vengeance  DDR5-6000 48/2</t>
  </si>
  <si>
    <t>Corsair Vengeance  DDR5-6400 32/2</t>
  </si>
  <si>
    <t>Corsair Vengeance  DDR5-6000 32/2</t>
  </si>
  <si>
    <t>Corsair Vengeance  DDR5-5600 32/2</t>
  </si>
  <si>
    <t>Corsair Vengeance  DDR5-5200 32/2</t>
  </si>
  <si>
    <t>Corsair Vengeance  DDR5-8400 48/2</t>
  </si>
  <si>
    <t>Corsair Vengeance  DDR5-8200 48/2</t>
  </si>
  <si>
    <t>Corsair Vengeance  DDR5-8000 48/2</t>
  </si>
  <si>
    <t>Corsair Vengeance  DDR5-5200 192/4</t>
  </si>
  <si>
    <t>Corsair Vengeance  DDR5-5600 128/4</t>
  </si>
  <si>
    <t>Corsair Vengeance  DDR5-7000 96/2</t>
  </si>
  <si>
    <t>Corsair Vengeance  DDR5-6800 96/2</t>
  </si>
  <si>
    <t>Corsair Vengeance  DDR5-6600 96/2</t>
  </si>
  <si>
    <t>Corsair Vengeance  DDR5-6400 96/4</t>
  </si>
  <si>
    <t>Corsair Vengeance  DDR5-6400 96/2</t>
  </si>
  <si>
    <t>Corsair Vengeance  DDR5-6000 96/4</t>
  </si>
  <si>
    <t>Corsair Vengeance  DDR5-6000 96/2</t>
  </si>
  <si>
    <t>Corsair Vengeance  DDR5-5600 96/4</t>
  </si>
  <si>
    <t>Corsair Vengeance  DDR5-5600 96/2</t>
  </si>
  <si>
    <t>Corsair Vengeance  DDR5-5200 96/2</t>
  </si>
  <si>
    <t>Corsair Vengeance  DDR5-6800 64/2</t>
  </si>
  <si>
    <t>Corsair Vengeance  DDR5-6600 64/4</t>
  </si>
  <si>
    <t>Corsair Vengeance  DDR5-6600 64/2</t>
  </si>
  <si>
    <t>Corsair Vengeance  DDR5-6400 64/4</t>
  </si>
  <si>
    <t>Corsair Vengeance  DDR5-6400 64/2</t>
  </si>
  <si>
    <t>Corsair Vengeance  DDR5-6200 64/4</t>
  </si>
  <si>
    <t>Corsair Vengeance  DDR5-6200 64/2</t>
  </si>
  <si>
    <t>Corsair Vengeance  DDR5-6000 64/4</t>
  </si>
  <si>
    <t>Corsair Vengeance  DDR5-5600 64/4</t>
  </si>
  <si>
    <t>Corsair Vengeance  DDR5-4800 64/2</t>
  </si>
  <si>
    <t>Corsair Vengeance  DDR5-7000 48/2</t>
  </si>
  <si>
    <t>Corsair Vengeance  DDR5-6400 48/2</t>
  </si>
  <si>
    <t>Corsair Vengeance  DDR5-5600 48/2</t>
  </si>
  <si>
    <t>Corsair Vengeance  DDR5-5200 48/2</t>
  </si>
  <si>
    <t>Corsair Vengeance  DDR5-7200 32/2</t>
  </si>
  <si>
    <t>Corsair Vengeance  DDR5-7000 32/2</t>
  </si>
  <si>
    <t>Corsair Vengeance  DDR5-6800 32/2</t>
  </si>
  <si>
    <t>Corsair Vengeance  DDR5-6600 32/2</t>
  </si>
  <si>
    <t>Corsair Vengeance  DDR5-6200 32/2</t>
  </si>
  <si>
    <t>Corsair Vengeance  DDR5-4800 32/2</t>
  </si>
  <si>
    <t>Corsair Vengeance  DDR5-5200 16/2</t>
  </si>
  <si>
    <t>Corsair Vengeance  DDR5-5600 32/1</t>
  </si>
  <si>
    <t>Corsair Vengeance  DDR5-5200 16/1</t>
  </si>
  <si>
    <t>Corsair Vengeance  DDR5-7200 96/2</t>
  </si>
  <si>
    <t>Corsair Vengeance  DDR5-7200 48/2</t>
  </si>
  <si>
    <t>Corsair Vengeance  DDR5-5600 16/1</t>
  </si>
  <si>
    <t>Corsair Vengeance  DDR5-5200 32/1</t>
  </si>
  <si>
    <t>Corsair Dominator Titanium DDR5-6600 96/2</t>
  </si>
  <si>
    <t>Corsair Dominator Titanium DDR5-6400 96/2</t>
  </si>
  <si>
    <t>Corsair Dominator Titanium DDR5-6600 64/2</t>
  </si>
  <si>
    <t>Corsair Dominator Titanium DDR5-6400 64/4</t>
  </si>
  <si>
    <t>Corsair Dominator Titanium DDR5-6400 64/2</t>
  </si>
  <si>
    <t>Corsair Dominator Titanium DDR5-6000 64/4</t>
  </si>
  <si>
    <t>Corsair Dominator Titanium DDR5-6000 64/2</t>
  </si>
  <si>
    <t>Corsair Dominator Titanium DDR5-7200 48/2</t>
  </si>
  <si>
    <t>Corsair Dominator Titanium DDR5-7000 48/2</t>
  </si>
  <si>
    <t>Corsair Dominator Titanium DDR5-6000 48/2</t>
  </si>
  <si>
    <t>Corsair Dominator Titanium DDR5-7200 32/2</t>
  </si>
  <si>
    <t>Corsair Dominator Titanium DDR5-7000 32/2</t>
  </si>
  <si>
    <t>Corsair Dominator Titanium DDR5-6600 32/2</t>
  </si>
  <si>
    <t>Corsair Dominator Titanium DDR5-6400 32/2</t>
  </si>
  <si>
    <t>Corsair Dominator Titanium DDR5-6000 32/2</t>
  </si>
  <si>
    <t>Corsair Dominator Titanium DDR5-7000 96/2</t>
  </si>
  <si>
    <t>Corsair Dominator Titanium DDR5-6400 96/4</t>
  </si>
  <si>
    <t>Corsair Dominator Titanium DDR5-6000 96/4</t>
  </si>
  <si>
    <t>Corsair Dominator Platinum DDR5-5600 64/2</t>
  </si>
  <si>
    <t>Corsair Dominator Platinum DDR5-5200 64/2</t>
  </si>
  <si>
    <t>Corsair Dominator Platinum DDR5-6200 32/2</t>
  </si>
  <si>
    <t>Corsair Dominator Platinum DDR5-5200 32/2</t>
  </si>
  <si>
    <t>Corsair Dominator Platinum DDR5-6800 64/2</t>
  </si>
  <si>
    <t>Corsair Dominator Platinum DDR5-6600 64/4</t>
  </si>
  <si>
    <t>Corsair Dominator Platinum DDR5-6600 64/2</t>
  </si>
  <si>
    <t>Corsair Dominator Platinum DDR5-6400 64/4</t>
  </si>
  <si>
    <t>Corsair Dominator Platinum DDR5-6400 64/2</t>
  </si>
  <si>
    <t>Corsair Dominator Platinum DDR5-6200 64/4</t>
  </si>
  <si>
    <t>Corsair Dominator Platinum DDR5-6000 64/2</t>
  </si>
  <si>
    <t>Corsair Dominator Platinum DDR5-7200 32/2</t>
  </si>
  <si>
    <t>Corsair Dominator Platinum DDR5-6600 32/2</t>
  </si>
  <si>
    <t>Corsair Dominator Platinum DDR5-6400 32/2</t>
  </si>
  <si>
    <t>Corsair Dominator Platinum DDR5-6000 32/2</t>
  </si>
  <si>
    <t>Corsair Dominator Platinum DDR5-5600 32/2</t>
  </si>
  <si>
    <t>Gaming</t>
  </si>
  <si>
    <t>ML/AI</t>
  </si>
  <si>
    <t>3D Rendering</t>
  </si>
  <si>
    <t>Task</t>
  </si>
  <si>
    <t>CPU Specification Weights per Task</t>
  </si>
  <si>
    <t>HPC</t>
  </si>
  <si>
    <t>Scaling Factor</t>
  </si>
  <si>
    <t>5600, 6400</t>
  </si>
  <si>
    <t>GPU Specification Weights per Task</t>
  </si>
  <si>
    <t>Pixel Fill Rate</t>
  </si>
  <si>
    <t>Texture Units</t>
  </si>
  <si>
    <t>RT Cores</t>
  </si>
  <si>
    <t>RAM Specification Weights per Task</t>
  </si>
  <si>
    <t>Number of Channels</t>
  </si>
  <si>
    <t>k</t>
  </si>
  <si>
    <t>j</t>
  </si>
  <si>
    <t>Motherboard Factors</t>
  </si>
  <si>
    <t>Kingston Server Premier DDR4-3200 32/1</t>
  </si>
  <si>
    <t>Kingston Server Premier DDR4-2666 32/1</t>
  </si>
  <si>
    <t>Kingston Server Premier DDR4-3200 16/1</t>
  </si>
  <si>
    <t>Kingston Server Premier DDR4-2666 16/1</t>
  </si>
  <si>
    <t>Kingston Server Premier DDR4-3200 8/1</t>
  </si>
  <si>
    <t>Kingston Server Premier DDR4-2666 8/1</t>
  </si>
  <si>
    <t>Kingston FURY schwarz DDR4-3200 16/1</t>
  </si>
  <si>
    <t>Kingston FURY schwarz DDR4-2400 4/1</t>
  </si>
  <si>
    <t>Kingston FURY Renegade DDR4-3200 32/8</t>
  </si>
  <si>
    <t>Kingston FURY Renegade DDR4-3200 32/4</t>
  </si>
  <si>
    <t>Kingston FURY Renegade DDR4-3600 32/2</t>
  </si>
  <si>
    <t>Kingston FURY Renegade DDR4-3600 16/4</t>
  </si>
  <si>
    <t>Kingston FURY Renegade DDR4-3200 32/2</t>
  </si>
  <si>
    <t>Kingston FURY Renegade DDR4-3200 16/4</t>
  </si>
  <si>
    <t>Kingston FURY Renegade DDR4-3600 8/4</t>
  </si>
  <si>
    <t>Kingston FURY Renegade DDR4-3600 16/2</t>
  </si>
  <si>
    <t>Kingston FURY Renegade DDR4-3200 8/4</t>
  </si>
  <si>
    <t>Kingston FURY Renegade DDR4-3200 16/2</t>
  </si>
  <si>
    <t>Kingston FURY Renegade DDR4-4600 8/2</t>
  </si>
  <si>
    <t>Kingston FURY Renegade DDR4-4266 8/2</t>
  </si>
  <si>
    <t>Kingston FURY Renegade DDR4-4000 8/2</t>
  </si>
  <si>
    <t>Kingston FURY Renegade DDR4-3600 8/2</t>
  </si>
  <si>
    <t>Kingston FURY Renegade DDR4-3200 8/2</t>
  </si>
  <si>
    <t>Kingston FURY Renegade DDR4-3000 8/2</t>
  </si>
  <si>
    <t>Kingston FURY Renegade DDR4-3600 32/1</t>
  </si>
  <si>
    <t>Kingston FURY Renegade DDR4-3200 32/1</t>
  </si>
  <si>
    <t>Kingston FURY Renegade DDR4-3600 16/1</t>
  </si>
  <si>
    <t>Kingston FURY Renegade DDR4-3200 16/1</t>
  </si>
  <si>
    <t>Kingston FURY Renegade DDR4-3000 16/1</t>
  </si>
  <si>
    <t>Kingston FURY Renegade DDR4-4000 8/1</t>
  </si>
  <si>
    <t>Kingston FURY Renegade DDR4-3600 8/1</t>
  </si>
  <si>
    <t>Kingston FURY Renegade DDR4-3200 8/1</t>
  </si>
  <si>
    <t>Kingston FURY Renegade DDR4-3000 8/1</t>
  </si>
  <si>
    <t>Kingston FURY Renegade DDR4-3600 32/4</t>
  </si>
  <si>
    <t>Kingston FURY Renegade DDR4-4600 16/2</t>
  </si>
  <si>
    <t>Kingston FURY Renegade DDR4-4266 16/2</t>
  </si>
  <si>
    <t>Kingston FURY Renegade DDR4-4000 16/2</t>
  </si>
  <si>
    <t>Kingston FURY Renegade DDR4-5333 8/2</t>
  </si>
  <si>
    <t>Kingston FURY Renegade DDR4-5000 8/2</t>
  </si>
  <si>
    <t>Kingston FURY Renegade DDR4-4800 8/2</t>
  </si>
  <si>
    <t>Kingston FURY Renegade DDR4-4000 16/1</t>
  </si>
  <si>
    <t>Kingston FURY Beast DDR4-3200 16/2</t>
  </si>
  <si>
    <t>Kingston FURY Beast DDR4-3600 8/2</t>
  </si>
  <si>
    <t>Kingston FURY Beast DDR4-3200 8/2</t>
  </si>
  <si>
    <t>Kingston FURY Beast DDR4-3200 16/1</t>
  </si>
  <si>
    <t>Kingston FURY Beast DDR4-3600 8/1</t>
  </si>
  <si>
    <t>Kingston FURY Beast DDR4-3200 8/1</t>
  </si>
  <si>
    <t>Kingston FURY Beast DDR4-3600 32/4</t>
  </si>
  <si>
    <t>Kingston FURY Beast DDR4-3200 32/4</t>
  </si>
  <si>
    <t>Kingston FURY Beast DDR4-3600 16/4</t>
  </si>
  <si>
    <t>Kingston FURY Beast DDR4-3600 32/2</t>
  </si>
  <si>
    <t>Kingston FURY Beast DDR4-3200 16/4</t>
  </si>
  <si>
    <t>Kingston FURY Beast DDR4-3200 32/2</t>
  </si>
  <si>
    <t>Kingston FURY Beast DDR4-2666 16/4</t>
  </si>
  <si>
    <t>Kingston FURY Beast DDR4-3600 16/2</t>
  </si>
  <si>
    <t>Kingston FURY Beast DDR4-3600 8/4</t>
  </si>
  <si>
    <t>Kingston FURY Beast DDR4-3200 8/4</t>
  </si>
  <si>
    <t>Kingston FURY Beast DDR4-2666 16/2</t>
  </si>
  <si>
    <t>Kingston FURY Beast DDR4-3000 8/2</t>
  </si>
  <si>
    <t>Kingston FURY Beast DDR4-3600 32/1</t>
  </si>
  <si>
    <t>Kingston FURY Beast DDR4-3200 32/1</t>
  </si>
  <si>
    <t>Kingston FURY Beast DDR4-3733 16/1</t>
  </si>
  <si>
    <t>Kingston FURY Beast DDR4-3600 16/1</t>
  </si>
  <si>
    <t>Kingston FURY Beast DDR4-3000 16/1</t>
  </si>
  <si>
    <t>Kingston FURY Beast DDR4-2666 16/1</t>
  </si>
  <si>
    <t>Kingston FURY Beast DDR4-3733 8/1</t>
  </si>
  <si>
    <t>Kingston FURY Beast DDR4-2666 8/1</t>
  </si>
  <si>
    <t>Kingston FURY Beast DDR4-3200 4/4</t>
  </si>
  <si>
    <t>Kingston FURY Beast DDR4-2666 8/2</t>
  </si>
  <si>
    <t>Kingston FURY Beast DDR4-3200 4/2</t>
  </si>
  <si>
    <t>Kingston FURY Beast DDR4-2666 4/2</t>
  </si>
  <si>
    <t>Kingston FURY Beast DDR4-3000 32/1</t>
  </si>
  <si>
    <t>Kingston FURY Beast DDR4-3200 4/1</t>
  </si>
  <si>
    <t>Kingston FURY Beast DDR4-2666 4/1</t>
  </si>
  <si>
    <t>G.Skill Trident Z DDR4-3200 16/2</t>
  </si>
  <si>
    <t>G.Skill Trident Z DDR4-3200 8/2</t>
  </si>
  <si>
    <t>G.Skill Trident Z DDR4-3600 16/2</t>
  </si>
  <si>
    <t>G.Skill Trident Z DDR4-4133 8/4</t>
  </si>
  <si>
    <t>G.Skill Trident Z Royal DDR4-3600 16/8</t>
  </si>
  <si>
    <t>G.Skill Trident Z Royal DDR4-4400 32/2</t>
  </si>
  <si>
    <t>G.Skill Trident Z Royal DDR4-4000 32/2</t>
  </si>
  <si>
    <t>G.Skill Trident Z Royal DDR4-3600 16/4</t>
  </si>
  <si>
    <t>G.Skill Trident Z Royal DDR4-4266 16/2</t>
  </si>
  <si>
    <t>G.Skill Trident Z Royal DDR4-3600 16/2</t>
  </si>
  <si>
    <t>G.Skill Trident Z Royal DDR4-3600 8/4</t>
  </si>
  <si>
    <t>G.Skill Trident Z Royal DDR4-3600 8/2</t>
  </si>
  <si>
    <t>G.Skill Trident Z Royal DDR4-3200 8/2</t>
  </si>
  <si>
    <t>G.Skill Trident Z Royal DDR4-4000 32/4</t>
  </si>
  <si>
    <t>G.Skill Trident Z Royal DDR4-3200 16/8</t>
  </si>
  <si>
    <t>G.Skill Trident Z Royal DDR4-4400 16/2</t>
  </si>
  <si>
    <t>G.Skill Trident Z Royal DDR4-4600 8/2</t>
  </si>
  <si>
    <t>G.Skill Trident Z Royal DDR4-4266 32/2</t>
  </si>
  <si>
    <t>G.Skill Trident Z DDR4-4400 32/2</t>
  </si>
  <si>
    <t>G.Skill Trident Z DDR4-4266 32/2</t>
  </si>
  <si>
    <t>G.Skill Trident Z DDR4-3600 32/2</t>
  </si>
  <si>
    <t>G.Skill Trident Z DDR4-3600 16/4</t>
  </si>
  <si>
    <t>G.Skill Trident Z DDR4-4400 16/2</t>
  </si>
  <si>
    <t>G.Skill Trident Z DDR4-4000 16/2</t>
  </si>
  <si>
    <t>G.Skill Trident Z DDR4-3600 8/4</t>
  </si>
  <si>
    <t>G.Skill Trident Z DDR4-3200 8/4</t>
  </si>
  <si>
    <t>G.Skill Trident Z DDR4-3000 16/2</t>
  </si>
  <si>
    <t>G.Skill Trident Z DDR4-4000 8/2</t>
  </si>
  <si>
    <t>G.Skill Trident Z DDR4-3600 8/2</t>
  </si>
  <si>
    <t>G.Skill Trident Z DDR4-3000 8/2</t>
  </si>
  <si>
    <t>G.Skill Trident Z Neo DDR4-3200 32/8</t>
  </si>
  <si>
    <t>G.Skill Trident Z Neo DDR4-3600 16/4</t>
  </si>
  <si>
    <t>G.Skill Trident Z Neo DDR4-3600 32/2</t>
  </si>
  <si>
    <t>G.Skill Trident Z Neo DDR4-3200 16/4</t>
  </si>
  <si>
    <t>G.Skill Trident Z Neo DDR4-3000 16/4</t>
  </si>
  <si>
    <t>G.Skill Trident Z Neo DDR4-4000 16/2</t>
  </si>
  <si>
    <t>G.Skill Trident Z Neo DDR4-3600 8/4</t>
  </si>
  <si>
    <t>G.Skill Trident Z Neo DDR4-3600 16/2</t>
  </si>
  <si>
    <t>G.Skill Trident Z Neo DDR4-3200 8/4</t>
  </si>
  <si>
    <t>G.Skill Trident Z Neo DDR4-3200 16/2</t>
  </si>
  <si>
    <t>G.Skill Trident Z Neo DDR4-3000 8/4</t>
  </si>
  <si>
    <t>G.Skill Trident Z Neo DDR4-3600 8/2</t>
  </si>
  <si>
    <t>G.Skill Trident Z Neo DDR4-3200 8/2</t>
  </si>
  <si>
    <t>G.Skill RipJaws V DDR4-3600 16/2</t>
  </si>
  <si>
    <t>G.Skill RipJaws V DDR4-3600 32/8</t>
  </si>
  <si>
    <t>G.Skill RipJaws V DDR4-3200 32/8</t>
  </si>
  <si>
    <t>G.Skill RipJaws V DDR4-3600 32/4</t>
  </si>
  <si>
    <t>G.Skill RipJaws V DDR4-3200 32/4</t>
  </si>
  <si>
    <t>G.Skill RipJaws V DDR4-2666 32/4</t>
  </si>
  <si>
    <t>G.Skill RipJaws V DDR4-3600 16/4</t>
  </si>
  <si>
    <t>G.Skill RipJaws V DDR4-3600 32/2</t>
  </si>
  <si>
    <t>G.Skill RipJaws V DDR4-3200 16/4</t>
  </si>
  <si>
    <t>G.Skill RipJaws V DDR4-3200 32/2</t>
  </si>
  <si>
    <t>G.Skill RipJaws V DDR4-2666 32/2</t>
  </si>
  <si>
    <t>G.Skill RipJaws V DDR4-4400 16/2</t>
  </si>
  <si>
    <t>G.Skill RipJaws V DDR4-4266 16/2</t>
  </si>
  <si>
    <t>G.Skill RipJaws V DDR4-4000 8/4</t>
  </si>
  <si>
    <t>G.Skill RipJaws V DDR4-4000 16/2</t>
  </si>
  <si>
    <t>G.Skill RipJaws V DDR4-3200 16/2</t>
  </si>
  <si>
    <t>G.Skill RipJaws V DDR4-4600 8/2</t>
  </si>
  <si>
    <t>G.Skill RipJaws V DDR4-4000 8/2</t>
  </si>
  <si>
    <t>G.Skill RipJaws V DDR4-3600 8/2</t>
  </si>
  <si>
    <t>G.Skill RipJaws V DDR4-3200 8/2</t>
  </si>
  <si>
    <t>G.Skill RipJaws V DDR4-3200 4/2</t>
  </si>
  <si>
    <t>G.Skill RipJaws V DDR4-3200 32/1</t>
  </si>
  <si>
    <t>G.Skill RipJaws V DDR4-2666 32/1</t>
  </si>
  <si>
    <t>G.Skill RipJaws V DDR4-3200 16/1</t>
  </si>
  <si>
    <t>G.Skill RipJaws V DDR4-3000 16/2</t>
  </si>
  <si>
    <t>G.Skill RipJaws V DDR4-2400 8/4</t>
  </si>
  <si>
    <t>G.Skill RipJaws V DDR4-2400 16/2</t>
  </si>
  <si>
    <t>G.Skill RipJaws V DDR4-3000 8/2</t>
  </si>
  <si>
    <t>G.Skill RipJaws V DDR4-2666 8/2</t>
  </si>
  <si>
    <t>G.Skill RipJaws V DDR4-2400 8/2</t>
  </si>
  <si>
    <t>G.Skill RipJaws V DDR4-2133 8/2</t>
  </si>
  <si>
    <t>G.Skill RipJaws V DDR4-2800 8/1</t>
  </si>
  <si>
    <t>G.Skill RipJaws 4 DDR4-2400 8/2</t>
  </si>
  <si>
    <t>G.Skill NT Series DDR4-2666 32/2</t>
  </si>
  <si>
    <t>G.Skill NT Series DDR4-2666 8/2</t>
  </si>
  <si>
    <t>G.Skill NT Series DDR4-2400 8/2</t>
  </si>
  <si>
    <t>G.Skill NT Series DDR4-2133 8/2</t>
  </si>
  <si>
    <t>G.Skill NT Series DDR4-2133 4/2</t>
  </si>
  <si>
    <t>G.Skill NT Series DDR4-2666 32/1</t>
  </si>
  <si>
    <t>G.Skill NT Series DDR4-2666 8/1</t>
  </si>
  <si>
    <t>G.Skill NT Series DDR4-2400 8/1</t>
  </si>
  <si>
    <t>G.Skill NT Series DDR4-2133 8/1</t>
  </si>
  <si>
    <t>G.Skill NT Series DDR4-2400 4/1</t>
  </si>
  <si>
    <t>G.Skill NT Series DDR4-2133 4/1</t>
  </si>
  <si>
    <t>G.Skill Fortis DIMM DDR4-2133 8/2</t>
  </si>
  <si>
    <t>G.Skill Flare X DDR4-3200 16/4</t>
  </si>
  <si>
    <t>G.Skill Flare X DDR4-3200 16/2</t>
  </si>
  <si>
    <t>G.Skill Aegis  DDR4-3200 16/4</t>
  </si>
  <si>
    <t>G.Skill Aegis  DDR4-3200 8/4</t>
  </si>
  <si>
    <t>G.Skill Aegis  DDR4-3200 16/2</t>
  </si>
  <si>
    <t>G.Skill Aegis  DDR4-3000 16/2</t>
  </si>
  <si>
    <t>G.Skill Aegis  DDR4-2666 16/2</t>
  </si>
  <si>
    <t>G.Skill Aegis  DDR4-2400 16/2</t>
  </si>
  <si>
    <t>G.Skill Aegis  DDR4-3200 8/2</t>
  </si>
  <si>
    <t>G.Skill Aegis  DDR4-3000 8/2</t>
  </si>
  <si>
    <t>G.Skill Aegis  DDR4-2666 8/2</t>
  </si>
  <si>
    <t>G.Skill Aegis  DDR4-2400 8/2</t>
  </si>
  <si>
    <t>G.Skill Aegis  DDR4-2133 8/2</t>
  </si>
  <si>
    <t>G.Skill Aegis  DDR4-2400 4/2</t>
  </si>
  <si>
    <t>G.Skill Aegis  DDR4-2133 4/2</t>
  </si>
  <si>
    <t>G.Skill Aegis  DDR4-3200 16/1</t>
  </si>
  <si>
    <t>G.Skill Aegis  DDR4-3000 16/1</t>
  </si>
  <si>
    <t>G.Skill Aegis  DDR4-2666 16/1</t>
  </si>
  <si>
    <t>G.Skill Aegis  DDR4-2400 16/1</t>
  </si>
  <si>
    <t>G.Skill Aegis  DDR4-2133 16/1</t>
  </si>
  <si>
    <t>G.Skill Aegis  DDR4-3200 8/1</t>
  </si>
  <si>
    <t>G.Skill Aegis  DDR4-3000 8/1</t>
  </si>
  <si>
    <t>G.Skill Aegis  DDR4-2800 8/1</t>
  </si>
  <si>
    <t>G.Skill Aegis  DDR4-2666 8/1</t>
  </si>
  <si>
    <t>G.Skill Aegis  DDR4-2400 8/1</t>
  </si>
  <si>
    <t>G.Skill Aegis  DDR4-2133 8/1</t>
  </si>
  <si>
    <t>G.Skill Aegis  DDR4-2400 4/1</t>
  </si>
  <si>
    <t>Corsair Vengeance  DDR4-3000 16/2</t>
  </si>
  <si>
    <t>Corsair Vengeance  DDR4-3200 16/4</t>
  </si>
  <si>
    <t>Corsair Vengeance  DDR4-3200 32/2</t>
  </si>
  <si>
    <t>Corsair Vengeance  DDR4-3600 8/4</t>
  </si>
  <si>
    <t>Corsair Vengeance  DDR4-3600 16/2</t>
  </si>
  <si>
    <t>Corsair Vengeance  DDR4-3200 8/4</t>
  </si>
  <si>
    <t>Corsair Vengeance  DDR4-3200 16/2</t>
  </si>
  <si>
    <t>Corsair Vengeance  DDR4-3600 8/2</t>
  </si>
  <si>
    <t>Corsair Vengeance  DDR4-3200 8/2</t>
  </si>
  <si>
    <t>Corsair Vengeance  DDR4-3600 32/8</t>
  </si>
  <si>
    <t>Corsair Vengeance  DDR4-3600 32/4</t>
  </si>
  <si>
    <t>Corsair Vengeance  DDR4-3600 16/4</t>
  </si>
  <si>
    <t>Corsair Vengeance  DDR4-3600 32/2</t>
  </si>
  <si>
    <t>Corsair Vengeance  DDR4-4000 8/2</t>
  </si>
  <si>
    <t>Corsair Vengeance  DDR4-3600 16/1</t>
  </si>
  <si>
    <t>Corsair Vengeance  DDR4-3200 16/1</t>
  </si>
  <si>
    <t>Corsair Vengeance  DDR4-3600 8/1</t>
  </si>
  <si>
    <t>Corsair Vengeance  DDR4-3200 8/1</t>
  </si>
  <si>
    <t>Corsair Vengeance  DDR4-3000 8/2</t>
  </si>
  <si>
    <t>Corsair Vengeance  DDR4-2666 8/2</t>
  </si>
  <si>
    <t>Corsair Vengeance  DDR4-3200 32/8</t>
  </si>
  <si>
    <t>Corsair Vengeance  DDR4-3200 32/4</t>
  </si>
  <si>
    <t>Corsair Vengeance  DDR4-3000 32/4</t>
  </si>
  <si>
    <t>Corsair Vengeance  DDR4-4266 8/4</t>
  </si>
  <si>
    <t>Corsair Vengeance  DDR4-4000 16/2</t>
  </si>
  <si>
    <t>Corsair Vengeance  DDR4-2933 16/2</t>
  </si>
  <si>
    <t>Corsair Vengeance  DDR4-2666 16/2</t>
  </si>
  <si>
    <t>Corsair Vengeance  DDR4-2933 8/2</t>
  </si>
  <si>
    <t>Corsair Vengeance  DDR4-2666 32/4</t>
  </si>
  <si>
    <t>Corsair Vengeance  DDR4-4000 16/4</t>
  </si>
  <si>
    <t>Corsair Vengeance  DDR4-3000 16/4</t>
  </si>
  <si>
    <t>Corsair Vengeance  DDR4-3000 32/2</t>
  </si>
  <si>
    <t>Corsair Vengeance  DDR4-2666 16/4</t>
  </si>
  <si>
    <t>Corsair Vengeance  DDR4-2666 32/2</t>
  </si>
  <si>
    <t>Corsair Vengeance  DDR4-2400 32/2</t>
  </si>
  <si>
    <t>Corsair Vengeance  DDR4-2400 16/4</t>
  </si>
  <si>
    <t>Corsair Vengeance  DDR4-2666 8/4</t>
  </si>
  <si>
    <t>Corsair Vengeance  DDR4-2400 16/2</t>
  </si>
  <si>
    <t>Corsair Vengeance  DDR4-2133 16/2</t>
  </si>
  <si>
    <t>Corsair Vengeance  DDR4-3200 4/4</t>
  </si>
  <si>
    <t>Corsair Vengeance  DDR4-2400 8/2</t>
  </si>
  <si>
    <t>Corsair Vengeance  DDR4-2133 8/2</t>
  </si>
  <si>
    <t>Corsair Vengeance  DDR4-3000 4/2</t>
  </si>
  <si>
    <t>Corsair Vengeance  DDR4-2666 4/2</t>
  </si>
  <si>
    <t>Corsair Vengeance  DDR4-2400 4/2</t>
  </si>
  <si>
    <t>Corsair Vengeance  DDR4-3000 32/1</t>
  </si>
  <si>
    <t>Corsair Vengeance  DDR4-2666 32/1</t>
  </si>
  <si>
    <t>Corsair Vengeance  DDR4-3000 16/1</t>
  </si>
  <si>
    <t>Corsair Vengeance  DDR4-2666 16/1</t>
  </si>
  <si>
    <t>Corsair Vengeance  DDR4-2400 16/1</t>
  </si>
  <si>
    <t>Corsair Vengeance  DDR4-3000 8/1</t>
  </si>
  <si>
    <t>Corsair Vengeance  DDR4-2666 8/1</t>
  </si>
  <si>
    <t>Corsair Vengeance  DDR4-2400 8/1</t>
  </si>
  <si>
    <t>Corsair ValueSelect  DDR4-2666 32/1</t>
  </si>
  <si>
    <t>Corsair ValueSelect  DDR4-2666 16/1</t>
  </si>
  <si>
    <t>Corsair ValueSelect  DDR4-2133 16/1</t>
  </si>
  <si>
    <t>Corsair ValueSelect  DDR4-2666 8/1</t>
  </si>
  <si>
    <t>Corsair ValueSelect  DDR4-2400 8/1</t>
  </si>
  <si>
    <t>Corsair ValueSelect  DDR4-2133 8/1</t>
  </si>
  <si>
    <t>Corsair ValueSelect  DDR4-2666 4/1</t>
  </si>
  <si>
    <t>Corsair ValueSelect  DDR4-2133 4/1</t>
  </si>
  <si>
    <t>Corsair Dominator Platinum DDR4-3600 16/2</t>
  </si>
  <si>
    <t>Corsair Dominator Platinum DDR4-3600 8/4</t>
  </si>
  <si>
    <t>Corsair Dominator Platinum DDR4-3200 16/2</t>
  </si>
  <si>
    <t>Corsair Dominator Platinum DDR4-3200 8/4</t>
  </si>
  <si>
    <t>Corsair Dominator Platinum DDR4-3600 8/2</t>
  </si>
  <si>
    <t>Corsair Dominator Platinum DDR4-3200 8/2</t>
  </si>
  <si>
    <t>Corsair Dominator Platinum DDR4-3600 32/4</t>
  </si>
  <si>
    <t>Corsair Dominator Platinum DDR4-3200 32/4</t>
  </si>
  <si>
    <t>Corsair Dominator Platinum DDR4-3600 16/4</t>
  </si>
  <si>
    <t>Corsair Dominator Platinum DDR4-3200 16/4</t>
  </si>
  <si>
    <t>Corsair Dominator Platinum DDR4-3200 32/2</t>
  </si>
  <si>
    <t>Corsair Dominator Platinum DDR4-4000 16/2</t>
  </si>
  <si>
    <t>Corsair Dominator Platinum DDR4-3466 16/2</t>
  </si>
  <si>
    <t>KSM32ED8/32HC</t>
  </si>
  <si>
    <t>KSM26ED8/32MF</t>
  </si>
  <si>
    <t>KSM26ED8/32HC</t>
  </si>
  <si>
    <t>KSM32ES8/16MF</t>
  </si>
  <si>
    <t>KSM32ES8/16HC</t>
  </si>
  <si>
    <t>KSM32ED8/16MR</t>
  </si>
  <si>
    <t>KSM32ED8/16HD</t>
  </si>
  <si>
    <t>KSM26ES8/16MF</t>
  </si>
  <si>
    <t>KSM26ES8/16HC</t>
  </si>
  <si>
    <t>KSM26ED8/16MR</t>
  </si>
  <si>
    <t>KSM26ED8/16HD</t>
  </si>
  <si>
    <t>KSM32ES8/8MR</t>
  </si>
  <si>
    <t>KSM32ES8/8HD</t>
  </si>
  <si>
    <t>KSM26ES8/8MR</t>
  </si>
  <si>
    <t>KSM26ES8/8HD</t>
  </si>
  <si>
    <t>HX432C16FB4/16</t>
  </si>
  <si>
    <t>HX424C15FB3/4</t>
  </si>
  <si>
    <t>HX424C15FB/4</t>
  </si>
  <si>
    <t>KF432C16RBAK8/256</t>
  </si>
  <si>
    <t>KF432C16RB2AK4/128</t>
  </si>
  <si>
    <t>KF436C18RB2AK2/64</t>
  </si>
  <si>
    <t>KF436C16RB12AK4/64</t>
  </si>
  <si>
    <t>KF432C16RBAK2/64</t>
  </si>
  <si>
    <t>KF432C16RB2AK2/64</t>
  </si>
  <si>
    <t>KF432C16RB12AK4/64</t>
  </si>
  <si>
    <t>KF436C16RB2AK4/32</t>
  </si>
  <si>
    <t>KF436C16RB12AK2/32</t>
  </si>
  <si>
    <t>KF432C16RB2AK4/32</t>
  </si>
  <si>
    <t>KF432C16RB12AK2/32</t>
  </si>
  <si>
    <t>KF446C19RBAK2/16</t>
  </si>
  <si>
    <t>KF446C19RB2AK2/16</t>
  </si>
  <si>
    <t>KF442C19RB2AK2/16</t>
  </si>
  <si>
    <t>KF440C19RB2AK2/16</t>
  </si>
  <si>
    <t>KF436C16RB2AK2/16</t>
  </si>
  <si>
    <t>KF432C16RB2AK2/16</t>
  </si>
  <si>
    <t>KF430C15RBAK2/16</t>
  </si>
  <si>
    <t>KF436C18RB2A/32</t>
  </si>
  <si>
    <t>KF432C16RBA/32</t>
  </si>
  <si>
    <t>KF432C16RB2A/32</t>
  </si>
  <si>
    <t>KF436C16RB1A/16</t>
  </si>
  <si>
    <t>KF436C16RB12A/16</t>
  </si>
  <si>
    <t>KF432C16RB1A/16</t>
  </si>
  <si>
    <t>KF432C16RB12A/16</t>
  </si>
  <si>
    <t>KF430C15RB1A/16</t>
  </si>
  <si>
    <t>KF440C19RBA/8</t>
  </si>
  <si>
    <t>KF440C19RB2A/8</t>
  </si>
  <si>
    <t>KF436C16RB2A/8</t>
  </si>
  <si>
    <t>KF432C16RBA/8</t>
  </si>
  <si>
    <t>KF432C16RB2A/8</t>
  </si>
  <si>
    <t>KF430C15RBA/8</t>
  </si>
  <si>
    <t>KF432C16RB2K8/256</t>
  </si>
  <si>
    <t>KF436C18RB2K4/128</t>
  </si>
  <si>
    <t>KF436C18RB2K2/64</t>
  </si>
  <si>
    <t>KF436C16RB12K4/64</t>
  </si>
  <si>
    <t>KF432C16RBK2/64</t>
  </si>
  <si>
    <t>KF432C16RB2K2/64</t>
  </si>
  <si>
    <t>KF432C16RB12K4/64</t>
  </si>
  <si>
    <t>KF446C19RB12K2/32</t>
  </si>
  <si>
    <t>KF442C19RB12K2/32</t>
  </si>
  <si>
    <t>KF440C19RB12K2/32</t>
  </si>
  <si>
    <t>KF436C16RB2K4/32</t>
  </si>
  <si>
    <t>KF436C16RB12K2/32</t>
  </si>
  <si>
    <t>KF432C16RB2K4/32</t>
  </si>
  <si>
    <t>KF432C16RB12K2/32</t>
  </si>
  <si>
    <t>KF453C20RB2K2/16</t>
  </si>
  <si>
    <t>KF450C19RBK2/16</t>
  </si>
  <si>
    <t>KF448C19RB2K2/16</t>
  </si>
  <si>
    <t>KF446C19RB2K2/16</t>
  </si>
  <si>
    <t>KF442C19RB2K2/16</t>
  </si>
  <si>
    <t>KF440C19RB2K2/16</t>
  </si>
  <si>
    <t>KF436C16RB2K2/16</t>
  </si>
  <si>
    <t>KF432C16RBK2/16</t>
  </si>
  <si>
    <t>KF432C16RB2K2/16</t>
  </si>
  <si>
    <t>KF436C18RB2/32</t>
  </si>
  <si>
    <t>KF432C16RB2/32</t>
  </si>
  <si>
    <t>KF440C19RB12/16</t>
  </si>
  <si>
    <t>KF436C16RB12/16</t>
  </si>
  <si>
    <t>KF436C16RB1/16</t>
  </si>
  <si>
    <t>KF432C16RB12/16</t>
  </si>
  <si>
    <t>KF430C15RB1/16</t>
  </si>
  <si>
    <t>KF440C19RB2/8</t>
  </si>
  <si>
    <t>KF440C19RB/8</t>
  </si>
  <si>
    <t>KF436C16RB2/8</t>
  </si>
  <si>
    <t>KF432C16RB2/8</t>
  </si>
  <si>
    <t>KF432C16BWAK2/32</t>
  </si>
  <si>
    <t>KF436C17BWAK2/16</t>
  </si>
  <si>
    <t>KF432C16BWAK2/16</t>
  </si>
  <si>
    <t>KF432C16BWA/16</t>
  </si>
  <si>
    <t>KF436C17BWA/8</t>
  </si>
  <si>
    <t>KF432C16BWA/8</t>
  </si>
  <si>
    <t>KF436C18BB2AK4/128</t>
  </si>
  <si>
    <t>KF432C16BB2AK4/128</t>
  </si>
  <si>
    <t>KF436C18BB2AK4/64</t>
  </si>
  <si>
    <t>KF436C18BB2AK2/64</t>
  </si>
  <si>
    <t>KF432C16BB2AK4/64</t>
  </si>
  <si>
    <t>KF432C16BB2AK2/64</t>
  </si>
  <si>
    <t>KF432C16BB12AK4/64</t>
  </si>
  <si>
    <t>KF426C16BB2AK4/64</t>
  </si>
  <si>
    <t>KF426C16BB12AK4/64</t>
  </si>
  <si>
    <t>KF436C18BB2AK2/32</t>
  </si>
  <si>
    <t>KF436C17BB2AK4/32</t>
  </si>
  <si>
    <t>KF432C16BB2AK2/32</t>
  </si>
  <si>
    <t>KF432C16BB12AK2/32</t>
  </si>
  <si>
    <t>KF432C16BB2AK4/32</t>
  </si>
  <si>
    <t>KF426C16BB2AK2/32</t>
  </si>
  <si>
    <t>KF426C16BB12AK2/32</t>
  </si>
  <si>
    <t>KF436C17BB2AK2/16</t>
  </si>
  <si>
    <t>KF432C16BB2AK2/16</t>
  </si>
  <si>
    <t>KF430C15BBAK2/16</t>
  </si>
  <si>
    <t>KF436C18BB2A/32</t>
  </si>
  <si>
    <t>KF432C16BB2A/32</t>
  </si>
  <si>
    <t>KF437C19BB12A/16</t>
  </si>
  <si>
    <t>KF436C18BBA/16</t>
  </si>
  <si>
    <t>KF436C18BB2A/16</t>
  </si>
  <si>
    <t>KF432C16BBA/16</t>
  </si>
  <si>
    <t>KF432C16BB2A/16</t>
  </si>
  <si>
    <t>KF432C16BB12A/16</t>
  </si>
  <si>
    <t>KF432C16BB1A/16</t>
  </si>
  <si>
    <t>KF430C15BB1A/16</t>
  </si>
  <si>
    <t>KF426C16BB12A/16</t>
  </si>
  <si>
    <t>KF437C19BBA/8</t>
  </si>
  <si>
    <t>KF437C19BB2A/8</t>
  </si>
  <si>
    <t>KF436C17BB2A/8</t>
  </si>
  <si>
    <t>KF432C16BB2A/8</t>
  </si>
  <si>
    <t>KF426C16BB2A/8</t>
  </si>
  <si>
    <t>KF436C18BBK4/128</t>
  </si>
  <si>
    <t>KF432C16BBK4/128</t>
  </si>
  <si>
    <t>KF436C18BBK4/64</t>
  </si>
  <si>
    <t>KF436C18BBK2/64</t>
  </si>
  <si>
    <t>KF432C16BBK4/64</t>
  </si>
  <si>
    <t>KF432C16BBK2/64</t>
  </si>
  <si>
    <t>KF432C16BB1K4/64</t>
  </si>
  <si>
    <t>KF426C16BBK4/64</t>
  </si>
  <si>
    <t>KF436C18BBK2/32</t>
  </si>
  <si>
    <t>KF436C17BBK4/32</t>
  </si>
  <si>
    <t>KF432C16BBK2/32</t>
  </si>
  <si>
    <t>KF432C16BBK4/32</t>
  </si>
  <si>
    <t>KF432C16BB1K2/32</t>
  </si>
  <si>
    <t>KF436C17BBK2/16 / KF436C17FB3K2/16</t>
  </si>
  <si>
    <t>KF432C16BBK4/16</t>
  </si>
  <si>
    <t>KF432C16BBK2/16</t>
  </si>
  <si>
    <t>KF426C16BBK2/16</t>
  </si>
  <si>
    <t>KF432C16BBK2/8</t>
  </si>
  <si>
    <t>KF426C16BBK2/8</t>
  </si>
  <si>
    <t>KF436C18BB/32</t>
  </si>
  <si>
    <t>KF432C16BB/32</t>
  </si>
  <si>
    <t>KF430C16BB/32</t>
  </si>
  <si>
    <t>KF437C19BB1/16</t>
  </si>
  <si>
    <t>KF436C18BB/16</t>
  </si>
  <si>
    <t>KF432C16BB/16</t>
  </si>
  <si>
    <t>KF432C16BB1/16</t>
  </si>
  <si>
    <t>KF426C16BB1/16</t>
  </si>
  <si>
    <t>KF437C19BB/8</t>
  </si>
  <si>
    <t>KF436C17BB/8</t>
  </si>
  <si>
    <t>KF432C16BB/8</t>
  </si>
  <si>
    <t>KF432C16BB/4</t>
  </si>
  <si>
    <t>KF426C16BB/4</t>
  </si>
  <si>
    <t>F4-3200C16D-32GTZSW</t>
  </si>
  <si>
    <t>F4-3200C15D-16GTZSW</t>
  </si>
  <si>
    <t>F4-3200C16D-32GTZSK</t>
  </si>
  <si>
    <t>F4-3600C17D-32GTZ</t>
  </si>
  <si>
    <t>F4-3200C16D-32GTZ</t>
  </si>
  <si>
    <t>F4-3200C16D-16GTZB</t>
  </si>
  <si>
    <t>F4-3600C17D-32GTZKW</t>
  </si>
  <si>
    <t>F4-3200C16D-32GTZKW</t>
  </si>
  <si>
    <t>F4-3200C16D-16GTZKW</t>
  </si>
  <si>
    <t>F4-4133C19Q-32GTZKKF</t>
  </si>
  <si>
    <t>F4-3600C14Q2-128GTRSA</t>
  </si>
  <si>
    <t>F4-4400C19D-64GTRS</t>
  </si>
  <si>
    <t>F4-4000C18D-64GTRS</t>
  </si>
  <si>
    <t>F4-3600C16Q-64GTRSC</t>
  </si>
  <si>
    <t>F4-4266C19D-32GTRS</t>
  </si>
  <si>
    <t>F4-3600C18D-32GTRS</t>
  </si>
  <si>
    <t>F4-3600C16Q-32GTRSC</t>
  </si>
  <si>
    <t>F4-3600C16D-16GTRSC</t>
  </si>
  <si>
    <t>F4-3200C16D-16GTRS</t>
  </si>
  <si>
    <t>F4-4000C18Q-128GTRG</t>
  </si>
  <si>
    <t>F4-3200C16Q2-128GTRG</t>
  </si>
  <si>
    <t>F4-4400C19D-32GTRG</t>
  </si>
  <si>
    <t>F4-3600C18D-32GTRG</t>
  </si>
  <si>
    <t>F4-4600C18D-16GTRG</t>
  </si>
  <si>
    <t>F4-4266C19D-64GTES</t>
  </si>
  <si>
    <t>F4-4000C18D-64GTES</t>
  </si>
  <si>
    <t>F4-3600C16Q-64GTESC</t>
  </si>
  <si>
    <t>F4-4000C18D-64GTEG</t>
  </si>
  <si>
    <t>F4-4400C19D-64GTZR</t>
  </si>
  <si>
    <t>F4-4266C19D-64GTZR</t>
  </si>
  <si>
    <t>F4-3600C18D-64GTZR</t>
  </si>
  <si>
    <t>F4-3600C17Q-64GTZR</t>
  </si>
  <si>
    <t>F4-3600C16Q-64GTZC</t>
  </si>
  <si>
    <t>F4-4400C19D-32GTZR</t>
  </si>
  <si>
    <t>F4-4000C18D-32GTZR</t>
  </si>
  <si>
    <t>F4-3600C18Q-32GTZR</t>
  </si>
  <si>
    <t>F4-3600C17D-32GTZR</t>
  </si>
  <si>
    <t>F4-3600C16Q-32GTZRC</t>
  </si>
  <si>
    <t>F4-3600C16D-32GTZRC</t>
  </si>
  <si>
    <t>F4-3200C16Q-32GTZRX</t>
  </si>
  <si>
    <t>F4-3200C16Q-32GTZR</t>
  </si>
  <si>
    <t>F4-3200C16D-32GTZRX</t>
  </si>
  <si>
    <t>F4-3200C16D-32GTZR</t>
  </si>
  <si>
    <t>F4-3000C16D-32GTZR</t>
  </si>
  <si>
    <t>F4-4000C18D-16GTZRB</t>
  </si>
  <si>
    <t>F4-3600C18D-16GTZRX</t>
  </si>
  <si>
    <t>F4-3600C18D-16GTZR</t>
  </si>
  <si>
    <t>F4-3600C16D-16GTZRC</t>
  </si>
  <si>
    <t>F4-3200C16D-16GTZRX</t>
  </si>
  <si>
    <t>F4-3200C16D-16GTZR</t>
  </si>
  <si>
    <t>F4-3000C16D-16GTZR</t>
  </si>
  <si>
    <t>F4-3200C16Q2-256GTZN</t>
  </si>
  <si>
    <t>F4-3600C18Q-64GTZN</t>
  </si>
  <si>
    <t>F4-3600C18D-64GTZN</t>
  </si>
  <si>
    <t>F4-3600C16Q-64GTZNC</t>
  </si>
  <si>
    <t>F4-3200C16Q-64GTZN</t>
  </si>
  <si>
    <t>F4-3000C16Q-64GTZN</t>
  </si>
  <si>
    <t>F4-4000C18D-32GTZN</t>
  </si>
  <si>
    <t>F4-3600C18Q-32GTZN</t>
  </si>
  <si>
    <t>F4-3600C18D-32GTZN</t>
  </si>
  <si>
    <t>F4-3600C16Q-32GTZNC</t>
  </si>
  <si>
    <t>F4-3600C16D-32GTZNC</t>
  </si>
  <si>
    <t>F4-3200C16Q-32GTZN</t>
  </si>
  <si>
    <t>F4-3200C16D-32GTZN</t>
  </si>
  <si>
    <t>F4-3000C16Q-32GTZN</t>
  </si>
  <si>
    <t>F4-3600C18D-16GTZN</t>
  </si>
  <si>
    <t>F4-3600C16D-16GTZNC</t>
  </si>
  <si>
    <t>F4-3200C16D-16GTZN</t>
  </si>
  <si>
    <t>F4-3600C18D-32GVW</t>
  </si>
  <si>
    <t>F4-3600C18Q2-256GVK</t>
  </si>
  <si>
    <t>F4-3200C16Q2-256GVK</t>
  </si>
  <si>
    <t>F4-3600C18Q-128GVK</t>
  </si>
  <si>
    <t>F4-3600C16Q-128GVK</t>
  </si>
  <si>
    <t>F4-3200C16Q-128GVK</t>
  </si>
  <si>
    <t>F4-2666C19Q-128GVK</t>
  </si>
  <si>
    <t>F4-3600C18Q-64GVK</t>
  </si>
  <si>
    <t>F4-3600C18D-64GVK</t>
  </si>
  <si>
    <t>F4-3600C16Q-64GVKC</t>
  </si>
  <si>
    <t>F4-3200C16Q-64GVK</t>
  </si>
  <si>
    <t>F4-3200C16D-64GVK</t>
  </si>
  <si>
    <t>F4-2666C19D-64GVK</t>
  </si>
  <si>
    <t>F4-2666C18D-64GVK</t>
  </si>
  <si>
    <t>F4-4400C19D-32GVK</t>
  </si>
  <si>
    <t>F4-4266C19D-32GVK</t>
  </si>
  <si>
    <t>F4-4000C18Q-32GVK</t>
  </si>
  <si>
    <t>F4-4000C18D-32GVK</t>
  </si>
  <si>
    <t>F4-3600C18D-32GVK</t>
  </si>
  <si>
    <t>F4-3600C16D-32GVKC</t>
  </si>
  <si>
    <t>F4-3200C16D-32GVK</t>
  </si>
  <si>
    <t>F4-3200C15D-32GVK</t>
  </si>
  <si>
    <t>F4-4600C19D-16GVKE</t>
  </si>
  <si>
    <t>F4-4000C18D-16GVK</t>
  </si>
  <si>
    <t>F4-4000C17D-16GVKB</t>
  </si>
  <si>
    <t>F4-3600C18D-16GVK</t>
  </si>
  <si>
    <t>F4-3600C16D-16GVKC</t>
  </si>
  <si>
    <t>F4-3200C16D-16GVKB</t>
  </si>
  <si>
    <t>F4-3200C16D-8GVKB</t>
  </si>
  <si>
    <t>F4-3200C16S-32GVK</t>
  </si>
  <si>
    <t>F4-2666C19S-32GVK</t>
  </si>
  <si>
    <t>F4-2666C18S-32GVK</t>
  </si>
  <si>
    <t>F4-3200C16S-16GVK</t>
  </si>
  <si>
    <t>F4-3600C19D-32GVRB</t>
  </si>
  <si>
    <t>F4-3000C16D-32GVRB</t>
  </si>
  <si>
    <t>F4-2400C15Q-32GVR</t>
  </si>
  <si>
    <t>F4-2400C15D-32GVR</t>
  </si>
  <si>
    <t>F4-3600C19D-16GVRB</t>
  </si>
  <si>
    <t>F4-3000C16D-16GVRB</t>
  </si>
  <si>
    <t>F4-2666C15D-16GVR</t>
  </si>
  <si>
    <t>F4-2400C17D-16GVR</t>
  </si>
  <si>
    <t>F4-2400C15D-16GVR</t>
  </si>
  <si>
    <t>F4-2133C15D-16GVR</t>
  </si>
  <si>
    <t>F4-2800C17S-8GVR</t>
  </si>
  <si>
    <t>F4-3200C16D-16GVGB</t>
  </si>
  <si>
    <t>F4-2400C15D-16GRR</t>
  </si>
  <si>
    <t>F4-2666C19D-64GNT</t>
  </si>
  <si>
    <t>F4-2666C19D-16GNT</t>
  </si>
  <si>
    <t>F4-2400C15D-16GNT</t>
  </si>
  <si>
    <t>F4-2133C15D-16GNT</t>
  </si>
  <si>
    <t>F4-2133C15D-8GNT</t>
  </si>
  <si>
    <t>F4-2666C19S-32GNT</t>
  </si>
  <si>
    <t>F4-2666C19S-8GNT</t>
  </si>
  <si>
    <t>F4-2400C17S-8GNT</t>
  </si>
  <si>
    <t>F4-2400C15S-8GNT</t>
  </si>
  <si>
    <t>F4-2133C15S-8GNT</t>
  </si>
  <si>
    <t>F4-2400C17S-4GNT</t>
  </si>
  <si>
    <t>F4-2133C15S-4GNT</t>
  </si>
  <si>
    <t>F4-2133C15D-16GFT</t>
  </si>
  <si>
    <t>F4-3200C16Q-64GFX</t>
  </si>
  <si>
    <t>F4-3200C16D-32GFX</t>
  </si>
  <si>
    <t>F4-3200C16Q-64GIS</t>
  </si>
  <si>
    <t>F4-3200C16Q-32GIS</t>
  </si>
  <si>
    <t>F4-3200C16D-32GIS</t>
  </si>
  <si>
    <t>F4-3000C16D-32GISB</t>
  </si>
  <si>
    <t>F4-2666C19D-32GIS</t>
  </si>
  <si>
    <t>F4-2400C15D-32GIS</t>
  </si>
  <si>
    <t>F4-3200C16D-16GIS</t>
  </si>
  <si>
    <t>F4-3000C16D-16GISB</t>
  </si>
  <si>
    <t>F4-2666C19D-16GIS</t>
  </si>
  <si>
    <t>F4-2400C17D-16GIS</t>
  </si>
  <si>
    <t>F4-2400C15D-16GIS</t>
  </si>
  <si>
    <t>F4-2133C15D-16GIS</t>
  </si>
  <si>
    <t>F4-2400C17D-8GIS</t>
  </si>
  <si>
    <t>F4-2400C15D-8GIS</t>
  </si>
  <si>
    <t>F4-2133C15D-8GIS</t>
  </si>
  <si>
    <t>F4-3200C16S-16GIS</t>
  </si>
  <si>
    <t>F4-3000C16S-16GISB</t>
  </si>
  <si>
    <t>F4-2666C19S-16GIS</t>
  </si>
  <si>
    <t>F4-2400C15S-16GIS</t>
  </si>
  <si>
    <t>F4-2133C15S-16GIS</t>
  </si>
  <si>
    <t>F4-3200C16S-8GIS</t>
  </si>
  <si>
    <t>F4-3000C16S-8GISB</t>
  </si>
  <si>
    <t>F4-2800C17S-8GIS</t>
  </si>
  <si>
    <t>F4-2666C19S-8GIS</t>
  </si>
  <si>
    <t>F4-2400C17S-8GIS</t>
  </si>
  <si>
    <t>F4-2400C15S-8GIS</t>
  </si>
  <si>
    <t>F4-2133C15S-8GIS</t>
  </si>
  <si>
    <t>F4-2400C15S-4GIS</t>
  </si>
  <si>
    <t>CMR32GX4M2D3000C16</t>
  </si>
  <si>
    <t>CMN64GX4M4Z3200C16W</t>
  </si>
  <si>
    <t>CMN64GX4M2Z3200C16W</t>
  </si>
  <si>
    <t>CMN32GX4M4Z3600C18W</t>
  </si>
  <si>
    <t>CMN32GX4M2Z3600C18W</t>
  </si>
  <si>
    <t>CMN32GX4M4Z3200C16W</t>
  </si>
  <si>
    <t>CMN32GX4M2Z3200C16W</t>
  </si>
  <si>
    <t>CMN16GX4M2Z3600C18W</t>
  </si>
  <si>
    <t>CMN16GX4M2Z3200C16W</t>
  </si>
  <si>
    <t>CMN256GX4M8Z3600C18</t>
  </si>
  <si>
    <t>CMN128GX4M4Z3600C18</t>
  </si>
  <si>
    <t>CMN64GX4M4Z3600C18</t>
  </si>
  <si>
    <t>CMN64GX4M2Z3600C18</t>
  </si>
  <si>
    <t>CMN64GX4M4Z3200C16</t>
  </si>
  <si>
    <t>CMN64GX4M2Z3200C16</t>
  </si>
  <si>
    <t>CMN32GX4M4Z3600C18</t>
  </si>
  <si>
    <t>CMN32GX4M2Z3600C18</t>
  </si>
  <si>
    <t>CMN32GX4M2Z3600C16</t>
  </si>
  <si>
    <t>CMN32GX4M4Z3200C16</t>
  </si>
  <si>
    <t>CMN32GX4M2Z3200C16</t>
  </si>
  <si>
    <t>CMN16GX4M2Z4000C18</t>
  </si>
  <si>
    <t>CMN16GX4M2Z3600C18</t>
  </si>
  <si>
    <t>CMN16GX4M2Z3600C16</t>
  </si>
  <si>
    <t>CMN16GX4M2Z3200C16</t>
  </si>
  <si>
    <t>CMG64GX4M2D3600C18</t>
  </si>
  <si>
    <t>CMG64GX4M2E3200C16</t>
  </si>
  <si>
    <t>CMG32GX4M2D3600C18</t>
  </si>
  <si>
    <t>CMG32GX4M2E3200C16</t>
  </si>
  <si>
    <t>CMG16GX4M2D3600C18</t>
  </si>
  <si>
    <t>CMG16GX4M2E3200C16</t>
  </si>
  <si>
    <t>CMG16GX4M1D3600C18</t>
  </si>
  <si>
    <t>CMG16GX4M1E3200C16</t>
  </si>
  <si>
    <t>CMG8GX4M1D3600C18</t>
  </si>
  <si>
    <t>CMG8GX4M1E3200C16</t>
  </si>
  <si>
    <t>CMW32GX4M4C3600C18W</t>
  </si>
  <si>
    <t>CMW32GX4M2E3200C16W</t>
  </si>
  <si>
    <t>CMW32GX4M4C3200C16W</t>
  </si>
  <si>
    <t>CMW16GX4M2D3600C18W</t>
  </si>
  <si>
    <t>CMW16GX4M2C3600C18W</t>
  </si>
  <si>
    <t>CMW16GX4M2C3200C16W</t>
  </si>
  <si>
    <t>CMW16GX4M2C3000C15W</t>
  </si>
  <si>
    <t>CMW16GX4M2A2666C16W</t>
  </si>
  <si>
    <t>CMW32GX4M2E3200C16-TUF</t>
  </si>
  <si>
    <t>CMW16GX4M2E3200C16-TUF</t>
  </si>
  <si>
    <t>CMW16GX4M2C3200C16-TUF</t>
  </si>
  <si>
    <t>CMH64GX4M4D3600C18W</t>
  </si>
  <si>
    <t>CMH64GX4M4E3200C16W</t>
  </si>
  <si>
    <t>CMH32GX4M4D3600C18W</t>
  </si>
  <si>
    <t>CMH32GX4M2D3600C18W</t>
  </si>
  <si>
    <t>CMH32GX4M4E3200C16W</t>
  </si>
  <si>
    <t>CMH32GX4M2E3200C16W</t>
  </si>
  <si>
    <t>CMH16GX4M2D3600C18W</t>
  </si>
  <si>
    <t>CMH16GX4M2E3200C16W</t>
  </si>
  <si>
    <t>CMH256GX4M8E3200C16</t>
  </si>
  <si>
    <t>CMH128GX4M4E3200C16</t>
  </si>
  <si>
    <t>CMH64GX4M4D3600C18</t>
  </si>
  <si>
    <t>CMH64GX4M2D3600C18</t>
  </si>
  <si>
    <t>CMH64GX4M4E3200C16</t>
  </si>
  <si>
    <t>CMH64GX4M2E3200C16</t>
  </si>
  <si>
    <t>CMH32GX4M4D3600C18</t>
  </si>
  <si>
    <t>CMH32GX4M2Z3600C18</t>
  </si>
  <si>
    <t>CMH32GX4M2D3600C18</t>
  </si>
  <si>
    <t>CMH32GX4M4E3200C16</t>
  </si>
  <si>
    <t>CMH32GX4M2Z3200C16</t>
  </si>
  <si>
    <t>CMH32GX4M2E3200C16</t>
  </si>
  <si>
    <t>CMH16GX4M2Z3600C18</t>
  </si>
  <si>
    <t>CMH16GX4M2D3600C18</t>
  </si>
  <si>
    <t>CMH16GX4M2Z3600C16</t>
  </si>
  <si>
    <t>CMH16GX4M2Z3200C16</t>
  </si>
  <si>
    <t>CMH16GX4M2E3200C16</t>
  </si>
  <si>
    <t>CMW256GX4M8E3200C16</t>
  </si>
  <si>
    <t>CMW128GX4M4D3600C18</t>
  </si>
  <si>
    <t>CMW128GX4M4E3200C16</t>
  </si>
  <si>
    <t>CMW128GX4M4D3000C16</t>
  </si>
  <si>
    <t>CMW64GX4M4D3600C18</t>
  </si>
  <si>
    <t>CMW64GX4M2D3600C18</t>
  </si>
  <si>
    <t>CMW64GX4M4E3200C16</t>
  </si>
  <si>
    <t>CMW64GX4M2E3200C16</t>
  </si>
  <si>
    <t>CMW32GX4M4K4266C19</t>
  </si>
  <si>
    <t>CMW32GX4M2Z4000C18</t>
  </si>
  <si>
    <t>CMW32GX4M4D3600C18</t>
  </si>
  <si>
    <t>CMW32GX4M2Z3600C18</t>
  </si>
  <si>
    <t>CMW32GX4M2D3600C18</t>
  </si>
  <si>
    <t>CMW32GX4M4C3600C18</t>
  </si>
  <si>
    <t>CMW32GX4M4D3600C16</t>
  </si>
  <si>
    <t>CMW32GX4M2E3200C16</t>
  </si>
  <si>
    <t>CMW32GX4M4C3200C16</t>
  </si>
  <si>
    <t>CMW32GX4M4C3200C14</t>
  </si>
  <si>
    <t>CMW32GX4M2D3000C16</t>
  </si>
  <si>
    <t>CMW32GX4M2Z2933C16</t>
  </si>
  <si>
    <t>CMW32GX4M2A2666C16</t>
  </si>
  <si>
    <t>CMW16GX4M2Z4000C18</t>
  </si>
  <si>
    <t>CMW16GX4M2G4000C16</t>
  </si>
  <si>
    <t>CMW16GX4M2Z3600C18</t>
  </si>
  <si>
    <t>CMW16GX4M2D3600C18</t>
  </si>
  <si>
    <t>CMW16GX4M2C3600C18</t>
  </si>
  <si>
    <t>CMW16GX4M2D3600C16</t>
  </si>
  <si>
    <t>CMW16GX4M2Z3200C16</t>
  </si>
  <si>
    <t>CMW16GX4M2C3200C16</t>
  </si>
  <si>
    <t>CMW16GX4M2C3000C15</t>
  </si>
  <si>
    <t>CMW16GX4M2Z2933C16</t>
  </si>
  <si>
    <t>CMW16GX4M2A2666C16</t>
  </si>
  <si>
    <t>CMW16GX4M1Z3600C18</t>
  </si>
  <si>
    <t>CMW8GX4M1Z3600C18</t>
  </si>
  <si>
    <t>CMW8GX4M1Z3200C16</t>
  </si>
  <si>
    <t>CMK32GX4M2E3200C16W</t>
  </si>
  <si>
    <t>CMK16GX4M2E3200C16W</t>
  </si>
  <si>
    <t>CMK16GX4M2B3200C16W</t>
  </si>
  <si>
    <t>CMK16GX4M2D3000C16W</t>
  </si>
  <si>
    <t>CMK16GX4M2A2666C16W</t>
  </si>
  <si>
    <t>CMK256GX4M8D3600C18</t>
  </si>
  <si>
    <t>CMK256GX4M8E3200C16</t>
  </si>
  <si>
    <t>CMK128GX4M4D3600C18</t>
  </si>
  <si>
    <t>CMK128GX4M4E3200C16</t>
  </si>
  <si>
    <t>CMK128GX4M4A2666C16</t>
  </si>
  <si>
    <t>CMK64GX4M4G4000C18</t>
  </si>
  <si>
    <t>CMK64GX4M4D3600C18</t>
  </si>
  <si>
    <t>CMK64GX4M2D3600C18</t>
  </si>
  <si>
    <t>CMK64GX4M4E3200C16</t>
  </si>
  <si>
    <t>CMK64GX4M2E3200C16</t>
  </si>
  <si>
    <t>CMK64GX4M4D3000C16</t>
  </si>
  <si>
    <t>CMK64GX4M2D3000C16</t>
  </si>
  <si>
    <t>CMK64GX4M4A2666C16</t>
  </si>
  <si>
    <t>CMK64GX4M2A2666C16</t>
  </si>
  <si>
    <t>CMK64GX4M2A2400C16</t>
  </si>
  <si>
    <t>CMK64GX4M4A2400C14</t>
  </si>
  <si>
    <t>CMK32GX4M2G4000C19</t>
  </si>
  <si>
    <t>CMK32GX4M4D3600C18</t>
  </si>
  <si>
    <t>CMK32GX4M2Z3600C18</t>
  </si>
  <si>
    <t>CMK32GX4M2D3600C18</t>
  </si>
  <si>
    <t>CMK32GX4M4D3600C16</t>
  </si>
  <si>
    <t>CMK32GX4M2D3600C16</t>
  </si>
  <si>
    <t>CMK32GX4M2E3200C16</t>
  </si>
  <si>
    <t>CMK32GX4M4Z3200C16</t>
  </si>
  <si>
    <t>CMK32GX4M4B3200C16</t>
  </si>
  <si>
    <t>CMK32GX4M2D3000C16</t>
  </si>
  <si>
    <t>CMK32GX4M4A2666C16</t>
  </si>
  <si>
    <t>CMK32GX4M2A2666C16</t>
  </si>
  <si>
    <t>CMK32GX4M2A2400C16</t>
  </si>
  <si>
    <t>CMK32GX4M2A2400C14</t>
  </si>
  <si>
    <t>CMK32GX4M2A2133C13</t>
  </si>
  <si>
    <t>CMK16GX4M2K4000C19</t>
  </si>
  <si>
    <t>CMK16GX4M2Z4000C18</t>
  </si>
  <si>
    <t>CMK16GX4M2Z3600C18</t>
  </si>
  <si>
    <t>CMK16GX4M2D3600C18</t>
  </si>
  <si>
    <t>CMK16GX4M2D3600C16</t>
  </si>
  <si>
    <t>CMK16GX4M2E3200C16</t>
  </si>
  <si>
    <t>CMK16GX4M4C3200C16</t>
  </si>
  <si>
    <t>CMK16GX4M2Z3200C16</t>
  </si>
  <si>
    <t>CMK16GX4M2B3200C16</t>
  </si>
  <si>
    <t>CMK16GX4M2D3000C16</t>
  </si>
  <si>
    <t>CMK16GX4M2B3000C15</t>
  </si>
  <si>
    <t>CMK16GX4M2Z2933C16</t>
  </si>
  <si>
    <t>CMK16GX4M2Z2666C16</t>
  </si>
  <si>
    <t>CMK16GX4M2A2666C16</t>
  </si>
  <si>
    <t>CMK16GX4M2A2400C16</t>
  </si>
  <si>
    <t>CMK16GX4M2A2400C14</t>
  </si>
  <si>
    <t>CMK16GX4M2A2133C13</t>
  </si>
  <si>
    <t>CMK8GX4M2B3000C15</t>
  </si>
  <si>
    <t>CMK8GX4M2A2666C16</t>
  </si>
  <si>
    <t>CMK8GX4M2A2400C16</t>
  </si>
  <si>
    <t>CMK8GX4M2A2400C14</t>
  </si>
  <si>
    <t>CMK32GX4M1D3000C16</t>
  </si>
  <si>
    <t>CMK32GX4M1A2666C16</t>
  </si>
  <si>
    <t>CMK16GX4M1Z3600C18</t>
  </si>
  <si>
    <t>CMK16GX4M1D3000C16</t>
  </si>
  <si>
    <t>CMK16GX4M1A2666C16</t>
  </si>
  <si>
    <t>CMK16GX4M1A2400C16</t>
  </si>
  <si>
    <t>CMK16GX4M1A2400C14</t>
  </si>
  <si>
    <t>CMK8GX4M1Z3600C18</t>
  </si>
  <si>
    <t>CMK8GX4M1E3200C16</t>
  </si>
  <si>
    <t>CMK8GX4M1Z3200C16</t>
  </si>
  <si>
    <t>CMK8GX4M1D3000C16</t>
  </si>
  <si>
    <t>CMK8GX4M1A2666C16</t>
  </si>
  <si>
    <t>CMK8GX4M1A2400C16</t>
  </si>
  <si>
    <t>CMK8GX4M1A2400C14</t>
  </si>
  <si>
    <t>CMK32GX4M2A2666C16R</t>
  </si>
  <si>
    <t>CMU64GX4M4C3000C15</t>
  </si>
  <si>
    <t>CMU32GX4M2C3200C16</t>
  </si>
  <si>
    <t>CMU64GX4M4C3200C16R</t>
  </si>
  <si>
    <t>CMU64GX4M4C3000C15R</t>
  </si>
  <si>
    <t>CMV32GX4M1A2666C18</t>
  </si>
  <si>
    <t>CMV16GX4M1A2666C18</t>
  </si>
  <si>
    <t>CMV16GX4M1A2133C15</t>
  </si>
  <si>
    <t>CMV8GX4M1A2666C18</t>
  </si>
  <si>
    <t>CMV8GX4M1A2400C16</t>
  </si>
  <si>
    <t>CMV8GX4M1A2133C15</t>
  </si>
  <si>
    <t>CMV4GX4M1A2666C18</t>
  </si>
  <si>
    <t>CMV4GX4M1A2133C15</t>
  </si>
  <si>
    <t>CMT32GX4M2D3600C18W</t>
  </si>
  <si>
    <t>CMT32GX4M4C3600C18W</t>
  </si>
  <si>
    <t>CMT32GX4M2E3200C16W</t>
  </si>
  <si>
    <t>CMT32GX4M4C3200C16W</t>
  </si>
  <si>
    <t>CMT16GX4M2C3600C18W</t>
  </si>
  <si>
    <t>CMT16GX4M2C3200C16W</t>
  </si>
  <si>
    <t>CMT128GX4M4D3600C18</t>
  </si>
  <si>
    <t>CMT128GX4M4E3200C16</t>
  </si>
  <si>
    <t>CMT64GX4M4K3600C18</t>
  </si>
  <si>
    <t>CMT64GX4M4E3200C16</t>
  </si>
  <si>
    <t>CMT64GX4M2E3200C16</t>
  </si>
  <si>
    <t>CMT64GX4M2C3200C16</t>
  </si>
  <si>
    <t>CMT32GX4M2Z4000C18</t>
  </si>
  <si>
    <t>CMT32GX4M2G4000C18</t>
  </si>
  <si>
    <t>CMT32GX4M2Z3600C18</t>
  </si>
  <si>
    <t>CMT32GX4M2D3600C18</t>
  </si>
  <si>
    <t>CMT32GX4M4C3600C18</t>
  </si>
  <si>
    <t>CMT32GX4M2C3466C16</t>
  </si>
  <si>
    <t>CMT32GX4M4E3200C16</t>
  </si>
  <si>
    <t>CMT32GX4M2E3200C16</t>
  </si>
  <si>
    <t>CMT32GX4M4Z3200C16</t>
  </si>
  <si>
    <t>CMT32GX4M4C3200C16</t>
  </si>
  <si>
    <t>CMT32GX4M2C3200C16</t>
  </si>
  <si>
    <t>CMT16GX4M2C3600C18</t>
  </si>
  <si>
    <t>CMT16GX4M2E3200C16</t>
  </si>
  <si>
    <t>CMT16GX4M2Z3200C16</t>
  </si>
  <si>
    <t>CMT16GX4M2C3200C16</t>
  </si>
  <si>
    <t>CMD32GX4M4C3200C16</t>
  </si>
  <si>
    <t>2666</t>
  </si>
  <si>
    <t>2400</t>
  </si>
  <si>
    <t>3600</t>
  </si>
  <si>
    <t>4600</t>
  </si>
  <si>
    <t>4266</t>
  </si>
  <si>
    <t>4000</t>
  </si>
  <si>
    <t>3000</t>
  </si>
  <si>
    <t>5333</t>
  </si>
  <si>
    <t>5000</t>
  </si>
  <si>
    <t>3733</t>
  </si>
  <si>
    <t>4133</t>
  </si>
  <si>
    <t>4400</t>
  </si>
  <si>
    <t>2133</t>
  </si>
  <si>
    <t>2800</t>
  </si>
  <si>
    <t>2933</t>
  </si>
  <si>
    <t>3466</t>
  </si>
  <si>
    <t>22</t>
  </si>
  <si>
    <t>19</t>
  </si>
  <si>
    <t>15</t>
  </si>
  <si>
    <t>18</t>
  </si>
  <si>
    <t>17</t>
  </si>
  <si>
    <t>RGB, ASUS Aura Sync</t>
  </si>
  <si>
    <t>RGB, ASRock Polychrome RGB, ASUS Aura Sync, Gigabyte RGB Fusion, MSI Mystic Light Sync</t>
  </si>
  <si>
    <t>RGB, Single-Zone</t>
  </si>
  <si>
    <t>RGB, Multi-Zone, 6 LED, Corsair iCUE, Gigabyte RGB Fusion, MSI Mystic Light Sync</t>
  </si>
  <si>
    <t>RGB, Multi-Zone, 10 LED, Corsair iCUE</t>
  </si>
  <si>
    <t>13</t>
  </si>
  <si>
    <t>weiß</t>
  </si>
  <si>
    <t>rot</t>
  </si>
  <si>
    <t>RGB, Multi-Zone, 12 LED</t>
  </si>
  <si>
    <t>https://geizhals.eu/kingston-server-premier-dimm-32gb-ksm32ed8-32hc-a2679022.html?hloc=at&amp;hloc=de&amp;hloc=eu&amp;hloc=pl&amp;hloc=uk</t>
  </si>
  <si>
    <t>https://geizhals.eu/kingston-server-premier-dimm-32gb-ksm26ed8-32mf-a2814837.html?hloc=at&amp;hloc=de&amp;hloc=eu&amp;hloc=pl&amp;hloc=uk</t>
  </si>
  <si>
    <t>https://geizhals.eu/kingston-server-premier-dimm-32gb-ksm26ed8-32hc-a2679017.html?hloc=at&amp;hloc=de&amp;hloc=eu&amp;hloc=pl&amp;hloc=uk</t>
  </si>
  <si>
    <t>https://geizhals.eu/kingston-server-premier-dimm-16gb-ksm32es8-16mf-a2769794.html?hloc=at&amp;hloc=de&amp;hloc=eu&amp;hloc=pl&amp;hloc=uk</t>
  </si>
  <si>
    <t>https://geizhals.eu/kingston-server-premier-dimm-16gb-ksm32es8-16hc-a2679037.html?hloc=at&amp;hloc=de&amp;hloc=eu&amp;hloc=pl&amp;hloc=uk</t>
  </si>
  <si>
    <t>https://geizhals.eu/kingston-server-premier-dimm-16gb-ksm32ed8-16mr-a2619070.html?hloc=at&amp;hloc=de&amp;hloc=eu&amp;hloc=pl&amp;hloc=uk</t>
  </si>
  <si>
    <t>https://geizhals.eu/kingston-server-premier-dimm-16gb-ksm32ed8-16hd-a2356622.html?hloc=at&amp;hloc=de&amp;hloc=eu&amp;hloc=pl&amp;hloc=uk</t>
  </si>
  <si>
    <t>https://geizhals.eu/kingston-server-premier-dimm-16gb-ksm26es8-16mf-a2756466.html?hloc=at&amp;hloc=de&amp;hloc=eu&amp;hloc=pl&amp;hloc=uk</t>
  </si>
  <si>
    <t>https://geizhals.eu/kingston-server-premier-dimm-16gb-ksm26es8-16hc-a2679034.html?hloc=at&amp;hloc=de&amp;hloc=eu&amp;hloc=pl&amp;hloc=uk</t>
  </si>
  <si>
    <t>https://geizhals.eu/kingston-server-premier-dimm-16gb-ksm26ed8-16mr-a2619063.html?hloc=at&amp;hloc=de&amp;hloc=eu&amp;hloc=pl&amp;hloc=uk</t>
  </si>
  <si>
    <t>https://geizhals.eu/kingston-server-premier-dimm-16gb-ksm26ed8-16hd-a2356614.html?hloc=at&amp;hloc=de&amp;hloc=eu&amp;hloc=pl&amp;hloc=uk</t>
  </si>
  <si>
    <t>https://geizhals.eu/kingston-server-premier-dimm-8gb-ksm32es8-8mr-a2619065.html?hloc=at&amp;hloc=de&amp;hloc=eu&amp;hloc=pl&amp;hloc=uk</t>
  </si>
  <si>
    <t>https://geizhals.eu/kingston-server-premier-dimm-8gb-ksm32es8-8hd-a2356612.html?hloc=at&amp;hloc=de&amp;hloc=eu&amp;hloc=pl&amp;hloc=uk</t>
  </si>
  <si>
    <t>https://geizhals.eu/kingston-server-premier-dimm-8gb-ksm26es8-8mr-a2619073.html?hloc=at&amp;hloc=de&amp;hloc=eu&amp;hloc=pl&amp;hloc=uk</t>
  </si>
  <si>
    <t>https://geizhals.eu/kingston-server-premier-dimm-8gb-ksm26es8-8hd-a2356616.html?hloc=at&amp;hloc=de&amp;hloc=eu&amp;hloc=pl&amp;hloc=uk</t>
  </si>
  <si>
    <t>https://geizhals.eu/kingston-hyperx-fury-schwarz-dimm-16gb-hx432c16fb4-16-a2314796.html?hloc=at&amp;hloc=de&amp;hloc=eu&amp;hloc=pl&amp;hloc=uk</t>
  </si>
  <si>
    <t>https://geizhals.eu/kingston-hyperx-fury-schwarz-dimm-4gb-hx424c15fb3-4-a2118911.html?hloc=at&amp;hloc=de&amp;hloc=eu&amp;hloc=pl&amp;hloc=uk</t>
  </si>
  <si>
    <t>https://geizhals.eu/kingston-hyperx-fury-schwarz-dimm-4gb-hx424c15fb-4-a1306418.html?hloc=at&amp;hloc=de&amp;hloc=eu&amp;hloc=pl&amp;hloc=uk</t>
  </si>
  <si>
    <t>https://geizhals.eu/kingston-fury-renegade-rgb-dimm-kit-256gb-kf432c16rbak8-256-a2564456.html?hloc=at&amp;hloc=de&amp;hloc=eu&amp;hloc=pl&amp;hloc=uk</t>
  </si>
  <si>
    <t>https://geizhals.eu/kingston-fury-renegade-rgb-dimm-kit-128gb-kf432c16rb2ak4-128-a3022878.html?hloc=at&amp;hloc=de&amp;hloc=eu&amp;hloc=pl&amp;hloc=uk</t>
  </si>
  <si>
    <t>https://geizhals.eu/kingston-fury-renegade-rgb-dimm-kit-64gb-kf436c18rb2ak2-64-a3022876.html?hloc=at&amp;hloc=de&amp;hloc=eu&amp;hloc=pl&amp;hloc=uk</t>
  </si>
  <si>
    <t>https://geizhals.eu/kingston-fury-renegade-rgb-dimm-kit-64gb-kf436c16rb12ak4-64-a3041999.html?hloc=at&amp;hloc=de&amp;hloc=eu&amp;hloc=pl&amp;hloc=uk</t>
  </si>
  <si>
    <t>https://geizhals.eu/kingston-fury-renegade-rgb-dimm-kit-64gb-kf432c16rbak2-64-a2564453.html?hloc=at&amp;hloc=de&amp;hloc=eu&amp;hloc=pl&amp;hloc=uk</t>
  </si>
  <si>
    <t>https://geizhals.eu/kingston-fury-renegade-rgb-dimm-kit-64gb-kf432c16rb2ak2-64-a3022875.html?hloc=at&amp;hloc=de&amp;hloc=eu&amp;hloc=pl&amp;hloc=uk</t>
  </si>
  <si>
    <t>https://geizhals.eu/kingston-fury-renegade-rgb-dimm-kit-64gb-kf432c16rb12ak4-64-a3041996.html?hloc=at&amp;hloc=de&amp;hloc=eu&amp;hloc=pl&amp;hloc=uk</t>
  </si>
  <si>
    <t>https://geizhals.eu/kingston-fury-renegade-rgb-dimm-kit-32gb-kf436c16rb2ak4-32-a3022873.html?hloc=at&amp;hloc=de&amp;hloc=eu&amp;hloc=pl&amp;hloc=uk</t>
  </si>
  <si>
    <t>https://geizhals.eu/kingston-fury-renegade-rgb-dimm-kit-32gb-kf436c16rb12ak2-32-a3041994.html?hloc=at&amp;hloc=de&amp;hloc=eu&amp;hloc=pl&amp;hloc=uk</t>
  </si>
  <si>
    <t>https://geizhals.eu/kingston-fury-renegade-rgb-dimm-kit-32gb-kf432c16rb2ak4-32-a3022872.html?hloc=at&amp;hloc=de&amp;hloc=eu&amp;hloc=pl&amp;hloc=uk</t>
  </si>
  <si>
    <t>https://geizhals.eu/kingston-fury-renegade-rgb-dimm-kit-32gb-kf432c16rb12ak2-32-a3041993.html?hloc=at&amp;hloc=de&amp;hloc=eu&amp;hloc=pl&amp;hloc=uk</t>
  </si>
  <si>
    <t>https://geizhals.eu/kingston-fury-renegade-rgb-dimm-kit-16gb-kf446c19rbak2-16-a2564519.html?hloc=at&amp;hloc=de&amp;hloc=eu&amp;hloc=pl&amp;hloc=uk</t>
  </si>
  <si>
    <t>https://geizhals.eu/kingston-fury-renegade-rgb-dimm-kit-16gb-kf446c19rb2ak2-16-a3022870.html?hloc=at&amp;hloc=de&amp;hloc=eu&amp;hloc=pl&amp;hloc=uk</t>
  </si>
  <si>
    <t>https://geizhals.eu/kingston-fury-renegade-rgb-dimm-kit-16gb-kf442c19rb2ak2-16-a3022869.html?hloc=at&amp;hloc=de&amp;hloc=eu&amp;hloc=pl&amp;hloc=uk</t>
  </si>
  <si>
    <t>https://geizhals.eu/kingston-fury-renegade-rgb-dimm-kit-16gb-kf440c19rb2ak2-16-a3022868.html?hloc=at&amp;hloc=de&amp;hloc=eu&amp;hloc=pl&amp;hloc=uk</t>
  </si>
  <si>
    <t>https://geizhals.eu/kingston-fury-renegade-rgb-dimm-kit-16gb-kf436c16rb2ak2-16-a3022867.html?hloc=at&amp;hloc=de&amp;hloc=eu&amp;hloc=pl&amp;hloc=uk</t>
  </si>
  <si>
    <t>https://geizhals.eu/kingston-fury-renegade-rgb-dimm-kit-16gb-kf432c16rb2ak2-16-a3022866.html?hloc=at&amp;hloc=de&amp;hloc=eu&amp;hloc=pl&amp;hloc=uk</t>
  </si>
  <si>
    <t>https://geizhals.eu/kingston-fury-renegade-rgb-dimm-kit-16gb-kf430c15rbak2-16-a2564395.html?hloc=at&amp;hloc=de&amp;hloc=eu&amp;hloc=pl&amp;hloc=uk</t>
  </si>
  <si>
    <t>https://geizhals.eu/kingston-fury-renegade-rgb-dimm-32gb-kf436c18rb2a-32-a3022864.html?hloc=at&amp;hloc=de&amp;hloc=eu&amp;hloc=pl&amp;hloc=uk</t>
  </si>
  <si>
    <t>https://geizhals.eu/kingston-fury-renegade-rgb-dimm-32gb-kf432c16rba-32-a2564450.html?hloc=at&amp;hloc=de&amp;hloc=eu&amp;hloc=pl&amp;hloc=uk</t>
  </si>
  <si>
    <t>https://geizhals.eu/kingston-fury-renegade-rgb-dimm-32gb-kf432c16rb2a-32-a3022863.html?hloc=at&amp;hloc=de&amp;hloc=eu&amp;hloc=pl&amp;hloc=uk</t>
  </si>
  <si>
    <t>https://geizhals.eu/kingston-fury-renegade-rgb-dimm-16gb-kf436c16rb1a-16-a2564468.html?hloc=at&amp;hloc=de&amp;hloc=eu&amp;hloc=pl&amp;hloc=uk</t>
  </si>
  <si>
    <t>https://geizhals.eu/kingston-fury-renegade-rgb-dimm-16gb-kf436c16rb12a-16-a3041058.html?hloc=at&amp;hloc=de&amp;hloc=eu&amp;hloc=pl&amp;hloc=uk</t>
  </si>
  <si>
    <t>https://geizhals.eu/kingston-fury-renegade-rgb-dimm-16gb-kf432c16rb1a-16-a2564445.html?hloc=at&amp;hloc=de&amp;hloc=eu&amp;hloc=pl&amp;hloc=uk</t>
  </si>
  <si>
    <t>https://geizhals.eu/kingston-fury-renegade-rgb-dimm-16gb-kf432c16rb12a-16-a3041057.html?hloc=at&amp;hloc=de&amp;hloc=eu&amp;hloc=pl&amp;hloc=uk</t>
  </si>
  <si>
    <t>https://geizhals.eu/kingston-fury-renegade-rgb-dimm-16gb-kf430c15rb1a-16-a2564388.html?hloc=at&amp;hloc=de&amp;hloc=eu&amp;hloc=pl&amp;hloc=uk</t>
  </si>
  <si>
    <t>https://geizhals.eu/kingston-fury-renegade-rgb-dimm-8gb-kf440c19rba-8-a2564512.html?hloc=at&amp;hloc=de&amp;hloc=eu&amp;hloc=pl&amp;hloc=uk</t>
  </si>
  <si>
    <t>https://geizhals.eu/kingston-fury-renegade-rgb-dimm-8gb-kf440c19rb2a-8-a3022861.html?hloc=at&amp;hloc=de&amp;hloc=eu&amp;hloc=pl&amp;hloc=uk</t>
  </si>
  <si>
    <t>https://geizhals.eu/kingston-fury-renegade-rgb-dimm-8gb-kf436c16rb2a-8-a3022860.html?hloc=at&amp;hloc=de&amp;hloc=eu&amp;hloc=pl&amp;hloc=uk</t>
  </si>
  <si>
    <t>https://geizhals.eu/kingston-fury-renegade-rgb-dimm-8gb-kf432c16rba-8-a2564451.html?hloc=at&amp;hloc=de&amp;hloc=eu&amp;hloc=pl&amp;hloc=uk</t>
  </si>
  <si>
    <t>https://geizhals.eu/kingston-fury-renegade-rgb-dimm-8gb-kf432c16rb2a-8-a3022859.html?hloc=at&amp;hloc=de&amp;hloc=eu&amp;hloc=pl&amp;hloc=uk</t>
  </si>
  <si>
    <t>https://geizhals.eu/kingston-fury-renegade-rgb-dimm-8gb-kf430c15rba-8-a2564394.html?hloc=at&amp;hloc=de&amp;hloc=eu&amp;hloc=pl&amp;hloc=uk</t>
  </si>
  <si>
    <t>https://geizhals.eu/kingston-fury-renegade-dimm-kit-256gb-kf432c16rb2k8-256-a3022857.html?hloc=at&amp;hloc=de&amp;hloc=eu&amp;hloc=pl&amp;hloc=uk</t>
  </si>
  <si>
    <t>https://geizhals.eu/kingston-fury-renegade-dimm-kit-128gb-kf436c18rb2k4-128-a3022856.html?hloc=at&amp;hloc=de&amp;hloc=eu&amp;hloc=pl&amp;hloc=uk</t>
  </si>
  <si>
    <t>https://geizhals.eu/kingston-fury-renegade-dimm-kit-64gb-kf436c18rb2k2-64-a3022852.html?hloc=at&amp;hloc=de&amp;hloc=eu&amp;hloc=pl&amp;hloc=uk</t>
  </si>
  <si>
    <t>https://geizhals.eu/kingston-fury-renegade-dimm-kit-64gb-kf436c16rb12k4-64-a3041973.html?hloc=at&amp;hloc=de&amp;hloc=eu&amp;hloc=pl&amp;hloc=uk</t>
  </si>
  <si>
    <t>https://geizhals.eu/kingston-fury-renegade-dimm-kit-64gb-kf432c16rbk2-64-a2564458.html?hloc=at&amp;hloc=de&amp;hloc=eu&amp;hloc=pl&amp;hloc=uk</t>
  </si>
  <si>
    <t>https://geizhals.eu/kingston-fury-renegade-dimm-kit-64gb-kf432c16rb2k2-64-a3022851.html?hloc=at&amp;hloc=de&amp;hloc=eu&amp;hloc=pl&amp;hloc=uk</t>
  </si>
  <si>
    <t>https://geizhals.eu/kingston-fury-renegade-dimm-kit-64gb-kf432c16rb12k4-64-a3041048.html?hloc=at&amp;hloc=de&amp;hloc=eu&amp;hloc=pl&amp;hloc=uk</t>
  </si>
  <si>
    <t>https://geizhals.eu/kingston-fury-renegade-dimm-kit-32gb-kf446c19rb12k2-32-a3041039.html?hloc=at&amp;hloc=de&amp;hloc=eu&amp;hloc=pl&amp;hloc=uk</t>
  </si>
  <si>
    <t>https://geizhals.eu/kingston-fury-renegade-dimm-kit-32gb-kf442c19rb12k2-32-a3041042.html?hloc=at&amp;hloc=de&amp;hloc=eu&amp;hloc=pl&amp;hloc=uk</t>
  </si>
  <si>
    <t>https://geizhals.eu/kingston-fury-renegade-dimm-kit-32gb-kf440c19rb12k2-32-a3041045.html?hloc=at&amp;hloc=de&amp;hloc=eu&amp;hloc=pl&amp;hloc=uk</t>
  </si>
  <si>
    <t>https://geizhals.eu/kingston-fury-renegade-dimm-kit-32gb-kf436c16rb2k4-32-a3022848.html?hloc=at&amp;hloc=de&amp;hloc=eu&amp;hloc=pl&amp;hloc=uk</t>
  </si>
  <si>
    <t>https://geizhals.eu/kingston-fury-renegade-dimm-kit-32gb-kf436c16rb12k2-32-a3041051.html?hloc=at&amp;hloc=de&amp;hloc=eu&amp;hloc=pl&amp;hloc=uk</t>
  </si>
  <si>
    <t>https://geizhals.eu/kingston-fury-renegade-dimm-kit-32gb-kf432c16rb2k4-32-a3022847.html?hloc=at&amp;hloc=de&amp;hloc=eu&amp;hloc=pl&amp;hloc=uk</t>
  </si>
  <si>
    <t>https://geizhals.eu/kingston-fury-renegade-dimm-kit-32gb-kf432c16rb12k2-32-a3041049.html?hloc=at&amp;hloc=de&amp;hloc=eu&amp;hloc=pl&amp;hloc=uk</t>
  </si>
  <si>
    <t>https://geizhals.eu/kingston-fury-renegade-dimm-kit-16gb-kf453c20rb2k2-16-a3022844.html?hloc=at&amp;hloc=de&amp;hloc=eu&amp;hloc=pl&amp;hloc=uk</t>
  </si>
  <si>
    <t>https://geizhals.eu/kingston-fury-renegade-dimm-kit-16gb-kf450c19rbk2-16-a2564522.html?hloc=at&amp;hloc=de&amp;hloc=eu&amp;hloc=pl&amp;hloc=uk</t>
  </si>
  <si>
    <t>https://geizhals.eu/kingston-fury-renegade-dimm-kit-16gb-kf448c19rb2k2-16-a3022841.html?hloc=at&amp;hloc=de&amp;hloc=eu&amp;hloc=pl&amp;hloc=uk</t>
  </si>
  <si>
    <t>https://geizhals.eu/kingston-fury-renegade-dimm-kit-16gb-kf446c19rb2k2-16-a3022840.html?hloc=at&amp;hloc=de&amp;hloc=eu&amp;hloc=pl&amp;hloc=uk</t>
  </si>
  <si>
    <t>https://geizhals.eu/kingston-fury-renegade-dimm-kit-16gb-kf442c19rb2k2-16-a3022839.html?hloc=at&amp;hloc=de&amp;hloc=eu&amp;hloc=pl&amp;hloc=uk</t>
  </si>
  <si>
    <t>https://geizhals.eu/kingston-fury-renegade-dimm-kit-16gb-kf440c19rb2k2-16-a3022838.html?hloc=at&amp;hloc=de&amp;hloc=eu&amp;hloc=pl&amp;hloc=uk</t>
  </si>
  <si>
    <t>https://geizhals.eu/kingston-fury-renegade-dimm-kit-16gb-kf436c16rb2k2-16-a3022837.html?hloc=at&amp;hloc=de&amp;hloc=eu&amp;hloc=pl&amp;hloc=uk</t>
  </si>
  <si>
    <t>https://geizhals.eu/kingston-fury-renegade-dimm-kit-16gb-kf432c16rbk2-16-a2564457.html?hloc=at&amp;hloc=de&amp;hloc=eu&amp;hloc=pl&amp;hloc=uk</t>
  </si>
  <si>
    <t>https://geizhals.eu/kingston-fury-renegade-dimm-kit-16gb-kf432c16rb2k2-16-a3022836.html?hloc=at&amp;hloc=de&amp;hloc=eu&amp;hloc=pl&amp;hloc=uk</t>
  </si>
  <si>
    <t>https://geizhals.eu/kingston-fury-renegade-dimm-32gb-kf436c18rb2-32-a3022833.html?hloc=at&amp;hloc=de&amp;hloc=eu&amp;hloc=pl&amp;hloc=uk</t>
  </si>
  <si>
    <t>https://geizhals.eu/kingston-fury-renegade-dimm-32gb-kf432c16rb2-32-a3022832.html?hloc=at&amp;hloc=de&amp;hloc=eu&amp;hloc=pl&amp;hloc=uk</t>
  </si>
  <si>
    <t>https://geizhals.eu/kingston-fury-renegade-dimm-16gb-kf440c19rb12-16-a3041056.html?hloc=at&amp;hloc=de&amp;hloc=eu&amp;hloc=pl&amp;hloc=uk</t>
  </si>
  <si>
    <t>https://geizhals.eu/kingston-fury-renegade-dimm-16gb-kf436c16rb12-16-a3041055.html?hloc=at&amp;hloc=de&amp;hloc=eu&amp;hloc=pl&amp;hloc=uk</t>
  </si>
  <si>
    <t>https://geizhals.eu/kingston-fury-renegade-dimm-16gb-kf436c16rb1-16-a2564467.html?hloc=at&amp;hloc=de&amp;hloc=eu&amp;hloc=pl&amp;hloc=uk</t>
  </si>
  <si>
    <t>https://geizhals.eu/kingston-fury-renegade-dimm-16gb-kf432c16rb12-16-a3041053.html?hloc=at&amp;hloc=de&amp;hloc=eu&amp;hloc=pl&amp;hloc=uk</t>
  </si>
  <si>
    <t>https://geizhals.eu/kingston-fury-renegade-dimm-16gb-kf430c15rb1-16-a2564387.html?hloc=at&amp;hloc=de&amp;hloc=eu&amp;hloc=pl&amp;hloc=uk</t>
  </si>
  <si>
    <t>https://geizhals.eu/kingston-fury-renegade-dimm-8gb-kf440c19rb2-8-a3022829.html?hloc=at&amp;hloc=de&amp;hloc=eu&amp;hloc=pl&amp;hloc=uk</t>
  </si>
  <si>
    <t>https://geizhals.eu/kingston-fury-renegade-dimm-8gb-kf440c19rb-8-a2564509.html?hloc=at&amp;hloc=de&amp;hloc=eu&amp;hloc=pl&amp;hloc=uk</t>
  </si>
  <si>
    <t>https://geizhals.eu/kingston-fury-renegade-dimm-8gb-kf436c16rb2-8-a3022828.html?hloc=at&amp;hloc=de&amp;hloc=eu&amp;hloc=pl&amp;hloc=uk</t>
  </si>
  <si>
    <t>https://geizhals.eu/kingston-fury-renegade-dimm-8gb-kf432c16rb2-8-a3022827.html?hloc=at&amp;hloc=de&amp;hloc=eu&amp;hloc=pl&amp;hloc=uk</t>
  </si>
  <si>
    <t>https://geizhals.eu/kingston-fury-beast-rgb-special-edition-dimm-kit-32gb-kf432c16bwak2-32-a2818257.html?hloc=at&amp;hloc=de&amp;hloc=eu&amp;hloc=pl&amp;hloc=uk</t>
  </si>
  <si>
    <t>https://geizhals.eu/kingston-fury-beast-rgb-special-edition-dimm-kit-16gb-kf436c17bwak2-16-a2818259.html?hloc=at&amp;hloc=de&amp;hloc=eu&amp;hloc=pl&amp;hloc=uk</t>
  </si>
  <si>
    <t>https://geizhals.eu/kingston-fury-beast-rgb-special-edition-dimm-kit-16gb-kf432c16bwak2-16-a2818258.html?hloc=at&amp;hloc=de&amp;hloc=eu&amp;hloc=pl&amp;hloc=uk</t>
  </si>
  <si>
    <t>https://geizhals.eu/kingston-fury-beast-rgb-special-edition-dimm-16gb-kf432c16bwa-16-a2818260.html?hloc=at&amp;hloc=de&amp;hloc=eu&amp;hloc=pl&amp;hloc=uk</t>
  </si>
  <si>
    <t>https://geizhals.eu/kingston-fury-beast-rgb-special-edition-dimm-8gb-kf436c17bwa-8-a2818262.html?hloc=at&amp;hloc=de&amp;hloc=eu&amp;hloc=pl&amp;hloc=uk</t>
  </si>
  <si>
    <t>https://geizhals.eu/kingston-fury-beast-rgb-special-edition-dimm-8gb-kf432c16bwa-8-a2818261.html?hloc=at&amp;hloc=de&amp;hloc=eu&amp;hloc=pl&amp;hloc=uk</t>
  </si>
  <si>
    <t>https://geizhals.eu/kingston-fury-beast-rgb-dimm-kit-128gb-kf436c18bb2ak4-128-a3022824.html?hloc=at&amp;hloc=de&amp;hloc=eu&amp;hloc=pl&amp;hloc=uk</t>
  </si>
  <si>
    <t>https://geizhals.eu/kingston-fury-beast-rgb-dimm-kit-128gb-kf432c16bb2ak4-128-a3022823.html?hloc=at&amp;hloc=de&amp;hloc=eu&amp;hloc=pl&amp;hloc=uk</t>
  </si>
  <si>
    <t>https://geizhals.eu/kingston-fury-beast-rgb-dimm-kit-64gb-kf436c18bb2ak4-64-a3022820.html?hloc=at&amp;hloc=de&amp;hloc=eu&amp;hloc=pl&amp;hloc=uk</t>
  </si>
  <si>
    <t>https://geizhals.eu/kingston-fury-beast-rgb-dimm-kit-64gb-kf436c18bb2ak2-64-a3022819.html?hloc=at&amp;hloc=de&amp;hloc=eu&amp;hloc=pl&amp;hloc=uk</t>
  </si>
  <si>
    <t>https://geizhals.eu/kingston-fury-beast-rgb-dimm-kit-64gb-kf432c16bb2ak4-64-a3022818.html?hloc=at&amp;hloc=de&amp;hloc=eu&amp;hloc=pl&amp;hloc=uk</t>
  </si>
  <si>
    <t>https://geizhals.eu/kingston-fury-beast-rgb-dimm-kit-64gb-kf432c16bb2ak2-64-a3022817.html?hloc=at&amp;hloc=de&amp;hloc=eu&amp;hloc=pl&amp;hloc=uk</t>
  </si>
  <si>
    <t>https://geizhals.eu/kingston-fury-beast-rgb-dimm-kit-64gb-kf432c16bb12ak4-64-a3022898.html?hloc=at&amp;hloc=de&amp;hloc=eu&amp;hloc=pl&amp;hloc=uk</t>
  </si>
  <si>
    <t>https://geizhals.eu/kingston-fury-beast-rgb-dimm-kit-64gb-kf426c16bb2ak4-64-a3022814.html?hloc=at&amp;hloc=de&amp;hloc=eu&amp;hloc=pl&amp;hloc=uk</t>
  </si>
  <si>
    <t>https://geizhals.eu/kingston-fury-beast-rgb-dimm-kit-64gb-kf426c16bb12ak4-64-a3022899.html?hloc=at&amp;hloc=de&amp;hloc=eu&amp;hloc=pl&amp;hloc=uk</t>
  </si>
  <si>
    <t>https://geizhals.eu/kingston-fury-beast-rgb-dimm-kit-32gb-kf436c18bb2ak2-32-a3022812.html?hloc=at&amp;hloc=de&amp;hloc=eu&amp;hloc=pl&amp;hloc=uk</t>
  </si>
  <si>
    <t>https://geizhals.eu/kingston-fury-beast-rgb-dimm-kit-32gb-kf436c17bb2ak4-32-a3022811.html?hloc=at&amp;hloc=de&amp;hloc=eu&amp;hloc=pl&amp;hloc=uk</t>
  </si>
  <si>
    <t>https://geizhals.eu/kingston-fury-beast-rgb-dimm-kit-32gb-kf432c16bb2ak2-32-a3022810.html?hloc=at&amp;hloc=de&amp;hloc=eu&amp;hloc=pl&amp;hloc=uk</t>
  </si>
  <si>
    <t>https://geizhals.eu/kingston-fury-beast-rgb-dimm-kit-32gb-kf432c16bb12ak2-32-a3022897.html?hloc=at&amp;hloc=de&amp;hloc=eu&amp;hloc=pl&amp;hloc=uk</t>
  </si>
  <si>
    <t>https://geizhals.eu/kingston-fury-beast-rgb-dimm-kit-32gb-kf432c16bb2ak4-32-a3022809.html?hloc=at&amp;hloc=de&amp;hloc=eu&amp;hloc=pl&amp;hloc=uk</t>
  </si>
  <si>
    <t>https://geizhals.eu/kingston-fury-beast-rgb-dimm-kit-32gb-kf426c16bb2ak2-32-a3022805.html?hloc=at&amp;hloc=de&amp;hloc=eu&amp;hloc=pl&amp;hloc=uk</t>
  </si>
  <si>
    <t>https://geizhals.eu/kingston-fury-beast-rgb-dimm-kit-32gb-kf426c16bb12ak2-32-a3022896.html?hloc=at&amp;hloc=de&amp;hloc=eu&amp;hloc=pl&amp;hloc=uk</t>
  </si>
  <si>
    <t>https://geizhals.eu/kingston-fury-beast-rgb-dimm-kit-16gb-kf436c17bb2ak2-16-a3022803.html?hloc=at&amp;hloc=de&amp;hloc=eu&amp;hloc=pl&amp;hloc=uk</t>
  </si>
  <si>
    <t>https://geizhals.eu/kingston-fury-beast-rgb-dimm-kit-16gb-kf432c16bb2ak2-16-a3022802.html?hloc=at&amp;hloc=de&amp;hloc=eu&amp;hloc=pl&amp;hloc=uk</t>
  </si>
  <si>
    <t>https://geizhals.eu/kingston-fury-beast-rgb-dimm-kit-16gb-kf430c15bbak2-16-a2564382.html?hloc=at&amp;hloc=de&amp;hloc=eu&amp;hloc=pl&amp;hloc=uk</t>
  </si>
  <si>
    <t>https://geizhals.eu/kingston-fury-beast-rgb-dimm-32gb-kf436c18bb2a-32-a3022799.html?hloc=at&amp;hloc=de&amp;hloc=eu&amp;hloc=pl&amp;hloc=uk</t>
  </si>
  <si>
    <t>https://geizhals.eu/kingston-fury-beast-rgb-dimm-32gb-kf432c16bb2a-32-a3022798.html?hloc=at&amp;hloc=de&amp;hloc=eu&amp;hloc=pl&amp;hloc=uk</t>
  </si>
  <si>
    <t>https://geizhals.eu/kingston-fury-beast-rgb-dimm-16gb-kf437c19bb12a-16-a3022900.html?hloc=at&amp;hloc=de&amp;hloc=eu&amp;hloc=pl&amp;hloc=uk</t>
  </si>
  <si>
    <t>https://geizhals.eu/kingston-fury-beast-rgb-dimm-16gb-kf436c18bba-16-a2564485.html?hloc=at&amp;hloc=de&amp;hloc=eu&amp;hloc=pl&amp;hloc=uk</t>
  </si>
  <si>
    <t>https://geizhals.eu/kingston-fury-beast-rgb-dimm-16gb-kf436c18bb2a-16-a3022795.html?hloc=at&amp;hloc=de&amp;hloc=eu&amp;hloc=pl&amp;hloc=uk</t>
  </si>
  <si>
    <t>https://geizhals.eu/kingston-fury-beast-rgb-dimm-16gb-kf432c16bba-16-a2564427.html?hloc=at&amp;hloc=de&amp;hloc=eu&amp;hloc=pl&amp;hloc=uk</t>
  </si>
  <si>
    <t>https://geizhals.eu/kingston-fury-beast-rgb-dimm-16gb-kf432c16bb2a-16-a3022794.html?hloc=at&amp;hloc=de&amp;hloc=eu&amp;hloc=pl&amp;hloc=uk</t>
  </si>
  <si>
    <t>https://geizhals.eu/kingston-fury-beast-rgb-dimm-16gb-kf432c16bb12a-16-a3022902.html?hloc=at&amp;hloc=de&amp;hloc=eu&amp;hloc=pl&amp;hloc=uk</t>
  </si>
  <si>
    <t>https://geizhals.eu/kingston-fury-beast-rgb-dimm-16gb-kf432c16bb1a-16-a2564422.html?hloc=at&amp;hloc=de&amp;hloc=eu&amp;hloc=pl&amp;hloc=uk</t>
  </si>
  <si>
    <t>https://geizhals.eu/kingston-fury-beast-rgb-dimm-16gb-kf430c15bb1a-16-a2564376.html?hloc=at&amp;hloc=de&amp;hloc=eu&amp;hloc=pl&amp;hloc=uk</t>
  </si>
  <si>
    <t>https://geizhals.eu/kingston-fury-beast-rgb-dimm-16gb-kf426c16bb12a-16-a3022901.html?hloc=at&amp;hloc=de&amp;hloc=eu&amp;hloc=pl&amp;hloc=uk</t>
  </si>
  <si>
    <t>https://geizhals.eu/kingston-fury-beast-rgb-dimm-8gb-kf437c19bba-8-a2564506.html?hloc=at&amp;hloc=de&amp;hloc=eu&amp;hloc=pl&amp;hloc=uk</t>
  </si>
  <si>
    <t>https://geizhals.eu/kingston-fury-beast-rgb-dimm-8gb-kf437c19bb2a-8-a3022791.html?hloc=at&amp;hloc=de&amp;hloc=eu&amp;hloc=pl&amp;hloc=uk</t>
  </si>
  <si>
    <t>https://geizhals.eu/kingston-fury-beast-rgb-dimm-8gb-kf436c17bb2a-8-a3022790.html?hloc=at&amp;hloc=de&amp;hloc=eu&amp;hloc=pl&amp;hloc=uk</t>
  </si>
  <si>
    <t>https://geizhals.eu/kingston-fury-beast-rgb-dimm-8gb-kf432c16bb2a-8-a3022789.html?hloc=at&amp;hloc=de&amp;hloc=eu&amp;hloc=pl&amp;hloc=uk</t>
  </si>
  <si>
    <t>https://geizhals.eu/kingston-fury-beast-rgb-dimm-8gb-kf426c16bb2a-8-a3022787.html?hloc=at&amp;hloc=de&amp;hloc=eu&amp;hloc=pl&amp;hloc=uk</t>
  </si>
  <si>
    <t>https://geizhals.eu/kingston-fury-beast-dimm-kit-128gb-kf436c18bbk4-128-a2564493.html?hloc=at&amp;hloc=de&amp;hloc=eu&amp;hloc=pl&amp;hloc=uk</t>
  </si>
  <si>
    <t>https://geizhals.eu/kingston-fury-beast-dimm-kit-128gb-kf432c16bbk4-128-a2564438.html?hloc=at&amp;hloc=de&amp;hloc=eu&amp;hloc=pl&amp;hloc=uk</t>
  </si>
  <si>
    <t>https://geizhals.eu/kingston-fury-beast-dimm-kit-64gb-kf436c18bbk4-64-a2564494.html?hloc=at&amp;hloc=de&amp;hloc=eu&amp;hloc=pl&amp;hloc=uk</t>
  </si>
  <si>
    <t>https://geizhals.eu/kingston-fury-beast-dimm-kit-64gb-kf436c18bbk2-64-a2564492.html?hloc=at&amp;hloc=de&amp;hloc=eu&amp;hloc=pl&amp;hloc=uk</t>
  </si>
  <si>
    <t>https://geizhals.eu/kingston-fury-beast-dimm-kit-64gb-kf432c16bbk4-64-a2564441.html?hloc=at&amp;hloc=de&amp;hloc=eu&amp;hloc=pl&amp;hloc=uk</t>
  </si>
  <si>
    <t>https://geizhals.eu/kingston-fury-beast-dimm-kit-64gb-kf432c16bbk2-64-a2564436.html?hloc=at&amp;hloc=de&amp;hloc=eu&amp;hloc=pl&amp;hloc=uk</t>
  </si>
  <si>
    <t>https://geizhals.eu/kingston-fury-beast-dimm-kit-64gb-kf432c16bb1k4-64-a2564426.html?hloc=at&amp;hloc=de&amp;hloc=eu&amp;hloc=pl&amp;hloc=uk</t>
  </si>
  <si>
    <t>https://geizhals.eu/kingston-fury-beast-dimm-kit-64gb-kf426c16bbk4-64-a2564364.html?hloc=at&amp;hloc=de&amp;hloc=eu&amp;hloc=pl&amp;hloc=uk</t>
  </si>
  <si>
    <t>https://geizhals.eu/kingston-fury-beast-dimm-kit-32gb-kf436c18bbk2-32-a2564491.html?hloc=at&amp;hloc=de&amp;hloc=eu&amp;hloc=pl&amp;hloc=uk</t>
  </si>
  <si>
    <t>https://geizhals.eu/kingston-fury-beast-dimm-kit-32gb-kf436c17bbk4-32-a2564482.html?hloc=at&amp;hloc=de&amp;hloc=eu&amp;hloc=pl&amp;hloc=uk</t>
  </si>
  <si>
    <t>https://geizhals.eu/kingston-fury-beast-dimm-kit-32gb-kf432c16bbk2-32-a2564435.html?hloc=at&amp;hloc=de&amp;hloc=eu&amp;hloc=pl&amp;hloc=uk</t>
  </si>
  <si>
    <t>https://geizhals.eu/kingston-fury-beast-dimm-kit-32gb-kf432c16bbk4-32-a2564440.html?hloc=at&amp;hloc=de&amp;hloc=eu&amp;hloc=pl&amp;hloc=uk</t>
  </si>
  <si>
    <t>https://geizhals.eu/kingston-fury-beast-dimm-kit-32gb-kf432c16bb1k2-32-a2564425.html?hloc=at&amp;hloc=de&amp;hloc=eu&amp;hloc=pl&amp;hloc=uk</t>
  </si>
  <si>
    <t>https://geizhals.eu/kingston-fury-beast-dimm-kit-16gb-kf436c17bbk2-16-kf436c17fb3k2-16-a2567562.html?hloc=at&amp;hloc=de&amp;hloc=eu&amp;hloc=pl&amp;hloc=uk</t>
  </si>
  <si>
    <t>https://geizhals.eu/kingston-fury-beast-dimm-kit-16gb-kf432c16bbk4-16-a2564439.html?hloc=at&amp;hloc=de&amp;hloc=eu&amp;hloc=pl&amp;hloc=uk</t>
  </si>
  <si>
    <t>https://geizhals.eu/kingston-fury-beast-dimm-kit-16gb-kf432c16bbk2-16-a2564900.html?hloc=at&amp;hloc=de&amp;hloc=eu&amp;hloc=pl&amp;hloc=uk</t>
  </si>
  <si>
    <t>https://geizhals.eu/kingston-fury-beast-dimm-kit-16gb-kf426c16bbk2-16-a2564890.html?hloc=at&amp;hloc=de&amp;hloc=eu&amp;hloc=pl&amp;hloc=uk</t>
  </si>
  <si>
    <t>https://geizhals.eu/kingston-fury-beast-dimm-kit-8gb-kf432c16bbk2-8-a2564437.html?hloc=at&amp;hloc=de&amp;hloc=eu&amp;hloc=pl&amp;hloc=uk</t>
  </si>
  <si>
    <t>https://geizhals.eu/kingston-fury-beast-dimm-kit-8gb-kf426c16bbk2-8-a2564360.html?hloc=at&amp;hloc=de&amp;hloc=eu&amp;hloc=pl&amp;hloc=uk</t>
  </si>
  <si>
    <t>https://geizhals.eu/kingston-fury-beast-dimm-32gb-kf436c18bb-32-a2564484.html?hloc=at&amp;hloc=de&amp;hloc=eu&amp;hloc=pl&amp;hloc=uk</t>
  </si>
  <si>
    <t>https://geizhals.eu/kingston-fury-beast-dimm-32gb-kf432c16bb-32-a2564418.html?hloc=at&amp;hloc=de&amp;hloc=eu&amp;hloc=pl&amp;hloc=uk</t>
  </si>
  <si>
    <t>https://geizhals.eu/kingston-fury-beast-dimm-32gb-kf430c16bb-32-a2564400.html?hloc=at&amp;hloc=de&amp;hloc=eu&amp;hloc=pl&amp;hloc=uk</t>
  </si>
  <si>
    <t>https://geizhals.eu/kingston-fury-beast-dimm-16gb-kf437c19bb1-16-a2564502.html?hloc=at&amp;hloc=de&amp;hloc=eu&amp;hloc=pl&amp;hloc=uk</t>
  </si>
  <si>
    <t>https://geizhals.eu/kingston-fury-beast-dimm-16gb-kf436c18bb-16-a2564483.html?hloc=at&amp;hloc=de&amp;hloc=eu&amp;hloc=pl&amp;hloc=uk</t>
  </si>
  <si>
    <t>https://geizhals.eu/kingston-fury-beast-dimm-16gb-kf432c16bb-16-a2564417.html?hloc=at&amp;hloc=de&amp;hloc=eu&amp;hloc=pl&amp;hloc=uk</t>
  </si>
  <si>
    <t>https://geizhals.eu/kingston-fury-beast-dimm-16gb-kf432c16bb1-16-a2564421.html?hloc=at&amp;hloc=de&amp;hloc=eu&amp;hloc=pl&amp;hloc=uk</t>
  </si>
  <si>
    <t>https://geizhals.eu/kingston-fury-beast-dimm-16gb-kf426c16bb1-16-a2564343.html?hloc=at&amp;hloc=de&amp;hloc=eu&amp;hloc=pl&amp;hloc=uk</t>
  </si>
  <si>
    <t>https://geizhals.eu/kingston-fury-beast-dimm-8gb-kf437c19bb-8-a2564501.html?hloc=at&amp;hloc=de&amp;hloc=eu&amp;hloc=pl&amp;hloc=uk</t>
  </si>
  <si>
    <t>https://geizhals.eu/kingston-fury-beast-dimm-8gb-kf436c17bb-8-a2564478.html?hloc=at&amp;hloc=de&amp;hloc=eu&amp;hloc=pl&amp;hloc=uk</t>
  </si>
  <si>
    <t>https://geizhals.eu/kingston-fury-beast-dimm-8gb-kf432c16bb-8-a2564420.html?hloc=at&amp;hloc=de&amp;hloc=eu&amp;hloc=pl&amp;hloc=uk</t>
  </si>
  <si>
    <t>https://geizhals.eu/kingston-fury-beast-dimm-4gb-kf432c16bb-4-a2564419.html?hloc=at&amp;hloc=de&amp;hloc=eu&amp;hloc=pl&amp;hloc=uk</t>
  </si>
  <si>
    <t>https://geizhals.eu/kingston-fury-beast-dimm-4gb-kf426c16bb-4-a2564342.html?hloc=at&amp;hloc=de&amp;hloc=eu&amp;hloc=pl&amp;hloc=uk</t>
  </si>
  <si>
    <t>https://geizhals.eu/g-skill-trident-z-silber-weiss-dimm-kit-32gb-f4-3200c16d-32gtzsw-a1475810.html?hloc=at&amp;hloc=de&amp;hloc=eu&amp;hloc=pl&amp;hloc=uk</t>
  </si>
  <si>
    <t>https://geizhals.eu/g-skill-trident-z-silber-weiss-dimm-kit-16gb-f4-3200c15d-16gtzsw-a1463441.html?hloc=at&amp;hloc=de&amp;hloc=eu&amp;hloc=pl&amp;hloc=uk</t>
  </si>
  <si>
    <t>https://geizhals.eu/g-skill-trident-z-silber-schwarz-dimm-kit-32gb-f4-3200c16d-32gtzsk-a1464585.html?hloc=at&amp;hloc=de&amp;hloc=eu&amp;hloc=pl&amp;hloc=uk</t>
  </si>
  <si>
    <t>https://geizhals.eu/g-skill-trident-z-silber-rot-dimm-kit-32gb-f4-3600c17d-32gtz-a1567801.html?hloc=at&amp;hloc=de&amp;hloc=eu&amp;hloc=pl&amp;hloc=uk</t>
  </si>
  <si>
    <t>https://geizhals.eu/g-skill-trident-z-silber-rot-dimm-kit-32gb-f4-3200c16d-32gtz-a1497781.html?hloc=at&amp;hloc=de&amp;hloc=eu&amp;hloc=pl&amp;hloc=uk</t>
  </si>
  <si>
    <t>https://geizhals.eu/g-skill-trident-z-silber-rot-dimm-kit-16gb-f4-3200c16d-16gtzb-a1323254.html?hloc=at&amp;hloc=de&amp;hloc=eu&amp;hloc=pl&amp;hloc=uk</t>
  </si>
  <si>
    <t>https://geizhals.eu/g-skill-trident-z-schwarz-weiss-dimm-kit-32gb-f4-3600c17d-32gtzkw-a1567799.html?hloc=at&amp;hloc=de&amp;hloc=eu&amp;hloc=pl&amp;hloc=uk</t>
  </si>
  <si>
    <t>https://geizhals.eu/g-skill-trident-z-schwarz-weiss-dimm-kit-32gb-f4-3200c16d-32gtzkw-a1464583.html?hloc=at&amp;hloc=de&amp;hloc=eu&amp;hloc=pl&amp;hloc=uk</t>
  </si>
  <si>
    <t>https://geizhals.eu/g-skill-trident-z-schwarz-weiss-dimm-kit-16gb-f4-3200c16d-16gtzkw-a1463416.html?hloc=at&amp;hloc=de&amp;hloc=eu&amp;hloc=pl&amp;hloc=uk</t>
  </si>
  <si>
    <t>https://geizhals.eu/g-skill-trident-z-schwarz-schwarz-dimm-kit-32gb-f4-4133c19q-32gtzkkf-a1677142.html?hloc=at&amp;hloc=de&amp;hloc=eu&amp;hloc=pl&amp;hloc=uk</t>
  </si>
  <si>
    <t>https://geizhals.eu/g-skill-trident-z-royal-silber-dimm-kit-128gb-f4-3600c14q2-128gtrsa-a2549665.html?hloc=at&amp;hloc=de&amp;hloc=eu&amp;hloc=pl&amp;hloc=uk</t>
  </si>
  <si>
    <t>https://geizhals.eu/g-skill-trident-z-royal-silber-dimm-kit-64gb-f4-4400c19d-64gtrs-a2520316.html?hloc=at&amp;hloc=de&amp;hloc=eu&amp;hloc=pl&amp;hloc=uk</t>
  </si>
  <si>
    <t>https://geizhals.eu/g-skill-trident-z-royal-silber-dimm-kit-64gb-f4-4000c18d-64gtrs-a2455282.html?hloc=at&amp;hloc=de&amp;hloc=eu&amp;hloc=pl&amp;hloc=uk</t>
  </si>
  <si>
    <t>https://geizhals.eu/g-skill-trident-z-royal-silber-dimm-kit-64gb-f4-3600c16q-64gtrsc-a2164750.html?hloc=at&amp;hloc=de&amp;hloc=eu&amp;hloc=pl&amp;hloc=uk</t>
  </si>
  <si>
    <t>https://geizhals.eu/g-skill-trident-z-royal-silber-dimm-kit-32gb-f4-4266c19d-32gtrs-a2535187.html?hloc=at&amp;hloc=de&amp;hloc=eu&amp;hloc=pl&amp;hloc=uk</t>
  </si>
  <si>
    <t>https://geizhals.eu/g-skill-trident-z-royal-silber-dimm-kit-32gb-f4-3600c18d-32gtrs-a2164746.html?hloc=at&amp;hloc=de&amp;hloc=eu&amp;hloc=pl&amp;hloc=uk</t>
  </si>
  <si>
    <t>https://geizhals.eu/g-skill-trident-z-royal-silber-dimm-kit-32gb-f4-3600c16q-32gtrsc-a2164744.html?hloc=at&amp;hloc=de&amp;hloc=eu&amp;hloc=pl&amp;hloc=uk</t>
  </si>
  <si>
    <t>https://geizhals.eu/g-skill-trident-z-royal-silber-dimm-kit-16gb-f4-3600c16d-16gtrsc-a2165906.html?hloc=at&amp;hloc=de&amp;hloc=eu&amp;hloc=pl&amp;hloc=uk</t>
  </si>
  <si>
    <t>https://geizhals.eu/g-skill-trident-z-royal-silber-dimm-kit-16gb-f4-3200c16d-16gtrs-a1942050.html?hloc=at&amp;hloc=de&amp;hloc=eu&amp;hloc=pl&amp;hloc=uk</t>
  </si>
  <si>
    <t>https://geizhals.eu/g-skill-trident-z-royal-gold-dimm-kit-128gb-f4-4000c18q-128gtrg-a2404714.html?hloc=at&amp;hloc=de&amp;hloc=eu&amp;hloc=pl&amp;hloc=uk</t>
  </si>
  <si>
    <t>https://geizhals.eu/g-skill-trident-z-royal-gold-dimm-kit-128gb-f4-3200c16q2-128gtrg-a2151967.html?hloc=at&amp;hloc=de&amp;hloc=eu&amp;hloc=pl&amp;hloc=uk</t>
  </si>
  <si>
    <t>https://geizhals.eu/g-skill-trident-z-royal-gold-dimm-kit-32gb-f4-4400c19d-32gtrg-a2535197.html?hloc=at&amp;hloc=de&amp;hloc=eu&amp;hloc=pl&amp;hloc=uk</t>
  </si>
  <si>
    <t>https://geizhals.eu/g-skill-trident-z-royal-gold-dimm-kit-32gb-f4-3600c18d-32gtrg-a2164756.html?hloc=at&amp;hloc=de&amp;hloc=eu&amp;hloc=pl&amp;hloc=uk</t>
  </si>
  <si>
    <t>https://geizhals.eu/g-skill-trident-z-royal-gold-dimm-kit-16gb-f4-4600c18d-16gtrg-a1942120.html?hloc=at&amp;hloc=de&amp;hloc=eu&amp;hloc=pl&amp;hloc=uk</t>
  </si>
  <si>
    <t>https://geizhals.eu/g-skill-trident-z-royal-elite-silber-dimm-kit-32gb-f4-4266c19d-64gtes-a2548402.html?hloc=at&amp;hloc=de&amp;hloc=eu&amp;hloc=pl&amp;hloc=uk</t>
  </si>
  <si>
    <t>https://geizhals.eu/g-skill-trident-z-royal-elite-silber-dimm-kit-64gb-f4-4000c18d-64gtes-a2571880.html?hloc=at&amp;hloc=de&amp;hloc=eu&amp;hloc=pl&amp;hloc=uk</t>
  </si>
  <si>
    <t>https://geizhals.eu/g-skill-trident-z-royal-elite-silber-dimm-kit-64gb-f4-3600c16q-64gtesc-a2548379.html?hloc=at&amp;hloc=de&amp;hloc=eu&amp;hloc=pl&amp;hloc=uk</t>
  </si>
  <si>
    <t>https://geizhals.eu/g-skill-trident-z-royal-elite-gold-dimm-kit-64gb-f4-4000c18d-64gteg-a2571882.html?hloc=at&amp;hloc=de&amp;hloc=eu&amp;hloc=pl&amp;hloc=uk</t>
  </si>
  <si>
    <t>https://geizhals.eu/g-skill-trident-z-rgb-dimm-kit-64gb-f4-4400c19d-64gtzr-a2520293.html?hloc=at&amp;hloc=de&amp;hloc=eu&amp;hloc=pl&amp;hloc=uk</t>
  </si>
  <si>
    <t>https://geizhals.eu/g-skill-trident-z-rgb-dimm-kit-64gb-f4-4266c19d-64gtzr-a2520284.html?hloc=at&amp;hloc=de&amp;hloc=eu&amp;hloc=pl&amp;hloc=uk</t>
  </si>
  <si>
    <t>https://geizhals.eu/g-skill-trident-z-rgb-dimm-kit-64gb-f4-3600c18d-64gtzr-a2412920.html?hloc=at&amp;hloc=de&amp;hloc=eu&amp;hloc=pl&amp;hloc=uk</t>
  </si>
  <si>
    <t>https://geizhals.eu/g-skill-trident-z-rgb-dimm-kit-64gb-f4-3600c17q-64gtzr-a1561120.html?hloc=at&amp;hloc=de&amp;hloc=eu&amp;hloc=pl&amp;hloc=uk</t>
  </si>
  <si>
    <t>https://geizhals.eu/g-skill-trident-z-rgb-dimm-kit-64gb-f4-3600c16q-64gtzc-a2152643.html?hloc=at&amp;hloc=de&amp;hloc=eu&amp;hloc=pl&amp;hloc=uk</t>
  </si>
  <si>
    <t>https://geizhals.eu/g-skill-trident-z-rgb-dimm-kit-32gb-f4-4400c19d-32gtzr-a2523646.html?hloc=at&amp;hloc=de&amp;hloc=eu&amp;hloc=pl&amp;hloc=uk</t>
  </si>
  <si>
    <t>https://geizhals.eu/g-skill-trident-z-rgb-dimm-kit-32gb-f4-4000c18d-32gtzr-a2458936.html?hloc=at&amp;hloc=de&amp;hloc=eu&amp;hloc=pl&amp;hloc=uk</t>
  </si>
  <si>
    <t>https://geizhals.eu/g-skill-trident-z-rgb-dimm-kit-32gb-f4-3600c18q-32gtzr-a2154634.html?hloc=at&amp;hloc=de&amp;hloc=eu&amp;hloc=pl&amp;hloc=uk</t>
  </si>
  <si>
    <t>https://geizhals.eu/g-skill-trident-z-rgb-dimm-kit-32gb-f4-3600c17d-32gtzr-a1561163.html?hloc=at&amp;hloc=de&amp;hloc=eu&amp;hloc=pl&amp;hloc=uk</t>
  </si>
  <si>
    <t>https://geizhals.eu/g-skill-trident-z-rgb-dimm-kit-32gb-f4-3600c16q-32gtzrc-a2153115.html?hloc=at&amp;hloc=de&amp;hloc=eu&amp;hloc=pl&amp;hloc=uk</t>
  </si>
  <si>
    <t>https://geizhals.eu/g-skill-trident-z-rgb-dimm-kit-32gb-f4-3600c16d-32gtzrc-a2153284.html?hloc=at&amp;hloc=de&amp;hloc=eu&amp;hloc=pl&amp;hloc=uk</t>
  </si>
  <si>
    <t>https://geizhals.eu/g-skill-trident-z-rgb-dimm-kit-32gb-f4-3200c16q-32gtzrx-a1827618.html?hloc=at&amp;hloc=de&amp;hloc=eu&amp;hloc=pl&amp;hloc=uk</t>
  </si>
  <si>
    <t>https://geizhals.eu/g-skill-trident-z-rgb-dimm-kit-32gb-f4-3200c16q-32gtzr-a1564347.html?hloc=at&amp;hloc=de&amp;hloc=eu&amp;hloc=pl&amp;hloc=uk</t>
  </si>
  <si>
    <t>https://geizhals.eu/g-skill-trident-z-rgb-dimm-kit-32gb-f4-3200c16d-32gtzrx-a1828074.html?hloc=at&amp;hloc=de&amp;hloc=eu&amp;hloc=pl&amp;hloc=uk</t>
  </si>
  <si>
    <t>https://geizhals.eu/g-skill-trident-z-rgb-dimm-kit-32gb-f4-3200c16d-32gtzr-a1827609.html?hloc=at&amp;hloc=de&amp;hloc=eu&amp;hloc=pl&amp;hloc=uk</t>
  </si>
  <si>
    <t>https://geizhals.eu/g-skill-trident-z-rgb-dimm-kit-32gb-f4-3000c16d-32gtzr-a1825567.html?hloc=at&amp;hloc=de&amp;hloc=eu&amp;hloc=pl&amp;hloc=uk</t>
  </si>
  <si>
    <t>https://geizhals.eu/g-skill-trident-z-rgb-dimm-kit-16gb-f4-4000c18d-16gtzrb-a2163669.html?hloc=at&amp;hloc=de&amp;hloc=eu&amp;hloc=pl&amp;hloc=uk</t>
  </si>
  <si>
    <t>https://geizhals.eu/g-skill-trident-z-rgb-dimm-kit-16gb-f4-3600c18d-16gtzrx-a1835407.html?hloc=at&amp;hloc=de&amp;hloc=eu&amp;hloc=pl&amp;hloc=uk</t>
  </si>
  <si>
    <t>https://geizhals.eu/g-skill-trident-z-rgb-dimm-kit-16gb-f4-3600c18d-16gtzr-a2153101.html?hloc=at&amp;hloc=de&amp;hloc=eu&amp;hloc=pl&amp;hloc=uk</t>
  </si>
  <si>
    <t>https://geizhals.eu/g-skill-trident-z-rgb-dimm-kit-16gb-f4-3600c16d-16gtzrc-a2152941.html?hloc=at&amp;hloc=de&amp;hloc=eu&amp;hloc=pl&amp;hloc=uk</t>
  </si>
  <si>
    <t>https://geizhals.eu/g-skill-trident-z-rgb-dimm-kit-16gb-f4-3200c16d-16gtzrx-a1816228.html?hloc=at&amp;hloc=de&amp;hloc=eu&amp;hloc=pl&amp;hloc=uk</t>
  </si>
  <si>
    <t>https://geizhals.eu/g-skill-trident-z-rgb-dimm-kit-16gb-f4-3200c16d-16gtzr-a1561153.html?hloc=at&amp;hloc=de&amp;hloc=eu&amp;hloc=pl&amp;hloc=uk</t>
  </si>
  <si>
    <t>https://geizhals.eu/g-skill-trident-z-rgb-dimm-kit-16gb-f4-3000c16d-16gtzr-a1564331.html?hloc=at&amp;hloc=de&amp;hloc=eu&amp;hloc=pl&amp;hloc=uk</t>
  </si>
  <si>
    <t>https://geizhals.eu/g-skill-trident-z-neo-dimm-kit-256gb-f4-3200c16q2-256gtzn-a2304037.html?hloc=at&amp;hloc=de&amp;hloc=eu&amp;hloc=pl&amp;hloc=uk</t>
  </si>
  <si>
    <t>https://geizhals.eu/g-skill-trident-z-neo-dimm-kit-64gb-f4-3600c18q-64gtzn-a2099494.html?hloc=at&amp;hloc=de&amp;hloc=eu&amp;hloc=pl&amp;hloc=uk</t>
  </si>
  <si>
    <t>https://geizhals.eu/g-skill-trident-z-neo-dimm-kit-64gb-f4-3600c18d-64gtzn-a2300058.html?hloc=at&amp;hloc=de&amp;hloc=eu&amp;hloc=pl&amp;hloc=uk</t>
  </si>
  <si>
    <t>https://geizhals.eu/g-skill-trident-z-neo-dimm-kit-64gb-f4-3600c16q-64gtznc-a2099490.html?hloc=at&amp;hloc=de&amp;hloc=eu&amp;hloc=pl&amp;hloc=uk</t>
  </si>
  <si>
    <t>https://geizhals.eu/g-skill-trident-z-neo-dimm-kit-64gb-f4-3200c16q-64gtzn-a2099483.html?hloc=at&amp;hloc=de&amp;hloc=eu&amp;hloc=pl&amp;hloc=uk</t>
  </si>
  <si>
    <t>https://geizhals.eu/g-skill-trident-z-neo-dimm-kit-64gb-f4-3000c16q-64gtzn-a2099475.html?hloc=at&amp;hloc=de&amp;hloc=eu&amp;hloc=pl&amp;hloc=uk</t>
  </si>
  <si>
    <t>https://geizhals.eu/g-skill-trident-z-neo-dimm-kit-32gb-f4-4000c18d-32gtzn-a2458630.html?hloc=at&amp;hloc=de&amp;hloc=eu&amp;hloc=pl&amp;hloc=uk</t>
  </si>
  <si>
    <t>https://geizhals.eu/g-skill-trident-z-neo-dimm-kit-32gb-f4-3600c18q-32gtzn-a2099491.html?hloc=at&amp;hloc=de&amp;hloc=eu&amp;hloc=pl&amp;hloc=uk</t>
  </si>
  <si>
    <t>https://geizhals.eu/g-skill-trident-z-neo-dimm-kit-32gb-f4-3600c18d-32gtzn-a2099461.html?hloc=at&amp;hloc=de&amp;hloc=eu&amp;hloc=pl&amp;hloc=uk</t>
  </si>
  <si>
    <t>https://geizhals.eu/g-skill-trident-z-neo-dimm-kit-32gb-f4-3600c16q-32gtznc-a2099489.html?hloc=at&amp;hloc=de&amp;hloc=eu&amp;hloc=pl&amp;hloc=uk</t>
  </si>
  <si>
    <t>https://geizhals.eu/g-skill-trident-z-neo-dimm-kit-32gb-f4-3600c16d-32gtznc-a2099456.html?hloc=at&amp;hloc=de&amp;hloc=eu&amp;hloc=pl&amp;hloc=uk</t>
  </si>
  <si>
    <t>https://geizhals.eu/g-skill-trident-z-neo-dimm-kit-32gb-f4-3200c16q-32gtzn-a2099481.html?hloc=at&amp;hloc=de&amp;hloc=eu&amp;hloc=pl&amp;hloc=uk</t>
  </si>
  <si>
    <t>https://geizhals.eu/g-skill-trident-z-neo-dimm-kit-32gb-f4-3200c16d-32gtzn-a2099426.html?hloc=at&amp;hloc=de&amp;hloc=eu&amp;hloc=pl&amp;hloc=uk</t>
  </si>
  <si>
    <t>https://geizhals.eu/g-skill-trident-z-neo-dimm-kit-32gb-f4-3000c16q-32gtzn-a2099470.html?hloc=at&amp;hloc=de&amp;hloc=eu&amp;hloc=pl&amp;hloc=uk</t>
  </si>
  <si>
    <t>https://geizhals.eu/g-skill-trident-z-neo-dimm-kit-16gb-f4-3600c18d-16gtzn-a2099459.html?hloc=at&amp;hloc=de&amp;hloc=eu&amp;hloc=pl&amp;hloc=uk</t>
  </si>
  <si>
    <t>https://geizhals.eu/g-skill-trident-z-neo-dimm-kit-16gb-f4-3600c16d-16gtznc-a2099454.html?hloc=at&amp;hloc=de&amp;hloc=eu&amp;hloc=pl&amp;hloc=uk</t>
  </si>
  <si>
    <t>https://geizhals.eu/g-skill-trident-z-neo-dimm-kit-16gb-f4-3200c16d-16gtzn-a2099409.html?hloc=at&amp;hloc=de&amp;hloc=eu&amp;hloc=pl&amp;hloc=uk</t>
  </si>
  <si>
    <t>https://geizhals.eu/g-skill-ripjaws-v-weiss-dimm-kit-32gb-f4-3600c18d-32gvw-a3124300.html?hloc=at&amp;hloc=de&amp;hloc=eu&amp;hloc=pl&amp;hloc=uk</t>
  </si>
  <si>
    <t>https://geizhals.eu/g-skill-ripjaws-v-schwarz-dimm-kit-256gb-f4-3600c18q2-256gvk-a2288200.html?hloc=at&amp;hloc=de&amp;hloc=eu&amp;hloc=pl&amp;hloc=uk</t>
  </si>
  <si>
    <t>https://geizhals.eu/g-skill-ripjaws-v-schwarz-dimm-kit-256gb-f4-3200c16q2-256gvk-a2177026.html?hloc=at&amp;hloc=de&amp;hloc=eu&amp;hloc=pl&amp;hloc=uk</t>
  </si>
  <si>
    <t>https://geizhals.eu/g-skill-ripjaws-v-schwarz-dimm-kit-128gb-f4-3600c18q-128gvk-a2271234.html?hloc=at&amp;hloc=de&amp;hloc=eu&amp;hloc=pl&amp;hloc=uk</t>
  </si>
  <si>
    <t>https://geizhals.eu/g-skill-ripjaws-v-schwarz-dimm-kit-128gb-f4-3600c16q-128gvk-a2409687.html?hloc=at&amp;hloc=de&amp;hloc=eu&amp;hloc=pl&amp;hloc=uk</t>
  </si>
  <si>
    <t>https://geizhals.eu/g-skill-ripjaws-v-schwarz-dimm-kit-128gb-f4-3200c16q-128gvk-a2177027.html?hloc=at&amp;hloc=de&amp;hloc=eu&amp;hloc=pl&amp;hloc=uk</t>
  </si>
  <si>
    <t>https://geizhals.eu/g-skill-ripjaws-v-schwarz-dimm-kit-128gb-f4-2666c19q-128gvk-a2467326.html?hloc=at&amp;hloc=de&amp;hloc=eu&amp;hloc=pl&amp;hloc=uk</t>
  </si>
  <si>
    <t>https://geizhals.eu/g-skill-ripjaws-v-schwarz-dimm-kit-64gb-f4-3600c18q-64gvk-a2154763.html?hloc=at&amp;hloc=de&amp;hloc=eu&amp;hloc=pl&amp;hloc=uk</t>
  </si>
  <si>
    <t>https://geizhals.eu/g-skill-ripjaws-v-schwarz-dimm-kit-64gb-f4-3600c18d-64gvk-a2271235.html?hloc=at&amp;hloc=de&amp;hloc=eu&amp;hloc=pl&amp;hloc=uk</t>
  </si>
  <si>
    <t>https://geizhals.eu/g-skill-ripjaws-v-schwarz-dimm-kit-64gb-f4-3600c16q-64gvkc-a2154726.html?hloc=at&amp;hloc=de&amp;hloc=eu&amp;hloc=pl&amp;hloc=uk</t>
  </si>
  <si>
    <t>https://geizhals.eu/g-skill-ripjaws-v-schwarz-dimm-kit-64gb-f4-3200c16q-64gvk-a1337181.html?hloc=at&amp;hloc=de&amp;hloc=eu&amp;hloc=pl&amp;hloc=uk</t>
  </si>
  <si>
    <t>https://geizhals.eu/g-skill-ripjaws-v-schwarz-dimm-kit-64gb-f4-3200c16d-64gvk-a2177028.html?hloc=at&amp;hloc=de&amp;hloc=eu&amp;hloc=pl&amp;hloc=uk</t>
  </si>
  <si>
    <t>https://geizhals.eu/g-skill-ripjaws-v-schwarz-dimm-kit-64gb-f4-2666c19d-64gvk-a2467327.html?hloc=at&amp;hloc=de&amp;hloc=eu&amp;hloc=pl&amp;hloc=uk</t>
  </si>
  <si>
    <t>https://geizhals.eu/g-skill-ripjaws-v-schwarz-dimm-kit-64gb-f4-2666c18d-64gvk-a2176803.html?hloc=at&amp;hloc=de&amp;hloc=eu&amp;hloc=pl&amp;hloc=uk</t>
  </si>
  <si>
    <t>https://geizhals.eu/g-skill-ripjaws-v-schwarz-dimm-kit-32gb-f4-4400c19d-32gvk-a2533913.html?hloc=at&amp;hloc=de&amp;hloc=eu&amp;hloc=pl&amp;hloc=uk</t>
  </si>
  <si>
    <t>https://geizhals.eu/g-skill-ripjaws-v-schwarz-dimm-kit-32gb-f4-4266c19d-32gvk-a2533885.html?hloc=at&amp;hloc=de&amp;hloc=eu&amp;hloc=pl&amp;hloc=uk</t>
  </si>
  <si>
    <t>https://geizhals.eu/g-skill-ripjaws-v-schwarz-dimm-kit-32gb-f4-4000c18q-32gvk-a2154672.html?hloc=at&amp;hloc=de&amp;hloc=eu&amp;hloc=pl&amp;hloc=uk</t>
  </si>
  <si>
    <t>https://geizhals.eu/g-skill-ripjaws-v-schwarz-dimm-kit-32gb-f4-4000c18d-32gvk-a2458629.html?hloc=at&amp;hloc=de&amp;hloc=eu&amp;hloc=pl&amp;hloc=uk</t>
  </si>
  <si>
    <t>https://geizhals.eu/g-skill-ripjaws-v-schwarz-dimm-kit-32gb-f4-3600c18d-32gvk-a2154732.html?hloc=at&amp;hloc=de&amp;hloc=eu&amp;hloc=pl&amp;hloc=uk</t>
  </si>
  <si>
    <t>https://geizhals.eu/g-skill-ripjaws-v-schwarz-dimm-kit-32gb-f4-3600c16d-32gvkc-a2154719.html?hloc=at&amp;hloc=de&amp;hloc=eu&amp;hloc=pl&amp;hloc=uk</t>
  </si>
  <si>
    <t>https://geizhals.eu/g-skill-ripjaws-v-schwarz-dimm-kit-32gb-f4-3200c16d-32gvk-a1337341.html?hloc=at&amp;hloc=de&amp;hloc=eu&amp;hloc=pl&amp;hloc=uk</t>
  </si>
  <si>
    <t>https://geizhals.eu/g-skill-ripjaws-v-schwarz-dimm-kit-32gb-f4-3200c15d-32gvk-a1382551.html?hloc=at&amp;hloc=de&amp;hloc=eu&amp;hloc=pl&amp;hloc=uk</t>
  </si>
  <si>
    <t>https://geizhals.eu/g-skill-ripjaws-v-schwarz-dimm-kit-16gb-f4-4600c19d-16gvke-a2523647.html?hloc=at&amp;hloc=de&amp;hloc=eu&amp;hloc=pl&amp;hloc=uk</t>
  </si>
  <si>
    <t>https://geizhals.eu/g-skill-ripjaws-v-schwarz-dimm-kit-8gb-f4-4000c18d-16gvk-a2154699.html?hloc=at&amp;hloc=de&amp;hloc=eu&amp;hloc=pl&amp;hloc=uk</t>
  </si>
  <si>
    <t>https://geizhals.eu/g-skill-ripjaws-v-schwarz-dimm-kit-16gb-f4-4000c17d-16gvkb-a2437705.html?hloc=at&amp;hloc=de&amp;hloc=eu&amp;hloc=pl&amp;hloc=uk</t>
  </si>
  <si>
    <t>https://geizhals.eu/g-skill-ripjaws-v-schwarz-dimm-kit-16gb-f4-3600c18d-16gvk-a2303807.html?hloc=at&amp;hloc=de&amp;hloc=eu&amp;hloc=pl&amp;hloc=uk</t>
  </si>
  <si>
    <t>https://geizhals.eu/g-skill-ripjaws-v-schwarz-dimm-kit-16gb-f4-3600c16d-16gvkc-a2249395.html?hloc=at&amp;hloc=de&amp;hloc=eu&amp;hloc=pl&amp;hloc=uk</t>
  </si>
  <si>
    <t>https://geizhals.eu/g-skill-ripjaws-v-schwarz-dimm-kit-16gb-f4-3200c16d-16gvkb-a1327025.html?hloc=at&amp;hloc=de&amp;hloc=eu&amp;hloc=pl&amp;hloc=uk</t>
  </si>
  <si>
    <t>https://geizhals.eu/g-skill-ripjaws-v-schwarz-dimm-kit-8gb-f4-3200c16d-8gvkb-a1327028.html?hloc=at&amp;hloc=de&amp;hloc=eu&amp;hloc=pl&amp;hloc=uk</t>
  </si>
  <si>
    <t>https://geizhals.eu/g-skill-ripjaws-v-schwarz-dimm-32gb-f4-3200c16s-32gvk-a2177029.html?hloc=at&amp;hloc=de&amp;hloc=eu&amp;hloc=pl&amp;hloc=uk</t>
  </si>
  <si>
    <t>https://geizhals.eu/g-skill-ripjaws-v-schwarz-dimm-32gb-f4-2666c19s-32gvk-a2466330.html?hloc=at&amp;hloc=de&amp;hloc=eu&amp;hloc=pl&amp;hloc=uk</t>
  </si>
  <si>
    <t>https://geizhals.eu/g-skill-ripjaws-v-schwarz-dimm-32gb-f4-2666c18s-32gvk-a2176806.html?hloc=at&amp;hloc=de&amp;hloc=eu&amp;hloc=pl&amp;hloc=uk</t>
  </si>
  <si>
    <t>https://geizhals.eu/g-skill-ripjaws-v-schwarz-dimm-16gb-f4-3200c16s-16gvk-a1337185.html?hloc=at&amp;hloc=de&amp;hloc=eu&amp;hloc=pl&amp;hloc=uk</t>
  </si>
  <si>
    <t>https://geizhals.eu/g-skill-ripjaws-v-rot-dimm-kit-32gb-f4-3600c19d-32gvrb-a1814733.html?hloc=at&amp;hloc=de&amp;hloc=eu&amp;hloc=pl&amp;hloc=uk</t>
  </si>
  <si>
    <t>https://geizhals.eu/g-skill-ripjaws-v-rot-dimm-kit-32gb-f4-3000c16d-32gvrb-a1739623.html?hloc=at&amp;hloc=de&amp;hloc=eu&amp;hloc=pl&amp;hloc=uk</t>
  </si>
  <si>
    <t>https://geizhals.eu/g-skill-ripjaws-v-rot-dimm-kit-32gb-f4-2400c15q-32gvr-a1305375.html?hloc=at&amp;hloc=de&amp;hloc=eu&amp;hloc=pl&amp;hloc=uk</t>
  </si>
  <si>
    <t>https://geizhals.eu/g-skill-ripjaws-v-rot-dimm-kit-32gb-f4-2400c15d-32gvr-a1418170.html?hloc=at&amp;hloc=de&amp;hloc=eu&amp;hloc=pl&amp;hloc=uk</t>
  </si>
  <si>
    <t>https://geizhals.eu/g-skill-ripjaws-v-rot-dimm-kit-16gb-f4-3600c19d-16gvrb-a1814725.html?hloc=at&amp;hloc=de&amp;hloc=eu&amp;hloc=pl&amp;hloc=uk</t>
  </si>
  <si>
    <t>https://geizhals.eu/g-skill-ripjaws-v-rot-dimm-kit-16gb-f4-3000c16d-16gvrb-a1863870.html?hloc=at&amp;hloc=de&amp;hloc=eu&amp;hloc=pl&amp;hloc=uk</t>
  </si>
  <si>
    <t>https://geizhals.eu/g-skill-ripjaws-v-rot-dimm-kit-16gb-f4-2666c15d-16gvr-a1305334.html?hloc=at&amp;hloc=de&amp;hloc=eu&amp;hloc=pl&amp;hloc=uk</t>
  </si>
  <si>
    <t>https://geizhals.eu/g-skill-ripjaws-v-rot-dimm-kit-16gb-f4-2400c17d-16gvr-a1661950.html?hloc=at&amp;hloc=de&amp;hloc=eu&amp;hloc=pl&amp;hloc=uk</t>
  </si>
  <si>
    <t>https://geizhals.eu/g-skill-ripjaws-v-rot-dimm-kit-16gb-f4-2400c15d-16gvr-a1305384.html?hloc=at&amp;hloc=de&amp;hloc=eu&amp;hloc=pl&amp;hloc=uk</t>
  </si>
  <si>
    <t>https://geizhals.eu/g-skill-ripjaws-v-rot-dimm-kit-16gb-f4-2133c15d-16gvr-a1305405.html?hloc=at&amp;hloc=de&amp;hloc=eu&amp;hloc=pl&amp;hloc=uk</t>
  </si>
  <si>
    <t>https://geizhals.eu/g-skill-ripjaws-v-rot-dimm-8gb-f4-2800c17s-8gvr-a1463470.html?hloc=at&amp;hloc=de&amp;hloc=eu&amp;hloc=pl&amp;hloc=uk</t>
  </si>
  <si>
    <t>https://geizhals.eu/g-skill-ripjaws-v-grau-dimm-kit-16gb-f4-3200c16d-16gvgb-a1353490.html?hloc=at&amp;hloc=de&amp;hloc=eu&amp;hloc=pl&amp;hloc=uk</t>
  </si>
  <si>
    <t>https://geizhals.eu/g-skill-ripjaws-4-rot-dimm-kit-16gb-f4-2400c15d-16grr-a1215230.html?hloc=at&amp;hloc=de&amp;hloc=eu&amp;hloc=pl&amp;hloc=uk</t>
  </si>
  <si>
    <t>https://geizhals.eu/g-skill-nt-series-dimm-kit-64gb-f4-2666c19d-64gnt-a2479088.html?hloc=at&amp;hloc=de&amp;hloc=eu&amp;hloc=pl&amp;hloc=uk</t>
  </si>
  <si>
    <t>https://geizhals.eu/g-skill-nt-series-dimm-kit-16gb-f4-2666c19d-16gnt-a1797926.html?hloc=at&amp;hloc=de&amp;hloc=eu&amp;hloc=pl&amp;hloc=uk</t>
  </si>
  <si>
    <t>https://geizhals.eu/g-skill-nt-series-dimm-kit-16gb-f4-2400c15d-16gnt-a1324686.html?hloc=at&amp;hloc=de&amp;hloc=eu&amp;hloc=pl&amp;hloc=uk</t>
  </si>
  <si>
    <t>https://geizhals.eu/g-skill-nt-series-dimm-kit-16gb-f4-2133c15d-16gnt-a1324678.html?hloc=at&amp;hloc=de&amp;hloc=eu&amp;hloc=pl&amp;hloc=uk</t>
  </si>
  <si>
    <t>https://geizhals.eu/g-skill-nt-series-dimm-kit-8gb-f4-2133c15d-8gnt-a1324642.html?hloc=at&amp;hloc=de&amp;hloc=eu&amp;hloc=pl&amp;hloc=uk</t>
  </si>
  <si>
    <t>https://geizhals.eu/g-skill-nt-series-dimm-32gb-f4-2666c19s-32gnt-a2466329.html?hloc=at&amp;hloc=de&amp;hloc=eu&amp;hloc=pl&amp;hloc=uk</t>
  </si>
  <si>
    <t>https://geizhals.eu/g-skill-nt-series-dimm-8gb-f4-2666c19s-8gnt-a1797982.html?hloc=at&amp;hloc=de&amp;hloc=eu&amp;hloc=pl&amp;hloc=uk</t>
  </si>
  <si>
    <t>https://geizhals.eu/g-skill-nt-series-dimm-8gb-f4-2400c17s-8gnt-a1660185.html?hloc=at&amp;hloc=de&amp;hloc=eu&amp;hloc=pl&amp;hloc=uk</t>
  </si>
  <si>
    <t>https://geizhals.eu/g-skill-nt-series-dimm-8gb-f4-2400c15s-8gnt-a1324684.html?hloc=at&amp;hloc=de&amp;hloc=eu&amp;hloc=pl&amp;hloc=uk</t>
  </si>
  <si>
    <t>https://geizhals.eu/g-skill-nt-series-dimm-8gb-f4-2133c15s-8gnt-a1324652.html?hloc=at&amp;hloc=de&amp;hloc=eu&amp;hloc=pl&amp;hloc=uk</t>
  </si>
  <si>
    <t>https://geizhals.eu/g-skill-nt-series-dimm-4gb-f4-2400c17s-4gnt-a1669784.html?hloc=at&amp;hloc=de&amp;hloc=eu&amp;hloc=pl&amp;hloc=uk</t>
  </si>
  <si>
    <t>https://geizhals.eu/g-skill-nt-series-dimm-4gb-f4-2133c15s-4gnt-a1324650.html?hloc=at&amp;hloc=de&amp;hloc=eu&amp;hloc=pl&amp;hloc=uk</t>
  </si>
  <si>
    <t>https://geizhals.eu/g-skill-fortis-dimm-kit-16gb-f4-2133c15d-16gft-a1589878.html?hloc=at&amp;hloc=de&amp;hloc=eu&amp;hloc=pl&amp;hloc=uk</t>
  </si>
  <si>
    <t>https://geizhals.eu/g-skill-flare-x-schwarz-dimm-kit-64gb-f4-3200c16q-64gfx-a2154209.html?hloc=at&amp;hloc=de&amp;hloc=eu&amp;hloc=pl&amp;hloc=uk</t>
  </si>
  <si>
    <t>https://geizhals.eu/g-skill-flare-x-schwarz-dimm-kit-32gb-f4-3200c16d-32gfx-a2154213.html?hloc=at&amp;hloc=de&amp;hloc=eu&amp;hloc=pl&amp;hloc=uk</t>
  </si>
  <si>
    <t>https://geizhals.eu/g-skill-aegis-dimm-kit-64gb-f4-3200c16q-64gis-a2151622.html?hloc=at&amp;hloc=de&amp;hloc=eu&amp;hloc=pl&amp;hloc=uk</t>
  </si>
  <si>
    <t>https://geizhals.eu/g-skill-aegis-dimm-kit-32gb-f4-3200c16q-32gis-a2154219.html?hloc=at&amp;hloc=de&amp;hloc=eu&amp;hloc=pl&amp;hloc=uk</t>
  </si>
  <si>
    <t>https://geizhals.eu/g-skill-aegis-dimm-kit-32gb-f4-3200c16d-32gis-a2151624.html?hloc=at&amp;hloc=de&amp;hloc=eu&amp;hloc=pl&amp;hloc=uk</t>
  </si>
  <si>
    <t>https://geizhals.eu/g-skill-aegis-dimm-kit-32gb-f4-3000c16d-32gisb-a1798024.html?hloc=at&amp;hloc=de&amp;hloc=eu&amp;hloc=pl&amp;hloc=uk</t>
  </si>
  <si>
    <t>https://geizhals.eu/g-skill-aegis-dimm-kit-32gb-f4-2666c19d-32gis-a1976836.html?hloc=at&amp;hloc=de&amp;hloc=eu&amp;hloc=pl&amp;hloc=uk</t>
  </si>
  <si>
    <t>https://geizhals.eu/g-skill-aegis-dimm-kit-32gb-f4-2400c15d-32gis-a1393909.html?hloc=at&amp;hloc=de&amp;hloc=eu&amp;hloc=pl&amp;hloc=uk</t>
  </si>
  <si>
    <t>https://geizhals.eu/g-skill-aegis-dimm-kit-16gb-f4-3200c16d-16gis-a2151626.html?hloc=at&amp;hloc=de&amp;hloc=eu&amp;hloc=pl&amp;hloc=uk</t>
  </si>
  <si>
    <t>https://geizhals.eu/g-skill-aegis-dimm-kit-16gb-f4-3000c16d-16gisb-a1474853.html?hloc=at&amp;hloc=de&amp;hloc=eu&amp;hloc=pl&amp;hloc=uk</t>
  </si>
  <si>
    <t>https://geizhals.eu/g-skill-aegis-dimm-kit-16gb-f4-2666c19d-16gis-a1797907.html?hloc=at&amp;hloc=de&amp;hloc=eu&amp;hloc=pl&amp;hloc=uk</t>
  </si>
  <si>
    <t>https://geizhals.eu/g-skill-aegis-dimm-kit-16gb-f4-2400c17d-16gis-a1669753.html?hloc=at&amp;hloc=de&amp;hloc=eu&amp;hloc=pl&amp;hloc=uk</t>
  </si>
  <si>
    <t>https://geizhals.eu/g-skill-aegis-dimm-kit-16gb-f4-2400c15d-16gis-a1379172.html?hloc=at&amp;hloc=de&amp;hloc=eu&amp;hloc=pl&amp;hloc=uk</t>
  </si>
  <si>
    <t>https://geizhals.eu/g-skill-aegis-dimm-kit-16gb-f4-2133c15d-16gis-a1379148.html?hloc=at&amp;hloc=de&amp;hloc=eu&amp;hloc=pl&amp;hloc=uk</t>
  </si>
  <si>
    <t>https://geizhals.eu/g-skill-aegis-dimm-kit-8gb-f4-2400c17d-8gis-a1669816.html?hloc=at&amp;hloc=de&amp;hloc=eu&amp;hloc=pl&amp;hloc=uk</t>
  </si>
  <si>
    <t>https://geizhals.eu/g-skill-aegis-dimm-kit-8gb-f4-2400c15d-8gis-a1379166.html?hloc=at&amp;hloc=de&amp;hloc=eu&amp;hloc=pl&amp;hloc=uk</t>
  </si>
  <si>
    <t>https://geizhals.eu/g-skill-aegis-dimm-kit-8gb-f4-2133c15d-8gis-a1379137.html?hloc=at&amp;hloc=de&amp;hloc=eu&amp;hloc=pl&amp;hloc=uk</t>
  </si>
  <si>
    <t>https://geizhals.eu/g-skill-aegis-dimm-16gb-f4-3200c16s-16gis-a2151625.html?hloc=at&amp;hloc=de&amp;hloc=eu&amp;hloc=pl&amp;hloc=uk</t>
  </si>
  <si>
    <t>https://geizhals.eu/g-skill-aegis-dimm-16gb-f4-3000c16s-16gisb-a1797994.html?hloc=at&amp;hloc=de&amp;hloc=eu&amp;hloc=pl&amp;hloc=uk</t>
  </si>
  <si>
    <t>https://geizhals.eu/g-skill-aegis-dimm-16gb-f4-2666c19s-16gis-a1976834.html?hloc=at&amp;hloc=de&amp;hloc=eu&amp;hloc=pl&amp;hloc=uk</t>
  </si>
  <si>
    <t>https://geizhals.eu/g-skill-aegis-dimm-16gb-f4-2400c15s-16gis-a1393917.html?hloc=at&amp;hloc=de&amp;hloc=eu&amp;hloc=pl&amp;hloc=uk</t>
  </si>
  <si>
    <t>https://geizhals.eu/g-skill-aegis-dimm-16gb-f4-2133c15s-16gis-a1379154.html?hloc=at&amp;hloc=de&amp;hloc=eu&amp;hloc=pl&amp;hloc=uk</t>
  </si>
  <si>
    <t>https://geizhals.eu/g-skill-aegis-dimm-8gb-f4-3200c16s-8gis-a2151629.html?hloc=at&amp;hloc=de&amp;hloc=eu&amp;hloc=pl&amp;hloc=uk</t>
  </si>
  <si>
    <t>https://geizhals.eu/g-skill-aegis-dimm-8gb-f4-3000c16s-8gisb-a1474868.html?hloc=at&amp;hloc=de&amp;hloc=eu&amp;hloc=pl&amp;hloc=uk</t>
  </si>
  <si>
    <t>https://geizhals.eu/g-skill-aegis-dimm-8gb-f4-2800c17s-8gis-a1463463.html?hloc=at&amp;hloc=de&amp;hloc=eu&amp;hloc=pl&amp;hloc=uk</t>
  </si>
  <si>
    <t>https://geizhals.eu/g-skill-aegis-dimm-8gb-f4-2666c19s-8gis-a1798077.html?hloc=at&amp;hloc=de&amp;hloc=eu&amp;hloc=pl&amp;hloc=uk</t>
  </si>
  <si>
    <t>https://geizhals.eu/g-skill-aegis-dimm-8gb-f4-2400c17s-8gis-a1663727.html?hloc=at&amp;hloc=de&amp;hloc=eu&amp;hloc=pl&amp;hloc=uk</t>
  </si>
  <si>
    <t>https://geizhals.eu/g-skill-aegis-dimm-8gb-f4-2400c15s-8gis-a1379170.html?hloc=at&amp;hloc=de&amp;hloc=eu&amp;hloc=pl&amp;hloc=uk</t>
  </si>
  <si>
    <t>https://geizhals.eu/g-skill-aegis-dimm-8gb-f4-2133c15s-8gis-a1379146.html?hloc=at&amp;hloc=de&amp;hloc=eu&amp;hloc=pl&amp;hloc=uk</t>
  </si>
  <si>
    <t>https://geizhals.eu/g-skill-aegis-dimm-4gb-f4-2400c15s-4gis-a1379165.html?hloc=at&amp;hloc=de&amp;hloc=eu&amp;hloc=pl&amp;hloc=uk</t>
  </si>
  <si>
    <t>https://geizhals.eu/corsair-vengeance-rgb-schwarz-dimm-kit-32gb-cmr32gx4m2d3000c16-a1783362.html?hloc=at&amp;hloc=de&amp;hloc=eu&amp;hloc=pl&amp;hloc=uk</t>
  </si>
  <si>
    <t>https://geizhals.eu/corsair-vengeance-rgb-rt-white-dimm-kit-64gb-cmn64gx4m4z3200c16w-a2590544.html?hloc=at&amp;hloc=de&amp;hloc=eu&amp;hloc=pl&amp;hloc=uk</t>
  </si>
  <si>
    <t>https://geizhals.eu/corsair-vengeance-rgb-rt-white-dimm-kit-64gb-cmn64gx4m2z3200c16w-a2590543.html?hloc=at&amp;hloc=de&amp;hloc=eu&amp;hloc=pl&amp;hloc=uk</t>
  </si>
  <si>
    <t>https://geizhals.eu/corsair-vengeance-rgb-rt-white-dimm-kit-32gb-cmn32gx4m4z3600c18w-a2590541.html?hloc=at&amp;hloc=de&amp;hloc=eu&amp;hloc=pl&amp;hloc=uk</t>
  </si>
  <si>
    <t>https://geizhals.eu/corsair-vengeance-rgb-rt-white-dimm-kit-16gb-cmn32gx4m2z3600c18w-a2590538.html?hloc=at&amp;hloc=de&amp;hloc=eu&amp;hloc=pl&amp;hloc=uk</t>
  </si>
  <si>
    <t>https://geizhals.eu/corsair-vengeance-rgb-rt-white-dimm-kit-32gb-cmn32gx4m4z3200c16w-a2590539.html?hloc=at&amp;hloc=de&amp;hloc=eu&amp;hloc=pl&amp;hloc=uk</t>
  </si>
  <si>
    <t>https://geizhals.eu/corsair-vengeance-rgb-rt-white-dimm-kit-32gb-cmn32gx4m2z3200c16w-a2590536.html?hloc=at&amp;hloc=de&amp;hloc=eu&amp;hloc=pl&amp;hloc=uk</t>
  </si>
  <si>
    <t>https://geizhals.eu/corsair-vengeance-rgb-rt-white-dimm-kit-16gb-cmn16gx4m2z3600c18w-a2590535.html?hloc=at&amp;hloc=de&amp;hloc=eu&amp;hloc=pl&amp;hloc=uk</t>
  </si>
  <si>
    <t>https://geizhals.eu/corsair-vengeance-rgb-rt-white-dimm-kit-16gb-cmn16gx4m2z3200c16w-a2590533.html?hloc=at&amp;hloc=de&amp;hloc=eu&amp;hloc=pl&amp;hloc=uk</t>
  </si>
  <si>
    <t>https://geizhals.eu/corsair-vengeance-rgb-rt-gunmetal-dimm-kit-256gb-cmn256gx4m8z3600c18-a2590530.html?hloc=at&amp;hloc=de&amp;hloc=eu&amp;hloc=pl&amp;hloc=uk</t>
  </si>
  <si>
    <t>https://geizhals.eu/corsair-vengeance-rgb-rt-gunmetal-dimm-kit-128gb-cmn128gx4m4z3600c18-a2590523.html?hloc=at&amp;hloc=de&amp;hloc=eu&amp;hloc=pl&amp;hloc=uk</t>
  </si>
  <si>
    <t>https://geizhals.eu/corsair-vengeance-rgb-rt-gunmetal-dimm-kit-64gb-cmn64gx4m4z3600c18-a2590521.html?hloc=at&amp;hloc=de&amp;hloc=eu&amp;hloc=pl&amp;hloc=uk</t>
  </si>
  <si>
    <t>https://geizhals.eu/corsair-vengeance-rgb-rt-gunmetal-dimm-kit-64gb-cmn64gx4m2z3600c18-a2590518.html?hloc=at&amp;hloc=de&amp;hloc=eu&amp;hloc=pl&amp;hloc=uk</t>
  </si>
  <si>
    <t>https://geizhals.eu/corsair-vengeance-rgb-rt-gunmetal-dimm-kit-64gb-cmn64gx4m4z3200c16-a2590519.html?hloc=at&amp;hloc=de&amp;hloc=eu&amp;hloc=pl&amp;hloc=uk</t>
  </si>
  <si>
    <t>https://geizhals.eu/corsair-vengeance-rgb-rt-gunmetal-dimm-kit-64gb-cmn64gx4m2z3200c16-a2590516.html?hloc=at&amp;hloc=de&amp;hloc=eu&amp;hloc=pl&amp;hloc=uk</t>
  </si>
  <si>
    <t>https://geizhals.eu/corsair-vengeance-rgb-rt-gunmetal-dimm-kit-32gb-cmn32gx4m4z3600c18-a2590498.html?hloc=at&amp;hloc=de&amp;hloc=eu&amp;hloc=pl&amp;hloc=uk</t>
  </si>
  <si>
    <t>https://geizhals.eu/corsair-vengeance-rgb-rt-gunmetal-dimm-kit-32gb-cmn32gx4m2z3600c18-a2590479.html?hloc=at&amp;hloc=de&amp;hloc=eu&amp;hloc=pl&amp;hloc=uk</t>
  </si>
  <si>
    <t>https://geizhals.eu/corsair-vengeance-rgb-rt-gunmetal-dimm-kit-32gb-cmn32gx4m2z3600c16-a2590477.html?hloc=at&amp;hloc=de&amp;hloc=eu&amp;hloc=pl&amp;hloc=uk</t>
  </si>
  <si>
    <t>https://geizhals.eu/corsair-vengeance-rgb-rt-gunmetal-dimm-kit-32gb-cmn32gx4m4z3200c16-a2590495.html?hloc=at&amp;hloc=de&amp;hloc=eu&amp;hloc=pl&amp;hloc=uk</t>
  </si>
  <si>
    <t>https://geizhals.eu/corsair-vengeance-rgb-rt-gunmetal-dimm-kit-32gb-cmn32gx4m2z3200c16-a2590475.html?hloc=at&amp;hloc=de&amp;hloc=eu&amp;hloc=pl&amp;hloc=uk</t>
  </si>
  <si>
    <t>https://geizhals.eu/corsair-vengeance-rgb-rt-gunmetal-dimm-kit-16gb-cmn16gx4m2z4000c18-a2590472.html?hloc=at&amp;hloc=de&amp;hloc=eu&amp;hloc=pl&amp;hloc=uk</t>
  </si>
  <si>
    <t>https://geizhals.eu/corsair-vengeance-rgb-rt-gunmetal-dimm-kit-16gb-cmn16gx4m2z3600c18-a2590470.html?hloc=at&amp;hloc=de&amp;hloc=eu&amp;hloc=pl&amp;hloc=uk</t>
  </si>
  <si>
    <t>https://geizhals.eu/corsair-vengeance-rgb-rt-gunmetal-dimm-kit-16gb-cmn16gx4m2z3600c16-a2590466.html?hloc=at&amp;hloc=de&amp;hloc=eu&amp;hloc=pl&amp;hloc=uk</t>
  </si>
  <si>
    <t>https://geizhals.eu/corsair-vengeance-rgb-rt-gunmetal-dimm-kit-16gb-cmn16gx4m2z3200c16-a2590431.html?hloc=at&amp;hloc=de&amp;hloc=eu&amp;hloc=pl&amp;hloc=uk</t>
  </si>
  <si>
    <t>https://geizhals.eu/corsair-vengeance-rgb-rs-dimm-kit-64gb-cmg64gx4m2d3600c18-a2590106.html?hloc=at&amp;hloc=de&amp;hloc=eu&amp;hloc=pl&amp;hloc=uk</t>
  </si>
  <si>
    <t>https://geizhals.eu/corsair-vengeance-rgb-rs-dimm-kit-64gb-cmg64gx4m2e3200c16-a2590110.html?hloc=at&amp;hloc=de&amp;hloc=eu&amp;hloc=pl&amp;hloc=uk</t>
  </si>
  <si>
    <t>https://geizhals.eu/corsair-vengeance-rgb-rs-dimm-kit-32gb-cmg32gx4m2d3600c18-a2590081.html?hloc=at&amp;hloc=de&amp;hloc=eu&amp;hloc=pl&amp;hloc=uk</t>
  </si>
  <si>
    <t>https://geizhals.eu/corsair-vengeance-rgb-rs-dimm-kit-32gb-cmg32gx4m2e3200c16-a2590088.html?hloc=at&amp;hloc=de&amp;hloc=eu&amp;hloc=pl&amp;hloc=uk</t>
  </si>
  <si>
    <t>https://geizhals.eu/corsair-vengeance-rgb-rs-dimm-kit-16gb-cmg16gx4m2d3600c18-a2589991.html?hloc=at&amp;hloc=de&amp;hloc=eu&amp;hloc=pl&amp;hloc=uk</t>
  </si>
  <si>
    <t>https://geizhals.eu/corsair-vengeance-rgb-rs-dimm-kit-16gb-cmg16gx4m2e3200c16-a2590074.html?hloc=at&amp;hloc=de&amp;hloc=eu&amp;hloc=pl&amp;hloc=uk</t>
  </si>
  <si>
    <t>https://geizhals.eu/corsair-vengeance-rgb-rs-dimm-16gb-cmg16gx4m1d3600c18-a2992789.html?hloc=at&amp;hloc=de&amp;hloc=eu&amp;hloc=pl&amp;hloc=uk</t>
  </si>
  <si>
    <t>https://geizhals.eu/corsair-vengeance-rgb-rs-dimm-16gb-cmg16gx4m1e3200c16-a2590064.html?hloc=at&amp;hloc=de&amp;hloc=eu&amp;hloc=pl&amp;hloc=uk</t>
  </si>
  <si>
    <t>https://geizhals.eu/corsair-vengeance-rgb-rs-dimm-8gb-cmg8gx4m1d3600c18-a3331422.html?hloc=at&amp;hloc=de&amp;hloc=eu&amp;hloc=pl&amp;hloc=uk</t>
  </si>
  <si>
    <t>https://geizhals.eu/corsair-vengeance-rgb-rs-dimm-8gb-cmg8gx4m1e3200c16-a2590059.html?hloc=at&amp;hloc=de&amp;hloc=eu&amp;hloc=pl&amp;hloc=uk</t>
  </si>
  <si>
    <t>https://geizhals.eu/corsair-vengeance-rgb-pro-weiss-dimm-kit-32gb-cmw32gx4m4c3600c18w-a1828447.html?hloc=at&amp;hloc=de&amp;hloc=eu&amp;hloc=pl&amp;hloc=uk</t>
  </si>
  <si>
    <t>https://geizhals.eu/corsair-vengeance-rgb-pro-weiss-dimm-kit-32gb-cmw32gx4m2e3200c16w-a2465843.html?hloc=at&amp;hloc=de&amp;hloc=eu&amp;hloc=pl&amp;hloc=uk</t>
  </si>
  <si>
    <t>https://geizhals.eu/corsair-vengeance-rgb-pro-weiss-dimm-kit-32gb-cmw32gx4m4c3200c16w-a1828444.html?hloc=at&amp;hloc=de&amp;hloc=eu&amp;hloc=pl&amp;hloc=uk</t>
  </si>
  <si>
    <t>https://geizhals.eu/corsair-vengeance-rgb-pro-weiss-dimm-kit-16gb-cmw16gx4m2d3600c18w-a2295890.html?hloc=at&amp;hloc=de&amp;hloc=eu&amp;hloc=pl&amp;hloc=uk</t>
  </si>
  <si>
    <t>https://geizhals.eu/corsair-vengeance-rgb-pro-weiss-dimm-kit-16gb-cmw16gx4m2c3600c18w-a1828442.html?hloc=at&amp;hloc=de&amp;hloc=eu&amp;hloc=pl&amp;hloc=uk</t>
  </si>
  <si>
    <t>https://geizhals.eu/corsair-vengeance-rgb-pro-weiss-dimm-kit-16gb-cmw16gx4m2c3200c16w-a1828441.html?hloc=at&amp;hloc=de&amp;hloc=eu&amp;hloc=pl&amp;hloc=uk</t>
  </si>
  <si>
    <t>https://geizhals.eu/corsair-vengeance-rgb-pro-weiss-dimm-kit-16gb-cmw16gx4m2c3000c15w-a1828275.html?hloc=at&amp;hloc=de&amp;hloc=eu&amp;hloc=pl&amp;hloc=uk</t>
  </si>
  <si>
    <t>https://geizhals.eu/corsair-vengeance-rgb-pro-weiss-dimm-kit-16gb-cmw16gx4m2a2666c16w-a1828264.html?hloc=at&amp;hloc=de&amp;hloc=eu&amp;hloc=pl&amp;hloc=uk</t>
  </si>
  <si>
    <t>https://geizhals.eu/corsair-vengeance-rgb-pro-tuf-gaming-edition-dimm-kit-32gb-cmw32gx4m2e3200c16-tuf-a2480417.html?hloc=at&amp;hloc=de&amp;hloc=eu&amp;hloc=pl&amp;hloc=uk</t>
  </si>
  <si>
    <t>https://geizhals.eu/corsair-vengeance-rgb-pro-tuf-gaming-edition-dimm-kit-16gb-cmw16gx4m2e3200c16-tuf-a2576652.html?hloc=at&amp;hloc=de&amp;hloc=eu&amp;hloc=pl&amp;hloc=uk</t>
  </si>
  <si>
    <t>https://geizhals.eu/corsair-vengeance-rgb-pro-tuf-gaming-edition-dimm-kit-16gb-cmw16gx4m2c3200c16-tuf-a2184999.html?hloc=at&amp;hloc=de&amp;hloc=eu&amp;hloc=pl&amp;hloc=uk</t>
  </si>
  <si>
    <t>https://geizhals.eu/corsair-vengeance-rgb-pro-sl-weiss-dimm-kit-64gb-cmh64gx4m4d3600c18w-a2574881.html?hloc=at&amp;hloc=de&amp;hloc=eu&amp;hloc=pl&amp;hloc=uk</t>
  </si>
  <si>
    <t>https://geizhals.eu/corsair-vengeance-rgb-pro-sl-weiss-dimm-kit-64gb-cmh64gx4m4e3200c16w-a2576598.html?hloc=at&amp;hloc=de&amp;hloc=eu&amp;hloc=pl&amp;hloc=uk</t>
  </si>
  <si>
    <t>https://geizhals.eu/corsair-vengeance-rgb-pro-sl-weiss-dimm-kit-32gb-cmh32gx4m4d3600c18w-a2582027.html?hloc=at&amp;hloc=de&amp;hloc=eu&amp;hloc=pl&amp;hloc=uk</t>
  </si>
  <si>
    <t>https://geizhals.eu/corsair-vengeance-rgb-pro-sl-weiss-dimm-kit-32gb-cmh32gx4m2d3600c18w-a2460385.html?hloc=at&amp;hloc=de&amp;hloc=eu&amp;hloc=pl&amp;hloc=uk</t>
  </si>
  <si>
    <t>https://geizhals.eu/corsair-vengeance-rgb-pro-sl-weiss-dimm-kit-32gb-cmh32gx4m4e3200c16w-a2460389.html?hloc=at&amp;hloc=de&amp;hloc=eu&amp;hloc=pl&amp;hloc=uk</t>
  </si>
  <si>
    <t>https://geizhals.eu/corsair-vengeance-rgb-pro-sl-weiss-dimm-kit-32gb-cmh32gx4m2e3200c16w-a2460378.html?hloc=at&amp;hloc=de&amp;hloc=eu&amp;hloc=pl&amp;hloc=uk</t>
  </si>
  <si>
    <t>https://geizhals.eu/corsair-vengeance-rgb-pro-sl-weiss-dimm-kit-16gb-cmh16gx4m2d3600c18w-a2460381.html?hloc=at&amp;hloc=de&amp;hloc=eu&amp;hloc=pl&amp;hloc=uk</t>
  </si>
  <si>
    <t>https://geizhals.eu/corsair-vengeance-rgb-pro-sl-weiss-dimm-kit-16gb-cmh16gx4m2e3200c16w-a2460376.html?hloc=at&amp;hloc=de&amp;hloc=eu&amp;hloc=pl&amp;hloc=uk</t>
  </si>
  <si>
    <t>https://geizhals.eu/corsair-vengeance-rgb-pro-sl-schwarz-dimm-kit-256gb-cmh256gx4m8e3200c16-a2799924.html?hloc=at&amp;hloc=de&amp;hloc=eu&amp;hloc=pl&amp;hloc=uk</t>
  </si>
  <si>
    <t>https://geizhals.eu/corsair-vengeance-rgb-pro-sl-schwarz-dimm-kit-128gb-cmh128gx4m4e3200c16-a2460390.html?hloc=at&amp;hloc=de&amp;hloc=eu&amp;hloc=pl&amp;hloc=uk</t>
  </si>
  <si>
    <t>https://geizhals.eu/corsair-vengeance-rgb-pro-sl-schwarz-dimm-kit-64gb-cmh64gx4m4d3600c18-a2574655.html?hloc=at&amp;hloc=de&amp;hloc=eu&amp;hloc=pl&amp;hloc=uk</t>
  </si>
  <si>
    <t>https://geizhals.eu/corsair-vengeance-rgb-pro-sl-schwarz-dimm-kit-64gb-cmh64gx4m2d3600c18-a2799914.html?hloc=at&amp;hloc=de&amp;hloc=eu&amp;hloc=pl&amp;hloc=uk</t>
  </si>
  <si>
    <t>https://geizhals.eu/corsair-vengeance-rgb-pro-sl-schwarz-dimm-kit-64gb-cmh64gx4m4e3200c16-a2616914.html?hloc=at&amp;hloc=de&amp;hloc=eu&amp;hloc=pl&amp;hloc=uk</t>
  </si>
  <si>
    <t>https://geizhals.eu/corsair-vengeance-rgb-pro-sl-schwarz-dimm-kit-64gb-cmh64gx4m2e3200c16-a2644340.html?hloc=at&amp;hloc=de&amp;hloc=eu&amp;hloc=pl&amp;hloc=uk</t>
  </si>
  <si>
    <t>https://geizhals.eu/corsair-vengeance-rgb-pro-sl-schwarz-dimm-kit-32gb-cmh32gx4m4d3600c18-a2460387.html?hloc=at&amp;hloc=de&amp;hloc=eu&amp;hloc=pl&amp;hloc=uk</t>
  </si>
  <si>
    <t>https://geizhals.eu/corsair-vengeance-rgb-pro-sl-schwarz-dimm-kit-32gb-cmh32gx4m2z3600c18-a2460386.html?hloc=at&amp;hloc=de&amp;hloc=eu&amp;hloc=pl&amp;hloc=uk</t>
  </si>
  <si>
    <t>https://geizhals.eu/corsair-vengeance-rgb-pro-sl-schwarz-dimm-kit-32gb-cmh32gx4m2d3600c18-a2460384.html?hloc=at&amp;hloc=de&amp;hloc=eu&amp;hloc=pl&amp;hloc=uk</t>
  </si>
  <si>
    <t>https://geizhals.eu/corsair-vengeance-rgb-pro-sl-schwarz-dimm-kit-32gb-cmh32gx4m4e3200c16-a2460388.html?hloc=at&amp;hloc=de&amp;hloc=eu&amp;hloc=pl&amp;hloc=uk</t>
  </si>
  <si>
    <t>https://geizhals.eu/corsair-vengeance-rgb-pro-sl-schwarz-dimm-kit-32gb-cmh32gx4m2z3200c16-a2460383.html?hloc=at&amp;hloc=de&amp;hloc=eu&amp;hloc=pl&amp;hloc=uk</t>
  </si>
  <si>
    <t>https://geizhals.eu/corsair-vengeance-rgb-pro-sl-schwarz-dimm-kit-32gb-cmh32gx4m2e3200c16-a2460377.html?hloc=at&amp;hloc=de&amp;hloc=eu&amp;hloc=pl&amp;hloc=uk</t>
  </si>
  <si>
    <t>https://geizhals.eu/corsair-vengeance-rgb-pro-sl-schwarz-dimm-kit-16gb-cmh16gx4m2z3600c18-a2460382.html?hloc=at&amp;hloc=de&amp;hloc=eu&amp;hloc=pl&amp;hloc=uk</t>
  </si>
  <si>
    <t>https://geizhals.eu/corsair-vengeance-rgb-pro-sl-schwarz-dimm-kit-16gb-cmh16gx4m2d3600c18-a2460380.html?hloc=at&amp;hloc=de&amp;hloc=eu&amp;hloc=pl&amp;hloc=uk</t>
  </si>
  <si>
    <t>https://geizhals.eu/corsair-vengeance-rgb-pro-sl-schwarz-dimm-kit-16gb-cmh16gx4m2z3600c16-a2657561.html?hloc=at&amp;hloc=de&amp;hloc=eu&amp;hloc=pl&amp;hloc=uk</t>
  </si>
  <si>
    <t>https://geizhals.eu/corsair-vengeance-rgb-pro-sl-schwarz-dimm-kit-16gb-cmh16gx4m2z3200c16-a2460379.html?hloc=at&amp;hloc=de&amp;hloc=eu&amp;hloc=pl&amp;hloc=uk</t>
  </si>
  <si>
    <t>https://geizhals.eu/corsair-vengeance-rgb-pro-sl-schwarz-dimm-kit-16gb-cmh16gx4m2e3200c16-a2460374.html?hloc=at&amp;hloc=de&amp;hloc=eu&amp;hloc=pl&amp;hloc=uk</t>
  </si>
  <si>
    <t>https://geizhals.eu/corsair-vengeance-rgb-pro-schwarz-dimm-kit-256gb-cmw256gx4m8e3200c16-a2175976.html?hloc=at&amp;hloc=de&amp;hloc=eu&amp;hloc=pl&amp;hloc=uk</t>
  </si>
  <si>
    <t>https://geizhals.eu/corsair-vengeance-rgb-pro-schwarz-dimm-kit-128gb-cmw128gx4m4d3600c18-a2303804.html?hloc=at&amp;hloc=de&amp;hloc=eu&amp;hloc=pl&amp;hloc=uk</t>
  </si>
  <si>
    <t>https://geizhals.eu/corsair-vengeance-rgb-pro-schwarz-dimm-kit-128gb-cmw128gx4m4e3200c16-a2303800.html?hloc=at&amp;hloc=de&amp;hloc=eu&amp;hloc=pl&amp;hloc=uk</t>
  </si>
  <si>
    <t>https://geizhals.eu/corsair-vengeance-rgb-pro-schwarz-dimm-kit-128gb-cmw128gx4m4d3000c16-a2199473.html?hloc=at&amp;hloc=de&amp;hloc=eu&amp;hloc=pl&amp;hloc=uk</t>
  </si>
  <si>
    <t>https://geizhals.eu/corsair-vengeance-rgb-pro-schwarz-dimm-kit-64gb-cmw64gx4m4d3600c18-a2374495.html?hloc=at&amp;hloc=de&amp;hloc=eu&amp;hloc=pl&amp;hloc=uk</t>
  </si>
  <si>
    <t>https://geizhals.eu/corsair-vengeance-rgb-pro-schwarz-dimm-kit-64gb-cmw64gx4m2d3600c18-a2175987.html?hloc=at&amp;hloc=de&amp;hloc=eu&amp;hloc=pl&amp;hloc=uk</t>
  </si>
  <si>
    <t>https://geizhals.eu/corsair-vengeance-rgb-pro-schwarz-dimm-kit-64gb-cmw64gx4m4e3200c16-a2303796.html?hloc=at&amp;hloc=de&amp;hloc=eu&amp;hloc=pl&amp;hloc=uk</t>
  </si>
  <si>
    <t>https://geizhals.eu/corsair-vengeance-rgb-pro-schwarz-dimm-kit-64gb-cmw64gx4m2e3200c16-a2175984.html?hloc=at&amp;hloc=de&amp;hloc=eu&amp;hloc=pl&amp;hloc=uk</t>
  </si>
  <si>
    <t>https://geizhals.eu/corsair-vengeance-rgb-pro-schwarz-dimm-kit-32gb-cmw32gx4m4k4266c19-a1996022.html?hloc=at&amp;hloc=de&amp;hloc=eu&amp;hloc=pl&amp;hloc=uk</t>
  </si>
  <si>
    <t>https://geizhals.eu/corsair-vengeance-rgb-pro-schwarz-dimm-kit-32gb-cmw32gx4m2z4000c18-a2364891.html?hloc=at&amp;hloc=de&amp;hloc=eu&amp;hloc=pl&amp;hloc=uk</t>
  </si>
  <si>
    <t>https://geizhals.eu/corsair-vengeance-rgb-pro-schwarz-dimm-kit-32gb-cmw32gx4m4d3600c18-a2083928.html?hloc=at&amp;hloc=de&amp;hloc=eu&amp;hloc=pl&amp;hloc=uk</t>
  </si>
  <si>
    <t>https://geizhals.eu/corsair-vengeance-rgb-pro-schwarz-dimm-kit-32gb-cmw32gx4m2z3600c18-a2202126.html?hloc=at&amp;hloc=de&amp;hloc=eu&amp;hloc=pl&amp;hloc=uk</t>
  </si>
  <si>
    <t>https://geizhals.eu/corsair-vengeance-rgb-pro-schwarz-dimm-kit-32gb-cmw32gx4m2d3600c18-a2199529.html?hloc=at&amp;hloc=de&amp;hloc=eu&amp;hloc=pl&amp;hloc=uk</t>
  </si>
  <si>
    <t>https://geizhals.eu/corsair-vengeance-rgb-pro-schwarz-dimm-kit-32gb-cmw32gx4m4c3600c18-a1828432.html?hloc=at&amp;hloc=de&amp;hloc=eu&amp;hloc=pl&amp;hloc=uk</t>
  </si>
  <si>
    <t>https://geizhals.eu/corsair-vengeance-rgb-pro-schwarz-dimm-kit-32gb-cmw32gx4m4d3600c16-a2496516.html?hloc=at&amp;hloc=de&amp;hloc=eu&amp;hloc=pl&amp;hloc=uk</t>
  </si>
  <si>
    <t>https://geizhals.eu/corsair-vengeance-rgb-pro-schwarz-dimm-kit-32gb-cmw32gx4m2e3200c16-a2364701.html?hloc=at&amp;hloc=de&amp;hloc=eu&amp;hloc=pl&amp;hloc=uk</t>
  </si>
  <si>
    <t>https://geizhals.eu/corsair-vengeance-rgb-pro-schwarz-dimm-kit-32gb-cmw32gx4m4c3200c16-a1828383.html?hloc=at&amp;hloc=de&amp;hloc=eu&amp;hloc=pl&amp;hloc=uk</t>
  </si>
  <si>
    <t>https://geizhals.eu/corsair-vengeance-rgb-pro-schwarz-dimm-kit-32gb-cmw32gx4m4c3200c14-a1863875.html?hloc=at&amp;hloc=de&amp;hloc=eu&amp;hloc=pl&amp;hloc=uk</t>
  </si>
  <si>
    <t>https://geizhals.eu/corsair-vengeance-rgb-pro-schwarz-dimm-kit-32gb-cmw32gx4m2d3000c16-a2455896.html?hloc=at&amp;hloc=de&amp;hloc=eu&amp;hloc=pl&amp;hloc=uk</t>
  </si>
  <si>
    <t>https://geizhals.eu/corsair-vengeance-rgb-pro-schwarz-dimm-kit-32gb-cmw32gx4m2z2933c16-a1975304.html?hloc=at&amp;hloc=de&amp;hloc=eu&amp;hloc=pl&amp;hloc=uk</t>
  </si>
  <si>
    <t>https://geizhals.eu/corsair-vengeance-rgb-pro-schwarz-dimm-kit-32gb-cmw32gx4m2a2666c16-a1875007.html?hloc=at&amp;hloc=de&amp;hloc=eu&amp;hloc=pl&amp;hloc=uk</t>
  </si>
  <si>
    <t>https://geizhals.eu/corsair-vengeance-rgb-pro-schwarz-dimm-kit-16gb-cmw16gx4m2z4000c18-a2364850.html?hloc=at&amp;hloc=de&amp;hloc=eu&amp;hloc=pl&amp;hloc=uk</t>
  </si>
  <si>
    <t>https://geizhals.eu/corsair-vengeance-rgb-pro-schwarz-dimm-kit-16gb-cmw16gx4m2g4000c16-a2657563.html?hloc=at&amp;hloc=de&amp;hloc=eu&amp;hloc=pl&amp;hloc=uk</t>
  </si>
  <si>
    <t>https://geizhals.eu/corsair-vengeance-rgb-pro-schwarz-dimm-kit-16gb-cmw16gx4m2z3600c18-a2083934.html?hloc=at&amp;hloc=de&amp;hloc=eu&amp;hloc=pl&amp;hloc=uk</t>
  </si>
  <si>
    <t>https://geizhals.eu/corsair-vengeance-rgb-pro-schwarz-dimm-kit-16gb-cmw16gx4m2d3600c18-a2083924.html?hloc=at&amp;hloc=de&amp;hloc=eu&amp;hloc=pl&amp;hloc=uk</t>
  </si>
  <si>
    <t>https://geizhals.eu/corsair-vengeance-rgb-pro-schwarz-dimm-kit-16gb-cmw16gx4m2c3600c18-a1828439.html?hloc=at&amp;hloc=de&amp;hloc=eu&amp;hloc=pl&amp;hloc=uk</t>
  </si>
  <si>
    <t>https://geizhals.eu/corsair-vengeance-rgb-pro-schwarz-dimm-kit-16gb-cmw16gx4m2d3600c16-a2475289.html?hloc=at&amp;hloc=de&amp;hloc=eu&amp;hloc=pl&amp;hloc=uk</t>
  </si>
  <si>
    <t>https://geizhals.eu/corsair-vengeance-rgb-pro-schwarz-dimm-kit-16gb-cmw16gx4m2z3200c16-a2146407.html?hloc=at&amp;hloc=de&amp;hloc=eu&amp;hloc=pl&amp;hloc=uk</t>
  </si>
  <si>
    <t>https://geizhals.eu/corsair-vengeance-rgb-pro-schwarz-dimm-kit-16gb-cmw16gx4m2c3200c16-a1828434.html?hloc=at&amp;hloc=de&amp;hloc=eu&amp;hloc=pl&amp;hloc=uk</t>
  </si>
  <si>
    <t>https://geizhals.eu/corsair-vengeance-rgb-pro-schwarz-dimm-kit-16gb-cmw16gx4m2c3000c15-a1828247.html?hloc=at&amp;hloc=de&amp;hloc=eu&amp;hloc=pl&amp;hloc=uk</t>
  </si>
  <si>
    <t>https://geizhals.eu/corsair-vengeance-rgb-pro-schwarz-dimm-kit-16gb-cmw16gx4m2z2933c16-a1850934.html?hloc=at&amp;hloc=de&amp;hloc=eu&amp;hloc=pl&amp;hloc=uk</t>
  </si>
  <si>
    <t>https://geizhals.eu/corsair-vengeance-rgb-pro-schwarz-dimm-kit-16gb-cmw16gx4m2a2666c16-a1828236.html?hloc=at&amp;hloc=de&amp;hloc=eu&amp;hloc=pl&amp;hloc=uk</t>
  </si>
  <si>
    <t>https://geizhals.eu/corsair-vengeance-rgb-pro-schwarz-dimm-16gb-cmw16gx4m1z3600c18-a2364732.html?hloc=at&amp;hloc=de&amp;hloc=eu&amp;hloc=pl&amp;hloc=uk</t>
  </si>
  <si>
    <t>https://geizhals.eu/corsair-vengeance-rgb-pro-schwarz-dimm-8gb-cmw8gx4m1z3600c18-a2407193.html?hloc=at&amp;hloc=de&amp;hloc=eu&amp;hloc=pl&amp;hloc=uk</t>
  </si>
  <si>
    <t>https://geizhals.eu/corsair-vengeance-rgb-pro-schwarz-dimm-8gb-cmw8gx4m1z3200c16-a2489318.html?hloc=at&amp;hloc=de&amp;hloc=eu&amp;hloc=pl&amp;hloc=uk</t>
  </si>
  <si>
    <t>https://geizhals.eu/corsair-vengeance-lpx-weiss-dimm-kit-32gb-cmk32gx4m2e3200c16w-a2593773.html?hloc=at&amp;hloc=de&amp;hloc=eu&amp;hloc=pl&amp;hloc=uk</t>
  </si>
  <si>
    <t>https://geizhals.eu/corsair-vengeance-lpx-weiss-dimm-kit-16gb-cmk16gx4m2e3200c16w-a2594508.html?hloc=at&amp;hloc=de&amp;hloc=eu&amp;hloc=pl&amp;hloc=uk</t>
  </si>
  <si>
    <t>https://geizhals.eu/corsair-vengeance-lpx-weiss-dimm-kit-16gb-cmk16gx4m2b3200c16w-a1432484.html?hloc=at&amp;hloc=de&amp;hloc=eu&amp;hloc=pl&amp;hloc=uk</t>
  </si>
  <si>
    <t>https://geizhals.eu/corsair-vengeance-lpx-weiss-dimm-kit-16gb-cmk16gx4m2d3000c16w-a1788511.html?hloc=at&amp;hloc=de&amp;hloc=eu&amp;hloc=pl&amp;hloc=uk</t>
  </si>
  <si>
    <t>https://geizhals.eu/corsair-vengeance-lpx-weiss-dimm-kit-16gb-cmk16gx4m2a2666c16w-a1432480.html?hloc=at&amp;hloc=de&amp;hloc=eu&amp;hloc=pl&amp;hloc=uk</t>
  </si>
  <si>
    <t>https://geizhals.eu/corsair-vengeance-lpx-schwarz-dimm-kit-256gb-cmk256gx4m8d3600c18-a2253045.html?hloc=at&amp;hloc=de&amp;hloc=eu&amp;hloc=pl&amp;hloc=uk</t>
  </si>
  <si>
    <t>https://geizhals.eu/corsair-vengeance-lpx-schwarz-dimm-kit-256gb-cmk256gx4m8e3200c16-a2245599.html?hloc=at&amp;hloc=de&amp;hloc=eu&amp;hloc=pl&amp;hloc=uk</t>
  </si>
  <si>
    <t>https://geizhals.eu/corsair-vengeance-lpx-schwarz-dimm-kit-128gb-cmk128gx4m4d3600c18-a2421898.html?hloc=at&amp;hloc=de&amp;hloc=eu&amp;hloc=pl&amp;hloc=uk</t>
  </si>
  <si>
    <t>https://geizhals.eu/corsair-vengeance-lpx-schwarz-dimm-kit-128gb-cmk128gx4m4e3200c16-a2253046.html?hloc=at&amp;hloc=de&amp;hloc=eu&amp;hloc=pl&amp;hloc=uk</t>
  </si>
  <si>
    <t>https://geizhals.eu/corsair-vengeance-lpx-schwarz-dimm-kit-128gb-cmk128gx4m4a2666c16-a2106871.html?hloc=at&amp;hloc=de&amp;hloc=eu&amp;hloc=pl&amp;hloc=uk</t>
  </si>
  <si>
    <t>https://geizhals.eu/corsair-vengeance-lpx-schwarz-dimm-kit-64gb-cmk64gx4m4g4000c18-a2657558.html?hloc=at&amp;hloc=de&amp;hloc=eu&amp;hloc=pl&amp;hloc=uk</t>
  </si>
  <si>
    <t>https://geizhals.eu/corsair-vengeance-lpx-schwarz-dimm-kit-64gb-cmk64gx4m4d3600c18-a2657556.html?hloc=at&amp;hloc=de&amp;hloc=eu&amp;hloc=pl&amp;hloc=uk</t>
  </si>
  <si>
    <t>https://geizhals.eu/corsair-vengeance-lpx-schwarz-dimm-kit-64gb-cmk64gx4m2d3600c18-a2202046.html?hloc=at&amp;hloc=de&amp;hloc=eu&amp;hloc=pl&amp;hloc=uk</t>
  </si>
  <si>
    <t>https://geizhals.eu/corsair-vengeance-lpx-schwarz-dimm-kit-64gb-cmk64gx4m4e3200c16-a2366231.html?hloc=at&amp;hloc=de&amp;hloc=eu&amp;hloc=pl&amp;hloc=uk</t>
  </si>
  <si>
    <t>https://geizhals.eu/corsair-vengeance-lpx-schwarz-dimm-kit-64gb-cmk64gx4m2e3200c16-a2145222.html?hloc=at&amp;hloc=de&amp;hloc=eu&amp;hloc=pl&amp;hloc=uk</t>
  </si>
  <si>
    <t>https://geizhals.eu/corsair-vengeance-lpx-schwarz-dimm-kit-64gb-cmk64gx4m4d3000c16-a1788484.html?hloc=at&amp;hloc=de&amp;hloc=eu&amp;hloc=pl&amp;hloc=uk</t>
  </si>
  <si>
    <t>https://geizhals.eu/corsair-vengeance-lpx-schwarz-dimm-kit-64gb-cmk64gx4m2d3000c16-a2106884.html?hloc=at&amp;hloc=de&amp;hloc=eu&amp;hloc=pl&amp;hloc=uk</t>
  </si>
  <si>
    <t>https://geizhals.eu/corsair-vengeance-lpx-schwarz-dimm-kit-64gb-cmk64gx4m4a2666c16-a1340047.html?hloc=at&amp;hloc=de&amp;hloc=eu&amp;hloc=pl&amp;hloc=uk</t>
  </si>
  <si>
    <t>https://geizhals.eu/corsair-vengeance-lpx-schwarz-dimm-kit-64gb-cmk64gx4m2a2666c16-a2106882.html?hloc=at&amp;hloc=de&amp;hloc=eu&amp;hloc=pl&amp;hloc=uk</t>
  </si>
  <si>
    <t>https://geizhals.eu/corsair-vengeance-lpx-schwarz-dimm-kit-64gb-cmk64gx4m2a2400c16-a2107091.html?hloc=at&amp;hloc=de&amp;hloc=eu&amp;hloc=pl&amp;hloc=uk</t>
  </si>
  <si>
    <t>https://geizhals.eu/corsair-vengeance-lpx-schwarz-dimm-kit-64gb-cmk64gx4m4a2400c14-a1340046.html?hloc=at&amp;hloc=de&amp;hloc=eu&amp;hloc=pl&amp;hloc=uk</t>
  </si>
  <si>
    <t>https://geizhals.eu/corsair-vengeance-lpx-schwarz-dimm-kit-32gb-cmk32gx4m2g4000c19-a2428558.html?hloc=at&amp;hloc=de&amp;hloc=eu&amp;hloc=pl&amp;hloc=uk</t>
  </si>
  <si>
    <t>https://geizhals.eu/corsair-vengeance-lpx-schwarz-dimm-kit-32gb-cmk32gx4m4d3600c18-a2059174.html?hloc=at&amp;hloc=de&amp;hloc=eu&amp;hloc=pl&amp;hloc=uk</t>
  </si>
  <si>
    <t>https://geizhals.eu/corsair-vengeance-lpx-schwarz-dimm-kit-32gb-cmk32gx4m2z3600c18-a2202128.html?hloc=at&amp;hloc=de&amp;hloc=eu&amp;hloc=pl&amp;hloc=uk</t>
  </si>
  <si>
    <t>https://geizhals.eu/corsair-vengeance-lpx-schwarz-dimm-kit-32gb-cmk32gx4m2d3600c18-a2166435.html?hloc=at&amp;hloc=de&amp;hloc=eu&amp;hloc=pl&amp;hloc=uk</t>
  </si>
  <si>
    <t>https://geizhals.eu/corsair-vengeance-lpx-schwarz-dimm-kit-32gb-cmk32gx4m4d3600c16-a2657555.html?hloc=at&amp;hloc=de&amp;hloc=eu&amp;hloc=pl&amp;hloc=uk</t>
  </si>
  <si>
    <t>https://geizhals.eu/corsair-vengeance-lpx-schwarz-dimm-kit-32gb-cmk32gx4m2d3600c16-a2657554.html?hloc=at&amp;hloc=de&amp;hloc=eu&amp;hloc=pl&amp;hloc=uk</t>
  </si>
  <si>
    <t>https://geizhals.eu/corsair-vengeance-lpx-schwarz-dimm-kit-32gb-cmk32gx4m2e3200c16-a2059176.html?hloc=at&amp;hloc=de&amp;hloc=eu&amp;hloc=pl&amp;hloc=uk</t>
  </si>
  <si>
    <t>https://geizhals.eu/corsair-vengeance-lpx-schwarz-dimm-kit-32gb-cmk32gx4m4z3200c16-a1749129.html?hloc=at&amp;hloc=de&amp;hloc=eu&amp;hloc=pl&amp;hloc=uk</t>
  </si>
  <si>
    <t>https://geizhals.eu/corsair-vengeance-lpx-schwarz-dimm-kit-32gb-cmk32gx4m4b3200c16-a1351656.html?hloc=at&amp;hloc=de&amp;hloc=eu&amp;hloc=pl&amp;hloc=uk</t>
  </si>
  <si>
    <t>https://geizhals.eu/corsair-vengeance-lpx-schwarz-dimm-kit-32gb-cmk32gx4m2d3000c16-a1778035.html?hloc=at&amp;hloc=de&amp;hloc=eu&amp;hloc=pl&amp;hloc=uk</t>
  </si>
  <si>
    <t>https://geizhals.eu/corsair-vengeance-lpx-schwarz-dimm-kit-32gb-cmk32gx4m4a2666c16-a1186633.html?hloc=at&amp;hloc=de&amp;hloc=eu&amp;hloc=pl&amp;hloc=uk</t>
  </si>
  <si>
    <t>https://geizhals.eu/corsair-vengeance-lpx-schwarz-dimm-kit-32gb-cmk32gx4m2a2666c16-a1305638.html?hloc=at&amp;hloc=de&amp;hloc=eu&amp;hloc=pl&amp;hloc=uk</t>
  </si>
  <si>
    <t>https://geizhals.eu/corsair-vengeance-lpx-schwarz-dimm-kit-32gb-cmk32gx4m2a2400c16-a1411321.html?hloc=at&amp;hloc=de&amp;hloc=eu&amp;hloc=pl&amp;hloc=uk</t>
  </si>
  <si>
    <t>https://geizhals.eu/corsair-vengeance-lpx-schwarz-dimm-kit-32gb-cmk32gx4m2a2400c14-a1305610.html?hloc=at&amp;hloc=de&amp;hloc=eu&amp;hloc=pl&amp;hloc=uk</t>
  </si>
  <si>
    <t>https://geizhals.eu/corsair-vengeance-lpx-schwarz-dimm-kit-32gb-cmk32gx4m2a2133c13-a1368472.html?hloc=at&amp;hloc=de&amp;hloc=eu&amp;hloc=pl&amp;hloc=uk</t>
  </si>
  <si>
    <t>https://geizhals.eu/corsair-vengeance-lpx-schwarz-dimm-kit-16gb-cmk16gx4m2k4000c19-a2246393.html?hloc=at&amp;hloc=de&amp;hloc=eu&amp;hloc=pl&amp;hloc=uk</t>
  </si>
  <si>
    <t>https://geizhals.eu/corsair-vengeance-lpx-schwarz-dimm-kit-16gb-cmk16gx4m2z4000c18-a2121972.html?hloc=at&amp;hloc=de&amp;hloc=eu&amp;hloc=pl&amp;hloc=uk</t>
  </si>
  <si>
    <t>https://geizhals.eu/corsair-vengeance-lpx-schwarz-dimm-kit-16gb-cmk16gx4m2z3600c18-a1850937.html?hloc=at&amp;hloc=de&amp;hloc=eu&amp;hloc=pl&amp;hloc=uk</t>
  </si>
  <si>
    <t>https://geizhals.eu/corsair-vengeance-lpx-schwarz-dimm-kit-16gb-cmk16gx4m2d3600c18-a2055993.html?hloc=at&amp;hloc=de&amp;hloc=eu&amp;hloc=pl&amp;hloc=uk</t>
  </si>
  <si>
    <t>https://geizhals.eu/corsair-vengeance-lpx-schwarz-dimm-kit-16gb-cmk16gx4m2d3600c16-a2475286.html?hloc=at&amp;hloc=de&amp;hloc=eu&amp;hloc=pl&amp;hloc=uk</t>
  </si>
  <si>
    <t>https://geizhals.eu/corsair-vengeance-lpx-schwarz-dimm-kit-16gb-cmk16gx4m2e3200c16-a2059179.html?hloc=at&amp;hloc=de&amp;hloc=eu&amp;hloc=pl&amp;hloc=uk</t>
  </si>
  <si>
    <t>https://geizhals.eu/corsair-vengeance-lpx-schwarz-dimm-kit-16gb-cmk16gx4m4c3200c16-a1369409.html?hloc=at&amp;hloc=de&amp;hloc=eu&amp;hloc=pl&amp;hloc=uk</t>
  </si>
  <si>
    <t>https://geizhals.eu/corsair-vengeance-lpx-schwarz-dimm-kit-16gb-cmk16gx4m2z3200c16-a1632925.html?hloc=at&amp;hloc=de&amp;hloc=eu&amp;hloc=pl&amp;hloc=uk</t>
  </si>
  <si>
    <t>https://geizhals.eu/corsair-vengeance-lpx-schwarz-dimm-kit-16gb-cmk16gx4m2b3200c16-a1314316.html?hloc=at&amp;hloc=de&amp;hloc=eu&amp;hloc=pl&amp;hloc=uk</t>
  </si>
  <si>
    <t>https://geizhals.eu/corsair-vengeance-lpx-schwarz-dimm-kit-16gb-cmk16gx4m2d3000c16-a1778050.html?hloc=at&amp;hloc=de&amp;hloc=eu&amp;hloc=pl&amp;hloc=uk</t>
  </si>
  <si>
    <t>https://geizhals.eu/corsair-vengeance-lpx-schwarz-dimm-kit-16gb-cmk16gx4m2b3000c15-a1305608.html?hloc=at&amp;hloc=de&amp;hloc=eu&amp;hloc=pl&amp;hloc=uk</t>
  </si>
  <si>
    <t>https://geizhals.eu/corsair-vengeance-lpx-schwarz-dimm-kit-16gb-cmk16gx4m2z2933c16-a1812751.html?hloc=at&amp;hloc=de&amp;hloc=eu&amp;hloc=pl&amp;hloc=uk</t>
  </si>
  <si>
    <t>https://geizhals.eu/corsair-vengeance-lpx-schwarz-dimm-kit-16gb-cmk16gx4m2z2666c16-a1600361.html?hloc=at&amp;hloc=de&amp;hloc=eu&amp;hloc=pl&amp;hloc=uk</t>
  </si>
  <si>
    <t>https://geizhals.eu/corsair-vengeance-lpx-schwarz-dimm-kit-16gb-cmk16gx4m2a2666c16-a1299144.html?hloc=at&amp;hloc=de&amp;hloc=eu&amp;hloc=pl&amp;hloc=uk</t>
  </si>
  <si>
    <t>https://geizhals.eu/corsair-vengeance-lpx-schwarz-dimm-kit-16gb-cmk16gx4m2a2400c16-a1351642.html?hloc=at&amp;hloc=de&amp;hloc=eu&amp;hloc=pl&amp;hloc=uk</t>
  </si>
  <si>
    <t>https://geizhals.eu/corsair-vengeance-lpx-schwarz-dimm-kit-16gb-cmk16gx4m2a2400c14-a1217193.html?hloc=at&amp;hloc=de&amp;hloc=eu&amp;hloc=pl&amp;hloc=uk</t>
  </si>
  <si>
    <t>https://geizhals.eu/corsair-vengeance-lpx-schwarz-dimm-kit-16gb-cmk16gx4m2a2133c13-a1299141.html?hloc=at&amp;hloc=de&amp;hloc=eu&amp;hloc=pl&amp;hloc=uk</t>
  </si>
  <si>
    <t>https://geizhals.eu/corsair-vengeance-lpx-schwarz-dimm-kit-8gb-cmk8gx4m2b3000c15-a1299153.html?hloc=at&amp;hloc=de&amp;hloc=eu&amp;hloc=pl&amp;hloc=uk</t>
  </si>
  <si>
    <t>https://geizhals.eu/corsair-vengeance-lpx-schwarz-dimm-kit-8gb-cmk8gx4m2a2666c16-a1299151.html?hloc=at&amp;hloc=de&amp;hloc=eu&amp;hloc=pl&amp;hloc=uk</t>
  </si>
  <si>
    <t>https://geizhals.eu/corsair-vengeance-lpx-schwarz-dimm-kit-8gb-cmk8gx4m2a2400c16-a1373976.html?hloc=at&amp;hloc=de&amp;hloc=eu&amp;hloc=pl&amp;hloc=uk</t>
  </si>
  <si>
    <t>https://geizhals.eu/corsair-vengeance-lpx-schwarz-dimm-kit-8gb-cmk8gx4m2a2400c14-a1217185.html?hloc=at&amp;hloc=de&amp;hloc=eu&amp;hloc=pl&amp;hloc=uk</t>
  </si>
  <si>
    <t>https://geizhals.eu/corsair-vengeance-lpx-schwarz-dimm-32gb-cmk32gx4m1d3000c16-a2106885.html?hloc=at&amp;hloc=de&amp;hloc=eu&amp;hloc=pl&amp;hloc=uk</t>
  </si>
  <si>
    <t>https://geizhals.eu/corsair-vengeance-lpx-schwarz-dimm-32gb-cmk32gx4m1a2666c16-a2106879.html?hloc=at&amp;hloc=de&amp;hloc=eu&amp;hloc=pl&amp;hloc=uk</t>
  </si>
  <si>
    <t>https://geizhals.eu/corsair-vengeance-lpx-schwarz-dimm-16gb-cmk16gx4m1z3600c18-a2492481.html?hloc=at&amp;hloc=de&amp;hloc=eu&amp;hloc=pl&amp;hloc=uk</t>
  </si>
  <si>
    <t>https://geizhals.eu/corsair-vengeance-lpx-schwarz-dimm-16gb-cmk16gx4m1d3000c16-a1788510.html?hloc=at&amp;hloc=de&amp;hloc=eu&amp;hloc=pl&amp;hloc=uk</t>
  </si>
  <si>
    <t>https://geizhals.eu/corsair-vengeance-lpx-schwarz-dimm-16gb-cmk16gx4m1a2666c16-a1376745.html?hloc=at&amp;hloc=de&amp;hloc=eu&amp;hloc=pl&amp;hloc=uk</t>
  </si>
  <si>
    <t>https://geizhals.eu/corsair-vengeance-lpx-schwarz-dimm-16gb-cmk16gx4m1a2400c16-a1494103.html?hloc=at&amp;hloc=de&amp;hloc=eu&amp;hloc=pl&amp;hloc=uk</t>
  </si>
  <si>
    <t>https://geizhals.eu/corsair-vengeance-lpx-schwarz-dimm-16gb-cmk16gx4m1a2400c14-a1376834.html?hloc=at&amp;hloc=de&amp;hloc=eu&amp;hloc=pl&amp;hloc=uk</t>
  </si>
  <si>
    <t>https://geizhals.eu/corsair-vengeance-lpx-schwarz-dimm-8gb-cmk8gx4m1z3600c18-a2555423.html?hloc=at&amp;hloc=de&amp;hloc=eu&amp;hloc=pl&amp;hloc=uk</t>
  </si>
  <si>
    <t>https://geizhals.eu/corsair-vengeance-lpx-schwarz-dimm-8gb-cmk8gx4m1e3200c16-a2407154.html?hloc=at&amp;hloc=de&amp;hloc=eu&amp;hloc=pl&amp;hloc=uk</t>
  </si>
  <si>
    <t>https://geizhals.eu/corsair-vengeance-lpx-schwarz-dimm-8gb-cmk8gx4m1z3200c16-a2492480.html?hloc=at&amp;hloc=de&amp;hloc=eu&amp;hloc=pl&amp;hloc=uk</t>
  </si>
  <si>
    <t>https://geizhals.eu/corsair-vengeance-lpx-schwarz-dimm-8gb-cmk8gx4m1d3000c16-a1788504.html?hloc=at&amp;hloc=de&amp;hloc=eu&amp;hloc=pl&amp;hloc=uk</t>
  </si>
  <si>
    <t>https://geizhals.eu/corsair-vengeance-lpx-schwarz-dimm-8gb-cmk8gx4m1a2666c16-a1299146.html?hloc=at&amp;hloc=de&amp;hloc=eu&amp;hloc=pl&amp;hloc=uk</t>
  </si>
  <si>
    <t>https://geizhals.eu/corsair-vengeance-lpx-schwarz-dimm-8gb-cmk8gx4m1a2400c16-a1381446.html?hloc=at&amp;hloc=de&amp;hloc=eu&amp;hloc=pl&amp;hloc=uk</t>
  </si>
  <si>
    <t>https://geizhals.eu/corsair-vengeance-lpx-schwarz-dimm-8gb-cmk8gx4m1a2400c14-a1246210.html?hloc=at&amp;hloc=de&amp;hloc=eu&amp;hloc=pl&amp;hloc=uk</t>
  </si>
  <si>
    <t>https://geizhals.eu/corsair-vengeance-lpx-rot-dimm-kit-32gb-cmk32gx4m2a2666c16r-a1316602.html?hloc=at&amp;hloc=de&amp;hloc=eu&amp;hloc=pl&amp;hloc=uk</t>
  </si>
  <si>
    <t>https://geizhals.eu/corsair-vengeance-led-weiss-dimm-kit-64gb-cmu64gx4m4c3000c15-a1468750.html?hloc=at&amp;hloc=de&amp;hloc=eu&amp;hloc=pl&amp;hloc=uk</t>
  </si>
  <si>
    <t>https://geizhals.eu/corsair-vengeance-led-weiss-dimm-kit-32gb-cmu32gx4m2c3200c16-a1468745.html?hloc=at&amp;hloc=de&amp;hloc=eu&amp;hloc=pl&amp;hloc=uk</t>
  </si>
  <si>
    <t>https://geizhals.eu/corsair-vengeance-led-rot-dimm-kit-64gb-cmu64gx4m4c3200c16r-a1468733.html?hloc=at&amp;hloc=de&amp;hloc=eu&amp;hloc=pl&amp;hloc=uk</t>
  </si>
  <si>
    <t>https://geizhals.eu/corsair-vengeance-led-rot-dimm-kit-64gb-cmu64gx4m4c3000c15r-a1468732.html?hloc=at&amp;hloc=de&amp;hloc=eu&amp;hloc=pl&amp;hloc=uk</t>
  </si>
  <si>
    <t>https://geizhals.eu/corsair-valueselect-dimm-32gb-cmv32gx4m1a2666c18-a2121971.html?hloc=at&amp;hloc=de&amp;hloc=eu&amp;hloc=pl&amp;hloc=uk</t>
  </si>
  <si>
    <t>https://geizhals.eu/corsair-valueselect-dimm-16gb-cmv16gx4m1a2666c18-a1698065.html?hloc=at&amp;hloc=de&amp;hloc=eu&amp;hloc=pl&amp;hloc=uk</t>
  </si>
  <si>
    <t>https://geizhals.eu/corsair-valueselect-dimm-16gb-cmv16gx4m1a2133c15-a1368516.html?hloc=at&amp;hloc=de&amp;hloc=eu&amp;hloc=pl&amp;hloc=uk</t>
  </si>
  <si>
    <t>https://geizhals.eu/corsair-valueselect-dimm-8gb-cmv8gx4m1a2666c18-a1692781.html?hloc=at&amp;hloc=de&amp;hloc=eu&amp;hloc=pl&amp;hloc=uk</t>
  </si>
  <si>
    <t>https://geizhals.eu/corsair-valueselect-dimm-8gb-cmv8gx4m1a2400c16-a1603402.html?hloc=at&amp;hloc=de&amp;hloc=eu&amp;hloc=pl&amp;hloc=uk</t>
  </si>
  <si>
    <t>https://geizhals.eu/corsair-valueselect-dimm-8gb-cmv8gx4m1a2133c15-a1224028.html?hloc=at&amp;hloc=de&amp;hloc=eu&amp;hloc=pl&amp;hloc=uk</t>
  </si>
  <si>
    <t>https://geizhals.eu/corsair-valueselect-dimm-4gb-cmv4gx4m1a2666c18-a1698077.html?hloc=at&amp;hloc=de&amp;hloc=eu&amp;hloc=pl&amp;hloc=uk</t>
  </si>
  <si>
    <t>https://geizhals.eu/corsair-valueselect-dimm-4gb-cmv4gx4m1a2133c15-a1224021.html?hloc=at&amp;hloc=de&amp;hloc=eu&amp;hloc=pl&amp;hloc=uk</t>
  </si>
  <si>
    <t>https://geizhals.eu/corsair-dominator-platinum-rgb-white-dimm-kit-32gb-cmt32gx4m2d3600c18w-a2659504.html?hloc=at&amp;hloc=de&amp;hloc=eu&amp;hloc=pl&amp;hloc=uk</t>
  </si>
  <si>
    <t>https://geizhals.eu/corsair-dominator-platinum-rgb-white-dimm-kit-32gb-cmt32gx4m4c3600c18w-a2303176.html?hloc=at&amp;hloc=de&amp;hloc=eu&amp;hloc=pl&amp;hloc=uk</t>
  </si>
  <si>
    <t>https://geizhals.eu/corsair-dominator-platinum-rgb-white-dimm-kit-32gb-cmt32gx4m2e3200c16w-a2521018.html?hloc=at&amp;hloc=de&amp;hloc=eu&amp;hloc=pl&amp;hloc=uk</t>
  </si>
  <si>
    <t>https://geizhals.eu/corsair-dominator-platinum-rgb-white-dimm-kit-32gb-cmt32gx4m4c3200c16w-a2303175.html?hloc=at&amp;hloc=de&amp;hloc=eu&amp;hloc=pl&amp;hloc=uk</t>
  </si>
  <si>
    <t>https://geizhals.eu/corsair-dominator-platinum-rgb-white-dimm-kit-16gb-cmt16gx4m2c3600c18w-a2303172.html?hloc=at&amp;hloc=de&amp;hloc=eu&amp;hloc=pl&amp;hloc=uk</t>
  </si>
  <si>
    <t>https://geizhals.eu/corsair-dominator-platinum-rgb-white-dimm-kit-16gb-cmt16gx4m2c3200c16w-a2303171.html?hloc=at&amp;hloc=de&amp;hloc=eu&amp;hloc=pl&amp;hloc=uk</t>
  </si>
  <si>
    <t>https://geizhals.eu/corsair-dominator-platinum-rgb-dimm-kit-128gb-cmt128gx4m4d3600c18-a2657749.html?hloc=at&amp;hloc=de&amp;hloc=eu&amp;hloc=pl&amp;hloc=uk</t>
  </si>
  <si>
    <t>https://geizhals.eu/corsair-dominator-platinum-rgb-dimm-kit-128gb-cmt128gx4m4e3200c16-a2576648.html?hloc=at&amp;hloc=de&amp;hloc=eu&amp;hloc=pl&amp;hloc=uk</t>
  </si>
  <si>
    <t>https://geizhals.eu/corsair-dominator-platinum-rgb-dimm-kit-64gb-cmt64gx4m4k3600c18-a1992962.html?hloc=at&amp;hloc=de&amp;hloc=eu&amp;hloc=pl&amp;hloc=uk</t>
  </si>
  <si>
    <t>https://geizhals.eu/corsair-dominator-platinum-rgb-dimm-kit-64gb-cmt64gx4m4e3200c16-a2657734.html?hloc=at&amp;hloc=de&amp;hloc=eu&amp;hloc=pl&amp;hloc=uk</t>
  </si>
  <si>
    <t>https://geizhals.eu/corsair-dominator-platinum-rgb-dimm-kit-64gb-cmt64gx4m2e3200c16-a2576586.html?hloc=at&amp;hloc=de&amp;hloc=eu&amp;hloc=pl&amp;hloc=uk</t>
  </si>
  <si>
    <t>https://geizhals.eu/corsair-dominator-platinum-rgb-dimm-kit-64gb-cmt64gx4m2c3200c16-a2300072.html?hloc=at&amp;hloc=de&amp;hloc=eu&amp;hloc=pl&amp;hloc=uk</t>
  </si>
  <si>
    <t>https://geizhals.eu/corsair-dominator-platinum-rgb-dimm-kit-32gb-cmt32gx4m2z4000c18-a2657737.html?hloc=at&amp;hloc=de&amp;hloc=eu&amp;hloc=pl&amp;hloc=uk</t>
  </si>
  <si>
    <t>https://geizhals.eu/corsair-dominator-platinum-rgb-dimm-kit-32gb-cmt32gx4m2g4000c18-a2657726.html?hloc=at&amp;hloc=de&amp;hloc=eu&amp;hloc=pl&amp;hloc=uk</t>
  </si>
  <si>
    <t>https://geizhals.eu/corsair-dominator-platinum-rgb-dimm-kit-32gb-cmt32gx4m2z3600c18-a2300057.html?hloc=at&amp;hloc=de&amp;hloc=eu&amp;hloc=pl&amp;hloc=uk</t>
  </si>
  <si>
    <t>https://geizhals.eu/corsair-dominator-platinum-rgb-dimm-kit-32gb-cmt32gx4m2d3600c18-a2521839.html?hloc=at&amp;hloc=de&amp;hloc=eu&amp;hloc=pl&amp;hloc=uk</t>
  </si>
  <si>
    <t>https://geizhals.eu/corsair-dominator-platinum-rgb-dimm-kit-32gb-cmt32gx4m4c3600c18-a1993789.html?hloc=at&amp;hloc=de&amp;hloc=eu&amp;hloc=pl&amp;hloc=uk</t>
  </si>
  <si>
    <t>https://geizhals.eu/corsair-dominator-platinum-rgb-dimm-kit-32gb-cmt32gx4m2c3466c16-a2008607.html?hloc=at&amp;hloc=de&amp;hloc=eu&amp;hloc=pl&amp;hloc=uk</t>
  </si>
  <si>
    <t>https://geizhals.eu/corsair-dominator-platinum-rgb-dimm-kit-32gb-cmt32gx4m4e3200c16-a2582028.html?hloc=at&amp;hloc=de&amp;hloc=eu&amp;hloc=pl&amp;hloc=uk</t>
  </si>
  <si>
    <t>https://geizhals.eu/corsair-dominator-platinum-rgb-dimm-kit-32gb-cmt32gx4m2e3200c16-a2521021.html?hloc=at&amp;hloc=de&amp;hloc=eu&amp;hloc=pl&amp;hloc=uk</t>
  </si>
  <si>
    <t>https://geizhals.eu/corsair-dominator-platinum-rgb-dimm-kit-32gb-cmt32gx4m4z3200c16-a1992959.html?hloc=at&amp;hloc=de&amp;hloc=eu&amp;hloc=pl&amp;hloc=uk</t>
  </si>
  <si>
    <t>https://geizhals.eu/corsair-dominator-platinum-rgb-dimm-kit-32gb-cmt32gx4m4c3200c16-a1992958.html?hloc=at&amp;hloc=de&amp;hloc=eu&amp;hloc=pl&amp;hloc=uk</t>
  </si>
  <si>
    <t>https://geizhals.eu/corsair-dominator-platinum-rgb-dimm-kit-32gb-cmt32gx4m2c3200c16-a1992956.html?hloc=at&amp;hloc=de&amp;hloc=eu&amp;hloc=pl&amp;hloc=uk</t>
  </si>
  <si>
    <t>https://geizhals.eu/corsair-dominator-platinum-rgb-dimm-kit-16gb-cmt16gx4m2c3600c18-a1993779.html?hloc=at&amp;hloc=de&amp;hloc=eu&amp;hloc=pl&amp;hloc=uk</t>
  </si>
  <si>
    <t>https://geizhals.eu/corsair-dominator-platinum-rgb-white-dimm-kit-16gb-cmt16gx4m2e3200c16-a2576644.html?hloc=at&amp;hloc=de&amp;hloc=eu&amp;hloc=pl&amp;hloc=uk</t>
  </si>
  <si>
    <t>https://geizhals.eu/corsair-dominator-platinum-rgb-dimm-kit-16gb-cmt16gx4m2z3200c16-a1993761.html?hloc=at&amp;hloc=de&amp;hloc=eu&amp;hloc=pl&amp;hloc=uk</t>
  </si>
  <si>
    <t>https://geizhals.eu/corsair-dominator-platinum-rgb-dimm-kit-16gb-cmt16gx4m2c3200c16-a1992936.html?hloc=at&amp;hloc=de&amp;hloc=eu&amp;hloc=pl&amp;hloc=uk</t>
  </si>
  <si>
    <t>https://geizhals.eu/corsair-dominator-platinum-dimm-kit-32gb-cmd32gx4m4c3200c16-a1925205.html?hloc=at&amp;hloc=de&amp;hloc=eu&amp;hloc=pl&amp;hloc=uk</t>
  </si>
  <si>
    <t>Kingston Server Premier DIMM 32GB, DDR4-3200, CL22-22-22, ECC</t>
  </si>
  <si>
    <t>Kingston Server Premier DIMM 32GB, DDR4-2666, CL19-19-19, ECC</t>
  </si>
  <si>
    <t>Kingston Server Premier DIMM 16GB, DDR4-3200, CL22-22-22, ECC</t>
  </si>
  <si>
    <t>Kingston Server Premier DIMM 16GB, DDR4-2666, CL19-19-19, ECC</t>
  </si>
  <si>
    <t>Kingston Server Premier DIMM 8GB, DDR4-3200, CL22-22-22, ECC</t>
  </si>
  <si>
    <t>Kingston Server Premier DIMM 8GB, DDR4-2666, CL19-19-19, ECC</t>
  </si>
  <si>
    <t>Kingston FURY schwarz DIMM 16GB, DDR4-3200, CL16-20-20</t>
  </si>
  <si>
    <t>Kingston FURY schwarz DIMM 4GB, DDR4-2400, CL15-15-15</t>
  </si>
  <si>
    <t>Kingston FURY Renegade RGB DIMM Kit 256GB, DDR4-3200, CL16-19-19</t>
  </si>
  <si>
    <t>Kingston FURY Renegade RGB DIMM Kit 128GB, DDR4-3200, CL16-19-19</t>
  </si>
  <si>
    <t>Kingston FURY Renegade RGB DIMM Kit 64GB, DDR4-3600, CL18-22-22</t>
  </si>
  <si>
    <t>Kingston FURY Renegade RGB DIMM Kit 64GB, DDR4-3600, CL16-20-20</t>
  </si>
  <si>
    <t>Kingston FURY Renegade RGB DIMM Kit 64GB, DDR4-3200, CL16-19-19</t>
  </si>
  <si>
    <t>Kingston FURY Renegade RGB DIMM Kit 64GB, DDR4-3200, CL16-18-18</t>
  </si>
  <si>
    <t>Kingston FURY Renegade RGB DIMM Kit 32GB, DDR4-3600, CL16-20-20</t>
  </si>
  <si>
    <t>Kingston FURY Renegade RGB DIMM Kit 32GB, DDR4-3200, CL16-18-18</t>
  </si>
  <si>
    <t>Kingston FURY Renegade RGB DIMM Kit 16GB, DDR4-4600, CL19-26-26</t>
  </si>
  <si>
    <t>Kingston FURY Renegade RGB DIMM Kit 16GB, DDR4-4266, CL19-26-26</t>
  </si>
  <si>
    <t>Kingston FURY Renegade RGB DIMM Kit 16GB, DDR4-4000, CL19-23-23</t>
  </si>
  <si>
    <t>Kingston FURY Renegade RGB DIMM Kit 16GB, DDR4-3600, CL16-20-20</t>
  </si>
  <si>
    <t>Kingston FURY Renegade RGB DIMM Kit 16GB, DDR4-3200, CL16-18-18</t>
  </si>
  <si>
    <t>Kingston FURY Renegade RGB DIMM Kit 16GB, DDR4-3000, CL15-17-17</t>
  </si>
  <si>
    <t>Kingston FURY Renegade RGB DIMM 32GB, DDR4-3600, CL18-22-22</t>
  </si>
  <si>
    <t>Kingston FURY Renegade RGB DIMM 32GB, DDR4-3200, CL16-19-19</t>
  </si>
  <si>
    <t>Kingston FURY Renegade RGB DIMM 16GB, DDR4-3600, CL16-20-20</t>
  </si>
  <si>
    <t>Kingston FURY Renegade RGB DIMM 16GB, DDR4-3200, CL16-18-18</t>
  </si>
  <si>
    <t>Kingston FURY Renegade RGB DIMM 16GB, DDR4-3000, CL15-17-17</t>
  </si>
  <si>
    <t>Kingston FURY Renegade RGB DIMM 8GB, DDR4-4000, CL19-23-23</t>
  </si>
  <si>
    <t>Kingston FURY Renegade RGB DIMM 8GB, DDR4-3600, CL16-20-20</t>
  </si>
  <si>
    <t>Kingston FURY Renegade RGB DIMM 8GB, DDR4-3200, CL16-18-18</t>
  </si>
  <si>
    <t>Kingston FURY Renegade RGB DIMM 8GB, DDR4-3000, CL15-17-17</t>
  </si>
  <si>
    <t>Kingston FURY Renegade DIMM Kit 256GB, DDR4-3200, CL16-19-19</t>
  </si>
  <si>
    <t>Kingston FURY Renegade DIMM Kit 128GB, DDR4-3600, CL18-22-22</t>
  </si>
  <si>
    <t>Kingston FURY Renegade DIMM Kit 64GB, DDR4-3600, CL18-22-22</t>
  </si>
  <si>
    <t>Kingston FURY Renegade DIMM Kit 64GB, DDR4-3600, CL16-20-20</t>
  </si>
  <si>
    <t>Kingston FURY Renegade DIMM Kit 64GB, DDR4-3200, CL16-19-19</t>
  </si>
  <si>
    <t>Kingston FURY Renegade DIMM Kit 64GB, DDR4-3200, CL16-18-18</t>
  </si>
  <si>
    <t>Kingston FURY Renegade DIMM Kit 32GB, DDR4-4600, CL19-26-26</t>
  </si>
  <si>
    <t>Kingston FURY Renegade DIMM Kit 32GB, DDR4-4266, CL19-26-26</t>
  </si>
  <si>
    <t>Kingston FURY Renegade DIMM Kit 32GB, DDR4-4000, CL19-23-23</t>
  </si>
  <si>
    <t>Kingston FURY Renegade DIMM Kit 32GB, DDR4-3600, CL16-20-20</t>
  </si>
  <si>
    <t>Kingston FURY Renegade DIMM Kit 32GB, DDR4-3200, CL16-18-18</t>
  </si>
  <si>
    <t>Kingston FURY Renegade DIMM Kit 16GB, DDR4-5333, CL20-30-30</t>
  </si>
  <si>
    <t>Kingston FURY Renegade DIMM Kit 16GB, DDR4-5000, CL19-28-28</t>
  </si>
  <si>
    <t>Kingston FURY Renegade DIMM Kit 16GB, DDR4-4800, CL19-26-26</t>
  </si>
  <si>
    <t>Kingston FURY Renegade DIMM Kit 16GB, DDR4-4600, CL19-26-26</t>
  </si>
  <si>
    <t>Kingston FURY Renegade DIMM Kit 16GB, DDR4-4266, CL19-26-26</t>
  </si>
  <si>
    <t>Kingston FURY Renegade DIMM Kit 16GB, DDR4-4000, CL19-23-23</t>
  </si>
  <si>
    <t>Kingston FURY Renegade DIMM Kit 16GB, DDR4-3600, CL16-20-20</t>
  </si>
  <si>
    <t>Kingston FURY Renegade DIMM Kit 16GB, DDR4-3200, CL16-18-18</t>
  </si>
  <si>
    <t>Kingston FURY Renegade DIMM 32GB, DDR4-3600, CL18-22-22</t>
  </si>
  <si>
    <t>Kingston FURY Renegade DIMM 32GB, DDR4-3200, CL16-19-19</t>
  </si>
  <si>
    <t>Kingston FURY Renegade DIMM 16GB, DDR4-4000, CL19-23-23</t>
  </si>
  <si>
    <t>Kingston FURY Renegade DIMM 16GB, DDR4-3600, CL16-20-20</t>
  </si>
  <si>
    <t>Kingston FURY Renegade DIMM 16GB, DDR4-3200, CL16-18-18</t>
  </si>
  <si>
    <t>Kingston FURY Renegade DIMM 16GB, DDR4-3000, CL15-17-17</t>
  </si>
  <si>
    <t>Kingston FURY Renegade DIMM 8GB, DDR4-4000, CL19-23-23</t>
  </si>
  <si>
    <t>Kingston FURY Renegade DIMM 8GB, DDR4-3600, CL16-20-20</t>
  </si>
  <si>
    <t>Kingston FURY Renegade DIMM 8GB, DDR4-3200, CL16-18-18</t>
  </si>
  <si>
    <t>Kingston FURY Beast RGB Special Edition DIMM Kit 32GB, DDR4-3200, CL16-20-20</t>
  </si>
  <si>
    <t>Kingston FURY Beast RGB Special Edition DIMM Kit 16GB, DDR4-3600, CL17-21-21</t>
  </si>
  <si>
    <t>Kingston FURY Beast RGB Special Edition DIMM Kit 16GB, DDR4-3200, CL16-18-18</t>
  </si>
  <si>
    <t>Kingston FURY Beast RGB Special Edition DIMM 16GB, DDR4-3200, CL16-20-20</t>
  </si>
  <si>
    <t>Kingston FURY Beast RGB Special Edition DIMM 8GB, DDR4-3600, CL17-21-21</t>
  </si>
  <si>
    <t>Kingston FURY Beast RGB Special Edition DIMM 8GB, DDR4-3200, CL16-18-18</t>
  </si>
  <si>
    <t>Kingston FURY Beast RGB DIMM Kit 128GB, DDR4-3600, CL18-22-22</t>
  </si>
  <si>
    <t>Kingston FURY Beast RGB DIMM Kit 128GB, DDR4-3200, CL16-20-20</t>
  </si>
  <si>
    <t>Kingston FURY Beast RGB DIMM Kit 64GB, DDR4-3600, CL18-22-22</t>
  </si>
  <si>
    <t>Kingston FURY Beast RGB DIMM Kit 64GB, DDR4-3200, CL16-20-20</t>
  </si>
  <si>
    <t>Kingston FURY Beast RGB DIMM Kit 64GB, DDR4-2666, CL16-18-18</t>
  </si>
  <si>
    <t>Kingston FURY Beast RGB DIMM Kit 32GB, DDR4-3600, CL18-22-22</t>
  </si>
  <si>
    <t>Kingston FURY Beast RGB DIMM Kit 32GB, DDR4-3600, CL17-21-21</t>
  </si>
  <si>
    <t>Kingston FURY Beast RGB DIMM Kit 32GB, DDR4-3200, CL16-20-20</t>
  </si>
  <si>
    <t>Kingston FURY Beast RGB DIMM Kit 32GB, DDR4-3200, CL16-18-18</t>
  </si>
  <si>
    <t>Kingston FURY Beast RGB DIMM Kit 32GB, DDR4-2666, CL16-18-18</t>
  </si>
  <si>
    <t>Kingston FURY Beast RGB DIMM Kit 16GB, DDR4-3600, CL17-21-21</t>
  </si>
  <si>
    <t>Kingston FURY Beast RGB DIMM Kit 16GB, DDR4-3200, CL16-18-18</t>
  </si>
  <si>
    <t>Kingston FURY Beast RGB DIMM Kit 16GB, DDR4-3000, CL15-17-17</t>
  </si>
  <si>
    <t>Kingston FURY Beast RGB DIMM 32GB, DDR4-3600, CL18-22-22</t>
  </si>
  <si>
    <t>Kingston FURY Beast RGB DIMM 32GB, DDR4-3200, CL16-20-20</t>
  </si>
  <si>
    <t>Kingston FURY Beast RGB DIMM 16GB, DDR4-3733, CL19-23-23</t>
  </si>
  <si>
    <t>Kingston FURY Beast RGB DIMM 16GB, DDR4-3600, CL18-22-22</t>
  </si>
  <si>
    <t>Kingston FURY Beast RGB DIMM 16GB, DDR4-3200, CL16-20-20</t>
  </si>
  <si>
    <t>Kingston FURY Beast RGB DIMM 16GB, DDR4-3200, CL16-18-18</t>
  </si>
  <si>
    <t>Kingston FURY Beast RGB DIMM 16GB, DDR4-3000, CL15-17-17</t>
  </si>
  <si>
    <t>Kingston FURY Beast RGB DIMM 16GB, DDR4-2666, CL16-18-18</t>
  </si>
  <si>
    <t>Kingston FURY Beast RGB DIMM 8GB, DDR4-3733, CL19-23-23</t>
  </si>
  <si>
    <t>Kingston FURY Beast RGB DIMM 8GB, DDR4-3600, CL17-21-21</t>
  </si>
  <si>
    <t>Kingston FURY Beast RGB DIMM 8GB, DDR4-3200, CL16-18-18</t>
  </si>
  <si>
    <t>Kingston FURY Beast RGB DIMM 8GB, DDR4-2666, CL16-18-18</t>
  </si>
  <si>
    <t>Kingston FURY Beast DIMM Kit 128GB, DDR4-3600, CL18-22-22</t>
  </si>
  <si>
    <t>Kingston FURY Beast DIMM Kit 128GB, DDR4-3200, CL16-20-20</t>
  </si>
  <si>
    <t>Kingston FURY Beast DIMM Kit 64GB, DDR4-3600, CL18-22-22</t>
  </si>
  <si>
    <t>Kingston FURY Beast DIMM Kit 64GB, DDR4-3200, CL16-20-20</t>
  </si>
  <si>
    <t>Kingston FURY Beast DIMM Kit 64GB, DDR4-3200, CL16-18-18</t>
  </si>
  <si>
    <t>Kingston FURY Beast DIMM Kit 64GB, DDR4-2666, CL16-18-18</t>
  </si>
  <si>
    <t>Kingston FURY Beast DIMM Kit 32GB, DDR4-3600, CL18-22-22</t>
  </si>
  <si>
    <t>Kingston FURY Beast DIMM Kit 32GB, DDR4-3600, CL17-21-21</t>
  </si>
  <si>
    <t>Kingston FURY Beast DIMM Kit 32GB, DDR4-3200, CL16-20-20</t>
  </si>
  <si>
    <t>Kingston FURY Beast DIMM Kit 32GB, DDR4-3200, CL16-18-18</t>
  </si>
  <si>
    <t>Kingston FURY Beast DIMM Kit 16GB, DDR4-3600, CL17-21-21</t>
  </si>
  <si>
    <t>Kingston FURY Beast DIMM Kit 16GB, DDR4-3200, CL16-18-18</t>
  </si>
  <si>
    <t>Kingston FURY Beast DIMM Kit 16GB, DDR4-2666, CL16-18-18</t>
  </si>
  <si>
    <t>Kingston FURY Beast DIMM Kit 8GB, DDR4-3200, CL16-18-18</t>
  </si>
  <si>
    <t>Kingston FURY Beast DIMM Kit 8GB, DDR4-2666, CL16-18-18</t>
  </si>
  <si>
    <t>Kingston FURY Beast DIMM 32GB, DDR4-3600, CL18-22-22</t>
  </si>
  <si>
    <t>Kingston FURY Beast DIMM 32GB, DDR4-3200, CL16-20-20</t>
  </si>
  <si>
    <t>Kingston FURY Beast DIMM 32GB, DDR4-3000, CL16-19-19</t>
  </si>
  <si>
    <t>Kingston FURY Beast DIMM 16GB, DDR4-3733, CL19-23-23</t>
  </si>
  <si>
    <t>Kingston FURY Beast DIMM 16GB, DDR4-3600, CL18-22-22</t>
  </si>
  <si>
    <t>Kingston FURY Beast DIMM 16GB, DDR4-3200, CL16-20-20</t>
  </si>
  <si>
    <t>Kingston FURY Beast DIMM 16GB, DDR4-3200, CL16-18-18</t>
  </si>
  <si>
    <t>Kingston FURY Beast DIMM 16GB, DDR4-2666, CL16-18-18</t>
  </si>
  <si>
    <t>Kingston FURY Beast DIMM 8GB, DDR4-3733, CL19-23-23</t>
  </si>
  <si>
    <t>Kingston FURY Beast DIMM 8GB, DDR4-3600, CL17-21-21</t>
  </si>
  <si>
    <t>Kingston FURY Beast DIMM 8GB, DDR4-3200, CL16-18-18</t>
  </si>
  <si>
    <t>Kingston FURY Beast DIMM 4GB, DDR4-3200, CL16-18-18</t>
  </si>
  <si>
    <t>Kingston FURY Beast DIMM 4GB, DDR4-2666, CL16-18-18</t>
  </si>
  <si>
    <t>G.Skill Trident Z silber/weiß DIMM Kit 32GB, DDR4-3200, CL16-18-18-38</t>
  </si>
  <si>
    <t>G.Skill Trident Z silber/weiß DIMM Kit 16GB, DDR4-3200, CL15-15-15-35</t>
  </si>
  <si>
    <t>G.Skill Trident Z silber/schwarz DIMM Kit 32GB, DDR4-3200, CL16-18-18-38</t>
  </si>
  <si>
    <t>G.Skill Trident Z silber/rot DIMM Kit 32GB, DDR4-3600, CL17-19-19-39</t>
  </si>
  <si>
    <t>G.Skill Trident Z silber/rot DIMM Kit 32GB, DDR4-3200, CL16-18-18-38</t>
  </si>
  <si>
    <t>G.Skill Trident Z silber/rot DIMM Kit 16GB, DDR4-3200, CL16-18-18-38</t>
  </si>
  <si>
    <t>G.Skill Trident Z schwarz/weiß DIMM Kit 32GB, DDR4-3600, CL17-19-19-39</t>
  </si>
  <si>
    <t>G.Skill Trident Z schwarz/weiß DIMM Kit 32GB, DDR4-3200, CL16-18-18-38</t>
  </si>
  <si>
    <t>G.Skill Trident Z schwarz/weiß DIMM Kit 16GB, DDR4-3200, CL16-18-18-38</t>
  </si>
  <si>
    <t>G.Skill Trident Z schwarz/schwarz DIMM Kit 32GB, DDR4-4133, CL19-21-21-41</t>
  </si>
  <si>
    <t>G.Skill Trident Z Royal silber DIMM Kit 128GB, DDR4-3600, CL14-14-14-34</t>
  </si>
  <si>
    <t>G.Skill Trident Z Royal silber DIMM Kit 64GB, DDR4-4400, CL19-26-26-46</t>
  </si>
  <si>
    <t>G.Skill Trident Z Royal silber DIMM Kit 64GB, DDR4-4000, CL18-22-22-42</t>
  </si>
  <si>
    <t>G.Skill Trident Z Royal silber DIMM Kit 64GB, DDR4-3600, CL16-19-19-39</t>
  </si>
  <si>
    <t>G.Skill Trident Z Royal silber DIMM Kit 32GB, DDR4-4266, CL19-26-26-46</t>
  </si>
  <si>
    <t>G.Skill Trident Z Royal silber DIMM Kit 32GB, DDR4-3600, CL18-22-22-42</t>
  </si>
  <si>
    <t>G.Skill Trident Z Royal silber DIMM Kit 32GB, DDR4-3600, CL16-19-19-39</t>
  </si>
  <si>
    <t>G.Skill Trident Z Royal silber DIMM Kit 16GB, DDR4-3600, CL16-19-19-39</t>
  </si>
  <si>
    <t>G.Skill Trident Z Royal silber DIMM Kit 16GB, DDR4-3200, CL16-18-18-38</t>
  </si>
  <si>
    <t>G.Skill Trident Z Royal gold DIMM Kit 128GB, DDR4-4000, CL18-22-22-42</t>
  </si>
  <si>
    <t>G.Skill Trident Z Royal gold DIMM Kit 128GB, DDR4-3200, CL16-18-18-38</t>
  </si>
  <si>
    <t>G.Skill Trident Z Royal gold DIMM Kit 32GB, DDR4-4400, CL19-26-26-46</t>
  </si>
  <si>
    <t>G.Skill Trident Z Royal gold DIMM Kit 32GB, DDR4-3600, CL18-22-22-42</t>
  </si>
  <si>
    <t>G.Skill Trident Z Royal gold DIMM Kit 16GB, DDR4-4600, CL18-22-22-42</t>
  </si>
  <si>
    <t>G.Skill Trident Z Royal Elite silber DIMM Kit 64GB, DDR4-4266, CL19-26-26-46</t>
  </si>
  <si>
    <t>G.Skill Trident Z Royal Elite silber DIMM Kit 64GB, DDR4-4000, CL18-22-22-42</t>
  </si>
  <si>
    <t>G.Skill Trident Z Royal Elite silber DIMM Kit 64GB, DDR4-3600, CL16-19-19-39</t>
  </si>
  <si>
    <t>G.Skill Trident Z Royal Elite gold DIMM Kit 64GB, DDR4-4000, CL18-22-22-42</t>
  </si>
  <si>
    <t>G.Skill Trident Z RGB DIMM Kit 64GB, DDR4-4400, CL19-26-26-46</t>
  </si>
  <si>
    <t>G.Skill Trident Z RGB DIMM Kit 64GB, DDR4-4266, CL19-26-26-46</t>
  </si>
  <si>
    <t>G.Skill Trident Z RGB DIMM Kit 64GB, DDR4-3600, CL18-22-22-42</t>
  </si>
  <si>
    <t>G.Skill Trident Z RGB DIMM Kit 64GB, DDR4-3600, CL17-19-19-39</t>
  </si>
  <si>
    <t>G.Skill Trident Z RGB DIMM Kit 64GB, DDR4-3600, CL16-19-19-39</t>
  </si>
  <si>
    <t>G.Skill Trident Z RGB DIMM Kit 32GB, DDR4-4400, CL19-26-26-46</t>
  </si>
  <si>
    <t>G.Skill Trident Z RGB DIMM Kit 32GB, DDR4-4000, CL18-22-22-42</t>
  </si>
  <si>
    <t>G.Skill Trident Z RGB DIMM Kit 32GB, DDR4-3600, CL18-22-22-42</t>
  </si>
  <si>
    <t>G.Skill Trident Z RGB DIMM Kit 32GB, DDR4-3600, CL17-19-19-39</t>
  </si>
  <si>
    <t>G.Skill Trident Z RGB DIMM Kit 32GB, DDR4-3600, CL16-19-19-39</t>
  </si>
  <si>
    <t>G.Skill Trident Z RGB DIMM Kit 32GB, DDR4-3200, CL16-18-18-38</t>
  </si>
  <si>
    <t>G.Skill Trident Z RGB DIMM Kit 32GB, DDR4-3000, CL16-18-18-38</t>
  </si>
  <si>
    <t>G.Skill Trident Z RGB DIMM Kit 16GB, DDR4-4000, CL18-22-22-42</t>
  </si>
  <si>
    <t>G.Skill Trident Z RGB DIMM Kit 16GB, DDR4-3600, CL18-22-22-42</t>
  </si>
  <si>
    <t>G.Skill Trident Z RGB DIMM Kit 16GB, DDR4-3600, CL16-19-19-39</t>
  </si>
  <si>
    <t>G.Skill Trident Z RGB DIMM Kit 16GB, DDR4-3200, CL16-18-18-38</t>
  </si>
  <si>
    <t>G.Skill Trident Z RGB DIMM Kit 16GB, DDR4-3000, CL16-18-18-38</t>
  </si>
  <si>
    <t>G.Skill Trident Z Neo DIMM Kit 256GB, DDR4-3200, CL16-18-18-38</t>
  </si>
  <si>
    <t>G.Skill Trident Z Neo DIMM Kit 64GB, DDR4-3600, CL18-22-22-42</t>
  </si>
  <si>
    <t>G.Skill Trident Z Neo DIMM Kit 64GB, DDR4-3600, CL16-19-19-39</t>
  </si>
  <si>
    <t>G.Skill Trident Z Neo DIMM Kit 64GB, DDR4-3200, CL16-18-18-38</t>
  </si>
  <si>
    <t>G.Skill Trident Z Neo DIMM Kit 64GB, DDR4-3000, CL16-18-18-38</t>
  </si>
  <si>
    <t>G.Skill Trident Z Neo DIMM Kit 32GB, DDR4-4000, CL18-22-22-42</t>
  </si>
  <si>
    <t>G.Skill Trident Z Neo DIMM Kit 32GB, DDR4-3600, CL18-22-22-42</t>
  </si>
  <si>
    <t>G.Skill Trident Z Neo DIMM Kit 32GB, DDR4-3600, CL16-19-19-39</t>
  </si>
  <si>
    <t>G.Skill Trident Z Neo DIMM Kit 32GB, DDR4-3200, CL16-18-18-38</t>
  </si>
  <si>
    <t>G.Skill Trident Z Neo DIMM Kit 32GB, DDR4-3000, CL16-18-18-38</t>
  </si>
  <si>
    <t>G.Skill Trident Z Neo DIMM Kit 16GB, DDR4-3600, CL18-22-22-42</t>
  </si>
  <si>
    <t>G.Skill Trident Z Neo DIMM Kit 16GB, DDR4-3600, CL16-19-19-39</t>
  </si>
  <si>
    <t>G.Skill Trident Z Neo DIMM Kit 16GB, DDR4-3200, CL16-18-18-38</t>
  </si>
  <si>
    <t>G.Skill RipJaws V weiß DIMM Kit 32GB, DDR4-3600, CL18-22-22-42</t>
  </si>
  <si>
    <t>G.Skill RipJaws V schwarz DIMM Kit 256GB, DDR4-3600, CL18-22-22-42</t>
  </si>
  <si>
    <t>G.Skill RipJaws V schwarz DIMM Kit 256GB, DDR4-3200, CL16-18-18-38</t>
  </si>
  <si>
    <t>G.Skill RipJaws V schwarz DIMM Kit 128GB, DDR4-3600, CL18-22-22-42</t>
  </si>
  <si>
    <t>G.Skill RipJaws V schwarz DIMM Kit 128GB, DDR4-3600, CL16-22-22-42</t>
  </si>
  <si>
    <t>G.Skill RipJaws V schwarz DIMM Kit 128GB, DDR4-3200, CL16-18-18-38</t>
  </si>
  <si>
    <t>G.Skill RipJaws V schwarz DIMM Kit 128GB, DDR4-2666, CL19-19-19-43</t>
  </si>
  <si>
    <t>G.Skill RipJaws V schwarz DIMM Kit 64GB, DDR4-3600, CL18-22-22-42</t>
  </si>
  <si>
    <t>G.Skill RipJaws V schwarz DIMM Kit 64GB, DDR4-3600, CL16-19-19-39</t>
  </si>
  <si>
    <t>G.Skill RipJaws V schwarz DIMM Kit 64GB, DDR4-3200, CL16-18-18-38</t>
  </si>
  <si>
    <t>G.Skill RipJaws V schwarz DIMM Kit 64GB, DDR4-2666, CL19-19-19-43</t>
  </si>
  <si>
    <t>G.Skill RipJaws V schwarz DIMM Kit 64GB, DDR4-2666, CL18-18-18-43</t>
  </si>
  <si>
    <t>G.Skill RipJaws V schwarz DIMM Kit 32GB, DDR4-4400, CL19-26-26-46</t>
  </si>
  <si>
    <t>G.Skill RipJaws V schwarz DIMM Kit 32GB, DDR4-4266, CL19-26-26-46</t>
  </si>
  <si>
    <t>G.Skill RipJaws V schwarz DIMM Kit 32GB, DDR4-4000, CL18-22-22-42</t>
  </si>
  <si>
    <t>G.Skill RipJaws V schwarz DIMM Kit 32GB, DDR4-3600, CL18-22-22-42</t>
  </si>
  <si>
    <t>G.Skill RipJaws V schwarz DIMM Kit 32GB, DDR4-3600, CL16-19-19-39</t>
  </si>
  <si>
    <t>G.Skill RipJaws V schwarz DIMM Kit 32GB, DDR4-3200, CL16-18-18-38</t>
  </si>
  <si>
    <t>G.Skill RipJaws V schwarz DIMM Kit 32GB, DDR4-3200, CL15-15-15-35</t>
  </si>
  <si>
    <t>G.Skill RipJaws V schwarz DIMM Kit 16GB, DDR4-4600, CL19-26-26-46</t>
  </si>
  <si>
    <t>G.Skill RipJaws V schwarz DIMM Kit 16GB, DDR4-4000, CL18-22-22-42</t>
  </si>
  <si>
    <t>G.Skill RipJaws V schwarz DIMM Kit 16GB, DDR4-4000, CL17-18-18-38</t>
  </si>
  <si>
    <t>G.Skill RipJaws V schwarz DIMM Kit 16GB, DDR4-3600, CL18-22-22-42</t>
  </si>
  <si>
    <t>G.Skill RipJaws V schwarz DIMM Kit 16GB, DDR4-3600, CL16-19-19-39</t>
  </si>
  <si>
    <t>G.Skill RipJaws V schwarz DIMM Kit 16GB, DDR4-3200, CL16-18-18-38</t>
  </si>
  <si>
    <t>G.Skill RipJaws V schwarz DIMM Kit 8GB, DDR4-3200, CL16-18-18-38</t>
  </si>
  <si>
    <t>G.Skill RipJaws V schwarz DIMM 32GB, DDR4-3200, CL16-18-18-38</t>
  </si>
  <si>
    <t>G.Skill RipJaws V schwarz DIMM 32GB, DDR4-2666, CL19-19-19-43</t>
  </si>
  <si>
    <t>G.Skill RipJaws V schwarz DIMM 32GB, DDR4-2666, CL18-18-18-43</t>
  </si>
  <si>
    <t>G.Skill RipJaws V schwarz DIMM 16GB, DDR4-3200, CL16-18-18-38</t>
  </si>
  <si>
    <t>G.Skill RipJaws V rot DIMM Kit 32GB, DDR4-3600, CL19-20-20-40</t>
  </si>
  <si>
    <t>G.Skill RipJaws V rot DIMM Kit 32GB, DDR4-3000, CL16-18-18-38</t>
  </si>
  <si>
    <t>G.Skill RipJaws V rot DIMM Kit 32GB, DDR4-2400, CL15-15-15-35</t>
  </si>
  <si>
    <t>G.Skill RipJaws V rot DIMM Kit 16GB, DDR4-3600, CL19-20-20-40</t>
  </si>
  <si>
    <t>G.Skill RipJaws V rot DIMM Kit 16GB, DDR4-3000, CL16-18-18-38</t>
  </si>
  <si>
    <t>G.Skill RipJaws V rot DIMM Kit 16GB, DDR4-2666, CL15-15-15-35</t>
  </si>
  <si>
    <t>G.Skill RipJaws V rot DIMM Kit 16GB, DDR4-2400, CL17-17-17-39</t>
  </si>
  <si>
    <t>G.Skill RipJaws V rot DIMM Kit 16GB, DDR4-2400, CL15-15-15-35</t>
  </si>
  <si>
    <t>G.Skill RipJaws V rot DIMM Kit 16GB, DDR4-2133, CL15-15-15-35</t>
  </si>
  <si>
    <t>G.Skill RipJaws V rot DIMM 8GB, DDR4-2800, CL17-17-17-37</t>
  </si>
  <si>
    <t>G.Skill RipJaws V grau DIMM Kit 16GB, DDR4-3200, CL16-18-18-38</t>
  </si>
  <si>
    <t>G.Skill RipJaws 4 rot DIMM Kit 16GB, DDR4-2400, CL15-15-15-35</t>
  </si>
  <si>
    <t>G.Skill NT Series DIMM Kit 64GB, DDR4-2666, CL19-19-19-43</t>
  </si>
  <si>
    <t>G.Skill NT Series DIMM Kit 16GB, DDR4-2666, CL19-19-19-43</t>
  </si>
  <si>
    <t>G.Skill NT Series DIMM Kit 16GB, DDR4-2400, CL15-15-15-35</t>
  </si>
  <si>
    <t>G.Skill NT Series DIMM Kit 16GB, DDR4-2133, CL15-15-15-35</t>
  </si>
  <si>
    <t>G.Skill NT Series DIMM Kit 8GB, DDR4-2133, CL15-15-15-35</t>
  </si>
  <si>
    <t>G.Skill NT Series DIMM 32GB, DDR4-2666, CL19-19-19-43</t>
  </si>
  <si>
    <t>G.Skill NT Series DIMM 8GB, DDR4-2666, CL19-19-19-43</t>
  </si>
  <si>
    <t>G.Skill NT Series DIMM 8GB, DDR4-2400, CL17-17-17-39</t>
  </si>
  <si>
    <t>G.Skill NT Series DIMM 8GB, DDR4-2400, CL15-15-15-35</t>
  </si>
  <si>
    <t>G.Skill NT Series DIMM 8GB, DDR4-2133, CL15-15-15-35</t>
  </si>
  <si>
    <t>G.Skill NT Series DIMM 4GB, DDR4-2400, CL17-17-17-39</t>
  </si>
  <si>
    <t>G.Skill NT Series DIMM 4GB, DDR4-2133, CL15-15-15-35</t>
  </si>
  <si>
    <t>G.Skill Fortis DIMM Kit 16GB, DDR4-2133, CL15-15-15-35</t>
  </si>
  <si>
    <t>G.Skill Flare X schwarz DIMM Kit 64GB, DDR4-3200, CL16-18-18-38</t>
  </si>
  <si>
    <t>G.Skill Flare X schwarz DIMM Kit 32GB, DDR4-3200, CL16-18-18-38</t>
  </si>
  <si>
    <t>G.Skill Aegis DIMM Kit 64GB, DDR4-3200, CL16-18-18-38</t>
  </si>
  <si>
    <t>G.Skill Aegis DIMM Kit 32GB, DDR4-3200, CL16-18-18-38</t>
  </si>
  <si>
    <t>G.Skill Aegis DIMM Kit 32GB, DDR4-3000, CL16-18-18-38</t>
  </si>
  <si>
    <t>G.Skill Aegis DIMM Kit 32GB, DDR4-2666, CL19-19-19-43</t>
  </si>
  <si>
    <t>G.Skill Aegis DIMM Kit 32GB, DDR4-2400, CL15-15-15-35</t>
  </si>
  <si>
    <t>G.Skill Aegis DIMM Kit 16GB, DDR4-3200, CL16-18-18-38</t>
  </si>
  <si>
    <t>G.Skill Aegis DIMM Kit 16GB, DDR4-3000, CL16-18-18-38</t>
  </si>
  <si>
    <t>G.Skill Aegis DIMM Kit 16GB, DDR4-2666, CL19-19-19-43</t>
  </si>
  <si>
    <t>G.Skill Aegis DIMM Kit 16GB, DDR4-2400, CL17-17-17-39</t>
  </si>
  <si>
    <t>G.Skill Aegis DIMM Kit 16GB, DDR4-2400, CL15-15-15-35</t>
  </si>
  <si>
    <t>G.Skill Aegis DIMM Kit 16GB, DDR4-2133, CL15-15-15-35</t>
  </si>
  <si>
    <t>G.Skill Aegis DIMM Kit 8GB, DDR4-2400, CL17-17-17-39</t>
  </si>
  <si>
    <t>G.Skill Aegis DIMM Kit 8GB, DDR4-2400, CL15-15-15-35</t>
  </si>
  <si>
    <t>G.Skill Aegis DIMM Kit 8GB, DDR4-2133, CL15-15-15-35</t>
  </si>
  <si>
    <t>G.Skill Aegis DIMM 16GB, DDR4-3200, CL16-18-18-38</t>
  </si>
  <si>
    <t>G.Skill Aegis DIMM 16GB, DDR4-3000, CL16-18-18-38</t>
  </si>
  <si>
    <t>G.Skill Aegis DIMM 16GB, DDR4-2666, CL19-19-19-43</t>
  </si>
  <si>
    <t>G.Skill Aegis DIMM 16GB, DDR4-2400, CL15-15-15-35</t>
  </si>
  <si>
    <t>G.Skill Aegis DIMM 16GB, DDR4-2133, CL15-15-15-35</t>
  </si>
  <si>
    <t>G.Skill Aegis DIMM 8GB, DDR4-3200, CL16-18-18-38</t>
  </si>
  <si>
    <t>G.Skill Aegis DIMM 8GB, DDR4-3000, CL16-18-18-38</t>
  </si>
  <si>
    <t>G.Skill Aegis DIMM 8GB, DDR4-2800, CL17-17-17-37</t>
  </si>
  <si>
    <t>G.Skill Aegis DIMM 8GB, DDR4-2666, CL19-19-19-43</t>
  </si>
  <si>
    <t>G.Skill Aegis DIMM 8GB, DDR4-2400, CL17-17-17-39</t>
  </si>
  <si>
    <t>G.Skill Aegis DIMM 8GB, DDR4-2400, CL15-15-15-35</t>
  </si>
  <si>
    <t>G.Skill Aegis DIMM 8GB, DDR4-2133, CL15-15-15-35</t>
  </si>
  <si>
    <t>G.Skill Aegis DIMM 4GB, DDR4-2400, CL15-15-15-35</t>
  </si>
  <si>
    <t>Corsair Vengeance RGB schwarz DIMM Kit 32GB, DDR4-3000, CL16-20-20-38</t>
  </si>
  <si>
    <t>Corsair Vengeance RGB RT White DIMM Kit 64GB, DDR4-3200, CL16-20-20-38</t>
  </si>
  <si>
    <t>Corsair Vengeance RGB RT White DIMM Kit 32GB, DDR4-3600, CL18-22-22-42</t>
  </si>
  <si>
    <t>Corsair Vengeance RGB RT White DIMM Kit 32GB, DDR4-3200, CL16-20-20-38</t>
  </si>
  <si>
    <t>Corsair Vengeance RGB RT White DIMM Kit 16GB, DDR4-3600, CL18-22-22-42</t>
  </si>
  <si>
    <t>Corsair Vengeance RGB RT White DIMM Kit 16GB, DDR4-3200, CL16-20-20-38</t>
  </si>
  <si>
    <t>Corsair Vengeance RGB RT Gunmetal DIMM Kit 256GB, DDR4-3600, CL18-22-22-42</t>
  </si>
  <si>
    <t>Corsair Vengeance RGB RT Gunmetal DIMM Kit 128GB, DDR4-3600, CL18-22-22-42</t>
  </si>
  <si>
    <t>Corsair Vengeance RGB RT Gunmetal DIMM Kit 64GB, DDR4-3600, CL18-22-22-42</t>
  </si>
  <si>
    <t>Corsair Vengeance RGB RT Gunmetal DIMM Kit 64GB, DDR4-3200, CL16-20-20-38</t>
  </si>
  <si>
    <t>Corsair Vengeance RGB RT Gunmetal DIMM Kit 32GB, DDR4-3600, CL18-22-22-42</t>
  </si>
  <si>
    <t>Corsair Vengeance RGB RT Gunmetal DIMM Kit 32GB, DDR4-3600, CL16-20-20-38</t>
  </si>
  <si>
    <t>Corsair Vengeance RGB RT Gunmetal DIMM Kit 32GB, DDR4-3200, CL16-20-20-38</t>
  </si>
  <si>
    <t>Corsair Vengeance RGB RT Gunmetal DIMM Kit 16GB, DDR4-4000, CL18-22-22-42</t>
  </si>
  <si>
    <t>Corsair Vengeance RGB RT Gunmetal DIMM Kit 16GB, DDR4-3600, CL18-22-22-42</t>
  </si>
  <si>
    <t>Corsair Vengeance RGB RT Gunmetal DIMM Kit 16GB, DDR4-3600, CL16-20-20-38</t>
  </si>
  <si>
    <t>Corsair Vengeance RGB RT Gunmetal DIMM Kit 16GB, DDR4-3200, CL16-20-20-38</t>
  </si>
  <si>
    <t>Corsair Vengeance RGB RS DIMM Kit 64GB, DDR4-3600, CL18-22-22-42</t>
  </si>
  <si>
    <t>Corsair Vengeance RGB RS DIMM Kit 64GB, DDR4-3200, CL16-20-20-38</t>
  </si>
  <si>
    <t>Corsair Vengeance RGB RS DIMM Kit 32GB, DDR4-3600, CL18-22-22-42</t>
  </si>
  <si>
    <t>Corsair Vengeance RGB RS DIMM Kit 32GB, DDR4-3200, CL16-20-20-38</t>
  </si>
  <si>
    <t>Corsair Vengeance RGB RS DIMM Kit 16GB, DDR4-3600, CL18-22-22-42</t>
  </si>
  <si>
    <t>Corsair Vengeance RGB RS DIMM Kit 16GB, DDR4-3200, CL16-20-20-38</t>
  </si>
  <si>
    <t>Corsair Vengeance RGB RS DIMM 16GB, DDR4-3600, CL18-22-22-42</t>
  </si>
  <si>
    <t>Corsair Vengeance RGB RS DIMM 16GB, DDR4-3200, CL16-20-20-38</t>
  </si>
  <si>
    <t>Corsair Vengeance RGB RS DIMM 8GB, DDR4-3600, CL18-22-22-42</t>
  </si>
  <si>
    <t>Corsair Vengeance RGB RS DIMM 8GB, DDR4-3200, CL16-20-20-38</t>
  </si>
  <si>
    <t>Corsair Vengeance RGB PRO weiß DIMM Kit 32GB, DDR4-3600, CL18-19-19-39</t>
  </si>
  <si>
    <t>Corsair Vengeance RGB PRO weiß DIMM Kit 32GB, DDR4-3200, CL16-20-20-38</t>
  </si>
  <si>
    <t>Corsair Vengeance RGB PRO weiß DIMM Kit 32GB, DDR4-3200, CL16-18-18-36</t>
  </si>
  <si>
    <t>Corsair Vengeance RGB PRO weiß DIMM Kit 16GB, DDR4-3600, CL18-22-22-42</t>
  </si>
  <si>
    <t>Corsair Vengeance RGB PRO weiß DIMM Kit 16GB, DDR4-3600, CL18-19-19-39</t>
  </si>
  <si>
    <t>Corsair Vengeance RGB PRO weiß DIMM Kit 16GB, DDR4-3200, CL16-18-18-36</t>
  </si>
  <si>
    <t>Corsair Vengeance RGB PRO weiß DIMM Kit 16GB, DDR4-3000, CL15-17-17-35</t>
  </si>
  <si>
    <t>Corsair Vengeance RGB PRO weiß DIMM Kit 16GB, DDR4-2666, CL16-18-18-35</t>
  </si>
  <si>
    <t>Corsair Vengeance RGB PRO TUF Gaming Edition DIMM Kit 32GB, DDR4-3200, CL16-20-20-38</t>
  </si>
  <si>
    <t>Corsair Vengeance RGB PRO TUF Gaming Edition DIMM Kit 16GB, DDR4-3200, CL16-20-20-38</t>
  </si>
  <si>
    <t>Corsair Vengeance RGB PRO TUF Gaming Edition DIMM Kit 16GB, DDR4-3200, CL16-18-18-36</t>
  </si>
  <si>
    <t>Corsair Vengeance RGB PRO SL weiß DIMM Kit 64GB, DDR4-3600, CL18-22-22-42</t>
  </si>
  <si>
    <t>Corsair Vengeance RGB PRO SL weiß DIMM Kit 64GB, DDR4-3200, CL16-20-20-38</t>
  </si>
  <si>
    <t>Corsair Vengeance RGB PRO SL weiß DIMM Kit 32GB, DDR4-3600, CL18-22-22-42</t>
  </si>
  <si>
    <t>Corsair Vengeance RGB PRO SL weiß DIMM Kit 32GB, DDR4-3200, CL16-20-20-38</t>
  </si>
  <si>
    <t>Corsair Vengeance RGB PRO SL weiß DIMM Kit 16GB, DDR4-3600, CL18-22-22-42</t>
  </si>
  <si>
    <t>Corsair Vengeance RGB PRO SL weiß DIMM Kit 16GB, DDR4-3200, CL16-20-20-38</t>
  </si>
  <si>
    <t>Corsair Vengeance RGB PRO SL schwarz DIMM Kit 256GB, DDR4-3200, CL16-20-20-38</t>
  </si>
  <si>
    <t>Corsair Vengeance RGB PRO SL schwarz DIMM Kit 128GB, DDR4-3200, CL16-20-20-38</t>
  </si>
  <si>
    <t>Corsair Vengeance RGB PRO SL schwarz DIMM Kit 64GB, DDR4-3600, CL18-22-22-42</t>
  </si>
  <si>
    <t>Corsair Vengeance RGB PRO SL schwarz DIMM Kit 64GB, DDR4-3200, CL16-20-20-38</t>
  </si>
  <si>
    <t>Corsair Vengeance RGB PRO SL schwarz DIMM Kit 32GB, DDR4-3600, CL18-22-22-42</t>
  </si>
  <si>
    <t>Corsair Vengeance RGB PRO SL schwarz DIMM Kit 32GB, DDR4-3200, CL16-20-20-38</t>
  </si>
  <si>
    <t>Corsair Vengeance RGB PRO SL schwarz DIMM Kit 16GB, DDR4-3600, CL18-22-22-42</t>
  </si>
  <si>
    <t>Corsair Vengeance RGB PRO SL schwarz DIMM Kit 16GB, DDR4-3600, CL16-18-18-36</t>
  </si>
  <si>
    <t>Corsair Vengeance RGB PRO SL schwarz DIMM Kit 16GB, DDR4-3200, CL16-20-20-38</t>
  </si>
  <si>
    <t>Corsair Vengeance RGB PRO schwarz DIMM Kit 256GB, DDR4-3200, CL16-20-20-38</t>
  </si>
  <si>
    <t>Corsair Vengeance RGB PRO schwarz DIMM Kit 128GB, DDR4-3600, CL18-22-22-42</t>
  </si>
  <si>
    <t>Corsair Vengeance RGB PRO schwarz DIMM Kit 128GB, DDR4-3200, CL16-20-20-38</t>
  </si>
  <si>
    <t>Corsair Vengeance RGB PRO schwarz DIMM Kit 128GB, DDR4-3000, CL16-20-20-38</t>
  </si>
  <si>
    <t>Corsair Vengeance RGB PRO schwarz DIMM Kit 64GB, DDR4-3600, CL18-22-22-42</t>
  </si>
  <si>
    <t>Corsair Vengeance RGB PRO schwarz DIMM Kit 64GB, DDR4-3200, CL16-20-20-38</t>
  </si>
  <si>
    <t>Corsair Vengeance RGB PRO schwarz DIMM Kit 32GB, DDR4-4266, CL19-26-26-46</t>
  </si>
  <si>
    <t>Corsair Vengeance RGB PRO schwarz DIMM Kit 32GB, DDR4-4000, CL18-22-22-42</t>
  </si>
  <si>
    <t>Corsair Vengeance RGB PRO schwarz DIMM Kit 32GB, DDR4-3600, CL18-22-22-42</t>
  </si>
  <si>
    <t>Corsair Vengeance RGB PRO schwarz DIMM Kit 32GB, DDR4-3600, CL18-19-19-39</t>
  </si>
  <si>
    <t>Corsair Vengeance RGB PRO schwarz DIMM Kit 32GB, DDR4-3600, CL16-19-19-36</t>
  </si>
  <si>
    <t>Corsair Vengeance RGB PRO schwarz DIMM Kit 32GB, DDR4-3200, CL16-20-20-38</t>
  </si>
  <si>
    <t>Corsair Vengeance RGB PRO schwarz DIMM Kit 32GB, DDR4-3200, CL16-18-18-36</t>
  </si>
  <si>
    <t>Corsair Vengeance RGB PRO schwarz DIMM Kit 32GB, DDR4-3200, CL14-14-14-34</t>
  </si>
  <si>
    <t>Corsair Vengeance RGB PRO schwarz DIMM Kit 32GB, DDR4-3000, CL16-18-18-36</t>
  </si>
  <si>
    <t>Corsair Vengeance RGB PRO schwarz DIMM Kit 32GB, DDR4-2933, CL16-18-18-36</t>
  </si>
  <si>
    <t>Corsair Vengeance RGB PRO schwarz DIMM Kit 32GB, DDR4-2666, CL16-18-18-35</t>
  </si>
  <si>
    <t>Corsair Vengeance RGB PRO schwarz DIMM Kit 16GB, DDR4-4000, CL18-22-22-42</t>
  </si>
  <si>
    <t>Corsair Vengeance RGB PRO schwarz DIMM Kit 16GB, DDR4-4000, CL16-16-16-36</t>
  </si>
  <si>
    <t>Corsair Vengeance RGB PRO schwarz DIMM Kit 16GB, DDR4-3600, CL18-22-22-42</t>
  </si>
  <si>
    <t>Corsair Vengeance RGB PRO schwarz DIMM Kit 16GB, DDR4-3600, CL18-19-19-39</t>
  </si>
  <si>
    <t>Corsair Vengeance RGB PRO schwarz DIMM Kit 16GB, DDR4-3600, CL16-19-19-36</t>
  </si>
  <si>
    <t>Corsair Vengeance RGB PRO schwarz DIMM Kit 16GB, DDR4-3200, CL16-18-18-36</t>
  </si>
  <si>
    <t>Corsair Vengeance RGB PRO schwarz DIMM Kit 16GB, DDR4-3000, CL15-17-17-35</t>
  </si>
  <si>
    <t>Corsair Vengeance RGB PRO schwarz DIMM Kit 16GB, DDR4-2933, CL16-18-18-36</t>
  </si>
  <si>
    <t>Corsair Vengeance RGB PRO schwarz DIMM Kit 16GB, DDR4-2666, CL16-18-18-35</t>
  </si>
  <si>
    <t>Corsair Vengeance RGB PRO schwarz DIMM 16GB, DDR4-3600, CL18-22-22-42</t>
  </si>
  <si>
    <t>Corsair Vengeance RGB PRO schwarz DIMM 8GB, DDR4-3600, CL18-22-22-42</t>
  </si>
  <si>
    <t>Corsair Vengeance RGB PRO schwarz DIMM 8GB, DDR4-3200, CL16-18-18-36</t>
  </si>
  <si>
    <t>Corsair Vengeance LPX weiß DIMM Kit 32GB, DDR4-3200, CL16-20-20-38</t>
  </si>
  <si>
    <t>Corsair Vengeance LPX weiß DIMM Kit 16GB, DDR4-3200, CL16-20-20-38</t>
  </si>
  <si>
    <t>Corsair Vengeance LPX weiß DIMM Kit 16GB, DDR4-3200, CL16-18-18-36</t>
  </si>
  <si>
    <t>Corsair Vengeance LPX weiß DIMM Kit 16GB, DDR4-3000, CL16-20-20-38</t>
  </si>
  <si>
    <t>Corsair Vengeance LPX weiß DIMM Kit 16GB, DDR4-2666, CL16-18-18-35</t>
  </si>
  <si>
    <t>Corsair Vengeance LPX schwarz DIMM Kit 256GB, DDR4-3600, CL18-22-22-42</t>
  </si>
  <si>
    <t>Corsair Vengeance LPX schwarz DIMM Kit 256GB, DDR4-3200, CL16-20-20-38</t>
  </si>
  <si>
    <t>Corsair Vengeance LPX schwarz DIMM Kit 128GB, DDR4-3600, CL18-22-22-42</t>
  </si>
  <si>
    <t>Corsair Vengeance LPX schwarz DIMM Kit 128GB, DDR4-3200, CL16-20-20-38</t>
  </si>
  <si>
    <t>Corsair Vengeance LPX schwarz DIMM Kit 128GB, DDR4-2666, CL16-18-18-35</t>
  </si>
  <si>
    <t>Corsair Vengeance LPX schwarz DIMM Kit 64GB, DDR4-4000, CL18-22-22-42</t>
  </si>
  <si>
    <t>Corsair Vengeance LPX schwarz DIMM Kit 64GB, DDR4-3600, CL18-22-22-42</t>
  </si>
  <si>
    <t>Corsair Vengeance LPX schwarz DIMM Kit 64GB, DDR4-3200, CL16-20-20-38</t>
  </si>
  <si>
    <t>Corsair Vengeance LPX schwarz DIMM Kit 64GB, DDR4-3000, CL16-20-20-38</t>
  </si>
  <si>
    <t>Corsair Vengeance LPX schwarz DIMM Kit 64GB, DDR4-2666, CL16-18-18-35</t>
  </si>
  <si>
    <t>Corsair Vengeance LPX schwarz DIMM Kit 64GB, DDR4-2400, CL16-16-16-39</t>
  </si>
  <si>
    <t>Corsair Vengeance LPX schwarz DIMM Kit 64GB, DDR4-2400, CL14-16-16-31</t>
  </si>
  <si>
    <t>Corsair Vengeance LPX schwarz DIMM Kit 32GB, DDR4-4000, CL19-23-23-45</t>
  </si>
  <si>
    <t>Corsair Vengeance LPX schwarz DIMM Kit 32GB, DDR4-3600, CL18-22-22-42</t>
  </si>
  <si>
    <t>Corsair Vengeance LPX schwarz DIMM Kit 32GB, DDR4-3600, CL16-19-19-36</t>
  </si>
  <si>
    <t>Corsair Vengeance LPX schwarz DIMM Kit 32GB, DDR4-3200, CL16-20-20-38</t>
  </si>
  <si>
    <t>Corsair Vengeance LPX schwarz DIMM Kit 32GB, DDR4-3200, CL16-18-18-36</t>
  </si>
  <si>
    <t>Corsair Vengeance LPX schwarz DIMM Kit 32GB, DDR4-3000, CL16-20-20-38</t>
  </si>
  <si>
    <t>Corsair Vengeance LPX schwarz DIMM Kit 32GB, DDR4-2666, CL16-18-18-35</t>
  </si>
  <si>
    <t>Corsair Vengeance LPX schwarz DIMM Kit 32GB, DDR4-2400, CL16-16-16-39</t>
  </si>
  <si>
    <t>Corsair Vengeance LPX schwarz DIMM Kit 32GB, DDR4-2400, CL14-16-16-31</t>
  </si>
  <si>
    <t>Corsair Vengeance LPX schwarz DIMM Kit 32GB, DDR4-2133, CL13-15-15-28</t>
  </si>
  <si>
    <t>Corsair Vengeance LPX schwarz DIMM Kit 16GB, DDR4-4000, CL19-23-23-45</t>
  </si>
  <si>
    <t>Corsair Vengeance LPX schwarz DIMM Kit 16GB, DDR4-4000, CL18-22-22-42</t>
  </si>
  <si>
    <t>Corsair Vengeance LPX schwarz DIMM Kit 16GB, DDR4-3600, CL18-22-22-42</t>
  </si>
  <si>
    <t>Corsair Vengeance LPX schwarz DIMM Kit 16GB, DDR4-3600, CL16-19-19-36</t>
  </si>
  <si>
    <t>Corsair Vengeance LPX schwarz DIMM Kit 16GB, DDR4-3200, CL16-20-20-38</t>
  </si>
  <si>
    <t>Corsair Vengeance LPX schwarz DIMM Kit 16GB, DDR4-3200, CL16-18-18-36</t>
  </si>
  <si>
    <t>Corsair Vengeance LPX schwarz DIMM Kit 16GB, DDR4-3000, CL16-20-20-38</t>
  </si>
  <si>
    <t>Corsair Vengeance LPX schwarz DIMM Kit 16GB, DDR4-3000, CL15-17-17-35</t>
  </si>
  <si>
    <t>Corsair Vengeance LPX schwarz DIMM Kit 16GB, DDR4-2933, CL16-18-18-36</t>
  </si>
  <si>
    <t>Corsair Vengeance LPX schwarz DIMM Kit 16GB, DDR4-2666, CL16-18-18-35</t>
  </si>
  <si>
    <t>Corsair Vengeance LPX schwarz DIMM Kit 16GB, DDR4-2400, CL16-16-16-39</t>
  </si>
  <si>
    <t>Corsair Vengeance LPX schwarz DIMM Kit 16GB, DDR4-2400, CL14-16-16-31</t>
  </si>
  <si>
    <t>Corsair Vengeance LPX schwarz DIMM Kit 16GB, DDR4-2133, CL13-15-15-28</t>
  </si>
  <si>
    <t>Corsair Vengeance LPX schwarz DIMM Kit 8GB, DDR4-3000, CL15-17-17-35</t>
  </si>
  <si>
    <t>Corsair Vengeance LPX schwarz DIMM Kit 8GB, DDR4-2666, CL16-18-18-35</t>
  </si>
  <si>
    <t>Corsair Vengeance LPX schwarz DIMM Kit 8GB, DDR4-2400, CL16-16-16-39</t>
  </si>
  <si>
    <t>Corsair Vengeance LPX schwarz DIMM Kit 8GB, DDR4-2400, CL14-16-16-31</t>
  </si>
  <si>
    <t>Corsair Vengeance LPX schwarz DIMM 32GB, DDR4-3000, CL16-20-20-38</t>
  </si>
  <si>
    <t>Corsair Vengeance LPX schwarz DIMM 32GB, DDR4-2666, CL16-18-18-35</t>
  </si>
  <si>
    <t>Corsair Vengeance LPX schwarz DIMM 16GB, DDR4-3600, CL18-19-19-39</t>
  </si>
  <si>
    <t>Corsair Vengeance LPX schwarz DIMM 16GB, DDR4-3000, CL16-20-20-38</t>
  </si>
  <si>
    <t>Corsair Vengeance LPX schwarz DIMM 16GB, DDR4-2666, CL16-18-18-35</t>
  </si>
  <si>
    <t>Corsair Vengeance LPX schwarz DIMM 16GB, DDR4-2400, CL16-16-16-39</t>
  </si>
  <si>
    <t>Corsair Vengeance LPX schwarz DIMM 16GB, DDR4-2400, CL14-16-16-31</t>
  </si>
  <si>
    <t>Corsair Vengeance LPX schwarz DIMM 8GB, DDR4-3600, CL18-22-22-42</t>
  </si>
  <si>
    <t>Corsair Vengeance LPX schwarz DIMM 8GB, DDR4-3200, CL16-20-20-38</t>
  </si>
  <si>
    <t>Corsair Vengeance LPX schwarz DIMM 8GB, DDR4-3200, CL16-18-18-36</t>
  </si>
  <si>
    <t>Corsair Vengeance LPX schwarz DIMM 8GB, DDR4-3000, CL16-20-20-38</t>
  </si>
  <si>
    <t>Corsair Vengeance LPX schwarz DIMM 8GB, DDR4-2666, CL16-18-18-35</t>
  </si>
  <si>
    <t>Corsair Vengeance LPX schwarz DIMM 8GB, DDR4-2400, CL16-16-16-39</t>
  </si>
  <si>
    <t>Corsair Vengeance LPX schwarz DIMM 8GB, DDR4-2400, CL14-16-16-31</t>
  </si>
  <si>
    <t>Corsair Vengeance LPX rot DIMM Kit 32GB, DDR4-2666, CL16-18-18-35</t>
  </si>
  <si>
    <t>Corsair Vengeance LED weiß DIMM Kit 64GB, DDR4-3000, CL15-17-17-35</t>
  </si>
  <si>
    <t>Corsair Vengeance LED weiß DIMM Kit 32GB, DDR4-3200, CL16-18-18-36</t>
  </si>
  <si>
    <t>Corsair Vengeance LED rot DIMM Kit 64GB, DDR4-3200, CL16-18-18-36</t>
  </si>
  <si>
    <t>Corsair Vengeance LED rot DIMM Kit 64GB, DDR4-3000, CL15-17-17-35</t>
  </si>
  <si>
    <t>Corsair ValueSelect DIMM 32GB, DDR4-2666, CL18-18-18-43</t>
  </si>
  <si>
    <t>Corsair ValueSelect DIMM 16GB, DDR4-2666, CL18-18-18-43</t>
  </si>
  <si>
    <t>Corsair ValueSelect DIMM 16GB, DDR4-2133, CL15-15-15-36</t>
  </si>
  <si>
    <t>Corsair ValueSelect DIMM 8GB, DDR4-2666, CL18-18-18-43</t>
  </si>
  <si>
    <t>Corsair ValueSelect DIMM 8GB, DDR4-2400, CL16-16-16-39</t>
  </si>
  <si>
    <t>Corsair ValueSelect DIMM 8GB, DDR4-2133, CL15-15-15-36</t>
  </si>
  <si>
    <t>Corsair ValueSelect DIMM 4GB, DDR4-2666, CL18-18-18-43</t>
  </si>
  <si>
    <t>Corsair ValueSelect DIMM 4GB, DDR4-2133, CL15-15-15-36</t>
  </si>
  <si>
    <t>Corsair Dominator Platinum RGB White DIMM Kit 32GB, DDR4-3600, CL18-22-22-42</t>
  </si>
  <si>
    <t>Corsair Dominator Platinum RGB White DIMM Kit 32GB, DDR4-3600, CL18-19-19-39</t>
  </si>
  <si>
    <t>Corsair Dominator Platinum RGB White DIMM Kit 32GB, DDR4-3200, CL16-20-20-38</t>
  </si>
  <si>
    <t>Corsair Dominator Platinum RGB White DIMM Kit 32GB, DDR4-3200, CL16-18-18-36</t>
  </si>
  <si>
    <t>Corsair Dominator Platinum RGB White DIMM Kit 16GB, DDR4-3600, CL18-19-19-39</t>
  </si>
  <si>
    <t>Corsair Dominator Platinum RGB White DIMM Kit 16GB, DDR4-3200, CL16-18-18-36</t>
  </si>
  <si>
    <t>Corsair Dominator Platinum RGB DIMM Kit 128GB, DDR4-3600, CL18-22-22-42</t>
  </si>
  <si>
    <t>Corsair Dominator Platinum RGB DIMM Kit 128GB, DDR4-3200, CL16-20-20-38</t>
  </si>
  <si>
    <t>Corsair Dominator Platinum RGB DIMM Kit 64GB, DDR4-3600, CL18-19-19-39</t>
  </si>
  <si>
    <t>Corsair Dominator Platinum RGB DIMM Kit 64GB, DDR4-3200, CL16-20-20-38</t>
  </si>
  <si>
    <t>Corsair Dominator Platinum RGB DIMM Kit 64GB, DDR4-3200, CL16-18-18-36</t>
  </si>
  <si>
    <t>Corsair Dominator Platinum RGB DIMM Kit 32GB, DDR4-4000, CL18-22-22-42</t>
  </si>
  <si>
    <t>Corsair Dominator Platinum RGB DIMM Kit 32GB, DDR4-3600, CL18-22-22-42</t>
  </si>
  <si>
    <t>Corsair Dominator Platinum RGB DIMM Kit 32GB, DDR4-3600, CL18-19-19-39</t>
  </si>
  <si>
    <t>Corsair Dominator Platinum RGB DIMM Kit 32GB, DDR4-3466, CL16-18-18-36</t>
  </si>
  <si>
    <t>Corsair Dominator Platinum RGB DIMM Kit 32GB, DDR4-3200, CL16-20-20-38</t>
  </si>
  <si>
    <t>Corsair Dominator Platinum RGB DIMM Kit 32GB, DDR4-3200, CL16-18-18-36</t>
  </si>
  <si>
    <t>Corsair Dominator Platinum RGB DIMM Kit 16GB, DDR4-3600, CL18-19-19-39</t>
  </si>
  <si>
    <t>Corsair Dominator Platinum RGB DIMM Kit 16GB, DDR4-3200, CL16-20-20-38</t>
  </si>
  <si>
    <t>Corsair Dominator Platinum RGB DIMM Kit 16GB, DDR4-3200, CL16-18-18-36</t>
  </si>
  <si>
    <t>Corsair Dominator Platinum DIMM Kit 32GB, DDR4-3200, CL16-18-18-36</t>
  </si>
  <si>
    <t>A520</t>
  </si>
  <si>
    <t>A620</t>
  </si>
  <si>
    <t>B550</t>
  </si>
  <si>
    <t>B650</t>
  </si>
  <si>
    <t>B650E</t>
  </si>
  <si>
    <t>B850</t>
  </si>
  <si>
    <t>B450</t>
  </si>
  <si>
    <t>X870</t>
  </si>
  <si>
    <t>X870E</t>
  </si>
  <si>
    <t>X670E</t>
  </si>
  <si>
    <t>B840</t>
  </si>
  <si>
    <t>X670</t>
  </si>
  <si>
    <t>X570</t>
  </si>
  <si>
    <t>B660</t>
  </si>
  <si>
    <t>B760</t>
  </si>
  <si>
    <t>B860</t>
  </si>
  <si>
    <t>H670</t>
  </si>
  <si>
    <t>Z790</t>
  </si>
  <si>
    <t>Z890</t>
  </si>
  <si>
    <t>Z690</t>
  </si>
  <si>
    <t>H770</t>
  </si>
  <si>
    <t>H810</t>
  </si>
  <si>
    <t>W680</t>
  </si>
  <si>
    <t>Q670</t>
  </si>
  <si>
    <t>HPC Score</t>
  </si>
  <si>
    <t>9000</t>
  </si>
  <si>
    <t>Corsair</t>
  </si>
  <si>
    <t>G.Skill</t>
  </si>
  <si>
    <t>Kingston</t>
  </si>
  <si>
    <t>boxed</t>
  </si>
  <si>
    <t>yes</t>
  </si>
  <si>
    <t>tray</t>
  </si>
  <si>
    <t>no</t>
  </si>
  <si>
    <t>Packaging</t>
  </si>
  <si>
    <t>Cooler</t>
  </si>
  <si>
    <t>NVIDIA GeForce RTX 3050 6GB</t>
  </si>
  <si>
    <t>NVIDIA GeForce RTX 3050 8GB</t>
  </si>
  <si>
    <t>NVIDIA GeForce RTX 3060 8GB</t>
  </si>
  <si>
    <t>NVIDIA GeForce RTX 3060 12GB</t>
  </si>
  <si>
    <t>NVIDIA GeForce RTX 3060 Ti 8GB</t>
  </si>
  <si>
    <t>NVIDIA GeForce RTX 3070 8GB</t>
  </si>
  <si>
    <t>NVIDIA GeForce RTX 3070 Ti 8GB</t>
  </si>
  <si>
    <t>NVIDIA GeForce RTX 3080 10GB</t>
  </si>
  <si>
    <t>NVIDIA GeForce RTX 3080 12GB</t>
  </si>
  <si>
    <t>NVIDIA GeForce RTX 3080 Ti 12GB</t>
  </si>
  <si>
    <t>NVIDIA GeForce RTX 3090 24GB</t>
  </si>
  <si>
    <t>NVIDIA GeForce RTX 3090 Ti 24GB</t>
  </si>
  <si>
    <t>NVIDIA GeForce RTX 4060 8GB</t>
  </si>
  <si>
    <t>NVIDIA GeForce RTX 4060 Ti 8GB</t>
  </si>
  <si>
    <t>NVIDIA GeForce RTX 4060 Ti 16GB</t>
  </si>
  <si>
    <t>NVIDIA GeForce RTX 4070 12GB</t>
  </si>
  <si>
    <t>NVIDIA GeForce RTX 4070 SUPER 12GB</t>
  </si>
  <si>
    <t>NVIDIA GeForce RTX 4070 Ti 12GB</t>
  </si>
  <si>
    <t>NVIDIA GeForce RTX 4070 Ti SUPER 16GB</t>
  </si>
  <si>
    <t>NVIDIA GeForce RTX 4080 16GB</t>
  </si>
  <si>
    <t>NVIDIA GeForce RTX 4080 SUPER 16GB</t>
  </si>
  <si>
    <t>NVIDIA GeForce RTX 4090 24GB</t>
  </si>
  <si>
    <t>NVIDIA GeForce RTX 5070 Ti 16GB</t>
  </si>
  <si>
    <t>NVIDIA GeForce RTX 5080 16GB</t>
  </si>
  <si>
    <t>NVIDIA GeForce RTX 5090 32GB</t>
  </si>
  <si>
    <t>AMD Radeon RX 5500 XT 4GB</t>
  </si>
  <si>
    <t>AMD Radeon RX 5600 XT 6GB</t>
  </si>
  <si>
    <t>AMD Radeon RX 5700 8GB</t>
  </si>
  <si>
    <t>AMD Radeon RX 5700 XT 8GB</t>
  </si>
  <si>
    <t>AMD Radeon RX 6400 4GB</t>
  </si>
  <si>
    <t>AMD Radeon RX 6500 XT 4GB</t>
  </si>
  <si>
    <t>AMD Radeon RX 6600 8GB</t>
  </si>
  <si>
    <t>AMD Radeon RX 6600 XT 8GB</t>
  </si>
  <si>
    <t>AMD Radeon RX 6650 XT 8GB</t>
  </si>
  <si>
    <t>AMD Radeon RX 6700 XT 12GB</t>
  </si>
  <si>
    <t>AMD Radeon RX 6750 XT 12GB</t>
  </si>
  <si>
    <t>AMD Radeon RX 6800 16GB</t>
  </si>
  <si>
    <t>AMD Radeon RX 6800 XT 16GB</t>
  </si>
  <si>
    <t>AMD Radeon RX 6900 XT 16GB</t>
  </si>
  <si>
    <t>AMD Radeon RX 6900 X 16GB</t>
  </si>
  <si>
    <t>AMD Radeon RX 6950 XT 16GB</t>
  </si>
  <si>
    <t>AMD Radeon RX 7600 8GB</t>
  </si>
  <si>
    <t>AMD Radeon RX 7600 XT 16GB</t>
  </si>
  <si>
    <t>AMD Radeon RX 7700 XT 12GB</t>
  </si>
  <si>
    <t>AMD Radeon RX 7800 XT 16GB</t>
  </si>
  <si>
    <t>AMD Radeon RX 7900 GRE 16GB</t>
  </si>
  <si>
    <t>AMD Radeon RX 7900 XT 20GB</t>
  </si>
  <si>
    <t>AMD Radeon RX 7900 XTX 24GB</t>
  </si>
  <si>
    <t>NVIDIA</t>
  </si>
  <si>
    <t>RTX 3000</t>
  </si>
  <si>
    <t>RTX 4000</t>
  </si>
  <si>
    <t>RTX 5000</t>
  </si>
  <si>
    <t>RX 5000</t>
  </si>
  <si>
    <t>RX 6000</t>
  </si>
  <si>
    <t>RX 7000</t>
  </si>
  <si>
    <t>Model</t>
  </si>
  <si>
    <t xml:space="preserve"> 3050 6GB</t>
  </si>
  <si>
    <t xml:space="preserve"> 3050 8GB</t>
  </si>
  <si>
    <t xml:space="preserve"> 3060 8GB</t>
  </si>
  <si>
    <t xml:space="preserve"> 3060 12GB</t>
  </si>
  <si>
    <t xml:space="preserve"> 3060 Ti 8GB</t>
  </si>
  <si>
    <t xml:space="preserve"> 3070 8GB</t>
  </si>
  <si>
    <t xml:space="preserve"> 3070 Ti 8GB</t>
  </si>
  <si>
    <t xml:space="preserve"> 3080 10GB</t>
  </si>
  <si>
    <t xml:space="preserve"> 3080 12GB</t>
  </si>
  <si>
    <t xml:space="preserve"> 3080 Ti 12GB</t>
  </si>
  <si>
    <t xml:space="preserve"> 3090 24GB</t>
  </si>
  <si>
    <t xml:space="preserve"> 3090 Ti 24GB</t>
  </si>
  <si>
    <t xml:space="preserve"> 4060 8GB</t>
  </si>
  <si>
    <t xml:space="preserve"> 4060 Ti 8GB</t>
  </si>
  <si>
    <t xml:space="preserve"> 4060 Ti 16GB</t>
  </si>
  <si>
    <t xml:space="preserve"> 4070 12GB</t>
  </si>
  <si>
    <t xml:space="preserve"> 4070 SUPER 12GB</t>
  </si>
  <si>
    <t xml:space="preserve"> 4070 Ti 12GB</t>
  </si>
  <si>
    <t xml:space="preserve"> 4070 Ti SUPER 16GB</t>
  </si>
  <si>
    <t xml:space="preserve"> 4080 16GB</t>
  </si>
  <si>
    <t xml:space="preserve"> 4080 SUPER 16GB</t>
  </si>
  <si>
    <t xml:space="preserve"> 4090 24GB</t>
  </si>
  <si>
    <t xml:space="preserve"> 5070 Ti 16GB</t>
  </si>
  <si>
    <t xml:space="preserve"> 5080 16GB</t>
  </si>
  <si>
    <t xml:space="preserve"> 5090 32GB</t>
  </si>
  <si>
    <t xml:space="preserve"> 5500 XT 4GB</t>
  </si>
  <si>
    <t xml:space="preserve"> 5600 XT 6GB</t>
  </si>
  <si>
    <t xml:space="preserve"> 5700 8GB</t>
  </si>
  <si>
    <t xml:space="preserve"> 5700 XT 8GB</t>
  </si>
  <si>
    <t xml:space="preserve"> 6400 4GB</t>
  </si>
  <si>
    <t xml:space="preserve"> 6500 XT 4GB</t>
  </si>
  <si>
    <t xml:space="preserve"> 6600 8GB</t>
  </si>
  <si>
    <t xml:space="preserve"> 6600 XT 8GB</t>
  </si>
  <si>
    <t xml:space="preserve"> 6650 XT 8GB</t>
  </si>
  <si>
    <t xml:space="preserve"> 6700 XT 12GB</t>
  </si>
  <si>
    <t xml:space="preserve"> 6750 XT 12GB</t>
  </si>
  <si>
    <t xml:space="preserve"> 6800 16GB</t>
  </si>
  <si>
    <t xml:space="preserve"> 6800 XT 16GB</t>
  </si>
  <si>
    <t xml:space="preserve"> 6900 XT 16GB</t>
  </si>
  <si>
    <t xml:space="preserve"> 6900 X 16GB</t>
  </si>
  <si>
    <t xml:space="preserve"> 6950 XT 16GB</t>
  </si>
  <si>
    <t xml:space="preserve"> 7600 8GB</t>
  </si>
  <si>
    <t xml:space="preserve"> 7600 XT 16GB</t>
  </si>
  <si>
    <t xml:space="preserve"> 7700 XT 12GB</t>
  </si>
  <si>
    <t xml:space="preserve"> 7800 XT 16GB</t>
  </si>
  <si>
    <t xml:space="preserve"> 7900 GRE 16GB</t>
  </si>
  <si>
    <t xml:space="preserve"> 7900 XT 20GB</t>
  </si>
  <si>
    <t xml:space="preserve"> 7900 XTX 24GB</t>
  </si>
  <si>
    <t xml:space="preserve"> DDR4-2133 4/1</t>
  </si>
  <si>
    <t xml:space="preserve"> DDR4-2133 4/2</t>
  </si>
  <si>
    <t xml:space="preserve"> DDR4-2133 8/1</t>
  </si>
  <si>
    <t xml:space="preserve"> DDR4-2133 8/2</t>
  </si>
  <si>
    <t xml:space="preserve"> DDR4-2133 16/1</t>
  </si>
  <si>
    <t xml:space="preserve"> DDR4-2133 16/2</t>
  </si>
  <si>
    <t xml:space="preserve"> DDR4-2400 4/1</t>
  </si>
  <si>
    <t xml:space="preserve"> DDR4-2400 4/2</t>
  </si>
  <si>
    <t xml:space="preserve"> DDR4-2400 8/1</t>
  </si>
  <si>
    <t xml:space="preserve"> DDR4-2400 8/2</t>
  </si>
  <si>
    <t xml:space="preserve"> DDR4-2400 8/4</t>
  </si>
  <si>
    <t xml:space="preserve"> DDR4-2400 16/1</t>
  </si>
  <si>
    <t xml:space="preserve"> DDR4-2400 16/2</t>
  </si>
  <si>
    <t xml:space="preserve"> DDR4-2400 16/4</t>
  </si>
  <si>
    <t xml:space="preserve"> DDR4-2400 32/2</t>
  </si>
  <si>
    <t xml:space="preserve"> DDR4-2666 4/1</t>
  </si>
  <si>
    <t xml:space="preserve"> DDR4-2666 4/2</t>
  </si>
  <si>
    <t xml:space="preserve"> DDR4-2666 8/1</t>
  </si>
  <si>
    <t xml:space="preserve"> DDR4-2666 8/2</t>
  </si>
  <si>
    <t xml:space="preserve"> DDR4-2666 8/4</t>
  </si>
  <si>
    <t xml:space="preserve"> DDR4-2666 16/1</t>
  </si>
  <si>
    <t xml:space="preserve"> DDR4-2666 16/2</t>
  </si>
  <si>
    <t xml:space="preserve"> DDR4-2666 16/4</t>
  </si>
  <si>
    <t xml:space="preserve"> DDR4-2666 32/1</t>
  </si>
  <si>
    <t xml:space="preserve"> DDR4-2666 32/2</t>
  </si>
  <si>
    <t xml:space="preserve"> DDR4-2666 32/4</t>
  </si>
  <si>
    <t xml:space="preserve"> DDR4-2800 8/1</t>
  </si>
  <si>
    <t xml:space="preserve"> DDR4-2933 8/2</t>
  </si>
  <si>
    <t xml:space="preserve"> DDR4-2933 16/2</t>
  </si>
  <si>
    <t xml:space="preserve"> DDR4-3000 4/2</t>
  </si>
  <si>
    <t xml:space="preserve"> DDR4-3000 8/1</t>
  </si>
  <si>
    <t xml:space="preserve"> DDR4-3000 8/2</t>
  </si>
  <si>
    <t xml:space="preserve"> DDR4-3000 8/4</t>
  </si>
  <si>
    <t xml:space="preserve"> DDR4-3000 16/1</t>
  </si>
  <si>
    <t xml:space="preserve"> DDR4-3000 16/2</t>
  </si>
  <si>
    <t xml:space="preserve"> DDR4-3000 16/4</t>
  </si>
  <si>
    <t xml:space="preserve"> DDR4-3000 32/1</t>
  </si>
  <si>
    <t xml:space="preserve"> DDR4-3000 32/2</t>
  </si>
  <si>
    <t xml:space="preserve"> DDR4-3000 32/4</t>
  </si>
  <si>
    <t xml:space="preserve"> DDR4-3200 4/1</t>
  </si>
  <si>
    <t xml:space="preserve"> DDR4-3200 4/2</t>
  </si>
  <si>
    <t xml:space="preserve"> DDR4-3200 4/4</t>
  </si>
  <si>
    <t xml:space="preserve"> DDR4-3200 8/1</t>
  </si>
  <si>
    <t xml:space="preserve"> DDR4-3200 8/2</t>
  </si>
  <si>
    <t xml:space="preserve"> DDR4-3200 8/4</t>
  </si>
  <si>
    <t xml:space="preserve"> DDR4-3200 16/1</t>
  </si>
  <si>
    <t xml:space="preserve"> DDR4-3200 16/2</t>
  </si>
  <si>
    <t xml:space="preserve"> DDR4-3200 16/4</t>
  </si>
  <si>
    <t xml:space="preserve"> DDR4-3200 32/1</t>
  </si>
  <si>
    <t xml:space="preserve"> DDR4-3200 32/2</t>
  </si>
  <si>
    <t xml:space="preserve"> DDR4-3200 32/4</t>
  </si>
  <si>
    <t xml:space="preserve"> DDR4-3466 16/2</t>
  </si>
  <si>
    <t xml:space="preserve"> DDR4-3600 8/1</t>
  </si>
  <si>
    <t xml:space="preserve"> DDR4-3600 8/2</t>
  </si>
  <si>
    <t xml:space="preserve"> DDR4-3600 8/4</t>
  </si>
  <si>
    <t xml:space="preserve"> DDR4-3600 16/1</t>
  </si>
  <si>
    <t xml:space="preserve"> DDR4-3600 16/2</t>
  </si>
  <si>
    <t xml:space="preserve"> DDR4-3600 16/4</t>
  </si>
  <si>
    <t xml:space="preserve"> DDR4-3600 32/1</t>
  </si>
  <si>
    <t xml:space="preserve"> DDR4-3600 32/2</t>
  </si>
  <si>
    <t xml:space="preserve"> DDR4-3600 32/4</t>
  </si>
  <si>
    <t xml:space="preserve"> DDR4-3733 8/1</t>
  </si>
  <si>
    <t xml:space="preserve"> DDR4-3733 16/1</t>
  </si>
  <si>
    <t xml:space="preserve"> DDR4-4000 8/1</t>
  </si>
  <si>
    <t xml:space="preserve"> DDR4-4000 8/2</t>
  </si>
  <si>
    <t xml:space="preserve"> DDR4-4000 8/4</t>
  </si>
  <si>
    <t xml:space="preserve"> DDR4-4000 16/1</t>
  </si>
  <si>
    <t xml:space="preserve"> DDR4-4000 16/2</t>
  </si>
  <si>
    <t xml:space="preserve"> DDR4-4000 16/4</t>
  </si>
  <si>
    <t xml:space="preserve"> DDR4-4000 32/2</t>
  </si>
  <si>
    <t xml:space="preserve"> DDR4-4000 32/4</t>
  </si>
  <si>
    <t xml:space="preserve"> DDR4-4133 8/4</t>
  </si>
  <si>
    <t xml:space="preserve"> DDR4-4266 8/2</t>
  </si>
  <si>
    <t xml:space="preserve"> DDR4-4266 8/4</t>
  </si>
  <si>
    <t xml:space="preserve"> DDR4-4266 16/2</t>
  </si>
  <si>
    <t xml:space="preserve"> DDR4-4266 32/2</t>
  </si>
  <si>
    <t xml:space="preserve"> DDR4-4400 16/2</t>
  </si>
  <si>
    <t xml:space="preserve"> DDR4-4400 32/2</t>
  </si>
  <si>
    <t xml:space="preserve"> DDR4-4600 8/2</t>
  </si>
  <si>
    <t xml:space="preserve"> DDR4-4600 16/2</t>
  </si>
  <si>
    <t xml:space="preserve"> DDR4-4800 8/2</t>
  </si>
  <si>
    <t xml:space="preserve"> DDR4-5000 8/2</t>
  </si>
  <si>
    <t xml:space="preserve"> DDR4-5333 8/2</t>
  </si>
  <si>
    <t xml:space="preserve"> DDR5-4800 8/1</t>
  </si>
  <si>
    <t xml:space="preserve"> DDR5-4800 32/1</t>
  </si>
  <si>
    <t xml:space="preserve"> DDR5-4800 32/2</t>
  </si>
  <si>
    <t xml:space="preserve"> DDR5-4800 64/2</t>
  </si>
  <si>
    <t xml:space="preserve"> DDR5-5200 8/1</t>
  </si>
  <si>
    <t xml:space="preserve"> DDR5-5200 16/1</t>
  </si>
  <si>
    <t xml:space="preserve"> DDR5-5200 16/2</t>
  </si>
  <si>
    <t xml:space="preserve"> DDR5-5200 32/1</t>
  </si>
  <si>
    <t xml:space="preserve"> DDR5-5200 32/2</t>
  </si>
  <si>
    <t xml:space="preserve"> DDR5-5200 48/2</t>
  </si>
  <si>
    <t xml:space="preserve"> DDR5-5200 64/2</t>
  </si>
  <si>
    <t xml:space="preserve"> DDR5-5200 64/4</t>
  </si>
  <si>
    <t xml:space="preserve"> DDR5-5200 96/2</t>
  </si>
  <si>
    <t xml:space="preserve"> DDR5-5200 128/4</t>
  </si>
  <si>
    <t xml:space="preserve"> DDR5-5200 192/4</t>
  </si>
  <si>
    <t xml:space="preserve"> DDR5-5600 8/1</t>
  </si>
  <si>
    <t xml:space="preserve"> DDR5-5600 16/1</t>
  </si>
  <si>
    <t xml:space="preserve"> DDR5-5600 16/2</t>
  </si>
  <si>
    <t xml:space="preserve"> DDR5-5600 32/1</t>
  </si>
  <si>
    <t xml:space="preserve"> DDR5-5600 32/2</t>
  </si>
  <si>
    <t xml:space="preserve"> DDR5-5600 48/2</t>
  </si>
  <si>
    <t xml:space="preserve"> DDR5-5600 64/2</t>
  </si>
  <si>
    <t xml:space="preserve"> DDR5-5600 64/4</t>
  </si>
  <si>
    <t xml:space="preserve"> DDR5-5600 96/2</t>
  </si>
  <si>
    <t xml:space="preserve"> DDR5-5600 96/4</t>
  </si>
  <si>
    <t xml:space="preserve"> DDR5-5600 128/4</t>
  </si>
  <si>
    <t xml:space="preserve"> DDR5-6000 8/1</t>
  </si>
  <si>
    <t xml:space="preserve"> DDR5-6000 16/1</t>
  </si>
  <si>
    <t xml:space="preserve"> DDR5-6000 16/2</t>
  </si>
  <si>
    <t xml:space="preserve"> DDR5-6000 32/1</t>
  </si>
  <si>
    <t xml:space="preserve"> DDR5-6000 32/2</t>
  </si>
  <si>
    <t xml:space="preserve"> DDR5-6000 48/1</t>
  </si>
  <si>
    <t xml:space="preserve"> DDR5-6000 48/2</t>
  </si>
  <si>
    <t xml:space="preserve"> DDR5-6000 64/2</t>
  </si>
  <si>
    <t xml:space="preserve"> DDR5-6000 64/4</t>
  </si>
  <si>
    <t xml:space="preserve"> DDR5-6000 96/2</t>
  </si>
  <si>
    <t xml:space="preserve"> DDR5-6000 96/4</t>
  </si>
  <si>
    <t xml:space="preserve"> DDR5-6200 32/2</t>
  </si>
  <si>
    <t xml:space="preserve"> DDR5-6200 64/2</t>
  </si>
  <si>
    <t xml:space="preserve"> DDR5-6200 64/4</t>
  </si>
  <si>
    <t xml:space="preserve"> DDR5-6400 16/1</t>
  </si>
  <si>
    <t xml:space="preserve"> DDR5-6400 24/1</t>
  </si>
  <si>
    <t xml:space="preserve"> DDR5-6400 32/1</t>
  </si>
  <si>
    <t xml:space="preserve"> DDR5-6400 32/2</t>
  </si>
  <si>
    <t xml:space="preserve"> DDR5-6400 48/1</t>
  </si>
  <si>
    <t xml:space="preserve"> DDR5-6400 48/2</t>
  </si>
  <si>
    <t xml:space="preserve"> DDR5-6400 64/2</t>
  </si>
  <si>
    <t xml:space="preserve"> DDR5-6400 64/4</t>
  </si>
  <si>
    <t xml:space="preserve"> DDR5-6400 96/2</t>
  </si>
  <si>
    <t xml:space="preserve"> DDR5-6400 96/4</t>
  </si>
  <si>
    <t xml:space="preserve"> DDR5-6600 32/2</t>
  </si>
  <si>
    <t xml:space="preserve"> DDR5-6600 64/2</t>
  </si>
  <si>
    <t xml:space="preserve"> DDR5-6600 64/4</t>
  </si>
  <si>
    <t xml:space="preserve"> DDR5-6600 96/2</t>
  </si>
  <si>
    <t xml:space="preserve"> DDR5-6800 16/1</t>
  </si>
  <si>
    <t xml:space="preserve"> DDR5-6800 32/2</t>
  </si>
  <si>
    <t xml:space="preserve"> DDR5-6800 48/2</t>
  </si>
  <si>
    <t xml:space="preserve"> DDR5-6800 64/2</t>
  </si>
  <si>
    <t xml:space="preserve"> DDR5-6800 96/2</t>
  </si>
  <si>
    <t xml:space="preserve"> DDR5-7000 32/2</t>
  </si>
  <si>
    <t xml:space="preserve"> DDR5-7000 48/2</t>
  </si>
  <si>
    <t xml:space="preserve"> DDR5-7000 96/2</t>
  </si>
  <si>
    <t xml:space="preserve"> DDR5-7200 16/1</t>
  </si>
  <si>
    <t xml:space="preserve"> DDR5-7200 24/1</t>
  </si>
  <si>
    <t xml:space="preserve"> DDR5-7200 32/2</t>
  </si>
  <si>
    <t xml:space="preserve"> DDR5-7200 48/2</t>
  </si>
  <si>
    <t xml:space="preserve"> DDR5-7200 96/2</t>
  </si>
  <si>
    <t xml:space="preserve"> DDR5-7600 16/1</t>
  </si>
  <si>
    <t xml:space="preserve"> DDR5-7600 32/2</t>
  </si>
  <si>
    <t xml:space="preserve"> DDR5-7600 48/2</t>
  </si>
  <si>
    <t xml:space="preserve"> DDR5-7800 32/2</t>
  </si>
  <si>
    <t xml:space="preserve"> DDR5-8000 16/1</t>
  </si>
  <si>
    <t xml:space="preserve"> DDR5-8000 32/2</t>
  </si>
  <si>
    <t xml:space="preserve"> DDR5-8000 48/2</t>
  </si>
  <si>
    <t xml:space="preserve"> DDR5-8200 48/2</t>
  </si>
  <si>
    <t xml:space="preserve"> DDR5-8400 24/1</t>
  </si>
  <si>
    <t xml:space="preserve"> DDR5-8400 48/2</t>
  </si>
  <si>
    <t xml:space="preserve"> DDR5-8800 48/2</t>
  </si>
  <si>
    <t xml:space="preserve"> DDR4-3200 16/8/8</t>
  </si>
  <si>
    <t xml:space="preserve"> DDR4-3200 32/8/8</t>
  </si>
  <si>
    <t xml:space="preserve"> DDR4-3600 16/8/8</t>
  </si>
  <si>
    <t xml:space="preserve"> DDR4-3600 32/8/8</t>
  </si>
  <si>
    <t>12000</t>
  </si>
  <si>
    <t>13000</t>
  </si>
  <si>
    <t>14000</t>
  </si>
  <si>
    <t>AMD Ryzen 3 5000</t>
  </si>
  <si>
    <t>AMD Ryzen 5 5000</t>
  </si>
  <si>
    <t>AMD Ryzen 7 5000</t>
  </si>
  <si>
    <t>AMD Ryzen 9 5000</t>
  </si>
  <si>
    <t>AMD Ryzen 5 7000</t>
  </si>
  <si>
    <t>AMD Ryzen 7 7000</t>
  </si>
  <si>
    <t>AMD Ryzen 9 7000</t>
  </si>
  <si>
    <t>AMD Ryzen 5 9000</t>
  </si>
  <si>
    <t>AMD Ryzen 7 9000</t>
  </si>
  <si>
    <t>AMD Ryzen 9 9000</t>
  </si>
  <si>
    <t>Intel Core Ultra 5 200</t>
  </si>
  <si>
    <t>Intel Core Ultra 7 200</t>
  </si>
  <si>
    <t>Intel Core Ultra 9 200</t>
  </si>
  <si>
    <t>Intel Core i3 12000</t>
  </si>
  <si>
    <t>Intel Core i5 12000</t>
  </si>
  <si>
    <t>Intel Core i7 12000</t>
  </si>
  <si>
    <t>Intel Core i9 12000</t>
  </si>
  <si>
    <t>Intel Core i3 13000</t>
  </si>
  <si>
    <t>Intel Core i5 13000</t>
  </si>
  <si>
    <t>Intel Core i7 13000</t>
  </si>
  <si>
    <t>Intel Core i9 13000</t>
  </si>
  <si>
    <t>Intel Core i3 14000</t>
  </si>
  <si>
    <t>Intel Core i5 14000</t>
  </si>
  <si>
    <t>Intel Core i7 14000</t>
  </si>
  <si>
    <t>Intel Core i9 14000</t>
  </si>
  <si>
    <t>AMD A520</t>
  </si>
  <si>
    <t>AMD A620</t>
  </si>
  <si>
    <t>AMD X570</t>
  </si>
  <si>
    <t>AMD X670</t>
  </si>
  <si>
    <t>AMD X670E</t>
  </si>
  <si>
    <t>AMD X870</t>
  </si>
  <si>
    <t>AMD X870E</t>
  </si>
  <si>
    <t>AMD B450</t>
  </si>
  <si>
    <t>AMD B550</t>
  </si>
  <si>
    <t>AMD B650</t>
  </si>
  <si>
    <t>AMD B650E</t>
  </si>
  <si>
    <t>Intel H670</t>
  </si>
  <si>
    <t>Intel H770</t>
  </si>
  <si>
    <t>Intel H810</t>
  </si>
  <si>
    <t>Intel Q670</t>
  </si>
  <si>
    <t>Intel W680</t>
  </si>
  <si>
    <t>Intel Z690</t>
  </si>
  <si>
    <t>Intel Z790</t>
  </si>
  <si>
    <t>Intel Z890</t>
  </si>
  <si>
    <t>Intel B660</t>
  </si>
  <si>
    <t>Intel B760</t>
  </si>
  <si>
    <t>Intel B840</t>
  </si>
  <si>
    <t>Intel B850</t>
  </si>
  <si>
    <t>Intel B860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</si>
</sst>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8">
    <xf numFmtId="0" fontId="0" fillId="0" borderId="0" xfId="0"/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/>
    <xf numFmtId="0" fontId="0" fillId="0" borderId="2" xfId="0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3" xfId="0" applyBorder="1"/>
    <xf numFmtId="49" fontId="0" fillId="0" borderId="2" xfId="0" applyNumberFormat="1" applyBorder="1"/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/>
    </xf>
    <xf numFmtId="49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/>
    </xf>
    <xf numFmtId="164" fontId="0" fillId="0" borderId="1" xfId="0" applyNumberFormat="1" applyBorder="1" applyAlignment="1">
      <alignment horizontal="center" vertical="center"/>
    </xf>
    <xf numFmtId="1" fontId="0" fillId="0" borderId="0" xfId="0" applyNumberFormat="1"/>
    <xf numFmtId="1" fontId="0" fillId="0" borderId="1" xfId="0" applyNumberFormat="1" applyBorder="1"/>
    <xf numFmtId="2" fontId="1" fillId="0" borderId="4" xfId="0" applyNumberFormat="1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2" fontId="1" fillId="0" borderId="7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  <xf numFmtId="2" fontId="0" fillId="0" borderId="2" xfId="0" applyNumberFormat="1" applyBorder="1"/>
    <xf numFmtId="2" fontId="0" fillId="0" borderId="1" xfId="0" applyNumberFormat="1" applyBorder="1"/>
    <xf numFmtId="2" fontId="0" fillId="0" borderId="0" xfId="0" applyNumberFormat="1"/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/>
    <xf numFmtId="2" fontId="1" fillId="0" borderId="6" xfId="0" applyNumberFormat="1" applyFont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2" fontId="0" fillId="0" borderId="2" xfId="0" applyNumberFormat="1" applyBorder="1" applyAlignment="1">
      <alignment horizontal="left"/>
    </xf>
    <xf numFmtId="2" fontId="0" fillId="0" borderId="0" xfId="0" applyNumberFormat="1" applyAlignment="1">
      <alignment horizontal="left"/>
    </xf>
    <xf numFmtId="2" fontId="0" fillId="0" borderId="1" xfId="0" applyNumberFormat="1" applyBorder="1" applyAlignment="1">
      <alignment horizontal="left"/>
    </xf>
    <xf numFmtId="165" fontId="2" fillId="0" borderId="11" xfId="0" applyNumberFormat="1" applyFont="1" applyBorder="1" applyAlignment="1">
      <alignment horizontal="center" vertical="center"/>
    </xf>
    <xf numFmtId="3" fontId="2" fillId="0" borderId="1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left"/>
    </xf>
    <xf numFmtId="0" fontId="1" fillId="0" borderId="0" xfId="0" applyFont="1" applyAlignment="1">
      <alignment horizontal="center" vertical="center" wrapText="1"/>
    </xf>
    <xf numFmtId="4" fontId="2" fillId="0" borderId="12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/>
    </xf>
    <xf numFmtId="0" fontId="0" fillId="0" borderId="7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4" fontId="3" fillId="0" borderId="0" xfId="0" applyNumberFormat="1" applyFont="1" applyAlignment="1">
      <alignment horizontal="center"/>
    </xf>
    <xf numFmtId="2" fontId="0" fillId="0" borderId="3" xfId="0" applyNumberFormat="1" applyBorder="1" applyAlignment="1">
      <alignment horizontal="center" vertical="center"/>
    </xf>
    <xf numFmtId="49" fontId="0" fillId="0" borderId="0" xfId="0" applyNumberFormat="1"/>
    <xf numFmtId="49" fontId="5" fillId="0" borderId="0" xfId="1" applyNumberFormat="1"/>
    <xf numFmtId="1" fontId="0" fillId="0" borderId="1" xfId="0" applyNumberFormat="1" applyBorder="1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" fontId="3" fillId="0" borderId="2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2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2" borderId="2" xfId="0" applyFill="1" applyBorder="1"/>
    <xf numFmtId="0" fontId="0" fillId="2" borderId="0" xfId="0" applyFill="1"/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0" fontId="0" fillId="0" borderId="5" xfId="0" applyBorder="1"/>
    <xf numFmtId="2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49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geizhals.eu/corsair-vengeance-rgb-pro-schwarz-dimm-16gb-cmw16gx4m1z3600c18-a2364732.html?hloc=at&amp;hloc=de&amp;hloc=eu&amp;hloc=pl&amp;hloc=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42320-354F-49DB-B7C6-A6BCFF6F8E50}">
  <dimension ref="A1:AH616"/>
  <sheetViews>
    <sheetView zoomScale="70" zoomScaleNormal="70" workbookViewId="0">
      <pane xSplit="1" topLeftCell="B1" activePane="topRight" state="frozen"/>
      <selection activeCell="A555" sqref="A555"/>
      <selection pane="topRight" activeCell="J19" sqref="J19"/>
    </sheetView>
  </sheetViews>
  <sheetFormatPr defaultRowHeight="15.75" x14ac:dyDescent="0.25"/>
  <cols>
    <col min="1" max="1" width="35.625" style="82" customWidth="1"/>
    <col min="2" max="2" width="18.75" style="77" customWidth="1"/>
    <col min="3" max="3" width="15.625" style="66" customWidth="1"/>
    <col min="4" max="4" width="20.125" style="4" customWidth="1"/>
    <col min="5" max="5" width="16.75" style="4" customWidth="1"/>
    <col min="6" max="6" width="16.75" style="14" customWidth="1"/>
    <col min="7" max="7" width="12" style="9" customWidth="1"/>
    <col min="8" max="10" width="15.75" style="1" customWidth="1"/>
    <col min="11" max="11" width="22.125" style="3" customWidth="1"/>
    <col min="12" max="12" width="18.25" style="24" customWidth="1"/>
    <col min="13" max="13" width="18.25" style="46" customWidth="1"/>
    <col min="14" max="14" width="18.25" style="48" customWidth="1"/>
    <col min="15" max="15" width="18.25" style="23" customWidth="1"/>
    <col min="16" max="16" width="16.5" style="11" customWidth="1"/>
    <col min="17" max="17" width="13.625" style="3" customWidth="1"/>
    <col min="18" max="18" width="16.5" style="3" customWidth="1"/>
    <col min="19" max="19" width="16.5" style="22" customWidth="1"/>
    <col min="20" max="20" width="15.875" style="9" customWidth="1"/>
    <col min="21" max="21" width="28.625" style="5" customWidth="1"/>
    <col min="22" max="22" width="15.625" style="6" customWidth="1"/>
    <col min="23" max="23" width="17.75" customWidth="1"/>
    <col min="24" max="24" width="16.375" style="7" customWidth="1"/>
    <col min="25" max="25" width="14" style="9" customWidth="1"/>
    <col min="26" max="26" width="12.625" style="3" customWidth="1"/>
    <col min="27" max="27" width="14" style="78" customWidth="1"/>
    <col min="28" max="28" width="17" style="58" customWidth="1"/>
    <col min="29" max="29" width="14.375" style="46" customWidth="1"/>
    <col min="30" max="31" width="14.375" style="48" customWidth="1"/>
    <col min="32" max="32" width="14.375" style="47" customWidth="1"/>
    <col min="33" max="33" width="14.375" style="50" customWidth="1"/>
    <col min="34" max="34" width="9" style="6"/>
  </cols>
  <sheetData>
    <row r="1" spans="1:34" s="28" customFormat="1" ht="49.5" customHeight="1" x14ac:dyDescent="0.25">
      <c r="A1" s="26" t="s">
        <v>6972</v>
      </c>
      <c r="B1" s="27"/>
      <c r="F1" s="29"/>
      <c r="G1" s="32" t="s">
        <v>2286</v>
      </c>
      <c r="H1" s="28" t="s">
        <v>2272</v>
      </c>
      <c r="I1" s="28" t="s">
        <v>2273</v>
      </c>
      <c r="J1" s="28" t="s">
        <v>2274</v>
      </c>
      <c r="K1" s="30" t="s">
        <v>4</v>
      </c>
      <c r="L1" s="26" t="s">
        <v>5</v>
      </c>
      <c r="M1" s="60" t="s">
        <v>6973</v>
      </c>
      <c r="N1" s="56" t="s">
        <v>6974</v>
      </c>
      <c r="O1" s="57" t="s">
        <v>6975</v>
      </c>
      <c r="P1" s="32"/>
      <c r="Q1" s="30" t="s">
        <v>2280</v>
      </c>
      <c r="R1" s="28" t="s">
        <v>2278</v>
      </c>
      <c r="S1" s="29" t="s">
        <v>2279</v>
      </c>
      <c r="T1" s="27" t="s">
        <v>6</v>
      </c>
      <c r="U1" s="26"/>
      <c r="V1" s="27"/>
      <c r="W1" s="30"/>
      <c r="X1" s="26"/>
      <c r="Y1" s="27"/>
      <c r="Z1" s="43"/>
      <c r="AA1" s="30"/>
      <c r="AB1" s="26"/>
      <c r="AC1" s="87" t="s">
        <v>6967</v>
      </c>
      <c r="AD1" s="88"/>
      <c r="AE1" s="88"/>
      <c r="AF1" s="89"/>
      <c r="AG1" s="33"/>
      <c r="AH1" s="32"/>
    </row>
    <row r="2" spans="1:34" s="48" customFormat="1" ht="21" customHeight="1" x14ac:dyDescent="0.25">
      <c r="A2" s="8" t="s">
        <v>6964</v>
      </c>
      <c r="B2" s="53"/>
      <c r="D2" s="1"/>
      <c r="E2" s="1"/>
      <c r="F2" s="10"/>
      <c r="G2" s="49"/>
      <c r="H2" s="1">
        <v>0</v>
      </c>
      <c r="I2" s="1">
        <v>0.05</v>
      </c>
      <c r="J2" s="1">
        <v>0</v>
      </c>
      <c r="K2" s="1">
        <v>0.15</v>
      </c>
      <c r="L2" s="10">
        <v>0.25</v>
      </c>
      <c r="M2" s="49">
        <v>0.1</v>
      </c>
      <c r="N2" s="1">
        <v>0.1</v>
      </c>
      <c r="O2" s="1">
        <v>0.1</v>
      </c>
      <c r="P2" s="49"/>
      <c r="Q2" s="1">
        <v>0.1</v>
      </c>
      <c r="R2" s="1">
        <v>0.1</v>
      </c>
      <c r="S2" s="10">
        <v>0.1</v>
      </c>
      <c r="T2" s="49">
        <v>0.05</v>
      </c>
      <c r="U2" s="47"/>
      <c r="V2" s="46"/>
      <c r="X2" s="47"/>
      <c r="Y2" s="49"/>
      <c r="Z2" s="1"/>
      <c r="AA2" s="54"/>
      <c r="AB2" s="55"/>
      <c r="AC2" s="51" t="s">
        <v>6964</v>
      </c>
      <c r="AD2" s="25" t="s">
        <v>6965</v>
      </c>
      <c r="AE2" s="25" t="s">
        <v>6969</v>
      </c>
      <c r="AF2" s="52" t="s">
        <v>6966</v>
      </c>
      <c r="AG2" s="50"/>
      <c r="AH2" s="46"/>
    </row>
    <row r="3" spans="1:34" s="48" customFormat="1" ht="21" customHeight="1" x14ac:dyDescent="0.25">
      <c r="A3" s="8" t="s">
        <v>6965</v>
      </c>
      <c r="B3" s="53"/>
      <c r="D3" s="1"/>
      <c r="E3" s="1"/>
      <c r="F3" s="10"/>
      <c r="G3" s="49"/>
      <c r="H3" s="1">
        <v>0.3</v>
      </c>
      <c r="I3" s="1">
        <v>0.2</v>
      </c>
      <c r="J3" s="1">
        <v>0.05</v>
      </c>
      <c r="K3" s="1">
        <v>0.05</v>
      </c>
      <c r="L3" s="10">
        <v>4.9999999999999933E-2</v>
      </c>
      <c r="M3" s="49">
        <v>0</v>
      </c>
      <c r="N3" s="1">
        <v>0</v>
      </c>
      <c r="O3" s="1">
        <v>0</v>
      </c>
      <c r="P3" s="49"/>
      <c r="Q3" s="1">
        <v>0.2</v>
      </c>
      <c r="R3" s="1">
        <v>0.1</v>
      </c>
      <c r="S3" s="10">
        <v>0.05</v>
      </c>
      <c r="T3" s="49">
        <v>0.05</v>
      </c>
      <c r="U3" s="47"/>
      <c r="V3" s="46"/>
      <c r="X3" s="47"/>
      <c r="Y3" s="49"/>
      <c r="Z3" s="1"/>
      <c r="AA3" s="54"/>
      <c r="AB3" s="55"/>
      <c r="AC3" s="37">
        <v>3</v>
      </c>
      <c r="AD3" s="38">
        <v>10</v>
      </c>
      <c r="AE3" s="38">
        <v>2</v>
      </c>
      <c r="AF3" s="41">
        <v>3</v>
      </c>
      <c r="AG3" s="50"/>
      <c r="AH3" s="46"/>
    </row>
    <row r="4" spans="1:34" s="48" customFormat="1" ht="21" customHeight="1" x14ac:dyDescent="0.25">
      <c r="A4" s="8" t="s">
        <v>6969</v>
      </c>
      <c r="B4" s="53"/>
      <c r="D4" s="1"/>
      <c r="E4" s="1"/>
      <c r="F4" s="10"/>
      <c r="G4" s="49"/>
      <c r="H4" s="1">
        <v>0</v>
      </c>
      <c r="I4" s="1">
        <v>0.15</v>
      </c>
      <c r="J4" s="1">
        <v>0.35</v>
      </c>
      <c r="K4" s="1">
        <v>0.05</v>
      </c>
      <c r="L4" s="10">
        <v>0</v>
      </c>
      <c r="M4" s="49">
        <v>0</v>
      </c>
      <c r="N4" s="1">
        <v>0</v>
      </c>
      <c r="O4" s="1">
        <v>0</v>
      </c>
      <c r="P4" s="49"/>
      <c r="Q4" s="1">
        <v>0.15</v>
      </c>
      <c r="R4" s="1">
        <v>0.15</v>
      </c>
      <c r="S4" s="10">
        <v>0.1</v>
      </c>
      <c r="T4" s="49">
        <v>0</v>
      </c>
      <c r="U4" s="47"/>
      <c r="V4" s="46"/>
      <c r="X4" s="47"/>
      <c r="Y4" s="49"/>
      <c r="Z4" s="1"/>
      <c r="AA4" s="54"/>
      <c r="AB4" s="55"/>
      <c r="AC4" s="46"/>
      <c r="AF4" s="47"/>
      <c r="AG4" s="50"/>
      <c r="AH4" s="46"/>
    </row>
    <row r="5" spans="1:34" s="48" customFormat="1" ht="21" customHeight="1" x14ac:dyDescent="0.25">
      <c r="A5" s="8" t="s">
        <v>6966</v>
      </c>
      <c r="B5" s="53"/>
      <c r="D5" s="1"/>
      <c r="E5" s="1"/>
      <c r="F5" s="10"/>
      <c r="G5" s="49"/>
      <c r="H5" s="1">
        <v>0.05</v>
      </c>
      <c r="I5" s="1">
        <v>0.2</v>
      </c>
      <c r="J5" s="1">
        <v>0</v>
      </c>
      <c r="K5" s="1">
        <v>0.1</v>
      </c>
      <c r="L5" s="10">
        <v>0.1</v>
      </c>
      <c r="M5" s="49">
        <v>0.05</v>
      </c>
      <c r="N5" s="1">
        <v>0.05</v>
      </c>
      <c r="O5" s="1">
        <v>0.1</v>
      </c>
      <c r="P5" s="49"/>
      <c r="Q5" s="1">
        <v>0.1</v>
      </c>
      <c r="R5" s="1">
        <v>0.1</v>
      </c>
      <c r="S5" s="10">
        <v>0.1</v>
      </c>
      <c r="T5" s="49">
        <v>0.05</v>
      </c>
      <c r="U5" s="47"/>
      <c r="V5" s="46"/>
      <c r="X5" s="47"/>
      <c r="Y5" s="49"/>
      <c r="Z5" s="1"/>
      <c r="AA5" s="54"/>
      <c r="AB5" s="55"/>
      <c r="AC5" s="46"/>
      <c r="AF5" s="47"/>
      <c r="AG5" s="50"/>
      <c r="AH5" s="46"/>
    </row>
    <row r="6" spans="1:34" s="48" customFormat="1" ht="21" customHeight="1" x14ac:dyDescent="0.25">
      <c r="A6" s="8"/>
      <c r="B6" s="53"/>
      <c r="D6" s="1"/>
      <c r="E6" s="1"/>
      <c r="F6" s="10"/>
      <c r="G6" s="49"/>
      <c r="H6" s="1"/>
      <c r="I6" s="1"/>
      <c r="J6" s="1"/>
      <c r="K6" s="1"/>
      <c r="L6" s="10"/>
      <c r="M6" s="49"/>
      <c r="N6" s="1"/>
      <c r="O6" s="1"/>
      <c r="P6" s="49"/>
      <c r="Q6" s="1"/>
      <c r="R6" s="1"/>
      <c r="S6" s="10"/>
      <c r="T6" s="49"/>
      <c r="U6" s="47"/>
      <c r="V6" s="46"/>
      <c r="X6" s="47"/>
      <c r="Y6" s="49"/>
      <c r="Z6" s="1"/>
      <c r="AA6" s="54"/>
      <c r="AB6" s="55"/>
      <c r="AC6" s="46"/>
      <c r="AF6" s="47"/>
      <c r="AG6" s="50"/>
      <c r="AH6" s="46"/>
    </row>
    <row r="7" spans="1:34" s="48" customFormat="1" ht="21" customHeight="1" x14ac:dyDescent="0.25">
      <c r="A7" s="8" t="s">
        <v>6970</v>
      </c>
      <c r="B7" s="53"/>
      <c r="D7" s="1"/>
      <c r="E7" s="1"/>
      <c r="F7" s="10"/>
      <c r="G7" s="49"/>
      <c r="H7" s="1">
        <v>0.85</v>
      </c>
      <c r="I7" s="1">
        <v>0.9</v>
      </c>
      <c r="J7" s="1">
        <v>0.8</v>
      </c>
      <c r="K7" s="1">
        <v>0.9</v>
      </c>
      <c r="L7" s="10">
        <v>0.9</v>
      </c>
      <c r="M7" s="49">
        <v>0.85</v>
      </c>
      <c r="N7" s="1">
        <v>0.85</v>
      </c>
      <c r="O7" s="1">
        <v>0.8</v>
      </c>
      <c r="P7" s="49"/>
      <c r="Q7" s="1">
        <v>0.65</v>
      </c>
      <c r="R7" s="1">
        <v>0.75</v>
      </c>
      <c r="S7" s="10">
        <v>0.8</v>
      </c>
      <c r="T7" s="49">
        <v>-0.5</v>
      </c>
      <c r="U7" s="47"/>
      <c r="V7" s="46"/>
      <c r="X7" s="47"/>
      <c r="Y7" s="49"/>
      <c r="Z7" s="1"/>
      <c r="AA7" s="54"/>
      <c r="AB7" s="55"/>
      <c r="AC7" s="46"/>
      <c r="AF7" s="47"/>
      <c r="AG7" s="50"/>
      <c r="AH7" s="46"/>
    </row>
    <row r="8" spans="1:34" s="28" customFormat="1" ht="49.5" customHeight="1" x14ac:dyDescent="0.25">
      <c r="A8" s="26" t="s">
        <v>442</v>
      </c>
      <c r="B8" s="27" t="s">
        <v>0</v>
      </c>
      <c r="C8" s="28" t="s">
        <v>2270</v>
      </c>
      <c r="D8" s="28" t="s">
        <v>424</v>
      </c>
      <c r="E8" s="28" t="s">
        <v>426</v>
      </c>
      <c r="F8" s="29" t="s">
        <v>8860</v>
      </c>
      <c r="G8" s="32" t="s">
        <v>2286</v>
      </c>
      <c r="H8" s="28" t="s">
        <v>2272</v>
      </c>
      <c r="I8" s="28" t="s">
        <v>2273</v>
      </c>
      <c r="J8" s="28" t="s">
        <v>2274</v>
      </c>
      <c r="K8" s="30" t="s">
        <v>4</v>
      </c>
      <c r="L8" s="26" t="s">
        <v>5</v>
      </c>
      <c r="M8" s="60" t="s">
        <v>6973</v>
      </c>
      <c r="N8" s="56" t="s">
        <v>6974</v>
      </c>
      <c r="O8" s="57" t="s">
        <v>6975</v>
      </c>
      <c r="P8" s="32" t="s">
        <v>4323</v>
      </c>
      <c r="Q8" s="30" t="s">
        <v>2280</v>
      </c>
      <c r="R8" s="28" t="s">
        <v>2278</v>
      </c>
      <c r="S8" s="29" t="s">
        <v>2279</v>
      </c>
      <c r="T8" s="27" t="s">
        <v>6</v>
      </c>
      <c r="U8" s="26" t="s">
        <v>2281</v>
      </c>
      <c r="V8" s="27" t="s">
        <v>2282</v>
      </c>
      <c r="W8" s="30" t="s">
        <v>2283</v>
      </c>
      <c r="X8" s="26" t="s">
        <v>2284</v>
      </c>
      <c r="Y8" s="27" t="s">
        <v>1</v>
      </c>
      <c r="Z8" s="43" t="s">
        <v>2</v>
      </c>
      <c r="AA8" s="30" t="s">
        <v>414</v>
      </c>
      <c r="AB8" s="26" t="s">
        <v>2271</v>
      </c>
      <c r="AC8" s="32" t="s">
        <v>421</v>
      </c>
      <c r="AD8" s="28" t="s">
        <v>422</v>
      </c>
      <c r="AE8" s="28" t="s">
        <v>8794</v>
      </c>
      <c r="AF8" s="29" t="s">
        <v>423</v>
      </c>
      <c r="AG8" s="33" t="s">
        <v>440</v>
      </c>
      <c r="AH8" s="32"/>
    </row>
    <row r="9" spans="1:34" x14ac:dyDescent="0.25">
      <c r="A9" s="81" t="s">
        <v>8805</v>
      </c>
      <c r="B9" s="20"/>
      <c r="C9" s="4" t="s">
        <v>8853</v>
      </c>
      <c r="D9" s="75"/>
      <c r="E9" s="4" t="s">
        <v>8854</v>
      </c>
      <c r="F9" s="5" t="s">
        <v>8861</v>
      </c>
      <c r="G9" s="9">
        <v>1</v>
      </c>
      <c r="H9" s="1">
        <f>AVERAGEIF('GPUs Products'!F$9:F$616,GPUs!F9,'GPUs Products'!H$9:H$616)</f>
        <v>6.8599999999999994</v>
      </c>
      <c r="I9" s="1">
        <f>AVERAGEIF('GPUs Products'!F$9:F$616,GPUs!F9,'GPUs Products'!I$9:I$616)</f>
        <v>6.8599999999999994</v>
      </c>
      <c r="J9" s="1">
        <f>AVERAGEIF('GPUs Products'!F$9:F$616,GPUs!F9,'GPUs Products'!J$9:J$616)</f>
        <v>0.11000000000000004</v>
      </c>
      <c r="K9" s="3">
        <f>AVERAGEIF('GPUs Products'!F$9:F$616,GPUs!F9,'GPUs Products'!K$9:K$616)</f>
        <v>1750</v>
      </c>
      <c r="L9" s="3">
        <f>AVERAGEIF('GPUs Products'!F$9:F$616,GPUs!F9,'GPUs Products'!L$9:L$616)</f>
        <v>1750</v>
      </c>
      <c r="M9" s="49">
        <f>AVERAGEIF('GPUs Products'!F$9:F$616,GPUs!F9,'GPUs Products'!M$9:M$616)</f>
        <v>33.340000000000018</v>
      </c>
      <c r="N9" s="1">
        <f>AVERAGEIF('GPUs Products'!F$9:F$616,GPUs!F9,'GPUs Products'!N$9:N$616)</f>
        <v>75.02</v>
      </c>
      <c r="O9" s="3">
        <f>AVERAGEIF('GPUs Products'!F$9:F$616,GPUs!F9,'GPUs Products'!O$9:O$616)</f>
        <v>20</v>
      </c>
      <c r="P9" s="11" t="s">
        <v>2275</v>
      </c>
      <c r="Q9" s="3">
        <f>AVERAGEIF('GPUs Products'!F$9:F$616,GPUs!F9,'GPUs Products'!Q$9:Q$616)</f>
        <v>6</v>
      </c>
      <c r="R9" s="3">
        <f>AVERAGEIF('GPUs Products'!F$9:F$616,GPUs!F9,'GPUs Products'!R$9:R$616)</f>
        <v>96</v>
      </c>
      <c r="S9" s="22">
        <f>AVERAGEIF('GPUs Products'!F$9:F$616,GPUs!F9,'GPUs Products'!S$9:S$616)</f>
        <v>14</v>
      </c>
      <c r="T9" s="9">
        <f>AVERAGEIF('GPUs Products'!F$9:F$616,GPUs!F9,'GPUs Products'!T$9:T$616)</f>
        <v>70</v>
      </c>
      <c r="U9" s="14" t="s">
        <v>635</v>
      </c>
      <c r="V9" s="12">
        <v>4</v>
      </c>
      <c r="W9" s="75">
        <v>16</v>
      </c>
      <c r="X9" s="76">
        <v>8</v>
      </c>
      <c r="Y9" s="9">
        <f>AVERAGEIF('GPUs Products'!F$9:F$616,GPUs!F9,'GPUs Products'!Y$9:Y$616)</f>
        <v>203.80333333333334</v>
      </c>
      <c r="Z9" s="3">
        <f>AVERAGEIF('GPUs Products'!F$9:F$616,GPUs!F9,'GPUs Products'!Y$9:Y$616)</f>
        <v>203.80333333333334</v>
      </c>
      <c r="AA9" s="17"/>
      <c r="AB9" s="18"/>
      <c r="AC9" s="46">
        <v>1</v>
      </c>
      <c r="AD9" s="48">
        <v>1</v>
      </c>
      <c r="AE9" s="48">
        <v>1</v>
      </c>
      <c r="AF9" s="47">
        <v>1</v>
      </c>
      <c r="AG9" s="50" cm="1">
        <f t="array" ref="AG9">SUMPRODUCT(AC9:AF9 * AC$3:AF$3) / SUM(AC$3:AF$3)</f>
        <v>1</v>
      </c>
    </row>
    <row r="10" spans="1:34" x14ac:dyDescent="0.25">
      <c r="A10" s="81" t="s">
        <v>8806</v>
      </c>
      <c r="B10" s="20"/>
      <c r="C10" s="4" t="s">
        <v>8853</v>
      </c>
      <c r="E10" s="4" t="s">
        <v>8854</v>
      </c>
      <c r="F10" s="5" t="s">
        <v>8862</v>
      </c>
      <c r="G10" s="9">
        <v>1</v>
      </c>
      <c r="H10" s="1">
        <f>AVERAGEIF('GPUs Products'!F$9:F$616,GPUs!F10,'GPUs Products'!H$9:H$616)</f>
        <v>9.2251724137931017</v>
      </c>
      <c r="I10" s="1">
        <f>AVERAGEIF('GPUs Products'!F$9:F$616,GPUs!F10,'GPUs Products'!I$9:I$616)</f>
        <v>9.2251724137931017</v>
      </c>
      <c r="J10" s="1">
        <f>AVERAGEIF('GPUs Products'!F$9:F$616,GPUs!F10,'GPUs Products'!J$9:J$616)</f>
        <v>0.14241379310344834</v>
      </c>
      <c r="K10" s="3">
        <f>AVERAGEIF('GPUs Products'!F$9:F$616,GPUs!F10,'GPUs Products'!K$9:K$616)</f>
        <v>1750</v>
      </c>
      <c r="L10" s="3">
        <f>AVERAGEIF('GPUs Products'!F$9:F$616,GPUs!F10,'GPUs Products'!L$9:L$616)</f>
        <v>1801.6206896551723</v>
      </c>
      <c r="M10" s="49">
        <f>AVERAGEIF('GPUs Products'!F$9:F$616,GPUs!F10,'GPUs Products'!M$9:M$616)</f>
        <v>49.460000000000022</v>
      </c>
      <c r="N10" s="1">
        <f>AVERAGEIF('GPUs Products'!F$9:F$616,GPUs!F10,'GPUs Products'!N$9:N$616)</f>
        <v>124.19999999999995</v>
      </c>
      <c r="O10" s="3">
        <f>AVERAGEIF('GPUs Products'!F$9:F$616,GPUs!F10,'GPUs Products'!O$9:O$616)</f>
        <v>30</v>
      </c>
      <c r="P10" s="11" t="s">
        <v>2275</v>
      </c>
      <c r="Q10" s="3">
        <f>AVERAGEIF('GPUs Products'!F$9:F$616,GPUs!F10,'GPUs Products'!Q$9:Q$616)</f>
        <v>8</v>
      </c>
      <c r="R10" s="3">
        <f>AVERAGEIF('GPUs Products'!F$9:F$616,GPUs!F10,'GPUs Products'!R$9:R$616)</f>
        <v>128</v>
      </c>
      <c r="S10" s="22">
        <f>AVERAGEIF('GPUs Products'!F$9:F$616,GPUs!F10,'GPUs Products'!S$9:S$616)</f>
        <v>14</v>
      </c>
      <c r="T10" s="9">
        <f>AVERAGEIF('GPUs Products'!F$9:F$616,GPUs!F10,'GPUs Products'!T$9:T$616)</f>
        <v>128.44827586206895</v>
      </c>
      <c r="U10" s="14" t="s">
        <v>642</v>
      </c>
      <c r="V10" s="12">
        <v>4</v>
      </c>
      <c r="W10" s="75">
        <v>16</v>
      </c>
      <c r="X10" s="76">
        <v>8</v>
      </c>
      <c r="Y10" s="9">
        <f>AVERAGEIF('GPUs Products'!F$9:F$616,GPUs!F10,'GPUs Products'!Y$9:Y$616)</f>
        <v>292.99103448275861</v>
      </c>
      <c r="Z10" s="3">
        <f>AVERAGEIF('GPUs Products'!F$9:F$616,GPUs!F10,'GPUs Products'!Y$9:Y$616)</f>
        <v>292.99103448275861</v>
      </c>
      <c r="AA10" s="17"/>
      <c r="AB10" s="18"/>
      <c r="AC10" s="46" cm="1">
        <f t="array" ref="AC10">(SUMPRODUCT((H10:O10/H$9:O$9)^H$7:O$7*H$2:O$2)+SUMPRODUCT((Q10:T10/Q$9:T$9)^Q$7:T$7*Q$2:T$2))*(0.8^(1-G10))*AC$9</f>
        <v>1.2850996150294476</v>
      </c>
      <c r="AD10" s="48" cm="1">
        <f t="array" ref="AD10">(SUMPRODUCT((H10:O10/H$9:O$9)^H$7:O$7*H$3:O$3)+SUMPRODUCT((Q10:T10/Q$9:T$9)^Q$7:T$7*Q$3:T$3))*(0.1^(1-G10))*AD$9</f>
        <v>1.261920189023416</v>
      </c>
      <c r="AE10" s="48" cm="1">
        <f t="array" ref="AE10">(SUMPRODUCT((H10:O10/H$9:O$9)^H$7:O$7*H$4:O$4)+SUMPRODUCT((Q10:T10/Q$9:T$9)^Q$7:T$7*Q$4:T$4))*AE$9</f>
        <v>1.143116648408516</v>
      </c>
      <c r="AF10" s="47" cm="1">
        <f t="array" ref="AF10">(SUMPRODUCT((H10:O10/H$9:O$9)^H$7:O$7*H$5:O$5)+SUMPRODUCT((Q10:T10/Q$9:T$9)^Q$7:T$7*Q$5:T$5))*AF$9</f>
        <v>1.1946054364871288</v>
      </c>
      <c r="AG10" s="50" cm="1">
        <f t="array" ref="AG10">SUMPRODUCT(AC10:AF10 * AC$3:AF$3) / SUM(AC$3:AF$3)</f>
        <v>1.2413639078667176</v>
      </c>
    </row>
    <row r="11" spans="1:34" x14ac:dyDescent="0.25">
      <c r="A11" s="81" t="s">
        <v>8807</v>
      </c>
      <c r="B11" s="20"/>
      <c r="C11" s="4" t="s">
        <v>8853</v>
      </c>
      <c r="E11" s="4" t="s">
        <v>8854</v>
      </c>
      <c r="F11" s="5" t="s">
        <v>8863</v>
      </c>
      <c r="G11" s="9">
        <v>1</v>
      </c>
      <c r="H11" s="1">
        <f>AVERAGEIF('GPUs Products'!F$9:F$616,GPUs!F11,'GPUs Products'!H$9:H$616)</f>
        <v>12.961818181818183</v>
      </c>
      <c r="I11" s="1">
        <f>AVERAGEIF('GPUs Products'!F$9:F$616,GPUs!F11,'GPUs Products'!I$9:I$616)</f>
        <v>12.961818181818183</v>
      </c>
      <c r="J11" s="1">
        <f>AVERAGEIF('GPUs Products'!F$9:F$616,GPUs!F11,'GPUs Products'!J$9:J$616)</f>
        <v>0.20181818181818184</v>
      </c>
      <c r="K11" s="3">
        <f>AVERAGEIF('GPUs Products'!F$9:F$616,GPUs!F11,'GPUs Products'!K$9:K$616)</f>
        <v>1875</v>
      </c>
      <c r="L11" s="3">
        <f>AVERAGEIF('GPUs Products'!F$9:F$616,GPUs!F11,'GPUs Products'!L$9:L$616)</f>
        <v>1808.3636363636363</v>
      </c>
      <c r="M11" s="49">
        <f>AVERAGEIF('GPUs Products'!F$9:F$616,GPUs!F11,'GPUs Products'!M$9:M$616)</f>
        <v>63.360000000000007</v>
      </c>
      <c r="N11" s="1">
        <f>AVERAGEIF('GPUs Products'!F$9:F$616,GPUs!F11,'GPUs Products'!N$9:N$616)</f>
        <v>85.289999999999992</v>
      </c>
      <c r="O11" s="3">
        <f>AVERAGEIF('GPUs Products'!F$9:F$616,GPUs!F11,'GPUs Products'!O$9:O$616)</f>
        <v>28</v>
      </c>
      <c r="P11" s="11" t="s">
        <v>2275</v>
      </c>
      <c r="Q11" s="3">
        <f>AVERAGEIF('GPUs Products'!F$9:F$616,GPUs!F11,'GPUs Products'!Q$9:Q$616)</f>
        <v>8</v>
      </c>
      <c r="R11" s="3">
        <f>AVERAGEIF('GPUs Products'!F$9:F$616,GPUs!F11,'GPUs Products'!R$9:R$616)</f>
        <v>128</v>
      </c>
      <c r="S11" s="22">
        <f>AVERAGEIF('GPUs Products'!F$9:F$616,GPUs!F11,'GPUs Products'!S$9:S$616)</f>
        <v>15</v>
      </c>
      <c r="T11" s="9">
        <f>AVERAGEIF('GPUs Products'!F$9:F$616,GPUs!F11,'GPUs Products'!T$9:T$616)</f>
        <v>170</v>
      </c>
      <c r="U11" s="14" t="s">
        <v>446</v>
      </c>
      <c r="V11" s="12">
        <v>4</v>
      </c>
      <c r="W11" s="75">
        <v>16</v>
      </c>
      <c r="X11" s="76">
        <v>16</v>
      </c>
      <c r="Y11" s="9">
        <f>AVERAGEIF('GPUs Products'!F$9:F$616,GPUs!F11,'GPUs Products'!Y$9:Y$616)</f>
        <v>413.69</v>
      </c>
      <c r="Z11" s="3">
        <f>AVERAGEIF('GPUs Products'!F$9:F$616,GPUs!F11,'GPUs Products'!Y$9:Y$616)</f>
        <v>413.69</v>
      </c>
      <c r="AA11" s="17"/>
      <c r="AB11" s="18"/>
      <c r="AC11" s="46" cm="1">
        <f t="array" ref="AC11">(SUMPRODUCT((H11:O11/H$9:O$9)^H$7:O$7*H$2:O$2)+SUMPRODUCT((Q11:T11/Q$9:T$9)^Q$7:T$7*Q$2:T$2))*(0.8^(1-G11))*AC$9</f>
        <v>1.3031561807495085</v>
      </c>
      <c r="AD11" s="48" cm="1">
        <f t="array" ref="AD11">(SUMPRODUCT((H11:O11/H$9:O$9)^H$7:O$7*H$3:O$3)+SUMPRODUCT((Q11:T11/Q$9:T$9)^Q$7:T$7*Q$3:T$3))*(0.1^(1-G11))*AD$9</f>
        <v>1.5059195123519831</v>
      </c>
      <c r="AE11" s="48" cm="1">
        <f t="array" ref="AE11">(SUMPRODUCT((H11:O11/H$9:O$9)^H$7:O$7*H$4:O$4)+SUMPRODUCT((Q11:T11/Q$9:T$9)^Q$7:T$7*Q$4:T$4))*AE$9</f>
        <v>1.3605418115324781</v>
      </c>
      <c r="AF11" s="47" cm="1">
        <f t="array" ref="AF11">(SUMPRODUCT((H11:O11/H$9:O$9)^H$7:O$7*H$5:O$5)+SUMPRODUCT((Q11:T11/Q$9:T$9)^Q$7:T$7*Q$5:T$5))*AF$9</f>
        <v>1.305223664701163</v>
      </c>
      <c r="AG11" s="50" cm="1">
        <f t="array" ref="AG11">SUMPRODUCT(AC11:AF11 * AC$3:AF$3) / SUM(AC$3:AF$3)</f>
        <v>1.4225232379409336</v>
      </c>
    </row>
    <row r="12" spans="1:34" x14ac:dyDescent="0.25">
      <c r="A12" s="81" t="s">
        <v>8808</v>
      </c>
      <c r="B12" s="20"/>
      <c r="C12" s="4" t="s">
        <v>8853</v>
      </c>
      <c r="E12" s="4" t="s">
        <v>8854</v>
      </c>
      <c r="F12" s="5" t="s">
        <v>8864</v>
      </c>
      <c r="G12" s="9">
        <v>1</v>
      </c>
      <c r="H12" s="1">
        <f>AVERAGEIF('GPUs Products'!F$9:F$616,GPUs!F12,'GPUs Products'!H$9:H$616)</f>
        <v>13.056086956521737</v>
      </c>
      <c r="I12" s="1">
        <f>AVERAGEIF('GPUs Products'!F$9:F$616,GPUs!F12,'GPUs Products'!I$9:I$616)</f>
        <v>13.056086956521737</v>
      </c>
      <c r="J12" s="1">
        <f>AVERAGEIF('GPUs Products'!F$9:F$616,GPUs!F12,'GPUs Products'!J$9:J$616)</f>
        <v>0.20391304347826092</v>
      </c>
      <c r="K12" s="3">
        <f>AVERAGEIF('GPUs Products'!F$9:F$616,GPUs!F12,'GPUs Products'!K$9:K$616)</f>
        <v>1875</v>
      </c>
      <c r="L12" s="3">
        <f>AVERAGEIF('GPUs Products'!F$9:F$616,GPUs!F12,'GPUs Products'!L$9:L$616)</f>
        <v>1821.3478260869565</v>
      </c>
      <c r="M12" s="49">
        <f>AVERAGEIF('GPUs Products'!F$9:F$616,GPUs!F12,'GPUs Products'!M$9:M$616)</f>
        <v>63.359999999999978</v>
      </c>
      <c r="N12" s="1">
        <f>AVERAGEIF('GPUs Products'!F$9:F$616,GPUs!F12,'GPUs Products'!N$9:N$616)</f>
        <v>85.289999999999978</v>
      </c>
      <c r="O12" s="3">
        <f>AVERAGEIF('GPUs Products'!F$9:F$616,GPUs!F12,'GPUs Products'!O$9:O$616)</f>
        <v>28</v>
      </c>
      <c r="P12" s="11" t="s">
        <v>2275</v>
      </c>
      <c r="Q12" s="3">
        <f>AVERAGEIF('GPUs Products'!F$9:F$616,GPUs!F12,'GPUs Products'!Q$9:Q$616)</f>
        <v>12</v>
      </c>
      <c r="R12" s="3">
        <f>AVERAGEIF('GPUs Products'!F$9:F$616,GPUs!F12,'GPUs Products'!R$9:R$616)</f>
        <v>192</v>
      </c>
      <c r="S12" s="22">
        <f>AVERAGEIF('GPUs Products'!F$9:F$616,GPUs!F12,'GPUs Products'!S$9:S$616)</f>
        <v>15</v>
      </c>
      <c r="T12" s="9">
        <f>AVERAGEIF('GPUs Products'!F$9:F$616,GPUs!F12,'GPUs Products'!T$9:T$616)</f>
        <v>170</v>
      </c>
      <c r="U12" s="14" t="s">
        <v>446</v>
      </c>
      <c r="V12" s="12">
        <v>4</v>
      </c>
      <c r="W12" s="75">
        <v>16</v>
      </c>
      <c r="X12" s="76">
        <v>16</v>
      </c>
      <c r="Y12" s="9">
        <f>AVERAGEIF('GPUs Products'!F$9:F$616,GPUs!F12,'GPUs Products'!Y$9:Y$616)</f>
        <v>532.9534782608697</v>
      </c>
      <c r="Z12" s="3">
        <f>AVERAGEIF('GPUs Products'!F$9:F$616,GPUs!F12,'GPUs Products'!Y$9:Y$616)</f>
        <v>532.9534782608697</v>
      </c>
      <c r="AA12" s="17"/>
      <c r="AB12" s="18"/>
      <c r="AC12" s="46" cm="1">
        <f t="array" ref="AC12">(SUMPRODUCT((H12:O12/H$9:O$9)^H$7:O$7*H$2:O$2)+SUMPRODUCT((Q12:T12/Q$9:T$9)^Q$7:T$7*Q$2:T$2))*(0.8^(1-G12))*AC$9</f>
        <v>1.3858530901872421</v>
      </c>
      <c r="AD12" s="48" cm="1">
        <f t="array" ref="AD12">(SUMPRODUCT((H12:O12/H$9:O$9)^H$7:O$7*H$3:O$3)+SUMPRODUCT((Q12:T12/Q$9:T$9)^Q$7:T$7*Q$3:T$3))*(0.1^(1-G12))*AD$9</f>
        <v>1.6292382334015345</v>
      </c>
      <c r="AE12" s="48" cm="1">
        <f t="array" ref="AE12">(SUMPRODUCT((H12:O12/H$9:O$9)^H$7:O$7*H$4:O$4)+SUMPRODUCT((Q12:T12/Q$9:T$9)^Q$7:T$7*Q$4:T$4))*AE$9</f>
        <v>1.4876802512467076</v>
      </c>
      <c r="AF12" s="47" cm="1">
        <f t="array" ref="AF12">(SUMPRODUCT((H12:O12/H$9:O$9)^H$7:O$7*H$5:O$5)+SUMPRODUCT((Q12:T12/Q$9:T$9)^Q$7:T$7*Q$5:T$5))*AF$9</f>
        <v>1.3891932941627188</v>
      </c>
      <c r="AG12" s="50" cm="1">
        <f t="array" ref="AG12">SUMPRODUCT(AC12:AF12 * AC$3:AF$3) / SUM(AC$3:AF$3)</f>
        <v>1.5329378883088134</v>
      </c>
    </row>
    <row r="13" spans="1:34" x14ac:dyDescent="0.25">
      <c r="A13" s="81" t="s">
        <v>8809</v>
      </c>
      <c r="B13" s="20"/>
      <c r="C13" s="4" t="s">
        <v>8853</v>
      </c>
      <c r="E13" s="4" t="s">
        <v>8854</v>
      </c>
      <c r="F13" s="5" t="s">
        <v>8865</v>
      </c>
      <c r="G13" s="9">
        <v>1</v>
      </c>
      <c r="H13" s="1">
        <f>AVERAGEIF('GPUs Products'!F$9:F$616,GPUs!F13,'GPUs Products'!H$9:H$616)</f>
        <v>16.794999999999998</v>
      </c>
      <c r="I13" s="1">
        <f>AVERAGEIF('GPUs Products'!F$9:F$616,GPUs!F13,'GPUs Products'!I$9:I$616)</f>
        <v>16.794999999999998</v>
      </c>
      <c r="J13" s="1">
        <f>AVERAGEIF('GPUs Products'!F$9:F$616,GPUs!F13,'GPUs Products'!J$9:J$616)</f>
        <v>0.26299999999999996</v>
      </c>
      <c r="K13" s="3">
        <f>AVERAGEIF('GPUs Products'!F$9:F$616,GPUs!F13,'GPUs Products'!K$9:K$616)</f>
        <v>1553.3</v>
      </c>
      <c r="L13" s="3">
        <f>AVERAGEIF('GPUs Products'!F$9:F$616,GPUs!F13,'GPUs Products'!L$9:L$616)</f>
        <v>1726.5</v>
      </c>
      <c r="M13" s="49">
        <f>AVERAGEIF('GPUs Products'!F$9:F$616,GPUs!F13,'GPUs Products'!M$9:M$616)</f>
        <v>112.79999999999998</v>
      </c>
      <c r="N13" s="1">
        <f>AVERAGEIF('GPUs Products'!F$9:F$616,GPUs!F13,'GPUs Products'!N$9:N$616)</f>
        <v>214.3000000000001</v>
      </c>
      <c r="O13" s="3">
        <f>AVERAGEIF('GPUs Products'!F$9:F$616,GPUs!F13,'GPUs Products'!O$9:O$616)</f>
        <v>38</v>
      </c>
      <c r="P13" s="11" t="s">
        <v>2276</v>
      </c>
      <c r="Q13" s="3">
        <f>AVERAGEIF('GPUs Products'!F$9:F$616,GPUs!F13,'GPUs Products'!Q$9:Q$616)</f>
        <v>8</v>
      </c>
      <c r="R13" s="3">
        <f>AVERAGEIF('GPUs Products'!F$9:F$616,GPUs!F13,'GPUs Products'!R$9:R$616)</f>
        <v>256</v>
      </c>
      <c r="S13" s="22">
        <f>AVERAGEIF('GPUs Products'!F$9:F$616,GPUs!F13,'GPUs Products'!S$9:S$616)</f>
        <v>15.75</v>
      </c>
      <c r="T13" s="9">
        <f>AVERAGEIF('GPUs Products'!F$9:F$616,GPUs!F13,'GPUs Products'!T$9:T$616)</f>
        <v>203</v>
      </c>
      <c r="U13" s="14" t="s">
        <v>576</v>
      </c>
      <c r="V13" s="12">
        <v>4</v>
      </c>
      <c r="W13" s="75">
        <v>16</v>
      </c>
      <c r="X13" s="76">
        <v>16</v>
      </c>
      <c r="Y13" s="9">
        <f>AVERAGEIF('GPUs Products'!F$9:F$616,GPUs!F13,'GPUs Products'!Y$9:Y$616)</f>
        <v>810.904</v>
      </c>
      <c r="Z13" s="3">
        <f>AVERAGEIF('GPUs Products'!F$9:F$616,GPUs!F13,'GPUs Products'!Y$9:Y$616)</f>
        <v>810.904</v>
      </c>
      <c r="AA13" s="17"/>
      <c r="AB13" s="18"/>
      <c r="AC13" s="46" cm="1">
        <f t="array" ref="AC13">(SUMPRODUCT((H13:O13/H$9:O$9)^H$7:O$7*H$2:O$2)+SUMPRODUCT((Q13:T13/Q$9:T$9)^Q$7:T$7*Q$2:T$2))*(0.8^(1-G13))*AC$9</f>
        <v>1.6550785836384101</v>
      </c>
      <c r="AD13" s="48" cm="1">
        <f t="array" ref="AD13">(SUMPRODUCT((H13:O13/H$9:O$9)^H$7:O$7*H$3:O$3)+SUMPRODUCT((Q13:T13/Q$9:T$9)^Q$7:T$7*Q$3:T$3))*(0.1^(1-G13))*AD$9</f>
        <v>1.8187126880506326</v>
      </c>
      <c r="AE13" s="48" cm="1">
        <f t="array" ref="AE13">(SUMPRODUCT((H13:O13/H$9:O$9)^H$7:O$7*H$4:O$4)+SUMPRODUCT((Q13:T13/Q$9:T$9)^Q$7:T$7*Q$4:T$4))*AE$9</f>
        <v>1.6873785801168215</v>
      </c>
      <c r="AF13" s="47" cm="1">
        <f t="array" ref="AF13">(SUMPRODUCT((H13:O13/H$9:O$9)^H$7:O$7*H$5:O$5)+SUMPRODUCT((Q13:T13/Q$9:T$9)^Q$7:T$7*Q$5:T$5))*AF$9</f>
        <v>1.6418711903843186</v>
      </c>
      <c r="AG13" s="50" cm="1">
        <f t="array" ref="AG13">SUMPRODUCT(AC13:AF13 * AC$3:AF$3) / SUM(AC$3:AF$3)</f>
        <v>1.7473740757115641</v>
      </c>
    </row>
    <row r="14" spans="1:34" x14ac:dyDescent="0.25">
      <c r="A14" s="81" t="s">
        <v>8810</v>
      </c>
      <c r="B14" s="20"/>
      <c r="C14" s="4" t="s">
        <v>8853</v>
      </c>
      <c r="E14" s="4" t="s">
        <v>8854</v>
      </c>
      <c r="F14" s="5" t="s">
        <v>8866</v>
      </c>
      <c r="G14" s="9">
        <v>1</v>
      </c>
      <c r="H14" s="1">
        <f>AVERAGEIF('GPUs Products'!F$9:F$616,GPUs!F14,'GPUs Products'!H$9:H$616)</f>
        <v>21.062857142857144</v>
      </c>
      <c r="I14" s="1">
        <f>AVERAGEIF('GPUs Products'!F$9:F$616,GPUs!F14,'GPUs Products'!I$9:I$616)</f>
        <v>21.062857142857144</v>
      </c>
      <c r="J14" s="1">
        <f>AVERAGEIF('GPUs Products'!F$9:F$616,GPUs!F14,'GPUs Products'!J$9:J$616)</f>
        <v>0.32857142857142863</v>
      </c>
      <c r="K14" s="3">
        <f>AVERAGEIF('GPUs Products'!F$9:F$616,GPUs!F14,'GPUs Products'!K$9:K$616)</f>
        <v>1750</v>
      </c>
      <c r="L14" s="3">
        <f>AVERAGEIF('GPUs Products'!F$9:F$616,GPUs!F14,'GPUs Products'!L$9:L$616)</f>
        <v>1788.5714285714287</v>
      </c>
      <c r="M14" s="49">
        <f>AVERAGEIF('GPUs Products'!F$9:F$616,GPUs!F14,'GPUs Products'!M$9:M$616)</f>
        <v>144</v>
      </c>
      <c r="N14" s="1">
        <f>AVERAGEIF('GPUs Products'!F$9:F$616,GPUs!F14,'GPUs Products'!N$9:N$616)</f>
        <v>276</v>
      </c>
      <c r="O14" s="3">
        <f>AVERAGEIF('GPUs Products'!F$9:F$616,GPUs!F14,'GPUs Products'!O$9:O$616)</f>
        <v>46</v>
      </c>
      <c r="P14" s="11" t="s">
        <v>2275</v>
      </c>
      <c r="Q14" s="3">
        <f>AVERAGEIF('GPUs Products'!F$9:F$616,GPUs!F14,'GPUs Products'!Q$9:Q$616)</f>
        <v>8</v>
      </c>
      <c r="R14" s="3">
        <f>AVERAGEIF('GPUs Products'!F$9:F$616,GPUs!F14,'GPUs Products'!R$9:R$616)</f>
        <v>256</v>
      </c>
      <c r="S14" s="22">
        <f>AVERAGEIF('GPUs Products'!F$9:F$616,GPUs!F14,'GPUs Products'!S$9:S$616)</f>
        <v>14</v>
      </c>
      <c r="T14" s="9">
        <f>AVERAGEIF('GPUs Products'!F$9:F$616,GPUs!F14,'GPUs Products'!T$9:T$616)</f>
        <v>220.95238095238096</v>
      </c>
      <c r="U14" s="14" t="s">
        <v>576</v>
      </c>
      <c r="V14" s="12">
        <v>4</v>
      </c>
      <c r="W14" s="75">
        <v>16</v>
      </c>
      <c r="X14" s="76">
        <v>16</v>
      </c>
      <c r="Y14" s="9">
        <f>AVERAGEIF('GPUs Products'!F$9:F$616,GPUs!F14,'GPUs Products'!Y$9:Y$616)</f>
        <v>875.28476190476204</v>
      </c>
      <c r="Z14" s="3">
        <f>AVERAGEIF('GPUs Products'!F$9:F$616,GPUs!F14,'GPUs Products'!Y$9:Y$616)</f>
        <v>875.28476190476204</v>
      </c>
      <c r="AA14" s="17"/>
      <c r="AB14" s="18"/>
      <c r="AC14" s="46" cm="1">
        <f t="array" ref="AC14">(SUMPRODUCT((H14:O14/H$9:O$9)^H$7:O$7*H$2:O$2)+SUMPRODUCT((Q14:T14/Q$9:T$9)^Q$7:T$7*Q$2:T$2))*(0.8^(1-G14))*AC$9</f>
        <v>1.8436811585748367</v>
      </c>
      <c r="AD14" s="48" cm="1">
        <f t="array" ref="AD14">(SUMPRODUCT((H14:O14/H$9:O$9)^H$7:O$7*H$3:O$3)+SUMPRODUCT((Q14:T14/Q$9:T$9)^Q$7:T$7*Q$3:T$3))*(0.1^(1-G14))*AD$9</f>
        <v>2.0763014303595551</v>
      </c>
      <c r="AE14" s="48" cm="1">
        <f t="array" ref="AE14">(SUMPRODUCT((H14:O14/H$9:O$9)^H$7:O$7*H$4:O$4)+SUMPRODUCT((Q14:T14/Q$9:T$9)^Q$7:T$7*Q$4:T$4))*AE$9</f>
        <v>1.8955031814018857</v>
      </c>
      <c r="AF14" s="47" cm="1">
        <f t="array" ref="AF14">(SUMPRODUCT((H14:O14/H$9:O$9)^H$7:O$7*H$5:O$5)+SUMPRODUCT((Q14:T14/Q$9:T$9)^Q$7:T$7*Q$5:T$5))*AF$9</f>
        <v>1.8574325897094255</v>
      </c>
      <c r="AG14" s="50" cm="1">
        <f t="array" ref="AG14">SUMPRODUCT(AC14:AF14 * AC$3:AF$3) / SUM(AC$3:AF$3)</f>
        <v>1.9809645506251172</v>
      </c>
    </row>
    <row r="15" spans="1:34" x14ac:dyDescent="0.25">
      <c r="A15" s="81" t="s">
        <v>8811</v>
      </c>
      <c r="B15" s="20"/>
      <c r="C15" s="4" t="s">
        <v>8853</v>
      </c>
      <c r="E15" s="4" t="s">
        <v>8854</v>
      </c>
      <c r="F15" s="5" t="s">
        <v>8867</v>
      </c>
      <c r="G15" s="9">
        <v>1</v>
      </c>
      <c r="H15" s="1">
        <f>AVERAGEIF('GPUs Products'!F$9:F$616,GPUs!F15,'GPUs Products'!H$9:H$616)</f>
        <v>22.256875000000004</v>
      </c>
      <c r="I15" s="1">
        <f>AVERAGEIF('GPUs Products'!F$9:F$616,GPUs!F15,'GPUs Products'!I$9:I$616)</f>
        <v>22.256875000000004</v>
      </c>
      <c r="J15" s="1">
        <f>AVERAGEIF('GPUs Products'!F$9:F$616,GPUs!F15,'GPUs Products'!J$9:J$616)</f>
        <v>0.34812499999999991</v>
      </c>
      <c r="K15" s="3">
        <f>AVERAGEIF('GPUs Products'!F$9:F$616,GPUs!F15,'GPUs Products'!K$9:K$616)</f>
        <v>1188</v>
      </c>
      <c r="L15" s="3">
        <f>AVERAGEIF('GPUs Products'!F$9:F$616,GPUs!F15,'GPUs Products'!L$9:L$616)</f>
        <v>1811.25</v>
      </c>
      <c r="M15" s="49">
        <f>AVERAGEIF('GPUs Products'!F$9:F$616,GPUs!F15,'GPUs Products'!M$9:M$616)</f>
        <v>151.59999999999997</v>
      </c>
      <c r="N15" s="1">
        <f>AVERAGEIF('GPUs Products'!F$9:F$616,GPUs!F15,'GPUs Products'!N$9:N$616)</f>
        <v>303.30000000000007</v>
      </c>
      <c r="O15" s="3">
        <f>AVERAGEIF('GPUs Products'!F$9:F$616,GPUs!F15,'GPUs Products'!O$9:O$616)</f>
        <v>48</v>
      </c>
      <c r="P15" s="11" t="s">
        <v>2276</v>
      </c>
      <c r="Q15" s="3">
        <f>AVERAGEIF('GPUs Products'!F$9:F$616,GPUs!F15,'GPUs Products'!Q$9:Q$616)</f>
        <v>8</v>
      </c>
      <c r="R15" s="3">
        <f>AVERAGEIF('GPUs Products'!F$9:F$616,GPUs!F15,'GPUs Products'!R$9:R$616)</f>
        <v>256</v>
      </c>
      <c r="S15" s="22">
        <f>AVERAGEIF('GPUs Products'!F$9:F$616,GPUs!F15,'GPUs Products'!S$9:S$616)</f>
        <v>19</v>
      </c>
      <c r="T15" s="9">
        <f>AVERAGEIF('GPUs Products'!F$9:F$616,GPUs!F15,'GPUs Products'!T$9:T$616)</f>
        <v>291.25</v>
      </c>
      <c r="U15" s="14" t="s">
        <v>576</v>
      </c>
      <c r="V15" s="12">
        <v>4</v>
      </c>
      <c r="W15" s="75">
        <v>16</v>
      </c>
      <c r="X15" s="76">
        <v>16</v>
      </c>
      <c r="Y15" s="9">
        <f>AVERAGEIF('GPUs Products'!F$9:F$616,GPUs!F15,'GPUs Products'!Y$9:Y$616)</f>
        <v>919.61187499999994</v>
      </c>
      <c r="Z15" s="3">
        <f>AVERAGEIF('GPUs Products'!F$9:F$616,GPUs!F15,'GPUs Products'!Y$9:Y$616)</f>
        <v>919.61187499999994</v>
      </c>
      <c r="AA15" s="17"/>
      <c r="AB15" s="18"/>
      <c r="AC15" s="46" cm="1">
        <f t="array" ref="AC15">(SUMPRODUCT((H15:O15/H$9:O$9)^H$7:O$7*H$2:O$2)+SUMPRODUCT((Q15:T15/Q$9:T$9)^Q$7:T$7*Q$2:T$2))*(0.8^(1-G15))*AC$9</f>
        <v>1.8809646799824045</v>
      </c>
      <c r="AD15" s="48" cm="1">
        <f t="array" ref="AD15">(SUMPRODUCT((H15:O15/H$9:O$9)^H$7:O$7*H$3:O$3)+SUMPRODUCT((Q15:T15/Q$9:T$9)^Q$7:T$7*Q$3:T$3))*(0.1^(1-G15))*AD$9</f>
        <v>2.1433335365429471</v>
      </c>
      <c r="AE15" s="48" cm="1">
        <f t="array" ref="AE15">(SUMPRODUCT((H15:O15/H$9:O$9)^H$7:O$7*H$4:O$4)+SUMPRODUCT((Q15:T15/Q$9:T$9)^Q$7:T$7*Q$4:T$4))*AE$9</f>
        <v>1.9691624530291931</v>
      </c>
      <c r="AF15" s="47" cm="1">
        <f t="array" ref="AF15">(SUMPRODUCT((H15:O15/H$9:O$9)^H$7:O$7*H$5:O$5)+SUMPRODUCT((Q15:T15/Q$9:T$9)^Q$7:T$7*Q$5:T$5))*AF$9</f>
        <v>1.9144806918312753</v>
      </c>
      <c r="AG15" s="50" cm="1">
        <f t="array" ref="AG15">SUMPRODUCT(AC15:AF15 * AC$3:AF$3) / SUM(AC$3:AF$3)</f>
        <v>2.0421109103849391</v>
      </c>
    </row>
    <row r="16" spans="1:34" x14ac:dyDescent="0.25">
      <c r="A16" s="81" t="s">
        <v>8812</v>
      </c>
      <c r="B16" s="20"/>
      <c r="C16" s="4" t="s">
        <v>8853</v>
      </c>
      <c r="E16" s="4" t="s">
        <v>8854</v>
      </c>
      <c r="F16" s="5" t="s">
        <v>8868</v>
      </c>
      <c r="G16" s="9">
        <v>1</v>
      </c>
      <c r="H16" s="1">
        <f>AVERAGEIF('GPUs Products'!F$9:F$616,GPUs!F16,'GPUs Products'!H$9:H$616)</f>
        <v>31.494615384615379</v>
      </c>
      <c r="I16" s="1">
        <f>AVERAGEIF('GPUs Products'!F$9:F$616,GPUs!F16,'GPUs Products'!I$9:I$616)</f>
        <v>31.494615384615379</v>
      </c>
      <c r="J16" s="1">
        <f>AVERAGEIF('GPUs Products'!F$9:F$616,GPUs!F16,'GPUs Products'!J$9:J$616)</f>
        <v>0.49230769230769228</v>
      </c>
      <c r="K16" s="3">
        <f>AVERAGEIF('GPUs Products'!F$9:F$616,GPUs!F16,'GPUs Products'!K$9:K$616)</f>
        <v>1188</v>
      </c>
      <c r="L16" s="3">
        <f>AVERAGEIF('GPUs Products'!F$9:F$616,GPUs!F16,'GPUs Products'!L$9:L$616)</f>
        <v>1809.2307692307693</v>
      </c>
      <c r="M16" s="49">
        <f>AVERAGEIF('GPUs Products'!F$9:F$616,GPUs!F16,'GPUs Products'!M$9:M$616)</f>
        <v>138.20000000000002</v>
      </c>
      <c r="N16" s="1">
        <f>AVERAGEIF('GPUs Products'!F$9:F$616,GPUs!F16,'GPUs Products'!N$9:N$616)</f>
        <v>391.69999999999987</v>
      </c>
      <c r="O16" s="3">
        <f>AVERAGEIF('GPUs Products'!F$9:F$616,GPUs!F16,'GPUs Products'!O$9:O$616)</f>
        <v>68</v>
      </c>
      <c r="P16" s="11" t="s">
        <v>2276</v>
      </c>
      <c r="Q16" s="3">
        <f>AVERAGEIF('GPUs Products'!F$9:F$616,GPUs!F16,'GPUs Products'!Q$9:Q$616)</f>
        <v>10</v>
      </c>
      <c r="R16" s="3">
        <f>AVERAGEIF('GPUs Products'!F$9:F$616,GPUs!F16,'GPUs Products'!R$9:R$616)</f>
        <v>320</v>
      </c>
      <c r="S16" s="22">
        <f>AVERAGEIF('GPUs Products'!F$9:F$616,GPUs!F16,'GPUs Products'!S$9:S$616)</f>
        <v>19</v>
      </c>
      <c r="T16" s="9">
        <f>AVERAGEIF('GPUs Products'!F$9:F$616,GPUs!F16,'GPUs Products'!T$9:T$616)</f>
        <v>327.69230769230768</v>
      </c>
      <c r="U16" s="14" t="s">
        <v>583</v>
      </c>
      <c r="V16" s="12">
        <v>4</v>
      </c>
      <c r="W16" s="75">
        <v>16</v>
      </c>
      <c r="X16" s="76">
        <v>16</v>
      </c>
      <c r="Y16" s="9">
        <f>AVERAGEIF('GPUs Products'!F$9:F$616,GPUs!F16,'GPUs Products'!Y$9:Y$616)</f>
        <v>1266.146153846154</v>
      </c>
      <c r="Z16" s="3">
        <f>AVERAGEIF('GPUs Products'!F$9:F$616,GPUs!F16,'GPUs Products'!Y$9:Y$616)</f>
        <v>1266.146153846154</v>
      </c>
      <c r="AA16" s="17"/>
      <c r="AB16" s="18"/>
      <c r="AC16" s="46" cm="1">
        <f t="array" ref="AC16">(SUMPRODUCT((H16:O16/H$9:O$9)^H$7:O$7*H$2:O$2)+SUMPRODUCT((Q16:T16/Q$9:T$9)^Q$7:T$7*Q$2:T$2))*(0.8^(1-G16))*AC$9</f>
        <v>2.1059772823551617</v>
      </c>
      <c r="AD16" s="48" cm="1">
        <f t="array" ref="AD16">(SUMPRODUCT((H16:O16/H$9:O$9)^H$7:O$7*H$3:O$3)+SUMPRODUCT((Q16:T16/Q$9:T$9)^Q$7:T$7*Q$3:T$3))*(0.1^(1-G16))*AD$9</f>
        <v>2.7492746686030882</v>
      </c>
      <c r="AE16" s="48" cm="1">
        <f t="array" ref="AE16">(SUMPRODUCT((H16:O16/H$9:O$9)^H$7:O$7*H$4:O$4)+SUMPRODUCT((Q16:T16/Q$9:T$9)^Q$7:T$7*Q$4:T$4))*AE$9</f>
        <v>2.4941367705307895</v>
      </c>
      <c r="AF16" s="47" cm="1">
        <f t="array" ref="AF16">(SUMPRODUCT((H16:O16/H$9:O$9)^H$7:O$7*H$5:O$5)+SUMPRODUCT((Q16:T16/Q$9:T$9)^Q$7:T$7*Q$5:T$5))*AF$9</f>
        <v>2.3188877995404535</v>
      </c>
      <c r="AG16" s="50" cm="1">
        <f t="array" ref="AG16">SUMPRODUCT(AC16:AF16 * AC$3:AF$3) / SUM(AC$3:AF$3)</f>
        <v>2.5419786373766282</v>
      </c>
    </row>
    <row r="17" spans="1:33" x14ac:dyDescent="0.25">
      <c r="A17" s="81" t="s">
        <v>8813</v>
      </c>
      <c r="B17" s="20"/>
      <c r="C17" s="4" t="s">
        <v>8853</v>
      </c>
      <c r="E17" s="4" t="s">
        <v>8854</v>
      </c>
      <c r="F17" s="5" t="s">
        <v>8869</v>
      </c>
      <c r="G17" s="9">
        <v>1</v>
      </c>
      <c r="H17" s="1">
        <f>AVERAGEIF('GPUs Products'!F$9:F$616,GPUs!F17,'GPUs Products'!H$9:H$616)</f>
        <v>32.592499999999994</v>
      </c>
      <c r="I17" s="1">
        <f>AVERAGEIF('GPUs Products'!F$9:F$616,GPUs!F17,'GPUs Products'!I$9:I$616)</f>
        <v>32.592499999999994</v>
      </c>
      <c r="J17" s="1">
        <f>AVERAGEIF('GPUs Products'!F$9:F$616,GPUs!F17,'GPUs Products'!J$9:J$616)</f>
        <v>0.51</v>
      </c>
      <c r="K17" s="3">
        <f>AVERAGEIF('GPUs Products'!F$9:F$616,GPUs!F17,'GPUs Products'!K$9:K$616)</f>
        <v>1188</v>
      </c>
      <c r="L17" s="3">
        <f>AVERAGEIF('GPUs Products'!F$9:F$616,GPUs!F17,'GPUs Products'!L$9:L$616)</f>
        <v>1818.75</v>
      </c>
      <c r="M17" s="49">
        <f>AVERAGEIF('GPUs Products'!F$9:F$616,GPUs!F17,'GPUs Products'!M$9:M$616)</f>
        <v>152.80000000000001</v>
      </c>
      <c r="N17" s="1">
        <f>AVERAGEIF('GPUs Products'!F$9:F$616,GPUs!F17,'GPUs Products'!N$9:N$616)</f>
        <v>436.8</v>
      </c>
      <c r="O17" s="3">
        <f>AVERAGEIF('GPUs Products'!F$9:F$616,GPUs!F17,'GPUs Products'!O$9:O$616)</f>
        <v>70</v>
      </c>
      <c r="P17" s="11" t="s">
        <v>2276</v>
      </c>
      <c r="Q17" s="3">
        <f>AVERAGEIF('GPUs Products'!F$9:F$616,GPUs!F17,'GPUs Products'!Q$9:Q$616)</f>
        <v>12</v>
      </c>
      <c r="R17" s="3">
        <f>AVERAGEIF('GPUs Products'!F$9:F$616,GPUs!F17,'GPUs Products'!R$9:R$616)</f>
        <v>384</v>
      </c>
      <c r="S17" s="22">
        <f>AVERAGEIF('GPUs Products'!F$9:F$616,GPUs!F17,'GPUs Products'!S$9:S$616)</f>
        <v>19</v>
      </c>
      <c r="T17" s="9">
        <f>AVERAGEIF('GPUs Products'!F$9:F$616,GPUs!F17,'GPUs Products'!T$9:T$616)</f>
        <v>350</v>
      </c>
      <c r="U17" s="14" t="s">
        <v>583</v>
      </c>
      <c r="V17" s="12">
        <v>4</v>
      </c>
      <c r="W17" s="75">
        <v>16</v>
      </c>
      <c r="X17" s="76">
        <v>16</v>
      </c>
      <c r="Y17" s="9">
        <f>AVERAGEIF('GPUs Products'!F$9:F$616,GPUs!F17,'GPUs Products'!Y$9:Y$616)</f>
        <v>2016.5975000000001</v>
      </c>
      <c r="Z17" s="3">
        <f>AVERAGEIF('GPUs Products'!F$9:F$616,GPUs!F17,'GPUs Products'!Y$9:Y$616)</f>
        <v>2016.5975000000001</v>
      </c>
      <c r="AA17" s="17"/>
      <c r="AB17" s="18"/>
      <c r="AC17" s="46" cm="1">
        <f t="array" ref="AC17">(SUMPRODUCT((H17:O17/H$9:O$9)^H$7:O$7*H$2:O$2)+SUMPRODUCT((Q17:T17/Q$9:T$9)^Q$7:T$7*Q$2:T$2))*(0.8^(1-G17))*AC$9</f>
        <v>2.2419445637556112</v>
      </c>
      <c r="AD17" s="48" cm="1">
        <f t="array" ref="AD17">(SUMPRODUCT((H17:O17/H$9:O$9)^H$7:O$7*H$3:O$3)+SUMPRODUCT((Q17:T17/Q$9:T$9)^Q$7:T$7*Q$3:T$3))*(0.1^(1-G17))*AD$9</f>
        <v>2.8818208523932567</v>
      </c>
      <c r="AE17" s="48" cm="1">
        <f t="array" ref="AE17">(SUMPRODUCT((H17:O17/H$9:O$9)^H$7:O$7*H$4:O$4)+SUMPRODUCT((Q17:T17/Q$9:T$9)^Q$7:T$7*Q$4:T$4))*AE$9</f>
        <v>2.6264371493566747</v>
      </c>
      <c r="AF17" s="47" cm="1">
        <f t="array" ref="AF17">(SUMPRODUCT((H17:O17/H$9:O$9)^H$7:O$7*H$5:O$5)+SUMPRODUCT((Q17:T17/Q$9:T$9)^Q$7:T$7*Q$5:T$5))*AF$9</f>
        <v>2.4433438400201597</v>
      </c>
      <c r="AG17" s="50" cm="1">
        <f t="array" ref="AG17">SUMPRODUCT(AC17:AF17 * AC$3:AF$3) / SUM(AC$3:AF$3)</f>
        <v>2.6737193352207353</v>
      </c>
    </row>
    <row r="18" spans="1:33" x14ac:dyDescent="0.25">
      <c r="A18" s="81" t="s">
        <v>8814</v>
      </c>
      <c r="B18" s="20"/>
      <c r="C18" s="4" t="s">
        <v>8853</v>
      </c>
      <c r="E18" s="4" t="s">
        <v>8854</v>
      </c>
      <c r="F18" s="5" t="s">
        <v>8870</v>
      </c>
      <c r="G18" s="9">
        <v>1</v>
      </c>
      <c r="H18" s="1">
        <f>AVERAGEIF('GPUs Products'!F$9:F$616,GPUs!F18,'GPUs Products'!H$9:H$616)</f>
        <v>35.113000000000007</v>
      </c>
      <c r="I18" s="1">
        <f>AVERAGEIF('GPUs Products'!F$9:F$616,GPUs!F18,'GPUs Products'!I$9:I$616)</f>
        <v>35.113000000000007</v>
      </c>
      <c r="J18" s="1">
        <f>AVERAGEIF('GPUs Products'!F$9:F$616,GPUs!F18,'GPUs Products'!J$9:J$616)</f>
        <v>0.54900000000000004</v>
      </c>
      <c r="K18" s="3">
        <f>AVERAGEIF('GPUs Products'!F$9:F$616,GPUs!F18,'GPUs Products'!K$9:K$616)</f>
        <v>1188</v>
      </c>
      <c r="L18" s="3">
        <f>AVERAGEIF('GPUs Products'!F$9:F$616,GPUs!F18,'GPUs Products'!L$9:L$616)</f>
        <v>1714.5</v>
      </c>
      <c r="M18" s="49">
        <f>AVERAGEIF('GPUs Products'!F$9:F$616,GPUs!F18,'GPUs Products'!M$9:M$616)</f>
        <v>152.79999999999998</v>
      </c>
      <c r="N18" s="1">
        <f>AVERAGEIF('GPUs Products'!F$9:F$616,GPUs!F18,'GPUs Products'!N$9:N$616)</f>
        <v>478.80000000000007</v>
      </c>
      <c r="O18" s="3">
        <f>AVERAGEIF('GPUs Products'!F$9:F$616,GPUs!F18,'GPUs Products'!O$9:O$616)</f>
        <v>80</v>
      </c>
      <c r="P18" s="11" t="s">
        <v>2276</v>
      </c>
      <c r="Q18" s="3">
        <f>AVERAGEIF('GPUs Products'!F$9:F$616,GPUs!F18,'GPUs Products'!Q$9:Q$616)</f>
        <v>12</v>
      </c>
      <c r="R18" s="3">
        <f>AVERAGEIF('GPUs Products'!F$9:F$616,GPUs!F18,'GPUs Products'!R$9:R$616)</f>
        <v>384</v>
      </c>
      <c r="S18" s="22">
        <f>AVERAGEIF('GPUs Products'!F$9:F$616,GPUs!F18,'GPUs Products'!S$9:S$616)</f>
        <v>19</v>
      </c>
      <c r="T18" s="9">
        <f>AVERAGEIF('GPUs Products'!F$9:F$616,GPUs!F18,'GPUs Products'!T$9:T$616)</f>
        <v>350</v>
      </c>
      <c r="U18" s="14" t="s">
        <v>583</v>
      </c>
      <c r="V18" s="12">
        <v>4</v>
      </c>
      <c r="W18" s="75">
        <v>16</v>
      </c>
      <c r="X18" s="76">
        <v>16</v>
      </c>
      <c r="Y18" s="9">
        <f>AVERAGEIF('GPUs Products'!F$9:F$616,GPUs!F18,'GPUs Products'!Y$9:Y$616)</f>
        <v>1838.8419999999999</v>
      </c>
      <c r="Z18" s="3">
        <f>AVERAGEIF('GPUs Products'!F$9:F$616,GPUs!F18,'GPUs Products'!Y$9:Y$616)</f>
        <v>1838.8419999999999</v>
      </c>
      <c r="AA18" s="17"/>
      <c r="AB18" s="18"/>
      <c r="AC18" s="46" cm="1">
        <f t="array" ref="AC18">(SUMPRODUCT((H18:O18/H$9:O$9)^H$7:O$7*H$2:O$2)+SUMPRODUCT((Q18:T18/Q$9:T$9)^Q$7:T$7*Q$2:T$2))*(0.8^(1-G18))*AC$9</f>
        <v>2.3096439958525763</v>
      </c>
      <c r="AD18" s="48" cm="1">
        <f t="array" ref="AD18">(SUMPRODUCT((H18:O18/H$9:O$9)^H$7:O$7*H$3:O$3)+SUMPRODUCT((Q18:T18/Q$9:T$9)^Q$7:T$7*Q$3:T$3))*(0.1^(1-G18))*AD$9</f>
        <v>3.0196239944634384</v>
      </c>
      <c r="AE18" s="48" cm="1">
        <f t="array" ref="AE18">(SUMPRODUCT((H18:O18/H$9:O$9)^H$7:O$7*H$4:O$4)+SUMPRODUCT((Q18:T18/Q$9:T$9)^Q$7:T$7*Q$4:T$4))*AE$9</f>
        <v>2.7412250551736475</v>
      </c>
      <c r="AF18" s="47" cm="1">
        <f t="array" ref="AF18">(SUMPRODUCT((H18:O18/H$9:O$9)^H$7:O$7*H$5:O$5)+SUMPRODUCT((Q18:T18/Q$9:T$9)^Q$7:T$7*Q$5:T$5))*AF$9</f>
        <v>2.5555120557943498</v>
      </c>
      <c r="AG18" s="50" cm="1">
        <f t="array" ref="AG18">SUMPRODUCT(AC18:AF18 * AC$3:AF$3) / SUM(AC$3:AF$3)</f>
        <v>2.7930087894401368</v>
      </c>
    </row>
    <row r="19" spans="1:33" x14ac:dyDescent="0.25">
      <c r="A19" s="81" t="s">
        <v>8815</v>
      </c>
      <c r="B19" s="20"/>
      <c r="C19" s="4" t="s">
        <v>8853</v>
      </c>
      <c r="E19" s="4" t="s">
        <v>8854</v>
      </c>
      <c r="F19" s="5" t="s">
        <v>8871</v>
      </c>
      <c r="G19" s="9">
        <v>1</v>
      </c>
      <c r="H19" s="1">
        <f>AVERAGEIF('GPUs Products'!F$9:F$616,GPUs!F19,'GPUs Products'!H$9:H$616)</f>
        <v>37.103333333333332</v>
      </c>
      <c r="I19" s="1">
        <f>AVERAGEIF('GPUs Products'!F$9:F$616,GPUs!F19,'GPUs Products'!I$9:I$616)</f>
        <v>37.103333333333332</v>
      </c>
      <c r="J19" s="1">
        <f>AVERAGEIF('GPUs Products'!F$9:F$616,GPUs!F19,'GPUs Products'!J$9:J$616)</f>
        <v>0.58250000000000002</v>
      </c>
      <c r="K19" s="3">
        <f>AVERAGEIF('GPUs Products'!F$9:F$616,GPUs!F19,'GPUs Products'!K$9:K$616)</f>
        <v>1219</v>
      </c>
      <c r="L19" s="3">
        <f>AVERAGEIF('GPUs Products'!F$9:F$616,GPUs!F19,'GPUs Products'!L$9:L$616)</f>
        <v>1767.5</v>
      </c>
      <c r="M19" s="49">
        <f>AVERAGEIF('GPUs Products'!F$9:F$616,GPUs!F19,'GPUs Products'!M$9:M$616)</f>
        <v>189.90000000000006</v>
      </c>
      <c r="N19" s="1">
        <f>AVERAGEIF('GPUs Products'!F$9:F$616,GPUs!F19,'GPUs Products'!N$9:N$616)</f>
        <v>556</v>
      </c>
      <c r="O19" s="3">
        <f>AVERAGEIF('GPUs Products'!F$9:F$616,GPUs!F19,'GPUs Products'!O$9:O$616)</f>
        <v>82</v>
      </c>
      <c r="P19" s="11" t="s">
        <v>2276</v>
      </c>
      <c r="Q19" s="3">
        <f>AVERAGEIF('GPUs Products'!F$9:F$616,GPUs!F19,'GPUs Products'!Q$9:Q$616)</f>
        <v>24</v>
      </c>
      <c r="R19" s="3">
        <f>AVERAGEIF('GPUs Products'!F$9:F$616,GPUs!F19,'GPUs Products'!R$9:R$616)</f>
        <v>384</v>
      </c>
      <c r="S19" s="22">
        <f>AVERAGEIF('GPUs Products'!F$9:F$616,GPUs!F19,'GPUs Products'!S$9:S$616)</f>
        <v>19.5</v>
      </c>
      <c r="T19" s="9">
        <f>AVERAGEIF('GPUs Products'!F$9:F$616,GPUs!F19,'GPUs Products'!T$9:T$616)</f>
        <v>357.5</v>
      </c>
      <c r="U19" s="14" t="s">
        <v>583</v>
      </c>
      <c r="V19" s="12">
        <v>4</v>
      </c>
      <c r="W19" s="75">
        <v>16</v>
      </c>
      <c r="X19" s="76">
        <v>16</v>
      </c>
      <c r="Y19" s="9">
        <f>AVERAGEIF('GPUs Products'!F$9:F$616,GPUs!F19,'GPUs Products'!Y$9:Y$616)</f>
        <v>2364.9016666666666</v>
      </c>
      <c r="Z19" s="3">
        <f>AVERAGEIF('GPUs Products'!F$9:F$616,GPUs!F19,'GPUs Products'!Y$9:Y$616)</f>
        <v>2364.9016666666666</v>
      </c>
      <c r="AA19" s="17"/>
      <c r="AB19" s="18"/>
      <c r="AC19" s="46" cm="1">
        <f t="array" ref="AC19">(SUMPRODUCT((H19:O19/H$9:O$9)^H$7:O$7*H$2:O$2)+SUMPRODUCT((Q19:T19/Q$9:T$9)^Q$7:T$7*Q$2:T$2))*(0.8^(1-G19))*AC$9</f>
        <v>2.5673091271451178</v>
      </c>
      <c r="AD19" s="48" cm="1">
        <f t="array" ref="AD19">(SUMPRODUCT((H19:O19/H$9:O$9)^H$7:O$7*H$3:O$3)+SUMPRODUCT((Q19:T19/Q$9:T$9)^Q$7:T$7*Q$3:T$3))*(0.1^(1-G19))*AD$9</f>
        <v>3.3122284094886689</v>
      </c>
      <c r="AE19" s="48" cm="1">
        <f t="array" ref="AE19">(SUMPRODUCT((H19:O19/H$9:O$9)^H$7:O$7*H$4:O$4)+SUMPRODUCT((Q19:T19/Q$9:T$9)^Q$7:T$7*Q$4:T$4))*AE$9</f>
        <v>2.9733348362538607</v>
      </c>
      <c r="AF19" s="47" cm="1">
        <f t="array" ref="AF19">(SUMPRODUCT((H19:O19/H$9:O$9)^H$7:O$7*H$5:O$5)+SUMPRODUCT((Q19:T19/Q$9:T$9)^Q$7:T$7*Q$5:T$5))*AF$9</f>
        <v>2.7812953655563049</v>
      </c>
      <c r="AG19" s="50" cm="1">
        <f t="array" ref="AG19">SUMPRODUCT(AC19:AF19 * AC$3:AF$3) / SUM(AC$3:AF$3)</f>
        <v>3.0619315136388159</v>
      </c>
    </row>
    <row r="20" spans="1:33" x14ac:dyDescent="0.25">
      <c r="A20" s="81" t="s">
        <v>8816</v>
      </c>
      <c r="B20" s="20"/>
      <c r="C20" s="4" t="s">
        <v>8853</v>
      </c>
      <c r="E20" s="4" t="s">
        <v>8854</v>
      </c>
      <c r="F20" s="5" t="s">
        <v>8872</v>
      </c>
      <c r="G20" s="9">
        <v>1</v>
      </c>
      <c r="H20" s="1">
        <f>AVERAGEIF('GPUs Products'!F$9:F$616,GPUs!F20,'GPUs Products'!H$9:H$616)</f>
        <v>41.612499999999997</v>
      </c>
      <c r="I20" s="1">
        <f>AVERAGEIF('GPUs Products'!F$9:F$616,GPUs!F20,'GPUs Products'!I$9:I$616)</f>
        <v>41.612499999999997</v>
      </c>
      <c r="J20" s="1">
        <f>AVERAGEIF('GPUs Products'!F$9:F$616,GPUs!F20,'GPUs Products'!J$9:J$616)</f>
        <v>0.65250000000000008</v>
      </c>
      <c r="K20" s="3">
        <f>AVERAGEIF('GPUs Products'!F$9:F$616,GPUs!F20,'GPUs Products'!K$9:K$616)</f>
        <v>1313</v>
      </c>
      <c r="L20" s="3">
        <f>AVERAGEIF('GPUs Products'!F$9:F$616,GPUs!F20,'GPUs Products'!L$9:L$616)</f>
        <v>1935</v>
      </c>
      <c r="M20" s="49">
        <f>AVERAGEIF('GPUs Products'!F$9:F$616,GPUs!F20,'GPUs Products'!M$9:M$616)</f>
        <v>174.7</v>
      </c>
      <c r="N20" s="1">
        <f>AVERAGEIF('GPUs Products'!F$9:F$616,GPUs!F20,'GPUs Products'!N$9:N$616)</f>
        <v>524.1</v>
      </c>
      <c r="O20" s="3">
        <f>AVERAGEIF('GPUs Products'!F$9:F$616,GPUs!F20,'GPUs Products'!O$9:O$616)</f>
        <v>84</v>
      </c>
      <c r="P20" s="11" t="s">
        <v>2276</v>
      </c>
      <c r="Q20" s="3">
        <f>AVERAGEIF('GPUs Products'!F$9:F$616,GPUs!F20,'GPUs Products'!Q$9:Q$616)</f>
        <v>24</v>
      </c>
      <c r="R20" s="3">
        <f>AVERAGEIF('GPUs Products'!F$9:F$616,GPUs!F20,'GPUs Products'!R$9:R$616)</f>
        <v>384</v>
      </c>
      <c r="S20" s="22">
        <f>AVERAGEIF('GPUs Products'!F$9:F$616,GPUs!F20,'GPUs Products'!S$9:S$616)</f>
        <v>21</v>
      </c>
      <c r="T20" s="9">
        <f>AVERAGEIF('GPUs Products'!F$9:F$616,GPUs!F20,'GPUs Products'!T$9:T$616)</f>
        <v>457.5</v>
      </c>
      <c r="U20" s="14" t="s">
        <v>471</v>
      </c>
      <c r="V20" s="12">
        <v>4</v>
      </c>
      <c r="W20" s="75">
        <v>16</v>
      </c>
      <c r="X20" s="76">
        <v>16</v>
      </c>
      <c r="Y20" s="9">
        <f>AVERAGEIF('GPUs Products'!F$9:F$616,GPUs!F20,'GPUs Products'!Y$9:Y$616)</f>
        <v>2462.8074999999999</v>
      </c>
      <c r="Z20" s="3">
        <f>AVERAGEIF('GPUs Products'!F$9:F$616,GPUs!F20,'GPUs Products'!Y$9:Y$616)</f>
        <v>2462.8074999999999</v>
      </c>
      <c r="AA20" s="17"/>
      <c r="AB20" s="18"/>
      <c r="AC20" s="46" cm="1">
        <f t="array" ref="AC20">(SUMPRODUCT((H20:O20/H$9:O$9)^H$7:O$7*H$2:O$2)+SUMPRODUCT((Q20:T20/Q$9:T$9)^Q$7:T$7*Q$2:T$2))*(0.8^(1-G20))*AC$9</f>
        <v>2.5755500183744835</v>
      </c>
      <c r="AD20" s="48" cm="1">
        <f t="array" ref="AD20">(SUMPRODUCT((H20:O20/H$9:O$9)^H$7:O$7*H$3:O$3)+SUMPRODUCT((Q20:T20/Q$9:T$9)^Q$7:T$7*Q$3:T$3))*(0.1^(1-G20))*AD$9</f>
        <v>3.5667960814517765</v>
      </c>
      <c r="AE20" s="48" cm="1">
        <f t="array" ref="AE20">(SUMPRODUCT((H20:O20/H$9:O$9)^H$7:O$7*H$4:O$4)+SUMPRODUCT((Q20:T20/Q$9:T$9)^Q$7:T$7*Q$4:T$4))*AE$9</f>
        <v>3.1845147234903437</v>
      </c>
      <c r="AF20" s="47" cm="1">
        <f t="array" ref="AF20">(SUMPRODUCT((H20:O20/H$9:O$9)^H$7:O$7*H$5:O$5)+SUMPRODUCT((Q20:T20/Q$9:T$9)^Q$7:T$7*Q$5:T$5))*AF$9</f>
        <v>2.8986648990074881</v>
      </c>
      <c r="AG20" s="50" cm="1">
        <f t="array" ref="AG20">SUMPRODUCT(AC20:AF20 * AC$3:AF$3) / SUM(AC$3:AF$3)</f>
        <v>3.2477575007580204</v>
      </c>
    </row>
    <row r="21" spans="1:33" x14ac:dyDescent="0.25">
      <c r="A21" s="81" t="s">
        <v>8817</v>
      </c>
      <c r="B21" s="20"/>
      <c r="C21" s="4" t="s">
        <v>8853</v>
      </c>
      <c r="E21" s="4" t="s">
        <v>8855</v>
      </c>
      <c r="F21" s="5" t="s">
        <v>8873</v>
      </c>
      <c r="G21" s="9">
        <v>1</v>
      </c>
      <c r="H21" s="1">
        <f>AVERAGEIF('GPUs Products'!F$9:F$616,GPUs!F21,'GPUs Products'!H$9:H$616)</f>
        <v>15.450512820512822</v>
      </c>
      <c r="I21" s="1">
        <f>AVERAGEIF('GPUs Products'!F$9:F$616,GPUs!F21,'GPUs Products'!I$9:I$616)</f>
        <v>15.450512820512822</v>
      </c>
      <c r="J21" s="1">
        <f>AVERAGEIF('GPUs Products'!F$9:F$616,GPUs!F21,'GPUs Products'!J$9:J$616)</f>
        <v>0.24179487179487191</v>
      </c>
      <c r="K21" s="3">
        <f>AVERAGEIF('GPUs Products'!F$9:F$616,GPUs!F21,'GPUs Products'!K$9:K$616)</f>
        <v>2125</v>
      </c>
      <c r="L21" s="3">
        <f>AVERAGEIF('GPUs Products'!F$9:F$616,GPUs!F21,'GPUs Products'!L$9:L$616)</f>
        <v>2513.8461538461538</v>
      </c>
      <c r="M21" s="49">
        <f>AVERAGEIF('GPUs Products'!F$9:F$616,GPUs!F21,'GPUs Products'!M$9:M$616)</f>
        <v>58.599999999999959</v>
      </c>
      <c r="N21" s="1">
        <f>AVERAGEIF('GPUs Products'!F$9:F$616,GPUs!F21,'GPUs Products'!N$9:N$616)</f>
        <v>175.69999999999987</v>
      </c>
      <c r="O21" s="3">
        <f>AVERAGEIF('GPUs Products'!F$9:F$616,GPUs!F21,'GPUs Products'!O$9:O$616)</f>
        <v>24</v>
      </c>
      <c r="P21" s="11" t="s">
        <v>2275</v>
      </c>
      <c r="Q21" s="3">
        <f>AVERAGEIF('GPUs Products'!F$9:F$616,GPUs!F21,'GPUs Products'!Q$9:Q$616)</f>
        <v>8</v>
      </c>
      <c r="R21" s="3">
        <f>AVERAGEIF('GPUs Products'!F$9:F$616,GPUs!F21,'GPUs Products'!R$9:R$616)</f>
        <v>128</v>
      </c>
      <c r="S21" s="22">
        <f>AVERAGEIF('GPUs Products'!F$9:F$616,GPUs!F21,'GPUs Products'!S$9:S$616)</f>
        <v>17</v>
      </c>
      <c r="T21" s="9">
        <f>AVERAGEIF('GPUs Products'!F$9:F$616,GPUs!F21,'GPUs Products'!T$9:T$616)</f>
        <v>115</v>
      </c>
      <c r="U21" s="14" t="s">
        <v>446</v>
      </c>
      <c r="V21" s="12">
        <v>4</v>
      </c>
      <c r="W21" s="75">
        <v>16</v>
      </c>
      <c r="X21" s="76">
        <v>8</v>
      </c>
      <c r="Y21" s="9">
        <f>AVERAGEIF('GPUs Products'!F$9:F$616,GPUs!F21,'GPUs Products'!Y$9:Y$616)</f>
        <v>431.66051282051279</v>
      </c>
      <c r="Z21" s="3">
        <f>AVERAGEIF('GPUs Products'!F$9:F$616,GPUs!F21,'GPUs Products'!Y$9:Y$616)</f>
        <v>431.66051282051279</v>
      </c>
      <c r="AA21" s="17"/>
      <c r="AB21" s="18"/>
      <c r="AC21" s="46" cm="1">
        <f t="array" ref="AC21">(SUMPRODUCT((H21:O21/H$9:O$9)^H$7:O$7*H$2:O$2)+SUMPRODUCT((Q21:T21/Q$9:T$9)^Q$7:T$7*Q$2:T$2))*(0.8^(1-G21))*AC$9</f>
        <v>1.512620839244557</v>
      </c>
      <c r="AD21" s="48" cm="1">
        <f t="array" ref="AD21">(SUMPRODUCT((H21:O21/H$9:O$9)^H$7:O$7*H$3:O$3)+SUMPRODUCT((Q21:T21/Q$9:T$9)^Q$7:T$7*Q$3:T$3))*(0.1^(1-G21))*AD$9</f>
        <v>1.6988456963574596</v>
      </c>
      <c r="AE21" s="48" cm="1">
        <f t="array" ref="AE21">(SUMPRODUCT((H21:O21/H$9:O$9)^H$7:O$7*H$4:O$4)+SUMPRODUCT((Q21:T21/Q$9:T$9)^Q$7:T$7*Q$4:T$4))*AE$9</f>
        <v>1.5120285514001965</v>
      </c>
      <c r="AF21" s="47" cm="1">
        <f t="array" ref="AF21">(SUMPRODUCT((H21:O21/H$9:O$9)^H$7:O$7*H$5:O$5)+SUMPRODUCT((Q21:T21/Q$9:T$9)^Q$7:T$7*Q$5:T$5))*AF$9</f>
        <v>1.4726372310639788</v>
      </c>
      <c r="AG21" s="50" cm="1">
        <f t="array" ref="AG21">SUMPRODUCT(AC21:AF21 * AC$3:AF$3) / SUM(AC$3:AF$3)</f>
        <v>1.6093493487389221</v>
      </c>
    </row>
    <row r="22" spans="1:33" x14ac:dyDescent="0.25">
      <c r="A22" s="81" t="s">
        <v>8818</v>
      </c>
      <c r="B22" s="20"/>
      <c r="C22" s="4" t="s">
        <v>8853</v>
      </c>
      <c r="E22" s="4" t="s">
        <v>8855</v>
      </c>
      <c r="F22" s="5" t="s">
        <v>8874</v>
      </c>
      <c r="G22" s="9">
        <v>1</v>
      </c>
      <c r="H22" s="1">
        <f>AVERAGEIF('GPUs Products'!F$9:F$616,GPUs!F22,'GPUs Products'!H$9:H$616)</f>
        <v>22.46974358974359</v>
      </c>
      <c r="I22" s="1">
        <f>AVERAGEIF('GPUs Products'!F$9:F$616,GPUs!F22,'GPUs Products'!I$9:I$616)</f>
        <v>22.46974358974359</v>
      </c>
      <c r="J22" s="1">
        <f>AVERAGEIF('GPUs Products'!F$9:F$616,GPUs!F22,'GPUs Products'!J$9:J$616)</f>
        <v>0.35076923076923056</v>
      </c>
      <c r="K22" s="3">
        <f>AVERAGEIF('GPUs Products'!F$9:F$616,GPUs!F22,'GPUs Products'!K$9:K$616)</f>
        <v>2250</v>
      </c>
      <c r="L22" s="3">
        <f>AVERAGEIF('GPUs Products'!F$9:F$616,GPUs!F22,'GPUs Products'!L$9:L$616)</f>
        <v>2581.2820512820513</v>
      </c>
      <c r="M22" s="49">
        <f>AVERAGEIF('GPUs Products'!F$9:F$616,GPUs!F22,'GPUs Products'!M$9:M$616)</f>
        <v>121.69999999999992</v>
      </c>
      <c r="N22" s="1">
        <f>AVERAGEIF('GPUs Products'!F$9:F$616,GPUs!F22,'GPUs Products'!N$9:N$616)</f>
        <v>344.79999999999978</v>
      </c>
      <c r="O22" s="3">
        <f>AVERAGEIF('GPUs Products'!F$9:F$616,GPUs!F22,'GPUs Products'!O$9:O$616)</f>
        <v>30</v>
      </c>
      <c r="P22" s="11" t="s">
        <v>2275</v>
      </c>
      <c r="Q22" s="3">
        <f>AVERAGEIF('GPUs Products'!F$9:F$616,GPUs!F22,'GPUs Products'!Q$9:Q$616)</f>
        <v>8</v>
      </c>
      <c r="R22" s="3">
        <f>AVERAGEIF('GPUs Products'!F$9:F$616,GPUs!F22,'GPUs Products'!R$9:R$616)</f>
        <v>128</v>
      </c>
      <c r="S22" s="22">
        <f>AVERAGEIF('GPUs Products'!F$9:F$616,GPUs!F22,'GPUs Products'!S$9:S$616)</f>
        <v>18</v>
      </c>
      <c r="T22" s="9">
        <f>AVERAGEIF('GPUs Products'!F$9:F$616,GPUs!F22,'GPUs Products'!T$9:T$616)</f>
        <v>160.25641025641025</v>
      </c>
      <c r="U22" s="14" t="s">
        <v>446</v>
      </c>
      <c r="V22" s="12">
        <v>4</v>
      </c>
      <c r="W22" s="75">
        <v>16</v>
      </c>
      <c r="X22" s="76">
        <v>8</v>
      </c>
      <c r="Y22" s="9">
        <f>AVERAGEIF('GPUs Products'!F$9:F$616,GPUs!F22,'GPUs Products'!Y$9:Y$616)</f>
        <v>530.68128205128221</v>
      </c>
      <c r="Z22" s="3">
        <f>AVERAGEIF('GPUs Products'!F$9:F$616,GPUs!F22,'GPUs Products'!Y$9:Y$616)</f>
        <v>530.68128205128221</v>
      </c>
      <c r="AA22" s="17"/>
      <c r="AB22" s="18"/>
      <c r="AC22" s="46" cm="1">
        <f t="array" ref="AC22">(SUMPRODUCT((H22:O22/H$9:O$9)^H$7:O$7*H$2:O$2)+SUMPRODUCT((Q22:T22/Q$9:T$9)^Q$7:T$7*Q$2:T$2))*(0.8^(1-G22))*AC$9</f>
        <v>1.8927044557055932</v>
      </c>
      <c r="AD22" s="48" cm="1">
        <f t="array" ref="AD22">(SUMPRODUCT((H22:O22/H$9:O$9)^H$7:O$7*H$3:O$3)+SUMPRODUCT((Q22:T22/Q$9:T$9)^Q$7:T$7*Q$3:T$3))*(0.1^(1-G22))*AD$9</f>
        <v>2.1236943908462358</v>
      </c>
      <c r="AE22" s="48" cm="1">
        <f t="array" ref="AE22">(SUMPRODUCT((H22:O22/H$9:O$9)^H$7:O$7*H$4:O$4)+SUMPRODUCT((Q22:T22/Q$9:T$9)^Q$7:T$7*Q$4:T$4))*AE$9</f>
        <v>1.8733324759068415</v>
      </c>
      <c r="AF22" s="47" cm="1">
        <f t="array" ref="AF22">(SUMPRODUCT((H22:O22/H$9:O$9)^H$7:O$7*H$5:O$5)+SUMPRODUCT((Q22:T22/Q$9:T$9)^Q$7:T$7*Q$5:T$5))*AF$9</f>
        <v>1.8575158097884994</v>
      </c>
      <c r="AG22" s="50" cm="1">
        <f t="array" ref="AG22">SUMPRODUCT(AC22:AF22 * AC$3:AF$3) / SUM(AC$3:AF$3)</f>
        <v>2.0130149809310178</v>
      </c>
    </row>
    <row r="23" spans="1:33" x14ac:dyDescent="0.25">
      <c r="A23" s="81" t="s">
        <v>8819</v>
      </c>
      <c r="B23" s="20"/>
      <c r="C23" s="4" t="s">
        <v>8853</v>
      </c>
      <c r="E23" s="4" t="s">
        <v>8855</v>
      </c>
      <c r="F23" s="5" t="s">
        <v>8875</v>
      </c>
      <c r="G23" s="9">
        <v>1</v>
      </c>
      <c r="H23" s="1">
        <f>AVERAGEIF('GPUs Products'!F$9:F$616,GPUs!F23,'GPUs Products'!H$9:H$616)</f>
        <v>22.650000000000002</v>
      </c>
      <c r="I23" s="1">
        <f>AVERAGEIF('GPUs Products'!F$9:F$616,GPUs!F23,'GPUs Products'!I$9:I$616)</f>
        <v>22.650000000000002</v>
      </c>
      <c r="J23" s="1">
        <f>AVERAGEIF('GPUs Products'!F$9:F$616,GPUs!F23,'GPUs Products'!J$9:J$616)</f>
        <v>0.35368421052631577</v>
      </c>
      <c r="K23" s="3">
        <f>AVERAGEIF('GPUs Products'!F$9:F$616,GPUs!F23,'GPUs Products'!K$9:K$616)</f>
        <v>2250</v>
      </c>
      <c r="L23" s="3">
        <f>AVERAGEIF('GPUs Products'!F$9:F$616,GPUs!F23,'GPUs Products'!L$9:L$616)</f>
        <v>2602.1052631578946</v>
      </c>
      <c r="M23" s="49">
        <f>AVERAGEIF('GPUs Products'!F$9:F$616,GPUs!F23,'GPUs Products'!M$9:M$616)</f>
        <v>121.7</v>
      </c>
      <c r="N23" s="1">
        <f>AVERAGEIF('GPUs Products'!F$9:F$616,GPUs!F23,'GPUs Products'!N$9:N$616)</f>
        <v>344.80000000000013</v>
      </c>
      <c r="O23" s="3">
        <f>AVERAGEIF('GPUs Products'!F$9:F$616,GPUs!F23,'GPUs Products'!O$9:O$616)</f>
        <v>30</v>
      </c>
      <c r="P23" s="11" t="s">
        <v>2275</v>
      </c>
      <c r="Q23" s="3">
        <f>AVERAGEIF('GPUs Products'!F$9:F$616,GPUs!F23,'GPUs Products'!Q$9:Q$616)</f>
        <v>16</v>
      </c>
      <c r="R23" s="3">
        <f>AVERAGEIF('GPUs Products'!F$9:F$616,GPUs!F23,'GPUs Products'!R$9:R$616)</f>
        <v>128</v>
      </c>
      <c r="S23" s="22">
        <f>AVERAGEIF('GPUs Products'!F$9:F$616,GPUs!F23,'GPUs Products'!S$9:S$616)</f>
        <v>18</v>
      </c>
      <c r="T23" s="9">
        <f>AVERAGEIF('GPUs Products'!F$9:F$616,GPUs!F23,'GPUs Products'!T$9:T$616)</f>
        <v>165</v>
      </c>
      <c r="U23" s="14" t="s">
        <v>446</v>
      </c>
      <c r="V23" s="12">
        <v>4</v>
      </c>
      <c r="W23" s="75">
        <v>16</v>
      </c>
      <c r="X23" s="76">
        <v>8</v>
      </c>
      <c r="Y23" s="9">
        <f>AVERAGEIF('GPUs Products'!F$9:F$616,GPUs!F23,'GPUs Products'!Y$9:Y$616)</f>
        <v>695.19</v>
      </c>
      <c r="Z23" s="3">
        <f>AVERAGEIF('GPUs Products'!F$9:F$616,GPUs!F23,'GPUs Products'!Y$9:Y$616)</f>
        <v>695.19</v>
      </c>
      <c r="AA23" s="17"/>
      <c r="AB23" s="18"/>
      <c r="AC23" s="46" cm="1">
        <f t="array" ref="AC23">(SUMPRODUCT((H23:O23/H$9:O$9)^H$7:O$7*H$2:O$2)+SUMPRODUCT((Q23:T23/Q$9:T$9)^Q$7:T$7*Q$2:T$2))*(0.8^(1-G23))*AC$9</f>
        <v>1.9644698979900848</v>
      </c>
      <c r="AD23" s="48" cm="1">
        <f t="array" ref="AD23">(SUMPRODUCT((H23:O23/H$9:O$9)^H$7:O$7*H$3:O$3)+SUMPRODUCT((Q23:T23/Q$9:T$9)^Q$7:T$7*Q$3:T$3))*(0.1^(1-G23))*AD$9</f>
        <v>2.2716143167882787</v>
      </c>
      <c r="AE23" s="48" cm="1">
        <f t="array" ref="AE23">(SUMPRODUCT((H23:O23/H$9:O$9)^H$7:O$7*H$4:O$4)+SUMPRODUCT((Q23:T23/Q$9:T$9)^Q$7:T$7*Q$4:T$4))*AE$9</f>
        <v>1.9852908496813826</v>
      </c>
      <c r="AF23" s="47" cm="1">
        <f t="array" ref="AF23">(SUMPRODUCT((H23:O23/H$9:O$9)^H$7:O$7*H$5:O$5)+SUMPRODUCT((Q23:T23/Q$9:T$9)^Q$7:T$7*Q$5:T$5))*AF$9</f>
        <v>1.9318200635137304</v>
      </c>
      <c r="AG23" s="50" cm="1">
        <f t="array" ref="AG23">SUMPRODUCT(AC23:AF23 * AC$3:AF$3) / SUM(AC$3:AF$3)</f>
        <v>2.1319774862087222</v>
      </c>
    </row>
    <row r="24" spans="1:33" x14ac:dyDescent="0.25">
      <c r="A24" s="81" t="s">
        <v>8820</v>
      </c>
      <c r="B24" s="20"/>
      <c r="C24" s="4" t="s">
        <v>8853</v>
      </c>
      <c r="E24" s="4" t="s">
        <v>8855</v>
      </c>
      <c r="F24" s="5" t="s">
        <v>8876</v>
      </c>
      <c r="G24" s="9">
        <v>1</v>
      </c>
      <c r="H24" s="1">
        <f>AVERAGEIF('GPUs Products'!F$9:F$616,GPUs!F24,'GPUs Products'!H$9:H$616)</f>
        <v>29.774081632653058</v>
      </c>
      <c r="I24" s="1">
        <f>AVERAGEIF('GPUs Products'!F$9:F$616,GPUs!F24,'GPUs Products'!I$9:I$616)</f>
        <v>29.774081632653058</v>
      </c>
      <c r="J24" s="1">
        <f>AVERAGEIF('GPUs Products'!F$9:F$616,GPUs!F24,'GPUs Products'!J$9:J$616)</f>
        <v>0.46530612244897995</v>
      </c>
      <c r="K24" s="3">
        <f>AVERAGEIF('GPUs Products'!F$9:F$616,GPUs!F24,'GPUs Products'!K$9:K$616)</f>
        <v>1579.4693877551019</v>
      </c>
      <c r="L24" s="3">
        <f>AVERAGEIF('GPUs Products'!F$9:F$616,GPUs!F24,'GPUs Products'!L$9:L$616)</f>
        <v>2528.2653061224491</v>
      </c>
      <c r="M24" s="49">
        <f>AVERAGEIF('GPUs Products'!F$9:F$616,GPUs!F24,'GPUs Products'!M$9:M$616)</f>
        <v>122.89999999999993</v>
      </c>
      <c r="N24" s="1">
        <f>AVERAGEIF('GPUs Products'!F$9:F$616,GPUs!F24,'GPUs Products'!N$9:N$616)</f>
        <v>353.29999999999973</v>
      </c>
      <c r="O24" s="3">
        <f>AVERAGEIF('GPUs Products'!F$9:F$616,GPUs!F24,'GPUs Products'!O$9:O$616)</f>
        <v>46</v>
      </c>
      <c r="P24" s="11" t="s">
        <v>2275</v>
      </c>
      <c r="Q24" s="3">
        <f>AVERAGEIF('GPUs Products'!F$9:F$616,GPUs!F24,'GPUs Products'!Q$9:Q$616)</f>
        <v>12</v>
      </c>
      <c r="R24" s="3">
        <f>AVERAGEIF('GPUs Products'!F$9:F$616,GPUs!F24,'GPUs Products'!R$9:R$616)</f>
        <v>192</v>
      </c>
      <c r="S24" s="22">
        <f>AVERAGEIF('GPUs Products'!F$9:F$616,GPUs!F24,'GPUs Products'!S$9:S$616)</f>
        <v>20.775510204081634</v>
      </c>
      <c r="T24" s="9">
        <f>AVERAGEIF('GPUs Products'!F$9:F$616,GPUs!F24,'GPUs Products'!T$9:T$616)</f>
        <v>200.91836734693877</v>
      </c>
      <c r="U24" s="14" t="s">
        <v>446</v>
      </c>
      <c r="V24" s="12">
        <v>4</v>
      </c>
      <c r="W24" s="75">
        <v>16</v>
      </c>
      <c r="X24" s="76">
        <v>16</v>
      </c>
      <c r="Y24" s="9">
        <f>AVERAGEIF('GPUs Products'!F$9:F$616,GPUs!F24,'GPUs Products'!Y$9:Y$616)</f>
        <v>868.70877551020419</v>
      </c>
      <c r="Z24" s="3">
        <f>AVERAGEIF('GPUs Products'!F$9:F$616,GPUs!F24,'GPUs Products'!Y$9:Y$616)</f>
        <v>868.70877551020419</v>
      </c>
      <c r="AA24" s="17"/>
      <c r="AB24" s="18"/>
      <c r="AC24" s="46" cm="1">
        <f t="array" ref="AC24">(SUMPRODUCT((H24:O24/H$9:O$9)^H$7:O$7*H$2:O$2)+SUMPRODUCT((Q24:T24/Q$9:T$9)^Q$7:T$7*Q$2:T$2))*(0.8^(1-G24))*AC$9</f>
        <v>2.0351217251055966</v>
      </c>
      <c r="AD24" s="48" cm="1">
        <f t="array" ref="AD24">(SUMPRODUCT((H24:O24/H$9:O$9)^H$7:O$7*H$3:O$3)+SUMPRODUCT((Q24:T24/Q$9:T$9)^Q$7:T$7*Q$3:T$3))*(0.1^(1-G24))*AD$9</f>
        <v>2.648094531834837</v>
      </c>
      <c r="AE24" s="48" cm="1">
        <f t="array" ref="AE24">(SUMPRODUCT((H24:O24/H$9:O$9)^H$7:O$7*H$4:O$4)+SUMPRODUCT((Q24:T24/Q$9:T$9)^Q$7:T$7*Q$4:T$4))*AE$9</f>
        <v>2.342066350573289</v>
      </c>
      <c r="AF24" s="47" cm="1">
        <f t="array" ref="AF24">(SUMPRODUCT((H24:O24/H$9:O$9)^H$7:O$7*H$5:O$5)+SUMPRODUCT((Q24:T24/Q$9:T$9)^Q$7:T$7*Q$5:T$5))*AF$9</f>
        <v>2.1787358471133063</v>
      </c>
      <c r="AG24" s="50" cm="1">
        <f t="array" ref="AG24">SUMPRODUCT(AC24:AF24 * AC$3:AF$3) / SUM(AC$3:AF$3)</f>
        <v>2.4337028186750924</v>
      </c>
    </row>
    <row r="25" spans="1:33" x14ac:dyDescent="0.25">
      <c r="A25" s="81" t="s">
        <v>8821</v>
      </c>
      <c r="B25" s="20"/>
      <c r="C25" s="4" t="s">
        <v>8853</v>
      </c>
      <c r="E25" s="4" t="s">
        <v>8855</v>
      </c>
      <c r="F25" s="5" t="s">
        <v>8877</v>
      </c>
      <c r="G25" s="9">
        <v>1</v>
      </c>
      <c r="H25" s="1">
        <f>AVERAGEIF('GPUs Products'!F$9:F$616,GPUs!F25,'GPUs Products'!H$9:H$616)</f>
        <v>36.433999999999997</v>
      </c>
      <c r="I25" s="1">
        <f>AVERAGEIF('GPUs Products'!F$9:F$616,GPUs!F25,'GPUs Products'!I$9:I$616)</f>
        <v>36.433999999999997</v>
      </c>
      <c r="J25" s="1">
        <f>AVERAGEIF('GPUs Products'!F$9:F$616,GPUs!F25,'GPUs Products'!J$9:J$616)</f>
        <v>0.5674285714285715</v>
      </c>
      <c r="K25" s="3">
        <f>AVERAGEIF('GPUs Products'!F$9:F$616,GPUs!F25,'GPUs Products'!K$9:K$616)</f>
        <v>1313</v>
      </c>
      <c r="L25" s="3">
        <f>AVERAGEIF('GPUs Products'!F$9:F$616,GPUs!F25,'GPUs Products'!L$9:L$616)</f>
        <v>2541.4285714285716</v>
      </c>
      <c r="M25" s="49">
        <f>AVERAGEIF('GPUs Products'!F$9:F$616,GPUs!F25,'GPUs Products'!M$9:M$616)</f>
        <v>158.39999999999995</v>
      </c>
      <c r="N25" s="1">
        <f>AVERAGEIF('GPUs Products'!F$9:F$616,GPUs!F25,'GPUs Products'!N$9:N$616)</f>
        <v>443.5</v>
      </c>
      <c r="O25" s="3">
        <f>AVERAGEIF('GPUs Products'!F$9:F$616,GPUs!F25,'GPUs Products'!O$9:O$616)</f>
        <v>46</v>
      </c>
      <c r="P25" s="11" t="s">
        <v>2276</v>
      </c>
      <c r="Q25" s="3">
        <f>AVERAGEIF('GPUs Products'!F$9:F$616,GPUs!F25,'GPUs Products'!Q$9:Q$616)</f>
        <v>12</v>
      </c>
      <c r="R25" s="3">
        <f>AVERAGEIF('GPUs Products'!F$9:F$616,GPUs!F25,'GPUs Products'!R$9:R$616)</f>
        <v>192</v>
      </c>
      <c r="S25" s="22">
        <f>AVERAGEIF('GPUs Products'!F$9:F$616,GPUs!F25,'GPUs Products'!S$9:S$616)</f>
        <v>21</v>
      </c>
      <c r="T25" s="9">
        <f>AVERAGEIF('GPUs Products'!F$9:F$616,GPUs!F25,'GPUs Products'!T$9:T$616)</f>
        <v>221.42857142857142</v>
      </c>
      <c r="U25" s="14" t="s">
        <v>527</v>
      </c>
      <c r="V25" s="12">
        <v>4</v>
      </c>
      <c r="W25" s="75">
        <v>16</v>
      </c>
      <c r="X25" s="76">
        <v>16</v>
      </c>
      <c r="Y25" s="9">
        <f>AVERAGEIF('GPUs Products'!F$9:F$616,GPUs!F25,'GPUs Products'!Y$9:Y$616)</f>
        <v>1049.9894285714286</v>
      </c>
      <c r="Z25" s="3">
        <f>AVERAGEIF('GPUs Products'!F$9:F$616,GPUs!F25,'GPUs Products'!Y$9:Y$616)</f>
        <v>1049.9894285714286</v>
      </c>
      <c r="AA25" s="17"/>
      <c r="AB25" s="18"/>
      <c r="AC25" s="46" cm="1">
        <f t="array" ref="AC25">(SUMPRODUCT((H25:O25/H$9:O$9)^H$7:O$7*H$2:O$2)+SUMPRODUCT((Q25:T25/Q$9:T$9)^Q$7:T$7*Q$2:T$2))*(0.8^(1-G25))*AC$9</f>
        <v>2.2054633068479927</v>
      </c>
      <c r="AD25" s="48" cm="1">
        <f t="array" ref="AD25">(SUMPRODUCT((H25:O25/H$9:O$9)^H$7:O$7*H$3:O$3)+SUMPRODUCT((Q25:T25/Q$9:T$9)^Q$7:T$7*Q$3:T$3))*(0.1^(1-G25))*AD$9</f>
        <v>3.0127827927985376</v>
      </c>
      <c r="AE25" s="48" cm="1">
        <f t="array" ref="AE25">(SUMPRODUCT((H25:O25/H$9:O$9)^H$7:O$7*H$4:O$4)+SUMPRODUCT((Q25:T25/Q$9:T$9)^Q$7:T$7*Q$4:T$4))*AE$9</f>
        <v>2.6391344346444217</v>
      </c>
      <c r="AF25" s="47" cm="1">
        <f t="array" ref="AF25">(SUMPRODUCT((H25:O25/H$9:O$9)^H$7:O$7*H$5:O$5)+SUMPRODUCT((Q25:T25/Q$9:T$9)^Q$7:T$7*Q$5:T$5))*AF$9</f>
        <v>2.4233986319375402</v>
      </c>
      <c r="AG25" s="50" cm="1">
        <f t="array" ref="AG25">SUMPRODUCT(AC25:AF25 * AC$3:AF$3) / SUM(AC$3:AF$3)</f>
        <v>2.7384823674239342</v>
      </c>
    </row>
    <row r="26" spans="1:33" x14ac:dyDescent="0.25">
      <c r="A26" s="81" t="s">
        <v>8822</v>
      </c>
      <c r="B26" s="20"/>
      <c r="C26" s="4" t="s">
        <v>8853</v>
      </c>
      <c r="E26" s="4" t="s">
        <v>8855</v>
      </c>
      <c r="F26" s="5" t="s">
        <v>8878</v>
      </c>
      <c r="G26" s="9">
        <v>1</v>
      </c>
      <c r="H26" s="1">
        <f>AVERAGEIF('GPUs Products'!F$9:F$616,GPUs!F26,'GPUs Products'!H$9:H$616)</f>
        <v>41.018518518518519</v>
      </c>
      <c r="I26" s="1">
        <f>AVERAGEIF('GPUs Products'!F$9:F$616,GPUs!F26,'GPUs Products'!I$9:I$616)</f>
        <v>41.018518518518519</v>
      </c>
      <c r="J26" s="1">
        <f>AVERAGEIF('GPUs Products'!F$9:F$616,GPUs!F26,'GPUs Products'!J$9:J$616)</f>
        <v>0.64074074074074094</v>
      </c>
      <c r="K26" s="3">
        <f>AVERAGEIF('GPUs Products'!F$9:F$616,GPUs!F26,'GPUs Products'!K$9:K$616)</f>
        <v>1313</v>
      </c>
      <c r="L26" s="3">
        <f>AVERAGEIF('GPUs Products'!F$9:F$616,GPUs!F26,'GPUs Products'!L$9:L$616)</f>
        <v>2670.5555555555557</v>
      </c>
      <c r="M26" s="49">
        <f>AVERAGEIF('GPUs Products'!F$9:F$616,GPUs!F26,'GPUs Products'!M$9:M$616)</f>
        <v>184.80000000000007</v>
      </c>
      <c r="N26" s="1">
        <f>AVERAGEIF('GPUs Products'!F$9:F$616,GPUs!F26,'GPUs Products'!N$9:N$616)</f>
        <v>554.39999999999975</v>
      </c>
      <c r="O26" s="3">
        <f>AVERAGEIF('GPUs Products'!F$9:F$616,GPUs!F26,'GPUs Products'!O$9:O$616)</f>
        <v>60</v>
      </c>
      <c r="P26" s="11" t="s">
        <v>2276</v>
      </c>
      <c r="Q26" s="3">
        <f>AVERAGEIF('GPUs Products'!F$9:F$616,GPUs!F26,'GPUs Products'!Q$9:Q$616)</f>
        <v>12</v>
      </c>
      <c r="R26" s="3">
        <f>AVERAGEIF('GPUs Products'!F$9:F$616,GPUs!F26,'GPUs Products'!R$9:R$616)</f>
        <v>192</v>
      </c>
      <c r="S26" s="22">
        <f>AVERAGEIF('GPUs Products'!F$9:F$616,GPUs!F26,'GPUs Products'!S$9:S$616)</f>
        <v>21</v>
      </c>
      <c r="T26" s="9">
        <f>AVERAGEIF('GPUs Products'!F$9:F$616,GPUs!F26,'GPUs Products'!T$9:T$616)</f>
        <v>285</v>
      </c>
      <c r="U26" s="14" t="s">
        <v>527</v>
      </c>
      <c r="V26" s="12">
        <v>4</v>
      </c>
      <c r="W26" s="75">
        <v>16</v>
      </c>
      <c r="X26" s="76">
        <v>16</v>
      </c>
      <c r="Y26" s="9">
        <f>AVERAGEIF('GPUs Products'!F$9:F$616,GPUs!F26,'GPUs Products'!Y$9:Y$616)</f>
        <v>1376.2125925925927</v>
      </c>
      <c r="Z26" s="3">
        <f>AVERAGEIF('GPUs Products'!F$9:F$616,GPUs!F26,'GPUs Products'!Y$9:Y$616)</f>
        <v>1376.2125925925927</v>
      </c>
      <c r="AA26" s="17"/>
      <c r="AB26" s="18"/>
      <c r="AC26" s="46" cm="1">
        <f t="array" ref="AC26">(SUMPRODUCT((H26:O26/H$9:O$9)^H$7:O$7*H$2:O$2)+SUMPRODUCT((Q26:T26/Q$9:T$9)^Q$7:T$7*Q$2:T$2))*(0.8^(1-G26))*AC$9</f>
        <v>2.4367461880321959</v>
      </c>
      <c r="AD26" s="48" cm="1">
        <f t="array" ref="AD26">(SUMPRODUCT((H26:O26/H$9:O$9)^H$7:O$7*H$3:O$3)+SUMPRODUCT((Q26:T26/Q$9:T$9)^Q$7:T$7*Q$3:T$3))*(0.1^(1-G26))*AD$9</f>
        <v>3.2642502932979922</v>
      </c>
      <c r="AE26" s="48" cm="1">
        <f t="array" ref="AE26">(SUMPRODUCT((H26:O26/H$9:O$9)^H$7:O$7*H$4:O$4)+SUMPRODUCT((Q26:T26/Q$9:T$9)^Q$7:T$7*Q$4:T$4))*AE$9</f>
        <v>2.8477798395228056</v>
      </c>
      <c r="AF26" s="47" cm="1">
        <f t="array" ref="AF26">(SUMPRODUCT((H26:O26/H$9:O$9)^H$7:O$7*H$5:O$5)+SUMPRODUCT((Q26:T26/Q$9:T$9)^Q$7:T$7*Q$5:T$5))*AF$9</f>
        <v>2.6692801291887767</v>
      </c>
      <c r="AG26" s="50" cm="1">
        <f t="array" ref="AG26">SUMPRODUCT(AC26:AF26 * AC$3:AF$3) / SUM(AC$3:AF$3)</f>
        <v>2.9808967535382473</v>
      </c>
    </row>
    <row r="27" spans="1:33" x14ac:dyDescent="0.25">
      <c r="A27" s="81" t="s">
        <v>8823</v>
      </c>
      <c r="B27" s="20"/>
      <c r="C27" s="4" t="s">
        <v>8853</v>
      </c>
      <c r="E27" s="4" t="s">
        <v>8855</v>
      </c>
      <c r="F27" s="5" t="s">
        <v>8879</v>
      </c>
      <c r="G27" s="9">
        <v>1</v>
      </c>
      <c r="H27" s="1">
        <f>AVERAGEIF('GPUs Products'!F$9:F$616,GPUs!F27,'GPUs Products'!H$9:H$616)</f>
        <v>44.773749999999978</v>
      </c>
      <c r="I27" s="1">
        <f>AVERAGEIF('GPUs Products'!F$9:F$616,GPUs!F27,'GPUs Products'!I$9:I$616)</f>
        <v>44.773749999999978</v>
      </c>
      <c r="J27" s="1">
        <f>AVERAGEIF('GPUs Products'!F$9:F$616,GPUs!F27,'GPUs Products'!J$9:J$616)</f>
        <v>0.69968749999999991</v>
      </c>
      <c r="K27" s="3">
        <f>AVERAGEIF('GPUs Products'!F$9:F$616,GPUs!F27,'GPUs Products'!K$9:K$616)</f>
        <v>1313</v>
      </c>
      <c r="L27" s="3">
        <f>AVERAGEIF('GPUs Products'!F$9:F$616,GPUs!F27,'GPUs Products'!L$9:L$616)</f>
        <v>2649.84375</v>
      </c>
      <c r="M27" s="49">
        <f>AVERAGEIF('GPUs Products'!F$9:F$616,GPUs!F27,'GPUs Products'!M$9:M$616)</f>
        <v>224.60000000000011</v>
      </c>
      <c r="N27" s="1">
        <f>AVERAGEIF('GPUs Products'!F$9:F$616,GPUs!F27,'GPUs Products'!N$9:N$616)</f>
        <v>617.79999999999961</v>
      </c>
      <c r="O27" s="3">
        <f>AVERAGEIF('GPUs Products'!F$9:F$616,GPUs!F27,'GPUs Products'!O$9:O$616)</f>
        <v>60</v>
      </c>
      <c r="P27" s="11" t="s">
        <v>2276</v>
      </c>
      <c r="Q27" s="3">
        <f>AVERAGEIF('GPUs Products'!F$9:F$616,GPUs!F27,'GPUs Products'!Q$9:Q$616)</f>
        <v>16</v>
      </c>
      <c r="R27" s="3">
        <f>AVERAGEIF('GPUs Products'!F$9:F$616,GPUs!F27,'GPUs Products'!R$9:R$616)</f>
        <v>256</v>
      </c>
      <c r="S27" s="22">
        <f>AVERAGEIF('GPUs Products'!F$9:F$616,GPUs!F27,'GPUs Products'!S$9:S$616)</f>
        <v>21</v>
      </c>
      <c r="T27" s="9">
        <f>AVERAGEIF('GPUs Products'!F$9:F$616,GPUs!F27,'GPUs Products'!T$9:T$616)</f>
        <v>285</v>
      </c>
      <c r="U27" s="14" t="s">
        <v>527</v>
      </c>
      <c r="V27" s="12">
        <v>4</v>
      </c>
      <c r="W27" s="75">
        <v>16</v>
      </c>
      <c r="X27" s="76">
        <v>16</v>
      </c>
      <c r="Y27" s="9">
        <f>AVERAGEIF('GPUs Products'!F$9:F$616,GPUs!F27,'GPUs Products'!Y$9:Y$616)</f>
        <v>1558.8225000000004</v>
      </c>
      <c r="Z27" s="3">
        <f>AVERAGEIF('GPUs Products'!F$9:F$616,GPUs!F27,'GPUs Products'!Y$9:Y$616)</f>
        <v>1558.8225000000004</v>
      </c>
      <c r="AA27" s="17"/>
      <c r="AB27" s="18"/>
      <c r="AC27" s="46" cm="1">
        <f t="array" ref="AC27">(SUMPRODUCT((H27:O27/H$9:O$9)^H$7:O$7*H$2:O$2)+SUMPRODUCT((Q27:T27/Q$9:T$9)^Q$7:T$7*Q$2:T$2))*(0.8^(1-G27))*AC$9</f>
        <v>2.6575513959250894</v>
      </c>
      <c r="AD27" s="48" cm="1">
        <f t="array" ref="AD27">(SUMPRODUCT((H27:O27/H$9:O$9)^H$7:O$7*H$3:O$3)+SUMPRODUCT((Q27:T27/Q$9:T$9)^Q$7:T$7*Q$3:T$3))*(0.1^(1-G27))*AD$9</f>
        <v>3.5717748675496783</v>
      </c>
      <c r="AE27" s="48" cm="1">
        <f t="array" ref="AE27">(SUMPRODUCT((H27:O27/H$9:O$9)^H$7:O$7*H$4:O$4)+SUMPRODUCT((Q27:T27/Q$9:T$9)^Q$7:T$7*Q$4:T$4))*AE$9</f>
        <v>3.1229935402320765</v>
      </c>
      <c r="AF27" s="47" cm="1">
        <f t="array" ref="AF27">(SUMPRODUCT((H27:O27/H$9:O$9)^H$7:O$7*H$5:O$5)+SUMPRODUCT((Q27:T27/Q$9:T$9)^Q$7:T$7*Q$5:T$5))*AF$9</f>
        <v>2.9057723074640007</v>
      </c>
      <c r="AG27" s="50" cm="1">
        <f t="array" ref="AG27">SUMPRODUCT(AC27:AF27 * AC$3:AF$3) / SUM(AC$3:AF$3)</f>
        <v>3.2585392703404561</v>
      </c>
    </row>
    <row r="28" spans="1:33" x14ac:dyDescent="0.25">
      <c r="A28" s="81" t="s">
        <v>8824</v>
      </c>
      <c r="B28" s="20"/>
      <c r="C28" s="4" t="s">
        <v>8853</v>
      </c>
      <c r="E28" s="4" t="s">
        <v>8855</v>
      </c>
      <c r="F28" s="5" t="s">
        <v>8880</v>
      </c>
      <c r="G28" s="9">
        <v>1</v>
      </c>
      <c r="H28" s="1">
        <f>AVERAGEIF('GPUs Products'!F$9:F$616,GPUs!F28,'GPUs Products'!H$9:H$616)</f>
        <v>50.278571428571425</v>
      </c>
      <c r="I28" s="1">
        <f>AVERAGEIF('GPUs Products'!F$9:F$616,GPUs!F28,'GPUs Products'!I$9:I$616)</f>
        <v>50.278571428571425</v>
      </c>
      <c r="J28" s="1">
        <f>AVERAGEIF('GPUs Products'!F$9:F$616,GPUs!F28,'GPUs Products'!J$9:J$616)</f>
        <v>0.78571428571428559</v>
      </c>
      <c r="K28" s="3">
        <f>AVERAGEIF('GPUs Products'!F$9:F$616,GPUs!F28,'GPUs Products'!K$9:K$616)</f>
        <v>1400</v>
      </c>
      <c r="L28" s="3">
        <f>AVERAGEIF('GPUs Products'!F$9:F$616,GPUs!F28,'GPUs Products'!L$9:L$616)</f>
        <v>2584.2857142857142</v>
      </c>
      <c r="M28" s="49">
        <f>AVERAGEIF('GPUs Products'!F$9:F$616,GPUs!F28,'GPUs Products'!M$9:M$616)</f>
        <v>246.90000000000006</v>
      </c>
      <c r="N28" s="1">
        <f>AVERAGEIF('GPUs Products'!F$9:F$616,GPUs!F28,'GPUs Products'!N$9:N$616)</f>
        <v>689.60000000000025</v>
      </c>
      <c r="O28" s="3">
        <f>AVERAGEIF('GPUs Products'!F$9:F$616,GPUs!F28,'GPUs Products'!O$9:O$616)</f>
        <v>76</v>
      </c>
      <c r="P28" s="11" t="s">
        <v>2276</v>
      </c>
      <c r="Q28" s="3">
        <f>AVERAGEIF('GPUs Products'!F$9:F$616,GPUs!F28,'GPUs Products'!Q$9:Q$616)</f>
        <v>16</v>
      </c>
      <c r="R28" s="3">
        <f>AVERAGEIF('GPUs Products'!F$9:F$616,GPUs!F28,'GPUs Products'!R$9:R$616)</f>
        <v>256</v>
      </c>
      <c r="S28" s="22">
        <f>AVERAGEIF('GPUs Products'!F$9:F$616,GPUs!F28,'GPUs Products'!S$9:S$616)</f>
        <v>22.4</v>
      </c>
      <c r="T28" s="9">
        <f>AVERAGEIF('GPUs Products'!F$9:F$616,GPUs!F28,'GPUs Products'!T$9:T$616)</f>
        <v>320</v>
      </c>
      <c r="U28" s="14" t="s">
        <v>471</v>
      </c>
      <c r="V28" s="12">
        <v>4</v>
      </c>
      <c r="W28" s="75">
        <v>16</v>
      </c>
      <c r="X28" s="76">
        <v>16</v>
      </c>
      <c r="Y28" s="9">
        <f>AVERAGEIF('GPUs Products'!F$9:F$616,GPUs!F28,'GPUs Products'!Y$9:Y$616)</f>
        <v>2541.895</v>
      </c>
      <c r="Z28" s="3">
        <f>AVERAGEIF('GPUs Products'!F$9:F$616,GPUs!F28,'GPUs Products'!Y$9:Y$616)</f>
        <v>2541.895</v>
      </c>
      <c r="AA28" s="17"/>
      <c r="AB28" s="18"/>
      <c r="AC28" s="46" cm="1">
        <f t="array" ref="AC28">(SUMPRODUCT((H28:O28/H$9:O$9)^H$7:O$7*H$2:O$2)+SUMPRODUCT((Q28:T28/Q$9:T$9)^Q$7:T$7*Q$2:T$2))*(0.8^(1-G28))*AC$9</f>
        <v>2.8433643079887307</v>
      </c>
      <c r="AD28" s="48" cm="1">
        <f t="array" ref="AD28">(SUMPRODUCT((H28:O28/H$9:O$9)^H$7:O$7*H$3:O$3)+SUMPRODUCT((Q28:T28/Q$9:T$9)^Q$7:T$7*Q$3:T$3))*(0.1^(1-G28))*AD$9</f>
        <v>3.8681816646507858</v>
      </c>
      <c r="AE28" s="48" cm="1">
        <f t="array" ref="AE28">(SUMPRODUCT((H28:O28/H$9:O$9)^H$7:O$7*H$4:O$4)+SUMPRODUCT((Q28:T28/Q$9:T$9)^Q$7:T$7*Q$4:T$4))*AE$9</f>
        <v>3.3713666775992852</v>
      </c>
      <c r="AF28" s="47" cm="1">
        <f t="array" ref="AF28">(SUMPRODUCT((H28:O28/H$9:O$9)^H$7:O$7*H$5:O$5)+SUMPRODUCT((Q28:T28/Q$9:T$9)^Q$7:T$7*Q$5:T$5))*AF$9</f>
        <v>3.1583341014059303</v>
      </c>
      <c r="AG28" s="50" cm="1">
        <f t="array" ref="AG28">SUMPRODUCT(AC28:AF28 * AC$3:AF$3) / SUM(AC$3:AF$3)</f>
        <v>3.5238691794383556</v>
      </c>
    </row>
    <row r="29" spans="1:33" x14ac:dyDescent="0.25">
      <c r="A29" s="81" t="s">
        <v>8825</v>
      </c>
      <c r="B29" s="20"/>
      <c r="C29" s="4" t="s">
        <v>8853</v>
      </c>
      <c r="E29" s="4" t="s">
        <v>8855</v>
      </c>
      <c r="F29" s="5" t="s">
        <v>8881</v>
      </c>
      <c r="G29" s="9">
        <v>1</v>
      </c>
      <c r="H29" s="1">
        <f>AVERAGEIF('GPUs Products'!F$9:F$616,GPUs!F29,'GPUs Products'!H$9:H$616)</f>
        <v>53.307368421052637</v>
      </c>
      <c r="I29" s="1">
        <f>AVERAGEIF('GPUs Products'!F$9:F$616,GPUs!F29,'GPUs Products'!I$9:I$616)</f>
        <v>53.307368421052637</v>
      </c>
      <c r="J29" s="1">
        <f>AVERAGEIF('GPUs Products'!F$9:F$616,GPUs!F29,'GPUs Products'!J$9:J$616)</f>
        <v>0.83421052631578951</v>
      </c>
      <c r="K29" s="3">
        <f>AVERAGEIF('GPUs Products'!F$9:F$616,GPUs!F29,'GPUs Products'!K$9:K$616)</f>
        <v>1438</v>
      </c>
      <c r="L29" s="3">
        <f>AVERAGEIF('GPUs Products'!F$9:F$616,GPUs!F29,'GPUs Products'!L$9:L$616)</f>
        <v>2602.8947368421054</v>
      </c>
      <c r="M29" s="49">
        <f>AVERAGEIF('GPUs Products'!F$9:F$616,GPUs!F29,'GPUs Products'!M$9:M$616)</f>
        <v>246.9</v>
      </c>
      <c r="N29" s="1">
        <f>AVERAGEIF('GPUs Products'!F$9:F$616,GPUs!F29,'GPUs Products'!N$9:N$616)</f>
        <v>801.60000000000025</v>
      </c>
      <c r="O29" s="3">
        <f>AVERAGEIF('GPUs Products'!F$9:F$616,GPUs!F29,'GPUs Products'!O$9:O$616)</f>
        <v>76</v>
      </c>
      <c r="P29" s="11" t="s">
        <v>2276</v>
      </c>
      <c r="Q29" s="3">
        <f>AVERAGEIF('GPUs Products'!F$9:F$616,GPUs!F29,'GPUs Products'!Q$9:Q$616)</f>
        <v>16</v>
      </c>
      <c r="R29" s="3">
        <f>AVERAGEIF('GPUs Products'!F$9:F$616,GPUs!F29,'GPUs Products'!R$9:R$616)</f>
        <v>256</v>
      </c>
      <c r="S29" s="22">
        <f>AVERAGEIF('GPUs Products'!F$9:F$616,GPUs!F29,'GPUs Products'!S$9:S$616)</f>
        <v>23</v>
      </c>
      <c r="T29" s="9">
        <f>AVERAGEIF('GPUs Products'!F$9:F$616,GPUs!F29,'GPUs Products'!T$9:T$616)</f>
        <v>320</v>
      </c>
      <c r="U29" s="14" t="s">
        <v>471</v>
      </c>
      <c r="V29" s="12">
        <v>4</v>
      </c>
      <c r="W29" s="75">
        <v>16</v>
      </c>
      <c r="X29" s="76">
        <v>16</v>
      </c>
      <c r="Y29" s="9">
        <f>AVERAGEIF('GPUs Products'!F$9:F$616,GPUs!F29,'GPUs Products'!Y$9:Y$616)</f>
        <v>2319.7121052631578</v>
      </c>
      <c r="Z29" s="3">
        <f>AVERAGEIF('GPUs Products'!F$9:F$616,GPUs!F29,'GPUs Products'!Y$9:Y$616)</f>
        <v>2319.7121052631578</v>
      </c>
      <c r="AA29" s="17"/>
      <c r="AB29" s="18"/>
      <c r="AC29" s="46" cm="1">
        <f t="array" ref="AC29">(SUMPRODUCT((H29:O29/H$9:O$9)^H$7:O$7*H$2:O$2)+SUMPRODUCT((Q29:T29/Q$9:T$9)^Q$7:T$7*Q$2:T$2))*(0.8^(1-G29))*AC$9</f>
        <v>2.957938282774049</v>
      </c>
      <c r="AD29" s="48" cm="1">
        <f t="array" ref="AD29">(SUMPRODUCT((H29:O29/H$9:O$9)^H$7:O$7*H$3:O$3)+SUMPRODUCT((Q29:T29/Q$9:T$9)^Q$7:T$7*Q$3:T$3))*(0.1^(1-G29))*AD$9</f>
        <v>4.0310925164540574</v>
      </c>
      <c r="AE29" s="48" cm="1">
        <f t="array" ref="AE29">(SUMPRODUCT((H29:O29/H$9:O$9)^H$7:O$7*H$4:O$4)+SUMPRODUCT((Q29:T29/Q$9:T$9)^Q$7:T$7*Q$4:T$4))*AE$9</f>
        <v>3.5069815050464928</v>
      </c>
      <c r="AF29" s="47" cm="1">
        <f t="array" ref="AF29">(SUMPRODUCT((H29:O29/H$9:O$9)^H$7:O$7*H$5:O$5)+SUMPRODUCT((Q29:T29/Q$9:T$9)^Q$7:T$7*Q$5:T$5))*AF$9</f>
        <v>3.2881146620621022</v>
      </c>
      <c r="AG29" s="50" cm="1">
        <f t="array" ref="AG29">SUMPRODUCT(AC29:AF29 * AC$3:AF$3) / SUM(AC$3:AF$3)</f>
        <v>3.6701692782856679</v>
      </c>
    </row>
    <row r="30" spans="1:33" x14ac:dyDescent="0.25">
      <c r="A30" s="81" t="s">
        <v>8826</v>
      </c>
      <c r="B30" s="20"/>
      <c r="C30" s="4" t="s">
        <v>8853</v>
      </c>
      <c r="E30" s="4" t="s">
        <v>8855</v>
      </c>
      <c r="F30" s="5" t="s">
        <v>8882</v>
      </c>
      <c r="G30" s="9">
        <v>1</v>
      </c>
      <c r="H30" s="1">
        <f>AVERAGEIF('GPUs Products'!F$9:F$616,GPUs!F30,'GPUs Products'!H$9:H$616)</f>
        <v>84.589523809523797</v>
      </c>
      <c r="I30" s="1">
        <f>AVERAGEIF('GPUs Products'!F$9:F$616,GPUs!F30,'GPUs Products'!I$9:I$616)</f>
        <v>84.589523809523797</v>
      </c>
      <c r="J30" s="1">
        <f>AVERAGEIF('GPUs Products'!F$9:F$616,GPUs!F30,'GPUs Products'!J$9:J$616)</f>
        <v>1.3223809523809524</v>
      </c>
      <c r="K30" s="3">
        <f>AVERAGEIF('GPUs Products'!F$9:F$616,GPUs!F30,'GPUs Products'!K$9:K$616)</f>
        <v>1313</v>
      </c>
      <c r="L30" s="3">
        <f>AVERAGEIF('GPUs Products'!F$9:F$616,GPUs!F30,'GPUs Products'!L$9:L$616)</f>
        <v>2581.4285714285716</v>
      </c>
      <c r="M30" s="49">
        <f>AVERAGEIF('GPUs Products'!F$9:F$616,GPUs!F30,'GPUs Products'!M$9:M$616)</f>
        <v>401.19999999999987</v>
      </c>
      <c r="N30" s="1">
        <f>AVERAGEIF('GPUs Products'!F$9:F$616,GPUs!F30,'GPUs Products'!N$9:N$616)</f>
        <v>1040</v>
      </c>
      <c r="O30" s="3">
        <f>AVERAGEIF('GPUs Products'!F$9:F$616,GPUs!F30,'GPUs Products'!O$9:O$616)</f>
        <v>128</v>
      </c>
      <c r="P30" s="11" t="s">
        <v>2276</v>
      </c>
      <c r="Q30" s="3">
        <f>AVERAGEIF('GPUs Products'!F$9:F$616,GPUs!F30,'GPUs Products'!Q$9:Q$616)</f>
        <v>24</v>
      </c>
      <c r="R30" s="3">
        <f>AVERAGEIF('GPUs Products'!F$9:F$616,GPUs!F30,'GPUs Products'!R$9:R$616)</f>
        <v>384</v>
      </c>
      <c r="S30" s="22">
        <f>AVERAGEIF('GPUs Products'!F$9:F$616,GPUs!F30,'GPUs Products'!S$9:S$616)</f>
        <v>21</v>
      </c>
      <c r="T30" s="9">
        <f>AVERAGEIF('GPUs Products'!F$9:F$616,GPUs!F30,'GPUs Products'!T$9:T$616)</f>
        <v>452.85714285714283</v>
      </c>
      <c r="U30" s="14" t="s">
        <v>475</v>
      </c>
      <c r="V30" s="12">
        <v>4</v>
      </c>
      <c r="W30" s="75">
        <v>16</v>
      </c>
      <c r="X30" s="76">
        <v>16</v>
      </c>
      <c r="Y30" s="9">
        <f>AVERAGEIF('GPUs Products'!F$9:F$616,GPUs!F30,'GPUs Products'!Y$9:Y$616)</f>
        <v>4019.424761904761</v>
      </c>
      <c r="Z30" s="3">
        <f>AVERAGEIF('GPUs Products'!F$9:F$616,GPUs!F30,'GPUs Products'!Y$9:Y$616)</f>
        <v>4019.424761904761</v>
      </c>
      <c r="AA30" s="17"/>
      <c r="AB30" s="18"/>
      <c r="AC30" s="46" cm="1">
        <f t="array" ref="AC30">(SUMPRODUCT((H30:O30/H$9:O$9)^H$7:O$7*H$2:O$2)+SUMPRODUCT((Q30:T30/Q$9:T$9)^Q$7:T$7*Q$2:T$2))*(0.8^(1-G30))*AC$9</f>
        <v>3.8417598550497578</v>
      </c>
      <c r="AD30" s="48" cm="1">
        <f t="array" ref="AD30">(SUMPRODUCT((H30:O30/H$9:O$9)^H$7:O$7*H$3:O$3)+SUMPRODUCT((Q30:T30/Q$9:T$9)^Q$7:T$7*Q$3:T$3))*(0.1^(1-G30))*AD$9</f>
        <v>5.795385629150303</v>
      </c>
      <c r="AE30" s="48" cm="1">
        <f t="array" ref="AE30">(SUMPRODUCT((H30:O30/H$9:O$9)^H$7:O$7*H$4:O$4)+SUMPRODUCT((Q30:T30/Q$9:T$9)^Q$7:T$7*Q$4:T$4))*AE$9</f>
        <v>4.9680950672093145</v>
      </c>
      <c r="AF30" s="47" cm="1">
        <f t="array" ref="AF30">(SUMPRODUCT((H30:O30/H$9:O$9)^H$7:O$7*H$5:O$5)+SUMPRODUCT((Q30:T30/Q$9:T$9)^Q$7:T$7*Q$5:T$5))*AF$9</f>
        <v>4.5705041448073294</v>
      </c>
      <c r="AG30" s="50" cm="1">
        <f t="array" ref="AG30">SUMPRODUCT(AC30:AF30 * AC$3:AF$3) / SUM(AC$3:AF$3)</f>
        <v>5.1737132458607178</v>
      </c>
    </row>
    <row r="31" spans="1:33" x14ac:dyDescent="0.25">
      <c r="A31" s="81" t="s">
        <v>8827</v>
      </c>
      <c r="B31" s="20"/>
      <c r="C31" s="4" t="s">
        <v>8853</v>
      </c>
      <c r="E31" s="4" t="s">
        <v>8856</v>
      </c>
      <c r="F31" s="5" t="s">
        <v>8883</v>
      </c>
      <c r="G31" s="9">
        <v>1</v>
      </c>
      <c r="H31" s="1">
        <f>AVERAGEIF('GPUs Products'!F$9:F$616,GPUs!F31,'GPUs Products'!H$9:H$616)</f>
        <v>45.288181818181819</v>
      </c>
      <c r="I31" s="1">
        <f>AVERAGEIF('GPUs Products'!F$9:F$616,GPUs!F31,'GPUs Products'!I$9:I$616)</f>
        <v>45.288181818181819</v>
      </c>
      <c r="J31" s="1">
        <f>AVERAGEIF('GPUs Products'!F$9:F$616,GPUs!F31,'GPUs Products'!J$9:J$616)</f>
        <v>0.7063636363636363</v>
      </c>
      <c r="K31" s="3">
        <f>AVERAGEIF('GPUs Products'!F$9:F$616,GPUs!F31,'GPUs Products'!K$9:K$616)</f>
        <v>1750</v>
      </c>
      <c r="L31" s="3">
        <f>AVERAGEIF('GPUs Products'!F$9:F$616,GPUs!F31,'GPUs Products'!L$9:L$616)</f>
        <v>2527.181818181818</v>
      </c>
      <c r="M31" s="49">
        <f>AVERAGEIF('GPUs Products'!F$9:F$616,GPUs!F31,'GPUs Products'!M$9:M$616)</f>
        <v>343</v>
      </c>
      <c r="N31" s="1">
        <f>AVERAGEIF('GPUs Products'!F$9:F$616,GPUs!F31,'GPUs Products'!N$9:N$616)</f>
        <v>686</v>
      </c>
      <c r="O31" s="3">
        <f>AVERAGEIF('GPUs Products'!F$9:F$616,GPUs!F31,'GPUs Products'!O$9:O$616)</f>
        <v>280</v>
      </c>
      <c r="P31" s="11" t="s">
        <v>2277</v>
      </c>
      <c r="Q31" s="3">
        <f>AVERAGEIF('GPUs Products'!F$9:F$616,GPUs!F31,'GPUs Products'!Q$9:Q$616)</f>
        <v>16</v>
      </c>
      <c r="R31" s="3">
        <f>AVERAGEIF('GPUs Products'!F$9:F$616,GPUs!F31,'GPUs Products'!R$9:R$616)</f>
        <v>256</v>
      </c>
      <c r="S31" s="22">
        <f>AVERAGEIF('GPUs Products'!F$9:F$616,GPUs!F31,'GPUs Products'!S$9:S$616)</f>
        <v>28</v>
      </c>
      <c r="T31" s="9">
        <f>AVERAGEIF('GPUs Products'!F$9:F$616,GPUs!F31,'GPUs Products'!T$9:T$616)</f>
        <v>300</v>
      </c>
      <c r="U31" s="14" t="s">
        <v>458</v>
      </c>
      <c r="V31" s="12">
        <v>5</v>
      </c>
      <c r="W31" s="75">
        <v>16</v>
      </c>
      <c r="X31" s="76">
        <v>16</v>
      </c>
      <c r="Y31" s="9">
        <f>AVERAGEIF('GPUs Products'!F$9:F$616,GPUs!F31,'GPUs Products'!Y$9:Y$616)</f>
        <v>1242.7281818181816</v>
      </c>
      <c r="Z31" s="3">
        <f>AVERAGEIF('GPUs Products'!F$9:F$616,GPUs!F31,'GPUs Products'!Y$9:Y$616)</f>
        <v>1242.7281818181816</v>
      </c>
      <c r="AA31" s="17"/>
      <c r="AB31" s="18"/>
      <c r="AC31" s="46" cm="1">
        <f t="array" ref="AC31">(SUMPRODUCT((H31:O31/H$9:O$9)^H$7:O$7*H$2:O$2)+SUMPRODUCT((Q31:T31/Q$9:T$9)^Q$7:T$7*Q$2:T$2))*(0.8^(1-G31))*AC$9</f>
        <v>3.5746332530998175</v>
      </c>
      <c r="AD31" s="48" cm="1">
        <f t="array" ref="AD31">(SUMPRODUCT((H31:O31/H$9:O$9)^H$7:O$7*H$3:O$3)+SUMPRODUCT((Q31:T31/Q$9:T$9)^Q$7:T$7*Q$3:T$3))*(0.1^(1-G31))*AD$9</f>
        <v>3.6246818387729487</v>
      </c>
      <c r="AE31" s="48" cm="1">
        <f t="array" ref="AE31">(SUMPRODUCT((H31:O31/H$9:O$9)^H$7:O$7*H$4:O$4)+SUMPRODUCT((Q31:T31/Q$9:T$9)^Q$7:T$7*Q$4:T$4))*AE$9</f>
        <v>3.1902936824598691</v>
      </c>
      <c r="AF31" s="47" cm="1">
        <f t="array" ref="AF31">(SUMPRODUCT((H31:O31/H$9:O$9)^H$7:O$7*H$5:O$5)+SUMPRODUCT((Q31:T31/Q$9:T$9)^Q$7:T$7*Q$5:T$5))*AF$9</f>
        <v>3.6938125898436915</v>
      </c>
      <c r="AG31" s="50" cm="1">
        <f t="array" ref="AG31">SUMPRODUCT(AC31:AF31 * AC$3:AF$3) / SUM(AC$3:AF$3)</f>
        <v>3.5795968489710979</v>
      </c>
    </row>
    <row r="32" spans="1:33" x14ac:dyDescent="0.25">
      <c r="A32" s="81" t="s">
        <v>8828</v>
      </c>
      <c r="B32" s="20"/>
      <c r="C32" s="4" t="s">
        <v>8853</v>
      </c>
      <c r="E32" s="4" t="s">
        <v>8856</v>
      </c>
      <c r="F32" s="5" t="s">
        <v>8884</v>
      </c>
      <c r="G32" s="9">
        <v>1</v>
      </c>
      <c r="H32" s="1">
        <f>AVERAGEIF('GPUs Products'!F$9:F$616,GPUs!F32,'GPUs Products'!H$9:H$616)</f>
        <v>57.958947368421057</v>
      </c>
      <c r="I32" s="1">
        <f>AVERAGEIF('GPUs Products'!F$9:F$616,GPUs!F32,'GPUs Products'!I$9:I$616)</f>
        <v>57.958947368421057</v>
      </c>
      <c r="J32" s="1">
        <f>AVERAGEIF('GPUs Products'!F$9:F$616,GPUs!F32,'GPUs Products'!J$9:J$616)</f>
        <v>0.90749999999999997</v>
      </c>
      <c r="K32" s="3">
        <f>AVERAGEIF('GPUs Products'!F$9:F$616,GPUs!F32,'GPUs Products'!K$9:K$616)</f>
        <v>1875</v>
      </c>
      <c r="L32" s="3">
        <f>AVERAGEIF('GPUs Products'!F$9:F$616,GPUs!F32,'GPUs Products'!L$9:L$616)</f>
        <v>2699.95</v>
      </c>
      <c r="M32" s="49">
        <f>AVERAGEIF('GPUs Products'!F$9:F$616,GPUs!F32,'GPUs Products'!M$9:M$616)</f>
        <v>440.10000000000019</v>
      </c>
      <c r="N32" s="1">
        <f>AVERAGEIF('GPUs Products'!F$9:F$616,GPUs!F32,'GPUs Products'!N$9:N$616)</f>
        <v>880.29999999999961</v>
      </c>
      <c r="O32" s="3">
        <f>AVERAGEIF('GPUs Products'!F$9:F$616,GPUs!F32,'GPUs Products'!O$9:O$616)</f>
        <v>384</v>
      </c>
      <c r="P32" s="11" t="s">
        <v>2277</v>
      </c>
      <c r="Q32" s="3">
        <f>AVERAGEIF('GPUs Products'!F$9:F$616,GPUs!F32,'GPUs Products'!Q$9:Q$616)</f>
        <v>16</v>
      </c>
      <c r="R32" s="3">
        <f>AVERAGEIF('GPUs Products'!F$9:F$616,GPUs!F32,'GPUs Products'!R$9:R$616)</f>
        <v>256</v>
      </c>
      <c r="S32" s="22">
        <f>AVERAGEIF('GPUs Products'!F$9:F$616,GPUs!F32,'GPUs Products'!S$9:S$616)</f>
        <v>30</v>
      </c>
      <c r="T32" s="9">
        <f>AVERAGEIF('GPUs Products'!F$9:F$616,GPUs!F32,'GPUs Products'!T$9:T$616)</f>
        <v>360</v>
      </c>
      <c r="U32" s="14" t="s">
        <v>458</v>
      </c>
      <c r="V32" s="12">
        <v>5</v>
      </c>
      <c r="W32" s="75">
        <v>16</v>
      </c>
      <c r="X32" s="76">
        <v>16</v>
      </c>
      <c r="Y32" s="9">
        <f>AVERAGEIF('GPUs Products'!F$9:F$616,GPUs!F32,'GPUs Products'!Y$9:Y$616)</f>
        <v>1717.6569999999999</v>
      </c>
      <c r="Z32" s="3">
        <f>AVERAGEIF('GPUs Products'!F$9:F$616,GPUs!F32,'GPUs Products'!Y$9:Y$616)</f>
        <v>1717.6569999999999</v>
      </c>
      <c r="AA32" s="17"/>
      <c r="AB32" s="18"/>
      <c r="AC32" s="46" cm="1">
        <f t="array" ref="AC32">(SUMPRODUCT((H32:O32/H$9:O$9)^H$7:O$7*H$2:O$2)+SUMPRODUCT((Q32:T32/Q$9:T$9)^Q$7:T$7*Q$2:T$2))*(0.8^(1-G32))*AC$9</f>
        <v>4.2447910331975729</v>
      </c>
      <c r="AD32" s="48" cm="1">
        <f t="array" ref="AD32">(SUMPRODUCT((H32:O32/H$9:O$9)^H$7:O$7*H$3:O$3)+SUMPRODUCT((Q32:T32/Q$9:T$9)^Q$7:T$7*Q$3:T$3))*(0.1^(1-G32))*AD$9</f>
        <v>4.3040193169229966</v>
      </c>
      <c r="AE32" s="48" cm="1">
        <f t="array" ref="AE32">(SUMPRODUCT((H32:O32/H$9:O$9)^H$7:O$7*H$4:O$4)+SUMPRODUCT((Q32:T32/Q$9:T$9)^Q$7:T$7*Q$4:T$4))*AE$9</f>
        <v>3.7511175702357202</v>
      </c>
      <c r="AF32" s="47" cm="1">
        <f t="array" ref="AF32">(SUMPRODUCT((H32:O32/H$9:O$9)^H$7:O$7*H$5:O$5)+SUMPRODUCT((Q32:T32/Q$9:T$9)^Q$7:T$7*Q$5:T$5))*AF$9</f>
        <v>4.4467810603882088</v>
      </c>
      <c r="AG32" s="50" cm="1">
        <f t="array" ref="AG32">SUMPRODUCT(AC32:AF32 * AC$3:AF$3) / SUM(AC$3:AF$3)</f>
        <v>4.2565080328032643</v>
      </c>
    </row>
    <row r="33" spans="1:33" x14ac:dyDescent="0.25">
      <c r="A33" s="81" t="s">
        <v>8829</v>
      </c>
      <c r="B33" s="20"/>
      <c r="C33" s="4" t="s">
        <v>8853</v>
      </c>
      <c r="E33" s="4" t="s">
        <v>8856</v>
      </c>
      <c r="F33" s="5" t="s">
        <v>8885</v>
      </c>
      <c r="G33" s="9">
        <v>1</v>
      </c>
      <c r="H33" s="1">
        <f>AVERAGEIF('GPUs Products'!F$9:F$616,GPUs!F33,'GPUs Products'!H$9:H$616)</f>
        <v>109.53999999999998</v>
      </c>
      <c r="I33" s="1">
        <f>AVERAGEIF('GPUs Products'!F$9:F$616,GPUs!F33,'GPUs Products'!I$9:I$616)</f>
        <v>109.53999999999998</v>
      </c>
      <c r="J33" s="1">
        <f>AVERAGEIF('GPUs Products'!F$9:F$616,GPUs!F33,'GPUs Products'!J$9:J$616)</f>
        <v>1.7109090909090909</v>
      </c>
      <c r="K33" s="3">
        <f>AVERAGEIF('GPUs Products'!F$9:F$616,GPUs!F33,'GPUs Products'!K$9:K$616)</f>
        <v>1750</v>
      </c>
      <c r="L33" s="3">
        <f>AVERAGEIF('GPUs Products'!F$9:F$616,GPUs!F33,'GPUs Products'!L$9:L$616)</f>
        <v>2515.6363636363635</v>
      </c>
      <c r="M33" s="49">
        <f>AVERAGEIF('GPUs Products'!F$9:F$616,GPUs!F33,'GPUs Products'!M$9:M$616)</f>
        <v>819.39999999999975</v>
      </c>
      <c r="N33" s="1">
        <f>AVERAGEIF('GPUs Products'!F$9:F$616,GPUs!F33,'GPUs Products'!N$9:N$616)</f>
        <v>1638.7999999999995</v>
      </c>
      <c r="O33" s="3">
        <f>AVERAGEIF('GPUs Products'!F$9:F$616,GPUs!F33,'GPUs Products'!O$9:O$616)</f>
        <v>680</v>
      </c>
      <c r="P33" s="11" t="s">
        <v>2277</v>
      </c>
      <c r="Q33" s="3">
        <f>AVERAGEIF('GPUs Products'!F$9:F$616,GPUs!F33,'GPUs Products'!Q$9:Q$616)</f>
        <v>32</v>
      </c>
      <c r="R33" s="3">
        <f>AVERAGEIF('GPUs Products'!F$9:F$616,GPUs!F33,'GPUs Products'!R$9:R$616)</f>
        <v>512</v>
      </c>
      <c r="S33" s="22">
        <f>AVERAGEIF('GPUs Products'!F$9:F$616,GPUs!F33,'GPUs Products'!S$9:S$616)</f>
        <v>28</v>
      </c>
      <c r="T33" s="9">
        <f>AVERAGEIF('GPUs Products'!F$9:F$616,GPUs!F33,'GPUs Products'!T$9:T$616)</f>
        <v>579.5454545454545</v>
      </c>
      <c r="U33" s="14" t="s">
        <v>454</v>
      </c>
      <c r="V33" s="12">
        <v>5</v>
      </c>
      <c r="W33" s="75">
        <v>16</v>
      </c>
      <c r="X33" s="76">
        <v>16</v>
      </c>
      <c r="Y33" s="9">
        <f>AVERAGEIF('GPUs Products'!F$9:F$616,GPUs!F33,'GPUs Products'!Y$9:Y$616)</f>
        <v>3941.1581818181817</v>
      </c>
      <c r="Z33" s="3">
        <f>AVERAGEIF('GPUs Products'!F$9:F$616,GPUs!F33,'GPUs Products'!Y$9:Y$616)</f>
        <v>3941.1581818181817</v>
      </c>
      <c r="AA33" s="17"/>
      <c r="AB33" s="18"/>
      <c r="AC33" s="46" cm="1">
        <f t="array" ref="AC33">(SUMPRODUCT((H33:O33/H$9:O$9)^H$7:O$7*H$2:O$2)+SUMPRODUCT((Q33:T33/Q$9:T$9)^Q$7:T$7*Q$2:T$2))*(0.8^(1-G33))*AC$9</f>
        <v>6.5164025601972835</v>
      </c>
      <c r="AD33" s="48" cm="1">
        <f t="array" ref="AD33">(SUMPRODUCT((H33:O33/H$9:O$9)^H$7:O$7*H$3:O$3)+SUMPRODUCT((Q33:T33/Q$9:T$9)^Q$7:T$7*Q$3:T$3))*(0.1^(1-G33))*AD$9</f>
        <v>7.1998070193828454</v>
      </c>
      <c r="AE33" s="48" cm="1">
        <f t="array" ref="AE33">(SUMPRODUCT((H33:O33/H$9:O$9)^H$7:O$7*H$4:O$4)+SUMPRODUCT((Q33:T33/Q$9:T$9)^Q$7:T$7*Q$4:T$4))*AE$9</f>
        <v>6.1557886157373432</v>
      </c>
      <c r="AF33" s="47" cm="1">
        <f t="array" ref="AF33">(SUMPRODUCT((H33:O33/H$9:O$9)^H$7:O$7*H$5:O$5)+SUMPRODUCT((Q33:T33/Q$9:T$9)^Q$7:T$7*Q$5:T$5))*AF$9</f>
        <v>7.1530283892143141</v>
      </c>
      <c r="AG33" s="50" cm="1">
        <f t="array" ref="AG33">SUMPRODUCT(AC33:AF33 * AC$3:AF$3) / SUM(AC$3:AF$3)</f>
        <v>6.9621077929743294</v>
      </c>
    </row>
    <row r="34" spans="1:33" x14ac:dyDescent="0.25">
      <c r="A34" s="81" t="s">
        <v>8830</v>
      </c>
      <c r="B34" s="20"/>
      <c r="C34" s="4" t="s">
        <v>427</v>
      </c>
      <c r="E34" s="4" t="s">
        <v>8857</v>
      </c>
      <c r="F34" s="5" t="s">
        <v>8886</v>
      </c>
      <c r="G34" s="9">
        <v>0</v>
      </c>
      <c r="H34" s="1">
        <f>AVERAGEIF('GPUs Products'!F$9:F$616,GPUs!F34,'GPUs Products'!H$9:H$616)</f>
        <v>10.39</v>
      </c>
      <c r="I34" s="1">
        <f>AVERAGEIF('GPUs Products'!F$9:F$616,GPUs!F34,'GPUs Products'!I$9:I$616)</f>
        <v>5.2</v>
      </c>
      <c r="J34" s="1">
        <f>AVERAGEIF('GPUs Products'!F$9:F$616,GPUs!F34,'GPUs Products'!J$9:J$616)</f>
        <v>0.32</v>
      </c>
      <c r="K34" s="3">
        <f>AVERAGEIF('GPUs Products'!F$9:F$616,GPUs!F34,'GPUs Products'!K$9:K$616)</f>
        <v>1750</v>
      </c>
      <c r="L34" s="3">
        <f>AVERAGEIF('GPUs Products'!F$9:F$616,GPUs!F34,'GPUs Products'!L$9:L$616)</f>
        <v>1845</v>
      </c>
      <c r="M34" s="49">
        <f>AVERAGEIF('GPUs Products'!F$9:F$616,GPUs!F34,'GPUs Products'!M$9:M$616)</f>
        <v>59.04</v>
      </c>
      <c r="N34" s="1">
        <f>AVERAGEIF('GPUs Products'!F$9:F$616,GPUs!F34,'GPUs Products'!N$9:N$616)</f>
        <v>162.4</v>
      </c>
      <c r="O34" s="3">
        <f>AVERAGEIF('GPUs Products'!F$9:F$616,GPUs!F34,'GPUs Products'!O$9:O$616)</f>
        <v>0</v>
      </c>
      <c r="P34" s="11" t="s">
        <v>2275</v>
      </c>
      <c r="Q34" s="3">
        <f>AVERAGEIF('GPUs Products'!F$9:F$616,GPUs!F34,'GPUs Products'!Q$9:Q$616)</f>
        <v>4</v>
      </c>
      <c r="R34" s="3">
        <f>AVERAGEIF('GPUs Products'!F$9:F$616,GPUs!F34,'GPUs Products'!R$9:R$616)</f>
        <v>128</v>
      </c>
      <c r="S34" s="22">
        <f>AVERAGEIF('GPUs Products'!F$9:F$616,GPUs!F34,'GPUs Products'!S$9:S$616)</f>
        <v>14</v>
      </c>
      <c r="T34" s="9">
        <f>AVERAGEIF('GPUs Products'!F$9:F$616,GPUs!F34,'GPUs Products'!T$9:T$616)</f>
        <v>130</v>
      </c>
      <c r="U34" s="14" t="s">
        <v>446</v>
      </c>
      <c r="V34" s="12">
        <v>4</v>
      </c>
      <c r="W34" s="75">
        <v>16</v>
      </c>
      <c r="X34" s="76">
        <v>8</v>
      </c>
      <c r="Y34" s="9">
        <f>AVERAGEIF('GPUs Products'!F$9:F$616,GPUs!F34,'GPUs Products'!Y$9:Y$616)</f>
        <v>214</v>
      </c>
      <c r="Z34" s="3">
        <f>AVERAGEIF('GPUs Products'!F$9:F$616,GPUs!F34,'GPUs Products'!Y$9:Y$616)</f>
        <v>214</v>
      </c>
      <c r="AA34" s="17"/>
      <c r="AB34" s="18"/>
      <c r="AC34" s="46" cm="1">
        <f t="array" ref="AC34">(SUMPRODUCT((H34:O34/H$9:O$9)^H$7:O$7*H$2:O$2)+SUMPRODUCT((Q34:T34/Q$9:T$9)^Q$7:T$7*Q$2:T$2))*(0.8^(1-G34))*AC$9</f>
        <v>0.91526646057573169</v>
      </c>
      <c r="AD34" s="48" cm="1">
        <f t="array" ref="AD34">(SUMPRODUCT((H34:O34/H$9:O$9)^H$7:O$7*H$3:O$3)+SUMPRODUCT((Q34:T34/Q$9:T$9)^Q$7:T$7*Q$3:T$3))*(0.1^(1-G34))*AD$9</f>
        <v>0.11671581450057766</v>
      </c>
      <c r="AE34" s="48" cm="1">
        <f t="array" ref="AE34">(SUMPRODUCT((H34:O34/H$9:O$9)^H$7:O$7*H$4:O$4)+SUMPRODUCT((Q34:T34/Q$9:T$9)^Q$7:T$7*Q$4:T$4))*AE$9</f>
        <v>1.3906479050152014</v>
      </c>
      <c r="AF34" s="47" cm="1">
        <f t="array" ref="AF34">(SUMPRODUCT((H34:O34/H$9:O$9)^H$7:O$7*H$5:O$5)+SUMPRODUCT((Q34:T34/Q$9:T$9)^Q$7:T$7*Q$5:T$5))*AF$9</f>
        <v>0.94716113678154013</v>
      </c>
      <c r="AG34" s="50" cm="1">
        <f t="array" ref="AG34">SUMPRODUCT(AC34:AF34 * AC$3:AF$3) / SUM(AC$3:AF$3)</f>
        <v>0.52976315261711082</v>
      </c>
    </row>
    <row r="35" spans="1:33" x14ac:dyDescent="0.25">
      <c r="A35" s="81" t="s">
        <v>8831</v>
      </c>
      <c r="B35" s="20"/>
      <c r="C35" s="4" t="s">
        <v>427</v>
      </c>
      <c r="E35" s="4" t="s">
        <v>8857</v>
      </c>
      <c r="F35" s="5" t="s">
        <v>8887</v>
      </c>
      <c r="G35" s="9">
        <v>0</v>
      </c>
      <c r="H35" s="1">
        <f>AVERAGEIF('GPUs Products'!F$9:F$616,GPUs!F35,'GPUs Products'!H$9:H$616)</f>
        <v>14.84</v>
      </c>
      <c r="I35" s="1">
        <f>AVERAGEIF('GPUs Products'!F$9:F$616,GPUs!F35,'GPUs Products'!I$9:I$616)</f>
        <v>7.415</v>
      </c>
      <c r="J35" s="1">
        <f>AVERAGEIF('GPUs Products'!F$9:F$616,GPUs!F35,'GPUs Products'!J$9:J$616)</f>
        <v>0.46499999999999997</v>
      </c>
      <c r="K35" s="3">
        <f>AVERAGEIF('GPUs Products'!F$9:F$616,GPUs!F35,'GPUs Products'!K$9:K$616)</f>
        <v>1500</v>
      </c>
      <c r="L35" s="3">
        <f>AVERAGEIF('GPUs Products'!F$9:F$616,GPUs!F35,'GPUs Products'!L$9:L$616)</f>
        <v>1610</v>
      </c>
      <c r="M35" s="49">
        <f>AVERAGEIF('GPUs Products'!F$9:F$616,GPUs!F35,'GPUs Products'!M$9:M$616)</f>
        <v>99.84</v>
      </c>
      <c r="N35" s="1">
        <f>AVERAGEIF('GPUs Products'!F$9:F$616,GPUs!F35,'GPUs Products'!N$9:N$616)</f>
        <v>224.6</v>
      </c>
      <c r="O35" s="3">
        <f>AVERAGEIF('GPUs Products'!F$9:F$616,GPUs!F35,'GPUs Products'!O$9:O$616)</f>
        <v>0</v>
      </c>
      <c r="P35" s="11" t="s">
        <v>2275</v>
      </c>
      <c r="Q35" s="3">
        <f>AVERAGEIF('GPUs Products'!F$9:F$616,GPUs!F35,'GPUs Products'!Q$9:Q$616)</f>
        <v>6</v>
      </c>
      <c r="R35" s="3">
        <f>AVERAGEIF('GPUs Products'!F$9:F$616,GPUs!F35,'GPUs Products'!R$9:R$616)</f>
        <v>192</v>
      </c>
      <c r="S35" s="22">
        <f>AVERAGEIF('GPUs Products'!F$9:F$616,GPUs!F35,'GPUs Products'!S$9:S$616)</f>
        <v>12</v>
      </c>
      <c r="T35" s="9">
        <f>AVERAGEIF('GPUs Products'!F$9:F$616,GPUs!F35,'GPUs Products'!T$9:T$616)</f>
        <v>160</v>
      </c>
      <c r="U35" s="14" t="s">
        <v>446</v>
      </c>
      <c r="V35" s="12">
        <v>4</v>
      </c>
      <c r="W35" s="75">
        <v>16</v>
      </c>
      <c r="X35" s="76">
        <v>16</v>
      </c>
      <c r="Y35" s="9">
        <f>AVERAGEIF('GPUs Products'!F$9:F$616,GPUs!F35,'GPUs Products'!Y$9:Y$616)</f>
        <v>351</v>
      </c>
      <c r="Z35" s="3">
        <f>AVERAGEIF('GPUs Products'!F$9:F$616,GPUs!F35,'GPUs Products'!Y$9:Y$616)</f>
        <v>351</v>
      </c>
      <c r="AA35" s="17"/>
      <c r="AB35" s="18"/>
      <c r="AC35" s="46" cm="1">
        <f t="array" ref="AC35">(SUMPRODUCT((H35:O35/H$9:O$9)^H$7:O$7*H$2:O$2)+SUMPRODUCT((Q35:T35/Q$9:T$9)^Q$7:T$7*Q$2:T$2))*(0.8^(1-G35))*AC$9</f>
        <v>1.0510247140721574</v>
      </c>
      <c r="AD35" s="48" cm="1">
        <f t="array" ref="AD35">(SUMPRODUCT((H35:O35/H$9:O$9)^H$7:O$7*H$3:O$3)+SUMPRODUCT((Q35:T35/Q$9:T$9)^Q$7:T$7*Q$3:T$3))*(0.1^(1-G35))*AD$9</f>
        <v>0.14863355890483806</v>
      </c>
      <c r="AE35" s="48" cm="1">
        <f t="array" ref="AE35">(SUMPRODUCT((H35:O35/H$9:O$9)^H$7:O$7*H$4:O$4)+SUMPRODUCT((Q35:T35/Q$9:T$9)^Q$7:T$7*Q$4:T$4))*AE$9</f>
        <v>1.8040299081003197</v>
      </c>
      <c r="AF35" s="47" cm="1">
        <f t="array" ref="AF35">(SUMPRODUCT((H35:O35/H$9:O$9)^H$7:O$7*H$5:O$5)+SUMPRODUCT((Q35:T35/Q$9:T$9)^Q$7:T$7*Q$5:T$5))*AF$9</f>
        <v>1.1343176713530614</v>
      </c>
      <c r="AG35" s="50" cm="1">
        <f t="array" ref="AG35">SUMPRODUCT(AC35:AF35 * AC$3:AF$3) / SUM(AC$3:AF$3)</f>
        <v>0.64724569786248198</v>
      </c>
    </row>
    <row r="36" spans="1:33" x14ac:dyDescent="0.25">
      <c r="A36" s="81" t="s">
        <v>8832</v>
      </c>
      <c r="B36" s="20"/>
      <c r="C36" s="4" t="s">
        <v>427</v>
      </c>
      <c r="E36" s="4" t="s">
        <v>8857</v>
      </c>
      <c r="F36" s="5" t="s">
        <v>8888</v>
      </c>
      <c r="G36" s="9">
        <v>0</v>
      </c>
      <c r="H36" s="1">
        <f>AVERAGEIF('GPUs Products'!F$9:F$616,GPUs!F36,'GPUs Products'!H$9:H$616)</f>
        <v>16.13</v>
      </c>
      <c r="I36" s="1">
        <f>AVERAGEIF('GPUs Products'!F$9:F$616,GPUs!F36,'GPUs Products'!I$9:I$616)</f>
        <v>8.06</v>
      </c>
      <c r="J36" s="1">
        <f>AVERAGEIF('GPUs Products'!F$9:F$616,GPUs!F36,'GPUs Products'!J$9:J$616)</f>
        <v>0.5</v>
      </c>
      <c r="K36" s="3">
        <f>AVERAGEIF('GPUs Products'!F$9:F$616,GPUs!F36,'GPUs Products'!K$9:K$616)</f>
        <v>1750</v>
      </c>
      <c r="L36" s="3">
        <f>AVERAGEIF('GPUs Products'!F$9:F$616,GPUs!F36,'GPUs Products'!L$9:L$616)</f>
        <v>1750</v>
      </c>
      <c r="M36" s="49">
        <f>AVERAGEIF('GPUs Products'!F$9:F$616,GPUs!F36,'GPUs Products'!M$9:M$616)</f>
        <v>110.4</v>
      </c>
      <c r="N36" s="1">
        <f>AVERAGEIF('GPUs Products'!F$9:F$616,GPUs!F36,'GPUs Products'!N$9:N$616)</f>
        <v>248.4</v>
      </c>
      <c r="O36" s="3">
        <f>AVERAGEIF('GPUs Products'!F$9:F$616,GPUs!F36,'GPUs Products'!O$9:O$616)</f>
        <v>0</v>
      </c>
      <c r="P36" s="11" t="s">
        <v>2275</v>
      </c>
      <c r="Q36" s="3">
        <f>AVERAGEIF('GPUs Products'!F$9:F$616,GPUs!F36,'GPUs Products'!Q$9:Q$616)</f>
        <v>8</v>
      </c>
      <c r="R36" s="3">
        <f>AVERAGEIF('GPUs Products'!F$9:F$616,GPUs!F36,'GPUs Products'!R$9:R$616)</f>
        <v>256</v>
      </c>
      <c r="S36" s="22">
        <f>AVERAGEIF('GPUs Products'!F$9:F$616,GPUs!F36,'GPUs Products'!S$9:S$616)</f>
        <v>14</v>
      </c>
      <c r="T36" s="9">
        <f>AVERAGEIF('GPUs Products'!F$9:F$616,GPUs!F36,'GPUs Products'!T$9:T$616)</f>
        <v>225</v>
      </c>
      <c r="U36" s="14" t="s">
        <v>793</v>
      </c>
      <c r="V36" s="12">
        <v>4</v>
      </c>
      <c r="W36" s="75">
        <v>16</v>
      </c>
      <c r="X36" s="76">
        <v>16</v>
      </c>
      <c r="Y36" s="9">
        <f>AVERAGEIF('GPUs Products'!F$9:F$616,GPUs!F36,'GPUs Products'!Y$9:Y$616)</f>
        <v>379</v>
      </c>
      <c r="Z36" s="3">
        <f>AVERAGEIF('GPUs Products'!F$9:F$616,GPUs!F36,'GPUs Products'!Y$9:Y$616)</f>
        <v>379</v>
      </c>
      <c r="AA36" s="17"/>
      <c r="AB36" s="18"/>
      <c r="AC36" s="46" cm="1">
        <f t="array" ref="AC36">(SUMPRODUCT((H36:O36/H$9:O$9)^H$7:O$7*H$2:O$2)+SUMPRODUCT((Q36:T36/Q$9:T$9)^Q$7:T$7*Q$2:T$2))*(0.8^(1-G36))*AC$9</f>
        <v>1.1746495036763698</v>
      </c>
      <c r="AD36" s="48" cm="1">
        <f t="array" ref="AD36">(SUMPRODUCT((H36:O36/H$9:O$9)^H$7:O$7*H$3:O$3)+SUMPRODUCT((Q36:T36/Q$9:T$9)^Q$7:T$7*Q$3:T$3))*(0.1^(1-G36))*AD$9</f>
        <v>0.16473011262321788</v>
      </c>
      <c r="AE36" s="48" cm="1">
        <f t="array" ref="AE36">(SUMPRODUCT((H36:O36/H$9:O$9)^H$7:O$7*H$4:O$4)+SUMPRODUCT((Q36:T36/Q$9:T$9)^Q$7:T$7*Q$4:T$4))*AE$9</f>
        <v>1.9925295939372649</v>
      </c>
      <c r="AF36" s="47" cm="1">
        <f t="array" ref="AF36">(SUMPRODUCT((H36:O36/H$9:O$9)^H$7:O$7*H$5:O$5)+SUMPRODUCT((Q36:T36/Q$9:T$9)^Q$7:T$7*Q$5:T$5))*AF$9</f>
        <v>1.2684594755649847</v>
      </c>
      <c r="AG36" s="50" cm="1">
        <f t="array" ref="AG36">SUMPRODUCT(AC36:AF36 * AC$3:AF$3) / SUM(AC$3:AF$3)</f>
        <v>0.72009373621282069</v>
      </c>
    </row>
    <row r="37" spans="1:33" x14ac:dyDescent="0.25">
      <c r="A37" s="81" t="s">
        <v>8833</v>
      </c>
      <c r="B37" s="20"/>
      <c r="C37" s="4" t="s">
        <v>427</v>
      </c>
      <c r="E37" s="4" t="s">
        <v>8857</v>
      </c>
      <c r="F37" s="5" t="s">
        <v>8889</v>
      </c>
      <c r="G37" s="9">
        <v>0</v>
      </c>
      <c r="H37" s="1">
        <f>AVERAGEIF('GPUs Products'!F$9:F$616,GPUs!F37,'GPUs Products'!H$9:H$616)</f>
        <v>20.28</v>
      </c>
      <c r="I37" s="1">
        <f>AVERAGEIF('GPUs Products'!F$9:F$616,GPUs!F37,'GPUs Products'!I$9:I$616)</f>
        <v>10.14</v>
      </c>
      <c r="J37" s="1">
        <f>AVERAGEIF('GPUs Products'!F$9:F$616,GPUs!F37,'GPUs Products'!J$9:J$616)</f>
        <v>0.63</v>
      </c>
      <c r="K37" s="3">
        <f>AVERAGEIF('GPUs Products'!F$9:F$616,GPUs!F37,'GPUs Products'!K$9:K$616)</f>
        <v>1750</v>
      </c>
      <c r="L37" s="3">
        <f>AVERAGEIF('GPUs Products'!F$9:F$616,GPUs!F37,'GPUs Products'!L$9:L$616)</f>
        <v>1980</v>
      </c>
      <c r="M37" s="49">
        <f>AVERAGEIF('GPUs Products'!F$9:F$616,GPUs!F37,'GPUs Products'!M$9:M$616)</f>
        <v>121.9</v>
      </c>
      <c r="N37" s="1">
        <f>AVERAGEIF('GPUs Products'!F$9:F$616,GPUs!F37,'GPUs Products'!N$9:N$616)</f>
        <v>304.8</v>
      </c>
      <c r="O37" s="3">
        <f>AVERAGEIF('GPUs Products'!F$9:F$616,GPUs!F37,'GPUs Products'!O$9:O$616)</f>
        <v>0</v>
      </c>
      <c r="P37" s="11" t="s">
        <v>2275</v>
      </c>
      <c r="Q37" s="3">
        <f>AVERAGEIF('GPUs Products'!F$9:F$616,GPUs!F37,'GPUs Products'!Q$9:Q$616)</f>
        <v>8</v>
      </c>
      <c r="R37" s="3">
        <f>AVERAGEIF('GPUs Products'!F$9:F$616,GPUs!F37,'GPUs Products'!R$9:R$616)</f>
        <v>256</v>
      </c>
      <c r="S37" s="22">
        <f>AVERAGEIF('GPUs Products'!F$9:F$616,GPUs!F37,'GPUs Products'!S$9:S$616)</f>
        <v>14</v>
      </c>
      <c r="T37" s="9">
        <f>AVERAGEIF('GPUs Products'!F$9:F$616,GPUs!F37,'GPUs Products'!T$9:T$616)</f>
        <v>225</v>
      </c>
      <c r="U37" s="14" t="s">
        <v>576</v>
      </c>
      <c r="V37" s="12">
        <v>4</v>
      </c>
      <c r="W37" s="75">
        <v>16</v>
      </c>
      <c r="X37" s="76">
        <v>16</v>
      </c>
      <c r="Y37" s="9">
        <f>AVERAGEIF('GPUs Products'!F$9:F$616,GPUs!F37,'GPUs Products'!Y$9:Y$616)</f>
        <v>1091.03</v>
      </c>
      <c r="Z37" s="3">
        <f>AVERAGEIF('GPUs Products'!F$9:F$616,GPUs!F37,'GPUs Products'!Y$9:Y$616)</f>
        <v>1091.03</v>
      </c>
      <c r="AA37" s="17"/>
      <c r="AB37" s="18"/>
      <c r="AC37" s="46" cm="1">
        <f t="array" ref="AC37">(SUMPRODUCT((H37:O37/H$9:O$9)^H$7:O$7*H$2:O$2)+SUMPRODUCT((Q37:T37/Q$9:T$9)^Q$7:T$7*Q$2:T$2))*(0.8^(1-G37))*AC$9</f>
        <v>1.2702715355244445</v>
      </c>
      <c r="AD37" s="48" cm="1">
        <f t="array" ref="AD37">(SUMPRODUCT((H37:O37/H$9:O$9)^H$7:O$7*H$3:O$3)+SUMPRODUCT((Q37:T37/Q$9:T$9)^Q$7:T$7*Q$3:T$3))*(0.1^(1-G37))*AD$9</f>
        <v>0.18736494751673491</v>
      </c>
      <c r="AE37" s="48" cm="1">
        <f t="array" ref="AE37">(SUMPRODUCT((H37:O37/H$9:O$9)^H$7:O$7*H$4:O$4)+SUMPRODUCT((Q37:T37/Q$9:T$9)^Q$7:T$7*Q$4:T$4))*AE$9</f>
        <v>2.2710075185820879</v>
      </c>
      <c r="AF37" s="47" cm="1">
        <f t="array" ref="AF37">(SUMPRODUCT((H37:O37/H$9:O$9)^H$7:O$7*H$5:O$5)+SUMPRODUCT((Q37:T37/Q$9:T$9)^Q$7:T$7*Q$5:T$5))*AF$9</f>
        <v>1.3939379423435385</v>
      </c>
      <c r="AG37" s="50" cm="1">
        <f t="array" ref="AG37">SUMPRODUCT(AC37:AF37 * AC$3:AF$3) / SUM(AC$3:AF$3)</f>
        <v>0.80046071921863748</v>
      </c>
    </row>
    <row r="38" spans="1:33" x14ac:dyDescent="0.25">
      <c r="A38" s="81" t="s">
        <v>8834</v>
      </c>
      <c r="B38" s="20"/>
      <c r="C38" s="4" t="s">
        <v>427</v>
      </c>
      <c r="E38" s="4" t="s">
        <v>8858</v>
      </c>
      <c r="F38" s="5" t="s">
        <v>8890</v>
      </c>
      <c r="G38" s="9">
        <v>0</v>
      </c>
      <c r="H38" s="1">
        <f>AVERAGEIF('GPUs Products'!F$9:F$616,GPUs!F38,'GPUs Products'!H$9:H$616)</f>
        <v>7.13</v>
      </c>
      <c r="I38" s="1">
        <f>AVERAGEIF('GPUs Products'!F$9:F$616,GPUs!F38,'GPUs Products'!I$9:I$616)</f>
        <v>3.57</v>
      </c>
      <c r="J38" s="1">
        <f>AVERAGEIF('GPUs Products'!F$9:F$616,GPUs!F38,'GPUs Products'!J$9:J$616)</f>
        <v>0.22</v>
      </c>
      <c r="K38" s="3">
        <f>AVERAGEIF('GPUs Products'!F$9:F$616,GPUs!F38,'GPUs Products'!K$9:K$616)</f>
        <v>2000</v>
      </c>
      <c r="L38" s="3">
        <f>AVERAGEIF('GPUs Products'!F$9:F$616,GPUs!F38,'GPUs Products'!L$9:L$616)</f>
        <v>2321</v>
      </c>
      <c r="M38" s="49">
        <f>AVERAGEIF('GPUs Products'!F$9:F$616,GPUs!F38,'GPUs Products'!M$9:M$616)</f>
        <v>74.3</v>
      </c>
      <c r="N38" s="1">
        <f>AVERAGEIF('GPUs Products'!F$9:F$616,GPUs!F38,'GPUs Products'!N$9:N$616)</f>
        <v>114</v>
      </c>
      <c r="O38" s="3">
        <f>AVERAGEIF('GPUs Products'!F$9:F$616,GPUs!F38,'GPUs Products'!O$9:O$616)</f>
        <v>12</v>
      </c>
      <c r="P38" s="11" t="s">
        <v>2275</v>
      </c>
      <c r="Q38" s="3">
        <f>AVERAGEIF('GPUs Products'!F$9:F$616,GPUs!F38,'GPUs Products'!Q$9:Q$616)</f>
        <v>4</v>
      </c>
      <c r="R38" s="3">
        <f>AVERAGEIF('GPUs Products'!F$9:F$616,GPUs!F38,'GPUs Products'!R$9:R$616)</f>
        <v>64</v>
      </c>
      <c r="S38" s="22">
        <f>AVERAGEIF('GPUs Products'!F$9:F$616,GPUs!F38,'GPUs Products'!S$9:S$616)</f>
        <v>16</v>
      </c>
      <c r="T38" s="9">
        <f>AVERAGEIF('GPUs Products'!F$9:F$616,GPUs!F38,'GPUs Products'!T$9:T$616)</f>
        <v>53</v>
      </c>
      <c r="U38" s="14" t="s">
        <v>635</v>
      </c>
      <c r="V38" s="12">
        <v>4</v>
      </c>
      <c r="W38" s="75">
        <v>16</v>
      </c>
      <c r="X38" s="76">
        <v>4</v>
      </c>
      <c r="Y38" s="9">
        <f>AVERAGEIF('GPUs Products'!F$9:F$616,GPUs!F38,'GPUs Products'!Y$9:Y$616)</f>
        <v>214.83750000000003</v>
      </c>
      <c r="Z38" s="3">
        <f>AVERAGEIF('GPUs Products'!F$9:F$616,GPUs!F38,'GPUs Products'!Y$9:Y$616)</f>
        <v>214.83750000000003</v>
      </c>
      <c r="AA38" s="17"/>
      <c r="AB38" s="18"/>
      <c r="AC38" s="46" cm="1">
        <f t="array" ref="AC38">(SUMPRODUCT((H38:O38/H$9:O$9)^H$7:O$7*H$2:O$2)+SUMPRODUCT((Q38:T38/Q$9:T$9)^Q$7:T$7*Q$2:T$2))*(0.8^(1-G38))*AC$9</f>
        <v>0.99632066911640416</v>
      </c>
      <c r="AD38" s="48" cm="1">
        <f t="array" ref="AD38">(SUMPRODUCT((H38:O38/H$9:O$9)^H$7:O$7*H$3:O$3)+SUMPRODUCT((Q38:T38/Q$9:T$9)^Q$7:T$7*Q$3:T$3))*(0.1^(1-G38))*AD$9</f>
        <v>9.6956294644869226E-2</v>
      </c>
      <c r="AE38" s="48" cm="1">
        <f t="array" ref="AE38">(SUMPRODUCT((H38:O38/H$9:O$9)^H$7:O$7*H$4:O$4)+SUMPRODUCT((Q38:T38/Q$9:T$9)^Q$7:T$7*Q$4:T$4))*AE$9</f>
        <v>1.0862899727105026</v>
      </c>
      <c r="AF38" s="47" cm="1">
        <f t="array" ref="AF38">(SUMPRODUCT((H38:O38/H$9:O$9)^H$7:O$7*H$5:O$5)+SUMPRODUCT((Q38:T38/Q$9:T$9)^Q$7:T$7*Q$5:T$5))*AF$9</f>
        <v>0.9604453006290774</v>
      </c>
      <c r="AG38" s="50" cm="1">
        <f t="array" ref="AG38">SUMPRODUCT(AC38:AF38 * AC$3:AF$3) / SUM(AC$3:AF$3)</f>
        <v>0.50069115561700783</v>
      </c>
    </row>
    <row r="39" spans="1:33" x14ac:dyDescent="0.25">
      <c r="A39" s="81" t="s">
        <v>8835</v>
      </c>
      <c r="B39" s="20"/>
      <c r="C39" s="4" t="s">
        <v>427</v>
      </c>
      <c r="E39" s="4" t="s">
        <v>8858</v>
      </c>
      <c r="F39" s="5" t="s">
        <v>8891</v>
      </c>
      <c r="G39" s="9">
        <v>0</v>
      </c>
      <c r="H39" s="1">
        <f>AVERAGEIF('GPUs Products'!F$9:F$616,GPUs!F39,'GPUs Products'!H$9:H$616)</f>
        <v>11.558</v>
      </c>
      <c r="I39" s="1">
        <f>AVERAGEIF('GPUs Products'!F$9:F$616,GPUs!F39,'GPUs Products'!I$9:I$616)</f>
        <v>5.7839999999999998</v>
      </c>
      <c r="J39" s="1">
        <f>AVERAGEIF('GPUs Products'!F$9:F$616,GPUs!F39,'GPUs Products'!J$9:J$616)</f>
        <v>0.36</v>
      </c>
      <c r="K39" s="3">
        <f>AVERAGEIF('GPUs Products'!F$9:F$616,GPUs!F39,'GPUs Products'!K$9:K$616)</f>
        <v>2248</v>
      </c>
      <c r="L39" s="3">
        <f>AVERAGEIF('GPUs Products'!F$9:F$616,GPUs!F39,'GPUs Products'!L$9:L$616)</f>
        <v>2822</v>
      </c>
      <c r="M39" s="49">
        <f>AVERAGEIF('GPUs Products'!F$9:F$616,GPUs!F39,'GPUs Products'!M$9:M$616)</f>
        <v>90.1</v>
      </c>
      <c r="N39" s="1">
        <f>AVERAGEIF('GPUs Products'!F$9:F$616,GPUs!F39,'GPUs Products'!N$9:N$616)</f>
        <v>180.2</v>
      </c>
      <c r="O39" s="3">
        <f>AVERAGEIF('GPUs Products'!F$9:F$616,GPUs!F39,'GPUs Products'!O$9:O$616)</f>
        <v>16</v>
      </c>
      <c r="P39" s="11" t="s">
        <v>2275</v>
      </c>
      <c r="Q39" s="3">
        <f>AVERAGEIF('GPUs Products'!F$9:F$616,GPUs!F39,'GPUs Products'!Q$9:Q$616)</f>
        <v>4</v>
      </c>
      <c r="R39" s="3">
        <f>AVERAGEIF('GPUs Products'!F$9:F$616,GPUs!F39,'GPUs Products'!R$9:R$616)</f>
        <v>64</v>
      </c>
      <c r="S39" s="22">
        <f>AVERAGEIF('GPUs Products'!F$9:F$616,GPUs!F39,'GPUs Products'!S$9:S$616)</f>
        <v>18</v>
      </c>
      <c r="T39" s="9">
        <f>AVERAGEIF('GPUs Products'!F$9:F$616,GPUs!F39,'GPUs Products'!T$9:T$616)</f>
        <v>107</v>
      </c>
      <c r="U39" s="14" t="s">
        <v>642</v>
      </c>
      <c r="V39" s="12">
        <v>4</v>
      </c>
      <c r="W39" s="75">
        <v>16</v>
      </c>
      <c r="X39" s="76">
        <v>4</v>
      </c>
      <c r="Y39" s="9">
        <f>AVERAGEIF('GPUs Products'!F$9:F$616,GPUs!F39,'GPUs Products'!Y$9:Y$616)</f>
        <v>277.21200000000005</v>
      </c>
      <c r="Z39" s="3">
        <f>AVERAGEIF('GPUs Products'!F$9:F$616,GPUs!F39,'GPUs Products'!Y$9:Y$616)</f>
        <v>277.21200000000005</v>
      </c>
      <c r="AA39" s="17"/>
      <c r="AB39" s="18"/>
      <c r="AC39" s="46" cm="1">
        <f t="array" ref="AC39">(SUMPRODUCT((H39:O39/H$9:O$9)^H$7:O$7*H$2:O$2)+SUMPRODUCT((Q39:T39/Q$9:T$9)^Q$7:T$7*Q$2:T$2))*(0.8^(1-G39))*AC$9</f>
        <v>1.1644240541971338</v>
      </c>
      <c r="AD39" s="48" cm="1">
        <f t="array" ref="AD39">(SUMPRODUCT((H39:O39/H$9:O$9)^H$7:O$7*H$3:O$3)+SUMPRODUCT((Q39:T39/Q$9:T$9)^Q$7:T$7*Q$3:T$3))*(0.1^(1-G39))*AD$9</f>
        <v>0.12365556520190833</v>
      </c>
      <c r="AE39" s="48" cm="1">
        <f t="array" ref="AE39">(SUMPRODUCT((H39:O39/H$9:O$9)^H$7:O$7*H$4:O$4)+SUMPRODUCT((Q39:T39/Q$9:T$9)^Q$7:T$7*Q$4:T$4))*AE$9</f>
        <v>1.4431142039504765</v>
      </c>
      <c r="AF39" s="47" cm="1">
        <f t="array" ref="AF39">(SUMPRODUCT((H39:O39/H$9:O$9)^H$7:O$7*H$5:O$5)+SUMPRODUCT((Q39:T39/Q$9:T$9)^Q$7:T$7*Q$5:T$5))*AF$9</f>
        <v>1.1471291517906439</v>
      </c>
      <c r="AG39" s="50" cm="1">
        <f t="array" ref="AG39">SUMPRODUCT(AC39:AF39 * AC$3:AF$3) / SUM(AC$3:AF$3)</f>
        <v>0.61430242654907607</v>
      </c>
    </row>
    <row r="40" spans="1:33" x14ac:dyDescent="0.25">
      <c r="A40" s="81" t="s">
        <v>8836</v>
      </c>
      <c r="B40" s="20"/>
      <c r="C40" s="4" t="s">
        <v>427</v>
      </c>
      <c r="E40" s="4" t="s">
        <v>8858</v>
      </c>
      <c r="F40" s="5" t="s">
        <v>8892</v>
      </c>
      <c r="G40" s="9">
        <v>0</v>
      </c>
      <c r="H40" s="1">
        <f>AVERAGEIF('GPUs Products'!F$9:F$616,GPUs!F40,'GPUs Products'!H$9:H$616)</f>
        <v>17.86</v>
      </c>
      <c r="I40" s="1">
        <f>AVERAGEIF('GPUs Products'!F$9:F$616,GPUs!F40,'GPUs Products'!I$9:I$616)</f>
        <v>8.93</v>
      </c>
      <c r="J40" s="1">
        <f>AVERAGEIF('GPUs Products'!F$9:F$616,GPUs!F40,'GPUs Products'!J$9:J$616)</f>
        <v>0.56000000000000005</v>
      </c>
      <c r="K40" s="3">
        <f>AVERAGEIF('GPUs Products'!F$9:F$616,GPUs!F40,'GPUs Products'!K$9:K$616)</f>
        <v>1750</v>
      </c>
      <c r="L40" s="3">
        <f>AVERAGEIF('GPUs Products'!F$9:F$616,GPUs!F40,'GPUs Products'!L$9:L$616)</f>
        <v>2491</v>
      </c>
      <c r="M40" s="49">
        <f>AVERAGEIF('GPUs Products'!F$9:F$616,GPUs!F40,'GPUs Products'!M$9:M$616)</f>
        <v>159.4</v>
      </c>
      <c r="N40" s="1">
        <f>AVERAGEIF('GPUs Products'!F$9:F$616,GPUs!F40,'GPUs Products'!N$9:N$616)</f>
        <v>279</v>
      </c>
      <c r="O40" s="3">
        <f>AVERAGEIF('GPUs Products'!F$9:F$616,GPUs!F40,'GPUs Products'!O$9:O$616)</f>
        <v>28</v>
      </c>
      <c r="P40" s="11" t="s">
        <v>2275</v>
      </c>
      <c r="Q40" s="3">
        <f>AVERAGEIF('GPUs Products'!F$9:F$616,GPUs!F40,'GPUs Products'!Q$9:Q$616)</f>
        <v>8</v>
      </c>
      <c r="R40" s="3">
        <f>AVERAGEIF('GPUs Products'!F$9:F$616,GPUs!F40,'GPUs Products'!R$9:R$616)</f>
        <v>128</v>
      </c>
      <c r="S40" s="22">
        <f>AVERAGEIF('GPUs Products'!F$9:F$616,GPUs!F40,'GPUs Products'!S$9:S$616)</f>
        <v>14</v>
      </c>
      <c r="T40" s="9">
        <f>AVERAGEIF('GPUs Products'!F$9:F$616,GPUs!F40,'GPUs Products'!T$9:T$616)</f>
        <v>132</v>
      </c>
      <c r="U40" s="14" t="s">
        <v>446</v>
      </c>
      <c r="V40" s="12">
        <v>4</v>
      </c>
      <c r="W40" s="75">
        <v>16</v>
      </c>
      <c r="X40" s="76">
        <v>8</v>
      </c>
      <c r="Y40" s="9">
        <f>AVERAGEIF('GPUs Products'!F$9:F$616,GPUs!F40,'GPUs Products'!Y$9:Y$616)</f>
        <v>333.65857142857146</v>
      </c>
      <c r="Z40" s="3">
        <f>AVERAGEIF('GPUs Products'!F$9:F$616,GPUs!F40,'GPUs Products'!Y$9:Y$616)</f>
        <v>333.65857142857146</v>
      </c>
      <c r="AA40" s="17"/>
      <c r="AB40" s="18"/>
      <c r="AC40" s="46" cm="1">
        <f t="array" ref="AC40">(SUMPRODUCT((H40:O40/H$9:O$9)^H$7:O$7*H$2:O$2)+SUMPRODUCT((Q40:T40/Q$9:T$9)^Q$7:T$7*Q$2:T$2))*(0.8^(1-G40))*AC$9</f>
        <v>1.4018664013509958</v>
      </c>
      <c r="AD40" s="48" cm="1">
        <f t="array" ref="AD40">(SUMPRODUCT((H40:O40/H$9:O$9)^H$7:O$7*H$3:O$3)+SUMPRODUCT((Q40:T40/Q$9:T$9)^Q$7:T$7*Q$3:T$3))*(0.1^(1-G40))*AD$9</f>
        <v>0.1684337792361672</v>
      </c>
      <c r="AE40" s="48" cm="1">
        <f t="array" ref="AE40">(SUMPRODUCT((H40:O40/H$9:O$9)^H$7:O$7*H$4:O$4)+SUMPRODUCT((Q40:T40/Q$9:T$9)^Q$7:T$7*Q$4:T$4))*AE$9</f>
        <v>1.9939243565836358</v>
      </c>
      <c r="AF40" s="47" cm="1">
        <f t="array" ref="AF40">(SUMPRODUCT((H40:O40/H$9:O$9)^H$7:O$7*H$5:O$5)+SUMPRODUCT((Q40:T40/Q$9:T$9)^Q$7:T$7*Q$5:T$5))*AF$9</f>
        <v>1.4574336723100856</v>
      </c>
      <c r="AG40" s="50" cm="1">
        <f t="array" ref="AG40">SUMPRODUCT(AC40:AF40 * AC$3:AF$3) / SUM(AC$3:AF$3)</f>
        <v>0.79167148480623273</v>
      </c>
    </row>
    <row r="41" spans="1:33" x14ac:dyDescent="0.25">
      <c r="A41" s="81" t="s">
        <v>8837</v>
      </c>
      <c r="B41" s="20"/>
      <c r="C41" s="4" t="s">
        <v>427</v>
      </c>
      <c r="E41" s="4" t="s">
        <v>8858</v>
      </c>
      <c r="F41" s="5" t="s">
        <v>8893</v>
      </c>
      <c r="G41" s="9">
        <v>0</v>
      </c>
      <c r="H41" s="1">
        <f>AVERAGEIF('GPUs Products'!F$9:F$616,GPUs!F41,'GPUs Products'!H$9:H$616)</f>
        <v>21.305714285714284</v>
      </c>
      <c r="I41" s="1">
        <f>AVERAGEIF('GPUs Products'!F$9:F$616,GPUs!F41,'GPUs Products'!I$9:I$616)</f>
        <v>10.651428571428571</v>
      </c>
      <c r="J41" s="1">
        <f>AVERAGEIF('GPUs Products'!F$9:F$616,GPUs!F41,'GPUs Products'!J$9:J$616)</f>
        <v>0.66714285714285715</v>
      </c>
      <c r="K41" s="3">
        <f>AVERAGEIF('GPUs Products'!F$9:F$616,GPUs!F41,'GPUs Products'!K$9:K$616)</f>
        <v>2000</v>
      </c>
      <c r="L41" s="3">
        <f>AVERAGEIF('GPUs Products'!F$9:F$616,GPUs!F41,'GPUs Products'!L$9:L$616)</f>
        <v>2600.4285714285716</v>
      </c>
      <c r="M41" s="49">
        <f>AVERAGEIF('GPUs Products'!F$9:F$616,GPUs!F41,'GPUs Products'!M$9:M$616)</f>
        <v>165.70000000000002</v>
      </c>
      <c r="N41" s="1">
        <f>AVERAGEIF('GPUs Products'!F$9:F$616,GPUs!F41,'GPUs Products'!N$9:N$616)</f>
        <v>331.40000000000003</v>
      </c>
      <c r="O41" s="3">
        <f>AVERAGEIF('GPUs Products'!F$9:F$616,GPUs!F41,'GPUs Products'!O$9:O$616)</f>
        <v>32</v>
      </c>
      <c r="P41" s="11" t="s">
        <v>2275</v>
      </c>
      <c r="Q41" s="3">
        <f>AVERAGEIF('GPUs Products'!F$9:F$616,GPUs!F41,'GPUs Products'!Q$9:Q$616)</f>
        <v>8</v>
      </c>
      <c r="R41" s="3">
        <f>AVERAGEIF('GPUs Products'!F$9:F$616,GPUs!F41,'GPUs Products'!R$9:R$616)</f>
        <v>128</v>
      </c>
      <c r="S41" s="22">
        <f>AVERAGEIF('GPUs Products'!F$9:F$616,GPUs!F41,'GPUs Products'!S$9:S$616)</f>
        <v>16</v>
      </c>
      <c r="T41" s="9">
        <f>AVERAGEIF('GPUs Products'!F$9:F$616,GPUs!F41,'GPUs Products'!T$9:T$616)</f>
        <v>160</v>
      </c>
      <c r="U41" s="14" t="s">
        <v>446</v>
      </c>
      <c r="V41" s="12">
        <v>4</v>
      </c>
      <c r="W41" s="75">
        <v>16</v>
      </c>
      <c r="X41" s="76">
        <v>8</v>
      </c>
      <c r="Y41" s="9">
        <f>AVERAGEIF('GPUs Products'!F$9:F$616,GPUs!F41,'GPUs Products'!Y$9:Y$616)</f>
        <v>558.91714285714284</v>
      </c>
      <c r="Z41" s="3">
        <f>AVERAGEIF('GPUs Products'!F$9:F$616,GPUs!F41,'GPUs Products'!Y$9:Y$616)</f>
        <v>558.91714285714284</v>
      </c>
      <c r="AA41" s="17"/>
      <c r="AB41" s="18"/>
      <c r="AC41" s="46" cm="1">
        <f t="array" ref="AC41">(SUMPRODUCT((H41:O41/H$9:O$9)^H$7:O$7*H$2:O$2)+SUMPRODUCT((Q41:T41/Q$9:T$9)^Q$7:T$7*Q$2:T$2))*(0.8^(1-G41))*AC$9</f>
        <v>1.5035254200233468</v>
      </c>
      <c r="AD41" s="48" cm="1">
        <f t="array" ref="AD41">(SUMPRODUCT((H41:O41/H$9:O$9)^H$7:O$7*H$3:O$3)+SUMPRODUCT((Q41:T41/Q$9:T$9)^Q$7:T$7*Q$3:T$3))*(0.1^(1-G41))*AD$9</f>
        <v>0.18764239329971713</v>
      </c>
      <c r="AE41" s="48" cm="1">
        <f t="array" ref="AE41">(SUMPRODUCT((H41:O41/H$9:O$9)^H$7:O$7*H$4:O$4)+SUMPRODUCT((Q41:T41/Q$9:T$9)^Q$7:T$7*Q$4:T$4))*AE$9</f>
        <v>2.2377296282231196</v>
      </c>
      <c r="AF41" s="47" cm="1">
        <f t="array" ref="AF41">(SUMPRODUCT((H41:O41/H$9:O$9)^H$7:O$7*H$5:O$5)+SUMPRODUCT((Q41:T41/Q$9:T$9)^Q$7:T$7*Q$5:T$5))*AF$9</f>
        <v>1.5905437377822913</v>
      </c>
      <c r="AG41" s="50" cm="1">
        <f t="array" ref="AG41">SUMPRODUCT(AC41:AF41 * AC$3:AF$3) / SUM(AC$3:AF$3)</f>
        <v>0.86856059238112915</v>
      </c>
    </row>
    <row r="42" spans="1:33" x14ac:dyDescent="0.25">
      <c r="A42" s="81" t="s">
        <v>8838</v>
      </c>
      <c r="B42" s="20"/>
      <c r="C42" s="4" t="s">
        <v>427</v>
      </c>
      <c r="E42" s="4" t="s">
        <v>8858</v>
      </c>
      <c r="F42" s="5" t="s">
        <v>8894</v>
      </c>
      <c r="G42" s="9">
        <v>0</v>
      </c>
      <c r="H42" s="1">
        <f>AVERAGEIF('GPUs Products'!F$9:F$616,GPUs!F42,'GPUs Products'!H$9:H$616)</f>
        <v>22.021666666666665</v>
      </c>
      <c r="I42" s="1">
        <f>AVERAGEIF('GPUs Products'!F$9:F$616,GPUs!F42,'GPUs Products'!I$9:I$616)</f>
        <v>11.006666666666666</v>
      </c>
      <c r="J42" s="1">
        <f>AVERAGEIF('GPUs Products'!F$9:F$616,GPUs!F42,'GPUs Products'!J$9:J$616)</f>
        <v>0.68833333333333335</v>
      </c>
      <c r="K42" s="3">
        <f>AVERAGEIF('GPUs Products'!F$9:F$616,GPUs!F42,'GPUs Products'!K$9:K$616)</f>
        <v>2190</v>
      </c>
      <c r="L42" s="3">
        <f>AVERAGEIF('GPUs Products'!F$9:F$616,GPUs!F42,'GPUs Products'!L$9:L$616)</f>
        <v>2688.1666666666665</v>
      </c>
      <c r="M42" s="49">
        <f>AVERAGEIF('GPUs Products'!F$9:F$616,GPUs!F42,'GPUs Products'!M$9:M$616)</f>
        <v>168.6</v>
      </c>
      <c r="N42" s="1">
        <f>AVERAGEIF('GPUs Products'!F$9:F$616,GPUs!F42,'GPUs Products'!N$9:N$616)</f>
        <v>337.2</v>
      </c>
      <c r="O42" s="3">
        <f>AVERAGEIF('GPUs Products'!F$9:F$616,GPUs!F42,'GPUs Products'!O$9:O$616)</f>
        <v>32</v>
      </c>
      <c r="P42" s="11" t="s">
        <v>2275</v>
      </c>
      <c r="Q42" s="3">
        <f>AVERAGEIF('GPUs Products'!F$9:F$616,GPUs!F42,'GPUs Products'!Q$9:Q$616)</f>
        <v>8</v>
      </c>
      <c r="R42" s="3">
        <f>AVERAGEIF('GPUs Products'!F$9:F$616,GPUs!F42,'GPUs Products'!R$9:R$616)</f>
        <v>128</v>
      </c>
      <c r="S42" s="22">
        <f>AVERAGEIF('GPUs Products'!F$9:F$616,GPUs!F42,'GPUs Products'!S$9:S$616)</f>
        <v>17.5</v>
      </c>
      <c r="T42" s="9">
        <f>AVERAGEIF('GPUs Products'!F$9:F$616,GPUs!F42,'GPUs Products'!T$9:T$616)</f>
        <v>180</v>
      </c>
      <c r="U42" s="14" t="s">
        <v>446</v>
      </c>
      <c r="V42" s="12">
        <v>4</v>
      </c>
      <c r="W42" s="75">
        <v>16</v>
      </c>
      <c r="X42" s="76">
        <v>8</v>
      </c>
      <c r="Y42" s="9">
        <f>AVERAGEIF('GPUs Products'!F$9:F$616,GPUs!F42,'GPUs Products'!Y$9:Y$616)</f>
        <v>638.36666666666667</v>
      </c>
      <c r="Z42" s="3">
        <f>AVERAGEIF('GPUs Products'!F$9:F$616,GPUs!F42,'GPUs Products'!Y$9:Y$616)</f>
        <v>638.36666666666667</v>
      </c>
      <c r="AA42" s="17"/>
      <c r="AB42" s="18"/>
      <c r="AC42" s="46" cm="1">
        <f t="array" ref="AC42">(SUMPRODUCT((H42:O42/H$9:O$9)^H$7:O$7*H$2:O$2)+SUMPRODUCT((Q42:T42/Q$9:T$9)^Q$7:T$7*Q$2:T$2))*(0.8^(1-G42))*AC$9</f>
        <v>1.5394319797572973</v>
      </c>
      <c r="AD42" s="48" cm="1">
        <f t="array" ref="AD42">(SUMPRODUCT((H42:O42/H$9:O$9)^H$7:O$7*H$3:O$3)+SUMPRODUCT((Q42:T42/Q$9:T$9)^Q$7:T$7*Q$3:T$3))*(0.1^(1-G42))*AD$9</f>
        <v>0.19222900291702319</v>
      </c>
      <c r="AE42" s="48" cm="1">
        <f t="array" ref="AE42">(SUMPRODUCT((H42:O42/H$9:O$9)^H$7:O$7*H$4:O$4)+SUMPRODUCT((Q42:T42/Q$9:T$9)^Q$7:T$7*Q$4:T$4))*AE$9</f>
        <v>2.2949726610873538</v>
      </c>
      <c r="AF42" s="47" cm="1">
        <f t="array" ref="AF42">(SUMPRODUCT((H42:O42/H$9:O$9)^H$7:O$7*H$5:O$5)+SUMPRODUCT((Q42:T42/Q$9:T$9)^Q$7:T$7*Q$5:T$5))*AF$9</f>
        <v>1.6290165164221628</v>
      </c>
      <c r="AG42" s="50" cm="1">
        <f t="array" ref="AG42">SUMPRODUCT(AC42:AF42 * AC$3:AF$3) / SUM(AC$3:AF$3)</f>
        <v>0.88986560221573996</v>
      </c>
    </row>
    <row r="43" spans="1:33" x14ac:dyDescent="0.25">
      <c r="A43" s="81" t="s">
        <v>8839</v>
      </c>
      <c r="B43" s="20"/>
      <c r="C43" s="4" t="s">
        <v>427</v>
      </c>
      <c r="E43" s="4" t="s">
        <v>8858</v>
      </c>
      <c r="F43" s="5" t="s">
        <v>8895</v>
      </c>
      <c r="G43" s="9">
        <v>0</v>
      </c>
      <c r="H43" s="1">
        <f>AVERAGEIF('GPUs Products'!F$9:F$616,GPUs!F43,'GPUs Products'!H$9:H$616)</f>
        <v>26.7425</v>
      </c>
      <c r="I43" s="1">
        <f>AVERAGEIF('GPUs Products'!F$9:F$616,GPUs!F43,'GPUs Products'!I$9:I$616)</f>
        <v>13.366250000000001</v>
      </c>
      <c r="J43" s="1">
        <f>AVERAGEIF('GPUs Products'!F$9:F$616,GPUs!F43,'GPUs Products'!J$9:J$616)</f>
        <v>0.83749999999999991</v>
      </c>
      <c r="K43" s="3">
        <f>AVERAGEIF('GPUs Products'!F$9:F$616,GPUs!F43,'GPUs Products'!K$9:K$616)</f>
        <v>2000</v>
      </c>
      <c r="L43" s="3">
        <f>AVERAGEIF('GPUs Products'!F$9:F$616,GPUs!F43,'GPUs Products'!L$9:L$616)</f>
        <v>2591.875</v>
      </c>
      <c r="M43" s="49">
        <f>AVERAGEIF('GPUs Products'!F$9:F$616,GPUs!F43,'GPUs Products'!M$9:M$616)</f>
        <v>165.20000000000002</v>
      </c>
      <c r="N43" s="1">
        <f>AVERAGEIF('GPUs Products'!F$9:F$616,GPUs!F43,'GPUs Products'!N$9:N$616)</f>
        <v>413</v>
      </c>
      <c r="O43" s="3">
        <f>AVERAGEIF('GPUs Products'!F$9:F$616,GPUs!F43,'GPUs Products'!O$9:O$616)</f>
        <v>40</v>
      </c>
      <c r="P43" s="11" t="s">
        <v>2275</v>
      </c>
      <c r="Q43" s="3">
        <f>AVERAGEIF('GPUs Products'!F$9:F$616,GPUs!F43,'GPUs Products'!Q$9:Q$616)</f>
        <v>12</v>
      </c>
      <c r="R43" s="3">
        <f>AVERAGEIF('GPUs Products'!F$9:F$616,GPUs!F43,'GPUs Products'!R$9:R$616)</f>
        <v>192</v>
      </c>
      <c r="S43" s="22">
        <f>AVERAGEIF('GPUs Products'!F$9:F$616,GPUs!F43,'GPUs Products'!S$9:S$616)</f>
        <v>16</v>
      </c>
      <c r="T43" s="9">
        <f>AVERAGEIF('GPUs Products'!F$9:F$616,GPUs!F43,'GPUs Products'!T$9:T$616)</f>
        <v>230</v>
      </c>
      <c r="U43" s="14" t="s">
        <v>793</v>
      </c>
      <c r="V43" s="12">
        <v>4</v>
      </c>
      <c r="W43" s="75">
        <v>16</v>
      </c>
      <c r="X43" s="76">
        <v>16</v>
      </c>
      <c r="Y43" s="9">
        <f>AVERAGEIF('GPUs Products'!F$9:F$616,GPUs!F43,'GPUs Products'!Y$9:Y$616)</f>
        <v>879.11625000000004</v>
      </c>
      <c r="Z43" s="3">
        <f>AVERAGEIF('GPUs Products'!F$9:F$616,GPUs!F43,'GPUs Products'!Y$9:Y$616)</f>
        <v>879.11625000000004</v>
      </c>
      <c r="AA43" s="17"/>
      <c r="AB43" s="18"/>
      <c r="AC43" s="46" cm="1">
        <f t="array" ref="AC43">(SUMPRODUCT((H43:O43/H$9:O$9)^H$7:O$7*H$2:O$2)+SUMPRODUCT((Q43:T43/Q$9:T$9)^Q$7:T$7*Q$2:T$2))*(0.8^(1-G43))*AC$9</f>
        <v>1.656284202849803</v>
      </c>
      <c r="AD43" s="48" cm="1">
        <f t="array" ref="AD43">(SUMPRODUCT((H43:O43/H$9:O$9)^H$7:O$7*H$3:O$3)+SUMPRODUCT((Q43:T43/Q$9:T$9)^Q$7:T$7*Q$3:T$3))*(0.1^(1-G43))*AD$9</f>
        <v>0.22646193255964692</v>
      </c>
      <c r="AE43" s="48" cm="1">
        <f t="array" ref="AE43">(SUMPRODUCT((H43:O43/H$9:O$9)^H$7:O$7*H$4:O$4)+SUMPRODUCT((Q43:T43/Q$9:T$9)^Q$7:T$7*Q$4:T$4))*AE$9</f>
        <v>2.7042952454408464</v>
      </c>
      <c r="AF43" s="47" cm="1">
        <f t="array" ref="AF43">(SUMPRODUCT((H43:O43/H$9:O$9)^H$7:O$7*H$5:O$5)+SUMPRODUCT((Q43:T43/Q$9:T$9)^Q$7:T$7*Q$5:T$5))*AF$9</f>
        <v>1.8247089500805362</v>
      </c>
      <c r="AG43" s="50" cm="1">
        <f t="array" ref="AG43">SUMPRODUCT(AC43:AF43 * AC$3:AF$3) / SUM(AC$3:AF$3)</f>
        <v>1.0064549597371766</v>
      </c>
    </row>
    <row r="44" spans="1:33" x14ac:dyDescent="0.25">
      <c r="A44" s="81" t="s">
        <v>8840</v>
      </c>
      <c r="B44" s="20"/>
      <c r="C44" s="4" t="s">
        <v>427</v>
      </c>
      <c r="E44" s="4" t="s">
        <v>8858</v>
      </c>
      <c r="F44" s="5" t="s">
        <v>8896</v>
      </c>
      <c r="G44" s="9">
        <v>0</v>
      </c>
      <c r="H44" s="1">
        <f>AVERAGEIF('GPUs Products'!F$9:F$616,GPUs!F44,'GPUs Products'!H$9:H$616)</f>
        <v>26.811428571428571</v>
      </c>
      <c r="I44" s="1">
        <f>AVERAGEIF('GPUs Products'!F$9:F$616,GPUs!F44,'GPUs Products'!I$9:I$616)</f>
        <v>13.404285714285717</v>
      </c>
      <c r="J44" s="1">
        <f>AVERAGEIF('GPUs Products'!F$9:F$616,GPUs!F44,'GPUs Products'!J$9:J$616)</f>
        <v>0.83857142857142863</v>
      </c>
      <c r="K44" s="3">
        <f>AVERAGEIF('GPUs Products'!F$9:F$616,GPUs!F44,'GPUs Products'!K$9:K$616)</f>
        <v>2250</v>
      </c>
      <c r="L44" s="3">
        <f>AVERAGEIF('GPUs Products'!F$9:F$616,GPUs!F44,'GPUs Products'!L$9:L$616)</f>
        <v>2618.2857142857142</v>
      </c>
      <c r="M44" s="49">
        <f>AVERAGEIF('GPUs Products'!F$9:F$616,GPUs!F44,'GPUs Products'!M$9:M$616)</f>
        <v>166.4</v>
      </c>
      <c r="N44" s="1">
        <f>AVERAGEIF('GPUs Products'!F$9:F$616,GPUs!F44,'GPUs Products'!N$9:N$616)</f>
        <v>416</v>
      </c>
      <c r="O44" s="3">
        <f>AVERAGEIF('GPUs Products'!F$9:F$616,GPUs!F44,'GPUs Products'!O$9:O$616)</f>
        <v>40</v>
      </c>
      <c r="P44" s="11" t="s">
        <v>2275</v>
      </c>
      <c r="Q44" s="3">
        <f>AVERAGEIF('GPUs Products'!F$9:F$616,GPUs!F44,'GPUs Products'!Q$9:Q$616)</f>
        <v>12</v>
      </c>
      <c r="R44" s="3">
        <f>AVERAGEIF('GPUs Products'!F$9:F$616,GPUs!F44,'GPUs Products'!R$9:R$616)</f>
        <v>192</v>
      </c>
      <c r="S44" s="22">
        <f>AVERAGEIF('GPUs Products'!F$9:F$616,GPUs!F44,'GPUs Products'!S$9:S$616)</f>
        <v>18</v>
      </c>
      <c r="T44" s="9">
        <f>AVERAGEIF('GPUs Products'!F$9:F$616,GPUs!F44,'GPUs Products'!T$9:T$616)</f>
        <v>250</v>
      </c>
      <c r="U44" s="14" t="s">
        <v>576</v>
      </c>
      <c r="V44" s="12">
        <v>4</v>
      </c>
      <c r="W44" s="75">
        <v>16</v>
      </c>
      <c r="X44" s="76">
        <v>16</v>
      </c>
      <c r="Y44" s="9">
        <f>AVERAGEIF('GPUs Products'!F$9:F$616,GPUs!F44,'GPUs Products'!Y$9:Y$616)</f>
        <v>681.78285714285721</v>
      </c>
      <c r="Z44" s="3">
        <f>AVERAGEIF('GPUs Products'!F$9:F$616,GPUs!F44,'GPUs Products'!Y$9:Y$616)</f>
        <v>681.78285714285721</v>
      </c>
      <c r="AA44" s="17"/>
      <c r="AB44" s="18"/>
      <c r="AC44" s="46" cm="1">
        <f t="array" ref="AC44">(SUMPRODUCT((H44:O44/H$9:O$9)^H$7:O$7*H$2:O$2)+SUMPRODUCT((Q44:T44/Q$9:T$9)^Q$7:T$7*Q$2:T$2))*(0.8^(1-G44))*AC$9</f>
        <v>1.6861375034207626</v>
      </c>
      <c r="AD44" s="48" cm="1">
        <f t="array" ref="AD44">(SUMPRODUCT((H44:O44/H$9:O$9)^H$7:O$7*H$3:O$3)+SUMPRODUCT((Q44:T44/Q$9:T$9)^Q$7:T$7*Q$3:T$3))*(0.1^(1-G44))*AD$9</f>
        <v>0.22792302629764993</v>
      </c>
      <c r="AE44" s="48" cm="1">
        <f t="array" ref="AE44">(SUMPRODUCT((H44:O44/H$9:O$9)^H$7:O$7*H$4:O$4)+SUMPRODUCT((Q44:T44/Q$9:T$9)^Q$7:T$7*Q$4:T$4))*AE$9</f>
        <v>2.7241125383470397</v>
      </c>
      <c r="AF44" s="47" cm="1">
        <f t="array" ref="AF44">(SUMPRODUCT((H44:O44/H$9:O$9)^H$7:O$7*H$5:O$5)+SUMPRODUCT((Q44:T44/Q$9:T$9)^Q$7:T$7*Q$5:T$5))*AF$9</f>
        <v>1.8522927930770641</v>
      </c>
      <c r="AG44" s="50" cm="1">
        <f t="array" ref="AG44">SUMPRODUCT(AC44:AF44 * AC$3:AF$3) / SUM(AC$3:AF$3)</f>
        <v>1.0190414571757811</v>
      </c>
    </row>
    <row r="45" spans="1:33" x14ac:dyDescent="0.25">
      <c r="A45" s="81" t="s">
        <v>8841</v>
      </c>
      <c r="B45" s="20"/>
      <c r="C45" s="4" t="s">
        <v>427</v>
      </c>
      <c r="E45" s="4" t="s">
        <v>8858</v>
      </c>
      <c r="F45" s="5" t="s">
        <v>8897</v>
      </c>
      <c r="G45" s="9">
        <v>0</v>
      </c>
      <c r="H45" s="1">
        <f>AVERAGEIF('GPUs Products'!F$9:F$616,GPUs!F45,'GPUs Products'!H$9:H$616)</f>
        <v>33.1</v>
      </c>
      <c r="I45" s="1">
        <f>AVERAGEIF('GPUs Products'!F$9:F$616,GPUs!F45,'GPUs Products'!I$9:I$616)</f>
        <v>16.55</v>
      </c>
      <c r="J45" s="1">
        <f>AVERAGEIF('GPUs Products'!F$9:F$616,GPUs!F45,'GPUs Products'!J$9:J$616)</f>
        <v>1.03</v>
      </c>
      <c r="K45" s="3">
        <f>AVERAGEIF('GPUs Products'!F$9:F$616,GPUs!F45,'GPUs Products'!K$9:K$616)</f>
        <v>2000</v>
      </c>
      <c r="L45" s="3">
        <f>AVERAGEIF('GPUs Products'!F$9:F$616,GPUs!F45,'GPUs Products'!L$9:L$616)</f>
        <v>2155</v>
      </c>
      <c r="M45" s="49">
        <f>AVERAGEIF('GPUs Products'!F$9:F$616,GPUs!F45,'GPUs Products'!M$9:M$616)</f>
        <v>202.1</v>
      </c>
      <c r="N45" s="1">
        <f>AVERAGEIF('GPUs Products'!F$9:F$616,GPUs!F45,'GPUs Products'!N$9:N$616)</f>
        <v>505.2</v>
      </c>
      <c r="O45" s="3">
        <f>AVERAGEIF('GPUs Products'!F$9:F$616,GPUs!F45,'GPUs Products'!O$9:O$616)</f>
        <v>60</v>
      </c>
      <c r="P45" s="11" t="s">
        <v>2275</v>
      </c>
      <c r="Q45" s="3">
        <f>AVERAGEIF('GPUs Products'!F$9:F$616,GPUs!F45,'GPUs Products'!Q$9:Q$616)</f>
        <v>16</v>
      </c>
      <c r="R45" s="3">
        <f>AVERAGEIF('GPUs Products'!F$9:F$616,GPUs!F45,'GPUs Products'!R$9:R$616)</f>
        <v>256</v>
      </c>
      <c r="S45" s="22">
        <f>AVERAGEIF('GPUs Products'!F$9:F$616,GPUs!F45,'GPUs Products'!S$9:S$616)</f>
        <v>16</v>
      </c>
      <c r="T45" s="9">
        <f>AVERAGEIF('GPUs Products'!F$9:F$616,GPUs!F45,'GPUs Products'!T$9:T$616)</f>
        <v>250</v>
      </c>
      <c r="U45" s="14" t="s">
        <v>576</v>
      </c>
      <c r="V45" s="12">
        <v>4</v>
      </c>
      <c r="W45" s="75">
        <v>16</v>
      </c>
      <c r="X45" s="76">
        <v>16</v>
      </c>
      <c r="Y45" s="9">
        <f>AVERAGEIF('GPUs Products'!F$9:F$616,GPUs!F45,'GPUs Products'!Y$9:Y$616)</f>
        <v>1002.15</v>
      </c>
      <c r="Z45" s="3">
        <f>AVERAGEIF('GPUs Products'!F$9:F$616,GPUs!F45,'GPUs Products'!Y$9:Y$616)</f>
        <v>1002.15</v>
      </c>
      <c r="AA45" s="17"/>
      <c r="AB45" s="18"/>
      <c r="AC45" s="46" cm="1">
        <f t="array" ref="AC45">(SUMPRODUCT((H45:O45/H$9:O$9)^H$7:O$7*H$2:O$2)+SUMPRODUCT((Q45:T45/Q$9:T$9)^Q$7:T$7*Q$2:T$2))*(0.8^(1-G45))*AC$9</f>
        <v>1.8608170880834707</v>
      </c>
      <c r="AD45" s="48" cm="1">
        <f t="array" ref="AD45">(SUMPRODUCT((H45:O45/H$9:O$9)^H$7:O$7*H$3:O$3)+SUMPRODUCT((Q45:T45/Q$9:T$9)^Q$7:T$7*Q$3:T$3))*(0.1^(1-G45))*AD$9</f>
        <v>0.26701088185456118</v>
      </c>
      <c r="AE45" s="48" cm="1">
        <f t="array" ref="AE45">(SUMPRODUCT((H45:O45/H$9:O$9)^H$7:O$7*H$4:O$4)+SUMPRODUCT((Q45:T45/Q$9:T$9)^Q$7:T$7*Q$4:T$4))*AE$9</f>
        <v>3.1910134369618208</v>
      </c>
      <c r="AF45" s="47" cm="1">
        <f t="array" ref="AF45">(SUMPRODUCT((H45:O45/H$9:O$9)^H$7:O$7*H$5:O$5)+SUMPRODUCT((Q45:T45/Q$9:T$9)^Q$7:T$7*Q$5:T$5))*AF$9</f>
        <v>2.1263843710963286</v>
      </c>
      <c r="AG45" s="50" cm="1">
        <f t="array" ref="AG45">SUMPRODUCT(AC45:AF45 * AC$3:AF$3) / SUM(AC$3:AF$3)</f>
        <v>1.1674300038893695</v>
      </c>
    </row>
    <row r="46" spans="1:33" x14ac:dyDescent="0.25">
      <c r="A46" s="81" t="s">
        <v>8842</v>
      </c>
      <c r="B46" s="20"/>
      <c r="C46" s="4" t="s">
        <v>427</v>
      </c>
      <c r="E46" s="4" t="s">
        <v>8858</v>
      </c>
      <c r="F46" s="5" t="s">
        <v>8898</v>
      </c>
      <c r="G46" s="9">
        <v>0</v>
      </c>
      <c r="H46" s="1">
        <f>AVERAGEIF('GPUs Products'!F$9:F$616,GPUs!F46,'GPUs Products'!H$9:H$616)</f>
        <v>42.602500000000006</v>
      </c>
      <c r="I46" s="1">
        <f>AVERAGEIF('GPUs Products'!F$9:F$616,GPUs!F46,'GPUs Products'!I$9:I$616)</f>
        <v>21.302500000000002</v>
      </c>
      <c r="J46" s="1">
        <f>AVERAGEIF('GPUs Products'!F$9:F$616,GPUs!F46,'GPUs Products'!J$9:J$616)</f>
        <v>1.3325</v>
      </c>
      <c r="K46" s="3">
        <f>AVERAGEIF('GPUs Products'!F$9:F$616,GPUs!F46,'GPUs Products'!K$9:K$616)</f>
        <v>2000</v>
      </c>
      <c r="L46" s="3">
        <f>AVERAGEIF('GPUs Products'!F$9:F$616,GPUs!F46,'GPUs Products'!L$9:L$616)</f>
        <v>2311.25</v>
      </c>
      <c r="M46" s="49">
        <f>AVERAGEIF('GPUs Products'!F$9:F$616,GPUs!F46,'GPUs Products'!M$9:M$616)</f>
        <v>288</v>
      </c>
      <c r="N46" s="1">
        <f>AVERAGEIF('GPUs Products'!F$9:F$616,GPUs!F46,'GPUs Products'!N$9:N$616)</f>
        <v>648</v>
      </c>
      <c r="O46" s="3">
        <f>AVERAGEIF('GPUs Products'!F$9:F$616,GPUs!F46,'GPUs Products'!O$9:O$616)</f>
        <v>72</v>
      </c>
      <c r="P46" s="11" t="s">
        <v>2275</v>
      </c>
      <c r="Q46" s="3">
        <f>AVERAGEIF('GPUs Products'!F$9:F$616,GPUs!F46,'GPUs Products'!Q$9:Q$616)</f>
        <v>16</v>
      </c>
      <c r="R46" s="3">
        <f>AVERAGEIF('GPUs Products'!F$9:F$616,GPUs!F46,'GPUs Products'!R$9:R$616)</f>
        <v>256</v>
      </c>
      <c r="S46" s="22">
        <f>AVERAGEIF('GPUs Products'!F$9:F$616,GPUs!F46,'GPUs Products'!S$9:S$616)</f>
        <v>16</v>
      </c>
      <c r="T46" s="9">
        <f>AVERAGEIF('GPUs Products'!F$9:F$616,GPUs!F46,'GPUs Products'!T$9:T$616)</f>
        <v>300</v>
      </c>
      <c r="U46" s="14" t="s">
        <v>576</v>
      </c>
      <c r="V46" s="12">
        <v>4</v>
      </c>
      <c r="W46" s="75">
        <v>16</v>
      </c>
      <c r="X46" s="76">
        <v>16</v>
      </c>
      <c r="Y46" s="9">
        <f>AVERAGEIF('GPUs Products'!F$9:F$616,GPUs!F46,'GPUs Products'!Y$9:Y$616)</f>
        <v>1181.03</v>
      </c>
      <c r="Z46" s="3">
        <f>AVERAGEIF('GPUs Products'!F$9:F$616,GPUs!F46,'GPUs Products'!Y$9:Y$616)</f>
        <v>1181.03</v>
      </c>
      <c r="AA46" s="17"/>
      <c r="AB46" s="18"/>
      <c r="AC46" s="46" cm="1">
        <f t="array" ref="AC46">(SUMPRODUCT((H46:O46/H$9:O$9)^H$7:O$7*H$2:O$2)+SUMPRODUCT((Q46:T46/Q$9:T$9)^Q$7:T$7*Q$2:T$2))*(0.8^(1-G46))*AC$9</f>
        <v>2.1528289157273872</v>
      </c>
      <c r="AD46" s="48" cm="1">
        <f t="array" ref="AD46">(SUMPRODUCT((H46:O46/H$9:O$9)^H$7:O$7*H$3:O$3)+SUMPRODUCT((Q46:T46/Q$9:T$9)^Q$7:T$7*Q$3:T$3))*(0.1^(1-G46))*AD$9</f>
        <v>0.3126412177752097</v>
      </c>
      <c r="AE46" s="48" cm="1">
        <f t="array" ref="AE46">(SUMPRODUCT((H46:O46/H$9:O$9)^H$7:O$7*H$4:O$4)+SUMPRODUCT((Q46:T46/Q$9:T$9)^Q$7:T$7*Q$4:T$4))*AE$9</f>
        <v>3.7548159340028024</v>
      </c>
      <c r="AF46" s="47" cm="1">
        <f t="array" ref="AF46">(SUMPRODUCT((H46:O46/H$9:O$9)^H$7:O$7*H$5:O$5)+SUMPRODUCT((Q46:T46/Q$9:T$9)^Q$7:T$7*Q$5:T$5))*AF$9</f>
        <v>2.4688856461100928</v>
      </c>
      <c r="AG46" s="50" cm="1">
        <f t="array" ref="AG46">SUMPRODUCT(AC46:AF46 * AC$3:AF$3) / SUM(AC$3:AF$3)</f>
        <v>1.3611770961816747</v>
      </c>
    </row>
    <row r="47" spans="1:33" x14ac:dyDescent="0.25">
      <c r="A47" s="81" t="s">
        <v>8843</v>
      </c>
      <c r="B47" s="20"/>
      <c r="C47" s="4" t="s">
        <v>427</v>
      </c>
      <c r="E47" s="4" t="s">
        <v>8858</v>
      </c>
      <c r="F47" s="5" t="s">
        <v>8899</v>
      </c>
      <c r="G47" s="9">
        <v>0</v>
      </c>
      <c r="H47" s="1">
        <f>AVERAGEIF('GPUs Products'!F$9:F$616,GPUs!F47,'GPUs Products'!H$9:H$616)</f>
        <v>49.253333333333337</v>
      </c>
      <c r="I47" s="1">
        <f>AVERAGEIF('GPUs Products'!F$9:F$616,GPUs!F47,'GPUs Products'!I$9:I$616)</f>
        <v>24.628333333333334</v>
      </c>
      <c r="J47" s="1">
        <f>AVERAGEIF('GPUs Products'!F$9:F$616,GPUs!F47,'GPUs Products'!J$9:J$616)</f>
        <v>1.54</v>
      </c>
      <c r="K47" s="3">
        <f>AVERAGEIF('GPUs Products'!F$9:F$616,GPUs!F47,'GPUs Products'!K$9:K$616)</f>
        <v>2000</v>
      </c>
      <c r="L47" s="3">
        <f>AVERAGEIF('GPUs Products'!F$9:F$616,GPUs!F47,'GPUs Products'!L$9:L$616)</f>
        <v>2405</v>
      </c>
      <c r="M47" s="49">
        <f>AVERAGEIF('GPUs Products'!F$9:F$616,GPUs!F47,'GPUs Products'!M$9:M$616)</f>
        <v>288</v>
      </c>
      <c r="N47" s="1">
        <f>AVERAGEIF('GPUs Products'!F$9:F$616,GPUs!F47,'GPUs Products'!N$9:N$616)</f>
        <v>720</v>
      </c>
      <c r="O47" s="3">
        <f>AVERAGEIF('GPUs Products'!F$9:F$616,GPUs!F47,'GPUs Products'!O$9:O$616)</f>
        <v>80</v>
      </c>
      <c r="P47" s="11" t="s">
        <v>2275</v>
      </c>
      <c r="Q47" s="3">
        <f>AVERAGEIF('GPUs Products'!F$9:F$616,GPUs!F47,'GPUs Products'!Q$9:Q$616)</f>
        <v>16</v>
      </c>
      <c r="R47" s="3">
        <f>AVERAGEIF('GPUs Products'!F$9:F$616,GPUs!F47,'GPUs Products'!R$9:R$616)</f>
        <v>256</v>
      </c>
      <c r="S47" s="22">
        <f>AVERAGEIF('GPUs Products'!F$9:F$616,GPUs!F47,'GPUs Products'!S$9:S$616)</f>
        <v>16</v>
      </c>
      <c r="T47" s="9">
        <f>AVERAGEIF('GPUs Products'!F$9:F$616,GPUs!F47,'GPUs Products'!T$9:T$616)</f>
        <v>300</v>
      </c>
      <c r="U47" s="14" t="s">
        <v>576</v>
      </c>
      <c r="V47" s="12">
        <v>4</v>
      </c>
      <c r="W47" s="75">
        <v>16</v>
      </c>
      <c r="X47" s="76">
        <v>16</v>
      </c>
      <c r="Y47" s="9">
        <f>AVERAGEIF('GPUs Products'!F$9:F$616,GPUs!F47,'GPUs Products'!Y$9:Y$616)</f>
        <v>1659.9333333333332</v>
      </c>
      <c r="Z47" s="3">
        <f>AVERAGEIF('GPUs Products'!F$9:F$616,GPUs!F47,'GPUs Products'!Y$9:Y$616)</f>
        <v>1659.9333333333332</v>
      </c>
      <c r="AA47" s="17"/>
      <c r="AB47" s="18"/>
      <c r="AC47" s="46" cm="1">
        <f t="array" ref="AC47">(SUMPRODUCT((H47:O47/H$9:O$9)^H$7:O$7*H$2:O$2)+SUMPRODUCT((Q47:T47/Q$9:T$9)^Q$7:T$7*Q$2:T$2))*(0.8^(1-G47))*AC$9</f>
        <v>2.2441111087719121</v>
      </c>
      <c r="AD47" s="48" cm="1">
        <f t="array" ref="AD47">(SUMPRODUCT((H47:O47/H$9:O$9)^H$7:O$7*H$3:O$3)+SUMPRODUCT((Q47:T47/Q$9:T$9)^Q$7:T$7*Q$3:T$3))*(0.1^(1-G47))*AD$9</f>
        <v>0.34371456215088253</v>
      </c>
      <c r="AE47" s="48" cm="1">
        <f t="array" ref="AE47">(SUMPRODUCT((H47:O47/H$9:O$9)^H$7:O$7*H$4:O$4)+SUMPRODUCT((Q47:T47/Q$9:T$9)^Q$7:T$7*Q$4:T$4))*AE$9</f>
        <v>4.128836803496184</v>
      </c>
      <c r="AF47" s="47" cm="1">
        <f t="array" ref="AF47">(SUMPRODUCT((H47:O47/H$9:O$9)^H$7:O$7*H$5:O$5)+SUMPRODUCT((Q47:T47/Q$9:T$9)^Q$7:T$7*Q$5:T$5))*AF$9</f>
        <v>2.6356779201826246</v>
      </c>
      <c r="AG47" s="50" cm="1">
        <f t="array" ref="AG47">SUMPRODUCT(AC47:AF47 * AC$3:AF$3) / SUM(AC$3:AF$3)</f>
        <v>1.4630103508536001</v>
      </c>
    </row>
    <row r="48" spans="1:33" x14ac:dyDescent="0.25">
      <c r="A48" s="81" t="s">
        <v>8844</v>
      </c>
      <c r="B48" s="20"/>
      <c r="C48" s="4" t="s">
        <v>427</v>
      </c>
      <c r="E48" s="4" t="s">
        <v>8858</v>
      </c>
      <c r="F48" s="5" t="s">
        <v>8900</v>
      </c>
      <c r="G48" s="9">
        <v>0</v>
      </c>
      <c r="H48" s="1">
        <f>AVERAGEIF('GPUs Products'!F$9:F$616,GPUs!F48,'GPUs Products'!H$9:H$616)</f>
        <v>49.66</v>
      </c>
      <c r="I48" s="1">
        <f>AVERAGEIF('GPUs Products'!F$9:F$616,GPUs!F48,'GPUs Products'!I$9:I$616)</f>
        <v>24.83</v>
      </c>
      <c r="J48" s="1">
        <f>AVERAGEIF('GPUs Products'!F$9:F$616,GPUs!F48,'GPUs Products'!J$9:J$616)</f>
        <v>1.55</v>
      </c>
      <c r="K48" s="3">
        <f>AVERAGEIF('GPUs Products'!F$9:F$616,GPUs!F48,'GPUs Products'!K$9:K$616)</f>
        <v>2000</v>
      </c>
      <c r="L48" s="3">
        <f>AVERAGEIF('GPUs Products'!F$9:F$616,GPUs!F48,'GPUs Products'!L$9:L$616)</f>
        <v>2425</v>
      </c>
      <c r="M48" s="49">
        <f>AVERAGEIF('GPUs Products'!F$9:F$616,GPUs!F48,'GPUs Products'!M$9:M$616)</f>
        <v>288</v>
      </c>
      <c r="N48" s="1">
        <f>AVERAGEIF('GPUs Products'!F$9:F$616,GPUs!F48,'GPUs Products'!N$9:N$616)</f>
        <v>720</v>
      </c>
      <c r="O48" s="3">
        <f>AVERAGEIF('GPUs Products'!F$9:F$616,GPUs!F48,'GPUs Products'!O$9:O$616)</f>
        <v>80</v>
      </c>
      <c r="P48" s="11" t="s">
        <v>2275</v>
      </c>
      <c r="Q48" s="3">
        <f>AVERAGEIF('GPUs Products'!F$9:F$616,GPUs!F48,'GPUs Products'!Q$9:Q$616)</f>
        <v>16</v>
      </c>
      <c r="R48" s="3">
        <f>AVERAGEIF('GPUs Products'!F$9:F$616,GPUs!F48,'GPUs Products'!R$9:R$616)</f>
        <v>256</v>
      </c>
      <c r="S48" s="22">
        <f>AVERAGEIF('GPUs Products'!F$9:F$616,GPUs!F48,'GPUs Products'!S$9:S$616)</f>
        <v>16</v>
      </c>
      <c r="T48" s="9">
        <f>AVERAGEIF('GPUs Products'!F$9:F$616,GPUs!F48,'GPUs Products'!T$9:T$616)</f>
        <v>300</v>
      </c>
      <c r="U48" s="14" t="s">
        <v>583</v>
      </c>
      <c r="V48" s="12">
        <v>4</v>
      </c>
      <c r="W48" s="75">
        <v>16</v>
      </c>
      <c r="X48" s="76">
        <v>16</v>
      </c>
      <c r="Y48" s="9">
        <f>AVERAGEIF('GPUs Products'!F$9:F$616,GPUs!F48,'GPUs Products'!Y$9:Y$616)</f>
        <v>1250.42</v>
      </c>
      <c r="Z48" s="3">
        <f>AVERAGEIF('GPUs Products'!F$9:F$616,GPUs!F48,'GPUs Products'!Y$9:Y$616)</f>
        <v>1250.42</v>
      </c>
      <c r="AA48" s="17"/>
      <c r="AB48" s="18"/>
      <c r="AC48" s="46" cm="1">
        <f t="array" ref="AC48">(SUMPRODUCT((H48:O48/H$9:O$9)^H$7:O$7*H$2:O$2)+SUMPRODUCT((Q48:T48/Q$9:T$9)^Q$7:T$7*Q$2:T$2))*(0.8^(1-G48))*AC$9</f>
        <v>2.2470339958966195</v>
      </c>
      <c r="AD48" s="48" cm="1">
        <f t="array" ref="AD48">(SUMPRODUCT((H48:O48/H$9:O$9)^H$7:O$7*H$3:O$3)+SUMPRODUCT((Q48:T48/Q$9:T$9)^Q$7:T$7*Q$3:T$3))*(0.1^(1-G48))*AD$9</f>
        <v>0.34556821034749896</v>
      </c>
      <c r="AE48" s="48" cm="1">
        <f t="array" ref="AE48">(SUMPRODUCT((H48:O48/H$9:O$9)^H$7:O$7*H$4:O$4)+SUMPRODUCT((Q48:T48/Q$9:T$9)^Q$7:T$7*Q$4:T$4))*AE$9</f>
        <v>4.1473336207285767</v>
      </c>
      <c r="AF48" s="47" cm="1">
        <f t="array" ref="AF48">(SUMPRODUCT((H48:O48/H$9:O$9)^H$7:O$7*H$5:O$5)+SUMPRODUCT((Q48:T48/Q$9:T$9)^Q$7:T$7*Q$5:T$5))*AF$9</f>
        <v>2.6432019651237395</v>
      </c>
      <c r="AG48" s="50" cm="1">
        <f t="array" ref="AG48">SUMPRODUCT(AC48:AF48 * AC$3:AF$3) / SUM(AC$3:AF$3)</f>
        <v>1.4678365126662898</v>
      </c>
    </row>
    <row r="49" spans="1:33" x14ac:dyDescent="0.25">
      <c r="A49" s="81" t="s">
        <v>8845</v>
      </c>
      <c r="B49" s="20"/>
      <c r="C49" s="4" t="s">
        <v>427</v>
      </c>
      <c r="E49" s="4" t="s">
        <v>8858</v>
      </c>
      <c r="F49" s="5" t="s">
        <v>8901</v>
      </c>
      <c r="G49" s="9">
        <v>0</v>
      </c>
      <c r="H49" s="1">
        <f>AVERAGEIF('GPUs Products'!F$9:F$616,GPUs!F49,'GPUs Products'!H$9:H$616)</f>
        <v>48.93</v>
      </c>
      <c r="I49" s="1">
        <f>AVERAGEIF('GPUs Products'!F$9:F$616,GPUs!F49,'GPUs Products'!I$9:I$616)</f>
        <v>24.465</v>
      </c>
      <c r="J49" s="1">
        <f>AVERAGEIF('GPUs Products'!F$9:F$616,GPUs!F49,'GPUs Products'!J$9:J$616)</f>
        <v>1.53</v>
      </c>
      <c r="K49" s="3">
        <f>AVERAGEIF('GPUs Products'!F$9:F$616,GPUs!F49,'GPUs Products'!K$9:K$616)</f>
        <v>2250</v>
      </c>
      <c r="L49" s="3">
        <f>AVERAGEIF('GPUs Products'!F$9:F$616,GPUs!F49,'GPUs Products'!L$9:L$616)</f>
        <v>2389</v>
      </c>
      <c r="M49" s="49">
        <f>AVERAGEIF('GPUs Products'!F$9:F$616,GPUs!F49,'GPUs Products'!M$9:M$616)</f>
        <v>295.7</v>
      </c>
      <c r="N49" s="1">
        <f>AVERAGEIF('GPUs Products'!F$9:F$616,GPUs!F49,'GPUs Products'!N$9:N$616)</f>
        <v>739.2</v>
      </c>
      <c r="O49" s="3">
        <f>AVERAGEIF('GPUs Products'!F$9:F$616,GPUs!F49,'GPUs Products'!O$9:O$616)</f>
        <v>80</v>
      </c>
      <c r="P49" s="11" t="s">
        <v>2275</v>
      </c>
      <c r="Q49" s="3">
        <f>AVERAGEIF('GPUs Products'!F$9:F$616,GPUs!F49,'GPUs Products'!Q$9:Q$616)</f>
        <v>16</v>
      </c>
      <c r="R49" s="3">
        <f>AVERAGEIF('GPUs Products'!F$9:F$616,GPUs!F49,'GPUs Products'!R$9:R$616)</f>
        <v>256</v>
      </c>
      <c r="S49" s="22">
        <f>AVERAGEIF('GPUs Products'!F$9:F$616,GPUs!F49,'GPUs Products'!S$9:S$616)</f>
        <v>18</v>
      </c>
      <c r="T49" s="9">
        <f>AVERAGEIF('GPUs Products'!F$9:F$616,GPUs!F49,'GPUs Products'!T$9:T$616)</f>
        <v>337.5</v>
      </c>
      <c r="U49" s="14" t="s">
        <v>583</v>
      </c>
      <c r="V49" s="12">
        <v>4</v>
      </c>
      <c r="W49" s="75">
        <v>16</v>
      </c>
      <c r="X49" s="76">
        <v>16</v>
      </c>
      <c r="Y49" s="9">
        <f>AVERAGEIF('GPUs Products'!F$9:F$616,GPUs!F49,'GPUs Products'!Y$9:Y$616)</f>
        <v>1647.655</v>
      </c>
      <c r="Z49" s="3">
        <f>AVERAGEIF('GPUs Products'!F$9:F$616,GPUs!F49,'GPUs Products'!Y$9:Y$616)</f>
        <v>1647.655</v>
      </c>
      <c r="AA49" s="17"/>
      <c r="AB49" s="18"/>
      <c r="AC49" s="46" cm="1">
        <f t="array" ref="AC49">(SUMPRODUCT((H49:O49/H$9:O$9)^H$7:O$7*H$2:O$2)+SUMPRODUCT((Q49:T49/Q$9:T$9)^Q$7:T$7*Q$2:T$2))*(0.8^(1-G49))*AC$9</f>
        <v>2.2883002174297853</v>
      </c>
      <c r="AD49" s="48" cm="1">
        <f t="array" ref="AD49">(SUMPRODUCT((H49:O49/H$9:O$9)^H$7:O$7*H$3:O$3)+SUMPRODUCT((Q49:T49/Q$9:T$9)^Q$7:T$7*Q$3:T$3))*(0.1^(1-G49))*AD$9</f>
        <v>0.34323024811185066</v>
      </c>
      <c r="AE49" s="48" cm="1">
        <f t="array" ref="AE49">(SUMPRODUCT((H49:O49/H$9:O$9)^H$7:O$7*H$4:O$4)+SUMPRODUCT((Q49:T49/Q$9:T$9)^Q$7:T$7*Q$4:T$4))*AE$9</f>
        <v>4.1282821542216173</v>
      </c>
      <c r="AF49" s="47" cm="1">
        <f t="array" ref="AF49">(SUMPRODUCT((H49:O49/H$9:O$9)^H$7:O$7*H$5:O$5)+SUMPRODUCT((Q49:T49/Q$9:T$9)^Q$7:T$7*Q$5:T$5))*AF$9</f>
        <v>2.6666626329414354</v>
      </c>
      <c r="AG49" s="50" cm="1">
        <f t="array" ref="AG49">SUMPRODUCT(AC49:AF49 * AC$3:AF$3) / SUM(AC$3:AF$3)</f>
        <v>1.4752086300375222</v>
      </c>
    </row>
    <row r="50" spans="1:33" x14ac:dyDescent="0.25">
      <c r="A50" s="81" t="s">
        <v>8846</v>
      </c>
      <c r="B50" s="20"/>
      <c r="C50" s="4" t="s">
        <v>427</v>
      </c>
      <c r="E50" s="4" t="s">
        <v>8859</v>
      </c>
      <c r="F50" s="5" t="s">
        <v>8902</v>
      </c>
      <c r="G50" s="9">
        <v>0</v>
      </c>
      <c r="H50" s="1">
        <f>AVERAGEIF('GPUs Products'!F$9:F$616,GPUs!F50,'GPUs Products'!H$9:H$616)</f>
        <v>44.715714285714277</v>
      </c>
      <c r="I50" s="1">
        <f>AVERAGEIF('GPUs Products'!F$9:F$616,GPUs!F50,'GPUs Products'!I$9:I$616)</f>
        <v>22.358571428571427</v>
      </c>
      <c r="J50" s="1">
        <f>AVERAGEIF('GPUs Products'!F$9:F$616,GPUs!F50,'GPUs Products'!J$9:J$616)</f>
        <v>1.3985714285714284</v>
      </c>
      <c r="K50" s="3">
        <f>AVERAGEIF('GPUs Products'!F$9:F$616,GPUs!F50,'GPUs Products'!K$9:K$616)</f>
        <v>2250</v>
      </c>
      <c r="L50" s="3">
        <f>AVERAGEIF('GPUs Products'!F$9:F$616,GPUs!F50,'GPUs Products'!L$9:L$616)</f>
        <v>2729.2857142857142</v>
      </c>
      <c r="M50" s="49">
        <f>AVERAGEIF('GPUs Products'!F$9:F$616,GPUs!F50,'GPUs Products'!M$9:M$616)</f>
        <v>169.9</v>
      </c>
      <c r="N50" s="1">
        <f>AVERAGEIF('GPUs Products'!F$9:F$616,GPUs!F50,'GPUs Products'!N$9:N$616)</f>
        <v>339.8</v>
      </c>
      <c r="O50" s="3">
        <f>AVERAGEIF('GPUs Products'!F$9:F$616,GPUs!F50,'GPUs Products'!O$9:O$616)</f>
        <v>32</v>
      </c>
      <c r="P50" s="11" t="s">
        <v>2275</v>
      </c>
      <c r="Q50" s="3">
        <f>AVERAGEIF('GPUs Products'!F$9:F$616,GPUs!F50,'GPUs Products'!Q$9:Q$616)</f>
        <v>8</v>
      </c>
      <c r="R50" s="3">
        <f>AVERAGEIF('GPUs Products'!F$9:F$616,GPUs!F50,'GPUs Products'!R$9:R$616)</f>
        <v>128</v>
      </c>
      <c r="S50" s="22">
        <f>AVERAGEIF('GPUs Products'!F$9:F$616,GPUs!F50,'GPUs Products'!S$9:S$616)</f>
        <v>18</v>
      </c>
      <c r="T50" s="9">
        <f>AVERAGEIF('GPUs Products'!F$9:F$616,GPUs!F50,'GPUs Products'!T$9:T$616)</f>
        <v>165</v>
      </c>
      <c r="U50" s="14" t="s">
        <v>446</v>
      </c>
      <c r="V50" s="12">
        <v>4</v>
      </c>
      <c r="W50" s="75">
        <v>16</v>
      </c>
      <c r="X50" s="76">
        <v>8</v>
      </c>
      <c r="Y50" s="9">
        <f>AVERAGEIF('GPUs Products'!F$9:F$616,GPUs!F50,'GPUs Products'!Y$9:Y$616)</f>
        <v>373.96428571428572</v>
      </c>
      <c r="Z50" s="3">
        <f>AVERAGEIF('GPUs Products'!F$9:F$616,GPUs!F50,'GPUs Products'!Y$9:Y$616)</f>
        <v>373.96428571428572</v>
      </c>
      <c r="AA50" s="17"/>
      <c r="AB50" s="18"/>
      <c r="AC50" s="46" cm="1">
        <f t="array" ref="AC50">(SUMPRODUCT((H50:O50/H$9:O$9)^H$7:O$7*H$2:O$2)+SUMPRODUCT((Q50:T50/Q$9:T$9)^Q$7:T$7*Q$2:T$2))*(0.8^(1-G50))*AC$9</f>
        <v>1.6089707529683299</v>
      </c>
      <c r="AD50" s="48" cm="1">
        <f t="array" ref="AD50">(SUMPRODUCT((H50:O50/H$9:O$9)^H$7:O$7*H$3:O$3)+SUMPRODUCT((Q50:T50/Q$9:T$9)^Q$7:T$7*Q$3:T$3))*(0.1^(1-G50))*AD$9</f>
        <v>0.30338696400232235</v>
      </c>
      <c r="AE50" s="48" cm="1">
        <f t="array" ref="AE50">(SUMPRODUCT((H50:O50/H$9:O$9)^H$7:O$7*H$4:O$4)+SUMPRODUCT((Q50:T50/Q$9:T$9)^Q$7:T$7*Q$4:T$4))*AE$9</f>
        <v>3.6624278422099961</v>
      </c>
      <c r="AF50" s="47" cm="1">
        <f t="array" ref="AF50">(SUMPRODUCT((H50:O50/H$9:O$9)^H$7:O$7*H$5:O$5)+SUMPRODUCT((Q50:T50/Q$9:T$9)^Q$7:T$7*Q$5:T$5))*AF$9</f>
        <v>2.0250582138438595</v>
      </c>
      <c r="AG50" s="50" cm="1">
        <f t="array" ref="AG50">SUMPRODUCT(AC50:AF50 * AC$3:AF$3) / SUM(AC$3:AF$3)</f>
        <v>1.1811562347155435</v>
      </c>
    </row>
    <row r="51" spans="1:33" x14ac:dyDescent="0.25">
      <c r="A51" s="81" t="s">
        <v>8847</v>
      </c>
      <c r="B51" s="20"/>
      <c r="C51" s="4" t="s">
        <v>427</v>
      </c>
      <c r="E51" s="4" t="s">
        <v>8859</v>
      </c>
      <c r="F51" s="5" t="s">
        <v>8903</v>
      </c>
      <c r="G51" s="9">
        <v>0</v>
      </c>
      <c r="H51" s="1">
        <f>AVERAGEIF('GPUs Products'!F$9:F$616,GPUs!F51,'GPUs Products'!H$9:H$616)</f>
        <v>45.936666666666667</v>
      </c>
      <c r="I51" s="1">
        <f>AVERAGEIF('GPUs Products'!F$9:F$616,GPUs!F51,'GPUs Products'!I$9:I$616)</f>
        <v>22.97</v>
      </c>
      <c r="J51" s="1">
        <f>AVERAGEIF('GPUs Products'!F$9:F$616,GPUs!F51,'GPUs Products'!J$9:J$616)</f>
        <v>0.72000000000000008</v>
      </c>
      <c r="K51" s="3">
        <f>AVERAGEIF('GPUs Products'!F$9:F$616,GPUs!F51,'GPUs Products'!K$9:K$616)</f>
        <v>2250</v>
      </c>
      <c r="L51" s="3">
        <f>AVERAGEIF('GPUs Products'!F$9:F$616,GPUs!F51,'GPUs Products'!L$9:L$616)</f>
        <v>2803.6666666666665</v>
      </c>
      <c r="M51" s="49">
        <f>AVERAGEIF('GPUs Products'!F$9:F$616,GPUs!F51,'GPUs Products'!M$9:M$616)</f>
        <v>176.30000000000004</v>
      </c>
      <c r="N51" s="1">
        <f>AVERAGEIF('GPUs Products'!F$9:F$616,GPUs!F51,'GPUs Products'!N$9:N$616)</f>
        <v>352.60000000000008</v>
      </c>
      <c r="O51" s="3">
        <f>AVERAGEIF('GPUs Products'!F$9:F$616,GPUs!F51,'GPUs Products'!O$9:O$616)</f>
        <v>32</v>
      </c>
      <c r="P51" s="11" t="s">
        <v>2275</v>
      </c>
      <c r="Q51" s="3">
        <f>AVERAGEIF('GPUs Products'!F$9:F$616,GPUs!F51,'GPUs Products'!Q$9:Q$616)</f>
        <v>16</v>
      </c>
      <c r="R51" s="3">
        <f>AVERAGEIF('GPUs Products'!F$9:F$616,GPUs!F51,'GPUs Products'!R$9:R$616)</f>
        <v>128</v>
      </c>
      <c r="S51" s="22">
        <f>AVERAGEIF('GPUs Products'!F$9:F$616,GPUs!F51,'GPUs Products'!S$9:S$616)</f>
        <v>18</v>
      </c>
      <c r="T51" s="9">
        <f>AVERAGEIF('GPUs Products'!F$9:F$616,GPUs!F51,'GPUs Products'!T$9:T$616)</f>
        <v>190</v>
      </c>
      <c r="U51" s="14" t="s">
        <v>576</v>
      </c>
      <c r="V51" s="12">
        <v>4</v>
      </c>
      <c r="W51" s="75">
        <v>16</v>
      </c>
      <c r="X51" s="76">
        <v>8</v>
      </c>
      <c r="Y51" s="9">
        <f>AVERAGEIF('GPUs Products'!F$9:F$616,GPUs!F51,'GPUs Products'!Y$9:Y$616)</f>
        <v>370.17666666666668</v>
      </c>
      <c r="Z51" s="3">
        <f>AVERAGEIF('GPUs Products'!F$9:F$616,GPUs!F51,'GPUs Products'!Y$9:Y$616)</f>
        <v>370.17666666666668</v>
      </c>
      <c r="AA51" s="17"/>
      <c r="AB51" s="18"/>
      <c r="AC51" s="46" cm="1">
        <f t="array" ref="AC51">(SUMPRODUCT((H51:O51/H$9:O$9)^H$7:O$7*H$2:O$2)+SUMPRODUCT((Q51:T51/Q$9:T$9)^Q$7:T$7*Q$2:T$2))*(0.8^(1-G51))*AC$9</f>
        <v>1.6916677397506392</v>
      </c>
      <c r="AD51" s="48" cm="1">
        <f t="array" ref="AD51">(SUMPRODUCT((H51:O51/H$9:O$9)^H$7:O$7*H$3:O$3)+SUMPRODUCT((Q51:T51/Q$9:T$9)^Q$7:T$7*Q$3:T$3))*(0.1^(1-G51))*AD$9</f>
        <v>0.30616080185833794</v>
      </c>
      <c r="AE51" s="48" cm="1">
        <f t="array" ref="AE51">(SUMPRODUCT((H51:O51/H$9:O$9)^H$7:O$7*H$4:O$4)+SUMPRODUCT((Q51:T51/Q$9:T$9)^Q$7:T$7*Q$4:T$4))*AE$9</f>
        <v>2.6732696968731728</v>
      </c>
      <c r="AF51" s="47" cm="1">
        <f t="array" ref="AF51">(SUMPRODUCT((H51:O51/H$9:O$9)^H$7:O$7*H$5:O$5)+SUMPRODUCT((Q51:T51/Q$9:T$9)^Q$7:T$7*Q$5:T$5))*AF$9</f>
        <v>2.1271864527284352</v>
      </c>
      <c r="AG51" s="50" cm="1">
        <f t="array" ref="AG51">SUMPRODUCT(AC51:AF51 * AC$3:AF$3) / SUM(AC$3:AF$3)</f>
        <v>1.1035949994314971</v>
      </c>
    </row>
    <row r="52" spans="1:33" x14ac:dyDescent="0.25">
      <c r="A52" s="81" t="s">
        <v>8848</v>
      </c>
      <c r="B52" s="20"/>
      <c r="C52" s="4" t="s">
        <v>427</v>
      </c>
      <c r="E52" s="4" t="s">
        <v>8859</v>
      </c>
      <c r="F52" s="5" t="s">
        <v>8904</v>
      </c>
      <c r="G52" s="9">
        <v>0</v>
      </c>
      <c r="H52" s="1">
        <f>AVERAGEIF('GPUs Products'!F$9:F$616,GPUs!F52,'GPUs Products'!H$9:H$616)</f>
        <v>71.86</v>
      </c>
      <c r="I52" s="1">
        <f>AVERAGEIF('GPUs Products'!F$9:F$616,GPUs!F52,'GPUs Products'!I$9:I$616)</f>
        <v>35.93</v>
      </c>
      <c r="J52" s="1">
        <f>AVERAGEIF('GPUs Products'!F$9:F$616,GPUs!F52,'GPUs Products'!J$9:J$616)</f>
        <v>1.1200000000000001</v>
      </c>
      <c r="K52" s="3">
        <f>AVERAGEIF('GPUs Products'!F$9:F$616,GPUs!F52,'GPUs Products'!K$9:K$616)</f>
        <v>2250</v>
      </c>
      <c r="L52" s="3">
        <f>AVERAGEIF('GPUs Products'!F$9:F$616,GPUs!F52,'GPUs Products'!L$9:L$616)</f>
        <v>2599</v>
      </c>
      <c r="M52" s="49">
        <f>AVERAGEIF('GPUs Products'!F$9:F$616,GPUs!F52,'GPUs Products'!M$9:M$616)</f>
        <v>244.2</v>
      </c>
      <c r="N52" s="1">
        <f>AVERAGEIF('GPUs Products'!F$9:F$616,GPUs!F52,'GPUs Products'!N$9:N$616)</f>
        <v>549.5</v>
      </c>
      <c r="O52" s="3">
        <f>AVERAGEIF('GPUs Products'!F$9:F$616,GPUs!F52,'GPUs Products'!O$9:O$616)</f>
        <v>54</v>
      </c>
      <c r="P52" s="11" t="s">
        <v>2275</v>
      </c>
      <c r="Q52" s="3">
        <f>AVERAGEIF('GPUs Products'!F$9:F$616,GPUs!F52,'GPUs Products'!Q$9:Q$616)</f>
        <v>12</v>
      </c>
      <c r="R52" s="3">
        <f>AVERAGEIF('GPUs Products'!F$9:F$616,GPUs!F52,'GPUs Products'!R$9:R$616)</f>
        <v>192</v>
      </c>
      <c r="S52" s="22">
        <f>AVERAGEIF('GPUs Products'!F$9:F$616,GPUs!F52,'GPUs Products'!S$9:S$616)</f>
        <v>18</v>
      </c>
      <c r="T52" s="9">
        <f>AVERAGEIF('GPUs Products'!F$9:F$616,GPUs!F52,'GPUs Products'!T$9:T$616)</f>
        <v>245</v>
      </c>
      <c r="U52" s="14" t="s">
        <v>576</v>
      </c>
      <c r="V52" s="12">
        <v>4</v>
      </c>
      <c r="W52" s="75">
        <v>16</v>
      </c>
      <c r="X52" s="76">
        <v>16</v>
      </c>
      <c r="Y52" s="9">
        <f>AVERAGEIF('GPUs Products'!F$9:F$616,GPUs!F52,'GPUs Products'!Y$9:Y$616)</f>
        <v>452.66250000000002</v>
      </c>
      <c r="Z52" s="3">
        <f>AVERAGEIF('GPUs Products'!F$9:F$616,GPUs!F52,'GPUs Products'!Y$9:Y$616)</f>
        <v>452.66250000000002</v>
      </c>
      <c r="AA52" s="17"/>
      <c r="AB52" s="18"/>
      <c r="AC52" s="46" cm="1">
        <f t="array" ref="AC52">(SUMPRODUCT((H52:O52/H$9:O$9)^H$7:O$7*H$2:O$2)+SUMPRODUCT((Q52:T52/Q$9:T$9)^Q$7:T$7*Q$2:T$2))*(0.8^(1-G52))*AC$9</f>
        <v>2.0391931628842928</v>
      </c>
      <c r="AD52" s="48" cm="1">
        <f t="array" ref="AD52">(SUMPRODUCT((H52:O52/H$9:O$9)^H$7:O$7*H$3:O$3)+SUMPRODUCT((Q52:T52/Q$9:T$9)^Q$7:T$7*Q$3:T$3))*(0.1^(1-G52))*AD$9</f>
        <v>0.41209932105214303</v>
      </c>
      <c r="AE52" s="48" cm="1">
        <f t="array" ref="AE52">(SUMPRODUCT((H52:O52/H$9:O$9)^H$7:O$7*H$4:O$4)+SUMPRODUCT((Q52:T52/Q$9:T$9)^Q$7:T$7*Q$4:T$4))*AE$9</f>
        <v>3.5787671838436292</v>
      </c>
      <c r="AF52" s="47" cm="1">
        <f t="array" ref="AF52">(SUMPRODUCT((H52:O52/H$9:O$9)^H$7:O$7*H$5:O$5)+SUMPRODUCT((Q52:T52/Q$9:T$9)^Q$7:T$7*Q$5:T$5))*AF$9</f>
        <v>2.7628047082664051</v>
      </c>
      <c r="AG52" s="50" cm="1">
        <f t="array" ref="AG52">SUMPRODUCT(AC52:AF52 * AC$3:AF$3) / SUM(AC$3:AF$3)</f>
        <v>1.4269178439811547</v>
      </c>
    </row>
    <row r="53" spans="1:33" x14ac:dyDescent="0.25">
      <c r="A53" s="81" t="s">
        <v>8849</v>
      </c>
      <c r="B53" s="20"/>
      <c r="C53" s="4" t="s">
        <v>427</v>
      </c>
      <c r="E53" s="4" t="s">
        <v>8859</v>
      </c>
      <c r="F53" s="5" t="s">
        <v>8905</v>
      </c>
      <c r="G53" s="9">
        <v>0</v>
      </c>
      <c r="H53" s="1">
        <f>AVERAGEIF('GPUs Products'!F$9:F$616,GPUs!F53,'GPUs Products'!H$9:H$616)</f>
        <v>78.601428571428556</v>
      </c>
      <c r="I53" s="1">
        <f>AVERAGEIF('GPUs Products'!F$9:F$616,GPUs!F53,'GPUs Products'!I$9:I$616)</f>
        <v>39.301428571428573</v>
      </c>
      <c r="J53" s="1">
        <f>AVERAGEIF('GPUs Products'!F$9:F$616,GPUs!F53,'GPUs Products'!J$9:J$616)</f>
        <v>1.2271428571428573</v>
      </c>
      <c r="K53" s="3">
        <f>AVERAGEIF('GPUs Products'!F$9:F$616,GPUs!F53,'GPUs Products'!K$9:K$616)</f>
        <v>2438</v>
      </c>
      <c r="L53" s="3">
        <f>AVERAGEIF('GPUs Products'!F$9:F$616,GPUs!F53,'GPUs Products'!L$9:L$616)</f>
        <v>2558.5714285714284</v>
      </c>
      <c r="M53" s="49">
        <f>AVERAGEIF('GPUs Products'!F$9:F$616,GPUs!F53,'GPUs Products'!M$9:M$616)</f>
        <v>233.20000000000002</v>
      </c>
      <c r="N53" s="1">
        <f>AVERAGEIF('GPUs Products'!F$9:F$616,GPUs!F53,'GPUs Products'!N$9:N$616)</f>
        <v>583.19999999999993</v>
      </c>
      <c r="O53" s="3">
        <f>AVERAGEIF('GPUs Products'!F$9:F$616,GPUs!F53,'GPUs Products'!O$9:O$616)</f>
        <v>60</v>
      </c>
      <c r="P53" s="11" t="s">
        <v>2275</v>
      </c>
      <c r="Q53" s="3">
        <f>AVERAGEIF('GPUs Products'!F$9:F$616,GPUs!F53,'GPUs Products'!Q$9:Q$616)</f>
        <v>16</v>
      </c>
      <c r="R53" s="3">
        <f>AVERAGEIF('GPUs Products'!F$9:F$616,GPUs!F53,'GPUs Products'!R$9:R$616)</f>
        <v>256</v>
      </c>
      <c r="S53" s="22">
        <f>AVERAGEIF('GPUs Products'!F$9:F$616,GPUs!F53,'GPUs Products'!S$9:S$616)</f>
        <v>19.5</v>
      </c>
      <c r="T53" s="9">
        <f>AVERAGEIF('GPUs Products'!F$9:F$616,GPUs!F53,'GPUs Products'!T$9:T$616)</f>
        <v>263</v>
      </c>
      <c r="U53" s="14" t="s">
        <v>576</v>
      </c>
      <c r="V53" s="12">
        <v>4</v>
      </c>
      <c r="W53" s="75">
        <v>16</v>
      </c>
      <c r="X53" s="76">
        <v>16</v>
      </c>
      <c r="Y53" s="9">
        <f>AVERAGEIF('GPUs Products'!F$9:F$616,GPUs!F53,'GPUs Products'!Y$9:Y$616)</f>
        <v>610.94714285714292</v>
      </c>
      <c r="Z53" s="3">
        <f>AVERAGEIF('GPUs Products'!F$9:F$616,GPUs!F53,'GPUs Products'!Y$9:Y$616)</f>
        <v>610.94714285714292</v>
      </c>
      <c r="AA53" s="17"/>
      <c r="AB53" s="18"/>
      <c r="AC53" s="46" cm="1">
        <f t="array" ref="AC53">(SUMPRODUCT((H53:O53/H$9:O$9)^H$7:O$7*H$2:O$2)+SUMPRODUCT((Q53:T53/Q$9:T$9)^Q$7:T$7*Q$2:T$2))*(0.8^(1-G53))*AC$9</f>
        <v>2.146751637739595</v>
      </c>
      <c r="AD53" s="48" cm="1">
        <f t="array" ref="AD53">(SUMPRODUCT((H53:O53/H$9:O$9)^H$7:O$7*H$3:O$3)+SUMPRODUCT((Q53:T53/Q$9:T$9)^Q$7:T$7*Q$3:T$3))*(0.1^(1-G53))*AD$9</f>
        <v>0.4506698505317277</v>
      </c>
      <c r="AE53" s="48" cm="1">
        <f t="array" ref="AE53">(SUMPRODUCT((H53:O53/H$9:O$9)^H$7:O$7*H$4:O$4)+SUMPRODUCT((Q53:T53/Q$9:T$9)^Q$7:T$7*Q$4:T$4))*AE$9</f>
        <v>3.9265406089408499</v>
      </c>
      <c r="AF53" s="47" cm="1">
        <f t="array" ref="AF53">(SUMPRODUCT((H53:O53/H$9:O$9)^H$7:O$7*H$5:O$5)+SUMPRODUCT((Q53:T53/Q$9:T$9)^Q$7:T$7*Q$5:T$5))*AF$9</f>
        <v>2.9770271537631916</v>
      </c>
      <c r="AG53" s="50" cm="1">
        <f t="array" ref="AG53">SUMPRODUCT(AC53:AF53 * AC$3:AF$3) / SUM(AC$3:AF$3)</f>
        <v>1.5406175609837409</v>
      </c>
    </row>
    <row r="54" spans="1:33" x14ac:dyDescent="0.25">
      <c r="A54" s="81" t="s">
        <v>8850</v>
      </c>
      <c r="B54" s="20"/>
      <c r="C54" s="4" t="s">
        <v>427</v>
      </c>
      <c r="E54" s="4" t="s">
        <v>8859</v>
      </c>
      <c r="F54" s="5" t="s">
        <v>8906</v>
      </c>
      <c r="G54" s="9">
        <v>0</v>
      </c>
      <c r="H54" s="1">
        <f>AVERAGEIF('GPUs Products'!F$9:F$616,GPUs!F54,'GPUs Products'!H$9:H$616)</f>
        <v>97.59666666666665</v>
      </c>
      <c r="I54" s="1">
        <f>AVERAGEIF('GPUs Products'!F$9:F$616,GPUs!F54,'GPUs Products'!I$9:I$616)</f>
        <v>48.800000000000004</v>
      </c>
      <c r="J54" s="1">
        <f>AVERAGEIF('GPUs Products'!F$9:F$616,GPUs!F54,'GPUs Products'!J$9:J$616)</f>
        <v>3.0500000000000003</v>
      </c>
      <c r="K54" s="3">
        <f>AVERAGEIF('GPUs Products'!F$9:F$616,GPUs!F54,'GPUs Products'!K$9:K$616)</f>
        <v>2250</v>
      </c>
      <c r="L54" s="3">
        <f>AVERAGEIF('GPUs Products'!F$9:F$616,GPUs!F54,'GPUs Products'!L$9:L$616)</f>
        <v>2382.6666666666665</v>
      </c>
      <c r="M54" s="49">
        <f>AVERAGEIF('GPUs Products'!F$9:F$616,GPUs!F54,'GPUs Products'!M$9:M$616)</f>
        <v>431</v>
      </c>
      <c r="N54" s="1">
        <f>AVERAGEIF('GPUs Products'!F$9:F$616,GPUs!F54,'GPUs Products'!N$9:N$616)</f>
        <v>718.4</v>
      </c>
      <c r="O54" s="3">
        <f>AVERAGEIF('GPUs Products'!F$9:F$616,GPUs!F54,'GPUs Products'!O$9:O$616)</f>
        <v>80</v>
      </c>
      <c r="P54" s="11" t="s">
        <v>2275</v>
      </c>
      <c r="Q54" s="3">
        <f>AVERAGEIF('GPUs Products'!F$9:F$616,GPUs!F54,'GPUs Products'!Q$9:Q$616)</f>
        <v>16</v>
      </c>
      <c r="R54" s="3">
        <f>AVERAGEIF('GPUs Products'!F$9:F$616,GPUs!F54,'GPUs Products'!R$9:R$616)</f>
        <v>256</v>
      </c>
      <c r="S54" s="22">
        <f>AVERAGEIF('GPUs Products'!F$9:F$616,GPUs!F54,'GPUs Products'!S$9:S$616)</f>
        <v>18</v>
      </c>
      <c r="T54" s="9">
        <f>AVERAGEIF('GPUs Products'!F$9:F$616,GPUs!F54,'GPUs Products'!T$9:T$616)</f>
        <v>260</v>
      </c>
      <c r="U54" s="14" t="s">
        <v>576</v>
      </c>
      <c r="V54" s="12">
        <v>4</v>
      </c>
      <c r="W54" s="75">
        <v>16</v>
      </c>
      <c r="X54" s="76">
        <v>16</v>
      </c>
      <c r="Y54" s="9">
        <f>AVERAGEIF('GPUs Products'!F$9:F$616,GPUs!F54,'GPUs Products'!Y$9:Y$616)</f>
        <v>771.56000000000006</v>
      </c>
      <c r="Z54" s="3">
        <f>AVERAGEIF('GPUs Products'!F$9:F$616,GPUs!F54,'GPUs Products'!Y$9:Y$616)</f>
        <v>771.56000000000006</v>
      </c>
      <c r="AA54" s="17"/>
      <c r="AB54" s="18"/>
      <c r="AC54" s="46" cm="1">
        <f t="array" ref="AC54">(SUMPRODUCT((H54:O54/H$9:O$9)^H$7:O$7*H$2:O$2)+SUMPRODUCT((Q54:T54/Q$9:T$9)^Q$7:T$7*Q$2:T$2))*(0.8^(1-G54))*AC$9</f>
        <v>2.5780882909181129</v>
      </c>
      <c r="AD54" s="48" cm="1">
        <f t="array" ref="AD54">(SUMPRODUCT((H54:O54/H$9:O$9)^H$7:O$7*H$3:O$3)+SUMPRODUCT((Q54:T54/Q$9:T$9)^Q$7:T$7*Q$3:T$3))*(0.1^(1-G54))*AD$9</f>
        <v>0.55513592171321735</v>
      </c>
      <c r="AE54" s="48" cm="1">
        <f t="array" ref="AE54">(SUMPRODUCT((H54:O54/H$9:O$9)^H$7:O$7*H$4:O$4)+SUMPRODUCT((Q54:T54/Q$9:T$9)^Q$7:T$7*Q$4:T$4))*AE$9</f>
        <v>6.6520742633189984</v>
      </c>
      <c r="AF54" s="47" cm="1">
        <f t="array" ref="AF54">(SUMPRODUCT((H54:O54/H$9:O$9)^H$7:O$7*H$5:O$5)+SUMPRODUCT((Q54:T54/Q$9:T$9)^Q$7:T$7*Q$5:T$5))*AF$9</f>
        <v>3.5350237290583242</v>
      </c>
      <c r="AG54" s="50" cm="1">
        <f t="array" ref="AG54">SUMPRODUCT(AC54:AF54 * AC$3:AF$3) / SUM(AC$3:AF$3)</f>
        <v>2.0663802113166376</v>
      </c>
    </row>
    <row r="55" spans="1:33" x14ac:dyDescent="0.25">
      <c r="A55" s="81" t="s">
        <v>8851</v>
      </c>
      <c r="B55" s="20"/>
      <c r="C55" s="4" t="s">
        <v>427</v>
      </c>
      <c r="E55" s="4" t="s">
        <v>8859</v>
      </c>
      <c r="F55" s="5" t="s">
        <v>8907</v>
      </c>
      <c r="G55" s="9">
        <v>0</v>
      </c>
      <c r="H55" s="1">
        <f>AVERAGEIF('GPUs Products'!F$9:F$616,GPUs!F55,'GPUs Products'!H$9:H$616)</f>
        <v>107.57750000000001</v>
      </c>
      <c r="I55" s="1">
        <f>AVERAGEIF('GPUs Products'!F$9:F$616,GPUs!F55,'GPUs Products'!I$9:I$616)</f>
        <v>53.784999999999997</v>
      </c>
      <c r="J55" s="1">
        <f>AVERAGEIF('GPUs Products'!F$9:F$616,GPUs!F55,'GPUs Products'!J$9:J$616)</f>
        <v>3.3650000000000002</v>
      </c>
      <c r="K55" s="3">
        <f>AVERAGEIF('GPUs Products'!F$9:F$616,GPUs!F55,'GPUs Products'!K$9:K$616)</f>
        <v>2500</v>
      </c>
      <c r="L55" s="3">
        <f>AVERAGEIF('GPUs Products'!F$9:F$616,GPUs!F55,'GPUs Products'!L$9:L$616)</f>
        <v>2501.25</v>
      </c>
      <c r="M55" s="49">
        <f>AVERAGEIF('GPUs Products'!F$9:F$616,GPUs!F55,'GPUs Products'!M$9:M$616)</f>
        <v>460.8</v>
      </c>
      <c r="N55" s="1">
        <f>AVERAGEIF('GPUs Products'!F$9:F$616,GPUs!F55,'GPUs Products'!N$9:N$616)</f>
        <v>806.4</v>
      </c>
      <c r="O55" s="3">
        <f>AVERAGEIF('GPUs Products'!F$9:F$616,GPUs!F55,'GPUs Products'!O$9:O$616)</f>
        <v>84</v>
      </c>
      <c r="P55" s="11" t="s">
        <v>2275</v>
      </c>
      <c r="Q55" s="3">
        <f>AVERAGEIF('GPUs Products'!F$9:F$616,GPUs!F55,'GPUs Products'!Q$9:Q$616)</f>
        <v>20</v>
      </c>
      <c r="R55" s="3">
        <f>AVERAGEIF('GPUs Products'!F$9:F$616,GPUs!F55,'GPUs Products'!R$9:R$616)</f>
        <v>320</v>
      </c>
      <c r="S55" s="22">
        <f>AVERAGEIF('GPUs Products'!F$9:F$616,GPUs!F55,'GPUs Products'!S$9:S$616)</f>
        <v>20</v>
      </c>
      <c r="T55" s="9">
        <f>AVERAGEIF('GPUs Products'!F$9:F$616,GPUs!F55,'GPUs Products'!T$9:T$616)</f>
        <v>315</v>
      </c>
      <c r="U55" s="14" t="s">
        <v>583</v>
      </c>
      <c r="V55" s="12">
        <v>4</v>
      </c>
      <c r="W55" s="75">
        <v>16</v>
      </c>
      <c r="X55" s="76">
        <v>16</v>
      </c>
      <c r="Y55" s="9">
        <f>AVERAGEIF('GPUs Products'!F$9:F$616,GPUs!F55,'GPUs Products'!Y$9:Y$616)</f>
        <v>1034.8125</v>
      </c>
      <c r="Z55" s="3">
        <f>AVERAGEIF('GPUs Products'!F$9:F$616,GPUs!F55,'GPUs Products'!Y$9:Y$616)</f>
        <v>1034.8125</v>
      </c>
      <c r="AA55" s="17"/>
      <c r="AB55" s="18"/>
      <c r="AC55" s="46" cm="1">
        <f t="array" ref="AC55">(SUMPRODUCT((H55:O55/H$9:O$9)^H$7:O$7*H$2:O$2)+SUMPRODUCT((Q55:T55/Q$9:T$9)^Q$7:T$7*Q$2:T$2))*(0.8^(1-G55))*AC$9</f>
        <v>2.7941702858618109</v>
      </c>
      <c r="AD55" s="48" cm="1">
        <f t="array" ref="AD55">(SUMPRODUCT((H55:O55/H$9:O$9)^H$7:O$7*H$3:O$3)+SUMPRODUCT((Q55:T55/Q$9:T$9)^Q$7:T$7*Q$3:T$3))*(0.1^(1-G55))*AD$9</f>
        <v>0.60732292204201854</v>
      </c>
      <c r="AE55" s="48" cm="1">
        <f t="array" ref="AE55">(SUMPRODUCT((H55:O55/H$9:O$9)^H$7:O$7*H$4:O$4)+SUMPRODUCT((Q55:T55/Q$9:T$9)^Q$7:T$7*Q$4:T$4))*AE$9</f>
        <v>7.2590806441941265</v>
      </c>
      <c r="AF55" s="47" cm="1">
        <f t="array" ref="AF55">(SUMPRODUCT((H55:O55/H$9:O$9)^H$7:O$7*H$5:O$5)+SUMPRODUCT((Q55:T55/Q$9:T$9)^Q$7:T$7*Q$5:T$5))*AF$9</f>
        <v>3.8505258880623745</v>
      </c>
      <c r="AG55" s="50" cm="1">
        <f t="array" ref="AG55">SUMPRODUCT(AC55:AF55 * AC$3:AF$3) / SUM(AC$3:AF$3)</f>
        <v>2.2514155016989443</v>
      </c>
    </row>
    <row r="56" spans="1:33" x14ac:dyDescent="0.25">
      <c r="A56" s="81" t="s">
        <v>8852</v>
      </c>
      <c r="B56" s="20"/>
      <c r="C56" s="4" t="s">
        <v>427</v>
      </c>
      <c r="E56" s="4" t="s">
        <v>8859</v>
      </c>
      <c r="F56" s="5" t="s">
        <v>8908</v>
      </c>
      <c r="G56" s="9">
        <v>0</v>
      </c>
      <c r="H56" s="1">
        <f>AVERAGEIF('GPUs Products'!F$9:F$616,GPUs!F56,'GPUs Products'!H$9:H$616)</f>
        <v>127.05666666666667</v>
      </c>
      <c r="I56" s="1">
        <f>AVERAGEIF('GPUs Products'!F$9:F$616,GPUs!F56,'GPUs Products'!I$9:I$616)</f>
        <v>63.529999999999994</v>
      </c>
      <c r="J56" s="1">
        <f>AVERAGEIF('GPUs Products'!F$9:F$616,GPUs!F56,'GPUs Products'!J$9:J$616)</f>
        <v>3.9733333333333327</v>
      </c>
      <c r="K56" s="3">
        <f>AVERAGEIF('GPUs Products'!F$9:F$616,GPUs!F56,'GPUs Products'!K$9:K$616)</f>
        <v>2500</v>
      </c>
      <c r="L56" s="3">
        <f>AVERAGEIF('GPUs Products'!F$9:F$616,GPUs!F56,'GPUs Products'!L$9:L$616)</f>
        <v>2585</v>
      </c>
      <c r="M56" s="49">
        <f>AVERAGEIF('GPUs Products'!F$9:F$616,GPUs!F56,'GPUs Products'!M$9:M$616)</f>
        <v>480</v>
      </c>
      <c r="N56" s="1">
        <f>AVERAGEIF('GPUs Products'!F$9:F$616,GPUs!F56,'GPUs Products'!N$9:N$616)</f>
        <v>960</v>
      </c>
      <c r="O56" s="3">
        <f>AVERAGEIF('GPUs Products'!F$9:F$616,GPUs!F56,'GPUs Products'!O$9:O$616)</f>
        <v>96</v>
      </c>
      <c r="P56" s="11" t="s">
        <v>2275</v>
      </c>
      <c r="Q56" s="3">
        <f>AVERAGEIF('GPUs Products'!F$9:F$616,GPUs!F56,'GPUs Products'!Q$9:Q$616)</f>
        <v>24</v>
      </c>
      <c r="R56" s="3">
        <f>AVERAGEIF('GPUs Products'!F$9:F$616,GPUs!F56,'GPUs Products'!R$9:R$616)</f>
        <v>384</v>
      </c>
      <c r="S56" s="22">
        <f>AVERAGEIF('GPUs Products'!F$9:F$616,GPUs!F56,'GPUs Products'!S$9:S$616)</f>
        <v>20</v>
      </c>
      <c r="T56" s="9">
        <f>AVERAGEIF('GPUs Products'!F$9:F$616,GPUs!F56,'GPUs Products'!T$9:T$616)</f>
        <v>355</v>
      </c>
      <c r="U56" s="14" t="s">
        <v>583</v>
      </c>
      <c r="V56" s="12">
        <v>4</v>
      </c>
      <c r="W56" s="75">
        <v>16</v>
      </c>
      <c r="X56" s="76">
        <v>16</v>
      </c>
      <c r="Y56" s="9">
        <f>AVERAGEIF('GPUs Products'!F$9:F$616,GPUs!F56,'GPUs Products'!Y$9:Y$616)</f>
        <v>1235.2533333333333</v>
      </c>
      <c r="Z56" s="3">
        <f>AVERAGEIF('GPUs Products'!F$9:F$616,GPUs!F56,'GPUs Products'!Y$9:Y$616)</f>
        <v>1235.2533333333333</v>
      </c>
      <c r="AA56" s="17"/>
      <c r="AB56" s="18"/>
      <c r="AC56" s="46" cm="1">
        <f t="array" ref="AC56">(SUMPRODUCT((H56:O56/H$9:O$9)^H$7:O$7*H$2:O$2)+SUMPRODUCT((Q56:T56/Q$9:T$9)^Q$7:T$7*Q$2:T$2))*(0.8^(1-G56))*AC$9</f>
        <v>3.0445355170309258</v>
      </c>
      <c r="AD56" s="48" cm="1">
        <f t="array" ref="AD56">(SUMPRODUCT((H56:O56/H$9:O$9)^H$7:O$7*H$3:O$3)+SUMPRODUCT((Q56:T56/Q$9:T$9)^Q$7:T$7*Q$3:T$3))*(0.1^(1-G56))*AD$9</f>
        <v>0.69542437233981724</v>
      </c>
      <c r="AE56" s="48" cm="1">
        <f t="array" ref="AE56">(SUMPRODUCT((H56:O56/H$9:O$9)^H$7:O$7*H$4:O$4)+SUMPRODUCT((Q56:T56/Q$9:T$9)^Q$7:T$7*Q$4:T$4))*AE$9</f>
        <v>8.2773892350597453</v>
      </c>
      <c r="AF56" s="47" cm="1">
        <f t="array" ref="AF56">(SUMPRODUCT((H56:O56/H$9:O$9)^H$7:O$7*H$5:O$5)+SUMPRODUCT((Q56:T56/Q$9:T$9)^Q$7:T$7*Q$5:T$5))*AF$9</f>
        <v>4.3142762089162456</v>
      </c>
      <c r="AG56" s="50" cm="1">
        <f t="array" ref="AG56">SUMPRODUCT(AC56:AF56 * AC$3:AF$3) / SUM(AC$3:AF$3)</f>
        <v>2.5325254095199541</v>
      </c>
    </row>
    <row r="57" spans="1:33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X57"/>
      <c r="Y57"/>
      <c r="Z57"/>
      <c r="AA57"/>
      <c r="AB57"/>
      <c r="AC57"/>
      <c r="AD57"/>
      <c r="AE57"/>
      <c r="AF57"/>
      <c r="AG57"/>
    </row>
    <row r="58" spans="1:33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X58"/>
      <c r="Y58"/>
      <c r="Z58"/>
      <c r="AA58"/>
      <c r="AB58"/>
      <c r="AC58"/>
      <c r="AD58"/>
      <c r="AE58"/>
      <c r="AF58"/>
      <c r="AG58"/>
    </row>
    <row r="59" spans="1:33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X59"/>
      <c r="Y59"/>
      <c r="Z59"/>
      <c r="AA59"/>
      <c r="AB59"/>
      <c r="AC59"/>
      <c r="AD59"/>
      <c r="AE59"/>
      <c r="AF59"/>
      <c r="AG59"/>
    </row>
    <row r="60" spans="1:33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X60"/>
      <c r="Y60"/>
      <c r="Z60"/>
      <c r="AA60"/>
      <c r="AB60"/>
      <c r="AC60"/>
      <c r="AD60"/>
      <c r="AE60"/>
      <c r="AF60"/>
      <c r="AG60"/>
    </row>
    <row r="61" spans="1:33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X61"/>
      <c r="Y61"/>
      <c r="Z61"/>
      <c r="AA61"/>
      <c r="AB61"/>
      <c r="AC61"/>
      <c r="AD61"/>
      <c r="AE61"/>
      <c r="AF61"/>
      <c r="AG61"/>
    </row>
    <row r="62" spans="1:33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X62"/>
      <c r="Y62"/>
      <c r="Z62"/>
      <c r="AA62"/>
      <c r="AB62"/>
      <c r="AC62"/>
      <c r="AD62"/>
      <c r="AE62"/>
      <c r="AF62"/>
      <c r="AG62"/>
    </row>
    <row r="63" spans="1:33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X63"/>
      <c r="Y63"/>
      <c r="Z63"/>
      <c r="AA63"/>
      <c r="AB63"/>
      <c r="AC63"/>
      <c r="AD63"/>
      <c r="AE63"/>
      <c r="AF63"/>
      <c r="AG63"/>
    </row>
    <row r="64" spans="1:33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X64"/>
      <c r="Y64"/>
      <c r="Z64"/>
      <c r="AA64"/>
      <c r="AB64"/>
      <c r="AC64"/>
      <c r="AD64"/>
      <c r="AE64"/>
      <c r="AF64"/>
      <c r="AG64"/>
    </row>
    <row r="65" spans="1:33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X65"/>
      <c r="Y65"/>
      <c r="Z65"/>
      <c r="AA65"/>
      <c r="AB65"/>
      <c r="AC65"/>
      <c r="AD65"/>
      <c r="AE65"/>
      <c r="AF65"/>
      <c r="AG65"/>
    </row>
    <row r="66" spans="1:33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X66"/>
      <c r="Y66"/>
      <c r="Z66"/>
      <c r="AA66"/>
      <c r="AB66"/>
      <c r="AC66"/>
      <c r="AD66"/>
      <c r="AE66"/>
      <c r="AF66"/>
      <c r="AG66"/>
    </row>
    <row r="67" spans="1:33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X67"/>
      <c r="Y67"/>
      <c r="Z67"/>
      <c r="AA67"/>
      <c r="AB67"/>
      <c r="AC67"/>
      <c r="AD67"/>
      <c r="AE67"/>
      <c r="AF67"/>
      <c r="AG67"/>
    </row>
    <row r="68" spans="1:33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X68"/>
      <c r="Y68"/>
      <c r="Z68"/>
      <c r="AA68"/>
      <c r="AB68"/>
      <c r="AC68"/>
      <c r="AD68"/>
      <c r="AE68"/>
      <c r="AF68"/>
      <c r="AG68"/>
    </row>
    <row r="69" spans="1:33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X69"/>
      <c r="Y69"/>
      <c r="Z69"/>
      <c r="AA69"/>
      <c r="AB69"/>
      <c r="AC69"/>
      <c r="AD69"/>
      <c r="AE69"/>
      <c r="AF69"/>
      <c r="AG69"/>
    </row>
    <row r="70" spans="1:33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X70"/>
      <c r="Y70"/>
      <c r="Z70"/>
      <c r="AA70"/>
      <c r="AB70"/>
      <c r="AC70"/>
      <c r="AD70"/>
      <c r="AE70"/>
      <c r="AF70"/>
      <c r="AG70"/>
    </row>
    <row r="71" spans="1:33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X71"/>
      <c r="Y71"/>
      <c r="Z71"/>
      <c r="AA71"/>
      <c r="AB71"/>
      <c r="AC71"/>
      <c r="AD71"/>
      <c r="AE71"/>
      <c r="AF71"/>
      <c r="AG71"/>
    </row>
    <row r="72" spans="1:33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X72"/>
      <c r="Y72"/>
      <c r="Z72"/>
      <c r="AA72"/>
      <c r="AB72"/>
      <c r="AC72"/>
      <c r="AD72"/>
      <c r="AE72"/>
      <c r="AF72"/>
      <c r="AG72"/>
    </row>
    <row r="73" spans="1:33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X73"/>
      <c r="Y73"/>
      <c r="Z73"/>
      <c r="AA73"/>
      <c r="AB73"/>
      <c r="AC73"/>
      <c r="AD73"/>
      <c r="AE73"/>
      <c r="AF73"/>
      <c r="AG73"/>
    </row>
    <row r="74" spans="1:33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X74"/>
      <c r="Y74"/>
      <c r="Z74"/>
      <c r="AA74"/>
      <c r="AB74"/>
      <c r="AC74"/>
      <c r="AD74"/>
      <c r="AE74"/>
      <c r="AF74"/>
      <c r="AG74"/>
    </row>
    <row r="75" spans="1:33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X75"/>
      <c r="Y75"/>
      <c r="Z75"/>
      <c r="AA75"/>
      <c r="AB75"/>
      <c r="AC75"/>
      <c r="AD75"/>
      <c r="AE75"/>
      <c r="AF75"/>
      <c r="AG75"/>
    </row>
    <row r="76" spans="1:33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X76"/>
      <c r="Y76"/>
      <c r="Z76"/>
      <c r="AA76"/>
      <c r="AB76"/>
      <c r="AC76"/>
      <c r="AD76"/>
      <c r="AE76"/>
      <c r="AF76"/>
      <c r="AG76"/>
    </row>
    <row r="77" spans="1:33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X77"/>
      <c r="Y77"/>
      <c r="Z77"/>
      <c r="AA77"/>
      <c r="AB77"/>
      <c r="AC77"/>
      <c r="AD77"/>
      <c r="AE77"/>
      <c r="AF77"/>
      <c r="AG77"/>
    </row>
    <row r="78" spans="1:33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X78"/>
      <c r="Y78"/>
      <c r="Z78"/>
      <c r="AA78"/>
      <c r="AB78"/>
      <c r="AC78"/>
      <c r="AD78"/>
      <c r="AE78"/>
      <c r="AF78"/>
      <c r="AG78"/>
    </row>
    <row r="79" spans="1:33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X79"/>
      <c r="Y79"/>
      <c r="Z79"/>
      <c r="AA79"/>
      <c r="AB79"/>
      <c r="AC79"/>
      <c r="AD79"/>
      <c r="AE79"/>
      <c r="AF79"/>
      <c r="AG79"/>
    </row>
    <row r="80" spans="1:33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X80"/>
      <c r="Y80"/>
      <c r="Z80"/>
      <c r="AA80"/>
      <c r="AB80"/>
      <c r="AC80"/>
      <c r="AD80"/>
      <c r="AE80"/>
      <c r="AF80"/>
      <c r="AG80"/>
    </row>
    <row r="81" spans="1:33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X81"/>
      <c r="Y81"/>
      <c r="Z81"/>
      <c r="AA81"/>
      <c r="AB81"/>
      <c r="AC81"/>
      <c r="AD81"/>
      <c r="AE81"/>
      <c r="AF81"/>
      <c r="AG81"/>
    </row>
    <row r="82" spans="1:33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X82"/>
      <c r="Y82"/>
      <c r="Z82"/>
      <c r="AA82"/>
      <c r="AB82"/>
      <c r="AC82"/>
      <c r="AD82"/>
      <c r="AE82"/>
      <c r="AF82"/>
      <c r="AG82"/>
    </row>
    <row r="83" spans="1:33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X83"/>
      <c r="Y83"/>
      <c r="Z83"/>
      <c r="AA83"/>
      <c r="AB83"/>
      <c r="AC83"/>
      <c r="AD83"/>
      <c r="AE83"/>
      <c r="AF83"/>
      <c r="AG83"/>
    </row>
    <row r="84" spans="1:33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X84"/>
      <c r="Y84"/>
      <c r="Z84"/>
      <c r="AA84"/>
      <c r="AB84"/>
      <c r="AC84"/>
      <c r="AD84"/>
      <c r="AE84"/>
      <c r="AF84"/>
      <c r="AG84"/>
    </row>
    <row r="85" spans="1:33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X85"/>
      <c r="Y85"/>
      <c r="Z85"/>
      <c r="AA85"/>
      <c r="AB85"/>
      <c r="AC85"/>
      <c r="AD85"/>
      <c r="AE85"/>
      <c r="AF85"/>
      <c r="AG85"/>
    </row>
    <row r="86" spans="1:33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X86"/>
      <c r="Y86"/>
      <c r="Z86"/>
      <c r="AA86"/>
      <c r="AB86"/>
      <c r="AC86"/>
      <c r="AD86"/>
      <c r="AE86"/>
      <c r="AF86"/>
      <c r="AG86"/>
    </row>
    <row r="87" spans="1:33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X87"/>
      <c r="Y87"/>
      <c r="Z87"/>
      <c r="AA87"/>
      <c r="AB87"/>
      <c r="AC87"/>
      <c r="AD87"/>
      <c r="AE87"/>
      <c r="AF87"/>
      <c r="AG87"/>
    </row>
    <row r="88" spans="1:33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X88"/>
      <c r="Y88"/>
      <c r="Z88"/>
      <c r="AA88"/>
      <c r="AB88"/>
      <c r="AC88"/>
      <c r="AD88"/>
      <c r="AE88"/>
      <c r="AF88"/>
      <c r="AG88"/>
    </row>
    <row r="89" spans="1:33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X89"/>
      <c r="Y89"/>
      <c r="Z89"/>
      <c r="AA89"/>
      <c r="AB89"/>
      <c r="AC89"/>
      <c r="AD89"/>
      <c r="AE89"/>
      <c r="AF89"/>
      <c r="AG89"/>
    </row>
    <row r="90" spans="1:33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X90"/>
      <c r="Y90"/>
      <c r="Z90"/>
      <c r="AA90"/>
      <c r="AB90"/>
      <c r="AC90"/>
      <c r="AD90"/>
      <c r="AE90"/>
      <c r="AF90"/>
      <c r="AG90"/>
    </row>
    <row r="91" spans="1:33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X91"/>
      <c r="Y91"/>
      <c r="Z91"/>
      <c r="AA91"/>
      <c r="AB91"/>
      <c r="AC91"/>
      <c r="AD91"/>
      <c r="AE91"/>
      <c r="AF91"/>
      <c r="AG91"/>
    </row>
    <row r="92" spans="1:33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X92"/>
      <c r="Y92"/>
      <c r="Z92"/>
      <c r="AA92"/>
      <c r="AB92"/>
      <c r="AC92"/>
      <c r="AD92"/>
      <c r="AE92"/>
      <c r="AF92"/>
      <c r="AG92"/>
    </row>
    <row r="93" spans="1:33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X93"/>
      <c r="Y93"/>
      <c r="Z93"/>
      <c r="AA93"/>
      <c r="AB93"/>
      <c r="AC93"/>
      <c r="AD93"/>
      <c r="AE93"/>
      <c r="AF93"/>
      <c r="AG93"/>
    </row>
    <row r="94" spans="1:33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X94"/>
      <c r="Y94"/>
      <c r="Z94"/>
      <c r="AA94"/>
      <c r="AB94"/>
      <c r="AC94"/>
      <c r="AD94"/>
      <c r="AE94"/>
      <c r="AF94"/>
      <c r="AG94"/>
    </row>
    <row r="95" spans="1:33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X95"/>
      <c r="Y95"/>
      <c r="Z95"/>
      <c r="AA95"/>
      <c r="AB95"/>
      <c r="AC95"/>
      <c r="AD95"/>
      <c r="AE95"/>
      <c r="AF95"/>
      <c r="AG95"/>
    </row>
    <row r="96" spans="1:33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X96"/>
      <c r="Y96"/>
      <c r="Z96"/>
      <c r="AA96"/>
      <c r="AB96"/>
      <c r="AC96"/>
      <c r="AD96"/>
      <c r="AE96"/>
      <c r="AF96"/>
      <c r="AG96"/>
    </row>
    <row r="97" spans="1:33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X97"/>
      <c r="Y97"/>
      <c r="Z97"/>
      <c r="AA97"/>
      <c r="AB97"/>
      <c r="AC97"/>
      <c r="AD97"/>
      <c r="AE97"/>
      <c r="AF97"/>
      <c r="AG97"/>
    </row>
    <row r="98" spans="1:33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X98"/>
      <c r="Y98"/>
      <c r="Z98"/>
      <c r="AA98"/>
      <c r="AB98"/>
      <c r="AC98"/>
      <c r="AD98"/>
      <c r="AE98"/>
      <c r="AF98"/>
      <c r="AG98"/>
    </row>
    <row r="99" spans="1:33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X99"/>
      <c r="Y99"/>
      <c r="Z99"/>
      <c r="AA99"/>
      <c r="AB99"/>
      <c r="AC99"/>
      <c r="AD99"/>
      <c r="AE99"/>
      <c r="AF99"/>
      <c r="AG99"/>
    </row>
    <row r="100" spans="1:33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X100"/>
      <c r="Y100"/>
      <c r="Z100"/>
      <c r="AA100"/>
      <c r="AB100"/>
      <c r="AC100"/>
      <c r="AD100"/>
      <c r="AE100"/>
      <c r="AF100"/>
      <c r="AG100"/>
    </row>
    <row r="101" spans="1:33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X101"/>
      <c r="Y101"/>
      <c r="Z101"/>
      <c r="AA101"/>
      <c r="AB101"/>
      <c r="AC101"/>
      <c r="AD101"/>
      <c r="AE101"/>
      <c r="AF101"/>
      <c r="AG101"/>
    </row>
    <row r="102" spans="1:33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X102"/>
      <c r="Y102"/>
      <c r="Z102"/>
      <c r="AA102"/>
      <c r="AB102"/>
      <c r="AC102"/>
      <c r="AD102"/>
      <c r="AE102"/>
      <c r="AF102"/>
      <c r="AG102"/>
    </row>
    <row r="103" spans="1:33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X103"/>
      <c r="Y103"/>
      <c r="Z103"/>
      <c r="AA103"/>
      <c r="AB103"/>
      <c r="AC103"/>
      <c r="AD103"/>
      <c r="AE103"/>
      <c r="AF103"/>
      <c r="AG103"/>
    </row>
    <row r="104" spans="1:33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X104"/>
      <c r="Y104"/>
      <c r="Z104"/>
      <c r="AA104"/>
      <c r="AB104"/>
      <c r="AC104"/>
      <c r="AD104"/>
      <c r="AE104"/>
      <c r="AF104"/>
      <c r="AG104"/>
    </row>
    <row r="105" spans="1:33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X105"/>
      <c r="Y105"/>
      <c r="Z105"/>
      <c r="AA105"/>
      <c r="AB105"/>
      <c r="AC105"/>
      <c r="AD105"/>
      <c r="AE105"/>
      <c r="AF105"/>
      <c r="AG105"/>
    </row>
    <row r="106" spans="1:33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X106"/>
      <c r="Y106"/>
      <c r="Z106"/>
      <c r="AA106"/>
      <c r="AB106"/>
      <c r="AC106"/>
      <c r="AD106"/>
      <c r="AE106"/>
      <c r="AF106"/>
      <c r="AG106"/>
    </row>
    <row r="107" spans="1:33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X107"/>
      <c r="Y107"/>
      <c r="Z107"/>
      <c r="AA107"/>
      <c r="AB107"/>
      <c r="AC107"/>
      <c r="AD107"/>
      <c r="AE107"/>
      <c r="AF107"/>
      <c r="AG107"/>
    </row>
    <row r="108" spans="1:33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X108"/>
      <c r="Y108"/>
      <c r="Z108"/>
      <c r="AA108"/>
      <c r="AB108"/>
      <c r="AC108"/>
      <c r="AD108"/>
      <c r="AE108"/>
      <c r="AF108"/>
      <c r="AG108"/>
    </row>
    <row r="109" spans="1:33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X109"/>
      <c r="Y109"/>
      <c r="Z109"/>
      <c r="AA109"/>
      <c r="AB109"/>
      <c r="AC109"/>
      <c r="AD109"/>
      <c r="AE109"/>
      <c r="AF109"/>
      <c r="AG109"/>
    </row>
    <row r="110" spans="1:33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X110"/>
      <c r="Y110"/>
      <c r="Z110"/>
      <c r="AA110"/>
      <c r="AB110"/>
      <c r="AC110"/>
      <c r="AD110"/>
      <c r="AE110"/>
      <c r="AF110"/>
      <c r="AG110"/>
    </row>
    <row r="111" spans="1:33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X111"/>
      <c r="Y111"/>
      <c r="Z111"/>
      <c r="AA111"/>
      <c r="AB111"/>
      <c r="AC111"/>
      <c r="AD111"/>
      <c r="AE111"/>
      <c r="AF111"/>
      <c r="AG111"/>
    </row>
    <row r="112" spans="1:33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X112"/>
      <c r="Y112"/>
      <c r="Z112"/>
      <c r="AA112"/>
      <c r="AB112"/>
      <c r="AC112"/>
      <c r="AD112"/>
      <c r="AE112"/>
      <c r="AF112"/>
      <c r="AG112"/>
    </row>
    <row r="113" spans="1:33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X113"/>
      <c r="Y113"/>
      <c r="Z113"/>
      <c r="AA113"/>
      <c r="AB113"/>
      <c r="AC113"/>
      <c r="AD113"/>
      <c r="AE113"/>
      <c r="AF113"/>
      <c r="AG113"/>
    </row>
    <row r="114" spans="1:33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X114"/>
      <c r="Y114"/>
      <c r="Z114"/>
      <c r="AA114"/>
      <c r="AB114"/>
      <c r="AC114"/>
      <c r="AD114"/>
      <c r="AE114"/>
      <c r="AF114"/>
      <c r="AG114"/>
    </row>
    <row r="115" spans="1:33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X115"/>
      <c r="Y115"/>
      <c r="Z115"/>
      <c r="AA115"/>
      <c r="AB115"/>
      <c r="AC115"/>
      <c r="AD115"/>
      <c r="AE115"/>
      <c r="AF115"/>
      <c r="AG115"/>
    </row>
    <row r="116" spans="1:33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X116"/>
      <c r="Y116"/>
      <c r="Z116"/>
      <c r="AA116"/>
      <c r="AB116"/>
      <c r="AC116"/>
      <c r="AD116"/>
      <c r="AE116"/>
      <c r="AF116"/>
      <c r="AG116"/>
    </row>
    <row r="117" spans="1:33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X117"/>
      <c r="Y117"/>
      <c r="Z117"/>
      <c r="AA117"/>
      <c r="AB117"/>
      <c r="AC117"/>
      <c r="AD117"/>
      <c r="AE117"/>
      <c r="AF117"/>
      <c r="AG117"/>
    </row>
    <row r="118" spans="1:33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X118"/>
      <c r="Y118"/>
      <c r="Z118"/>
      <c r="AA118"/>
      <c r="AB118"/>
      <c r="AC118"/>
      <c r="AD118"/>
      <c r="AE118"/>
      <c r="AF118"/>
      <c r="AG118"/>
    </row>
    <row r="119" spans="1:33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X119"/>
      <c r="Y119"/>
      <c r="Z119"/>
      <c r="AA119"/>
      <c r="AB119"/>
      <c r="AC119"/>
      <c r="AD119"/>
      <c r="AE119"/>
      <c r="AF119"/>
      <c r="AG119"/>
    </row>
    <row r="120" spans="1:33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X120"/>
      <c r="Y120"/>
      <c r="Z120"/>
      <c r="AA120"/>
      <c r="AB120"/>
      <c r="AC120"/>
      <c r="AD120"/>
      <c r="AE120"/>
      <c r="AF120"/>
      <c r="AG120"/>
    </row>
    <row r="121" spans="1:33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X121"/>
      <c r="Y121"/>
      <c r="Z121"/>
      <c r="AA121"/>
      <c r="AB121"/>
      <c r="AC121"/>
      <c r="AD121"/>
      <c r="AE121"/>
      <c r="AF121"/>
      <c r="AG121"/>
    </row>
    <row r="122" spans="1:33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X122"/>
      <c r="Y122"/>
      <c r="Z122"/>
      <c r="AA122"/>
      <c r="AB122"/>
      <c r="AC122"/>
      <c r="AD122"/>
      <c r="AE122"/>
      <c r="AF122"/>
      <c r="AG122"/>
    </row>
    <row r="123" spans="1:33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X123"/>
      <c r="Y123"/>
      <c r="Z123"/>
      <c r="AA123"/>
      <c r="AB123"/>
      <c r="AC123"/>
      <c r="AD123"/>
      <c r="AE123"/>
      <c r="AF123"/>
      <c r="AG123"/>
    </row>
    <row r="124" spans="1:33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X124"/>
      <c r="Y124"/>
      <c r="Z124"/>
      <c r="AA124"/>
      <c r="AB124"/>
      <c r="AC124"/>
      <c r="AD124"/>
      <c r="AE124"/>
      <c r="AF124"/>
      <c r="AG124"/>
    </row>
    <row r="125" spans="1:33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X125"/>
      <c r="Y125"/>
      <c r="Z125"/>
      <c r="AA125"/>
      <c r="AB125"/>
      <c r="AC125"/>
      <c r="AD125"/>
      <c r="AE125"/>
      <c r="AF125"/>
      <c r="AG125"/>
    </row>
    <row r="126" spans="1:33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X126"/>
      <c r="Y126"/>
      <c r="Z126"/>
      <c r="AA126"/>
      <c r="AB126"/>
      <c r="AC126"/>
      <c r="AD126"/>
      <c r="AE126"/>
      <c r="AF126"/>
      <c r="AG126"/>
    </row>
    <row r="127" spans="1:33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X127"/>
      <c r="Y127"/>
      <c r="Z127"/>
      <c r="AA127"/>
      <c r="AB127"/>
      <c r="AC127"/>
      <c r="AD127"/>
      <c r="AE127"/>
      <c r="AF127"/>
      <c r="AG127"/>
    </row>
    <row r="128" spans="1:33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X128"/>
      <c r="Y128"/>
      <c r="Z128"/>
      <c r="AA128"/>
      <c r="AB128"/>
      <c r="AC128"/>
      <c r="AD128"/>
      <c r="AE128"/>
      <c r="AF128"/>
      <c r="AG128"/>
    </row>
    <row r="129" spans="1:33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X129"/>
      <c r="Y129"/>
      <c r="Z129"/>
      <c r="AA129"/>
      <c r="AB129"/>
      <c r="AC129"/>
      <c r="AD129"/>
      <c r="AE129"/>
      <c r="AF129"/>
      <c r="AG129"/>
    </row>
    <row r="130" spans="1:33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X130"/>
      <c r="Y130"/>
      <c r="Z130"/>
      <c r="AA130"/>
      <c r="AB130"/>
      <c r="AC130"/>
      <c r="AD130"/>
      <c r="AE130"/>
      <c r="AF130"/>
      <c r="AG130"/>
    </row>
    <row r="131" spans="1:33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X131"/>
      <c r="Y131"/>
      <c r="Z131"/>
      <c r="AA131"/>
      <c r="AB131"/>
      <c r="AC131"/>
      <c r="AD131"/>
      <c r="AE131"/>
      <c r="AF131"/>
      <c r="AG131"/>
    </row>
    <row r="132" spans="1:33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X132"/>
      <c r="Y132"/>
      <c r="Z132"/>
      <c r="AA132"/>
      <c r="AB132"/>
      <c r="AC132"/>
      <c r="AD132"/>
      <c r="AE132"/>
      <c r="AF132"/>
      <c r="AG132"/>
    </row>
    <row r="133" spans="1:33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X133"/>
      <c r="Y133"/>
      <c r="Z133"/>
      <c r="AA133"/>
      <c r="AB133"/>
      <c r="AC133"/>
      <c r="AD133"/>
      <c r="AE133"/>
      <c r="AF133"/>
      <c r="AG133"/>
    </row>
    <row r="134" spans="1:33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X134"/>
      <c r="Y134"/>
      <c r="Z134"/>
      <c r="AA134"/>
      <c r="AB134"/>
      <c r="AC134"/>
      <c r="AD134"/>
      <c r="AE134"/>
      <c r="AF134"/>
      <c r="AG134"/>
    </row>
    <row r="135" spans="1:33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X135"/>
      <c r="Y135"/>
      <c r="Z135"/>
      <c r="AA135"/>
      <c r="AB135"/>
      <c r="AC135"/>
      <c r="AD135"/>
      <c r="AE135"/>
      <c r="AF135"/>
      <c r="AG135"/>
    </row>
    <row r="136" spans="1:33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X136"/>
      <c r="Y136"/>
      <c r="Z136"/>
      <c r="AA136"/>
      <c r="AB136"/>
      <c r="AC136"/>
      <c r="AD136"/>
      <c r="AE136"/>
      <c r="AF136"/>
      <c r="AG136"/>
    </row>
    <row r="137" spans="1:33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X137"/>
      <c r="Y137"/>
      <c r="Z137"/>
      <c r="AA137"/>
      <c r="AB137"/>
      <c r="AC137"/>
      <c r="AD137"/>
      <c r="AE137"/>
      <c r="AF137"/>
      <c r="AG137"/>
    </row>
    <row r="138" spans="1:33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X138"/>
      <c r="Y138"/>
      <c r="Z138"/>
      <c r="AA138"/>
      <c r="AB138"/>
      <c r="AC138"/>
      <c r="AD138"/>
      <c r="AE138"/>
      <c r="AF138"/>
      <c r="AG138"/>
    </row>
    <row r="139" spans="1:33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X139"/>
      <c r="Y139"/>
      <c r="Z139"/>
      <c r="AA139"/>
      <c r="AB139"/>
      <c r="AC139"/>
      <c r="AD139"/>
      <c r="AE139"/>
      <c r="AF139"/>
      <c r="AG139"/>
    </row>
    <row r="140" spans="1:33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X140"/>
      <c r="Y140"/>
      <c r="Z140"/>
      <c r="AA140"/>
      <c r="AB140"/>
      <c r="AC140"/>
      <c r="AD140"/>
      <c r="AE140"/>
      <c r="AF140"/>
      <c r="AG140"/>
    </row>
    <row r="141" spans="1:33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X141"/>
      <c r="Y141"/>
      <c r="Z141"/>
      <c r="AA141"/>
      <c r="AB141"/>
      <c r="AC141"/>
      <c r="AD141"/>
      <c r="AE141"/>
      <c r="AF141"/>
      <c r="AG141"/>
    </row>
    <row r="142" spans="1:33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X142"/>
      <c r="Y142"/>
      <c r="Z142"/>
      <c r="AA142"/>
      <c r="AB142"/>
      <c r="AC142"/>
      <c r="AD142"/>
      <c r="AE142"/>
      <c r="AF142"/>
      <c r="AG142"/>
    </row>
    <row r="143" spans="1:33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X143"/>
      <c r="Y143"/>
      <c r="Z143"/>
      <c r="AA143"/>
      <c r="AB143"/>
      <c r="AC143"/>
      <c r="AD143"/>
      <c r="AE143"/>
      <c r="AF143"/>
      <c r="AG143"/>
    </row>
    <row r="144" spans="1:33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X144"/>
      <c r="Y144"/>
      <c r="Z144"/>
      <c r="AA144"/>
      <c r="AB144"/>
      <c r="AC144"/>
      <c r="AD144"/>
      <c r="AE144"/>
      <c r="AF144"/>
      <c r="AG144"/>
    </row>
    <row r="145" spans="1:33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X145"/>
      <c r="Y145"/>
      <c r="Z145"/>
      <c r="AA145"/>
      <c r="AB145"/>
      <c r="AC145"/>
      <c r="AD145"/>
      <c r="AE145"/>
      <c r="AF145"/>
      <c r="AG145"/>
    </row>
    <row r="146" spans="1:33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X146"/>
      <c r="Y146"/>
      <c r="Z146"/>
      <c r="AA146"/>
      <c r="AB146"/>
      <c r="AC146"/>
      <c r="AD146"/>
      <c r="AE146"/>
      <c r="AF146"/>
      <c r="AG146"/>
    </row>
    <row r="147" spans="1:33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X147"/>
      <c r="Y147"/>
      <c r="Z147"/>
      <c r="AA147"/>
      <c r="AB147"/>
      <c r="AC147"/>
      <c r="AD147"/>
      <c r="AE147"/>
      <c r="AF147"/>
      <c r="AG147"/>
    </row>
    <row r="148" spans="1:33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X148"/>
      <c r="Y148"/>
      <c r="Z148"/>
      <c r="AA148"/>
      <c r="AB148"/>
      <c r="AC148"/>
      <c r="AD148"/>
      <c r="AE148"/>
      <c r="AF148"/>
      <c r="AG148"/>
    </row>
    <row r="149" spans="1:33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X149"/>
      <c r="Y149"/>
      <c r="Z149"/>
      <c r="AA149"/>
      <c r="AB149"/>
      <c r="AC149"/>
      <c r="AD149"/>
      <c r="AE149"/>
      <c r="AF149"/>
      <c r="AG149"/>
    </row>
    <row r="150" spans="1:33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X150"/>
      <c r="Y150"/>
      <c r="Z150"/>
      <c r="AA150"/>
      <c r="AB150"/>
      <c r="AC150"/>
      <c r="AD150"/>
      <c r="AE150"/>
      <c r="AF150"/>
      <c r="AG150"/>
    </row>
    <row r="151" spans="1:33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X151"/>
      <c r="Y151"/>
      <c r="Z151"/>
      <c r="AA151"/>
      <c r="AB151"/>
      <c r="AC151"/>
      <c r="AD151"/>
      <c r="AE151"/>
      <c r="AF151"/>
      <c r="AG151"/>
    </row>
    <row r="152" spans="1:33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X152"/>
      <c r="Y152"/>
      <c r="Z152"/>
      <c r="AA152"/>
      <c r="AB152"/>
      <c r="AC152"/>
      <c r="AD152"/>
      <c r="AE152"/>
      <c r="AF152"/>
      <c r="AG152"/>
    </row>
    <row r="153" spans="1:33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X153"/>
      <c r="Y153"/>
      <c r="Z153"/>
      <c r="AA153"/>
      <c r="AB153"/>
      <c r="AC153"/>
      <c r="AD153"/>
      <c r="AE153"/>
      <c r="AF153"/>
      <c r="AG153"/>
    </row>
    <row r="154" spans="1:33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X154"/>
      <c r="Y154"/>
      <c r="Z154"/>
      <c r="AA154"/>
      <c r="AB154"/>
      <c r="AC154"/>
      <c r="AD154"/>
      <c r="AE154"/>
      <c r="AF154"/>
      <c r="AG154"/>
    </row>
    <row r="155" spans="1:33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X155"/>
      <c r="Y155"/>
      <c r="Z155"/>
      <c r="AA155"/>
      <c r="AB155"/>
      <c r="AC155"/>
      <c r="AD155"/>
      <c r="AE155"/>
      <c r="AF155"/>
      <c r="AG155"/>
    </row>
    <row r="156" spans="1:33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X156"/>
      <c r="Y156"/>
      <c r="Z156"/>
      <c r="AA156"/>
      <c r="AB156"/>
      <c r="AC156"/>
      <c r="AD156"/>
      <c r="AE156"/>
      <c r="AF156"/>
      <c r="AG156"/>
    </row>
    <row r="157" spans="1:33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X157"/>
      <c r="Y157"/>
      <c r="Z157"/>
      <c r="AA157"/>
      <c r="AB157"/>
      <c r="AC157"/>
      <c r="AD157"/>
      <c r="AE157"/>
      <c r="AF157"/>
      <c r="AG157"/>
    </row>
    <row r="158" spans="1:33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X158"/>
      <c r="Y158"/>
      <c r="Z158"/>
      <c r="AA158"/>
      <c r="AB158"/>
      <c r="AC158"/>
      <c r="AD158"/>
      <c r="AE158"/>
      <c r="AF158"/>
      <c r="AG158"/>
    </row>
    <row r="159" spans="1:33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X159"/>
      <c r="Y159"/>
      <c r="Z159"/>
      <c r="AA159"/>
      <c r="AB159"/>
      <c r="AC159"/>
      <c r="AD159"/>
      <c r="AE159"/>
      <c r="AF159"/>
      <c r="AG159"/>
    </row>
    <row r="160" spans="1:33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X160"/>
      <c r="Y160"/>
      <c r="Z160"/>
      <c r="AA160"/>
      <c r="AB160"/>
      <c r="AC160"/>
      <c r="AD160"/>
      <c r="AE160"/>
      <c r="AF160"/>
      <c r="AG160"/>
    </row>
    <row r="161" spans="1:33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X161"/>
      <c r="Y161"/>
      <c r="Z161"/>
      <c r="AA161"/>
      <c r="AB161"/>
      <c r="AC161"/>
      <c r="AD161"/>
      <c r="AE161"/>
      <c r="AF161"/>
      <c r="AG161"/>
    </row>
    <row r="162" spans="1:33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X162"/>
      <c r="Y162"/>
      <c r="Z162"/>
      <c r="AA162"/>
      <c r="AB162"/>
      <c r="AC162"/>
      <c r="AD162"/>
      <c r="AE162"/>
      <c r="AF162"/>
      <c r="AG162"/>
    </row>
    <row r="163" spans="1:33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X163"/>
      <c r="Y163"/>
      <c r="Z163"/>
      <c r="AA163"/>
      <c r="AB163"/>
      <c r="AC163"/>
      <c r="AD163"/>
      <c r="AE163"/>
      <c r="AF163"/>
      <c r="AG163"/>
    </row>
    <row r="164" spans="1:33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X164"/>
      <c r="Y164"/>
      <c r="Z164"/>
      <c r="AA164"/>
      <c r="AB164"/>
      <c r="AC164"/>
      <c r="AD164"/>
      <c r="AE164"/>
      <c r="AF164"/>
      <c r="AG164"/>
    </row>
    <row r="165" spans="1:33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X165"/>
      <c r="Y165"/>
      <c r="Z165"/>
      <c r="AA165"/>
      <c r="AB165"/>
      <c r="AC165"/>
      <c r="AD165"/>
      <c r="AE165"/>
      <c r="AF165"/>
      <c r="AG165"/>
    </row>
    <row r="166" spans="1:33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X166"/>
      <c r="Y166"/>
      <c r="Z166"/>
      <c r="AA166"/>
      <c r="AB166"/>
      <c r="AC166"/>
      <c r="AD166"/>
      <c r="AE166"/>
      <c r="AF166"/>
      <c r="AG166"/>
    </row>
    <row r="167" spans="1:33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X167"/>
      <c r="Y167"/>
      <c r="Z167"/>
      <c r="AA167"/>
      <c r="AB167"/>
      <c r="AC167"/>
      <c r="AD167"/>
      <c r="AE167"/>
      <c r="AF167"/>
      <c r="AG167"/>
    </row>
    <row r="168" spans="1:33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X168"/>
      <c r="Y168"/>
      <c r="Z168"/>
      <c r="AA168"/>
      <c r="AB168"/>
      <c r="AC168"/>
      <c r="AD168"/>
      <c r="AE168"/>
      <c r="AF168"/>
      <c r="AG168"/>
    </row>
    <row r="169" spans="1:33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X169"/>
      <c r="Y169"/>
      <c r="Z169"/>
      <c r="AA169"/>
      <c r="AB169"/>
      <c r="AC169"/>
      <c r="AD169"/>
      <c r="AE169"/>
      <c r="AF169"/>
      <c r="AG169"/>
    </row>
    <row r="170" spans="1:33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X170"/>
      <c r="Y170"/>
      <c r="Z170"/>
      <c r="AA170"/>
      <c r="AB170"/>
      <c r="AC170"/>
      <c r="AD170"/>
      <c r="AE170"/>
      <c r="AF170"/>
      <c r="AG170"/>
    </row>
    <row r="171" spans="1:33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X171"/>
      <c r="Y171"/>
      <c r="Z171"/>
      <c r="AA171"/>
      <c r="AB171"/>
      <c r="AC171"/>
      <c r="AD171"/>
      <c r="AE171"/>
      <c r="AF171"/>
      <c r="AG171"/>
    </row>
    <row r="172" spans="1:33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X172"/>
      <c r="Y172"/>
      <c r="Z172"/>
      <c r="AA172"/>
      <c r="AB172"/>
      <c r="AC172"/>
      <c r="AD172"/>
      <c r="AE172"/>
      <c r="AF172"/>
      <c r="AG172"/>
    </row>
    <row r="173" spans="1:33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X173"/>
      <c r="Y173"/>
      <c r="Z173"/>
      <c r="AA173"/>
      <c r="AB173"/>
      <c r="AC173"/>
      <c r="AD173"/>
      <c r="AE173"/>
      <c r="AF173"/>
      <c r="AG173"/>
    </row>
    <row r="174" spans="1:33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X174"/>
      <c r="Y174"/>
      <c r="Z174"/>
      <c r="AA174"/>
      <c r="AB174"/>
      <c r="AC174"/>
      <c r="AD174"/>
      <c r="AE174"/>
      <c r="AF174"/>
      <c r="AG174"/>
    </row>
    <row r="175" spans="1:33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X175"/>
      <c r="Y175"/>
      <c r="Z175"/>
      <c r="AA175"/>
      <c r="AB175"/>
      <c r="AC175"/>
      <c r="AD175"/>
      <c r="AE175"/>
      <c r="AF175"/>
      <c r="AG175"/>
    </row>
    <row r="176" spans="1:33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X176"/>
      <c r="Y176"/>
      <c r="Z176"/>
      <c r="AA176"/>
      <c r="AB176"/>
      <c r="AC176"/>
      <c r="AD176"/>
      <c r="AE176"/>
      <c r="AF176"/>
      <c r="AG176"/>
    </row>
    <row r="177" spans="1:33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X177"/>
      <c r="Y177"/>
      <c r="Z177"/>
      <c r="AA177"/>
      <c r="AB177"/>
      <c r="AC177"/>
      <c r="AD177"/>
      <c r="AE177"/>
      <c r="AF177"/>
      <c r="AG177"/>
    </row>
    <row r="178" spans="1:33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X178"/>
      <c r="Y178"/>
      <c r="Z178"/>
      <c r="AA178"/>
      <c r="AB178"/>
      <c r="AC178"/>
      <c r="AD178"/>
      <c r="AE178"/>
      <c r="AF178"/>
      <c r="AG178"/>
    </row>
    <row r="179" spans="1:33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X179"/>
      <c r="Y179"/>
      <c r="Z179"/>
      <c r="AA179"/>
      <c r="AB179"/>
      <c r="AC179"/>
      <c r="AD179"/>
      <c r="AE179"/>
      <c r="AF179"/>
      <c r="AG179"/>
    </row>
    <row r="180" spans="1:33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X180"/>
      <c r="Y180"/>
      <c r="Z180"/>
      <c r="AA180"/>
      <c r="AB180"/>
      <c r="AC180"/>
      <c r="AD180"/>
      <c r="AE180"/>
      <c r="AF180"/>
      <c r="AG180"/>
    </row>
    <row r="181" spans="1:33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X181"/>
      <c r="Y181"/>
      <c r="Z181"/>
      <c r="AA181"/>
      <c r="AB181"/>
      <c r="AC181"/>
      <c r="AD181"/>
      <c r="AE181"/>
      <c r="AF181"/>
      <c r="AG181"/>
    </row>
    <row r="182" spans="1:33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X182"/>
      <c r="Y182"/>
      <c r="Z182"/>
      <c r="AA182"/>
      <c r="AB182"/>
      <c r="AC182"/>
      <c r="AD182"/>
      <c r="AE182"/>
      <c r="AF182"/>
      <c r="AG182"/>
    </row>
    <row r="183" spans="1:33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X183"/>
      <c r="Y183"/>
      <c r="Z183"/>
      <c r="AA183"/>
      <c r="AB183"/>
      <c r="AC183"/>
      <c r="AD183"/>
      <c r="AE183"/>
      <c r="AF183"/>
      <c r="AG183"/>
    </row>
    <row r="184" spans="1:33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X184"/>
      <c r="Y184"/>
      <c r="Z184"/>
      <c r="AA184"/>
      <c r="AB184"/>
      <c r="AC184"/>
      <c r="AD184"/>
      <c r="AE184"/>
      <c r="AF184"/>
      <c r="AG184"/>
    </row>
    <row r="185" spans="1:33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X185"/>
      <c r="Y185"/>
      <c r="Z185"/>
      <c r="AA185"/>
      <c r="AB185"/>
      <c r="AC185"/>
      <c r="AD185"/>
      <c r="AE185"/>
      <c r="AF185"/>
      <c r="AG185"/>
    </row>
    <row r="186" spans="1:33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X186"/>
      <c r="Y186"/>
      <c r="Z186"/>
      <c r="AA186"/>
      <c r="AB186"/>
      <c r="AC186"/>
      <c r="AD186"/>
      <c r="AE186"/>
      <c r="AF186"/>
      <c r="AG186"/>
    </row>
    <row r="187" spans="1:33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X187"/>
      <c r="Y187"/>
      <c r="Z187"/>
      <c r="AA187"/>
      <c r="AB187"/>
      <c r="AC187"/>
      <c r="AD187"/>
      <c r="AE187"/>
      <c r="AF187"/>
      <c r="AG187"/>
    </row>
    <row r="188" spans="1:33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X188"/>
      <c r="Y188"/>
      <c r="Z188"/>
      <c r="AA188"/>
      <c r="AB188"/>
      <c r="AC188"/>
      <c r="AD188"/>
      <c r="AE188"/>
      <c r="AF188"/>
      <c r="AG188"/>
    </row>
    <row r="189" spans="1:33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X189"/>
      <c r="Y189"/>
      <c r="Z189"/>
      <c r="AA189"/>
      <c r="AB189"/>
      <c r="AC189"/>
      <c r="AD189"/>
      <c r="AE189"/>
      <c r="AF189"/>
      <c r="AG189"/>
    </row>
    <row r="190" spans="1:33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X190"/>
      <c r="Y190"/>
      <c r="Z190"/>
      <c r="AA190"/>
      <c r="AB190"/>
      <c r="AC190"/>
      <c r="AD190"/>
      <c r="AE190"/>
      <c r="AF190"/>
      <c r="AG190"/>
    </row>
    <row r="191" spans="1:33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X191"/>
      <c r="Y191"/>
      <c r="Z191"/>
      <c r="AA191"/>
      <c r="AB191"/>
      <c r="AC191"/>
      <c r="AD191"/>
      <c r="AE191"/>
      <c r="AF191"/>
      <c r="AG191"/>
    </row>
    <row r="192" spans="1:33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X192"/>
      <c r="Y192"/>
      <c r="Z192"/>
      <c r="AA192"/>
      <c r="AB192"/>
      <c r="AC192"/>
      <c r="AD192"/>
      <c r="AE192"/>
      <c r="AF192"/>
      <c r="AG192"/>
    </row>
    <row r="193" spans="1:33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X193"/>
      <c r="Y193"/>
      <c r="Z193"/>
      <c r="AA193"/>
      <c r="AB193"/>
      <c r="AC193"/>
      <c r="AD193"/>
      <c r="AE193"/>
      <c r="AF193"/>
      <c r="AG193"/>
    </row>
    <row r="194" spans="1:33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X194"/>
      <c r="Y194"/>
      <c r="Z194"/>
      <c r="AA194"/>
      <c r="AB194"/>
      <c r="AC194"/>
      <c r="AD194"/>
      <c r="AE194"/>
      <c r="AF194"/>
      <c r="AG194"/>
    </row>
    <row r="195" spans="1:33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X195"/>
      <c r="Y195"/>
      <c r="Z195"/>
      <c r="AA195"/>
      <c r="AB195"/>
      <c r="AC195"/>
      <c r="AD195"/>
      <c r="AE195"/>
      <c r="AF195"/>
      <c r="AG195"/>
    </row>
    <row r="196" spans="1:33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X196"/>
      <c r="Y196"/>
      <c r="Z196"/>
      <c r="AA196"/>
      <c r="AB196"/>
      <c r="AC196"/>
      <c r="AD196"/>
      <c r="AE196"/>
      <c r="AF196"/>
      <c r="AG196"/>
    </row>
    <row r="197" spans="1:33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X197"/>
      <c r="Y197"/>
      <c r="Z197"/>
      <c r="AA197"/>
      <c r="AB197"/>
      <c r="AC197"/>
      <c r="AD197"/>
      <c r="AE197"/>
      <c r="AF197"/>
      <c r="AG197"/>
    </row>
    <row r="198" spans="1:33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X198"/>
      <c r="Y198"/>
      <c r="Z198"/>
      <c r="AA198"/>
      <c r="AB198"/>
      <c r="AC198"/>
      <c r="AD198"/>
      <c r="AE198"/>
      <c r="AF198"/>
      <c r="AG198"/>
    </row>
    <row r="199" spans="1:33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X199"/>
      <c r="Y199"/>
      <c r="Z199"/>
      <c r="AA199"/>
      <c r="AB199"/>
      <c r="AC199"/>
      <c r="AD199"/>
      <c r="AE199"/>
      <c r="AF199"/>
      <c r="AG199"/>
    </row>
    <row r="200" spans="1:33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X200"/>
      <c r="Y200"/>
      <c r="Z200"/>
      <c r="AA200"/>
      <c r="AB200"/>
      <c r="AC200"/>
      <c r="AD200"/>
      <c r="AE200"/>
      <c r="AF200"/>
      <c r="AG200"/>
    </row>
    <row r="201" spans="1:33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X201"/>
      <c r="Y201"/>
      <c r="Z201"/>
      <c r="AA201"/>
      <c r="AB201"/>
      <c r="AC201"/>
      <c r="AD201"/>
      <c r="AE201"/>
      <c r="AF201"/>
      <c r="AG201"/>
    </row>
    <row r="202" spans="1:33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X202"/>
      <c r="Y202"/>
      <c r="Z202"/>
      <c r="AA202"/>
      <c r="AB202"/>
      <c r="AC202"/>
      <c r="AD202"/>
      <c r="AE202"/>
      <c r="AF202"/>
      <c r="AG202"/>
    </row>
    <row r="203" spans="1:33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X203"/>
      <c r="Y203"/>
      <c r="Z203"/>
      <c r="AA203"/>
      <c r="AB203"/>
      <c r="AC203"/>
      <c r="AD203"/>
      <c r="AE203"/>
      <c r="AF203"/>
      <c r="AG203"/>
    </row>
    <row r="204" spans="1:33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X204"/>
      <c r="Y204"/>
      <c r="Z204"/>
      <c r="AA204"/>
      <c r="AB204"/>
      <c r="AC204"/>
      <c r="AD204"/>
      <c r="AE204"/>
      <c r="AF204"/>
      <c r="AG204"/>
    </row>
    <row r="205" spans="1:33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X205"/>
      <c r="Y205"/>
      <c r="Z205"/>
      <c r="AA205"/>
      <c r="AB205"/>
      <c r="AC205"/>
      <c r="AD205"/>
      <c r="AE205"/>
      <c r="AF205"/>
      <c r="AG205"/>
    </row>
    <row r="206" spans="1:33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X206"/>
      <c r="Y206"/>
      <c r="Z206"/>
      <c r="AA206"/>
      <c r="AB206"/>
      <c r="AC206"/>
      <c r="AD206"/>
      <c r="AE206"/>
      <c r="AF206"/>
      <c r="AG206"/>
    </row>
    <row r="207" spans="1:33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X207"/>
      <c r="Y207"/>
      <c r="Z207"/>
      <c r="AA207"/>
      <c r="AB207"/>
      <c r="AC207"/>
      <c r="AD207"/>
      <c r="AE207"/>
      <c r="AF207"/>
      <c r="AG207"/>
    </row>
    <row r="208" spans="1:33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X208"/>
      <c r="Y208"/>
      <c r="Z208"/>
      <c r="AA208"/>
      <c r="AB208"/>
      <c r="AC208"/>
      <c r="AD208"/>
      <c r="AE208"/>
      <c r="AF208"/>
      <c r="AG208"/>
    </row>
    <row r="209" spans="1:33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X209"/>
      <c r="Y209"/>
      <c r="Z209"/>
      <c r="AA209"/>
      <c r="AB209"/>
      <c r="AC209"/>
      <c r="AD209"/>
      <c r="AE209"/>
      <c r="AF209"/>
      <c r="AG209"/>
    </row>
    <row r="210" spans="1:33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X210"/>
      <c r="Y210"/>
      <c r="Z210"/>
      <c r="AA210"/>
      <c r="AB210"/>
      <c r="AC210"/>
      <c r="AD210"/>
      <c r="AE210"/>
      <c r="AF210"/>
      <c r="AG210"/>
    </row>
    <row r="211" spans="1:33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X211"/>
      <c r="Y211"/>
      <c r="Z211"/>
      <c r="AA211"/>
      <c r="AB211"/>
      <c r="AC211"/>
      <c r="AD211"/>
      <c r="AE211"/>
      <c r="AF211"/>
      <c r="AG211"/>
    </row>
    <row r="212" spans="1:33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X212"/>
      <c r="Y212"/>
      <c r="Z212"/>
      <c r="AA212"/>
      <c r="AB212"/>
      <c r="AC212"/>
      <c r="AD212"/>
      <c r="AE212"/>
      <c r="AF212"/>
      <c r="AG212"/>
    </row>
    <row r="213" spans="1:33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X213"/>
      <c r="Y213"/>
      <c r="Z213"/>
      <c r="AA213"/>
      <c r="AB213"/>
      <c r="AC213"/>
      <c r="AD213"/>
      <c r="AE213"/>
      <c r="AF213"/>
      <c r="AG213"/>
    </row>
    <row r="214" spans="1:33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X214"/>
      <c r="Y214"/>
      <c r="Z214"/>
      <c r="AA214"/>
      <c r="AB214"/>
      <c r="AC214"/>
      <c r="AD214"/>
      <c r="AE214"/>
      <c r="AF214"/>
      <c r="AG214"/>
    </row>
    <row r="215" spans="1:33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X215"/>
      <c r="Y215"/>
      <c r="Z215"/>
      <c r="AA215"/>
      <c r="AB215"/>
      <c r="AC215"/>
      <c r="AD215"/>
      <c r="AE215"/>
      <c r="AF215"/>
      <c r="AG215"/>
    </row>
    <row r="216" spans="1:33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X216"/>
      <c r="Y216"/>
      <c r="Z216"/>
      <c r="AA216"/>
      <c r="AB216"/>
      <c r="AC216"/>
      <c r="AD216"/>
      <c r="AE216"/>
      <c r="AF216"/>
      <c r="AG216"/>
    </row>
    <row r="217" spans="1:33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X217"/>
      <c r="Y217"/>
      <c r="Z217"/>
      <c r="AA217"/>
      <c r="AB217"/>
      <c r="AC217"/>
      <c r="AD217"/>
      <c r="AE217"/>
      <c r="AF217"/>
      <c r="AG217"/>
    </row>
    <row r="218" spans="1:33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X218"/>
      <c r="Y218"/>
      <c r="Z218"/>
      <c r="AA218"/>
      <c r="AB218"/>
      <c r="AC218"/>
      <c r="AD218"/>
      <c r="AE218"/>
      <c r="AF218"/>
      <c r="AG218"/>
    </row>
    <row r="219" spans="1:33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X219"/>
      <c r="Y219"/>
      <c r="Z219"/>
      <c r="AA219"/>
      <c r="AB219"/>
      <c r="AC219"/>
      <c r="AD219"/>
      <c r="AE219"/>
      <c r="AF219"/>
      <c r="AG219"/>
    </row>
    <row r="220" spans="1:33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X220"/>
      <c r="Y220"/>
      <c r="Z220"/>
      <c r="AA220"/>
      <c r="AB220"/>
      <c r="AC220"/>
      <c r="AD220"/>
      <c r="AE220"/>
      <c r="AF220"/>
      <c r="AG220"/>
    </row>
    <row r="221" spans="1:33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X221"/>
      <c r="Y221"/>
      <c r="Z221"/>
      <c r="AA221"/>
      <c r="AB221"/>
      <c r="AC221"/>
      <c r="AD221"/>
      <c r="AE221"/>
      <c r="AF221"/>
      <c r="AG221"/>
    </row>
    <row r="222" spans="1:33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X222"/>
      <c r="Y222"/>
      <c r="Z222"/>
      <c r="AA222"/>
      <c r="AB222"/>
      <c r="AC222"/>
      <c r="AD222"/>
      <c r="AE222"/>
      <c r="AF222"/>
      <c r="AG222"/>
    </row>
    <row r="223" spans="1:33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X223"/>
      <c r="Y223"/>
      <c r="Z223"/>
      <c r="AA223"/>
      <c r="AB223"/>
      <c r="AC223"/>
      <c r="AD223"/>
      <c r="AE223"/>
      <c r="AF223"/>
      <c r="AG223"/>
    </row>
    <row r="224" spans="1:33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X224"/>
      <c r="Y224"/>
      <c r="Z224"/>
      <c r="AA224"/>
      <c r="AB224"/>
      <c r="AC224"/>
      <c r="AD224"/>
      <c r="AE224"/>
      <c r="AF224"/>
      <c r="AG224"/>
    </row>
    <row r="225" spans="1:33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X225"/>
      <c r="Y225"/>
      <c r="Z225"/>
      <c r="AA225"/>
      <c r="AB225"/>
      <c r="AC225"/>
      <c r="AD225"/>
      <c r="AE225"/>
      <c r="AF225"/>
      <c r="AG225"/>
    </row>
    <row r="226" spans="1:33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X226"/>
      <c r="Y226"/>
      <c r="Z226"/>
      <c r="AA226"/>
      <c r="AB226"/>
      <c r="AC226"/>
      <c r="AD226"/>
      <c r="AE226"/>
      <c r="AF226"/>
      <c r="AG226"/>
    </row>
    <row r="227" spans="1:33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X227"/>
      <c r="Y227"/>
      <c r="Z227"/>
      <c r="AA227"/>
      <c r="AB227"/>
      <c r="AC227"/>
      <c r="AD227"/>
      <c r="AE227"/>
      <c r="AF227"/>
      <c r="AG227"/>
    </row>
    <row r="228" spans="1:33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X228"/>
      <c r="Y228"/>
      <c r="Z228"/>
      <c r="AA228"/>
      <c r="AB228"/>
      <c r="AC228"/>
      <c r="AD228"/>
      <c r="AE228"/>
      <c r="AF228"/>
      <c r="AG228"/>
    </row>
    <row r="229" spans="1:33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X229"/>
      <c r="Y229"/>
      <c r="Z229"/>
      <c r="AA229"/>
      <c r="AB229"/>
      <c r="AC229"/>
      <c r="AD229"/>
      <c r="AE229"/>
      <c r="AF229"/>
      <c r="AG229"/>
    </row>
    <row r="230" spans="1:33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X230"/>
      <c r="Y230"/>
      <c r="Z230"/>
      <c r="AA230"/>
      <c r="AB230"/>
      <c r="AC230"/>
      <c r="AD230"/>
      <c r="AE230"/>
      <c r="AF230"/>
      <c r="AG230"/>
    </row>
    <row r="231" spans="1:33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X231"/>
      <c r="Y231"/>
      <c r="Z231"/>
      <c r="AA231"/>
      <c r="AB231"/>
      <c r="AC231"/>
      <c r="AD231"/>
      <c r="AE231"/>
      <c r="AF231"/>
      <c r="AG231"/>
    </row>
    <row r="232" spans="1:33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X232"/>
      <c r="Y232"/>
      <c r="Z232"/>
      <c r="AA232"/>
      <c r="AB232"/>
      <c r="AC232"/>
      <c r="AD232"/>
      <c r="AE232"/>
      <c r="AF232"/>
      <c r="AG232"/>
    </row>
    <row r="233" spans="1:33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X233"/>
      <c r="Y233"/>
      <c r="Z233"/>
      <c r="AA233"/>
      <c r="AB233"/>
      <c r="AC233"/>
      <c r="AD233"/>
      <c r="AE233"/>
      <c r="AF233"/>
      <c r="AG233"/>
    </row>
    <row r="234" spans="1:33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X234"/>
      <c r="Y234"/>
      <c r="Z234"/>
      <c r="AA234"/>
      <c r="AB234"/>
      <c r="AC234"/>
      <c r="AD234"/>
      <c r="AE234"/>
      <c r="AF234"/>
      <c r="AG234"/>
    </row>
    <row r="235" spans="1:33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X235"/>
      <c r="Y235"/>
      <c r="Z235"/>
      <c r="AA235"/>
      <c r="AB235"/>
      <c r="AC235"/>
      <c r="AD235"/>
      <c r="AE235"/>
      <c r="AF235"/>
      <c r="AG235"/>
    </row>
    <row r="236" spans="1:33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X236"/>
      <c r="Y236"/>
      <c r="Z236"/>
      <c r="AA236"/>
      <c r="AB236"/>
      <c r="AC236"/>
      <c r="AD236"/>
      <c r="AE236"/>
      <c r="AF236"/>
      <c r="AG236"/>
    </row>
    <row r="237" spans="1:33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X237"/>
      <c r="Y237"/>
      <c r="Z237"/>
      <c r="AA237"/>
      <c r="AB237"/>
      <c r="AC237"/>
      <c r="AD237"/>
      <c r="AE237"/>
      <c r="AF237"/>
      <c r="AG237"/>
    </row>
    <row r="238" spans="1:33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X238"/>
      <c r="Y238"/>
      <c r="Z238"/>
      <c r="AA238"/>
      <c r="AB238"/>
      <c r="AC238"/>
      <c r="AD238"/>
      <c r="AE238"/>
      <c r="AF238"/>
      <c r="AG238"/>
    </row>
    <row r="239" spans="1:33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X239"/>
      <c r="Y239"/>
      <c r="Z239"/>
      <c r="AA239"/>
      <c r="AB239"/>
      <c r="AC239"/>
      <c r="AD239"/>
      <c r="AE239"/>
      <c r="AF239"/>
      <c r="AG239"/>
    </row>
    <row r="240" spans="1:33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X240"/>
      <c r="Y240"/>
      <c r="Z240"/>
      <c r="AA240"/>
      <c r="AB240"/>
      <c r="AC240"/>
      <c r="AD240"/>
      <c r="AE240"/>
      <c r="AF240"/>
      <c r="AG240"/>
    </row>
    <row r="241" spans="1:33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X241"/>
      <c r="Y241"/>
      <c r="Z241"/>
      <c r="AA241"/>
      <c r="AB241"/>
      <c r="AC241"/>
      <c r="AD241"/>
      <c r="AE241"/>
      <c r="AF241"/>
      <c r="AG241"/>
    </row>
    <row r="242" spans="1:33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X242"/>
      <c r="Y242"/>
      <c r="Z242"/>
      <c r="AA242"/>
      <c r="AB242"/>
      <c r="AC242"/>
      <c r="AD242"/>
      <c r="AE242"/>
      <c r="AF242"/>
      <c r="AG242"/>
    </row>
    <row r="243" spans="1:33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X243"/>
      <c r="Y243"/>
      <c r="Z243"/>
      <c r="AA243"/>
      <c r="AB243"/>
      <c r="AC243"/>
      <c r="AD243"/>
      <c r="AE243"/>
      <c r="AF243"/>
      <c r="AG243"/>
    </row>
    <row r="244" spans="1:33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X244"/>
      <c r="Y244"/>
      <c r="Z244"/>
      <c r="AA244"/>
      <c r="AB244"/>
      <c r="AC244"/>
      <c r="AD244"/>
      <c r="AE244"/>
      <c r="AF244"/>
      <c r="AG244"/>
    </row>
    <row r="245" spans="1:33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X245"/>
      <c r="Y245"/>
      <c r="Z245"/>
      <c r="AA245"/>
      <c r="AB245"/>
      <c r="AC245"/>
      <c r="AD245"/>
      <c r="AE245"/>
      <c r="AF245"/>
      <c r="AG245"/>
    </row>
    <row r="246" spans="1:33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X246"/>
      <c r="Y246"/>
      <c r="Z246"/>
      <c r="AA246"/>
      <c r="AB246"/>
      <c r="AC246"/>
      <c r="AD246"/>
      <c r="AE246"/>
      <c r="AF246"/>
      <c r="AG246"/>
    </row>
    <row r="247" spans="1:33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X247"/>
      <c r="Y247"/>
      <c r="Z247"/>
      <c r="AA247"/>
      <c r="AB247"/>
      <c r="AC247"/>
      <c r="AD247"/>
      <c r="AE247"/>
      <c r="AF247"/>
      <c r="AG247"/>
    </row>
    <row r="248" spans="1:33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X248"/>
      <c r="Y248"/>
      <c r="Z248"/>
      <c r="AA248"/>
      <c r="AB248"/>
      <c r="AC248"/>
      <c r="AD248"/>
      <c r="AE248"/>
      <c r="AF248"/>
      <c r="AG248"/>
    </row>
    <row r="249" spans="1:33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X249"/>
      <c r="Y249"/>
      <c r="Z249"/>
      <c r="AA249"/>
      <c r="AB249"/>
      <c r="AC249"/>
      <c r="AD249"/>
      <c r="AE249"/>
      <c r="AF249"/>
      <c r="AG249"/>
    </row>
    <row r="250" spans="1:33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X250"/>
      <c r="Y250"/>
      <c r="Z250"/>
      <c r="AA250"/>
      <c r="AB250"/>
      <c r="AC250"/>
      <c r="AD250"/>
      <c r="AE250"/>
      <c r="AF250"/>
      <c r="AG250"/>
    </row>
    <row r="251" spans="1:33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X251"/>
      <c r="Y251"/>
      <c r="Z251"/>
      <c r="AA251"/>
      <c r="AB251"/>
      <c r="AC251"/>
      <c r="AD251"/>
      <c r="AE251"/>
      <c r="AF251"/>
      <c r="AG251"/>
    </row>
    <row r="252" spans="1:33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X252"/>
      <c r="Y252"/>
      <c r="Z252"/>
      <c r="AA252"/>
      <c r="AB252"/>
      <c r="AC252"/>
      <c r="AD252"/>
      <c r="AE252"/>
      <c r="AF252"/>
      <c r="AG252"/>
    </row>
    <row r="253" spans="1:33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X253"/>
      <c r="Y253"/>
      <c r="Z253"/>
      <c r="AA253"/>
      <c r="AB253"/>
      <c r="AC253"/>
      <c r="AD253"/>
      <c r="AE253"/>
      <c r="AF253"/>
      <c r="AG253"/>
    </row>
    <row r="254" spans="1:33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X254"/>
      <c r="Y254"/>
      <c r="Z254"/>
      <c r="AA254"/>
      <c r="AB254"/>
      <c r="AC254"/>
      <c r="AD254"/>
      <c r="AE254"/>
      <c r="AF254"/>
      <c r="AG254"/>
    </row>
    <row r="255" spans="1:33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X255"/>
      <c r="Y255"/>
      <c r="Z255"/>
      <c r="AA255"/>
      <c r="AB255"/>
      <c r="AC255"/>
      <c r="AD255"/>
      <c r="AE255"/>
      <c r="AF255"/>
      <c r="AG255"/>
    </row>
    <row r="256" spans="1:33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X256"/>
      <c r="Y256"/>
      <c r="Z256"/>
      <c r="AA256"/>
      <c r="AB256"/>
      <c r="AC256"/>
      <c r="AD256"/>
      <c r="AE256"/>
      <c r="AF256"/>
      <c r="AG256"/>
    </row>
    <row r="257" spans="1:33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X257"/>
      <c r="Y257"/>
      <c r="Z257"/>
      <c r="AA257"/>
      <c r="AB257"/>
      <c r="AC257"/>
      <c r="AD257"/>
      <c r="AE257"/>
      <c r="AF257"/>
      <c r="AG257"/>
    </row>
    <row r="258" spans="1:33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X258"/>
      <c r="Y258"/>
      <c r="Z258"/>
      <c r="AA258"/>
      <c r="AB258"/>
      <c r="AC258"/>
      <c r="AD258"/>
      <c r="AE258"/>
      <c r="AF258"/>
      <c r="AG258"/>
    </row>
    <row r="259" spans="1:33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X259"/>
      <c r="Y259"/>
      <c r="Z259"/>
      <c r="AA259"/>
      <c r="AB259"/>
      <c r="AC259"/>
      <c r="AD259"/>
      <c r="AE259"/>
      <c r="AF259"/>
      <c r="AG259"/>
    </row>
    <row r="260" spans="1:33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X260"/>
      <c r="Y260"/>
      <c r="Z260"/>
      <c r="AA260"/>
      <c r="AB260"/>
      <c r="AC260"/>
      <c r="AD260"/>
      <c r="AE260"/>
      <c r="AF260"/>
      <c r="AG260"/>
    </row>
    <row r="261" spans="1:33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X261"/>
      <c r="Y261"/>
      <c r="Z261"/>
      <c r="AA261"/>
      <c r="AB261"/>
      <c r="AC261"/>
      <c r="AD261"/>
      <c r="AE261"/>
      <c r="AF261"/>
      <c r="AG261"/>
    </row>
    <row r="262" spans="1:33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X262"/>
      <c r="Y262"/>
      <c r="Z262"/>
      <c r="AA262"/>
      <c r="AB262"/>
      <c r="AC262"/>
      <c r="AD262"/>
      <c r="AE262"/>
      <c r="AF262"/>
      <c r="AG262"/>
    </row>
    <row r="263" spans="1:33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X263"/>
      <c r="Y263"/>
      <c r="Z263"/>
      <c r="AA263"/>
      <c r="AB263"/>
      <c r="AC263"/>
      <c r="AD263"/>
      <c r="AE263"/>
      <c r="AF263"/>
      <c r="AG263"/>
    </row>
    <row r="264" spans="1:33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X264"/>
      <c r="Y264"/>
      <c r="Z264"/>
      <c r="AA264"/>
      <c r="AB264"/>
      <c r="AC264"/>
      <c r="AD264"/>
      <c r="AE264"/>
      <c r="AF264"/>
      <c r="AG264"/>
    </row>
    <row r="265" spans="1:33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X265"/>
      <c r="Y265"/>
      <c r="Z265"/>
      <c r="AA265"/>
      <c r="AB265"/>
      <c r="AC265"/>
      <c r="AD265"/>
      <c r="AE265"/>
      <c r="AF265"/>
      <c r="AG265"/>
    </row>
    <row r="266" spans="1:33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X266"/>
      <c r="Y266"/>
      <c r="Z266"/>
      <c r="AA266"/>
      <c r="AB266"/>
      <c r="AC266"/>
      <c r="AD266"/>
      <c r="AE266"/>
      <c r="AF266"/>
      <c r="AG266"/>
    </row>
    <row r="267" spans="1:33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X267"/>
      <c r="Y267"/>
      <c r="Z267"/>
      <c r="AA267"/>
      <c r="AB267"/>
      <c r="AC267"/>
      <c r="AD267"/>
      <c r="AE267"/>
      <c r="AF267"/>
      <c r="AG267"/>
    </row>
    <row r="268" spans="1:33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X268"/>
      <c r="Y268"/>
      <c r="Z268"/>
      <c r="AA268"/>
      <c r="AB268"/>
      <c r="AC268"/>
      <c r="AD268"/>
      <c r="AE268"/>
      <c r="AF268"/>
      <c r="AG268"/>
    </row>
    <row r="269" spans="1:33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X269"/>
      <c r="Y269"/>
      <c r="Z269"/>
      <c r="AA269"/>
      <c r="AB269"/>
      <c r="AC269"/>
      <c r="AD269"/>
      <c r="AE269"/>
      <c r="AF269"/>
      <c r="AG269"/>
    </row>
    <row r="270" spans="1:33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X270"/>
      <c r="Y270"/>
      <c r="Z270"/>
      <c r="AA270"/>
      <c r="AB270"/>
      <c r="AC270"/>
      <c r="AD270"/>
      <c r="AE270"/>
      <c r="AF270"/>
      <c r="AG270"/>
    </row>
    <row r="271" spans="1:33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X271"/>
      <c r="Y271"/>
      <c r="Z271"/>
      <c r="AA271"/>
      <c r="AB271"/>
      <c r="AC271"/>
      <c r="AD271"/>
      <c r="AE271"/>
      <c r="AF271"/>
      <c r="AG271"/>
    </row>
    <row r="272" spans="1:33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X272"/>
      <c r="Y272"/>
      <c r="Z272"/>
      <c r="AA272"/>
      <c r="AB272"/>
      <c r="AC272"/>
      <c r="AD272"/>
      <c r="AE272"/>
      <c r="AF272"/>
      <c r="AG272"/>
    </row>
    <row r="273" spans="1:33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X273"/>
      <c r="Y273"/>
      <c r="Z273"/>
      <c r="AA273"/>
      <c r="AB273"/>
      <c r="AC273"/>
      <c r="AD273"/>
      <c r="AE273"/>
      <c r="AF273"/>
      <c r="AG273"/>
    </row>
    <row r="274" spans="1:33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X274"/>
      <c r="Y274"/>
      <c r="Z274"/>
      <c r="AA274"/>
      <c r="AB274"/>
      <c r="AC274"/>
      <c r="AD274"/>
      <c r="AE274"/>
      <c r="AF274"/>
      <c r="AG274"/>
    </row>
    <row r="275" spans="1:33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X275"/>
      <c r="Y275"/>
      <c r="Z275"/>
      <c r="AA275"/>
      <c r="AB275"/>
      <c r="AC275"/>
      <c r="AD275"/>
      <c r="AE275"/>
      <c r="AF275"/>
      <c r="AG275"/>
    </row>
    <row r="276" spans="1:33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X276"/>
      <c r="Y276"/>
      <c r="Z276"/>
      <c r="AA276"/>
      <c r="AB276"/>
      <c r="AC276"/>
      <c r="AD276"/>
      <c r="AE276"/>
      <c r="AF276"/>
      <c r="AG276"/>
    </row>
    <row r="277" spans="1:33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X277"/>
      <c r="Y277"/>
      <c r="Z277"/>
      <c r="AA277"/>
      <c r="AB277"/>
      <c r="AC277"/>
      <c r="AD277"/>
      <c r="AE277"/>
      <c r="AF277"/>
      <c r="AG277"/>
    </row>
    <row r="278" spans="1:33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X278"/>
      <c r="Y278"/>
      <c r="Z278"/>
      <c r="AA278"/>
      <c r="AB278"/>
      <c r="AC278"/>
      <c r="AD278"/>
      <c r="AE278"/>
      <c r="AF278"/>
      <c r="AG278"/>
    </row>
    <row r="279" spans="1:33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X279"/>
      <c r="Y279"/>
      <c r="Z279"/>
      <c r="AA279"/>
      <c r="AB279"/>
      <c r="AC279"/>
      <c r="AD279"/>
      <c r="AE279"/>
      <c r="AF279"/>
      <c r="AG279"/>
    </row>
    <row r="280" spans="1:33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X280"/>
      <c r="Y280"/>
      <c r="Z280"/>
      <c r="AA280"/>
      <c r="AB280"/>
      <c r="AC280"/>
      <c r="AD280"/>
      <c r="AE280"/>
      <c r="AF280"/>
      <c r="AG280"/>
    </row>
    <row r="281" spans="1:33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X281"/>
      <c r="Y281"/>
      <c r="Z281"/>
      <c r="AA281"/>
      <c r="AB281"/>
      <c r="AC281"/>
      <c r="AD281"/>
      <c r="AE281"/>
      <c r="AF281"/>
      <c r="AG281"/>
    </row>
    <row r="282" spans="1:33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X282"/>
      <c r="Y282"/>
      <c r="Z282"/>
      <c r="AA282"/>
      <c r="AB282"/>
      <c r="AC282"/>
      <c r="AD282"/>
      <c r="AE282"/>
      <c r="AF282"/>
      <c r="AG282"/>
    </row>
    <row r="283" spans="1:33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X283"/>
      <c r="Y283"/>
      <c r="Z283"/>
      <c r="AA283"/>
      <c r="AB283"/>
      <c r="AC283"/>
      <c r="AD283"/>
      <c r="AE283"/>
      <c r="AF283"/>
      <c r="AG283"/>
    </row>
    <row r="284" spans="1:33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X284"/>
      <c r="Y284"/>
      <c r="Z284"/>
      <c r="AA284"/>
      <c r="AB284"/>
      <c r="AC284"/>
      <c r="AD284"/>
      <c r="AE284"/>
      <c r="AF284"/>
      <c r="AG284"/>
    </row>
    <row r="285" spans="1:33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X285"/>
      <c r="Y285"/>
      <c r="Z285"/>
      <c r="AA285"/>
      <c r="AB285"/>
      <c r="AC285"/>
      <c r="AD285"/>
      <c r="AE285"/>
      <c r="AF285"/>
      <c r="AG285"/>
    </row>
    <row r="286" spans="1:33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X286"/>
      <c r="Y286"/>
      <c r="Z286"/>
      <c r="AA286"/>
      <c r="AB286"/>
      <c r="AC286"/>
      <c r="AD286"/>
      <c r="AE286"/>
      <c r="AF286"/>
      <c r="AG286"/>
    </row>
    <row r="287" spans="1:33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X287"/>
      <c r="Y287"/>
      <c r="Z287"/>
      <c r="AA287"/>
      <c r="AB287"/>
      <c r="AC287"/>
      <c r="AD287"/>
      <c r="AE287"/>
      <c r="AF287"/>
      <c r="AG287"/>
    </row>
    <row r="288" spans="1:33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X288"/>
      <c r="Y288"/>
      <c r="Z288"/>
      <c r="AA288"/>
      <c r="AB288"/>
      <c r="AC288"/>
      <c r="AD288"/>
      <c r="AE288"/>
      <c r="AF288"/>
      <c r="AG288"/>
    </row>
    <row r="289" spans="1:33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X289"/>
      <c r="Y289"/>
      <c r="Z289"/>
      <c r="AA289"/>
      <c r="AB289"/>
      <c r="AC289"/>
      <c r="AD289"/>
      <c r="AE289"/>
      <c r="AF289"/>
      <c r="AG289"/>
    </row>
    <row r="290" spans="1:33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X290"/>
      <c r="Y290"/>
      <c r="Z290"/>
      <c r="AA290"/>
      <c r="AB290"/>
      <c r="AC290"/>
      <c r="AD290"/>
      <c r="AE290"/>
      <c r="AF290"/>
      <c r="AG290"/>
    </row>
    <row r="291" spans="1:33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X291"/>
      <c r="Y291"/>
      <c r="Z291"/>
      <c r="AA291"/>
      <c r="AB291"/>
      <c r="AC291"/>
      <c r="AD291"/>
      <c r="AE291"/>
      <c r="AF291"/>
      <c r="AG291"/>
    </row>
    <row r="292" spans="1:33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X292"/>
      <c r="Y292"/>
      <c r="Z292"/>
      <c r="AA292"/>
      <c r="AB292"/>
      <c r="AC292"/>
      <c r="AD292"/>
      <c r="AE292"/>
      <c r="AF292"/>
      <c r="AG292"/>
    </row>
    <row r="293" spans="1:33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X293"/>
      <c r="Y293"/>
      <c r="Z293"/>
      <c r="AA293"/>
      <c r="AB293"/>
      <c r="AC293"/>
      <c r="AD293"/>
      <c r="AE293"/>
      <c r="AF293"/>
      <c r="AG293"/>
    </row>
    <row r="294" spans="1:33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X294"/>
      <c r="Y294"/>
      <c r="Z294"/>
      <c r="AA294"/>
      <c r="AB294"/>
      <c r="AC294"/>
      <c r="AD294"/>
      <c r="AE294"/>
      <c r="AF294"/>
      <c r="AG294"/>
    </row>
    <row r="295" spans="1:33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X295"/>
      <c r="Y295"/>
      <c r="Z295"/>
      <c r="AA295"/>
      <c r="AB295"/>
      <c r="AC295"/>
      <c r="AD295"/>
      <c r="AE295"/>
      <c r="AF295"/>
      <c r="AG295"/>
    </row>
    <row r="296" spans="1:33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X296"/>
      <c r="Y296"/>
      <c r="Z296"/>
      <c r="AA296"/>
      <c r="AB296"/>
      <c r="AC296"/>
      <c r="AD296"/>
      <c r="AE296"/>
      <c r="AF296"/>
      <c r="AG296"/>
    </row>
    <row r="297" spans="1:33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X297"/>
      <c r="Y297"/>
      <c r="Z297"/>
      <c r="AA297"/>
      <c r="AB297"/>
      <c r="AC297"/>
      <c r="AD297"/>
      <c r="AE297"/>
      <c r="AF297"/>
      <c r="AG297"/>
    </row>
    <row r="298" spans="1:33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X298"/>
      <c r="Y298"/>
      <c r="Z298"/>
      <c r="AA298"/>
      <c r="AB298"/>
      <c r="AC298"/>
      <c r="AD298"/>
      <c r="AE298"/>
      <c r="AF298"/>
      <c r="AG298"/>
    </row>
    <row r="299" spans="1:33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X299"/>
      <c r="Y299"/>
      <c r="Z299"/>
      <c r="AA299"/>
      <c r="AB299"/>
      <c r="AC299"/>
      <c r="AD299"/>
      <c r="AE299"/>
      <c r="AF299"/>
      <c r="AG299"/>
    </row>
    <row r="300" spans="1:33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X300"/>
      <c r="Y300"/>
      <c r="Z300"/>
      <c r="AA300"/>
      <c r="AB300"/>
      <c r="AC300"/>
      <c r="AD300"/>
      <c r="AE300"/>
      <c r="AF300"/>
      <c r="AG300"/>
    </row>
    <row r="301" spans="1:33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X301"/>
      <c r="Y301"/>
      <c r="Z301"/>
      <c r="AA301"/>
      <c r="AB301"/>
      <c r="AC301"/>
      <c r="AD301"/>
      <c r="AE301"/>
      <c r="AF301"/>
      <c r="AG301"/>
    </row>
    <row r="302" spans="1:33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X302"/>
      <c r="Y302"/>
      <c r="Z302"/>
      <c r="AA302"/>
      <c r="AB302"/>
      <c r="AC302"/>
      <c r="AD302"/>
      <c r="AE302"/>
      <c r="AF302"/>
      <c r="AG302"/>
    </row>
    <row r="303" spans="1:33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X303"/>
      <c r="Y303"/>
      <c r="Z303"/>
      <c r="AA303"/>
      <c r="AB303"/>
      <c r="AC303"/>
      <c r="AD303"/>
      <c r="AE303"/>
      <c r="AF303"/>
      <c r="AG303"/>
    </row>
    <row r="304" spans="1:33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X304"/>
      <c r="Y304"/>
      <c r="Z304"/>
      <c r="AA304"/>
      <c r="AB304"/>
      <c r="AC304"/>
      <c r="AD304"/>
      <c r="AE304"/>
      <c r="AF304"/>
      <c r="AG304"/>
    </row>
    <row r="305" spans="1:33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X305"/>
      <c r="Y305"/>
      <c r="Z305"/>
      <c r="AA305"/>
      <c r="AB305"/>
      <c r="AC305"/>
      <c r="AD305"/>
      <c r="AE305"/>
      <c r="AF305"/>
      <c r="AG305"/>
    </row>
    <row r="306" spans="1:33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X306"/>
      <c r="Y306"/>
      <c r="Z306"/>
      <c r="AA306"/>
      <c r="AB306"/>
      <c r="AC306"/>
      <c r="AD306"/>
      <c r="AE306"/>
      <c r="AF306"/>
      <c r="AG306"/>
    </row>
    <row r="307" spans="1:33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X307"/>
      <c r="Y307"/>
      <c r="Z307"/>
      <c r="AA307"/>
      <c r="AB307"/>
      <c r="AC307"/>
      <c r="AD307"/>
      <c r="AE307"/>
      <c r="AF307"/>
      <c r="AG307"/>
    </row>
    <row r="308" spans="1:33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X308"/>
      <c r="Y308"/>
      <c r="Z308"/>
      <c r="AA308"/>
      <c r="AB308"/>
      <c r="AC308"/>
      <c r="AD308"/>
      <c r="AE308"/>
      <c r="AF308"/>
      <c r="AG308"/>
    </row>
    <row r="309" spans="1:33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X309"/>
      <c r="Y309"/>
      <c r="Z309"/>
      <c r="AA309"/>
      <c r="AB309"/>
      <c r="AC309"/>
      <c r="AD309"/>
      <c r="AE309"/>
      <c r="AF309"/>
      <c r="AG309"/>
    </row>
    <row r="310" spans="1:33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X310"/>
      <c r="Y310"/>
      <c r="Z310"/>
      <c r="AA310"/>
      <c r="AB310"/>
      <c r="AC310"/>
      <c r="AD310"/>
      <c r="AE310"/>
      <c r="AF310"/>
      <c r="AG310"/>
    </row>
    <row r="311" spans="1:33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X311"/>
      <c r="Y311"/>
      <c r="Z311"/>
      <c r="AA311"/>
      <c r="AB311"/>
      <c r="AC311"/>
      <c r="AD311"/>
      <c r="AE311"/>
      <c r="AF311"/>
      <c r="AG311"/>
    </row>
    <row r="312" spans="1:33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X312"/>
      <c r="Y312"/>
      <c r="Z312"/>
      <c r="AA312"/>
      <c r="AB312"/>
      <c r="AC312"/>
      <c r="AD312"/>
      <c r="AE312"/>
      <c r="AF312"/>
      <c r="AG312"/>
    </row>
    <row r="313" spans="1:33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X313"/>
      <c r="Y313"/>
      <c r="Z313"/>
      <c r="AA313"/>
      <c r="AB313"/>
      <c r="AC313"/>
      <c r="AD313"/>
      <c r="AE313"/>
      <c r="AF313"/>
      <c r="AG313"/>
    </row>
    <row r="314" spans="1:33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X314"/>
      <c r="Y314"/>
      <c r="Z314"/>
      <c r="AA314"/>
      <c r="AB314"/>
      <c r="AC314"/>
      <c r="AD314"/>
      <c r="AE314"/>
      <c r="AF314"/>
      <c r="AG314"/>
    </row>
    <row r="315" spans="1:33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X315"/>
      <c r="Y315"/>
      <c r="Z315"/>
      <c r="AA315"/>
      <c r="AB315"/>
      <c r="AC315"/>
      <c r="AD315"/>
      <c r="AE315"/>
      <c r="AF315"/>
      <c r="AG315"/>
    </row>
    <row r="316" spans="1:33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X316"/>
      <c r="Y316"/>
      <c r="Z316"/>
      <c r="AA316"/>
      <c r="AB316"/>
      <c r="AC316"/>
      <c r="AD316"/>
      <c r="AE316"/>
      <c r="AF316"/>
      <c r="AG316"/>
    </row>
    <row r="317" spans="1:33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X317"/>
      <c r="Y317"/>
      <c r="Z317"/>
      <c r="AA317"/>
      <c r="AB317"/>
      <c r="AC317"/>
      <c r="AD317"/>
      <c r="AE317"/>
      <c r="AF317"/>
      <c r="AG317"/>
    </row>
    <row r="318" spans="1:33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X318"/>
      <c r="Y318"/>
      <c r="Z318"/>
      <c r="AA318"/>
      <c r="AB318"/>
      <c r="AC318"/>
      <c r="AD318"/>
      <c r="AE318"/>
      <c r="AF318"/>
      <c r="AG318"/>
    </row>
    <row r="319" spans="1:33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X319"/>
      <c r="Y319"/>
      <c r="Z319"/>
      <c r="AA319"/>
      <c r="AB319"/>
      <c r="AC319"/>
      <c r="AD319"/>
      <c r="AE319"/>
      <c r="AF319"/>
      <c r="AG319"/>
    </row>
    <row r="320" spans="1:33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X320"/>
      <c r="Y320"/>
      <c r="Z320"/>
      <c r="AA320"/>
      <c r="AB320"/>
      <c r="AC320"/>
      <c r="AD320"/>
      <c r="AE320"/>
      <c r="AF320"/>
      <c r="AG320"/>
    </row>
    <row r="321" spans="1:33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X321"/>
      <c r="Y321"/>
      <c r="Z321"/>
      <c r="AA321"/>
      <c r="AB321"/>
      <c r="AC321"/>
      <c r="AD321"/>
      <c r="AE321"/>
      <c r="AF321"/>
      <c r="AG321"/>
    </row>
    <row r="322" spans="1:33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X322"/>
      <c r="Y322"/>
      <c r="Z322"/>
      <c r="AA322"/>
      <c r="AB322"/>
      <c r="AC322"/>
      <c r="AD322"/>
      <c r="AE322"/>
      <c r="AF322"/>
      <c r="AG322"/>
    </row>
    <row r="323" spans="1:33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X323"/>
      <c r="Y323"/>
      <c r="Z323"/>
      <c r="AA323"/>
      <c r="AB323"/>
      <c r="AC323"/>
      <c r="AD323"/>
      <c r="AE323"/>
      <c r="AF323"/>
      <c r="AG323"/>
    </row>
    <row r="324" spans="1:33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X324"/>
      <c r="Y324"/>
      <c r="Z324"/>
      <c r="AA324"/>
      <c r="AB324"/>
      <c r="AC324"/>
      <c r="AD324"/>
      <c r="AE324"/>
      <c r="AF324"/>
      <c r="AG324"/>
    </row>
    <row r="325" spans="1:33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X325"/>
      <c r="Y325"/>
      <c r="Z325"/>
      <c r="AA325"/>
      <c r="AB325"/>
      <c r="AC325"/>
      <c r="AD325"/>
      <c r="AE325"/>
      <c r="AF325"/>
      <c r="AG325"/>
    </row>
    <row r="326" spans="1:33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X326"/>
      <c r="Y326"/>
      <c r="Z326"/>
      <c r="AA326"/>
      <c r="AB326"/>
      <c r="AC326"/>
      <c r="AD326"/>
      <c r="AE326"/>
      <c r="AF326"/>
      <c r="AG326"/>
    </row>
    <row r="327" spans="1:33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X327"/>
      <c r="Y327"/>
      <c r="Z327"/>
      <c r="AA327"/>
      <c r="AB327"/>
      <c r="AC327"/>
      <c r="AD327"/>
      <c r="AE327"/>
      <c r="AF327"/>
      <c r="AG327"/>
    </row>
    <row r="328" spans="1:33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X328"/>
      <c r="Y328"/>
      <c r="Z328"/>
      <c r="AA328"/>
      <c r="AB328"/>
      <c r="AC328"/>
      <c r="AD328"/>
      <c r="AE328"/>
      <c r="AF328"/>
      <c r="AG328"/>
    </row>
    <row r="329" spans="1:33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X329"/>
      <c r="Y329"/>
      <c r="Z329"/>
      <c r="AA329"/>
      <c r="AB329"/>
      <c r="AC329"/>
      <c r="AD329"/>
      <c r="AE329"/>
      <c r="AF329"/>
      <c r="AG329"/>
    </row>
    <row r="330" spans="1:33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X330"/>
      <c r="Y330"/>
      <c r="Z330"/>
      <c r="AA330"/>
      <c r="AB330"/>
      <c r="AC330"/>
      <c r="AD330"/>
      <c r="AE330"/>
      <c r="AF330"/>
      <c r="AG330"/>
    </row>
    <row r="331" spans="1:33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X331"/>
      <c r="Y331"/>
      <c r="Z331"/>
      <c r="AA331"/>
      <c r="AB331"/>
      <c r="AC331"/>
      <c r="AD331"/>
      <c r="AE331"/>
      <c r="AF331"/>
      <c r="AG331"/>
    </row>
    <row r="332" spans="1:33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X332"/>
      <c r="Y332"/>
      <c r="Z332"/>
      <c r="AA332"/>
      <c r="AB332"/>
      <c r="AC332"/>
      <c r="AD332"/>
      <c r="AE332"/>
      <c r="AF332"/>
      <c r="AG332"/>
    </row>
    <row r="333" spans="1:33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X333"/>
      <c r="Y333"/>
      <c r="Z333"/>
      <c r="AA333"/>
      <c r="AB333"/>
      <c r="AC333"/>
      <c r="AD333"/>
      <c r="AE333"/>
      <c r="AF333"/>
      <c r="AG333"/>
    </row>
    <row r="334" spans="1:33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X334"/>
      <c r="Y334"/>
      <c r="Z334"/>
      <c r="AA334"/>
      <c r="AB334"/>
      <c r="AC334"/>
      <c r="AD334"/>
      <c r="AE334"/>
      <c r="AF334"/>
      <c r="AG334"/>
    </row>
    <row r="335" spans="1:33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X335"/>
      <c r="Y335"/>
      <c r="Z335"/>
      <c r="AA335"/>
      <c r="AB335"/>
      <c r="AC335"/>
      <c r="AD335"/>
      <c r="AE335"/>
      <c r="AF335"/>
      <c r="AG335"/>
    </row>
    <row r="336" spans="1:33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X336"/>
      <c r="Y336"/>
      <c r="Z336"/>
      <c r="AA336"/>
      <c r="AB336"/>
      <c r="AC336"/>
      <c r="AD336"/>
      <c r="AE336"/>
      <c r="AF336"/>
      <c r="AG336"/>
    </row>
    <row r="337" spans="1:33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X337"/>
      <c r="Y337"/>
      <c r="Z337"/>
      <c r="AA337"/>
      <c r="AB337"/>
      <c r="AC337"/>
      <c r="AD337"/>
      <c r="AE337"/>
      <c r="AF337"/>
      <c r="AG337"/>
    </row>
    <row r="338" spans="1:33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X338"/>
      <c r="Y338"/>
      <c r="Z338"/>
      <c r="AA338"/>
      <c r="AB338"/>
      <c r="AC338"/>
      <c r="AD338"/>
      <c r="AE338"/>
      <c r="AF338"/>
      <c r="AG338"/>
    </row>
    <row r="339" spans="1:33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X339"/>
      <c r="Y339"/>
      <c r="Z339"/>
      <c r="AA339"/>
      <c r="AB339"/>
      <c r="AC339"/>
      <c r="AD339"/>
      <c r="AE339"/>
      <c r="AF339"/>
      <c r="AG339"/>
    </row>
    <row r="340" spans="1:33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X340"/>
      <c r="Y340"/>
      <c r="Z340"/>
      <c r="AA340"/>
      <c r="AB340"/>
      <c r="AC340"/>
      <c r="AD340"/>
      <c r="AE340"/>
      <c r="AF340"/>
      <c r="AG340"/>
    </row>
    <row r="341" spans="1:33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X341"/>
      <c r="Y341"/>
      <c r="Z341"/>
      <c r="AA341"/>
      <c r="AB341"/>
      <c r="AC341"/>
      <c r="AD341"/>
      <c r="AE341"/>
      <c r="AF341"/>
      <c r="AG341"/>
    </row>
    <row r="342" spans="1:33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X342"/>
      <c r="Y342"/>
      <c r="Z342"/>
      <c r="AA342"/>
      <c r="AB342"/>
      <c r="AC342"/>
      <c r="AD342"/>
      <c r="AE342"/>
      <c r="AF342"/>
      <c r="AG342"/>
    </row>
    <row r="343" spans="1:33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X343"/>
      <c r="Y343"/>
      <c r="Z343"/>
      <c r="AA343"/>
      <c r="AB343"/>
      <c r="AC343"/>
      <c r="AD343"/>
      <c r="AE343"/>
      <c r="AF343"/>
      <c r="AG343"/>
    </row>
    <row r="344" spans="1:33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X344"/>
      <c r="Y344"/>
      <c r="Z344"/>
      <c r="AA344"/>
      <c r="AB344"/>
      <c r="AC344"/>
      <c r="AD344"/>
      <c r="AE344"/>
      <c r="AF344"/>
      <c r="AG344"/>
    </row>
    <row r="345" spans="1:33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X345"/>
      <c r="Y345"/>
      <c r="Z345"/>
      <c r="AA345"/>
      <c r="AB345"/>
      <c r="AC345"/>
      <c r="AD345"/>
      <c r="AE345"/>
      <c r="AF345"/>
      <c r="AG345"/>
    </row>
    <row r="346" spans="1:33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X346"/>
      <c r="Y346"/>
      <c r="Z346"/>
      <c r="AA346"/>
      <c r="AB346"/>
      <c r="AC346"/>
      <c r="AD346"/>
      <c r="AE346"/>
      <c r="AF346"/>
      <c r="AG346"/>
    </row>
    <row r="347" spans="1:33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X347"/>
      <c r="Y347"/>
      <c r="Z347"/>
      <c r="AA347"/>
      <c r="AB347"/>
      <c r="AC347"/>
      <c r="AD347"/>
      <c r="AE347"/>
      <c r="AF347"/>
      <c r="AG347"/>
    </row>
    <row r="348" spans="1:33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X348"/>
      <c r="Y348"/>
      <c r="Z348"/>
      <c r="AA348"/>
      <c r="AB348"/>
      <c r="AC348"/>
      <c r="AD348"/>
      <c r="AE348"/>
      <c r="AF348"/>
      <c r="AG348"/>
    </row>
    <row r="349" spans="1:33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X349"/>
      <c r="Y349"/>
      <c r="Z349"/>
      <c r="AA349"/>
      <c r="AB349"/>
      <c r="AC349"/>
      <c r="AD349"/>
      <c r="AE349"/>
      <c r="AF349"/>
      <c r="AG349"/>
    </row>
    <row r="350" spans="1:33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X350"/>
      <c r="Y350"/>
      <c r="Z350"/>
      <c r="AA350"/>
      <c r="AB350"/>
      <c r="AC350"/>
      <c r="AD350"/>
      <c r="AE350"/>
      <c r="AF350"/>
      <c r="AG350"/>
    </row>
    <row r="351" spans="1:33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X351"/>
      <c r="Y351"/>
      <c r="Z351"/>
      <c r="AA351"/>
      <c r="AB351"/>
      <c r="AC351"/>
      <c r="AD351"/>
      <c r="AE351"/>
      <c r="AF351"/>
      <c r="AG351"/>
    </row>
    <row r="352" spans="1:33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X352"/>
      <c r="Y352"/>
      <c r="Z352"/>
      <c r="AA352"/>
      <c r="AB352"/>
      <c r="AC352"/>
      <c r="AD352"/>
      <c r="AE352"/>
      <c r="AF352"/>
      <c r="AG352"/>
    </row>
    <row r="353" spans="1:33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X353"/>
      <c r="Y353"/>
      <c r="Z353"/>
      <c r="AA353"/>
      <c r="AB353"/>
      <c r="AC353"/>
      <c r="AD353"/>
      <c r="AE353"/>
      <c r="AF353"/>
      <c r="AG353"/>
    </row>
    <row r="354" spans="1:33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X354"/>
      <c r="Y354"/>
      <c r="Z354"/>
      <c r="AA354"/>
      <c r="AB354"/>
      <c r="AC354"/>
      <c r="AD354"/>
      <c r="AE354"/>
      <c r="AF354"/>
      <c r="AG354"/>
    </row>
    <row r="355" spans="1:33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X355"/>
      <c r="Y355"/>
      <c r="Z355"/>
      <c r="AA355"/>
      <c r="AB355"/>
      <c r="AC355"/>
      <c r="AD355"/>
      <c r="AE355"/>
      <c r="AF355"/>
      <c r="AG355"/>
    </row>
    <row r="356" spans="1:33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X356"/>
      <c r="Y356"/>
      <c r="Z356"/>
      <c r="AA356"/>
      <c r="AB356"/>
      <c r="AC356"/>
      <c r="AD356"/>
      <c r="AE356"/>
      <c r="AF356"/>
      <c r="AG356"/>
    </row>
    <row r="357" spans="1:33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X357"/>
      <c r="Y357"/>
      <c r="Z357"/>
      <c r="AA357"/>
      <c r="AB357"/>
      <c r="AC357"/>
      <c r="AD357"/>
      <c r="AE357"/>
      <c r="AF357"/>
      <c r="AG357"/>
    </row>
    <row r="358" spans="1:33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X358"/>
      <c r="Y358"/>
      <c r="Z358"/>
      <c r="AA358"/>
      <c r="AB358"/>
      <c r="AC358"/>
      <c r="AD358"/>
      <c r="AE358"/>
      <c r="AF358"/>
      <c r="AG358"/>
    </row>
    <row r="359" spans="1:33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X359"/>
      <c r="Y359"/>
      <c r="Z359"/>
      <c r="AA359"/>
      <c r="AB359"/>
      <c r="AC359"/>
      <c r="AD359"/>
      <c r="AE359"/>
      <c r="AF359"/>
      <c r="AG359"/>
    </row>
    <row r="360" spans="1:33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X360"/>
      <c r="Y360"/>
      <c r="Z360"/>
      <c r="AA360"/>
      <c r="AB360"/>
      <c r="AC360"/>
      <c r="AD360"/>
      <c r="AE360"/>
      <c r="AF360"/>
      <c r="AG360"/>
    </row>
    <row r="361" spans="1:33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X361"/>
      <c r="Y361"/>
      <c r="Z361"/>
      <c r="AA361"/>
      <c r="AB361"/>
      <c r="AC361"/>
      <c r="AD361"/>
      <c r="AE361"/>
      <c r="AF361"/>
      <c r="AG361"/>
    </row>
    <row r="362" spans="1:33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X362"/>
      <c r="Y362"/>
      <c r="Z362"/>
      <c r="AA362"/>
      <c r="AB362"/>
      <c r="AC362"/>
      <c r="AD362"/>
      <c r="AE362"/>
      <c r="AF362"/>
      <c r="AG362"/>
    </row>
    <row r="363" spans="1:33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X363"/>
      <c r="Y363"/>
      <c r="Z363"/>
      <c r="AA363"/>
      <c r="AB363"/>
      <c r="AC363"/>
      <c r="AD363"/>
      <c r="AE363"/>
      <c r="AF363"/>
      <c r="AG363"/>
    </row>
    <row r="364" spans="1:33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X364"/>
      <c r="Y364"/>
      <c r="Z364"/>
      <c r="AA364"/>
      <c r="AB364"/>
      <c r="AC364"/>
      <c r="AD364"/>
      <c r="AE364"/>
      <c r="AF364"/>
      <c r="AG364"/>
    </row>
    <row r="365" spans="1:33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X365"/>
      <c r="Y365"/>
      <c r="Z365"/>
      <c r="AA365"/>
      <c r="AB365"/>
      <c r="AC365"/>
      <c r="AD365"/>
      <c r="AE365"/>
      <c r="AF365"/>
      <c r="AG365"/>
    </row>
    <row r="366" spans="1:33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X366"/>
      <c r="Y366"/>
      <c r="Z366"/>
      <c r="AA366"/>
      <c r="AB366"/>
      <c r="AC366"/>
      <c r="AD366"/>
      <c r="AE366"/>
      <c r="AF366"/>
      <c r="AG366"/>
    </row>
    <row r="367" spans="1:33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X367"/>
      <c r="Y367"/>
      <c r="Z367"/>
      <c r="AA367"/>
      <c r="AB367"/>
      <c r="AC367"/>
      <c r="AD367"/>
      <c r="AE367"/>
      <c r="AF367"/>
      <c r="AG367"/>
    </row>
    <row r="368" spans="1:33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X368"/>
      <c r="Y368"/>
      <c r="Z368"/>
      <c r="AA368"/>
      <c r="AB368"/>
      <c r="AC368"/>
      <c r="AD368"/>
      <c r="AE368"/>
      <c r="AF368"/>
      <c r="AG368"/>
    </row>
    <row r="369" spans="1:33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X369"/>
      <c r="Y369"/>
      <c r="Z369"/>
      <c r="AA369"/>
      <c r="AB369"/>
      <c r="AC369"/>
      <c r="AD369"/>
      <c r="AE369"/>
      <c r="AF369"/>
      <c r="AG369"/>
    </row>
    <row r="370" spans="1:33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X370"/>
      <c r="Y370"/>
      <c r="Z370"/>
      <c r="AA370"/>
      <c r="AB370"/>
      <c r="AC370"/>
      <c r="AD370"/>
      <c r="AE370"/>
      <c r="AF370"/>
      <c r="AG370"/>
    </row>
    <row r="371" spans="1:33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X371"/>
      <c r="Y371"/>
      <c r="Z371"/>
      <c r="AA371"/>
      <c r="AB371"/>
      <c r="AC371"/>
      <c r="AD371"/>
      <c r="AE371"/>
      <c r="AF371"/>
      <c r="AG371"/>
    </row>
    <row r="372" spans="1:33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X372"/>
      <c r="Y372"/>
      <c r="Z372"/>
      <c r="AA372"/>
      <c r="AB372"/>
      <c r="AC372"/>
      <c r="AD372"/>
      <c r="AE372"/>
      <c r="AF372"/>
      <c r="AG372"/>
    </row>
    <row r="373" spans="1:33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X373"/>
      <c r="Y373"/>
      <c r="Z373"/>
      <c r="AA373"/>
      <c r="AB373"/>
      <c r="AC373"/>
      <c r="AD373"/>
      <c r="AE373"/>
      <c r="AF373"/>
      <c r="AG373"/>
    </row>
    <row r="374" spans="1:33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X374"/>
      <c r="Y374"/>
      <c r="Z374"/>
      <c r="AA374"/>
      <c r="AB374"/>
      <c r="AC374"/>
      <c r="AD374"/>
      <c r="AE374"/>
      <c r="AF374"/>
      <c r="AG374"/>
    </row>
    <row r="375" spans="1:33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X375"/>
      <c r="Y375"/>
      <c r="Z375"/>
      <c r="AA375"/>
      <c r="AB375"/>
      <c r="AC375"/>
      <c r="AD375"/>
      <c r="AE375"/>
      <c r="AF375"/>
      <c r="AG375"/>
    </row>
    <row r="376" spans="1:33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X376"/>
      <c r="Y376"/>
      <c r="Z376"/>
      <c r="AA376"/>
      <c r="AB376"/>
      <c r="AC376"/>
      <c r="AD376"/>
      <c r="AE376"/>
      <c r="AF376"/>
      <c r="AG376"/>
    </row>
    <row r="377" spans="1:33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X377"/>
      <c r="Y377"/>
      <c r="Z377"/>
      <c r="AA377"/>
      <c r="AB377"/>
      <c r="AC377"/>
      <c r="AD377"/>
      <c r="AE377"/>
      <c r="AF377"/>
      <c r="AG377"/>
    </row>
    <row r="378" spans="1:33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X378"/>
      <c r="Y378"/>
      <c r="Z378"/>
      <c r="AA378"/>
      <c r="AB378"/>
      <c r="AC378"/>
      <c r="AD378"/>
      <c r="AE378"/>
      <c r="AF378"/>
      <c r="AG378"/>
    </row>
    <row r="379" spans="1:33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X379"/>
      <c r="Y379"/>
      <c r="Z379"/>
      <c r="AA379"/>
      <c r="AB379"/>
      <c r="AC379"/>
      <c r="AD379"/>
      <c r="AE379"/>
      <c r="AF379"/>
      <c r="AG379"/>
    </row>
    <row r="380" spans="1:33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X380"/>
      <c r="Y380"/>
      <c r="Z380"/>
      <c r="AA380"/>
      <c r="AB380"/>
      <c r="AC380"/>
      <c r="AD380"/>
      <c r="AE380"/>
      <c r="AF380"/>
      <c r="AG380"/>
    </row>
    <row r="381" spans="1:33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X381"/>
      <c r="Y381"/>
      <c r="Z381"/>
      <c r="AA381"/>
      <c r="AB381"/>
      <c r="AC381"/>
      <c r="AD381"/>
      <c r="AE381"/>
      <c r="AF381"/>
      <c r="AG381"/>
    </row>
    <row r="382" spans="1:33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X382"/>
      <c r="Y382"/>
      <c r="Z382"/>
      <c r="AA382"/>
      <c r="AB382"/>
      <c r="AC382"/>
      <c r="AD382"/>
      <c r="AE382"/>
      <c r="AF382"/>
      <c r="AG382"/>
    </row>
    <row r="383" spans="1:33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X383"/>
      <c r="Y383"/>
      <c r="Z383"/>
      <c r="AA383"/>
      <c r="AB383"/>
      <c r="AC383"/>
      <c r="AD383"/>
      <c r="AE383"/>
      <c r="AF383"/>
      <c r="AG383"/>
    </row>
    <row r="384" spans="1:33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X384"/>
      <c r="Y384"/>
      <c r="Z384"/>
      <c r="AA384"/>
      <c r="AB384"/>
      <c r="AC384"/>
      <c r="AD384"/>
      <c r="AE384"/>
      <c r="AF384"/>
      <c r="AG384"/>
    </row>
    <row r="385" spans="1:33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X385"/>
      <c r="Y385"/>
      <c r="Z385"/>
      <c r="AA385"/>
      <c r="AB385"/>
      <c r="AC385"/>
      <c r="AD385"/>
      <c r="AE385"/>
      <c r="AF385"/>
      <c r="AG385"/>
    </row>
    <row r="386" spans="1:33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X386"/>
      <c r="Y386"/>
      <c r="Z386"/>
      <c r="AA386"/>
      <c r="AB386"/>
      <c r="AC386"/>
      <c r="AD386"/>
      <c r="AE386"/>
      <c r="AF386"/>
      <c r="AG386"/>
    </row>
    <row r="387" spans="1:33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X387"/>
      <c r="Y387"/>
      <c r="Z387"/>
      <c r="AA387"/>
      <c r="AB387"/>
      <c r="AC387"/>
      <c r="AD387"/>
      <c r="AE387"/>
      <c r="AF387"/>
      <c r="AG387"/>
    </row>
    <row r="388" spans="1:33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X388"/>
      <c r="Y388"/>
      <c r="Z388"/>
      <c r="AA388"/>
      <c r="AB388"/>
      <c r="AC388"/>
      <c r="AD388"/>
      <c r="AE388"/>
      <c r="AF388"/>
      <c r="AG388"/>
    </row>
    <row r="389" spans="1:33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X389"/>
      <c r="Y389"/>
      <c r="Z389"/>
      <c r="AA389"/>
      <c r="AB389"/>
      <c r="AC389"/>
      <c r="AD389"/>
      <c r="AE389"/>
      <c r="AF389"/>
      <c r="AG389"/>
    </row>
    <row r="390" spans="1:33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X390"/>
      <c r="Y390"/>
      <c r="Z390"/>
      <c r="AA390"/>
      <c r="AB390"/>
      <c r="AC390"/>
      <c r="AD390"/>
      <c r="AE390"/>
      <c r="AF390"/>
      <c r="AG390"/>
    </row>
    <row r="391" spans="1:33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X391"/>
      <c r="Y391"/>
      <c r="Z391"/>
      <c r="AA391"/>
      <c r="AB391"/>
      <c r="AC391"/>
      <c r="AD391"/>
      <c r="AE391"/>
      <c r="AF391"/>
      <c r="AG391"/>
    </row>
    <row r="392" spans="1:33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X392"/>
      <c r="Y392"/>
      <c r="Z392"/>
      <c r="AA392"/>
      <c r="AB392"/>
      <c r="AC392"/>
      <c r="AD392"/>
      <c r="AE392"/>
      <c r="AF392"/>
      <c r="AG392"/>
    </row>
    <row r="393" spans="1:33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X393"/>
      <c r="Y393"/>
      <c r="Z393"/>
      <c r="AA393"/>
      <c r="AB393"/>
      <c r="AC393"/>
      <c r="AD393"/>
      <c r="AE393"/>
      <c r="AF393"/>
      <c r="AG393"/>
    </row>
    <row r="394" spans="1:33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X394"/>
      <c r="Y394"/>
      <c r="Z394"/>
      <c r="AA394"/>
      <c r="AB394"/>
      <c r="AC394"/>
      <c r="AD394"/>
      <c r="AE394"/>
      <c r="AF394"/>
      <c r="AG394"/>
    </row>
    <row r="395" spans="1:33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X395"/>
      <c r="Y395"/>
      <c r="Z395"/>
      <c r="AA395"/>
      <c r="AB395"/>
      <c r="AC395"/>
      <c r="AD395"/>
      <c r="AE395"/>
      <c r="AF395"/>
      <c r="AG395"/>
    </row>
    <row r="396" spans="1:33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X396"/>
      <c r="Y396"/>
      <c r="Z396"/>
      <c r="AA396"/>
      <c r="AB396"/>
      <c r="AC396"/>
      <c r="AD396"/>
      <c r="AE396"/>
      <c r="AF396"/>
      <c r="AG396"/>
    </row>
    <row r="397" spans="1:33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X397"/>
      <c r="Y397"/>
      <c r="Z397"/>
      <c r="AA397"/>
      <c r="AB397"/>
      <c r="AC397"/>
      <c r="AD397"/>
      <c r="AE397"/>
      <c r="AF397"/>
      <c r="AG397"/>
    </row>
    <row r="398" spans="1:33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X398"/>
      <c r="Y398"/>
      <c r="Z398"/>
      <c r="AA398"/>
      <c r="AB398"/>
      <c r="AC398"/>
      <c r="AD398"/>
      <c r="AE398"/>
      <c r="AF398"/>
      <c r="AG398"/>
    </row>
    <row r="399" spans="1:33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X399"/>
      <c r="Y399"/>
      <c r="Z399"/>
      <c r="AA399"/>
      <c r="AB399"/>
      <c r="AC399"/>
      <c r="AD399"/>
      <c r="AE399"/>
      <c r="AF399"/>
      <c r="AG399"/>
    </row>
    <row r="400" spans="1:33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X400"/>
      <c r="Y400"/>
      <c r="Z400"/>
      <c r="AA400"/>
      <c r="AB400"/>
      <c r="AC400"/>
      <c r="AD400"/>
      <c r="AE400"/>
      <c r="AF400"/>
      <c r="AG400"/>
    </row>
    <row r="401" spans="1:33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X401"/>
      <c r="Y401"/>
      <c r="Z401"/>
      <c r="AA401"/>
      <c r="AB401"/>
      <c r="AC401"/>
      <c r="AD401"/>
      <c r="AE401"/>
      <c r="AF401"/>
      <c r="AG401"/>
    </row>
    <row r="402" spans="1:33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X402"/>
      <c r="Y402"/>
      <c r="Z402"/>
      <c r="AA402"/>
      <c r="AB402"/>
      <c r="AC402"/>
      <c r="AD402"/>
      <c r="AE402"/>
      <c r="AF402"/>
      <c r="AG402"/>
    </row>
    <row r="403" spans="1:33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X403"/>
      <c r="Y403"/>
      <c r="Z403"/>
      <c r="AA403"/>
      <c r="AB403"/>
      <c r="AC403"/>
      <c r="AD403"/>
      <c r="AE403"/>
      <c r="AF403"/>
      <c r="AG403"/>
    </row>
    <row r="404" spans="1:33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X404"/>
      <c r="Y404"/>
      <c r="Z404"/>
      <c r="AA404"/>
      <c r="AB404"/>
      <c r="AC404"/>
      <c r="AD404"/>
      <c r="AE404"/>
      <c r="AF404"/>
      <c r="AG404"/>
    </row>
    <row r="405" spans="1:33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X405"/>
      <c r="Y405"/>
      <c r="Z405"/>
      <c r="AA405"/>
      <c r="AB405"/>
      <c r="AC405"/>
      <c r="AD405"/>
      <c r="AE405"/>
      <c r="AF405"/>
      <c r="AG405"/>
    </row>
    <row r="406" spans="1:33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X406"/>
      <c r="Y406"/>
      <c r="Z406"/>
      <c r="AA406"/>
      <c r="AB406"/>
      <c r="AC406"/>
      <c r="AD406"/>
      <c r="AE406"/>
      <c r="AF406"/>
      <c r="AG406"/>
    </row>
    <row r="407" spans="1:33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X407"/>
      <c r="Y407"/>
      <c r="Z407"/>
      <c r="AA407"/>
      <c r="AB407"/>
      <c r="AC407"/>
      <c r="AD407"/>
      <c r="AE407"/>
      <c r="AF407"/>
      <c r="AG407"/>
    </row>
    <row r="408" spans="1:33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X408"/>
      <c r="Y408"/>
      <c r="Z408"/>
      <c r="AA408"/>
      <c r="AB408"/>
      <c r="AC408"/>
      <c r="AD408"/>
      <c r="AE408"/>
      <c r="AF408"/>
      <c r="AG408"/>
    </row>
    <row r="409" spans="1:33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X409"/>
      <c r="Y409"/>
      <c r="Z409"/>
      <c r="AA409"/>
      <c r="AB409"/>
      <c r="AC409"/>
      <c r="AD409"/>
      <c r="AE409"/>
      <c r="AF409"/>
      <c r="AG409"/>
    </row>
    <row r="410" spans="1:33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X410"/>
      <c r="Y410"/>
      <c r="Z410"/>
      <c r="AA410"/>
      <c r="AB410"/>
      <c r="AC410"/>
      <c r="AD410"/>
      <c r="AE410"/>
      <c r="AF410"/>
      <c r="AG410"/>
    </row>
    <row r="411" spans="1:33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X411"/>
      <c r="Y411"/>
      <c r="Z411"/>
      <c r="AA411"/>
      <c r="AB411"/>
      <c r="AC411"/>
      <c r="AD411"/>
      <c r="AE411"/>
      <c r="AF411"/>
      <c r="AG411"/>
    </row>
    <row r="412" spans="1:33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X412"/>
      <c r="Y412"/>
      <c r="Z412"/>
      <c r="AA412"/>
      <c r="AB412"/>
      <c r="AC412"/>
      <c r="AD412"/>
      <c r="AE412"/>
      <c r="AF412"/>
      <c r="AG412"/>
    </row>
    <row r="413" spans="1:33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X413"/>
      <c r="Y413"/>
      <c r="Z413"/>
      <c r="AA413"/>
      <c r="AB413"/>
      <c r="AC413"/>
      <c r="AD413"/>
      <c r="AE413"/>
      <c r="AF413"/>
      <c r="AG413"/>
    </row>
    <row r="414" spans="1:33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X414"/>
      <c r="Y414"/>
      <c r="Z414"/>
      <c r="AA414"/>
      <c r="AB414"/>
      <c r="AC414"/>
      <c r="AD414"/>
      <c r="AE414"/>
      <c r="AF414"/>
      <c r="AG414"/>
    </row>
    <row r="415" spans="1:33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X415"/>
      <c r="Y415"/>
      <c r="Z415"/>
      <c r="AA415"/>
      <c r="AB415"/>
      <c r="AC415"/>
      <c r="AD415"/>
      <c r="AE415"/>
      <c r="AF415"/>
      <c r="AG415"/>
    </row>
    <row r="416" spans="1:33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X416"/>
      <c r="Y416"/>
      <c r="Z416"/>
      <c r="AA416"/>
      <c r="AB416"/>
      <c r="AC416"/>
      <c r="AD416"/>
      <c r="AE416"/>
      <c r="AF416"/>
      <c r="AG416"/>
    </row>
    <row r="417" spans="1:33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X417"/>
      <c r="Y417"/>
      <c r="Z417"/>
      <c r="AA417"/>
      <c r="AB417"/>
      <c r="AC417"/>
      <c r="AD417"/>
      <c r="AE417"/>
      <c r="AF417"/>
      <c r="AG417"/>
    </row>
    <row r="418" spans="1:33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X418"/>
      <c r="Y418"/>
      <c r="Z418"/>
      <c r="AA418"/>
      <c r="AB418"/>
      <c r="AC418"/>
      <c r="AD418"/>
      <c r="AE418"/>
      <c r="AF418"/>
      <c r="AG418"/>
    </row>
    <row r="419" spans="1:33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X419"/>
      <c r="Y419"/>
      <c r="Z419"/>
      <c r="AA419"/>
      <c r="AB419"/>
      <c r="AC419"/>
      <c r="AD419"/>
      <c r="AE419"/>
      <c r="AF419"/>
      <c r="AG419"/>
    </row>
    <row r="420" spans="1:33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X420"/>
      <c r="Y420"/>
      <c r="Z420"/>
      <c r="AA420"/>
      <c r="AB420"/>
      <c r="AC420"/>
      <c r="AD420"/>
      <c r="AE420"/>
      <c r="AF420"/>
      <c r="AG420"/>
    </row>
    <row r="421" spans="1:33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X421"/>
      <c r="Y421"/>
      <c r="Z421"/>
      <c r="AA421"/>
      <c r="AB421"/>
      <c r="AC421"/>
      <c r="AD421"/>
      <c r="AE421"/>
      <c r="AF421"/>
      <c r="AG421"/>
    </row>
    <row r="422" spans="1:33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X422"/>
      <c r="Y422"/>
      <c r="Z422"/>
      <c r="AA422"/>
      <c r="AB422"/>
      <c r="AC422"/>
      <c r="AD422"/>
      <c r="AE422"/>
      <c r="AF422"/>
      <c r="AG422"/>
    </row>
    <row r="423" spans="1:33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X423"/>
      <c r="Y423"/>
      <c r="Z423"/>
      <c r="AA423"/>
      <c r="AB423"/>
      <c r="AC423"/>
      <c r="AD423"/>
      <c r="AE423"/>
      <c r="AF423"/>
      <c r="AG423"/>
    </row>
    <row r="424" spans="1:33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X424"/>
      <c r="Y424"/>
      <c r="Z424"/>
      <c r="AA424"/>
      <c r="AB424"/>
      <c r="AC424"/>
      <c r="AD424"/>
      <c r="AE424"/>
      <c r="AF424"/>
      <c r="AG424"/>
    </row>
    <row r="425" spans="1:33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X425"/>
      <c r="Y425"/>
      <c r="Z425"/>
      <c r="AA425"/>
      <c r="AB425"/>
      <c r="AC425"/>
      <c r="AD425"/>
      <c r="AE425"/>
      <c r="AF425"/>
      <c r="AG425"/>
    </row>
    <row r="426" spans="1:33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X426"/>
      <c r="Y426"/>
      <c r="Z426"/>
      <c r="AA426"/>
      <c r="AB426"/>
      <c r="AC426"/>
      <c r="AD426"/>
      <c r="AE426"/>
      <c r="AF426"/>
      <c r="AG426"/>
    </row>
    <row r="427" spans="1:33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X427"/>
      <c r="Y427"/>
      <c r="Z427"/>
      <c r="AA427"/>
      <c r="AB427"/>
      <c r="AC427"/>
      <c r="AD427"/>
      <c r="AE427"/>
      <c r="AF427"/>
      <c r="AG427"/>
    </row>
    <row r="428" spans="1:33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X428"/>
      <c r="Y428"/>
      <c r="Z428"/>
      <c r="AA428"/>
      <c r="AB428"/>
      <c r="AC428"/>
      <c r="AD428"/>
      <c r="AE428"/>
      <c r="AF428"/>
      <c r="AG428"/>
    </row>
    <row r="429" spans="1:33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X429"/>
      <c r="Y429"/>
      <c r="Z429"/>
      <c r="AA429"/>
      <c r="AB429"/>
      <c r="AC429"/>
      <c r="AD429"/>
      <c r="AE429"/>
      <c r="AF429"/>
      <c r="AG429"/>
    </row>
    <row r="430" spans="1:33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X430"/>
      <c r="Y430"/>
      <c r="Z430"/>
      <c r="AA430"/>
      <c r="AB430"/>
      <c r="AC430"/>
      <c r="AD430"/>
      <c r="AE430"/>
      <c r="AF430"/>
      <c r="AG430"/>
    </row>
    <row r="431" spans="1:33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X431"/>
      <c r="Y431"/>
      <c r="Z431"/>
      <c r="AA431"/>
      <c r="AB431"/>
      <c r="AC431"/>
      <c r="AD431"/>
      <c r="AE431"/>
      <c r="AF431"/>
      <c r="AG431"/>
    </row>
    <row r="432" spans="1:33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X432"/>
      <c r="Y432"/>
      <c r="Z432"/>
      <c r="AA432"/>
      <c r="AB432"/>
      <c r="AC432"/>
      <c r="AD432"/>
      <c r="AE432"/>
      <c r="AF432"/>
      <c r="AG432"/>
    </row>
    <row r="433" spans="1:33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X433"/>
      <c r="Y433"/>
      <c r="Z433"/>
      <c r="AA433"/>
      <c r="AB433"/>
      <c r="AC433"/>
      <c r="AD433"/>
      <c r="AE433"/>
      <c r="AF433"/>
      <c r="AG433"/>
    </row>
    <row r="434" spans="1:33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X434"/>
      <c r="Y434"/>
      <c r="Z434"/>
      <c r="AA434"/>
      <c r="AB434"/>
      <c r="AC434"/>
      <c r="AD434"/>
      <c r="AE434"/>
      <c r="AF434"/>
      <c r="AG434"/>
    </row>
    <row r="435" spans="1:33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X435"/>
      <c r="Y435"/>
      <c r="Z435"/>
      <c r="AA435"/>
      <c r="AB435"/>
      <c r="AC435"/>
      <c r="AD435"/>
      <c r="AE435"/>
      <c r="AF435"/>
      <c r="AG435"/>
    </row>
    <row r="436" spans="1:33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X436"/>
      <c r="Y436"/>
      <c r="Z436"/>
      <c r="AA436"/>
      <c r="AB436"/>
      <c r="AC436"/>
      <c r="AD436"/>
      <c r="AE436"/>
      <c r="AF436"/>
      <c r="AG436"/>
    </row>
    <row r="437" spans="1:33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X437"/>
      <c r="Y437"/>
      <c r="Z437"/>
      <c r="AA437"/>
      <c r="AB437"/>
      <c r="AC437"/>
      <c r="AD437"/>
      <c r="AE437"/>
      <c r="AF437"/>
      <c r="AG437"/>
    </row>
    <row r="438" spans="1:33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X438"/>
      <c r="Y438"/>
      <c r="Z438"/>
      <c r="AA438"/>
      <c r="AB438"/>
      <c r="AC438"/>
      <c r="AD438"/>
      <c r="AE438"/>
      <c r="AF438"/>
      <c r="AG438"/>
    </row>
    <row r="439" spans="1:33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X439"/>
      <c r="Y439"/>
      <c r="Z439"/>
      <c r="AA439"/>
      <c r="AB439"/>
      <c r="AC439"/>
      <c r="AD439"/>
      <c r="AE439"/>
      <c r="AF439"/>
      <c r="AG439"/>
    </row>
    <row r="440" spans="1:33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X440"/>
      <c r="Y440"/>
      <c r="Z440"/>
      <c r="AA440"/>
      <c r="AB440"/>
      <c r="AC440"/>
      <c r="AD440"/>
      <c r="AE440"/>
      <c r="AF440"/>
      <c r="AG440"/>
    </row>
    <row r="441" spans="1:33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X441"/>
      <c r="Y441"/>
      <c r="Z441"/>
      <c r="AA441"/>
      <c r="AB441"/>
      <c r="AC441"/>
      <c r="AD441"/>
      <c r="AE441"/>
      <c r="AF441"/>
      <c r="AG441"/>
    </row>
    <row r="442" spans="1:33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X442"/>
      <c r="Y442"/>
      <c r="Z442"/>
      <c r="AA442"/>
      <c r="AB442"/>
      <c r="AC442"/>
      <c r="AD442"/>
      <c r="AE442"/>
      <c r="AF442"/>
      <c r="AG442"/>
    </row>
    <row r="443" spans="1:33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X443"/>
      <c r="Y443"/>
      <c r="Z443"/>
      <c r="AA443"/>
      <c r="AB443"/>
      <c r="AC443"/>
      <c r="AD443"/>
      <c r="AE443"/>
      <c r="AF443"/>
      <c r="AG443"/>
    </row>
    <row r="444" spans="1:33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X444"/>
      <c r="Y444"/>
      <c r="Z444"/>
      <c r="AA444"/>
      <c r="AB444"/>
      <c r="AC444"/>
      <c r="AD444"/>
      <c r="AE444"/>
      <c r="AF444"/>
      <c r="AG444"/>
    </row>
    <row r="445" spans="1:33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X445"/>
      <c r="Y445"/>
      <c r="Z445"/>
      <c r="AA445"/>
      <c r="AB445"/>
      <c r="AC445"/>
      <c r="AD445"/>
      <c r="AE445"/>
      <c r="AF445"/>
      <c r="AG445"/>
    </row>
    <row r="446" spans="1:33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X446"/>
      <c r="Y446"/>
      <c r="Z446"/>
      <c r="AA446"/>
      <c r="AB446"/>
      <c r="AC446"/>
      <c r="AD446"/>
      <c r="AE446"/>
      <c r="AF446"/>
      <c r="AG446"/>
    </row>
    <row r="447" spans="1:33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X447"/>
      <c r="Y447"/>
      <c r="Z447"/>
      <c r="AA447"/>
      <c r="AB447"/>
      <c r="AC447"/>
      <c r="AD447"/>
      <c r="AE447"/>
      <c r="AF447"/>
      <c r="AG447"/>
    </row>
    <row r="448" spans="1:33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X448"/>
      <c r="Y448"/>
      <c r="Z448"/>
      <c r="AA448"/>
      <c r="AB448"/>
      <c r="AC448"/>
      <c r="AD448"/>
      <c r="AE448"/>
      <c r="AF448"/>
      <c r="AG448"/>
    </row>
    <row r="449" spans="1:33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X449"/>
      <c r="Y449"/>
      <c r="Z449"/>
      <c r="AA449"/>
      <c r="AB449"/>
      <c r="AC449"/>
      <c r="AD449"/>
      <c r="AE449"/>
      <c r="AF449"/>
      <c r="AG449"/>
    </row>
    <row r="450" spans="1:33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X450"/>
      <c r="Y450"/>
      <c r="Z450"/>
      <c r="AA450"/>
      <c r="AB450"/>
      <c r="AC450"/>
      <c r="AD450"/>
      <c r="AE450"/>
      <c r="AF450"/>
      <c r="AG450"/>
    </row>
    <row r="451" spans="1:33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X451"/>
      <c r="Y451"/>
      <c r="Z451"/>
      <c r="AA451"/>
      <c r="AB451"/>
      <c r="AC451"/>
      <c r="AD451"/>
      <c r="AE451"/>
      <c r="AF451"/>
      <c r="AG451"/>
    </row>
    <row r="452" spans="1:33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X452"/>
      <c r="Y452"/>
      <c r="Z452"/>
      <c r="AA452"/>
      <c r="AB452"/>
      <c r="AC452"/>
      <c r="AD452"/>
      <c r="AE452"/>
      <c r="AF452"/>
      <c r="AG452"/>
    </row>
    <row r="453" spans="1:33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X453"/>
      <c r="Y453"/>
      <c r="Z453"/>
      <c r="AA453"/>
      <c r="AB453"/>
      <c r="AC453"/>
      <c r="AD453"/>
      <c r="AE453"/>
      <c r="AF453"/>
      <c r="AG453"/>
    </row>
    <row r="454" spans="1:33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X454"/>
      <c r="Y454"/>
      <c r="Z454"/>
      <c r="AA454"/>
      <c r="AB454"/>
      <c r="AC454"/>
      <c r="AD454"/>
      <c r="AE454"/>
      <c r="AF454"/>
      <c r="AG454"/>
    </row>
    <row r="455" spans="1:33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X455"/>
      <c r="Y455"/>
      <c r="Z455"/>
      <c r="AA455"/>
      <c r="AB455"/>
      <c r="AC455"/>
      <c r="AD455"/>
      <c r="AE455"/>
      <c r="AF455"/>
      <c r="AG455"/>
    </row>
    <row r="456" spans="1:33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X456"/>
      <c r="Y456"/>
      <c r="Z456"/>
      <c r="AA456"/>
      <c r="AB456"/>
      <c r="AC456"/>
      <c r="AD456"/>
      <c r="AE456"/>
      <c r="AF456"/>
      <c r="AG456"/>
    </row>
    <row r="457" spans="1:33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X457"/>
      <c r="Y457"/>
      <c r="Z457"/>
      <c r="AA457"/>
      <c r="AB457"/>
      <c r="AC457"/>
      <c r="AD457"/>
      <c r="AE457"/>
      <c r="AF457"/>
      <c r="AG457"/>
    </row>
    <row r="458" spans="1:33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X458"/>
      <c r="Y458"/>
      <c r="Z458"/>
      <c r="AA458"/>
      <c r="AB458"/>
      <c r="AC458"/>
      <c r="AD458"/>
      <c r="AE458"/>
      <c r="AF458"/>
      <c r="AG458"/>
    </row>
    <row r="459" spans="1:33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X459"/>
      <c r="Y459"/>
      <c r="Z459"/>
      <c r="AA459"/>
      <c r="AB459"/>
      <c r="AC459"/>
      <c r="AD459"/>
      <c r="AE459"/>
      <c r="AF459"/>
      <c r="AG459"/>
    </row>
    <row r="460" spans="1:33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X460"/>
      <c r="Y460"/>
      <c r="Z460"/>
      <c r="AA460"/>
      <c r="AB460"/>
      <c r="AC460"/>
      <c r="AD460"/>
      <c r="AE460"/>
      <c r="AF460"/>
      <c r="AG460"/>
    </row>
    <row r="461" spans="1:33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X461"/>
      <c r="Y461"/>
      <c r="Z461"/>
      <c r="AA461"/>
      <c r="AB461"/>
      <c r="AC461"/>
      <c r="AD461"/>
      <c r="AE461"/>
      <c r="AF461"/>
      <c r="AG461"/>
    </row>
    <row r="462" spans="1:33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X462"/>
      <c r="Y462"/>
      <c r="Z462"/>
      <c r="AA462"/>
      <c r="AB462"/>
      <c r="AC462"/>
      <c r="AD462"/>
      <c r="AE462"/>
      <c r="AF462"/>
      <c r="AG462"/>
    </row>
    <row r="463" spans="1:33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X463"/>
      <c r="Y463"/>
      <c r="Z463"/>
      <c r="AA463"/>
      <c r="AB463"/>
      <c r="AC463"/>
      <c r="AD463"/>
      <c r="AE463"/>
      <c r="AF463"/>
      <c r="AG463"/>
    </row>
    <row r="464" spans="1:33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X464"/>
      <c r="Y464"/>
      <c r="Z464"/>
      <c r="AA464"/>
      <c r="AB464"/>
      <c r="AC464"/>
      <c r="AD464"/>
      <c r="AE464"/>
      <c r="AF464"/>
      <c r="AG464"/>
    </row>
    <row r="465" spans="1:33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X465"/>
      <c r="Y465"/>
      <c r="Z465"/>
      <c r="AA465"/>
      <c r="AB465"/>
      <c r="AC465"/>
      <c r="AD465"/>
      <c r="AE465"/>
      <c r="AF465"/>
      <c r="AG465"/>
    </row>
    <row r="466" spans="1:33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X466"/>
      <c r="Y466"/>
      <c r="Z466"/>
      <c r="AA466"/>
      <c r="AB466"/>
      <c r="AC466"/>
      <c r="AD466"/>
      <c r="AE466"/>
      <c r="AF466"/>
      <c r="AG466"/>
    </row>
    <row r="467" spans="1:33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X467"/>
      <c r="Y467"/>
      <c r="Z467"/>
      <c r="AA467"/>
      <c r="AB467"/>
      <c r="AC467"/>
      <c r="AD467"/>
      <c r="AE467"/>
      <c r="AF467"/>
      <c r="AG467"/>
    </row>
    <row r="468" spans="1:33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X468"/>
      <c r="Y468"/>
      <c r="Z468"/>
      <c r="AA468"/>
      <c r="AB468"/>
      <c r="AC468"/>
      <c r="AD468"/>
      <c r="AE468"/>
      <c r="AF468"/>
      <c r="AG468"/>
    </row>
    <row r="469" spans="1:33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X469"/>
      <c r="Y469"/>
      <c r="Z469"/>
      <c r="AA469"/>
      <c r="AB469"/>
      <c r="AC469"/>
      <c r="AD469"/>
      <c r="AE469"/>
      <c r="AF469"/>
      <c r="AG469"/>
    </row>
    <row r="470" spans="1:33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X470"/>
      <c r="Y470"/>
      <c r="Z470"/>
      <c r="AA470"/>
      <c r="AB470"/>
      <c r="AC470"/>
      <c r="AD470"/>
      <c r="AE470"/>
      <c r="AF470"/>
      <c r="AG470"/>
    </row>
    <row r="471" spans="1:33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X471"/>
      <c r="Y471"/>
      <c r="Z471"/>
      <c r="AA471"/>
      <c r="AB471"/>
      <c r="AC471"/>
      <c r="AD471"/>
      <c r="AE471"/>
      <c r="AF471"/>
      <c r="AG471"/>
    </row>
    <row r="472" spans="1:33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X472"/>
      <c r="Y472"/>
      <c r="Z472"/>
      <c r="AA472"/>
      <c r="AB472"/>
      <c r="AC472"/>
      <c r="AD472"/>
      <c r="AE472"/>
      <c r="AF472"/>
      <c r="AG472"/>
    </row>
    <row r="473" spans="1:33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X473"/>
      <c r="Y473"/>
      <c r="Z473"/>
      <c r="AA473"/>
      <c r="AB473"/>
      <c r="AC473"/>
      <c r="AD473"/>
      <c r="AE473"/>
      <c r="AF473"/>
      <c r="AG473"/>
    </row>
    <row r="474" spans="1:33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X474"/>
      <c r="Y474"/>
      <c r="Z474"/>
      <c r="AA474"/>
      <c r="AB474"/>
      <c r="AC474"/>
      <c r="AD474"/>
      <c r="AE474"/>
      <c r="AF474"/>
      <c r="AG474"/>
    </row>
    <row r="475" spans="1:33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X475"/>
      <c r="Y475"/>
      <c r="Z475"/>
      <c r="AA475"/>
      <c r="AB475"/>
      <c r="AC475"/>
      <c r="AD475"/>
      <c r="AE475"/>
      <c r="AF475"/>
      <c r="AG475"/>
    </row>
    <row r="476" spans="1:33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X476"/>
      <c r="Y476"/>
      <c r="Z476"/>
      <c r="AA476"/>
      <c r="AB476"/>
      <c r="AC476"/>
      <c r="AD476"/>
      <c r="AE476"/>
      <c r="AF476"/>
      <c r="AG476"/>
    </row>
    <row r="477" spans="1:33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X477"/>
      <c r="Y477"/>
      <c r="Z477"/>
      <c r="AA477"/>
      <c r="AB477"/>
      <c r="AC477"/>
      <c r="AD477"/>
      <c r="AE477"/>
      <c r="AF477"/>
      <c r="AG477"/>
    </row>
    <row r="478" spans="1:33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X478"/>
      <c r="Y478"/>
      <c r="Z478"/>
      <c r="AA478"/>
      <c r="AB478"/>
      <c r="AC478"/>
      <c r="AD478"/>
      <c r="AE478"/>
      <c r="AF478"/>
      <c r="AG478"/>
    </row>
    <row r="479" spans="1:33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X479"/>
      <c r="Y479"/>
      <c r="Z479"/>
      <c r="AA479"/>
      <c r="AB479"/>
      <c r="AC479"/>
      <c r="AD479"/>
      <c r="AE479"/>
      <c r="AF479"/>
      <c r="AG479"/>
    </row>
    <row r="480" spans="1:33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X480"/>
      <c r="Y480"/>
      <c r="Z480"/>
      <c r="AA480"/>
      <c r="AB480"/>
      <c r="AC480"/>
      <c r="AD480"/>
      <c r="AE480"/>
      <c r="AF480"/>
      <c r="AG480"/>
    </row>
    <row r="481" spans="1:33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X481"/>
      <c r="Y481"/>
      <c r="Z481"/>
      <c r="AA481"/>
      <c r="AB481"/>
      <c r="AC481"/>
      <c r="AD481"/>
      <c r="AE481"/>
      <c r="AF481"/>
      <c r="AG481"/>
    </row>
    <row r="482" spans="1:33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X482"/>
      <c r="Y482"/>
      <c r="Z482"/>
      <c r="AA482"/>
      <c r="AB482"/>
      <c r="AC482"/>
      <c r="AD482"/>
      <c r="AE482"/>
      <c r="AF482"/>
      <c r="AG482"/>
    </row>
    <row r="483" spans="1:33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X483"/>
      <c r="Y483"/>
      <c r="Z483"/>
      <c r="AA483"/>
      <c r="AB483"/>
      <c r="AC483"/>
      <c r="AD483"/>
      <c r="AE483"/>
      <c r="AF483"/>
      <c r="AG483"/>
    </row>
    <row r="484" spans="1:33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X484"/>
      <c r="Y484"/>
      <c r="Z484"/>
      <c r="AA484"/>
      <c r="AB484"/>
      <c r="AC484"/>
      <c r="AD484"/>
      <c r="AE484"/>
      <c r="AF484"/>
      <c r="AG484"/>
    </row>
    <row r="485" spans="1:33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X485"/>
      <c r="Y485"/>
      <c r="Z485"/>
      <c r="AA485"/>
      <c r="AB485"/>
      <c r="AC485"/>
      <c r="AD485"/>
      <c r="AE485"/>
      <c r="AF485"/>
      <c r="AG485"/>
    </row>
    <row r="486" spans="1:33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X486"/>
      <c r="Y486"/>
      <c r="Z486"/>
      <c r="AA486"/>
      <c r="AB486"/>
      <c r="AC486"/>
      <c r="AD486"/>
      <c r="AE486"/>
      <c r="AF486"/>
      <c r="AG486"/>
    </row>
    <row r="487" spans="1:33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X487"/>
      <c r="Y487"/>
      <c r="Z487"/>
      <c r="AA487"/>
      <c r="AB487"/>
      <c r="AC487"/>
      <c r="AD487"/>
      <c r="AE487"/>
      <c r="AF487"/>
      <c r="AG487"/>
    </row>
    <row r="488" spans="1:33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X488"/>
      <c r="Y488"/>
      <c r="Z488"/>
      <c r="AA488"/>
      <c r="AB488"/>
      <c r="AC488"/>
      <c r="AD488"/>
      <c r="AE488"/>
      <c r="AF488"/>
      <c r="AG488"/>
    </row>
    <row r="489" spans="1:33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X489"/>
      <c r="Y489"/>
      <c r="Z489"/>
      <c r="AA489"/>
      <c r="AB489"/>
      <c r="AC489"/>
      <c r="AD489"/>
      <c r="AE489"/>
      <c r="AF489"/>
      <c r="AG489"/>
    </row>
    <row r="490" spans="1:33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X490"/>
      <c r="Y490"/>
      <c r="Z490"/>
      <c r="AA490"/>
      <c r="AB490"/>
      <c r="AC490"/>
      <c r="AD490"/>
      <c r="AE490"/>
      <c r="AF490"/>
      <c r="AG490"/>
    </row>
    <row r="491" spans="1:33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X491"/>
      <c r="Y491"/>
      <c r="Z491"/>
      <c r="AA491"/>
      <c r="AB491"/>
      <c r="AC491"/>
      <c r="AD491"/>
      <c r="AE491"/>
      <c r="AF491"/>
      <c r="AG491"/>
    </row>
    <row r="492" spans="1:33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X492"/>
      <c r="Y492"/>
      <c r="Z492"/>
      <c r="AA492"/>
      <c r="AB492"/>
      <c r="AC492"/>
      <c r="AD492"/>
      <c r="AE492"/>
      <c r="AF492"/>
      <c r="AG492"/>
    </row>
    <row r="493" spans="1:33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X493"/>
      <c r="Y493"/>
      <c r="Z493"/>
      <c r="AA493"/>
      <c r="AB493"/>
      <c r="AC493"/>
      <c r="AD493"/>
      <c r="AE493"/>
      <c r="AF493"/>
      <c r="AG493"/>
    </row>
    <row r="494" spans="1:33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X494"/>
      <c r="Y494"/>
      <c r="Z494"/>
      <c r="AA494"/>
      <c r="AB494"/>
      <c r="AC494"/>
      <c r="AD494"/>
      <c r="AE494"/>
      <c r="AF494"/>
      <c r="AG494"/>
    </row>
    <row r="495" spans="1:33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X495"/>
      <c r="Y495"/>
      <c r="Z495"/>
      <c r="AA495"/>
      <c r="AB495"/>
      <c r="AC495"/>
      <c r="AD495"/>
      <c r="AE495"/>
      <c r="AF495"/>
      <c r="AG495"/>
    </row>
    <row r="496" spans="1:33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X496"/>
      <c r="Y496"/>
      <c r="Z496"/>
      <c r="AA496"/>
      <c r="AB496"/>
      <c r="AC496"/>
      <c r="AD496"/>
      <c r="AE496"/>
      <c r="AF496"/>
      <c r="AG496"/>
    </row>
    <row r="497" spans="1:33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X497"/>
      <c r="Y497"/>
      <c r="Z497"/>
      <c r="AA497"/>
      <c r="AB497"/>
      <c r="AC497"/>
      <c r="AD497"/>
      <c r="AE497"/>
      <c r="AF497"/>
      <c r="AG497"/>
    </row>
    <row r="498" spans="1:33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X498"/>
      <c r="Y498"/>
      <c r="Z498"/>
      <c r="AA498"/>
      <c r="AB498"/>
      <c r="AC498"/>
      <c r="AD498"/>
      <c r="AE498"/>
      <c r="AF498"/>
      <c r="AG498"/>
    </row>
    <row r="499" spans="1:33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X499"/>
      <c r="Y499"/>
      <c r="Z499"/>
      <c r="AA499"/>
      <c r="AB499"/>
      <c r="AC499"/>
      <c r="AD499"/>
      <c r="AE499"/>
      <c r="AF499"/>
      <c r="AG499"/>
    </row>
    <row r="500" spans="1:33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X500"/>
      <c r="Y500"/>
      <c r="Z500"/>
      <c r="AA500"/>
      <c r="AB500"/>
      <c r="AC500"/>
      <c r="AD500"/>
      <c r="AE500"/>
      <c r="AF500"/>
      <c r="AG500"/>
    </row>
    <row r="501" spans="1:33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X501"/>
      <c r="Y501"/>
      <c r="Z501"/>
      <c r="AA501"/>
      <c r="AB501"/>
      <c r="AC501"/>
      <c r="AD501"/>
      <c r="AE501"/>
      <c r="AF501"/>
      <c r="AG501"/>
    </row>
    <row r="502" spans="1:33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X502"/>
      <c r="Y502"/>
      <c r="Z502"/>
      <c r="AA502"/>
      <c r="AB502"/>
      <c r="AC502"/>
      <c r="AD502"/>
      <c r="AE502"/>
      <c r="AF502"/>
      <c r="AG502"/>
    </row>
    <row r="503" spans="1:33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X503"/>
      <c r="Y503"/>
      <c r="Z503"/>
      <c r="AA503"/>
      <c r="AB503"/>
      <c r="AC503"/>
      <c r="AD503"/>
      <c r="AE503"/>
      <c r="AF503"/>
      <c r="AG503"/>
    </row>
    <row r="504" spans="1:33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X504"/>
      <c r="Y504"/>
      <c r="Z504"/>
      <c r="AA504"/>
      <c r="AB504"/>
      <c r="AC504"/>
      <c r="AD504"/>
      <c r="AE504"/>
      <c r="AF504"/>
      <c r="AG504"/>
    </row>
    <row r="505" spans="1:33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X505"/>
      <c r="Y505"/>
      <c r="Z505"/>
      <c r="AA505"/>
      <c r="AB505"/>
      <c r="AC505"/>
      <c r="AD505"/>
      <c r="AE505"/>
      <c r="AF505"/>
      <c r="AG505"/>
    </row>
    <row r="506" spans="1:33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X506"/>
      <c r="Y506"/>
      <c r="Z506"/>
      <c r="AA506"/>
      <c r="AB506"/>
      <c r="AC506"/>
      <c r="AD506"/>
      <c r="AE506"/>
      <c r="AF506"/>
      <c r="AG506"/>
    </row>
    <row r="507" spans="1:33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X507"/>
      <c r="Y507"/>
      <c r="Z507"/>
      <c r="AA507"/>
      <c r="AB507"/>
      <c r="AC507"/>
      <c r="AD507"/>
      <c r="AE507"/>
      <c r="AF507"/>
      <c r="AG507"/>
    </row>
    <row r="508" spans="1:33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X508"/>
      <c r="Y508"/>
      <c r="Z508"/>
      <c r="AA508"/>
      <c r="AB508"/>
      <c r="AC508"/>
      <c r="AD508"/>
      <c r="AE508"/>
      <c r="AF508"/>
      <c r="AG508"/>
    </row>
    <row r="509" spans="1:33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X509"/>
      <c r="Y509"/>
      <c r="Z509"/>
      <c r="AA509"/>
      <c r="AB509"/>
      <c r="AC509"/>
      <c r="AD509"/>
      <c r="AE509"/>
      <c r="AF509"/>
      <c r="AG509"/>
    </row>
    <row r="510" spans="1:33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X510"/>
      <c r="Y510"/>
      <c r="Z510"/>
      <c r="AA510"/>
      <c r="AB510"/>
      <c r="AC510"/>
      <c r="AD510"/>
      <c r="AE510"/>
      <c r="AF510"/>
      <c r="AG510"/>
    </row>
    <row r="511" spans="1:33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X511"/>
      <c r="Y511"/>
      <c r="Z511"/>
      <c r="AA511"/>
      <c r="AB511"/>
      <c r="AC511"/>
      <c r="AD511"/>
      <c r="AE511"/>
      <c r="AF511"/>
      <c r="AG511"/>
    </row>
    <row r="512" spans="1:33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X512"/>
      <c r="Y512"/>
      <c r="Z512"/>
      <c r="AA512"/>
      <c r="AB512"/>
      <c r="AC512"/>
      <c r="AD512"/>
      <c r="AE512"/>
      <c r="AF512"/>
      <c r="AG512"/>
    </row>
    <row r="513" spans="1:33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X513"/>
      <c r="Y513"/>
      <c r="Z513"/>
      <c r="AA513"/>
      <c r="AB513"/>
      <c r="AC513"/>
      <c r="AD513"/>
      <c r="AE513"/>
      <c r="AF513"/>
      <c r="AG513"/>
    </row>
    <row r="514" spans="1:33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X514"/>
      <c r="Y514"/>
      <c r="Z514"/>
      <c r="AA514"/>
      <c r="AB514"/>
      <c r="AC514"/>
      <c r="AD514"/>
      <c r="AE514"/>
      <c r="AF514"/>
      <c r="AG514"/>
    </row>
    <row r="515" spans="1:33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X515"/>
      <c r="Y515"/>
      <c r="Z515"/>
      <c r="AA515"/>
      <c r="AB515"/>
      <c r="AC515"/>
      <c r="AD515"/>
      <c r="AE515"/>
      <c r="AF515"/>
      <c r="AG515"/>
    </row>
    <row r="516" spans="1:33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X516"/>
      <c r="Y516"/>
      <c r="Z516"/>
      <c r="AA516"/>
      <c r="AB516"/>
      <c r="AC516"/>
      <c r="AD516"/>
      <c r="AE516"/>
      <c r="AF516"/>
      <c r="AG516"/>
    </row>
    <row r="517" spans="1:33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X517"/>
      <c r="Y517"/>
      <c r="Z517"/>
      <c r="AA517"/>
      <c r="AB517"/>
      <c r="AC517"/>
      <c r="AD517"/>
      <c r="AE517"/>
      <c r="AF517"/>
      <c r="AG517"/>
    </row>
    <row r="518" spans="1:33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X518"/>
      <c r="Y518"/>
      <c r="Z518"/>
      <c r="AA518"/>
      <c r="AB518"/>
      <c r="AC518"/>
      <c r="AD518"/>
      <c r="AE518"/>
      <c r="AF518"/>
      <c r="AG518"/>
    </row>
    <row r="519" spans="1:33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X519"/>
      <c r="Y519"/>
      <c r="Z519"/>
      <c r="AA519"/>
      <c r="AB519"/>
      <c r="AC519"/>
      <c r="AD519"/>
      <c r="AE519"/>
      <c r="AF519"/>
      <c r="AG519"/>
    </row>
    <row r="520" spans="1:33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X520"/>
      <c r="Y520"/>
      <c r="Z520"/>
      <c r="AA520"/>
      <c r="AB520"/>
      <c r="AC520"/>
      <c r="AD520"/>
      <c r="AE520"/>
      <c r="AF520"/>
      <c r="AG520"/>
    </row>
    <row r="521" spans="1:33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X521"/>
      <c r="Y521"/>
      <c r="Z521"/>
      <c r="AA521"/>
      <c r="AB521"/>
      <c r="AC521"/>
      <c r="AD521"/>
      <c r="AE521"/>
      <c r="AF521"/>
      <c r="AG521"/>
    </row>
    <row r="522" spans="1:33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X522"/>
      <c r="Y522"/>
      <c r="Z522"/>
      <c r="AA522"/>
      <c r="AB522"/>
      <c r="AC522"/>
      <c r="AD522"/>
      <c r="AE522"/>
      <c r="AF522"/>
      <c r="AG522"/>
    </row>
    <row r="523" spans="1:33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X523"/>
      <c r="Y523"/>
      <c r="Z523"/>
      <c r="AA523"/>
      <c r="AB523"/>
      <c r="AC523"/>
      <c r="AD523"/>
      <c r="AE523"/>
      <c r="AF523"/>
      <c r="AG523"/>
    </row>
    <row r="524" spans="1:33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X524"/>
      <c r="Y524"/>
      <c r="Z524"/>
      <c r="AA524"/>
      <c r="AB524"/>
      <c r="AC524"/>
      <c r="AD524"/>
      <c r="AE524"/>
      <c r="AF524"/>
      <c r="AG524"/>
    </row>
    <row r="525" spans="1:33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X525"/>
      <c r="Y525"/>
      <c r="Z525"/>
      <c r="AA525"/>
      <c r="AB525"/>
      <c r="AC525"/>
      <c r="AD525"/>
      <c r="AE525"/>
      <c r="AF525"/>
      <c r="AG525"/>
    </row>
    <row r="526" spans="1:33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X526"/>
      <c r="Y526"/>
      <c r="Z526"/>
      <c r="AA526"/>
      <c r="AB526"/>
      <c r="AC526"/>
      <c r="AD526"/>
      <c r="AE526"/>
      <c r="AF526"/>
      <c r="AG526"/>
    </row>
    <row r="527" spans="1:33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X527"/>
      <c r="Y527"/>
      <c r="Z527"/>
      <c r="AA527"/>
      <c r="AB527"/>
      <c r="AC527"/>
      <c r="AD527"/>
      <c r="AE527"/>
      <c r="AF527"/>
      <c r="AG527"/>
    </row>
    <row r="528" spans="1:33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X528"/>
      <c r="Y528"/>
      <c r="Z528"/>
      <c r="AA528"/>
      <c r="AB528"/>
      <c r="AC528"/>
      <c r="AD528"/>
      <c r="AE528"/>
      <c r="AF528"/>
      <c r="AG528"/>
    </row>
    <row r="529" spans="1:33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X529"/>
      <c r="Y529"/>
      <c r="Z529"/>
      <c r="AA529"/>
      <c r="AB529"/>
      <c r="AC529"/>
      <c r="AD529"/>
      <c r="AE529"/>
      <c r="AF529"/>
      <c r="AG529"/>
    </row>
    <row r="530" spans="1:33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X530"/>
      <c r="Y530"/>
      <c r="Z530"/>
      <c r="AA530"/>
      <c r="AB530"/>
      <c r="AC530"/>
      <c r="AD530"/>
      <c r="AE530"/>
      <c r="AF530"/>
      <c r="AG530"/>
    </row>
    <row r="531" spans="1:33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X531"/>
      <c r="Y531"/>
      <c r="Z531"/>
      <c r="AA531"/>
      <c r="AB531"/>
      <c r="AC531"/>
      <c r="AD531"/>
      <c r="AE531"/>
      <c r="AF531"/>
      <c r="AG531"/>
    </row>
    <row r="532" spans="1:33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X532"/>
      <c r="Y532"/>
      <c r="Z532"/>
      <c r="AA532"/>
      <c r="AB532"/>
      <c r="AC532"/>
      <c r="AD532"/>
      <c r="AE532"/>
      <c r="AF532"/>
      <c r="AG532"/>
    </row>
    <row r="533" spans="1:33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X533"/>
      <c r="Y533"/>
      <c r="Z533"/>
      <c r="AA533"/>
      <c r="AB533"/>
      <c r="AC533"/>
      <c r="AD533"/>
      <c r="AE533"/>
      <c r="AF533"/>
      <c r="AG533"/>
    </row>
    <row r="534" spans="1:33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X534"/>
      <c r="Y534"/>
      <c r="Z534"/>
      <c r="AA534"/>
      <c r="AB534"/>
      <c r="AC534"/>
      <c r="AD534"/>
      <c r="AE534"/>
      <c r="AF534"/>
      <c r="AG534"/>
    </row>
    <row r="535" spans="1:33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X535"/>
      <c r="Y535"/>
      <c r="Z535"/>
      <c r="AA535"/>
      <c r="AB535"/>
      <c r="AC535"/>
      <c r="AD535"/>
      <c r="AE535"/>
      <c r="AF535"/>
      <c r="AG535"/>
    </row>
    <row r="536" spans="1:33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X536"/>
      <c r="Y536"/>
      <c r="Z536"/>
      <c r="AA536"/>
      <c r="AB536"/>
      <c r="AC536"/>
      <c r="AD536"/>
      <c r="AE536"/>
      <c r="AF536"/>
      <c r="AG536"/>
    </row>
    <row r="537" spans="1:33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X537"/>
      <c r="Y537"/>
      <c r="Z537"/>
      <c r="AA537"/>
      <c r="AB537"/>
      <c r="AC537"/>
      <c r="AD537"/>
      <c r="AE537"/>
      <c r="AF537"/>
      <c r="AG537"/>
    </row>
    <row r="538" spans="1:33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X538"/>
      <c r="Y538"/>
      <c r="Z538"/>
      <c r="AA538"/>
      <c r="AB538"/>
      <c r="AC538"/>
      <c r="AD538"/>
      <c r="AE538"/>
      <c r="AF538"/>
      <c r="AG538"/>
    </row>
    <row r="539" spans="1:33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X539"/>
      <c r="Y539"/>
      <c r="Z539"/>
      <c r="AA539"/>
      <c r="AB539"/>
      <c r="AC539"/>
      <c r="AD539"/>
      <c r="AE539"/>
      <c r="AF539"/>
      <c r="AG539"/>
    </row>
    <row r="540" spans="1:33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X540"/>
      <c r="Y540"/>
      <c r="Z540"/>
      <c r="AA540"/>
      <c r="AB540"/>
      <c r="AC540"/>
      <c r="AD540"/>
      <c r="AE540"/>
      <c r="AF540"/>
      <c r="AG540"/>
    </row>
    <row r="541" spans="1:33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X541"/>
      <c r="Y541"/>
      <c r="Z541"/>
      <c r="AA541"/>
      <c r="AB541"/>
      <c r="AC541"/>
      <c r="AD541"/>
      <c r="AE541"/>
      <c r="AF541"/>
      <c r="AG541"/>
    </row>
    <row r="542" spans="1:33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X542"/>
      <c r="Y542"/>
      <c r="Z542"/>
      <c r="AA542"/>
      <c r="AB542"/>
      <c r="AC542"/>
      <c r="AD542"/>
      <c r="AE542"/>
      <c r="AF542"/>
      <c r="AG542"/>
    </row>
    <row r="543" spans="1:33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X543"/>
      <c r="Y543"/>
      <c r="Z543"/>
      <c r="AA543"/>
      <c r="AB543"/>
      <c r="AC543"/>
      <c r="AD543"/>
      <c r="AE543"/>
      <c r="AF543"/>
      <c r="AG543"/>
    </row>
    <row r="544" spans="1:33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X544"/>
      <c r="Y544"/>
      <c r="Z544"/>
      <c r="AA544"/>
      <c r="AB544"/>
      <c r="AC544"/>
      <c r="AD544"/>
      <c r="AE544"/>
      <c r="AF544"/>
      <c r="AG544"/>
    </row>
    <row r="545" spans="1:33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X545"/>
      <c r="Y545"/>
      <c r="Z545"/>
      <c r="AA545"/>
      <c r="AB545"/>
      <c r="AC545"/>
      <c r="AD545"/>
      <c r="AE545"/>
      <c r="AF545"/>
      <c r="AG545"/>
    </row>
    <row r="546" spans="1:33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X546"/>
      <c r="Y546"/>
      <c r="Z546"/>
      <c r="AA546"/>
      <c r="AB546"/>
      <c r="AC546"/>
      <c r="AD546"/>
      <c r="AE546"/>
      <c r="AF546"/>
      <c r="AG546"/>
    </row>
    <row r="547" spans="1:33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X547"/>
      <c r="Y547"/>
      <c r="Z547"/>
      <c r="AA547"/>
      <c r="AB547"/>
      <c r="AC547"/>
      <c r="AD547"/>
      <c r="AE547"/>
      <c r="AF547"/>
      <c r="AG547"/>
    </row>
    <row r="548" spans="1:33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X548"/>
      <c r="Y548"/>
      <c r="Z548"/>
      <c r="AA548"/>
      <c r="AB548"/>
      <c r="AC548"/>
      <c r="AD548"/>
      <c r="AE548"/>
      <c r="AF548"/>
      <c r="AG548"/>
    </row>
    <row r="549" spans="1:33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X549"/>
      <c r="Y549"/>
      <c r="Z549"/>
      <c r="AA549"/>
      <c r="AB549"/>
      <c r="AC549"/>
      <c r="AD549"/>
      <c r="AE549"/>
      <c r="AF549"/>
      <c r="AG549"/>
    </row>
    <row r="550" spans="1:33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X550"/>
      <c r="Y550"/>
      <c r="Z550"/>
      <c r="AA550"/>
      <c r="AB550"/>
      <c r="AC550"/>
      <c r="AD550"/>
      <c r="AE550"/>
      <c r="AF550"/>
      <c r="AG550"/>
    </row>
    <row r="551" spans="1:33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X551"/>
      <c r="Y551"/>
      <c r="Z551"/>
      <c r="AA551"/>
      <c r="AB551"/>
      <c r="AC551"/>
      <c r="AD551"/>
      <c r="AE551"/>
      <c r="AF551"/>
      <c r="AG551"/>
    </row>
    <row r="552" spans="1:33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X552"/>
      <c r="Y552"/>
      <c r="Z552"/>
      <c r="AA552"/>
      <c r="AB552"/>
      <c r="AC552"/>
      <c r="AD552"/>
      <c r="AE552"/>
      <c r="AF552"/>
      <c r="AG552"/>
    </row>
    <row r="553" spans="1:33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X553"/>
      <c r="Y553"/>
      <c r="Z553"/>
      <c r="AA553"/>
      <c r="AB553"/>
      <c r="AC553"/>
      <c r="AD553"/>
      <c r="AE553"/>
      <c r="AF553"/>
      <c r="AG553"/>
    </row>
    <row r="554" spans="1:33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X554"/>
      <c r="Y554"/>
      <c r="Z554"/>
      <c r="AA554"/>
      <c r="AB554"/>
      <c r="AC554"/>
      <c r="AD554"/>
      <c r="AE554"/>
      <c r="AF554"/>
      <c r="AG554"/>
    </row>
    <row r="555" spans="1:33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X555"/>
      <c r="Y555"/>
      <c r="Z555"/>
      <c r="AA555"/>
      <c r="AB555"/>
      <c r="AC555"/>
      <c r="AD555"/>
      <c r="AE555"/>
      <c r="AF555"/>
      <c r="AG555"/>
    </row>
    <row r="556" spans="1:33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X556"/>
      <c r="Y556"/>
      <c r="Z556"/>
      <c r="AA556"/>
      <c r="AB556"/>
      <c r="AC556"/>
      <c r="AD556"/>
      <c r="AE556"/>
      <c r="AF556"/>
      <c r="AG556"/>
    </row>
    <row r="557" spans="1:33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X557"/>
      <c r="Y557"/>
      <c r="Z557"/>
      <c r="AA557"/>
      <c r="AB557"/>
      <c r="AC557"/>
      <c r="AD557"/>
      <c r="AE557"/>
      <c r="AF557"/>
      <c r="AG557"/>
    </row>
    <row r="558" spans="1:33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X558"/>
      <c r="Y558"/>
      <c r="Z558"/>
      <c r="AA558"/>
      <c r="AB558"/>
      <c r="AC558"/>
      <c r="AD558"/>
      <c r="AE558"/>
      <c r="AF558"/>
      <c r="AG558"/>
    </row>
    <row r="559" spans="1:33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X559"/>
      <c r="Y559"/>
      <c r="Z559"/>
      <c r="AA559"/>
      <c r="AB559"/>
      <c r="AC559"/>
      <c r="AD559"/>
      <c r="AE559"/>
      <c r="AF559"/>
      <c r="AG559"/>
    </row>
    <row r="560" spans="1:33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X560"/>
      <c r="Y560"/>
      <c r="Z560"/>
      <c r="AA560"/>
      <c r="AB560"/>
      <c r="AC560"/>
      <c r="AD560"/>
      <c r="AE560"/>
      <c r="AF560"/>
      <c r="AG560"/>
    </row>
    <row r="561" spans="1:33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X561"/>
      <c r="Y561"/>
      <c r="Z561"/>
      <c r="AA561"/>
      <c r="AB561"/>
      <c r="AC561"/>
      <c r="AD561"/>
      <c r="AE561"/>
      <c r="AF561"/>
      <c r="AG561"/>
    </row>
    <row r="562" spans="1:33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X562"/>
      <c r="Y562"/>
      <c r="Z562"/>
      <c r="AA562"/>
      <c r="AB562"/>
      <c r="AC562"/>
      <c r="AD562"/>
      <c r="AE562"/>
      <c r="AF562"/>
      <c r="AG562"/>
    </row>
    <row r="563" spans="1:33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X563"/>
      <c r="Y563"/>
      <c r="Z563"/>
      <c r="AA563"/>
      <c r="AB563"/>
      <c r="AC563"/>
      <c r="AD563"/>
      <c r="AE563"/>
      <c r="AF563"/>
      <c r="AG563"/>
    </row>
    <row r="564" spans="1:33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X564"/>
      <c r="Y564"/>
      <c r="Z564"/>
      <c r="AA564"/>
      <c r="AB564"/>
      <c r="AC564"/>
      <c r="AD564"/>
      <c r="AE564"/>
      <c r="AF564"/>
      <c r="AG564"/>
    </row>
    <row r="565" spans="1:33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X565"/>
      <c r="Y565"/>
      <c r="Z565"/>
      <c r="AA565"/>
      <c r="AB565"/>
      <c r="AC565"/>
      <c r="AD565"/>
      <c r="AE565"/>
      <c r="AF565"/>
      <c r="AG565"/>
    </row>
    <row r="566" spans="1:33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X566"/>
      <c r="Y566"/>
      <c r="Z566"/>
      <c r="AA566"/>
      <c r="AB566"/>
      <c r="AC566"/>
      <c r="AD566"/>
      <c r="AE566"/>
      <c r="AF566"/>
      <c r="AG566"/>
    </row>
    <row r="567" spans="1:33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X567"/>
      <c r="Y567"/>
      <c r="Z567"/>
      <c r="AA567"/>
      <c r="AB567"/>
      <c r="AC567"/>
      <c r="AD567"/>
      <c r="AE567"/>
      <c r="AF567"/>
      <c r="AG567"/>
    </row>
    <row r="568" spans="1:33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X568"/>
      <c r="Y568"/>
      <c r="Z568"/>
      <c r="AA568"/>
      <c r="AB568"/>
      <c r="AC568"/>
      <c r="AD568"/>
      <c r="AE568"/>
      <c r="AF568"/>
      <c r="AG568"/>
    </row>
    <row r="569" spans="1:33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X569"/>
      <c r="Y569"/>
      <c r="Z569"/>
      <c r="AA569"/>
      <c r="AB569"/>
      <c r="AC569"/>
      <c r="AD569"/>
      <c r="AE569"/>
      <c r="AF569"/>
      <c r="AG569"/>
    </row>
    <row r="570" spans="1:33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X570"/>
      <c r="Y570"/>
      <c r="Z570"/>
      <c r="AA570"/>
      <c r="AB570"/>
      <c r="AC570"/>
      <c r="AD570"/>
      <c r="AE570"/>
      <c r="AF570"/>
      <c r="AG570"/>
    </row>
    <row r="571" spans="1:33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X571"/>
      <c r="Y571"/>
      <c r="Z571"/>
      <c r="AA571"/>
      <c r="AB571"/>
      <c r="AC571"/>
      <c r="AD571"/>
      <c r="AE571"/>
      <c r="AF571"/>
      <c r="AG571"/>
    </row>
    <row r="572" spans="1:33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X572"/>
      <c r="Y572"/>
      <c r="Z572"/>
      <c r="AA572"/>
      <c r="AB572"/>
      <c r="AC572"/>
      <c r="AD572"/>
      <c r="AE572"/>
      <c r="AF572"/>
      <c r="AG572"/>
    </row>
    <row r="573" spans="1:33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X573"/>
      <c r="Y573"/>
      <c r="Z573"/>
      <c r="AA573"/>
      <c r="AB573"/>
      <c r="AC573"/>
      <c r="AD573"/>
      <c r="AE573"/>
      <c r="AF573"/>
      <c r="AG573"/>
    </row>
    <row r="574" spans="1:33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X574"/>
      <c r="Y574"/>
      <c r="Z574"/>
      <c r="AA574"/>
      <c r="AB574"/>
      <c r="AC574"/>
      <c r="AD574"/>
      <c r="AE574"/>
      <c r="AF574"/>
      <c r="AG574"/>
    </row>
    <row r="575" spans="1:33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X575"/>
      <c r="Y575"/>
      <c r="Z575"/>
      <c r="AA575"/>
      <c r="AB575"/>
      <c r="AC575"/>
      <c r="AD575"/>
      <c r="AE575"/>
      <c r="AF575"/>
      <c r="AG575"/>
    </row>
    <row r="576" spans="1:33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X576"/>
      <c r="Y576"/>
      <c r="Z576"/>
      <c r="AA576"/>
      <c r="AB576"/>
      <c r="AC576"/>
      <c r="AD576"/>
      <c r="AE576"/>
      <c r="AF576"/>
      <c r="AG576"/>
    </row>
    <row r="577" spans="1:33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X577"/>
      <c r="Y577"/>
      <c r="Z577"/>
      <c r="AA577"/>
      <c r="AB577"/>
      <c r="AC577"/>
      <c r="AD577"/>
      <c r="AE577"/>
      <c r="AF577"/>
      <c r="AG577"/>
    </row>
    <row r="578" spans="1:33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X578"/>
      <c r="Y578"/>
      <c r="Z578"/>
      <c r="AA578"/>
      <c r="AB578"/>
      <c r="AC578"/>
      <c r="AD578"/>
      <c r="AE578"/>
      <c r="AF578"/>
      <c r="AG578"/>
    </row>
    <row r="579" spans="1:33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X579"/>
      <c r="Y579"/>
      <c r="Z579"/>
      <c r="AA579"/>
      <c r="AB579"/>
      <c r="AC579"/>
      <c r="AD579"/>
      <c r="AE579"/>
      <c r="AF579"/>
      <c r="AG579"/>
    </row>
    <row r="580" spans="1:33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X580"/>
      <c r="Y580"/>
      <c r="Z580"/>
      <c r="AA580"/>
      <c r="AB580"/>
      <c r="AC580"/>
      <c r="AD580"/>
      <c r="AE580"/>
      <c r="AF580"/>
      <c r="AG580"/>
    </row>
    <row r="581" spans="1:33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X581"/>
      <c r="Y581"/>
      <c r="Z581"/>
      <c r="AA581"/>
      <c r="AB581"/>
      <c r="AC581"/>
      <c r="AD581"/>
      <c r="AE581"/>
      <c r="AF581"/>
      <c r="AG581"/>
    </row>
    <row r="582" spans="1:33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X582"/>
      <c r="Y582"/>
      <c r="Z582"/>
      <c r="AA582"/>
      <c r="AB582"/>
      <c r="AC582"/>
      <c r="AD582"/>
      <c r="AE582"/>
      <c r="AF582"/>
      <c r="AG582"/>
    </row>
    <row r="583" spans="1:33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X583"/>
      <c r="Y583"/>
      <c r="Z583"/>
      <c r="AA583"/>
      <c r="AB583"/>
      <c r="AC583"/>
      <c r="AD583"/>
      <c r="AE583"/>
      <c r="AF583"/>
      <c r="AG583"/>
    </row>
    <row r="584" spans="1:33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X584"/>
      <c r="Y584"/>
      <c r="Z584"/>
      <c r="AA584"/>
      <c r="AB584"/>
      <c r="AC584"/>
      <c r="AD584"/>
      <c r="AE584"/>
      <c r="AF584"/>
      <c r="AG584"/>
    </row>
    <row r="585" spans="1:33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X585"/>
      <c r="Y585"/>
      <c r="Z585"/>
      <c r="AA585"/>
      <c r="AB585"/>
      <c r="AC585"/>
      <c r="AD585"/>
      <c r="AE585"/>
      <c r="AF585"/>
      <c r="AG585"/>
    </row>
    <row r="586" spans="1:33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X586"/>
      <c r="Y586"/>
      <c r="Z586"/>
      <c r="AA586"/>
      <c r="AB586"/>
      <c r="AC586"/>
      <c r="AD586"/>
      <c r="AE586"/>
      <c r="AF586"/>
      <c r="AG586"/>
    </row>
    <row r="587" spans="1:33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X587"/>
      <c r="Y587"/>
      <c r="Z587"/>
      <c r="AA587"/>
      <c r="AB587"/>
      <c r="AC587"/>
      <c r="AD587"/>
      <c r="AE587"/>
      <c r="AF587"/>
      <c r="AG587"/>
    </row>
    <row r="588" spans="1:33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X588"/>
      <c r="Y588"/>
      <c r="Z588"/>
      <c r="AA588"/>
      <c r="AB588"/>
      <c r="AC588"/>
      <c r="AD588"/>
      <c r="AE588"/>
      <c r="AF588"/>
      <c r="AG588"/>
    </row>
    <row r="589" spans="1:33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X589"/>
      <c r="Y589"/>
      <c r="Z589"/>
      <c r="AA589"/>
      <c r="AB589"/>
      <c r="AC589"/>
      <c r="AD589"/>
      <c r="AE589"/>
      <c r="AF589"/>
      <c r="AG589"/>
    </row>
    <row r="590" spans="1:33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X590"/>
      <c r="Y590"/>
      <c r="Z590"/>
      <c r="AA590"/>
      <c r="AB590"/>
      <c r="AC590"/>
      <c r="AD590"/>
      <c r="AE590"/>
      <c r="AF590"/>
      <c r="AG590"/>
    </row>
    <row r="591" spans="1:33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X591"/>
      <c r="Y591"/>
      <c r="Z591"/>
      <c r="AA591"/>
      <c r="AB591"/>
      <c r="AC591"/>
      <c r="AD591"/>
      <c r="AE591"/>
      <c r="AF591"/>
      <c r="AG591"/>
    </row>
    <row r="592" spans="1:33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X592"/>
      <c r="Y592"/>
      <c r="Z592"/>
      <c r="AA592"/>
      <c r="AB592"/>
      <c r="AC592"/>
      <c r="AD592"/>
      <c r="AE592"/>
      <c r="AF592"/>
      <c r="AG592"/>
    </row>
    <row r="593" spans="1:33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X593"/>
      <c r="Y593"/>
      <c r="Z593"/>
      <c r="AA593"/>
      <c r="AB593"/>
      <c r="AC593"/>
      <c r="AD593"/>
      <c r="AE593"/>
      <c r="AF593"/>
      <c r="AG593"/>
    </row>
    <row r="594" spans="1:33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X594"/>
      <c r="Y594"/>
      <c r="Z594"/>
      <c r="AA594"/>
      <c r="AB594"/>
      <c r="AC594"/>
      <c r="AD594"/>
      <c r="AE594"/>
      <c r="AF594"/>
      <c r="AG594"/>
    </row>
    <row r="595" spans="1:33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X595"/>
      <c r="Y595"/>
      <c r="Z595"/>
      <c r="AA595"/>
      <c r="AB595"/>
      <c r="AC595"/>
      <c r="AD595"/>
      <c r="AE595"/>
      <c r="AF595"/>
      <c r="AG595"/>
    </row>
    <row r="596" spans="1:33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X596"/>
      <c r="Y596"/>
      <c r="Z596"/>
      <c r="AA596"/>
      <c r="AB596"/>
      <c r="AC596"/>
      <c r="AD596"/>
      <c r="AE596"/>
      <c r="AF596"/>
      <c r="AG596"/>
    </row>
    <row r="597" spans="1:33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X597"/>
      <c r="Y597"/>
      <c r="Z597"/>
      <c r="AA597"/>
      <c r="AB597"/>
      <c r="AC597"/>
      <c r="AD597"/>
      <c r="AE597"/>
      <c r="AF597"/>
      <c r="AG597"/>
    </row>
    <row r="598" spans="1:33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X598"/>
      <c r="Y598"/>
      <c r="Z598"/>
      <c r="AA598"/>
      <c r="AB598"/>
      <c r="AC598"/>
      <c r="AD598"/>
      <c r="AE598"/>
      <c r="AF598"/>
      <c r="AG598"/>
    </row>
    <row r="599" spans="1:33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X599"/>
      <c r="Y599"/>
      <c r="Z599"/>
      <c r="AA599"/>
      <c r="AB599"/>
      <c r="AC599"/>
      <c r="AD599"/>
      <c r="AE599"/>
      <c r="AF599"/>
      <c r="AG599"/>
    </row>
    <row r="600" spans="1:33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X600"/>
      <c r="Y600"/>
      <c r="Z600"/>
      <c r="AA600"/>
      <c r="AB600"/>
      <c r="AC600"/>
      <c r="AD600"/>
      <c r="AE600"/>
      <c r="AF600"/>
      <c r="AG600"/>
    </row>
    <row r="601" spans="1:33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X601"/>
      <c r="Y601"/>
      <c r="Z601"/>
      <c r="AA601"/>
      <c r="AB601"/>
      <c r="AC601"/>
      <c r="AD601"/>
      <c r="AE601"/>
      <c r="AF601"/>
      <c r="AG601"/>
    </row>
    <row r="602" spans="1:33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X602"/>
      <c r="Y602"/>
      <c r="Z602"/>
      <c r="AA602"/>
      <c r="AB602"/>
      <c r="AC602"/>
      <c r="AD602"/>
      <c r="AE602"/>
      <c r="AF602"/>
      <c r="AG602"/>
    </row>
    <row r="603" spans="1:33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X603"/>
      <c r="Y603"/>
      <c r="Z603"/>
      <c r="AA603"/>
      <c r="AB603"/>
      <c r="AC603"/>
      <c r="AD603"/>
      <c r="AE603"/>
      <c r="AF603"/>
      <c r="AG603"/>
    </row>
    <row r="604" spans="1:33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X604"/>
      <c r="Y604"/>
      <c r="Z604"/>
      <c r="AA604"/>
      <c r="AB604"/>
      <c r="AC604"/>
      <c r="AD604"/>
      <c r="AE604"/>
      <c r="AF604"/>
      <c r="AG604"/>
    </row>
    <row r="605" spans="1:33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X605"/>
      <c r="Y605"/>
      <c r="Z605"/>
      <c r="AA605"/>
      <c r="AB605"/>
      <c r="AC605"/>
      <c r="AD605"/>
      <c r="AE605"/>
      <c r="AF605"/>
      <c r="AG605"/>
    </row>
    <row r="606" spans="1:33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X606"/>
      <c r="Y606"/>
      <c r="Z606"/>
      <c r="AA606"/>
      <c r="AB606"/>
      <c r="AC606"/>
      <c r="AD606"/>
      <c r="AE606"/>
      <c r="AF606"/>
      <c r="AG606"/>
    </row>
    <row r="607" spans="1:33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X607"/>
      <c r="Y607"/>
      <c r="Z607"/>
      <c r="AA607"/>
      <c r="AB607"/>
      <c r="AC607"/>
      <c r="AD607"/>
      <c r="AE607"/>
      <c r="AF607"/>
      <c r="AG607"/>
    </row>
    <row r="608" spans="1:33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X608"/>
      <c r="Y608"/>
      <c r="Z608"/>
      <c r="AA608"/>
      <c r="AB608"/>
      <c r="AC608"/>
      <c r="AD608"/>
      <c r="AE608"/>
      <c r="AF608"/>
      <c r="AG608"/>
    </row>
    <row r="609" spans="1:33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X609"/>
      <c r="Y609"/>
      <c r="Z609"/>
      <c r="AA609"/>
      <c r="AB609"/>
      <c r="AC609"/>
      <c r="AD609"/>
      <c r="AE609"/>
      <c r="AF609"/>
      <c r="AG609"/>
    </row>
    <row r="610" spans="1:33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X610"/>
      <c r="Y610"/>
      <c r="Z610"/>
      <c r="AA610"/>
      <c r="AB610"/>
      <c r="AC610"/>
      <c r="AD610"/>
      <c r="AE610"/>
      <c r="AF610"/>
      <c r="AG610"/>
    </row>
    <row r="611" spans="1:33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X611"/>
      <c r="Y611"/>
      <c r="Z611"/>
      <c r="AA611"/>
      <c r="AB611"/>
      <c r="AC611"/>
      <c r="AD611"/>
      <c r="AE611"/>
      <c r="AF611"/>
      <c r="AG611"/>
    </row>
    <row r="612" spans="1:33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X612"/>
      <c r="Y612"/>
      <c r="Z612"/>
      <c r="AA612"/>
      <c r="AB612"/>
      <c r="AC612"/>
      <c r="AD612"/>
      <c r="AE612"/>
      <c r="AF612"/>
      <c r="AG612"/>
    </row>
    <row r="613" spans="1:33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X613"/>
      <c r="Y613"/>
      <c r="Z613"/>
      <c r="AA613"/>
      <c r="AB613"/>
      <c r="AC613"/>
      <c r="AD613"/>
      <c r="AE613"/>
      <c r="AF613"/>
      <c r="AG613"/>
    </row>
    <row r="614" spans="1:33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X614"/>
      <c r="Y614"/>
      <c r="Z614"/>
      <c r="AA614"/>
      <c r="AB614"/>
      <c r="AC614"/>
      <c r="AD614"/>
      <c r="AE614"/>
      <c r="AF614"/>
      <c r="AG614"/>
    </row>
    <row r="615" spans="1:33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X615"/>
      <c r="Y615"/>
      <c r="Z615"/>
      <c r="AA615"/>
      <c r="AB615"/>
      <c r="AC615"/>
      <c r="AD615"/>
      <c r="AE615"/>
      <c r="AF615"/>
      <c r="AG615"/>
    </row>
    <row r="616" spans="1:33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X616"/>
      <c r="Y616"/>
      <c r="Z616"/>
      <c r="AA616"/>
      <c r="AB616"/>
      <c r="AC616"/>
      <c r="AD616"/>
      <c r="AE616"/>
      <c r="AF616"/>
      <c r="AG616"/>
    </row>
  </sheetData>
  <mergeCells count="1">
    <mergeCell ref="AC1:A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558BC-BE3A-4B43-8B5E-79ADE89C8FBA}">
  <dimension ref="A1:AH616"/>
  <sheetViews>
    <sheetView zoomScale="85" zoomScaleNormal="85" workbookViewId="0">
      <pane xSplit="1" topLeftCell="B1" activePane="topRight" state="frozen"/>
      <selection activeCell="A555" sqref="A555"/>
      <selection pane="topRight" activeCell="E15" sqref="E15"/>
    </sheetView>
  </sheetViews>
  <sheetFormatPr defaultRowHeight="15.75" x14ac:dyDescent="0.25"/>
  <cols>
    <col min="1" max="1" width="35.625" style="82" customWidth="1"/>
    <col min="2" max="2" width="18.75" style="77" customWidth="1"/>
    <col min="3" max="3" width="15.625" style="66" customWidth="1"/>
    <col min="4" max="4" width="20.125" style="4" customWidth="1"/>
    <col min="5" max="5" width="16.75" style="4" customWidth="1"/>
    <col min="6" max="6" width="16.75" style="14" customWidth="1"/>
    <col min="7" max="7" width="12" style="9" customWidth="1"/>
    <col min="8" max="10" width="15.75" style="1" customWidth="1"/>
    <col min="11" max="11" width="22.125" style="3" customWidth="1"/>
    <col min="12" max="12" width="18.25" style="24" customWidth="1"/>
    <col min="13" max="13" width="18.25" style="46" customWidth="1"/>
    <col min="14" max="14" width="18.25" style="48" customWidth="1"/>
    <col min="15" max="15" width="18.25" style="23" customWidth="1"/>
    <col min="16" max="16" width="16.5" style="11" customWidth="1"/>
    <col min="17" max="17" width="13.625" style="3" customWidth="1"/>
    <col min="18" max="18" width="16.5" style="3" customWidth="1"/>
    <col min="19" max="19" width="16.5" style="22" customWidth="1"/>
    <col min="20" max="20" width="15.875" style="9" customWidth="1"/>
    <col min="21" max="21" width="28.625" style="5" customWidth="1"/>
    <col min="22" max="22" width="15.625" style="6" customWidth="1"/>
    <col min="23" max="23" width="17.75" customWidth="1"/>
    <col min="24" max="24" width="16.375" style="7" customWidth="1"/>
    <col min="25" max="25" width="14" style="9" customWidth="1"/>
    <col min="26" max="26" width="12.625" style="3" customWidth="1"/>
    <col min="27" max="27" width="14" style="78" customWidth="1"/>
    <col min="28" max="28" width="17" style="58" customWidth="1"/>
    <col min="29" max="29" width="14.375" style="46" customWidth="1"/>
    <col min="30" max="31" width="14.375" style="48" customWidth="1"/>
    <col min="32" max="32" width="14.375" style="47" customWidth="1"/>
    <col min="33" max="33" width="14.375" style="50" customWidth="1"/>
    <col min="34" max="34" width="9" style="6"/>
  </cols>
  <sheetData>
    <row r="1" spans="1:34" s="28" customFormat="1" ht="49.5" customHeight="1" x14ac:dyDescent="0.25">
      <c r="A1" s="26" t="s">
        <v>6972</v>
      </c>
      <c r="B1" s="27"/>
      <c r="F1" s="29"/>
      <c r="G1" s="32" t="s">
        <v>2286</v>
      </c>
      <c r="H1" s="28" t="s">
        <v>2272</v>
      </c>
      <c r="I1" s="28" t="s">
        <v>2273</v>
      </c>
      <c r="J1" s="28" t="s">
        <v>2274</v>
      </c>
      <c r="K1" s="30" t="s">
        <v>4</v>
      </c>
      <c r="L1" s="26" t="s">
        <v>5</v>
      </c>
      <c r="M1" s="60" t="s">
        <v>6973</v>
      </c>
      <c r="N1" s="56" t="s">
        <v>6974</v>
      </c>
      <c r="O1" s="57" t="s">
        <v>6975</v>
      </c>
      <c r="P1" s="32"/>
      <c r="Q1" s="30" t="s">
        <v>2280</v>
      </c>
      <c r="R1" s="28" t="s">
        <v>2278</v>
      </c>
      <c r="S1" s="29" t="s">
        <v>2279</v>
      </c>
      <c r="T1" s="27" t="s">
        <v>6</v>
      </c>
      <c r="U1" s="26"/>
      <c r="V1" s="27"/>
      <c r="W1" s="30"/>
      <c r="X1" s="26"/>
      <c r="Y1" s="27"/>
      <c r="Z1" s="43"/>
      <c r="AA1" s="30"/>
      <c r="AB1" s="26"/>
      <c r="AC1" s="87" t="s">
        <v>6967</v>
      </c>
      <c r="AD1" s="88"/>
      <c r="AE1" s="88"/>
      <c r="AF1" s="89"/>
      <c r="AG1" s="33"/>
      <c r="AH1" s="32"/>
    </row>
    <row r="2" spans="1:34" s="48" customFormat="1" ht="21" customHeight="1" x14ac:dyDescent="0.25">
      <c r="A2" s="8" t="s">
        <v>6964</v>
      </c>
      <c r="B2" s="53"/>
      <c r="D2" s="1"/>
      <c r="E2" s="1"/>
      <c r="F2" s="10"/>
      <c r="G2" s="49"/>
      <c r="H2" s="1">
        <v>0</v>
      </c>
      <c r="I2" s="1">
        <v>0.05</v>
      </c>
      <c r="J2" s="1">
        <v>0</v>
      </c>
      <c r="K2" s="1">
        <v>0.15</v>
      </c>
      <c r="L2" s="10">
        <v>0.25</v>
      </c>
      <c r="M2" s="49">
        <v>0.1</v>
      </c>
      <c r="N2" s="1">
        <v>0.1</v>
      </c>
      <c r="O2" s="1">
        <v>0.1</v>
      </c>
      <c r="P2" s="49"/>
      <c r="Q2" s="1">
        <v>0.1</v>
      </c>
      <c r="R2" s="1">
        <v>0.1</v>
      </c>
      <c r="S2" s="10">
        <v>0.1</v>
      </c>
      <c r="T2" s="49">
        <v>0.05</v>
      </c>
      <c r="U2" s="47"/>
      <c r="V2" s="46"/>
      <c r="X2" s="47"/>
      <c r="Y2" s="49"/>
      <c r="Z2" s="1"/>
      <c r="AA2" s="54"/>
      <c r="AB2" s="55"/>
      <c r="AC2" s="51" t="s">
        <v>6964</v>
      </c>
      <c r="AD2" s="25" t="s">
        <v>6965</v>
      </c>
      <c r="AE2" s="25" t="s">
        <v>6969</v>
      </c>
      <c r="AF2" s="52" t="s">
        <v>6966</v>
      </c>
      <c r="AG2" s="50"/>
      <c r="AH2" s="46"/>
    </row>
    <row r="3" spans="1:34" s="48" customFormat="1" ht="21" customHeight="1" x14ac:dyDescent="0.25">
      <c r="A3" s="8" t="s">
        <v>6965</v>
      </c>
      <c r="B3" s="53"/>
      <c r="D3" s="1"/>
      <c r="E3" s="1"/>
      <c r="F3" s="10"/>
      <c r="G3" s="49"/>
      <c r="H3" s="1">
        <v>0.3</v>
      </c>
      <c r="I3" s="1">
        <v>0.2</v>
      </c>
      <c r="J3" s="1">
        <v>0.05</v>
      </c>
      <c r="K3" s="1">
        <v>0.05</v>
      </c>
      <c r="L3" s="10">
        <v>4.9999999999999933E-2</v>
      </c>
      <c r="M3" s="49">
        <v>0</v>
      </c>
      <c r="N3" s="1">
        <v>0</v>
      </c>
      <c r="O3" s="1">
        <v>0</v>
      </c>
      <c r="P3" s="49"/>
      <c r="Q3" s="1">
        <v>0.2</v>
      </c>
      <c r="R3" s="1">
        <v>0.1</v>
      </c>
      <c r="S3" s="10">
        <v>0.05</v>
      </c>
      <c r="T3" s="49">
        <v>0.05</v>
      </c>
      <c r="U3" s="47"/>
      <c r="V3" s="46"/>
      <c r="X3" s="47"/>
      <c r="Y3" s="49"/>
      <c r="Z3" s="1"/>
      <c r="AA3" s="54"/>
      <c r="AB3" s="55"/>
      <c r="AC3" s="37">
        <v>3</v>
      </c>
      <c r="AD3" s="38">
        <v>10</v>
      </c>
      <c r="AE3" s="38">
        <v>2</v>
      </c>
      <c r="AF3" s="41">
        <v>3</v>
      </c>
      <c r="AG3" s="50"/>
      <c r="AH3" s="46"/>
    </row>
    <row r="4" spans="1:34" s="48" customFormat="1" ht="21" customHeight="1" x14ac:dyDescent="0.25">
      <c r="A4" s="8" t="s">
        <v>6969</v>
      </c>
      <c r="B4" s="53"/>
      <c r="D4" s="1"/>
      <c r="E4" s="1"/>
      <c r="F4" s="10"/>
      <c r="G4" s="49"/>
      <c r="H4" s="1">
        <v>0</v>
      </c>
      <c r="I4" s="1">
        <v>0.15</v>
      </c>
      <c r="J4" s="1">
        <v>0.35</v>
      </c>
      <c r="K4" s="1">
        <v>0.05</v>
      </c>
      <c r="L4" s="10">
        <v>0</v>
      </c>
      <c r="M4" s="49">
        <v>0</v>
      </c>
      <c r="N4" s="1">
        <v>0</v>
      </c>
      <c r="O4" s="1">
        <v>0</v>
      </c>
      <c r="P4" s="49"/>
      <c r="Q4" s="1">
        <v>0.15</v>
      </c>
      <c r="R4" s="1">
        <v>0.15</v>
      </c>
      <c r="S4" s="10">
        <v>0.1</v>
      </c>
      <c r="T4" s="49">
        <v>0</v>
      </c>
      <c r="U4" s="47"/>
      <c r="V4" s="46"/>
      <c r="X4" s="47"/>
      <c r="Y4" s="49"/>
      <c r="Z4" s="1"/>
      <c r="AA4" s="54"/>
      <c r="AB4" s="55"/>
      <c r="AC4" s="46"/>
      <c r="AF4" s="47"/>
      <c r="AG4" s="50"/>
      <c r="AH4" s="46"/>
    </row>
    <row r="5" spans="1:34" s="48" customFormat="1" ht="21" customHeight="1" x14ac:dyDescent="0.25">
      <c r="A5" s="8" t="s">
        <v>6966</v>
      </c>
      <c r="B5" s="53"/>
      <c r="D5" s="1"/>
      <c r="E5" s="1"/>
      <c r="F5" s="10"/>
      <c r="G5" s="49"/>
      <c r="H5" s="1">
        <v>0.05</v>
      </c>
      <c r="I5" s="1">
        <v>0.2</v>
      </c>
      <c r="J5" s="1">
        <v>0</v>
      </c>
      <c r="K5" s="1">
        <v>0.1</v>
      </c>
      <c r="L5" s="10">
        <v>0.1</v>
      </c>
      <c r="M5" s="49">
        <v>0.05</v>
      </c>
      <c r="N5" s="1">
        <v>0.05</v>
      </c>
      <c r="O5" s="1">
        <v>0.1</v>
      </c>
      <c r="P5" s="49"/>
      <c r="Q5" s="1">
        <v>0.1</v>
      </c>
      <c r="R5" s="1">
        <v>0.1</v>
      </c>
      <c r="S5" s="10">
        <v>0.1</v>
      </c>
      <c r="T5" s="49">
        <v>0.05</v>
      </c>
      <c r="U5" s="47"/>
      <c r="V5" s="46"/>
      <c r="X5" s="47"/>
      <c r="Y5" s="49"/>
      <c r="Z5" s="1"/>
      <c r="AA5" s="54"/>
      <c r="AB5" s="55"/>
      <c r="AC5" s="46"/>
      <c r="AF5" s="47"/>
      <c r="AG5" s="50"/>
      <c r="AH5" s="46"/>
    </row>
    <row r="6" spans="1:34" s="48" customFormat="1" ht="21" customHeight="1" x14ac:dyDescent="0.25">
      <c r="A6" s="8"/>
      <c r="B6" s="53"/>
      <c r="D6" s="1"/>
      <c r="E6" s="1"/>
      <c r="F6" s="10"/>
      <c r="G6" s="49"/>
      <c r="H6" s="1"/>
      <c r="I6" s="1"/>
      <c r="J6" s="1"/>
      <c r="K6" s="1"/>
      <c r="L6" s="10"/>
      <c r="M6" s="49"/>
      <c r="N6" s="1"/>
      <c r="O6" s="1"/>
      <c r="P6" s="49"/>
      <c r="Q6" s="1"/>
      <c r="R6" s="1"/>
      <c r="S6" s="10"/>
      <c r="T6" s="49"/>
      <c r="U6" s="47"/>
      <c r="V6" s="46"/>
      <c r="X6" s="47"/>
      <c r="Y6" s="49"/>
      <c r="Z6" s="1"/>
      <c r="AA6" s="54"/>
      <c r="AB6" s="55"/>
      <c r="AC6" s="46"/>
      <c r="AF6" s="47"/>
      <c r="AG6" s="50"/>
      <c r="AH6" s="46"/>
    </row>
    <row r="7" spans="1:34" s="48" customFormat="1" ht="21" customHeight="1" x14ac:dyDescent="0.25">
      <c r="A7" s="8" t="s">
        <v>6970</v>
      </c>
      <c r="B7" s="53"/>
      <c r="D7" s="1"/>
      <c r="E7" s="1"/>
      <c r="F7" s="10"/>
      <c r="G7" s="49"/>
      <c r="H7" s="1">
        <v>0.85</v>
      </c>
      <c r="I7" s="1">
        <v>0.9</v>
      </c>
      <c r="J7" s="1">
        <v>0.8</v>
      </c>
      <c r="K7" s="1">
        <v>0.9</v>
      </c>
      <c r="L7" s="10">
        <v>0.9</v>
      </c>
      <c r="M7" s="49">
        <v>0.85</v>
      </c>
      <c r="N7" s="1">
        <v>0.85</v>
      </c>
      <c r="O7" s="1">
        <v>0.8</v>
      </c>
      <c r="P7" s="49"/>
      <c r="Q7" s="1">
        <v>0.65</v>
      </c>
      <c r="R7" s="1">
        <v>0.75</v>
      </c>
      <c r="S7" s="10">
        <v>0.8</v>
      </c>
      <c r="T7" s="49">
        <v>-0.5</v>
      </c>
      <c r="U7" s="47"/>
      <c r="V7" s="46"/>
      <c r="X7" s="47"/>
      <c r="Y7" s="49"/>
      <c r="Z7" s="1"/>
      <c r="AA7" s="54"/>
      <c r="AB7" s="55"/>
      <c r="AC7" s="46"/>
      <c r="AF7" s="47"/>
      <c r="AG7" s="50"/>
      <c r="AH7" s="46"/>
    </row>
    <row r="8" spans="1:34" s="28" customFormat="1" ht="49.5" customHeight="1" x14ac:dyDescent="0.25">
      <c r="A8" s="26" t="s">
        <v>442</v>
      </c>
      <c r="B8" s="27" t="s">
        <v>0</v>
      </c>
      <c r="C8" s="28" t="s">
        <v>2270</v>
      </c>
      <c r="D8" s="28" t="s">
        <v>424</v>
      </c>
      <c r="E8" s="28" t="s">
        <v>426</v>
      </c>
      <c r="F8" s="29" t="s">
        <v>8860</v>
      </c>
      <c r="G8" s="32" t="s">
        <v>2286</v>
      </c>
      <c r="H8" s="28" t="s">
        <v>2272</v>
      </c>
      <c r="I8" s="28" t="s">
        <v>2273</v>
      </c>
      <c r="J8" s="28" t="s">
        <v>2274</v>
      </c>
      <c r="K8" s="30" t="s">
        <v>4</v>
      </c>
      <c r="L8" s="26" t="s">
        <v>5</v>
      </c>
      <c r="M8" s="60" t="s">
        <v>6973</v>
      </c>
      <c r="N8" s="56" t="s">
        <v>6974</v>
      </c>
      <c r="O8" s="57" t="s">
        <v>6975</v>
      </c>
      <c r="P8" s="32" t="s">
        <v>4323</v>
      </c>
      <c r="Q8" s="30" t="s">
        <v>2280</v>
      </c>
      <c r="R8" s="28" t="s">
        <v>2278</v>
      </c>
      <c r="S8" s="29" t="s">
        <v>2279</v>
      </c>
      <c r="T8" s="27" t="s">
        <v>6</v>
      </c>
      <c r="U8" s="26" t="s">
        <v>2281</v>
      </c>
      <c r="V8" s="27" t="s">
        <v>2282</v>
      </c>
      <c r="W8" s="30" t="s">
        <v>2283</v>
      </c>
      <c r="X8" s="26" t="s">
        <v>2284</v>
      </c>
      <c r="Y8" s="27" t="s">
        <v>1</v>
      </c>
      <c r="Z8" s="43" t="s">
        <v>2</v>
      </c>
      <c r="AA8" s="30" t="s">
        <v>414</v>
      </c>
      <c r="AB8" s="26" t="s">
        <v>2271</v>
      </c>
      <c r="AC8" s="32" t="s">
        <v>421</v>
      </c>
      <c r="AD8" s="28" t="s">
        <v>422</v>
      </c>
      <c r="AE8" s="28" t="s">
        <v>8794</v>
      </c>
      <c r="AF8" s="29" t="s">
        <v>423</v>
      </c>
      <c r="AG8" s="33" t="s">
        <v>440</v>
      </c>
      <c r="AH8" s="32"/>
    </row>
    <row r="9" spans="1:34" x14ac:dyDescent="0.25">
      <c r="A9" s="81" t="s">
        <v>2246</v>
      </c>
      <c r="B9" s="20" t="s">
        <v>2248</v>
      </c>
      <c r="C9" s="4" t="s">
        <v>8853</v>
      </c>
      <c r="D9" s="4" t="str">
        <f t="shared" ref="D9:D71" si="0">LEFT(AB9, FIND(" ", AB9 &amp; " ") - 1)</f>
        <v>ASUS</v>
      </c>
      <c r="E9" s="4" t="s">
        <v>8854</v>
      </c>
      <c r="F9" s="14" t="s">
        <v>8861</v>
      </c>
      <c r="G9" s="9">
        <v>1</v>
      </c>
      <c r="H9" s="1">
        <v>7.08</v>
      </c>
      <c r="I9" s="1">
        <v>7.08</v>
      </c>
      <c r="J9" s="1">
        <v>0.11</v>
      </c>
      <c r="K9" s="3">
        <v>1750</v>
      </c>
      <c r="L9" s="3">
        <v>1750</v>
      </c>
      <c r="M9" s="49">
        <v>33.340000000000003</v>
      </c>
      <c r="N9" s="1">
        <v>75.02</v>
      </c>
      <c r="O9" s="3">
        <v>20</v>
      </c>
      <c r="P9" s="11" t="s">
        <v>2275</v>
      </c>
      <c r="Q9" s="3">
        <v>6</v>
      </c>
      <c r="R9" s="3">
        <v>96</v>
      </c>
      <c r="S9" s="22">
        <v>14</v>
      </c>
      <c r="T9" s="9">
        <v>70</v>
      </c>
      <c r="U9" s="14" t="s">
        <v>635</v>
      </c>
      <c r="V9" s="12">
        <v>4</v>
      </c>
      <c r="W9" s="75">
        <v>16</v>
      </c>
      <c r="X9" s="76">
        <v>8</v>
      </c>
      <c r="Y9" s="9">
        <v>192.9</v>
      </c>
      <c r="Z9" s="3">
        <v>277</v>
      </c>
      <c r="AA9" s="17" t="s">
        <v>2247</v>
      </c>
      <c r="AB9" s="18" t="s">
        <v>2246</v>
      </c>
      <c r="AC9" s="46">
        <v>1</v>
      </c>
      <c r="AD9" s="48">
        <v>1</v>
      </c>
      <c r="AE9" s="48">
        <v>1</v>
      </c>
      <c r="AF9" s="47">
        <v>1</v>
      </c>
      <c r="AG9" s="50" cm="1">
        <f t="array" ref="AG9">SUMPRODUCT(AC9:AF9 * AC$3:AF$3) / SUM(AC$3:AF$3)</f>
        <v>1</v>
      </c>
    </row>
    <row r="10" spans="1:34" x14ac:dyDescent="0.25">
      <c r="A10" s="81" t="s">
        <v>2240</v>
      </c>
      <c r="B10" s="20" t="s">
        <v>2242</v>
      </c>
      <c r="C10" s="4" t="s">
        <v>8853</v>
      </c>
      <c r="D10" s="4" t="str">
        <f t="shared" si="0"/>
        <v>ASUS</v>
      </c>
      <c r="E10" s="4" t="s">
        <v>8854</v>
      </c>
      <c r="F10" s="14" t="s">
        <v>8861</v>
      </c>
      <c r="G10" s="9">
        <v>1</v>
      </c>
      <c r="H10" s="1">
        <v>6.91</v>
      </c>
      <c r="I10" s="1">
        <v>6.91</v>
      </c>
      <c r="J10" s="1">
        <v>0.11</v>
      </c>
      <c r="K10" s="3">
        <v>1750</v>
      </c>
      <c r="L10" s="3">
        <v>1750</v>
      </c>
      <c r="M10" s="49">
        <v>33.340000000000003</v>
      </c>
      <c r="N10" s="1">
        <v>75.02</v>
      </c>
      <c r="O10" s="3">
        <v>20</v>
      </c>
      <c r="P10" s="11" t="s">
        <v>2275</v>
      </c>
      <c r="Q10" s="3">
        <v>6</v>
      </c>
      <c r="R10" s="3">
        <v>96</v>
      </c>
      <c r="S10" s="22">
        <v>14</v>
      </c>
      <c r="T10" s="9">
        <v>70</v>
      </c>
      <c r="U10" s="14" t="s">
        <v>635</v>
      </c>
      <c r="V10" s="12">
        <v>4</v>
      </c>
      <c r="W10" s="75">
        <v>16</v>
      </c>
      <c r="X10" s="76">
        <v>8</v>
      </c>
      <c r="Y10" s="9">
        <v>229.03</v>
      </c>
      <c r="Z10" s="3">
        <v>229.03</v>
      </c>
      <c r="AA10" s="17" t="s">
        <v>2241</v>
      </c>
      <c r="AB10" s="18" t="s">
        <v>2240</v>
      </c>
      <c r="AC10" s="46" cm="1">
        <f t="array" ref="AC10">(SUMPRODUCT((H10:O10/H$9:O$9)^H$7:O$7*H$2:O$2)+SUMPRODUCT((Q10:T10/Q$9:T$9)^Q$7:T$7*Q$2:T$2))*(0.8^(1-G10))*AC$9</f>
        <v>1.098918182737731</v>
      </c>
      <c r="AD10" s="48" cm="1">
        <f t="array" ref="AD10">(SUMPRODUCT((H10:O10/H$9:O$9)^H$7:O$7*H$3:O$3)+SUMPRODUCT((Q10:T10/Q$9:T$9)^Q$7:T$7*Q$3:T$3))*(0.1^(1-G10))*AD$9</f>
        <v>1.0395387203992636</v>
      </c>
      <c r="AE10" s="48" cm="1">
        <f t="array" ref="AE10">(SUMPRODUCT((H10:O10/H$9:O$9)^H$7:O$7*H$4:O$4)+SUMPRODUCT((Q10:T10/Q$9:T$9)^Q$7:T$7*Q$4:T$4))*AE$9</f>
        <v>0.94675454821319305</v>
      </c>
      <c r="AF10" s="47" cm="1">
        <f t="array" ref="AF10">(SUMPRODUCT((H10:O10/H$9:O$9)^H$7:O$7*H$5:O$5)+SUMPRODUCT((Q10:T10/Q$9:T$9)^Q$7:T$7*Q$5:T$5))*AF$9</f>
        <v>0.99465039585898074</v>
      </c>
      <c r="AG10" s="50" cm="1">
        <f t="array" ref="AG10">SUMPRODUCT(AC10:AF10 * AC$3:AF$3) / SUM(AC$3:AF$3)</f>
        <v>1.0316445575671755</v>
      </c>
    </row>
    <row r="11" spans="1:34" x14ac:dyDescent="0.25">
      <c r="A11" s="81" t="s">
        <v>2069</v>
      </c>
      <c r="B11" s="20" t="s">
        <v>2071</v>
      </c>
      <c r="C11" s="4" t="s">
        <v>8853</v>
      </c>
      <c r="D11" s="4" t="str">
        <f t="shared" si="0"/>
        <v>ASUS</v>
      </c>
      <c r="E11" s="4" t="s">
        <v>8854</v>
      </c>
      <c r="F11" s="14" t="s">
        <v>8861</v>
      </c>
      <c r="G11" s="9">
        <v>1</v>
      </c>
      <c r="H11" s="1">
        <v>7.08</v>
      </c>
      <c r="I11" s="1">
        <v>7.08</v>
      </c>
      <c r="J11" s="1">
        <v>0.11</v>
      </c>
      <c r="K11" s="3">
        <v>1750</v>
      </c>
      <c r="L11" s="3">
        <v>1750</v>
      </c>
      <c r="M11" s="49">
        <v>33.340000000000003</v>
      </c>
      <c r="N11" s="1">
        <v>75.02</v>
      </c>
      <c r="O11" s="3">
        <v>20</v>
      </c>
      <c r="P11" s="11" t="s">
        <v>2275</v>
      </c>
      <c r="Q11" s="3">
        <v>6</v>
      </c>
      <c r="R11" s="3">
        <v>96</v>
      </c>
      <c r="S11" s="22">
        <v>14</v>
      </c>
      <c r="T11" s="9">
        <v>70</v>
      </c>
      <c r="U11" s="14" t="s">
        <v>635</v>
      </c>
      <c r="V11" s="12">
        <v>4</v>
      </c>
      <c r="W11" s="75">
        <v>16</v>
      </c>
      <c r="X11" s="76">
        <v>8</v>
      </c>
      <c r="Y11" s="9">
        <v>198.9</v>
      </c>
      <c r="Z11" s="3">
        <v>274.19</v>
      </c>
      <c r="AA11" s="17" t="s">
        <v>2070</v>
      </c>
      <c r="AB11" s="18" t="s">
        <v>2069</v>
      </c>
      <c r="AC11" s="46" cm="1">
        <f t="array" ref="AC11">(SUMPRODUCT((H11:O11/H$9:O$9)^H$7:O$7*H$2:O$2)+SUMPRODUCT((Q11:T11/Q$9:T$9)^Q$7:T$7*Q$2:T$2))*(0.8^(1-G11))*AC$9</f>
        <v>1.1000000000000001</v>
      </c>
      <c r="AD11" s="48" cm="1">
        <f t="array" ref="AD11">(SUMPRODUCT((H11:O11/H$9:O$9)^H$7:O$7*H$3:O$3)+SUMPRODUCT((Q11:T11/Q$9:T$9)^Q$7:T$7*Q$3:T$3))*(0.1^(1-G11))*AD$9</f>
        <v>1.05</v>
      </c>
      <c r="AE11" s="48" cm="1">
        <f t="array" ref="AE11">(SUMPRODUCT((H11:O11/H$9:O$9)^H$7:O$7*H$4:O$4)+SUMPRODUCT((Q11:T11/Q$9:T$9)^Q$7:T$7*Q$4:T$4))*AE$9</f>
        <v>0.95000000000000007</v>
      </c>
      <c r="AF11" s="47" cm="1">
        <f t="array" ref="AF11">(SUMPRODUCT((H11:O11/H$9:O$9)^H$7:O$7*H$5:O$5)+SUMPRODUCT((Q11:T11/Q$9:T$9)^Q$7:T$7*Q$5:T$5))*AF$9</f>
        <v>1</v>
      </c>
      <c r="AG11" s="50" cm="1">
        <f t="array" ref="AG11">SUMPRODUCT(AC11:AF11 * AC$3:AF$3) / SUM(AC$3:AF$3)</f>
        <v>1.038888888888889</v>
      </c>
    </row>
    <row r="12" spans="1:34" x14ac:dyDescent="0.25">
      <c r="A12" s="81" t="s">
        <v>1640</v>
      </c>
      <c r="B12" s="20" t="s">
        <v>1642</v>
      </c>
      <c r="C12" s="4" t="s">
        <v>8853</v>
      </c>
      <c r="D12" s="4" t="str">
        <f t="shared" si="0"/>
        <v>GIGABYTE</v>
      </c>
      <c r="E12" s="4" t="s">
        <v>8854</v>
      </c>
      <c r="F12" s="14" t="s">
        <v>8861</v>
      </c>
      <c r="G12" s="9">
        <v>1</v>
      </c>
      <c r="H12" s="1">
        <v>6.91</v>
      </c>
      <c r="I12" s="1">
        <v>6.91</v>
      </c>
      <c r="J12" s="1">
        <v>0.11</v>
      </c>
      <c r="K12" s="3">
        <v>1750</v>
      </c>
      <c r="L12" s="3">
        <v>1750</v>
      </c>
      <c r="M12" s="49">
        <v>33.340000000000003</v>
      </c>
      <c r="N12" s="1">
        <v>75.02</v>
      </c>
      <c r="O12" s="3">
        <v>20</v>
      </c>
      <c r="P12" s="11" t="s">
        <v>2275</v>
      </c>
      <c r="Q12" s="3">
        <v>6</v>
      </c>
      <c r="R12" s="3">
        <v>96</v>
      </c>
      <c r="S12" s="22">
        <v>14</v>
      </c>
      <c r="T12" s="9">
        <v>70</v>
      </c>
      <c r="U12" s="14" t="s">
        <v>635</v>
      </c>
      <c r="V12" s="12">
        <v>4</v>
      </c>
      <c r="W12" s="75">
        <v>16</v>
      </c>
      <c r="X12" s="76">
        <v>8</v>
      </c>
      <c r="Y12" s="9">
        <v>290.5</v>
      </c>
      <c r="Z12" s="3">
        <v>295.32</v>
      </c>
      <c r="AA12" s="17" t="s">
        <v>1641</v>
      </c>
      <c r="AB12" s="18" t="s">
        <v>1640</v>
      </c>
      <c r="AC12" s="46" cm="1">
        <f t="array" ref="AC12">(SUMPRODUCT((H12:O12/H$9:O$9)^H$7:O$7*H$2:O$2)+SUMPRODUCT((Q12:T12/Q$9:T$9)^Q$7:T$7*Q$2:T$2))*(0.8^(1-G12))*AC$9</f>
        <v>1.098918182737731</v>
      </c>
      <c r="AD12" s="48" cm="1">
        <f t="array" ref="AD12">(SUMPRODUCT((H12:O12/H$9:O$9)^H$7:O$7*H$3:O$3)+SUMPRODUCT((Q12:T12/Q$9:T$9)^Q$7:T$7*Q$3:T$3))*(0.1^(1-G12))*AD$9</f>
        <v>1.0395387203992636</v>
      </c>
      <c r="AE12" s="48" cm="1">
        <f t="array" ref="AE12">(SUMPRODUCT((H12:O12/H$9:O$9)^H$7:O$7*H$4:O$4)+SUMPRODUCT((Q12:T12/Q$9:T$9)^Q$7:T$7*Q$4:T$4))*AE$9</f>
        <v>0.94675454821319305</v>
      </c>
      <c r="AF12" s="47" cm="1">
        <f t="array" ref="AF12">(SUMPRODUCT((H12:O12/H$9:O$9)^H$7:O$7*H$5:O$5)+SUMPRODUCT((Q12:T12/Q$9:T$9)^Q$7:T$7*Q$5:T$5))*AF$9</f>
        <v>0.99465039585898074</v>
      </c>
      <c r="AG12" s="50" cm="1">
        <f t="array" ref="AG12">SUMPRODUCT(AC12:AF12 * AC$3:AF$3) / SUM(AC$3:AF$3)</f>
        <v>1.0316445575671755</v>
      </c>
    </row>
    <row r="13" spans="1:34" x14ac:dyDescent="0.25">
      <c r="A13" s="81" t="s">
        <v>1631</v>
      </c>
      <c r="B13" s="20" t="s">
        <v>1633</v>
      </c>
      <c r="C13" s="4" t="s">
        <v>8853</v>
      </c>
      <c r="D13" s="4" t="str">
        <f t="shared" si="0"/>
        <v>GIGABYTE</v>
      </c>
      <c r="E13" s="4" t="s">
        <v>8854</v>
      </c>
      <c r="F13" s="14" t="s">
        <v>8861</v>
      </c>
      <c r="G13" s="9">
        <v>1</v>
      </c>
      <c r="H13" s="1">
        <v>6.81</v>
      </c>
      <c r="I13" s="1">
        <v>6.81</v>
      </c>
      <c r="J13" s="1">
        <v>0.11</v>
      </c>
      <c r="K13" s="3">
        <v>1750</v>
      </c>
      <c r="L13" s="3">
        <v>1750</v>
      </c>
      <c r="M13" s="49">
        <v>33.340000000000003</v>
      </c>
      <c r="N13" s="1">
        <v>75.02</v>
      </c>
      <c r="O13" s="3">
        <v>20</v>
      </c>
      <c r="P13" s="11" t="s">
        <v>2275</v>
      </c>
      <c r="Q13" s="3">
        <v>6</v>
      </c>
      <c r="R13" s="3">
        <v>96</v>
      </c>
      <c r="S13" s="22">
        <v>14</v>
      </c>
      <c r="T13" s="9">
        <v>70</v>
      </c>
      <c r="U13" s="14" t="s">
        <v>635</v>
      </c>
      <c r="V13" s="12">
        <v>4</v>
      </c>
      <c r="W13" s="75">
        <v>16</v>
      </c>
      <c r="X13" s="76">
        <v>8</v>
      </c>
      <c r="Y13" s="9">
        <v>202.34</v>
      </c>
      <c r="Z13" s="3">
        <v>269</v>
      </c>
      <c r="AA13" s="17" t="s">
        <v>1632</v>
      </c>
      <c r="AB13" s="18" t="s">
        <v>1631</v>
      </c>
      <c r="AC13" s="46" cm="1">
        <f t="array" ref="AC13">(SUMPRODUCT((H13:O13/H$9:O$9)^H$7:O$7*H$2:O$2)+SUMPRODUCT((Q13:T13/Q$9:T$9)^Q$7:T$7*Q$2:T$2))*(0.8^(1-G13))*AC$9</f>
        <v>1.0982805793832242</v>
      </c>
      <c r="AD13" s="48" cm="1">
        <f t="array" ref="AD13">(SUMPRODUCT((H13:O13/H$9:O$9)^H$7:O$7*H$3:O$3)+SUMPRODUCT((Q13:T13/Q$9:T$9)^Q$7:T$7*Q$3:T$3))*(0.1^(1-G13))*AD$9</f>
        <v>1.0333695121831519</v>
      </c>
      <c r="AE13" s="48" cm="1">
        <f t="array" ref="AE13">(SUMPRODUCT((H13:O13/H$9:O$9)^H$7:O$7*H$4:O$4)+SUMPRODUCT((Q13:T13/Q$9:T$9)^Q$7:T$7*Q$4:T$4))*AE$9</f>
        <v>0.94484173814967298</v>
      </c>
      <c r="AF13" s="47" cm="1">
        <f t="array" ref="AF13">(SUMPRODUCT((H13:O13/H$9:O$9)^H$7:O$7*H$5:O$5)+SUMPRODUCT((Q13:T13/Q$9:T$9)^Q$7:T$7*Q$5:T$5))*AF$9</f>
        <v>0.99149684997460641</v>
      </c>
      <c r="AG13" s="50" cm="1">
        <f t="array" ref="AG13">SUMPRODUCT(AC13:AF13 * AC$3:AF$3) / SUM(AC$3:AF$3)</f>
        <v>1.0273728270113531</v>
      </c>
    </row>
    <row r="14" spans="1:34" x14ac:dyDescent="0.25">
      <c r="A14" s="81" t="s">
        <v>1628</v>
      </c>
      <c r="B14" s="20" t="s">
        <v>1630</v>
      </c>
      <c r="C14" s="4" t="s">
        <v>8853</v>
      </c>
      <c r="D14" s="4" t="str">
        <f t="shared" si="0"/>
        <v>GIGABYTE</v>
      </c>
      <c r="E14" s="4" t="s">
        <v>8854</v>
      </c>
      <c r="F14" s="14" t="s">
        <v>8861</v>
      </c>
      <c r="G14" s="9">
        <v>1</v>
      </c>
      <c r="H14" s="1">
        <v>6.81</v>
      </c>
      <c r="I14" s="1">
        <v>6.81</v>
      </c>
      <c r="J14" s="1">
        <v>0.11</v>
      </c>
      <c r="K14" s="3">
        <v>1750</v>
      </c>
      <c r="L14" s="3">
        <v>1750</v>
      </c>
      <c r="M14" s="49">
        <v>33.340000000000003</v>
      </c>
      <c r="N14" s="1">
        <v>75.02</v>
      </c>
      <c r="O14" s="3">
        <v>20</v>
      </c>
      <c r="P14" s="11" t="s">
        <v>2275</v>
      </c>
      <c r="Q14" s="3">
        <v>6</v>
      </c>
      <c r="R14" s="3">
        <v>96</v>
      </c>
      <c r="S14" s="22">
        <v>14</v>
      </c>
      <c r="T14" s="9">
        <v>70</v>
      </c>
      <c r="U14" s="14" t="s">
        <v>635</v>
      </c>
      <c r="V14" s="12">
        <v>4</v>
      </c>
      <c r="W14" s="75">
        <v>16</v>
      </c>
      <c r="X14" s="76">
        <v>8</v>
      </c>
      <c r="Y14" s="9">
        <v>194.98</v>
      </c>
      <c r="Z14" s="3">
        <v>224.95</v>
      </c>
      <c r="AA14" s="17" t="s">
        <v>1629</v>
      </c>
      <c r="AB14" s="18" t="s">
        <v>1628</v>
      </c>
      <c r="AC14" s="46" cm="1">
        <f t="array" ref="AC14">(SUMPRODUCT((H14:O14/H$9:O$9)^H$7:O$7*H$2:O$2)+SUMPRODUCT((Q14:T14/Q$9:T$9)^Q$7:T$7*Q$2:T$2))*(0.8^(1-G14))*AC$9</f>
        <v>1.0982805793832242</v>
      </c>
      <c r="AD14" s="48" cm="1">
        <f t="array" ref="AD14">(SUMPRODUCT((H14:O14/H$9:O$9)^H$7:O$7*H$3:O$3)+SUMPRODUCT((Q14:T14/Q$9:T$9)^Q$7:T$7*Q$3:T$3))*(0.1^(1-G14))*AD$9</f>
        <v>1.0333695121831519</v>
      </c>
      <c r="AE14" s="48" cm="1">
        <f t="array" ref="AE14">(SUMPRODUCT((H14:O14/H$9:O$9)^H$7:O$7*H$4:O$4)+SUMPRODUCT((Q14:T14/Q$9:T$9)^Q$7:T$7*Q$4:T$4))*AE$9</f>
        <v>0.94484173814967298</v>
      </c>
      <c r="AF14" s="47" cm="1">
        <f t="array" ref="AF14">(SUMPRODUCT((H14:O14/H$9:O$9)^H$7:O$7*H$5:O$5)+SUMPRODUCT((Q14:T14/Q$9:T$9)^Q$7:T$7*Q$5:T$5))*AF$9</f>
        <v>0.99149684997460641</v>
      </c>
      <c r="AG14" s="50" cm="1">
        <f t="array" ref="AG14">SUMPRODUCT(AC14:AF14 * AC$3:AF$3) / SUM(AC$3:AF$3)</f>
        <v>1.0273728270113531</v>
      </c>
    </row>
    <row r="15" spans="1:34" x14ac:dyDescent="0.25">
      <c r="A15" s="81" t="s">
        <v>1625</v>
      </c>
      <c r="B15" s="20" t="s">
        <v>1627</v>
      </c>
      <c r="C15" s="4" t="s">
        <v>8853</v>
      </c>
      <c r="D15" s="4" t="str">
        <f t="shared" si="0"/>
        <v>GIGABYTE</v>
      </c>
      <c r="E15" s="4" t="s">
        <v>8854</v>
      </c>
      <c r="F15" s="14" t="s">
        <v>8861</v>
      </c>
      <c r="G15" s="9">
        <v>1</v>
      </c>
      <c r="H15" s="1">
        <v>6.81</v>
      </c>
      <c r="I15" s="1">
        <v>6.81</v>
      </c>
      <c r="J15" s="1">
        <v>0.11</v>
      </c>
      <c r="K15" s="3">
        <v>1750</v>
      </c>
      <c r="L15" s="3">
        <v>1750</v>
      </c>
      <c r="M15" s="49">
        <v>33.340000000000003</v>
      </c>
      <c r="N15" s="1">
        <v>75.02</v>
      </c>
      <c r="O15" s="3">
        <v>20</v>
      </c>
      <c r="P15" s="11" t="s">
        <v>2275</v>
      </c>
      <c r="Q15" s="3">
        <v>6</v>
      </c>
      <c r="R15" s="3">
        <v>96</v>
      </c>
      <c r="S15" s="22">
        <v>14</v>
      </c>
      <c r="T15" s="9">
        <v>70</v>
      </c>
      <c r="U15" s="14" t="s">
        <v>635</v>
      </c>
      <c r="V15" s="12">
        <v>4</v>
      </c>
      <c r="W15" s="75">
        <v>16</v>
      </c>
      <c r="X15" s="76">
        <v>8</v>
      </c>
      <c r="Y15" s="9">
        <v>197.9</v>
      </c>
      <c r="Z15" s="3">
        <v>254.43</v>
      </c>
      <c r="AA15" s="17" t="s">
        <v>1626</v>
      </c>
      <c r="AB15" s="18" t="s">
        <v>1625</v>
      </c>
      <c r="AC15" s="46" cm="1">
        <f t="array" ref="AC15">(SUMPRODUCT((H15:O15/H$9:O$9)^H$7:O$7*H$2:O$2)+SUMPRODUCT((Q15:T15/Q$9:T$9)^Q$7:T$7*Q$2:T$2))*(0.8^(1-G15))*AC$9</f>
        <v>1.0982805793832242</v>
      </c>
      <c r="AD15" s="48" cm="1">
        <f t="array" ref="AD15">(SUMPRODUCT((H15:O15/H$9:O$9)^H$7:O$7*H$3:O$3)+SUMPRODUCT((Q15:T15/Q$9:T$9)^Q$7:T$7*Q$3:T$3))*(0.1^(1-G15))*AD$9</f>
        <v>1.0333695121831519</v>
      </c>
      <c r="AE15" s="48" cm="1">
        <f t="array" ref="AE15">(SUMPRODUCT((H15:O15/H$9:O$9)^H$7:O$7*H$4:O$4)+SUMPRODUCT((Q15:T15/Q$9:T$9)^Q$7:T$7*Q$4:T$4))*AE$9</f>
        <v>0.94484173814967298</v>
      </c>
      <c r="AF15" s="47" cm="1">
        <f t="array" ref="AF15">(SUMPRODUCT((H15:O15/H$9:O$9)^H$7:O$7*H$5:O$5)+SUMPRODUCT((Q15:T15/Q$9:T$9)^Q$7:T$7*Q$5:T$5))*AF$9</f>
        <v>0.99149684997460641</v>
      </c>
      <c r="AG15" s="50" cm="1">
        <f t="array" ref="AG15">SUMPRODUCT(AC15:AF15 * AC$3:AF$3) / SUM(AC$3:AF$3)</f>
        <v>1.0273728270113531</v>
      </c>
    </row>
    <row r="16" spans="1:34" x14ac:dyDescent="0.25">
      <c r="A16" s="81" t="s">
        <v>1325</v>
      </c>
      <c r="B16" s="20" t="s">
        <v>1327</v>
      </c>
      <c r="C16" s="4" t="s">
        <v>8853</v>
      </c>
      <c r="D16" s="4" t="str">
        <f t="shared" si="0"/>
        <v>INNO3D</v>
      </c>
      <c r="E16" s="4" t="s">
        <v>8854</v>
      </c>
      <c r="F16" s="14" t="s">
        <v>8861</v>
      </c>
      <c r="G16" s="9">
        <v>1</v>
      </c>
      <c r="H16" s="1">
        <v>6.77</v>
      </c>
      <c r="I16" s="1">
        <v>6.77</v>
      </c>
      <c r="J16" s="1">
        <v>0.11</v>
      </c>
      <c r="K16" s="3">
        <v>1750</v>
      </c>
      <c r="L16" s="3">
        <v>1750</v>
      </c>
      <c r="M16" s="49">
        <v>33.340000000000003</v>
      </c>
      <c r="N16" s="1">
        <v>75.02</v>
      </c>
      <c r="O16" s="3">
        <v>20</v>
      </c>
      <c r="P16" s="11" t="s">
        <v>2275</v>
      </c>
      <c r="Q16" s="3">
        <v>6</v>
      </c>
      <c r="R16" s="3">
        <v>96</v>
      </c>
      <c r="S16" s="22">
        <v>14</v>
      </c>
      <c r="T16" s="9">
        <v>70</v>
      </c>
      <c r="U16" s="14" t="s">
        <v>635</v>
      </c>
      <c r="V16" s="12">
        <v>4</v>
      </c>
      <c r="W16" s="75">
        <v>16</v>
      </c>
      <c r="X16" s="76">
        <v>8</v>
      </c>
      <c r="Y16" s="9">
        <v>184.95</v>
      </c>
      <c r="Z16" s="3">
        <v>267.62</v>
      </c>
      <c r="AA16" s="17" t="s">
        <v>1326</v>
      </c>
      <c r="AB16" s="18" t="s">
        <v>1325</v>
      </c>
      <c r="AC16" s="46" cm="1">
        <f t="array" ref="AC16">(SUMPRODUCT((H16:O16/H$9:O$9)^H$7:O$7*H$2:O$2)+SUMPRODUCT((Q16:T16/Q$9:T$9)^Q$7:T$7*Q$2:T$2))*(0.8^(1-G16))*AC$9</f>
        <v>1.0980252765321188</v>
      </c>
      <c r="AD16" s="48" cm="1">
        <f t="array" ref="AD16">(SUMPRODUCT((H16:O16/H$9:O$9)^H$7:O$7*H$3:O$3)+SUMPRODUCT((Q16:T16/Q$9:T$9)^Q$7:T$7*Q$3:T$3))*(0.1^(1-G16))*AD$9</f>
        <v>1.0308985560280233</v>
      </c>
      <c r="AE16" s="48" cm="1">
        <f t="array" ref="AE16">(SUMPRODUCT((H16:O16/H$9:O$9)^H$7:O$7*H$4:O$4)+SUMPRODUCT((Q16:T16/Q$9:T$9)^Q$7:T$7*Q$4:T$4))*AE$9</f>
        <v>0.94407582959635616</v>
      </c>
      <c r="AF16" s="47" cm="1">
        <f t="array" ref="AF16">(SUMPRODUCT((H16:O16/H$9:O$9)^H$7:O$7*H$5:O$5)+SUMPRODUCT((Q16:T16/Q$9:T$9)^Q$7:T$7*Q$5:T$5))*AF$9</f>
        <v>0.99023401444506631</v>
      </c>
      <c r="AG16" s="50" cm="1">
        <f t="array" ref="AG16">SUMPRODUCT(AC16:AF16 * AC$3:AF$3) / SUM(AC$3:AF$3)</f>
        <v>1.0256619495780277</v>
      </c>
    </row>
    <row r="17" spans="1:33" x14ac:dyDescent="0.25">
      <c r="A17" s="81" t="s">
        <v>1158</v>
      </c>
      <c r="B17" s="20" t="s">
        <v>1160</v>
      </c>
      <c r="C17" s="4" t="s">
        <v>8853</v>
      </c>
      <c r="D17" s="4" t="str">
        <f t="shared" si="0"/>
        <v>MSI</v>
      </c>
      <c r="E17" s="4" t="s">
        <v>8854</v>
      </c>
      <c r="F17" s="14" t="s">
        <v>8861</v>
      </c>
      <c r="G17" s="9">
        <v>1</v>
      </c>
      <c r="H17" s="1">
        <v>6.88</v>
      </c>
      <c r="I17" s="1">
        <v>6.88</v>
      </c>
      <c r="J17" s="1">
        <v>0.11</v>
      </c>
      <c r="K17" s="3">
        <v>1750</v>
      </c>
      <c r="L17" s="3">
        <v>1750</v>
      </c>
      <c r="M17" s="49">
        <v>33.340000000000003</v>
      </c>
      <c r="N17" s="1">
        <v>75.02</v>
      </c>
      <c r="O17" s="3">
        <v>20</v>
      </c>
      <c r="P17" s="11" t="s">
        <v>2275</v>
      </c>
      <c r="Q17" s="3">
        <v>6</v>
      </c>
      <c r="R17" s="3">
        <v>96</v>
      </c>
      <c r="S17" s="22">
        <v>14</v>
      </c>
      <c r="T17" s="9">
        <v>70</v>
      </c>
      <c r="U17" s="14" t="s">
        <v>635</v>
      </c>
      <c r="V17" s="12">
        <v>4</v>
      </c>
      <c r="W17" s="75">
        <v>16</v>
      </c>
      <c r="X17" s="76">
        <v>8</v>
      </c>
      <c r="Y17" s="9">
        <v>195.89</v>
      </c>
      <c r="Z17" s="3">
        <v>1206.3</v>
      </c>
      <c r="AA17" s="17" t="s">
        <v>1159</v>
      </c>
      <c r="AB17" s="18" t="s">
        <v>1158</v>
      </c>
      <c r="AC17" s="46" cm="1">
        <f t="array" ref="AC17">(SUMPRODUCT((H17:O17/H$9:O$9)^H$7:O$7*H$2:O$2)+SUMPRODUCT((Q17:T17/Q$9:T$9)^Q$7:T$7*Q$2:T$2))*(0.8^(1-G17))*AC$9</f>
        <v>1.0987269992204638</v>
      </c>
      <c r="AD17" s="48" cm="1">
        <f t="array" ref="AD17">(SUMPRODUCT((H17:O17/H$9:O$9)^H$7:O$7*H$3:O$3)+SUMPRODUCT((Q17:T17/Q$9:T$9)^Q$7:T$7*Q$3:T$3))*(0.1^(1-G17))*AD$9</f>
        <v>1.0376891778172315</v>
      </c>
      <c r="AE17" s="48" cm="1">
        <f t="array" ref="AE17">(SUMPRODUCT((H17:O17/H$9:O$9)^H$7:O$7*H$4:O$4)+SUMPRODUCT((Q17:T17/Q$9:T$9)^Q$7:T$7*Q$4:T$4))*AE$9</f>
        <v>0.9461809976613913</v>
      </c>
      <c r="AF17" s="47" cm="1">
        <f t="array" ref="AF17">(SUMPRODUCT((H17:O17/H$9:O$9)^H$7:O$7*H$5:O$5)+SUMPRODUCT((Q17:T17/Q$9:T$9)^Q$7:T$7*Q$5:T$5))*AF$9</f>
        <v>0.9937048603710843</v>
      </c>
      <c r="AG17" s="50" cm="1">
        <f t="array" ref="AG17">SUMPRODUCT(AC17:AF17 * AC$3:AF$3) / SUM(AC$3:AF$3)</f>
        <v>1.0303638529038746</v>
      </c>
    </row>
    <row r="18" spans="1:33" x14ac:dyDescent="0.25">
      <c r="A18" s="81" t="s">
        <v>1155</v>
      </c>
      <c r="B18" s="20" t="s">
        <v>1157</v>
      </c>
      <c r="C18" s="4" t="s">
        <v>8853</v>
      </c>
      <c r="D18" s="4" t="str">
        <f t="shared" si="0"/>
        <v>MSI</v>
      </c>
      <c r="E18" s="4" t="s">
        <v>8854</v>
      </c>
      <c r="F18" s="14" t="s">
        <v>8861</v>
      </c>
      <c r="G18" s="9">
        <v>1</v>
      </c>
      <c r="H18" s="1">
        <v>6.88</v>
      </c>
      <c r="I18" s="1">
        <v>6.88</v>
      </c>
      <c r="J18" s="1">
        <v>0.11</v>
      </c>
      <c r="K18" s="3">
        <v>1750</v>
      </c>
      <c r="L18" s="3">
        <v>1750</v>
      </c>
      <c r="M18" s="49">
        <v>33.340000000000003</v>
      </c>
      <c r="N18" s="1">
        <v>75.02</v>
      </c>
      <c r="O18" s="3">
        <v>20</v>
      </c>
      <c r="P18" s="11" t="s">
        <v>2275</v>
      </c>
      <c r="Q18" s="3">
        <v>6</v>
      </c>
      <c r="R18" s="3">
        <v>96</v>
      </c>
      <c r="S18" s="22">
        <v>14</v>
      </c>
      <c r="T18" s="9">
        <v>70</v>
      </c>
      <c r="U18" s="14" t="s">
        <v>635</v>
      </c>
      <c r="V18" s="12">
        <v>4</v>
      </c>
      <c r="W18" s="75">
        <v>16</v>
      </c>
      <c r="X18" s="76">
        <v>8</v>
      </c>
      <c r="Y18" s="9">
        <v>192.68</v>
      </c>
      <c r="Z18" s="3">
        <v>273.26</v>
      </c>
      <c r="AA18" s="17" t="s">
        <v>1156</v>
      </c>
      <c r="AB18" s="18" t="s">
        <v>1155</v>
      </c>
      <c r="AC18" s="46" cm="1">
        <f t="array" ref="AC18">(SUMPRODUCT((H18:O18/H$9:O$9)^H$7:O$7*H$2:O$2)+SUMPRODUCT((Q18:T18/Q$9:T$9)^Q$7:T$7*Q$2:T$2))*(0.8^(1-G18))*AC$9</f>
        <v>1.0987269992204638</v>
      </c>
      <c r="AD18" s="48" cm="1">
        <f t="array" ref="AD18">(SUMPRODUCT((H18:O18/H$9:O$9)^H$7:O$7*H$3:O$3)+SUMPRODUCT((Q18:T18/Q$9:T$9)^Q$7:T$7*Q$3:T$3))*(0.1^(1-G18))*AD$9</f>
        <v>1.0376891778172315</v>
      </c>
      <c r="AE18" s="48" cm="1">
        <f t="array" ref="AE18">(SUMPRODUCT((H18:O18/H$9:O$9)^H$7:O$7*H$4:O$4)+SUMPRODUCT((Q18:T18/Q$9:T$9)^Q$7:T$7*Q$4:T$4))*AE$9</f>
        <v>0.9461809976613913</v>
      </c>
      <c r="AF18" s="47" cm="1">
        <f t="array" ref="AF18">(SUMPRODUCT((H18:O18/H$9:O$9)^H$7:O$7*H$5:O$5)+SUMPRODUCT((Q18:T18/Q$9:T$9)^Q$7:T$7*Q$5:T$5))*AF$9</f>
        <v>0.9937048603710843</v>
      </c>
      <c r="AG18" s="50" cm="1">
        <f t="array" ref="AG18">SUMPRODUCT(AC18:AF18 * AC$3:AF$3) / SUM(AC$3:AF$3)</f>
        <v>1.0303638529038746</v>
      </c>
    </row>
    <row r="19" spans="1:33" x14ac:dyDescent="0.25">
      <c r="A19" s="81" t="s">
        <v>1146</v>
      </c>
      <c r="B19" s="20" t="s">
        <v>1148</v>
      </c>
      <c r="C19" s="4" t="s">
        <v>8853</v>
      </c>
      <c r="D19" s="4" t="str">
        <f t="shared" si="0"/>
        <v>MSI</v>
      </c>
      <c r="E19" s="4" t="s">
        <v>8854</v>
      </c>
      <c r="F19" s="14" t="s">
        <v>8861</v>
      </c>
      <c r="G19" s="9">
        <v>1</v>
      </c>
      <c r="H19" s="1">
        <v>6.88</v>
      </c>
      <c r="I19" s="1">
        <v>6.88</v>
      </c>
      <c r="J19" s="1">
        <v>0.11</v>
      </c>
      <c r="K19" s="3">
        <v>1750</v>
      </c>
      <c r="L19" s="3">
        <v>1750</v>
      </c>
      <c r="M19" s="49">
        <v>33.340000000000003</v>
      </c>
      <c r="N19" s="1">
        <v>75.02</v>
      </c>
      <c r="O19" s="3">
        <v>20</v>
      </c>
      <c r="P19" s="11" t="s">
        <v>2275</v>
      </c>
      <c r="Q19" s="3">
        <v>6</v>
      </c>
      <c r="R19" s="3">
        <v>96</v>
      </c>
      <c r="S19" s="22">
        <v>14</v>
      </c>
      <c r="T19" s="9">
        <v>70</v>
      </c>
      <c r="U19" s="14" t="s">
        <v>635</v>
      </c>
      <c r="V19" s="12">
        <v>4</v>
      </c>
      <c r="W19" s="75">
        <v>16</v>
      </c>
      <c r="X19" s="76">
        <v>8</v>
      </c>
      <c r="Y19" s="9">
        <v>195.44</v>
      </c>
      <c r="Z19" s="3">
        <v>292.60000000000002</v>
      </c>
      <c r="AA19" s="17" t="s">
        <v>1147</v>
      </c>
      <c r="AB19" s="18" t="s">
        <v>1146</v>
      </c>
      <c r="AC19" s="46" cm="1">
        <f t="array" ref="AC19">(SUMPRODUCT((H19:O19/H$9:O$9)^H$7:O$7*H$2:O$2)+SUMPRODUCT((Q19:T19/Q$9:T$9)^Q$7:T$7*Q$2:T$2))*(0.8^(1-G19))*AC$9</f>
        <v>1.0987269992204638</v>
      </c>
      <c r="AD19" s="48" cm="1">
        <f t="array" ref="AD19">(SUMPRODUCT((H19:O19/H$9:O$9)^H$7:O$7*H$3:O$3)+SUMPRODUCT((Q19:T19/Q$9:T$9)^Q$7:T$7*Q$3:T$3))*(0.1^(1-G19))*AD$9</f>
        <v>1.0376891778172315</v>
      </c>
      <c r="AE19" s="48" cm="1">
        <f t="array" ref="AE19">(SUMPRODUCT((H19:O19/H$9:O$9)^H$7:O$7*H$4:O$4)+SUMPRODUCT((Q19:T19/Q$9:T$9)^Q$7:T$7*Q$4:T$4))*AE$9</f>
        <v>0.9461809976613913</v>
      </c>
      <c r="AF19" s="47" cm="1">
        <f t="array" ref="AF19">(SUMPRODUCT((H19:O19/H$9:O$9)^H$7:O$7*H$5:O$5)+SUMPRODUCT((Q19:T19/Q$9:T$9)^Q$7:T$7*Q$5:T$5))*AF$9</f>
        <v>0.9937048603710843</v>
      </c>
      <c r="AG19" s="50" cm="1">
        <f t="array" ref="AG19">SUMPRODUCT(AC19:AF19 * AC$3:AF$3) / SUM(AC$3:AF$3)</f>
        <v>1.0303638529038746</v>
      </c>
    </row>
    <row r="20" spans="1:33" x14ac:dyDescent="0.25">
      <c r="A20" s="81" t="s">
        <v>787</v>
      </c>
      <c r="B20" s="20" t="s">
        <v>789</v>
      </c>
      <c r="C20" s="4" t="s">
        <v>8853</v>
      </c>
      <c r="D20" s="4" t="str">
        <f t="shared" si="0"/>
        <v>Palit</v>
      </c>
      <c r="E20" s="4" t="s">
        <v>8854</v>
      </c>
      <c r="F20" s="14" t="s">
        <v>8861</v>
      </c>
      <c r="G20" s="9">
        <v>1</v>
      </c>
      <c r="H20" s="1">
        <v>6.77</v>
      </c>
      <c r="I20" s="1">
        <v>6.77</v>
      </c>
      <c r="J20" s="1">
        <v>0.11</v>
      </c>
      <c r="K20" s="3">
        <v>1750</v>
      </c>
      <c r="L20" s="3">
        <v>1750</v>
      </c>
      <c r="M20" s="49">
        <v>33.340000000000003</v>
      </c>
      <c r="N20" s="1">
        <v>75.02</v>
      </c>
      <c r="O20" s="3">
        <v>20</v>
      </c>
      <c r="P20" s="11" t="s">
        <v>2275</v>
      </c>
      <c r="Q20" s="3">
        <v>6</v>
      </c>
      <c r="R20" s="3">
        <v>96</v>
      </c>
      <c r="S20" s="22">
        <v>14</v>
      </c>
      <c r="T20" s="9">
        <v>70</v>
      </c>
      <c r="U20" s="14" t="s">
        <v>635</v>
      </c>
      <c r="V20" s="12">
        <v>4</v>
      </c>
      <c r="W20" s="75">
        <v>16</v>
      </c>
      <c r="X20" s="76">
        <v>8</v>
      </c>
      <c r="Y20" s="9">
        <v>199.9</v>
      </c>
      <c r="Z20" s="3">
        <v>248.51</v>
      </c>
      <c r="AA20" s="17" t="s">
        <v>788</v>
      </c>
      <c r="AB20" s="18" t="s">
        <v>787</v>
      </c>
      <c r="AC20" s="46" cm="1">
        <f t="array" ref="AC20">(SUMPRODUCT((H20:O20/H$9:O$9)^H$7:O$7*H$2:O$2)+SUMPRODUCT((Q20:T20/Q$9:T$9)^Q$7:T$7*Q$2:T$2))*(0.8^(1-G20))*AC$9</f>
        <v>1.0980252765321188</v>
      </c>
      <c r="AD20" s="48" cm="1">
        <f t="array" ref="AD20">(SUMPRODUCT((H20:O20/H$9:O$9)^H$7:O$7*H$3:O$3)+SUMPRODUCT((Q20:T20/Q$9:T$9)^Q$7:T$7*Q$3:T$3))*(0.1^(1-G20))*AD$9</f>
        <v>1.0308985560280233</v>
      </c>
      <c r="AE20" s="48" cm="1">
        <f t="array" ref="AE20">(SUMPRODUCT((H20:O20/H$9:O$9)^H$7:O$7*H$4:O$4)+SUMPRODUCT((Q20:T20/Q$9:T$9)^Q$7:T$7*Q$4:T$4))*AE$9</f>
        <v>0.94407582959635616</v>
      </c>
      <c r="AF20" s="47" cm="1">
        <f t="array" ref="AF20">(SUMPRODUCT((H20:O20/H$9:O$9)^H$7:O$7*H$5:O$5)+SUMPRODUCT((Q20:T20/Q$9:T$9)^Q$7:T$7*Q$5:T$5))*AF$9</f>
        <v>0.99023401444506631</v>
      </c>
      <c r="AG20" s="50" cm="1">
        <f t="array" ref="AG20">SUMPRODUCT(AC20:AF20 * AC$3:AF$3) / SUM(AC$3:AF$3)</f>
        <v>1.0256619495780277</v>
      </c>
    </row>
    <row r="21" spans="1:33" x14ac:dyDescent="0.25">
      <c r="A21" s="81" t="s">
        <v>781</v>
      </c>
      <c r="B21" s="20" t="s">
        <v>783</v>
      </c>
      <c r="C21" s="4" t="s">
        <v>8853</v>
      </c>
      <c r="D21" s="4" t="str">
        <f t="shared" si="0"/>
        <v>Palit</v>
      </c>
      <c r="E21" s="4" t="s">
        <v>8854</v>
      </c>
      <c r="F21" s="14" t="s">
        <v>8861</v>
      </c>
      <c r="G21" s="9">
        <v>1</v>
      </c>
      <c r="H21" s="1">
        <v>6.77</v>
      </c>
      <c r="I21" s="1">
        <v>6.77</v>
      </c>
      <c r="J21" s="1">
        <v>0.11</v>
      </c>
      <c r="K21" s="3">
        <v>1750</v>
      </c>
      <c r="L21" s="3">
        <v>1750</v>
      </c>
      <c r="M21" s="49">
        <v>33.340000000000003</v>
      </c>
      <c r="N21" s="1">
        <v>75.02</v>
      </c>
      <c r="O21" s="3">
        <v>20</v>
      </c>
      <c r="P21" s="11" t="s">
        <v>2275</v>
      </c>
      <c r="Q21" s="3">
        <v>6</v>
      </c>
      <c r="R21" s="3">
        <v>96</v>
      </c>
      <c r="S21" s="22">
        <v>14</v>
      </c>
      <c r="T21" s="9">
        <v>70</v>
      </c>
      <c r="U21" s="14" t="s">
        <v>635</v>
      </c>
      <c r="V21" s="12">
        <v>4</v>
      </c>
      <c r="W21" s="75">
        <v>16</v>
      </c>
      <c r="X21" s="76">
        <v>8</v>
      </c>
      <c r="Y21" s="9">
        <v>192.16</v>
      </c>
      <c r="Z21" s="3">
        <v>269.85000000000002</v>
      </c>
      <c r="AA21" s="17" t="s">
        <v>782</v>
      </c>
      <c r="AB21" s="18" t="s">
        <v>781</v>
      </c>
      <c r="AC21" s="46" cm="1">
        <f t="array" ref="AC21">(SUMPRODUCT((H21:O21/H$9:O$9)^H$7:O$7*H$2:O$2)+SUMPRODUCT((Q21:T21/Q$9:T$9)^Q$7:T$7*Q$2:T$2))*(0.8^(1-G21))*AC$9</f>
        <v>1.0980252765321188</v>
      </c>
      <c r="AD21" s="48" cm="1">
        <f t="array" ref="AD21">(SUMPRODUCT((H21:O21/H$9:O$9)^H$7:O$7*H$3:O$3)+SUMPRODUCT((Q21:T21/Q$9:T$9)^Q$7:T$7*Q$3:T$3))*(0.1^(1-G21))*AD$9</f>
        <v>1.0308985560280233</v>
      </c>
      <c r="AE21" s="48" cm="1">
        <f t="array" ref="AE21">(SUMPRODUCT((H21:O21/H$9:O$9)^H$7:O$7*H$4:O$4)+SUMPRODUCT((Q21:T21/Q$9:T$9)^Q$7:T$7*Q$4:T$4))*AE$9</f>
        <v>0.94407582959635616</v>
      </c>
      <c r="AF21" s="47" cm="1">
        <f t="array" ref="AF21">(SUMPRODUCT((H21:O21/H$9:O$9)^H$7:O$7*H$5:O$5)+SUMPRODUCT((Q21:T21/Q$9:T$9)^Q$7:T$7*Q$5:T$5))*AF$9</f>
        <v>0.99023401444506631</v>
      </c>
      <c r="AG21" s="50" cm="1">
        <f t="array" ref="AG21">SUMPRODUCT(AC21:AF21 * AC$3:AF$3) / SUM(AC$3:AF$3)</f>
        <v>1.0256619495780277</v>
      </c>
    </row>
    <row r="22" spans="1:33" x14ac:dyDescent="0.25">
      <c r="A22" s="81" t="s">
        <v>636</v>
      </c>
      <c r="B22" s="20" t="s">
        <v>638</v>
      </c>
      <c r="C22" s="4" t="s">
        <v>8853</v>
      </c>
      <c r="D22" s="4" t="str">
        <f t="shared" si="0"/>
        <v>Zotac</v>
      </c>
      <c r="E22" s="4" t="s">
        <v>8854</v>
      </c>
      <c r="F22" s="14" t="s">
        <v>8861</v>
      </c>
      <c r="G22" s="9">
        <v>1</v>
      </c>
      <c r="H22" s="1">
        <v>6.77</v>
      </c>
      <c r="I22" s="1">
        <v>6.77</v>
      </c>
      <c r="J22" s="1">
        <v>0.11</v>
      </c>
      <c r="K22" s="3">
        <v>1750</v>
      </c>
      <c r="L22" s="3">
        <v>1750</v>
      </c>
      <c r="M22" s="49">
        <v>33.340000000000003</v>
      </c>
      <c r="N22" s="1">
        <v>75.02</v>
      </c>
      <c r="O22" s="3">
        <v>20</v>
      </c>
      <c r="P22" s="11" t="s">
        <v>2275</v>
      </c>
      <c r="Q22" s="3">
        <v>6</v>
      </c>
      <c r="R22" s="3">
        <v>96</v>
      </c>
      <c r="S22" s="22">
        <v>14</v>
      </c>
      <c r="T22" s="9">
        <v>70</v>
      </c>
      <c r="U22" s="14" t="s">
        <v>635</v>
      </c>
      <c r="V22" s="12">
        <v>4</v>
      </c>
      <c r="W22" s="75">
        <v>16</v>
      </c>
      <c r="X22" s="76">
        <v>8</v>
      </c>
      <c r="Y22" s="9">
        <v>196.72</v>
      </c>
      <c r="Z22" s="3">
        <v>452.27</v>
      </c>
      <c r="AA22" s="17" t="s">
        <v>637</v>
      </c>
      <c r="AB22" s="18" t="s">
        <v>636</v>
      </c>
      <c r="AC22" s="46" cm="1">
        <f t="array" ref="AC22">(SUMPRODUCT((H22:O22/H$9:O$9)^H$7:O$7*H$2:O$2)+SUMPRODUCT((Q22:T22/Q$9:T$9)^Q$7:T$7*Q$2:T$2))*(0.8^(1-G22))*AC$9</f>
        <v>1.0980252765321188</v>
      </c>
      <c r="AD22" s="48" cm="1">
        <f t="array" ref="AD22">(SUMPRODUCT((H22:O22/H$9:O$9)^H$7:O$7*H$3:O$3)+SUMPRODUCT((Q22:T22/Q$9:T$9)^Q$7:T$7*Q$3:T$3))*(0.1^(1-G22))*AD$9</f>
        <v>1.0308985560280233</v>
      </c>
      <c r="AE22" s="48" cm="1">
        <f t="array" ref="AE22">(SUMPRODUCT((H22:O22/H$9:O$9)^H$7:O$7*H$4:O$4)+SUMPRODUCT((Q22:T22/Q$9:T$9)^Q$7:T$7*Q$4:T$4))*AE$9</f>
        <v>0.94407582959635616</v>
      </c>
      <c r="AF22" s="47" cm="1">
        <f t="array" ref="AF22">(SUMPRODUCT((H22:O22/H$9:O$9)^H$7:O$7*H$5:O$5)+SUMPRODUCT((Q22:T22/Q$9:T$9)^Q$7:T$7*Q$5:T$5))*AF$9</f>
        <v>0.99023401444506631</v>
      </c>
      <c r="AG22" s="50" cm="1">
        <f t="array" ref="AG22">SUMPRODUCT(AC22:AF22 * AC$3:AF$3) / SUM(AC$3:AF$3)</f>
        <v>1.0256619495780277</v>
      </c>
    </row>
    <row r="23" spans="1:33" x14ac:dyDescent="0.25">
      <c r="A23" s="81" t="s">
        <v>632</v>
      </c>
      <c r="B23" s="20" t="s">
        <v>634</v>
      </c>
      <c r="C23" s="4" t="s">
        <v>8853</v>
      </c>
      <c r="D23" s="4" t="str">
        <f t="shared" si="0"/>
        <v>Zotac</v>
      </c>
      <c r="E23" s="4" t="s">
        <v>8854</v>
      </c>
      <c r="F23" s="14" t="s">
        <v>8861</v>
      </c>
      <c r="G23" s="9">
        <v>1</v>
      </c>
      <c r="H23" s="1">
        <v>6.77</v>
      </c>
      <c r="I23" s="1">
        <v>6.77</v>
      </c>
      <c r="J23" s="1">
        <v>0.11</v>
      </c>
      <c r="K23" s="3">
        <v>1750</v>
      </c>
      <c r="L23" s="3">
        <v>1750</v>
      </c>
      <c r="M23" s="49">
        <v>33.340000000000003</v>
      </c>
      <c r="N23" s="1">
        <v>75.02</v>
      </c>
      <c r="O23" s="3">
        <v>20</v>
      </c>
      <c r="P23" s="11" t="s">
        <v>2275</v>
      </c>
      <c r="Q23" s="3">
        <v>6</v>
      </c>
      <c r="R23" s="3">
        <v>96</v>
      </c>
      <c r="S23" s="22">
        <v>14</v>
      </c>
      <c r="T23" s="9">
        <v>70</v>
      </c>
      <c r="U23" s="14" t="s">
        <v>635</v>
      </c>
      <c r="V23" s="12">
        <v>4</v>
      </c>
      <c r="W23" s="75">
        <v>16</v>
      </c>
      <c r="X23" s="76">
        <v>8</v>
      </c>
      <c r="Y23" s="9">
        <v>192.76</v>
      </c>
      <c r="Z23" s="3">
        <v>261.25</v>
      </c>
      <c r="AA23" s="17" t="s">
        <v>633</v>
      </c>
      <c r="AB23" s="18" t="s">
        <v>632</v>
      </c>
      <c r="AC23" s="46" cm="1">
        <f t="array" ref="AC23">(SUMPRODUCT((H23:O23/H$9:O$9)^H$7:O$7*H$2:O$2)+SUMPRODUCT((Q23:T23/Q$9:T$9)^Q$7:T$7*Q$2:T$2))*(0.8^(1-G23))*AC$9</f>
        <v>1.0980252765321188</v>
      </c>
      <c r="AD23" s="48" cm="1">
        <f t="array" ref="AD23">(SUMPRODUCT((H23:O23/H$9:O$9)^H$7:O$7*H$3:O$3)+SUMPRODUCT((Q23:T23/Q$9:T$9)^Q$7:T$7*Q$3:T$3))*(0.1^(1-G23))*AD$9</f>
        <v>1.0308985560280233</v>
      </c>
      <c r="AE23" s="48" cm="1">
        <f t="array" ref="AE23">(SUMPRODUCT((H23:O23/H$9:O$9)^H$7:O$7*H$4:O$4)+SUMPRODUCT((Q23:T23/Q$9:T$9)^Q$7:T$7*Q$4:T$4))*AE$9</f>
        <v>0.94407582959635616</v>
      </c>
      <c r="AF23" s="47" cm="1">
        <f t="array" ref="AF23">(SUMPRODUCT((H23:O23/H$9:O$9)^H$7:O$7*H$5:O$5)+SUMPRODUCT((Q23:T23/Q$9:T$9)^Q$7:T$7*Q$5:T$5))*AF$9</f>
        <v>0.99023401444506631</v>
      </c>
      <c r="AG23" s="50" cm="1">
        <f t="array" ref="AG23">SUMPRODUCT(AC23:AF23 * AC$3:AF$3) / SUM(AC$3:AF$3)</f>
        <v>1.0256619495780277</v>
      </c>
    </row>
    <row r="24" spans="1:33" x14ac:dyDescent="0.25">
      <c r="A24" s="81" t="s">
        <v>2249</v>
      </c>
      <c r="B24" s="20" t="s">
        <v>2251</v>
      </c>
      <c r="C24" s="4" t="s">
        <v>8853</v>
      </c>
      <c r="D24" s="4" t="str">
        <f t="shared" si="0"/>
        <v>ASUS</v>
      </c>
      <c r="E24" s="4" t="s">
        <v>8854</v>
      </c>
      <c r="F24" s="14" t="s">
        <v>8862</v>
      </c>
      <c r="G24" s="9">
        <v>1</v>
      </c>
      <c r="H24" s="1">
        <v>9.48</v>
      </c>
      <c r="I24" s="1">
        <v>9.48</v>
      </c>
      <c r="J24" s="1">
        <v>0.15</v>
      </c>
      <c r="K24" s="3">
        <v>1750</v>
      </c>
      <c r="L24" s="13">
        <v>1852</v>
      </c>
      <c r="M24" s="49">
        <v>49.46</v>
      </c>
      <c r="N24" s="1">
        <v>124.2</v>
      </c>
      <c r="O24" s="3">
        <v>30</v>
      </c>
      <c r="P24" s="11" t="s">
        <v>2275</v>
      </c>
      <c r="Q24" s="3">
        <v>8</v>
      </c>
      <c r="R24" s="3">
        <v>128</v>
      </c>
      <c r="S24" s="22">
        <v>14</v>
      </c>
      <c r="T24" s="9">
        <v>130</v>
      </c>
      <c r="U24" s="14" t="s">
        <v>642</v>
      </c>
      <c r="V24" s="12">
        <v>4</v>
      </c>
      <c r="W24" s="75">
        <v>16</v>
      </c>
      <c r="X24" s="76">
        <v>8</v>
      </c>
      <c r="Y24" s="9">
        <v>222.9</v>
      </c>
      <c r="Z24" s="3">
        <v>324</v>
      </c>
      <c r="AA24" s="17" t="s">
        <v>2250</v>
      </c>
      <c r="AB24" s="18" t="s">
        <v>2249</v>
      </c>
      <c r="AC24" s="46" cm="1">
        <f t="array" ref="AC24">(SUMPRODUCT((H24:O24/H$9:O$9)^H$7:O$7*H$2:O$2)+SUMPRODUCT((Q24:T24/Q$9:T$9)^Q$7:T$7*Q$2:T$2))*(0.8^(1-G24))*AC$9</f>
        <v>1.2910750751922109</v>
      </c>
      <c r="AD24" s="48" cm="1">
        <f t="array" ref="AD24">(SUMPRODUCT((H24:O24/H$9:O$9)^H$7:O$7*H$3:O$3)+SUMPRODUCT((Q24:T24/Q$9:T$9)^Q$7:T$7*Q$3:T$3))*(0.1^(1-G24))*AD$9</f>
        <v>1.2631687178350266</v>
      </c>
      <c r="AE24" s="48" cm="1">
        <f t="array" ref="AE24">(SUMPRODUCT((H24:O24/H$9:O$9)^H$7:O$7*H$4:O$4)+SUMPRODUCT((Q24:T24/Q$9:T$9)^Q$7:T$7*Q$4:T$4))*AE$9</f>
        <v>1.1605996882193454</v>
      </c>
      <c r="AF24" s="47" cm="1">
        <f t="array" ref="AF24">(SUMPRODUCT((H24:O24/H$9:O$9)^H$7:O$7*H$5:O$5)+SUMPRODUCT((Q24:T24/Q$9:T$9)^Q$7:T$7*Q$5:T$5))*AF$9</f>
        <v>1.1957159494864364</v>
      </c>
      <c r="AG24" s="50" cm="1">
        <f t="array" ref="AG24">SUMPRODUCT(AC24:AF24 * AC$3:AF$3) / SUM(AC$3:AF$3)</f>
        <v>1.2451810904902723</v>
      </c>
    </row>
    <row r="25" spans="1:33" x14ac:dyDescent="0.25">
      <c r="A25" s="81" t="s">
        <v>2243</v>
      </c>
      <c r="B25" s="20" t="s">
        <v>2245</v>
      </c>
      <c r="C25" s="4" t="s">
        <v>8853</v>
      </c>
      <c r="D25" s="4" t="str">
        <f t="shared" si="0"/>
        <v>ASUS</v>
      </c>
      <c r="E25" s="4" t="s">
        <v>8854</v>
      </c>
      <c r="F25" s="14" t="s">
        <v>8862</v>
      </c>
      <c r="G25" s="9">
        <v>1</v>
      </c>
      <c r="H25" s="1">
        <v>9.48</v>
      </c>
      <c r="I25" s="1">
        <v>9.48</v>
      </c>
      <c r="J25" s="1">
        <v>0.15</v>
      </c>
      <c r="K25" s="3">
        <v>1750</v>
      </c>
      <c r="L25" s="13">
        <v>1852</v>
      </c>
      <c r="M25" s="49">
        <v>49.46</v>
      </c>
      <c r="N25" s="1">
        <v>124.2</v>
      </c>
      <c r="O25" s="3">
        <v>30</v>
      </c>
      <c r="P25" s="11" t="s">
        <v>2275</v>
      </c>
      <c r="Q25" s="3">
        <v>8</v>
      </c>
      <c r="R25" s="3">
        <v>128</v>
      </c>
      <c r="S25" s="22">
        <v>14</v>
      </c>
      <c r="T25" s="9">
        <v>130</v>
      </c>
      <c r="U25" s="14" t="s">
        <v>446</v>
      </c>
      <c r="V25" s="12">
        <v>4</v>
      </c>
      <c r="W25" s="75">
        <v>16</v>
      </c>
      <c r="X25" s="76">
        <v>8</v>
      </c>
      <c r="Y25" s="9">
        <v>272</v>
      </c>
      <c r="Z25" s="3">
        <v>632.62</v>
      </c>
      <c r="AA25" s="17" t="s">
        <v>2244</v>
      </c>
      <c r="AB25" s="18" t="s">
        <v>2243</v>
      </c>
      <c r="AC25" s="46" cm="1">
        <f t="array" ref="AC25">(SUMPRODUCT((H25:O25/H$9:O$9)^H$7:O$7*H$2:O$2)+SUMPRODUCT((Q25:T25/Q$9:T$9)^Q$7:T$7*Q$2:T$2))*(0.8^(1-G25))*AC$9</f>
        <v>1.2910750751922109</v>
      </c>
      <c r="AD25" s="48" cm="1">
        <f t="array" ref="AD25">(SUMPRODUCT((H25:O25/H$9:O$9)^H$7:O$7*H$3:O$3)+SUMPRODUCT((Q25:T25/Q$9:T$9)^Q$7:T$7*Q$3:T$3))*(0.1^(1-G25))*AD$9</f>
        <v>1.2631687178350266</v>
      </c>
      <c r="AE25" s="48" cm="1">
        <f t="array" ref="AE25">(SUMPRODUCT((H25:O25/H$9:O$9)^H$7:O$7*H$4:O$4)+SUMPRODUCT((Q25:T25/Q$9:T$9)^Q$7:T$7*Q$4:T$4))*AE$9</f>
        <v>1.1605996882193454</v>
      </c>
      <c r="AF25" s="47" cm="1">
        <f t="array" ref="AF25">(SUMPRODUCT((H25:O25/H$9:O$9)^H$7:O$7*H$5:O$5)+SUMPRODUCT((Q25:T25/Q$9:T$9)^Q$7:T$7*Q$5:T$5))*AF$9</f>
        <v>1.1957159494864364</v>
      </c>
      <c r="AG25" s="50" cm="1">
        <f t="array" ref="AG25">SUMPRODUCT(AC25:AF25 * AC$3:AF$3) / SUM(AC$3:AF$3)</f>
        <v>1.2451810904902723</v>
      </c>
    </row>
    <row r="26" spans="1:33" x14ac:dyDescent="0.25">
      <c r="A26" s="81" t="s">
        <v>2237</v>
      </c>
      <c r="B26" s="20" t="s">
        <v>2239</v>
      </c>
      <c r="C26" s="4" t="s">
        <v>8853</v>
      </c>
      <c r="D26" s="4" t="str">
        <f t="shared" si="0"/>
        <v>ASUS</v>
      </c>
      <c r="E26" s="4" t="s">
        <v>8854</v>
      </c>
      <c r="F26" s="14" t="s">
        <v>8862</v>
      </c>
      <c r="G26" s="9">
        <v>1</v>
      </c>
      <c r="H26" s="1">
        <v>9.25</v>
      </c>
      <c r="I26" s="1">
        <v>9.25</v>
      </c>
      <c r="J26" s="1">
        <v>0.14000000000000001</v>
      </c>
      <c r="K26" s="3">
        <v>1750</v>
      </c>
      <c r="L26" s="13">
        <v>1807</v>
      </c>
      <c r="M26" s="49">
        <v>49.46</v>
      </c>
      <c r="N26" s="1">
        <v>124.2</v>
      </c>
      <c r="O26" s="3">
        <v>30</v>
      </c>
      <c r="P26" s="11" t="s">
        <v>2275</v>
      </c>
      <c r="Q26" s="3">
        <v>8</v>
      </c>
      <c r="R26" s="3">
        <v>128</v>
      </c>
      <c r="S26" s="22">
        <v>14</v>
      </c>
      <c r="T26" s="9">
        <v>130</v>
      </c>
      <c r="U26" s="14" t="s">
        <v>446</v>
      </c>
      <c r="V26" s="12">
        <v>4</v>
      </c>
      <c r="W26" s="75">
        <v>16</v>
      </c>
      <c r="X26" s="76">
        <v>8</v>
      </c>
      <c r="Y26" s="9">
        <v>276.20999999999998</v>
      </c>
      <c r="Z26" s="3">
        <v>276.20999999999998</v>
      </c>
      <c r="AA26" s="17" t="s">
        <v>2238</v>
      </c>
      <c r="AB26" s="18" t="s">
        <v>2237</v>
      </c>
      <c r="AC26" s="46" cm="1">
        <f t="array" ref="AC26">(SUMPRODUCT((H26:O26/H$9:O$9)^H$7:O$7*H$2:O$2)+SUMPRODUCT((Q26:T26/Q$9:T$9)^Q$7:T$7*Q$2:T$2))*(0.8^(1-G26))*AC$9</f>
        <v>1.2838934463180798</v>
      </c>
      <c r="AD26" s="48" cm="1">
        <f t="array" ref="AD26">(SUMPRODUCT((H26:O26/H$9:O$9)^H$7:O$7*H$3:O$3)+SUMPRODUCT((Q26:T26/Q$9:T$9)^Q$7:T$7*Q$3:T$3))*(0.1^(1-G26))*AD$9</f>
        <v>1.2449458878053652</v>
      </c>
      <c r="AE26" s="48" cm="1">
        <f t="array" ref="AE26">(SUMPRODUCT((H26:O26/H$9:O$9)^H$7:O$7*H$4:O$4)+SUMPRODUCT((Q26:T26/Q$9:T$9)^Q$7:T$7*Q$4:T$4))*AE$9</f>
        <v>1.1322475942749111</v>
      </c>
      <c r="AF26" s="47" cm="1">
        <f t="array" ref="AF26">(SUMPRODUCT((H26:O26/H$9:O$9)^H$7:O$7*H$5:O$5)+SUMPRODUCT((Q26:T26/Q$9:T$9)^Q$7:T$7*Q$5:T$5))*AF$9</f>
        <v>1.1864018057185226</v>
      </c>
      <c r="AG26" s="50" cm="1">
        <f t="array" ref="AG26">SUMPRODUCT(AC26:AF26 * AC$3:AF$3) / SUM(AC$3:AF$3)</f>
        <v>1.2291577679285155</v>
      </c>
    </row>
    <row r="27" spans="1:33" x14ac:dyDescent="0.25">
      <c r="A27" s="81" t="s">
        <v>2057</v>
      </c>
      <c r="B27" s="20" t="s">
        <v>2059</v>
      </c>
      <c r="C27" s="4" t="s">
        <v>8853</v>
      </c>
      <c r="D27" s="4" t="str">
        <f t="shared" si="0"/>
        <v>ASUS</v>
      </c>
      <c r="E27" s="4" t="s">
        <v>8854</v>
      </c>
      <c r="F27" s="14" t="s">
        <v>8862</v>
      </c>
      <c r="G27" s="9">
        <v>1</v>
      </c>
      <c r="H27" s="1">
        <v>9.25</v>
      </c>
      <c r="I27" s="1">
        <v>9.25</v>
      </c>
      <c r="J27" s="1">
        <v>0.14000000000000001</v>
      </c>
      <c r="K27" s="3">
        <v>1750</v>
      </c>
      <c r="L27" s="13">
        <v>1807</v>
      </c>
      <c r="M27" s="49">
        <v>49.46</v>
      </c>
      <c r="N27" s="1">
        <v>124.2</v>
      </c>
      <c r="O27" s="3">
        <v>30</v>
      </c>
      <c r="P27" s="11" t="s">
        <v>2275</v>
      </c>
      <c r="Q27" s="3">
        <v>8</v>
      </c>
      <c r="R27" s="3">
        <v>128</v>
      </c>
      <c r="S27" s="22">
        <v>14</v>
      </c>
      <c r="T27" s="9">
        <v>130</v>
      </c>
      <c r="U27" s="14" t="s">
        <v>642</v>
      </c>
      <c r="V27" s="12">
        <v>4</v>
      </c>
      <c r="W27" s="75">
        <v>16</v>
      </c>
      <c r="X27" s="76">
        <v>8</v>
      </c>
      <c r="Y27" s="9">
        <v>223.9</v>
      </c>
      <c r="Z27" s="3">
        <v>337.38</v>
      </c>
      <c r="AA27" s="17" t="s">
        <v>2058</v>
      </c>
      <c r="AB27" s="18" t="s">
        <v>2057</v>
      </c>
      <c r="AC27" s="46" cm="1">
        <f t="array" ref="AC27">(SUMPRODUCT((H27:O27/H$9:O$9)^H$7:O$7*H$2:O$2)+SUMPRODUCT((Q27:T27/Q$9:T$9)^Q$7:T$7*Q$2:T$2))*(0.8^(1-G27))*AC$9</f>
        <v>1.2838934463180798</v>
      </c>
      <c r="AD27" s="48" cm="1">
        <f t="array" ref="AD27">(SUMPRODUCT((H27:O27/H$9:O$9)^H$7:O$7*H$3:O$3)+SUMPRODUCT((Q27:T27/Q$9:T$9)^Q$7:T$7*Q$3:T$3))*(0.1^(1-G27))*AD$9</f>
        <v>1.2449458878053652</v>
      </c>
      <c r="AE27" s="48" cm="1">
        <f t="array" ref="AE27">(SUMPRODUCT((H27:O27/H$9:O$9)^H$7:O$7*H$4:O$4)+SUMPRODUCT((Q27:T27/Q$9:T$9)^Q$7:T$7*Q$4:T$4))*AE$9</f>
        <v>1.1322475942749111</v>
      </c>
      <c r="AF27" s="47" cm="1">
        <f t="array" ref="AF27">(SUMPRODUCT((H27:O27/H$9:O$9)^H$7:O$7*H$5:O$5)+SUMPRODUCT((Q27:T27/Q$9:T$9)^Q$7:T$7*Q$5:T$5))*AF$9</f>
        <v>1.1864018057185226</v>
      </c>
      <c r="AG27" s="50" cm="1">
        <f t="array" ref="AG27">SUMPRODUCT(AC27:AF27 * AC$3:AF$3) / SUM(AC$3:AF$3)</f>
        <v>1.2291577679285155</v>
      </c>
    </row>
    <row r="28" spans="1:33" x14ac:dyDescent="0.25">
      <c r="A28" s="81" t="s">
        <v>2054</v>
      </c>
      <c r="B28" s="20" t="s">
        <v>2056</v>
      </c>
      <c r="C28" s="4" t="s">
        <v>8853</v>
      </c>
      <c r="D28" s="4" t="str">
        <f t="shared" si="0"/>
        <v>ASUS</v>
      </c>
      <c r="E28" s="4" t="s">
        <v>8854</v>
      </c>
      <c r="F28" s="14" t="s">
        <v>8862</v>
      </c>
      <c r="G28" s="9">
        <v>1</v>
      </c>
      <c r="H28" s="1">
        <v>9.25</v>
      </c>
      <c r="I28" s="1">
        <v>9.25</v>
      </c>
      <c r="J28" s="1">
        <v>0.14000000000000001</v>
      </c>
      <c r="K28" s="3">
        <v>1750</v>
      </c>
      <c r="L28" s="13">
        <v>1807</v>
      </c>
      <c r="M28" s="49">
        <v>49.46</v>
      </c>
      <c r="N28" s="1">
        <v>124.2</v>
      </c>
      <c r="O28" s="3">
        <v>30</v>
      </c>
      <c r="P28" s="11" t="s">
        <v>2275</v>
      </c>
      <c r="Q28" s="3">
        <v>8</v>
      </c>
      <c r="R28" s="3">
        <v>128</v>
      </c>
      <c r="S28" s="22">
        <v>14</v>
      </c>
      <c r="T28" s="9">
        <v>130</v>
      </c>
      <c r="U28" s="14" t="s">
        <v>446</v>
      </c>
      <c r="V28" s="12">
        <v>4</v>
      </c>
      <c r="W28" s="75">
        <v>16</v>
      </c>
      <c r="X28" s="76">
        <v>8</v>
      </c>
      <c r="Y28" s="9">
        <v>314.72000000000003</v>
      </c>
      <c r="Z28" s="3">
        <v>588.37</v>
      </c>
      <c r="AA28" s="17" t="s">
        <v>2055</v>
      </c>
      <c r="AB28" s="18" t="s">
        <v>2054</v>
      </c>
      <c r="AC28" s="46" cm="1">
        <f t="array" ref="AC28">(SUMPRODUCT((H28:O28/H$9:O$9)^H$7:O$7*H$2:O$2)+SUMPRODUCT((Q28:T28/Q$9:T$9)^Q$7:T$7*Q$2:T$2))*(0.8^(1-G28))*AC$9</f>
        <v>1.2838934463180798</v>
      </c>
      <c r="AD28" s="48" cm="1">
        <f t="array" ref="AD28">(SUMPRODUCT((H28:O28/H$9:O$9)^H$7:O$7*H$3:O$3)+SUMPRODUCT((Q28:T28/Q$9:T$9)^Q$7:T$7*Q$3:T$3))*(0.1^(1-G28))*AD$9</f>
        <v>1.2449458878053652</v>
      </c>
      <c r="AE28" s="48" cm="1">
        <f t="array" ref="AE28">(SUMPRODUCT((H28:O28/H$9:O$9)^H$7:O$7*H$4:O$4)+SUMPRODUCT((Q28:T28/Q$9:T$9)^Q$7:T$7*Q$4:T$4))*AE$9</f>
        <v>1.1322475942749111</v>
      </c>
      <c r="AF28" s="47" cm="1">
        <f t="array" ref="AF28">(SUMPRODUCT((H28:O28/H$9:O$9)^H$7:O$7*H$5:O$5)+SUMPRODUCT((Q28:T28/Q$9:T$9)^Q$7:T$7*Q$5:T$5))*AF$9</f>
        <v>1.1864018057185226</v>
      </c>
      <c r="AG28" s="50" cm="1">
        <f t="array" ref="AG28">SUMPRODUCT(AC28:AF28 * AC$3:AF$3) / SUM(AC$3:AF$3)</f>
        <v>1.2291577679285155</v>
      </c>
    </row>
    <row r="29" spans="1:33" x14ac:dyDescent="0.25">
      <c r="A29" s="81" t="s">
        <v>1643</v>
      </c>
      <c r="B29" s="20" t="s">
        <v>1645</v>
      </c>
      <c r="C29" s="4" t="s">
        <v>8853</v>
      </c>
      <c r="D29" s="4" t="str">
        <f t="shared" si="0"/>
        <v>GIGABYTE</v>
      </c>
      <c r="E29" s="4" t="s">
        <v>8854</v>
      </c>
      <c r="F29" s="14" t="s">
        <v>8862</v>
      </c>
      <c r="G29" s="9">
        <v>1</v>
      </c>
      <c r="H29" s="1">
        <v>9.1</v>
      </c>
      <c r="I29" s="1">
        <v>9.1</v>
      </c>
      <c r="J29" s="1">
        <v>0.14000000000000001</v>
      </c>
      <c r="K29" s="3">
        <v>1750</v>
      </c>
      <c r="L29" s="13">
        <v>1777</v>
      </c>
      <c r="M29" s="49">
        <v>49.46</v>
      </c>
      <c r="N29" s="1">
        <v>124.2</v>
      </c>
      <c r="O29" s="3">
        <v>30</v>
      </c>
      <c r="P29" s="11" t="s">
        <v>2275</v>
      </c>
      <c r="Q29" s="3">
        <v>8</v>
      </c>
      <c r="R29" s="3">
        <v>128</v>
      </c>
      <c r="S29" s="22">
        <v>14</v>
      </c>
      <c r="T29" s="9">
        <v>130</v>
      </c>
      <c r="U29" s="14" t="s">
        <v>446</v>
      </c>
      <c r="V29" s="12">
        <v>4</v>
      </c>
      <c r="W29" s="75">
        <v>16</v>
      </c>
      <c r="X29" s="76">
        <v>8</v>
      </c>
      <c r="Y29" s="9">
        <v>262.36</v>
      </c>
      <c r="Z29" s="3">
        <v>262.36</v>
      </c>
      <c r="AA29" s="17" t="s">
        <v>1644</v>
      </c>
      <c r="AB29" s="18" t="s">
        <v>1643</v>
      </c>
      <c r="AC29" s="46" cm="1">
        <f t="array" ref="AC29">(SUMPRODUCT((H29:O29/H$9:O$9)^H$7:O$7*H$2:O$2)+SUMPRODUCT((Q29:T29/Q$9:T$9)^Q$7:T$7*Q$2:T$2))*(0.8^(1-G29))*AC$9</f>
        <v>1.2791164396495678</v>
      </c>
      <c r="AD29" s="48" cm="1">
        <f t="array" ref="AD29">(SUMPRODUCT((H29:O29/H$9:O$9)^H$7:O$7*H$3:O$3)+SUMPRODUCT((Q29:T29/Q$9:T$9)^Q$7:T$7*Q$3:T$3))*(0.1^(1-G29))*AD$9</f>
        <v>1.235263776436853</v>
      </c>
      <c r="AE29" s="48" cm="1">
        <f t="array" ref="AE29">(SUMPRODUCT((H29:O29/H$9:O$9)^H$7:O$7*H$4:O$4)+SUMPRODUCT((Q29:T29/Q$9:T$9)^Q$7:T$7*Q$4:T$4))*AE$9</f>
        <v>1.1294606067779396</v>
      </c>
      <c r="AF29" s="47" cm="1">
        <f t="array" ref="AF29">(SUMPRODUCT((H29:O29/H$9:O$9)^H$7:O$7*H$5:O$5)+SUMPRODUCT((Q29:T29/Q$9:T$9)^Q$7:T$7*Q$5:T$5))*AF$9</f>
        <v>1.1802805304094219</v>
      </c>
      <c r="AG29" s="50" cm="1">
        <f t="array" ref="AG29">SUMPRODUCT(AC29:AF29 * AC$3:AF$3) / SUM(AC$3:AF$3)</f>
        <v>1.2216527715611878</v>
      </c>
    </row>
    <row r="30" spans="1:33" x14ac:dyDescent="0.25">
      <c r="A30" s="81" t="s">
        <v>1637</v>
      </c>
      <c r="B30" s="20" t="s">
        <v>1639</v>
      </c>
      <c r="C30" s="4" t="s">
        <v>8853</v>
      </c>
      <c r="D30" s="4" t="str">
        <f t="shared" si="0"/>
        <v>GIGABYTE</v>
      </c>
      <c r="E30" s="4" t="s">
        <v>8854</v>
      </c>
      <c r="F30" s="14" t="s">
        <v>8862</v>
      </c>
      <c r="G30" s="9">
        <v>1</v>
      </c>
      <c r="H30" s="1">
        <v>9.18</v>
      </c>
      <c r="I30" s="1">
        <v>9.18</v>
      </c>
      <c r="J30" s="1">
        <v>0.14000000000000001</v>
      </c>
      <c r="K30" s="3">
        <v>1750</v>
      </c>
      <c r="L30" s="13">
        <v>1792</v>
      </c>
      <c r="M30" s="49">
        <v>49.46</v>
      </c>
      <c r="N30" s="1">
        <v>124.2</v>
      </c>
      <c r="O30" s="3">
        <v>30</v>
      </c>
      <c r="P30" s="11" t="s">
        <v>2275</v>
      </c>
      <c r="Q30" s="3">
        <v>8</v>
      </c>
      <c r="R30" s="3">
        <v>128</v>
      </c>
      <c r="S30" s="22">
        <v>14</v>
      </c>
      <c r="T30" s="9">
        <v>130</v>
      </c>
      <c r="U30" s="14" t="s">
        <v>446</v>
      </c>
      <c r="V30" s="12">
        <v>4</v>
      </c>
      <c r="W30" s="75">
        <v>16</v>
      </c>
      <c r="X30" s="76">
        <v>8</v>
      </c>
      <c r="Y30" s="9">
        <v>362.34</v>
      </c>
      <c r="Z30" s="3">
        <v>362.34</v>
      </c>
      <c r="AA30" s="17" t="s">
        <v>1638</v>
      </c>
      <c r="AB30" s="18" t="s">
        <v>1637</v>
      </c>
      <c r="AC30" s="46" cm="1">
        <f t="array" ref="AC30">(SUMPRODUCT((H30:O30/H$9:O$9)^H$7:O$7*H$2:O$2)+SUMPRODUCT((Q30:T30/Q$9:T$9)^Q$7:T$7*Q$2:T$2))*(0.8^(1-G30))*AC$9</f>
        <v>1.2815369037391511</v>
      </c>
      <c r="AD30" s="48" cm="1">
        <f t="array" ref="AD30">(SUMPRODUCT((H30:O30/H$9:O$9)^H$7:O$7*H$3:O$3)+SUMPRODUCT((Q30:T30/Q$9:T$9)^Q$7:T$7*Q$3:T$3))*(0.1^(1-G30))*AD$9</f>
        <v>1.2404044182408358</v>
      </c>
      <c r="AE30" s="48" cm="1">
        <f t="array" ref="AE30">(SUMPRODUCT((H30:O30/H$9:O$9)^H$7:O$7*H$4:O$4)+SUMPRODUCT((Q30:T30/Q$9:T$9)^Q$7:T$7*Q$4:T$4))*AE$9</f>
        <v>1.1309475670195164</v>
      </c>
      <c r="AF30" s="47" cm="1">
        <f t="array" ref="AF30">(SUMPRODUCT((H30:O30/H$9:O$9)^H$7:O$7*H$5:O$5)+SUMPRODUCT((Q30:T30/Q$9:T$9)^Q$7:T$7*Q$5:T$5))*AF$9</f>
        <v>1.183495246004048</v>
      </c>
      <c r="AG30" s="50" cm="1">
        <f t="array" ref="AG30">SUMPRODUCT(AC30:AF30 * AC$3:AF$3) / SUM(AC$3:AF$3)</f>
        <v>1.2256130980931661</v>
      </c>
    </row>
    <row r="31" spans="1:33" x14ac:dyDescent="0.25">
      <c r="A31" s="81" t="s">
        <v>1634</v>
      </c>
      <c r="B31" s="20" t="s">
        <v>1636</v>
      </c>
      <c r="C31" s="4" t="s">
        <v>8853</v>
      </c>
      <c r="D31" s="4" t="str">
        <f t="shared" si="0"/>
        <v>GIGABYTE</v>
      </c>
      <c r="E31" s="4" t="s">
        <v>8854</v>
      </c>
      <c r="F31" s="14" t="s">
        <v>8862</v>
      </c>
      <c r="G31" s="9">
        <v>1</v>
      </c>
      <c r="H31" s="1">
        <v>9.33</v>
      </c>
      <c r="I31" s="1">
        <v>9.33</v>
      </c>
      <c r="J31" s="1">
        <v>0.15</v>
      </c>
      <c r="K31" s="3">
        <v>1750</v>
      </c>
      <c r="L31" s="13">
        <v>1822</v>
      </c>
      <c r="M31" s="49">
        <v>49.46</v>
      </c>
      <c r="N31" s="1">
        <v>124.2</v>
      </c>
      <c r="O31" s="3">
        <v>30</v>
      </c>
      <c r="P31" s="11" t="s">
        <v>2275</v>
      </c>
      <c r="Q31" s="3">
        <v>8</v>
      </c>
      <c r="R31" s="3">
        <v>128</v>
      </c>
      <c r="S31" s="22">
        <v>14</v>
      </c>
      <c r="T31" s="9">
        <v>130</v>
      </c>
      <c r="U31" s="14" t="s">
        <v>446</v>
      </c>
      <c r="V31" s="12">
        <v>4</v>
      </c>
      <c r="W31" s="75">
        <v>16</v>
      </c>
      <c r="X31" s="76">
        <v>8</v>
      </c>
      <c r="Y31" s="9">
        <v>279.89999999999998</v>
      </c>
      <c r="Z31" s="3">
        <v>367.47</v>
      </c>
      <c r="AA31" s="17" t="s">
        <v>1635</v>
      </c>
      <c r="AB31" s="18" t="s">
        <v>1634</v>
      </c>
      <c r="AC31" s="46" cm="1">
        <f t="array" ref="AC31">(SUMPRODUCT((H31:O31/H$9:O$9)^H$7:O$7*H$2:O$2)+SUMPRODUCT((Q31:T31/Q$9:T$9)^Q$7:T$7*Q$2:T$2))*(0.8^(1-G31))*AC$9</f>
        <v>1.28630989789509</v>
      </c>
      <c r="AD31" s="48" cm="1">
        <f t="array" ref="AD31">(SUMPRODUCT((H31:O31/H$9:O$9)^H$7:O$7*H$3:O$3)+SUMPRODUCT((Q31:T31/Q$9:T$9)^Q$7:T$7*Q$3:T$3))*(0.1^(1-G31))*AD$9</f>
        <v>1.2535169660040753</v>
      </c>
      <c r="AE31" s="48" cm="1">
        <f t="array" ref="AE31">(SUMPRODUCT((H31:O31/H$9:O$9)^H$7:O$7*H$4:O$4)+SUMPRODUCT((Q31:T31/Q$9:T$9)^Q$7:T$7*Q$4:T$4))*AE$9</f>
        <v>1.1578195926732098</v>
      </c>
      <c r="AF31" s="47" cm="1">
        <f t="array" ref="AF31">(SUMPRODUCT((H31:O31/H$9:O$9)^H$7:O$7*H$5:O$5)+SUMPRODUCT((Q31:T31/Q$9:T$9)^Q$7:T$7*Q$5:T$5))*AF$9</f>
        <v>1.1896108869100437</v>
      </c>
      <c r="AG31" s="50" cm="1">
        <f t="array" ref="AG31">SUMPRODUCT(AC31:AF31 * AC$3:AF$3) / SUM(AC$3:AF$3)</f>
        <v>1.2376983999890319</v>
      </c>
    </row>
    <row r="32" spans="1:33" x14ac:dyDescent="0.25">
      <c r="A32" s="81" t="s">
        <v>1622</v>
      </c>
      <c r="B32" s="20" t="s">
        <v>1624</v>
      </c>
      <c r="C32" s="4" t="s">
        <v>8853</v>
      </c>
      <c r="D32" s="4" t="str">
        <f t="shared" si="0"/>
        <v>GIGABYTE</v>
      </c>
      <c r="E32" s="4" t="s">
        <v>8854</v>
      </c>
      <c r="F32" s="14" t="s">
        <v>8862</v>
      </c>
      <c r="G32" s="9">
        <v>1</v>
      </c>
      <c r="H32" s="1">
        <v>9.18</v>
      </c>
      <c r="I32" s="1">
        <v>9.18</v>
      </c>
      <c r="J32" s="1">
        <v>0.14000000000000001</v>
      </c>
      <c r="K32" s="3">
        <v>1750</v>
      </c>
      <c r="L32" s="13">
        <v>1792</v>
      </c>
      <c r="M32" s="49">
        <v>49.46</v>
      </c>
      <c r="N32" s="1">
        <v>124.2</v>
      </c>
      <c r="O32" s="3">
        <v>30</v>
      </c>
      <c r="P32" s="11" t="s">
        <v>2275</v>
      </c>
      <c r="Q32" s="3">
        <v>8</v>
      </c>
      <c r="R32" s="3">
        <v>128</v>
      </c>
      <c r="S32" s="22">
        <v>14</v>
      </c>
      <c r="T32" s="9">
        <v>130</v>
      </c>
      <c r="U32" s="14" t="s">
        <v>446</v>
      </c>
      <c r="V32" s="12">
        <v>4</v>
      </c>
      <c r="W32" s="75">
        <v>16</v>
      </c>
      <c r="X32" s="76">
        <v>8</v>
      </c>
      <c r="Y32" s="9">
        <v>259.25</v>
      </c>
      <c r="Z32" s="3">
        <v>261.95</v>
      </c>
      <c r="AA32" s="17" t="s">
        <v>1623</v>
      </c>
      <c r="AB32" s="18" t="s">
        <v>1622</v>
      </c>
      <c r="AC32" s="46" cm="1">
        <f t="array" ref="AC32">(SUMPRODUCT((H32:O32/H$9:O$9)^H$7:O$7*H$2:O$2)+SUMPRODUCT((Q32:T32/Q$9:T$9)^Q$7:T$7*Q$2:T$2))*(0.8^(1-G32))*AC$9</f>
        <v>1.2815369037391511</v>
      </c>
      <c r="AD32" s="48" cm="1">
        <f t="array" ref="AD32">(SUMPRODUCT((H32:O32/H$9:O$9)^H$7:O$7*H$3:O$3)+SUMPRODUCT((Q32:T32/Q$9:T$9)^Q$7:T$7*Q$3:T$3))*(0.1^(1-G32))*AD$9</f>
        <v>1.2404044182408358</v>
      </c>
      <c r="AE32" s="48" cm="1">
        <f t="array" ref="AE32">(SUMPRODUCT((H32:O32/H$9:O$9)^H$7:O$7*H$4:O$4)+SUMPRODUCT((Q32:T32/Q$9:T$9)^Q$7:T$7*Q$4:T$4))*AE$9</f>
        <v>1.1309475670195164</v>
      </c>
      <c r="AF32" s="47" cm="1">
        <f t="array" ref="AF32">(SUMPRODUCT((H32:O32/H$9:O$9)^H$7:O$7*H$5:O$5)+SUMPRODUCT((Q32:T32/Q$9:T$9)^Q$7:T$7*Q$5:T$5))*AF$9</f>
        <v>1.183495246004048</v>
      </c>
      <c r="AG32" s="50" cm="1">
        <f t="array" ref="AG32">SUMPRODUCT(AC32:AF32 * AC$3:AF$3) / SUM(AC$3:AF$3)</f>
        <v>1.2256130980931661</v>
      </c>
    </row>
    <row r="33" spans="1:33" x14ac:dyDescent="0.25">
      <c r="A33" s="81" t="s">
        <v>1619</v>
      </c>
      <c r="B33" s="20" t="s">
        <v>1621</v>
      </c>
      <c r="C33" s="4" t="s">
        <v>8853</v>
      </c>
      <c r="D33" s="4" t="str">
        <f t="shared" si="0"/>
        <v>GIGABYTE</v>
      </c>
      <c r="E33" s="4" t="s">
        <v>8854</v>
      </c>
      <c r="F33" s="14" t="s">
        <v>8862</v>
      </c>
      <c r="G33" s="9">
        <v>1</v>
      </c>
      <c r="H33" s="1">
        <v>9.18</v>
      </c>
      <c r="I33" s="1">
        <v>9.18</v>
      </c>
      <c r="J33" s="1">
        <v>0.14000000000000001</v>
      </c>
      <c r="K33" s="3">
        <v>1750</v>
      </c>
      <c r="L33" s="13">
        <v>1792</v>
      </c>
      <c r="M33" s="49">
        <v>49.46</v>
      </c>
      <c r="N33" s="1">
        <v>124.2</v>
      </c>
      <c r="O33" s="3">
        <v>30</v>
      </c>
      <c r="P33" s="11" t="s">
        <v>2275</v>
      </c>
      <c r="Q33" s="3">
        <v>8</v>
      </c>
      <c r="R33" s="3">
        <v>128</v>
      </c>
      <c r="S33" s="22">
        <v>14</v>
      </c>
      <c r="T33" s="9">
        <v>130</v>
      </c>
      <c r="U33" s="14" t="s">
        <v>446</v>
      </c>
      <c r="V33" s="12">
        <v>4</v>
      </c>
      <c r="W33" s="75">
        <v>16</v>
      </c>
      <c r="X33" s="76">
        <v>8</v>
      </c>
      <c r="Y33" s="9">
        <v>309</v>
      </c>
      <c r="Z33" s="3">
        <v>309</v>
      </c>
      <c r="AA33" s="17" t="s">
        <v>1620</v>
      </c>
      <c r="AB33" s="18" t="s">
        <v>1619</v>
      </c>
      <c r="AC33" s="46" cm="1">
        <f t="array" ref="AC33">(SUMPRODUCT((H33:O33/H$9:O$9)^H$7:O$7*H$2:O$2)+SUMPRODUCT((Q33:T33/Q$9:T$9)^Q$7:T$7*Q$2:T$2))*(0.8^(1-G33))*AC$9</f>
        <v>1.2815369037391511</v>
      </c>
      <c r="AD33" s="48" cm="1">
        <f t="array" ref="AD33">(SUMPRODUCT((H33:O33/H$9:O$9)^H$7:O$7*H$3:O$3)+SUMPRODUCT((Q33:T33/Q$9:T$9)^Q$7:T$7*Q$3:T$3))*(0.1^(1-G33))*AD$9</f>
        <v>1.2404044182408358</v>
      </c>
      <c r="AE33" s="48" cm="1">
        <f t="array" ref="AE33">(SUMPRODUCT((H33:O33/H$9:O$9)^H$7:O$7*H$4:O$4)+SUMPRODUCT((Q33:T33/Q$9:T$9)^Q$7:T$7*Q$4:T$4))*AE$9</f>
        <v>1.1309475670195164</v>
      </c>
      <c r="AF33" s="47" cm="1">
        <f t="array" ref="AF33">(SUMPRODUCT((H33:O33/H$9:O$9)^H$7:O$7*H$5:O$5)+SUMPRODUCT((Q33:T33/Q$9:T$9)^Q$7:T$7*Q$5:T$5))*AF$9</f>
        <v>1.183495246004048</v>
      </c>
      <c r="AG33" s="50" cm="1">
        <f t="array" ref="AG33">SUMPRODUCT(AC33:AF33 * AC$3:AF$3) / SUM(AC$3:AF$3)</f>
        <v>1.2256130980931661</v>
      </c>
    </row>
    <row r="34" spans="1:33" x14ac:dyDescent="0.25">
      <c r="A34" s="81" t="s">
        <v>1334</v>
      </c>
      <c r="B34" s="20" t="s">
        <v>1336</v>
      </c>
      <c r="C34" s="4" t="s">
        <v>8853</v>
      </c>
      <c r="D34" s="4" t="str">
        <f t="shared" si="0"/>
        <v>INNO3D</v>
      </c>
      <c r="E34" s="4" t="s">
        <v>8854</v>
      </c>
      <c r="F34" s="14" t="s">
        <v>8862</v>
      </c>
      <c r="G34" s="9">
        <v>1</v>
      </c>
      <c r="H34" s="1">
        <v>9.3699999999999992</v>
      </c>
      <c r="I34" s="1">
        <v>9.3699999999999992</v>
      </c>
      <c r="J34" s="1">
        <v>0.15</v>
      </c>
      <c r="K34" s="3">
        <v>1750</v>
      </c>
      <c r="L34" s="13">
        <v>1830</v>
      </c>
      <c r="M34" s="49">
        <v>49.46</v>
      </c>
      <c r="N34" s="1">
        <v>124.2</v>
      </c>
      <c r="O34" s="3">
        <v>30</v>
      </c>
      <c r="P34" s="11" t="s">
        <v>2275</v>
      </c>
      <c r="Q34" s="3">
        <v>8</v>
      </c>
      <c r="R34" s="3">
        <v>128</v>
      </c>
      <c r="S34" s="22">
        <v>14</v>
      </c>
      <c r="T34" s="9">
        <v>130</v>
      </c>
      <c r="U34" s="14" t="s">
        <v>446</v>
      </c>
      <c r="V34" s="12">
        <v>4</v>
      </c>
      <c r="W34" s="75">
        <v>16</v>
      </c>
      <c r="X34" s="76">
        <v>8</v>
      </c>
      <c r="Y34" s="9">
        <v>401.27</v>
      </c>
      <c r="Z34" s="3">
        <v>405.45</v>
      </c>
      <c r="AA34" s="17" t="s">
        <v>1335</v>
      </c>
      <c r="AB34" s="18" t="s">
        <v>1334</v>
      </c>
      <c r="AC34" s="46" cm="1">
        <f t="array" ref="AC34">(SUMPRODUCT((H34:O34/H$9:O$9)^H$7:O$7*H$2:O$2)+SUMPRODUCT((Q34:T34/Q$9:T$9)^Q$7:T$7*Q$2:T$2))*(0.8^(1-G34))*AC$9</f>
        <v>1.2875813703505476</v>
      </c>
      <c r="AD34" s="48" cm="1">
        <f t="array" ref="AD34">(SUMPRODUCT((H34:O34/H$9:O$9)^H$7:O$7*H$3:O$3)+SUMPRODUCT((Q34:T34/Q$9:T$9)^Q$7:T$7*Q$3:T$3))*(0.1^(1-G34))*AD$9</f>
        <v>1.2560926809060351</v>
      </c>
      <c r="AE34" s="48" cm="1">
        <f t="array" ref="AE34">(SUMPRODUCT((H34:O34/H$9:O$9)^H$7:O$7*H$4:O$4)+SUMPRODUCT((Q34:T34/Q$9:T$9)^Q$7:T$7*Q$4:T$4))*AE$9</f>
        <v>1.1585613856262291</v>
      </c>
      <c r="AF34" s="47" cm="1">
        <f t="array" ref="AF34">(SUMPRODUCT((H34:O34/H$9:O$9)^H$7:O$7*H$5:O$5)+SUMPRODUCT((Q34:T34/Q$9:T$9)^Q$7:T$7*Q$5:T$5))*AF$9</f>
        <v>1.1912399301031349</v>
      </c>
      <c r="AG34" s="50" cm="1">
        <f t="array" ref="AG34">SUMPRODUCT(AC34:AF34 * AC$3:AF$3) / SUM(AC$3:AF$3)</f>
        <v>1.2396951934263254</v>
      </c>
    </row>
    <row r="35" spans="1:33" x14ac:dyDescent="0.25">
      <c r="A35" s="81" t="s">
        <v>1331</v>
      </c>
      <c r="B35" s="20" t="s">
        <v>1333</v>
      </c>
      <c r="C35" s="4" t="s">
        <v>8853</v>
      </c>
      <c r="D35" s="4" t="str">
        <f t="shared" si="0"/>
        <v>INNO3D</v>
      </c>
      <c r="E35" s="4" t="s">
        <v>8854</v>
      </c>
      <c r="F35" s="14" t="s">
        <v>8862</v>
      </c>
      <c r="G35" s="9">
        <v>1</v>
      </c>
      <c r="H35" s="1">
        <v>9.18</v>
      </c>
      <c r="I35" s="1">
        <v>9.18</v>
      </c>
      <c r="J35" s="1">
        <v>0.14000000000000001</v>
      </c>
      <c r="K35" s="3">
        <v>1750</v>
      </c>
      <c r="L35" s="13">
        <v>1792</v>
      </c>
      <c r="M35" s="49">
        <v>49.46</v>
      </c>
      <c r="N35" s="1">
        <v>124.2</v>
      </c>
      <c r="O35" s="3">
        <v>30</v>
      </c>
      <c r="P35" s="11" t="s">
        <v>2275</v>
      </c>
      <c r="Q35" s="3">
        <v>8</v>
      </c>
      <c r="R35" s="3">
        <v>128</v>
      </c>
      <c r="S35" s="22">
        <v>14</v>
      </c>
      <c r="T35" s="9">
        <v>130</v>
      </c>
      <c r="U35" s="14" t="s">
        <v>642</v>
      </c>
      <c r="V35" s="12">
        <v>4</v>
      </c>
      <c r="W35" s="75">
        <v>16</v>
      </c>
      <c r="X35" s="76">
        <v>8</v>
      </c>
      <c r="Y35" s="9">
        <v>223.92</v>
      </c>
      <c r="Z35" s="3">
        <v>467.15</v>
      </c>
      <c r="AA35" s="17" t="s">
        <v>1332</v>
      </c>
      <c r="AB35" s="18" t="s">
        <v>1331</v>
      </c>
      <c r="AC35" s="46" cm="1">
        <f t="array" ref="AC35">(SUMPRODUCT((H35:O35/H$9:O$9)^H$7:O$7*H$2:O$2)+SUMPRODUCT((Q35:T35/Q$9:T$9)^Q$7:T$7*Q$2:T$2))*(0.8^(1-G35))*AC$9</f>
        <v>1.2815369037391511</v>
      </c>
      <c r="AD35" s="48" cm="1">
        <f t="array" ref="AD35">(SUMPRODUCT((H35:O35/H$9:O$9)^H$7:O$7*H$3:O$3)+SUMPRODUCT((Q35:T35/Q$9:T$9)^Q$7:T$7*Q$3:T$3))*(0.1^(1-G35))*AD$9</f>
        <v>1.2404044182408358</v>
      </c>
      <c r="AE35" s="48" cm="1">
        <f t="array" ref="AE35">(SUMPRODUCT((H35:O35/H$9:O$9)^H$7:O$7*H$4:O$4)+SUMPRODUCT((Q35:T35/Q$9:T$9)^Q$7:T$7*Q$4:T$4))*AE$9</f>
        <v>1.1309475670195164</v>
      </c>
      <c r="AF35" s="47" cm="1">
        <f t="array" ref="AF35">(SUMPRODUCT((H35:O35/H$9:O$9)^H$7:O$7*H$5:O$5)+SUMPRODUCT((Q35:T35/Q$9:T$9)^Q$7:T$7*Q$5:T$5))*AF$9</f>
        <v>1.183495246004048</v>
      </c>
      <c r="AG35" s="50" cm="1">
        <f t="array" ref="AG35">SUMPRODUCT(AC35:AF35 * AC$3:AF$3) / SUM(AC$3:AF$3)</f>
        <v>1.2256130980931661</v>
      </c>
    </row>
    <row r="36" spans="1:33" x14ac:dyDescent="0.25">
      <c r="A36" s="81" t="s">
        <v>1328</v>
      </c>
      <c r="B36" s="20" t="s">
        <v>1330</v>
      </c>
      <c r="C36" s="4" t="s">
        <v>8853</v>
      </c>
      <c r="D36" s="4" t="str">
        <f t="shared" si="0"/>
        <v>INNO3D</v>
      </c>
      <c r="E36" s="4" t="s">
        <v>8854</v>
      </c>
      <c r="F36" s="14" t="s">
        <v>8862</v>
      </c>
      <c r="G36" s="9">
        <v>1</v>
      </c>
      <c r="H36" s="1">
        <v>9.33</v>
      </c>
      <c r="I36" s="1">
        <v>9.33</v>
      </c>
      <c r="J36" s="1">
        <v>0.15</v>
      </c>
      <c r="K36" s="3">
        <v>1750</v>
      </c>
      <c r="L36" s="13">
        <v>1822</v>
      </c>
      <c r="M36" s="49">
        <v>49.46</v>
      </c>
      <c r="N36" s="1">
        <v>124.2</v>
      </c>
      <c r="O36" s="3">
        <v>30</v>
      </c>
      <c r="P36" s="11" t="s">
        <v>2275</v>
      </c>
      <c r="Q36" s="3">
        <v>8</v>
      </c>
      <c r="R36" s="3">
        <v>128</v>
      </c>
      <c r="S36" s="22">
        <v>14</v>
      </c>
      <c r="T36" s="9">
        <v>130</v>
      </c>
      <c r="U36" s="14" t="s">
        <v>446</v>
      </c>
      <c r="V36" s="12">
        <v>4</v>
      </c>
      <c r="W36" s="75">
        <v>16</v>
      </c>
      <c r="X36" s="76">
        <v>8</v>
      </c>
      <c r="Y36" s="9">
        <v>269</v>
      </c>
      <c r="Z36" s="3">
        <v>461.15</v>
      </c>
      <c r="AA36" s="17" t="s">
        <v>1329</v>
      </c>
      <c r="AB36" s="18" t="s">
        <v>1328</v>
      </c>
      <c r="AC36" s="46" cm="1">
        <f t="array" ref="AC36">(SUMPRODUCT((H36:O36/H$9:O$9)^H$7:O$7*H$2:O$2)+SUMPRODUCT((Q36:T36/Q$9:T$9)^Q$7:T$7*Q$2:T$2))*(0.8^(1-G36))*AC$9</f>
        <v>1.28630989789509</v>
      </c>
      <c r="AD36" s="48" cm="1">
        <f t="array" ref="AD36">(SUMPRODUCT((H36:O36/H$9:O$9)^H$7:O$7*H$3:O$3)+SUMPRODUCT((Q36:T36/Q$9:T$9)^Q$7:T$7*Q$3:T$3))*(0.1^(1-G36))*AD$9</f>
        <v>1.2535169660040753</v>
      </c>
      <c r="AE36" s="48" cm="1">
        <f t="array" ref="AE36">(SUMPRODUCT((H36:O36/H$9:O$9)^H$7:O$7*H$4:O$4)+SUMPRODUCT((Q36:T36/Q$9:T$9)^Q$7:T$7*Q$4:T$4))*AE$9</f>
        <v>1.1578195926732098</v>
      </c>
      <c r="AF36" s="47" cm="1">
        <f t="array" ref="AF36">(SUMPRODUCT((H36:O36/H$9:O$9)^H$7:O$7*H$5:O$5)+SUMPRODUCT((Q36:T36/Q$9:T$9)^Q$7:T$7*Q$5:T$5))*AF$9</f>
        <v>1.1896108869100437</v>
      </c>
      <c r="AG36" s="50" cm="1">
        <f t="array" ref="AG36">SUMPRODUCT(AC36:AF36 * AC$3:AF$3) / SUM(AC$3:AF$3)</f>
        <v>1.2376983999890319</v>
      </c>
    </row>
    <row r="37" spans="1:33" x14ac:dyDescent="0.25">
      <c r="A37" s="81" t="s">
        <v>1322</v>
      </c>
      <c r="B37" s="20" t="s">
        <v>1324</v>
      </c>
      <c r="C37" s="4" t="s">
        <v>8853</v>
      </c>
      <c r="D37" s="4" t="str">
        <f t="shared" si="0"/>
        <v>INNO3D</v>
      </c>
      <c r="E37" s="4" t="s">
        <v>8854</v>
      </c>
      <c r="F37" s="14" t="s">
        <v>8862</v>
      </c>
      <c r="G37" s="9">
        <v>1</v>
      </c>
      <c r="H37" s="1">
        <v>9.1</v>
      </c>
      <c r="I37" s="1">
        <v>9.1</v>
      </c>
      <c r="J37" s="1">
        <v>0.14000000000000001</v>
      </c>
      <c r="K37" s="3">
        <v>1750</v>
      </c>
      <c r="L37" s="13">
        <v>1777</v>
      </c>
      <c r="M37" s="49">
        <v>49.46</v>
      </c>
      <c r="N37" s="1">
        <v>124.2</v>
      </c>
      <c r="O37" s="3">
        <v>30</v>
      </c>
      <c r="P37" s="11" t="s">
        <v>2275</v>
      </c>
      <c r="Q37" s="3">
        <v>8</v>
      </c>
      <c r="R37" s="3">
        <v>128</v>
      </c>
      <c r="S37" s="22">
        <v>14</v>
      </c>
      <c r="T37" s="9">
        <v>130</v>
      </c>
      <c r="U37" s="14" t="s">
        <v>642</v>
      </c>
      <c r="V37" s="12">
        <v>4</v>
      </c>
      <c r="W37" s="75">
        <v>16</v>
      </c>
      <c r="X37" s="76">
        <v>8</v>
      </c>
      <c r="Y37" s="9">
        <v>209.89</v>
      </c>
      <c r="Z37" s="3">
        <v>311.27</v>
      </c>
      <c r="AA37" s="17" t="s">
        <v>1323</v>
      </c>
      <c r="AB37" s="18" t="s">
        <v>1322</v>
      </c>
      <c r="AC37" s="46" cm="1">
        <f t="array" ref="AC37">(SUMPRODUCT((H37:O37/H$9:O$9)^H$7:O$7*H$2:O$2)+SUMPRODUCT((Q37:T37/Q$9:T$9)^Q$7:T$7*Q$2:T$2))*(0.8^(1-G37))*AC$9</f>
        <v>1.2791164396495678</v>
      </c>
      <c r="AD37" s="48" cm="1">
        <f t="array" ref="AD37">(SUMPRODUCT((H37:O37/H$9:O$9)^H$7:O$7*H$3:O$3)+SUMPRODUCT((Q37:T37/Q$9:T$9)^Q$7:T$7*Q$3:T$3))*(0.1^(1-G37))*AD$9</f>
        <v>1.235263776436853</v>
      </c>
      <c r="AE37" s="48" cm="1">
        <f t="array" ref="AE37">(SUMPRODUCT((H37:O37/H$9:O$9)^H$7:O$7*H$4:O$4)+SUMPRODUCT((Q37:T37/Q$9:T$9)^Q$7:T$7*Q$4:T$4))*AE$9</f>
        <v>1.1294606067779396</v>
      </c>
      <c r="AF37" s="47" cm="1">
        <f t="array" ref="AF37">(SUMPRODUCT((H37:O37/H$9:O$9)^H$7:O$7*H$5:O$5)+SUMPRODUCT((Q37:T37/Q$9:T$9)^Q$7:T$7*Q$5:T$5))*AF$9</f>
        <v>1.1802805304094219</v>
      </c>
      <c r="AG37" s="50" cm="1">
        <f t="array" ref="AG37">SUMPRODUCT(AC37:AF37 * AC$3:AF$3) / SUM(AC$3:AF$3)</f>
        <v>1.2216527715611878</v>
      </c>
    </row>
    <row r="38" spans="1:33" x14ac:dyDescent="0.25">
      <c r="A38" s="81" t="s">
        <v>1319</v>
      </c>
      <c r="B38" s="20" t="s">
        <v>1321</v>
      </c>
      <c r="C38" s="4" t="s">
        <v>8853</v>
      </c>
      <c r="D38" s="4" t="str">
        <f t="shared" si="0"/>
        <v>INNO3D</v>
      </c>
      <c r="E38" s="4" t="s">
        <v>8854</v>
      </c>
      <c r="F38" s="14" t="s">
        <v>8862</v>
      </c>
      <c r="G38" s="9">
        <v>1</v>
      </c>
      <c r="H38" s="1">
        <v>9.1</v>
      </c>
      <c r="I38" s="1">
        <v>9.1</v>
      </c>
      <c r="J38" s="1">
        <v>0.14000000000000001</v>
      </c>
      <c r="K38" s="3">
        <v>1750</v>
      </c>
      <c r="L38" s="13">
        <v>1777</v>
      </c>
      <c r="M38" s="49">
        <v>49.46</v>
      </c>
      <c r="N38" s="1">
        <v>124.2</v>
      </c>
      <c r="O38" s="3">
        <v>30</v>
      </c>
      <c r="P38" s="11" t="s">
        <v>2275</v>
      </c>
      <c r="Q38" s="3">
        <v>8</v>
      </c>
      <c r="R38" s="3">
        <v>128</v>
      </c>
      <c r="S38" s="22">
        <v>14</v>
      </c>
      <c r="T38" s="9">
        <v>130</v>
      </c>
      <c r="U38" s="14" t="s">
        <v>446</v>
      </c>
      <c r="V38" s="12">
        <v>4</v>
      </c>
      <c r="W38" s="75">
        <v>16</v>
      </c>
      <c r="X38" s="76">
        <v>8</v>
      </c>
      <c r="Y38" s="9">
        <v>369.98</v>
      </c>
      <c r="Z38" s="3">
        <v>545.57000000000005</v>
      </c>
      <c r="AA38" s="17" t="s">
        <v>1320</v>
      </c>
      <c r="AB38" s="18" t="s">
        <v>1319</v>
      </c>
      <c r="AC38" s="46" cm="1">
        <f t="array" ref="AC38">(SUMPRODUCT((H38:O38/H$9:O$9)^H$7:O$7*H$2:O$2)+SUMPRODUCT((Q38:T38/Q$9:T$9)^Q$7:T$7*Q$2:T$2))*(0.8^(1-G38))*AC$9</f>
        <v>1.2791164396495678</v>
      </c>
      <c r="AD38" s="48" cm="1">
        <f t="array" ref="AD38">(SUMPRODUCT((H38:O38/H$9:O$9)^H$7:O$7*H$3:O$3)+SUMPRODUCT((Q38:T38/Q$9:T$9)^Q$7:T$7*Q$3:T$3))*(0.1^(1-G38))*AD$9</f>
        <v>1.235263776436853</v>
      </c>
      <c r="AE38" s="48" cm="1">
        <f t="array" ref="AE38">(SUMPRODUCT((H38:O38/H$9:O$9)^H$7:O$7*H$4:O$4)+SUMPRODUCT((Q38:T38/Q$9:T$9)^Q$7:T$7*Q$4:T$4))*AE$9</f>
        <v>1.1294606067779396</v>
      </c>
      <c r="AF38" s="47" cm="1">
        <f t="array" ref="AF38">(SUMPRODUCT((H38:O38/H$9:O$9)^H$7:O$7*H$5:O$5)+SUMPRODUCT((Q38:T38/Q$9:T$9)^Q$7:T$7*Q$5:T$5))*AF$9</f>
        <v>1.1802805304094219</v>
      </c>
      <c r="AG38" s="50" cm="1">
        <f t="array" ref="AG38">SUMPRODUCT(AC38:AF38 * AC$3:AF$3) / SUM(AC$3:AF$3)</f>
        <v>1.2216527715611878</v>
      </c>
    </row>
    <row r="39" spans="1:33" x14ac:dyDescent="0.25">
      <c r="A39" s="81" t="s">
        <v>1164</v>
      </c>
      <c r="B39" s="20" t="s">
        <v>1166</v>
      </c>
      <c r="C39" s="4" t="s">
        <v>8853</v>
      </c>
      <c r="D39" s="4" t="str">
        <f t="shared" si="0"/>
        <v>MSI</v>
      </c>
      <c r="E39" s="4" t="s">
        <v>8854</v>
      </c>
      <c r="F39" s="14" t="s">
        <v>8862</v>
      </c>
      <c r="G39" s="9">
        <v>1</v>
      </c>
      <c r="H39" s="1">
        <v>9.25</v>
      </c>
      <c r="I39" s="1">
        <v>9.25</v>
      </c>
      <c r="J39" s="1">
        <v>0.14000000000000001</v>
      </c>
      <c r="K39" s="3">
        <v>1750</v>
      </c>
      <c r="L39" s="13">
        <v>1807</v>
      </c>
      <c r="M39" s="49">
        <v>49.46</v>
      </c>
      <c r="N39" s="1">
        <v>124.2</v>
      </c>
      <c r="O39" s="3">
        <v>30</v>
      </c>
      <c r="P39" s="11" t="s">
        <v>2275</v>
      </c>
      <c r="Q39" s="3">
        <v>8</v>
      </c>
      <c r="R39" s="3">
        <v>128</v>
      </c>
      <c r="S39" s="22">
        <v>14</v>
      </c>
      <c r="T39" s="9">
        <v>130</v>
      </c>
      <c r="U39" s="14" t="s">
        <v>446</v>
      </c>
      <c r="V39" s="12">
        <v>4</v>
      </c>
      <c r="W39" s="75">
        <v>16</v>
      </c>
      <c r="X39" s="76">
        <v>8</v>
      </c>
      <c r="Y39" s="9">
        <v>400</v>
      </c>
      <c r="Z39" s="3">
        <v>510.43</v>
      </c>
      <c r="AA39" s="17" t="s">
        <v>1165</v>
      </c>
      <c r="AB39" s="18" t="s">
        <v>1164</v>
      </c>
      <c r="AC39" s="46" cm="1">
        <f t="array" ref="AC39">(SUMPRODUCT((H39:O39/H$9:O$9)^H$7:O$7*H$2:O$2)+SUMPRODUCT((Q39:T39/Q$9:T$9)^Q$7:T$7*Q$2:T$2))*(0.8^(1-G39))*AC$9</f>
        <v>1.2838934463180798</v>
      </c>
      <c r="AD39" s="48" cm="1">
        <f t="array" ref="AD39">(SUMPRODUCT((H39:O39/H$9:O$9)^H$7:O$7*H$3:O$3)+SUMPRODUCT((Q39:T39/Q$9:T$9)^Q$7:T$7*Q$3:T$3))*(0.1^(1-G39))*AD$9</f>
        <v>1.2449458878053652</v>
      </c>
      <c r="AE39" s="48" cm="1">
        <f t="array" ref="AE39">(SUMPRODUCT((H39:O39/H$9:O$9)^H$7:O$7*H$4:O$4)+SUMPRODUCT((Q39:T39/Q$9:T$9)^Q$7:T$7*Q$4:T$4))*AE$9</f>
        <v>1.1322475942749111</v>
      </c>
      <c r="AF39" s="47" cm="1">
        <f t="array" ref="AF39">(SUMPRODUCT((H39:O39/H$9:O$9)^H$7:O$7*H$5:O$5)+SUMPRODUCT((Q39:T39/Q$9:T$9)^Q$7:T$7*Q$5:T$5))*AF$9</f>
        <v>1.1864018057185226</v>
      </c>
      <c r="AG39" s="50" cm="1">
        <f t="array" ref="AG39">SUMPRODUCT(AC39:AF39 * AC$3:AF$3) / SUM(AC$3:AF$3)</f>
        <v>1.2291577679285155</v>
      </c>
    </row>
    <row r="40" spans="1:33" x14ac:dyDescent="0.25">
      <c r="A40" s="81" t="s">
        <v>1161</v>
      </c>
      <c r="B40" s="20" t="s">
        <v>1163</v>
      </c>
      <c r="C40" s="4" t="s">
        <v>8853</v>
      </c>
      <c r="D40" s="4" t="str">
        <f t="shared" si="0"/>
        <v>MSI</v>
      </c>
      <c r="E40" s="4" t="s">
        <v>8854</v>
      </c>
      <c r="F40" s="14" t="s">
        <v>8862</v>
      </c>
      <c r="G40" s="9">
        <v>1</v>
      </c>
      <c r="H40" s="1">
        <v>9.4499999999999993</v>
      </c>
      <c r="I40" s="1">
        <v>9.4499999999999993</v>
      </c>
      <c r="J40" s="1">
        <v>0.15</v>
      </c>
      <c r="K40" s="3">
        <v>1750</v>
      </c>
      <c r="L40" s="13">
        <v>1845</v>
      </c>
      <c r="M40" s="49">
        <v>49.46</v>
      </c>
      <c r="N40" s="1">
        <v>124.2</v>
      </c>
      <c r="O40" s="3">
        <v>30</v>
      </c>
      <c r="P40" s="11" t="s">
        <v>2275</v>
      </c>
      <c r="Q40" s="3">
        <v>8</v>
      </c>
      <c r="R40" s="3">
        <v>128</v>
      </c>
      <c r="S40" s="22">
        <v>14</v>
      </c>
      <c r="T40" s="9">
        <v>130</v>
      </c>
      <c r="U40" s="14" t="s">
        <v>446</v>
      </c>
      <c r="V40" s="12">
        <v>4</v>
      </c>
      <c r="W40" s="75">
        <v>16</v>
      </c>
      <c r="X40" s="76">
        <v>8</v>
      </c>
      <c r="Y40" s="9">
        <v>307.08999999999997</v>
      </c>
      <c r="Z40" s="3">
        <v>499</v>
      </c>
      <c r="AA40" s="17" t="s">
        <v>1162</v>
      </c>
      <c r="AB40" s="18" t="s">
        <v>1161</v>
      </c>
      <c r="AC40" s="46" cm="1">
        <f t="array" ref="AC40">(SUMPRODUCT((H40:O40/H$9:O$9)^H$7:O$7*H$2:O$2)+SUMPRODUCT((Q40:T40/Q$9:T$9)^Q$7:T$7*Q$2:T$2))*(0.8^(1-G40))*AC$9</f>
        <v>1.2899947682790405</v>
      </c>
      <c r="AD40" s="48" cm="1">
        <f t="array" ref="AD40">(SUMPRODUCT((H40:O40/H$9:O$9)^H$7:O$7*H$3:O$3)+SUMPRODUCT((Q40:T40/Q$9:T$9)^Q$7:T$7*Q$3:T$3))*(0.1^(1-G40))*AD$9</f>
        <v>1.261214350767099</v>
      </c>
      <c r="AE40" s="48" cm="1">
        <f t="array" ref="AE40">(SUMPRODUCT((H40:O40/H$9:O$9)^H$7:O$7*H$4:O$4)+SUMPRODUCT((Q40:T40/Q$9:T$9)^Q$7:T$7*Q$4:T$4))*AE$9</f>
        <v>1.1600440232104181</v>
      </c>
      <c r="AF40" s="47" cm="1">
        <f t="array" ref="AF40">(SUMPRODUCT((H40:O40/H$9:O$9)^H$7:O$7*H$5:O$5)+SUMPRODUCT((Q40:T40/Q$9:T$9)^Q$7:T$7*Q$5:T$5))*AF$9</f>
        <v>1.1944446181536799</v>
      </c>
      <c r="AG40" s="50" cm="1">
        <f t="array" ref="AG40">SUMPRODUCT(AC40:AF40 * AC$3:AF$3) / SUM(AC$3:AF$3)</f>
        <v>1.2436416507438881</v>
      </c>
    </row>
    <row r="41" spans="1:33" x14ac:dyDescent="0.25">
      <c r="A41" s="81" t="s">
        <v>1152</v>
      </c>
      <c r="B41" s="20" t="s">
        <v>1154</v>
      </c>
      <c r="C41" s="4" t="s">
        <v>8853</v>
      </c>
      <c r="D41" s="4" t="str">
        <f t="shared" si="0"/>
        <v>MSI</v>
      </c>
      <c r="E41" s="4" t="s">
        <v>8854</v>
      </c>
      <c r="F41" s="14" t="s">
        <v>8862</v>
      </c>
      <c r="G41" s="9">
        <v>1</v>
      </c>
      <c r="H41" s="1">
        <v>9.25</v>
      </c>
      <c r="I41" s="1">
        <v>9.25</v>
      </c>
      <c r="J41" s="1">
        <v>0.14000000000000001</v>
      </c>
      <c r="K41" s="3">
        <v>1750</v>
      </c>
      <c r="L41" s="13">
        <v>1807</v>
      </c>
      <c r="M41" s="49">
        <v>49.46</v>
      </c>
      <c r="N41" s="1">
        <v>124.2</v>
      </c>
      <c r="O41" s="3">
        <v>30</v>
      </c>
      <c r="P41" s="11" t="s">
        <v>2275</v>
      </c>
      <c r="Q41" s="3">
        <v>8</v>
      </c>
      <c r="R41" s="3">
        <v>128</v>
      </c>
      <c r="S41" s="22">
        <v>14</v>
      </c>
      <c r="T41" s="9">
        <v>130</v>
      </c>
      <c r="U41" s="14" t="s">
        <v>446</v>
      </c>
      <c r="V41" s="12">
        <v>4</v>
      </c>
      <c r="W41" s="75">
        <v>16</v>
      </c>
      <c r="X41" s="76">
        <v>8</v>
      </c>
      <c r="Y41" s="9">
        <v>290.83</v>
      </c>
      <c r="Z41" s="3">
        <v>729.53</v>
      </c>
      <c r="AA41" s="17" t="s">
        <v>1153</v>
      </c>
      <c r="AB41" s="18" t="s">
        <v>1152</v>
      </c>
      <c r="AC41" s="46" cm="1">
        <f t="array" ref="AC41">(SUMPRODUCT((H41:O41/H$9:O$9)^H$7:O$7*H$2:O$2)+SUMPRODUCT((Q41:T41/Q$9:T$9)^Q$7:T$7*Q$2:T$2))*(0.8^(1-G41))*AC$9</f>
        <v>1.2838934463180798</v>
      </c>
      <c r="AD41" s="48" cm="1">
        <f t="array" ref="AD41">(SUMPRODUCT((H41:O41/H$9:O$9)^H$7:O$7*H$3:O$3)+SUMPRODUCT((Q41:T41/Q$9:T$9)^Q$7:T$7*Q$3:T$3))*(0.1^(1-G41))*AD$9</f>
        <v>1.2449458878053652</v>
      </c>
      <c r="AE41" s="48" cm="1">
        <f t="array" ref="AE41">(SUMPRODUCT((H41:O41/H$9:O$9)^H$7:O$7*H$4:O$4)+SUMPRODUCT((Q41:T41/Q$9:T$9)^Q$7:T$7*Q$4:T$4))*AE$9</f>
        <v>1.1322475942749111</v>
      </c>
      <c r="AF41" s="47" cm="1">
        <f t="array" ref="AF41">(SUMPRODUCT((H41:O41/H$9:O$9)^H$7:O$7*H$5:O$5)+SUMPRODUCT((Q41:T41/Q$9:T$9)^Q$7:T$7*Q$5:T$5))*AF$9</f>
        <v>1.1864018057185226</v>
      </c>
      <c r="AG41" s="50" cm="1">
        <f t="array" ref="AG41">SUMPRODUCT(AC41:AF41 * AC$3:AF$3) / SUM(AC$3:AF$3)</f>
        <v>1.2291577679285155</v>
      </c>
    </row>
    <row r="42" spans="1:33" x14ac:dyDescent="0.25">
      <c r="A42" s="81" t="s">
        <v>1149</v>
      </c>
      <c r="B42" s="20" t="s">
        <v>1151</v>
      </c>
      <c r="C42" s="4" t="s">
        <v>8853</v>
      </c>
      <c r="D42" s="4" t="str">
        <f t="shared" si="0"/>
        <v>MSI</v>
      </c>
      <c r="E42" s="4" t="s">
        <v>8854</v>
      </c>
      <c r="F42" s="14" t="s">
        <v>8862</v>
      </c>
      <c r="G42" s="9">
        <v>1</v>
      </c>
      <c r="H42" s="1">
        <v>9.1</v>
      </c>
      <c r="I42" s="1">
        <v>9.1</v>
      </c>
      <c r="J42" s="1">
        <v>0.14000000000000001</v>
      </c>
      <c r="K42" s="3">
        <v>1750</v>
      </c>
      <c r="L42" s="13">
        <v>1777</v>
      </c>
      <c r="M42" s="49">
        <v>49.46</v>
      </c>
      <c r="N42" s="1">
        <v>124.2</v>
      </c>
      <c r="O42" s="3">
        <v>30</v>
      </c>
      <c r="P42" s="11" t="s">
        <v>2275</v>
      </c>
      <c r="Q42" s="3">
        <v>8</v>
      </c>
      <c r="R42" s="3">
        <v>128</v>
      </c>
      <c r="S42" s="22">
        <v>14</v>
      </c>
      <c r="T42" s="9">
        <v>130</v>
      </c>
      <c r="U42" s="14" t="s">
        <v>446</v>
      </c>
      <c r="V42" s="12">
        <v>4</v>
      </c>
      <c r="W42" s="75">
        <v>16</v>
      </c>
      <c r="X42" s="76">
        <v>8</v>
      </c>
      <c r="Y42" s="9">
        <v>345.99</v>
      </c>
      <c r="Z42" s="3">
        <v>345.99</v>
      </c>
      <c r="AA42" s="17" t="s">
        <v>1150</v>
      </c>
      <c r="AB42" s="18" t="s">
        <v>1149</v>
      </c>
      <c r="AC42" s="46" cm="1">
        <f t="array" ref="AC42">(SUMPRODUCT((H42:O42/H$9:O$9)^H$7:O$7*H$2:O$2)+SUMPRODUCT((Q42:T42/Q$9:T$9)^Q$7:T$7*Q$2:T$2))*(0.8^(1-G42))*AC$9</f>
        <v>1.2791164396495678</v>
      </c>
      <c r="AD42" s="48" cm="1">
        <f t="array" ref="AD42">(SUMPRODUCT((H42:O42/H$9:O$9)^H$7:O$7*H$3:O$3)+SUMPRODUCT((Q42:T42/Q$9:T$9)^Q$7:T$7*Q$3:T$3))*(0.1^(1-G42))*AD$9</f>
        <v>1.235263776436853</v>
      </c>
      <c r="AE42" s="48" cm="1">
        <f t="array" ref="AE42">(SUMPRODUCT((H42:O42/H$9:O$9)^H$7:O$7*H$4:O$4)+SUMPRODUCT((Q42:T42/Q$9:T$9)^Q$7:T$7*Q$4:T$4))*AE$9</f>
        <v>1.1294606067779396</v>
      </c>
      <c r="AF42" s="47" cm="1">
        <f t="array" ref="AF42">(SUMPRODUCT((H42:O42/H$9:O$9)^H$7:O$7*H$5:O$5)+SUMPRODUCT((Q42:T42/Q$9:T$9)^Q$7:T$7*Q$5:T$5))*AF$9</f>
        <v>1.1802805304094219</v>
      </c>
      <c r="AG42" s="50" cm="1">
        <f t="array" ref="AG42">SUMPRODUCT(AC42:AF42 * AC$3:AF$3) / SUM(AC$3:AF$3)</f>
        <v>1.2216527715611878</v>
      </c>
    </row>
    <row r="43" spans="1:33" x14ac:dyDescent="0.25">
      <c r="A43" s="81" t="s">
        <v>790</v>
      </c>
      <c r="B43" s="20" t="s">
        <v>792</v>
      </c>
      <c r="C43" s="4" t="s">
        <v>8853</v>
      </c>
      <c r="D43" s="4" t="str">
        <f t="shared" si="0"/>
        <v>Palit</v>
      </c>
      <c r="E43" s="4" t="s">
        <v>8854</v>
      </c>
      <c r="F43" s="14" t="s">
        <v>8862</v>
      </c>
      <c r="G43" s="9">
        <v>1</v>
      </c>
      <c r="H43" s="1">
        <v>9.1</v>
      </c>
      <c r="I43" s="1">
        <v>9.1</v>
      </c>
      <c r="J43" s="1">
        <v>0.14000000000000001</v>
      </c>
      <c r="K43" s="3">
        <v>1750</v>
      </c>
      <c r="L43" s="13">
        <v>1777</v>
      </c>
      <c r="M43" s="49">
        <v>49.46</v>
      </c>
      <c r="N43" s="1">
        <v>124.2</v>
      </c>
      <c r="O43" s="3">
        <v>30</v>
      </c>
      <c r="P43" s="11" t="s">
        <v>2275</v>
      </c>
      <c r="Q43" s="3">
        <v>8</v>
      </c>
      <c r="R43" s="3">
        <v>128</v>
      </c>
      <c r="S43" s="22">
        <v>14</v>
      </c>
      <c r="T43" s="9">
        <v>130</v>
      </c>
      <c r="U43" s="14" t="s">
        <v>446</v>
      </c>
      <c r="V43" s="12">
        <v>4</v>
      </c>
      <c r="W43" s="75">
        <v>16</v>
      </c>
      <c r="X43" s="76">
        <v>8</v>
      </c>
      <c r="Y43" s="9">
        <v>316.43</v>
      </c>
      <c r="Z43" s="3">
        <v>515.30999999999995</v>
      </c>
      <c r="AA43" s="17" t="s">
        <v>791</v>
      </c>
      <c r="AB43" s="18" t="s">
        <v>790</v>
      </c>
      <c r="AC43" s="46" cm="1">
        <f t="array" ref="AC43">(SUMPRODUCT((H43:O43/H$9:O$9)^H$7:O$7*H$2:O$2)+SUMPRODUCT((Q43:T43/Q$9:T$9)^Q$7:T$7*Q$2:T$2))*(0.8^(1-G43))*AC$9</f>
        <v>1.2791164396495678</v>
      </c>
      <c r="AD43" s="48" cm="1">
        <f t="array" ref="AD43">(SUMPRODUCT((H43:O43/H$9:O$9)^H$7:O$7*H$3:O$3)+SUMPRODUCT((Q43:T43/Q$9:T$9)^Q$7:T$7*Q$3:T$3))*(0.1^(1-G43))*AD$9</f>
        <v>1.235263776436853</v>
      </c>
      <c r="AE43" s="48" cm="1">
        <f t="array" ref="AE43">(SUMPRODUCT((H43:O43/H$9:O$9)^H$7:O$7*H$4:O$4)+SUMPRODUCT((Q43:T43/Q$9:T$9)^Q$7:T$7*Q$4:T$4))*AE$9</f>
        <v>1.1294606067779396</v>
      </c>
      <c r="AF43" s="47" cm="1">
        <f t="array" ref="AF43">(SUMPRODUCT((H43:O43/H$9:O$9)^H$7:O$7*H$5:O$5)+SUMPRODUCT((Q43:T43/Q$9:T$9)^Q$7:T$7*Q$5:T$5))*AF$9</f>
        <v>1.1802805304094219</v>
      </c>
      <c r="AG43" s="50" cm="1">
        <f t="array" ref="AG43">SUMPRODUCT(AC43:AF43 * AC$3:AF$3) / SUM(AC$3:AF$3)</f>
        <v>1.2216527715611878</v>
      </c>
    </row>
    <row r="44" spans="1:33" x14ac:dyDescent="0.25">
      <c r="A44" s="81" t="s">
        <v>646</v>
      </c>
      <c r="B44" s="20" t="s">
        <v>648</v>
      </c>
      <c r="C44" s="4" t="s">
        <v>8853</v>
      </c>
      <c r="D44" s="4" t="str">
        <f t="shared" si="0"/>
        <v>Zotac</v>
      </c>
      <c r="E44" s="4" t="s">
        <v>8854</v>
      </c>
      <c r="F44" s="14" t="s">
        <v>8862</v>
      </c>
      <c r="G44" s="9">
        <v>1</v>
      </c>
      <c r="H44" s="1">
        <v>9.3699999999999992</v>
      </c>
      <c r="I44" s="1">
        <v>9.3699999999999992</v>
      </c>
      <c r="J44" s="1">
        <v>0.15</v>
      </c>
      <c r="K44" s="3">
        <v>1750</v>
      </c>
      <c r="L44" s="13">
        <v>1830</v>
      </c>
      <c r="M44" s="49">
        <v>49.46</v>
      </c>
      <c r="N44" s="1">
        <v>124.2</v>
      </c>
      <c r="O44" s="3">
        <v>30</v>
      </c>
      <c r="P44" s="11" t="s">
        <v>2275</v>
      </c>
      <c r="Q44" s="3">
        <v>8</v>
      </c>
      <c r="R44" s="3">
        <v>128</v>
      </c>
      <c r="S44" s="22">
        <v>14</v>
      </c>
      <c r="T44" s="9">
        <v>130</v>
      </c>
      <c r="U44" s="14" t="s">
        <v>446</v>
      </c>
      <c r="V44" s="12">
        <v>4</v>
      </c>
      <c r="W44" s="75">
        <v>16</v>
      </c>
      <c r="X44" s="76">
        <v>8</v>
      </c>
      <c r="Y44" s="9">
        <v>358.89</v>
      </c>
      <c r="Z44" s="3">
        <v>565.30999999999995</v>
      </c>
      <c r="AA44" s="17" t="s">
        <v>647</v>
      </c>
      <c r="AB44" s="18" t="s">
        <v>646</v>
      </c>
      <c r="AC44" s="46" cm="1">
        <f t="array" ref="AC44">(SUMPRODUCT((H44:O44/H$9:O$9)^H$7:O$7*H$2:O$2)+SUMPRODUCT((Q44:T44/Q$9:T$9)^Q$7:T$7*Q$2:T$2))*(0.8^(1-G44))*AC$9</f>
        <v>1.2875813703505476</v>
      </c>
      <c r="AD44" s="48" cm="1">
        <f t="array" ref="AD44">(SUMPRODUCT((H44:O44/H$9:O$9)^H$7:O$7*H$3:O$3)+SUMPRODUCT((Q44:T44/Q$9:T$9)^Q$7:T$7*Q$3:T$3))*(0.1^(1-G44))*AD$9</f>
        <v>1.2560926809060351</v>
      </c>
      <c r="AE44" s="48" cm="1">
        <f t="array" ref="AE44">(SUMPRODUCT((H44:O44/H$9:O$9)^H$7:O$7*H$4:O$4)+SUMPRODUCT((Q44:T44/Q$9:T$9)^Q$7:T$7*Q$4:T$4))*AE$9</f>
        <v>1.1585613856262291</v>
      </c>
      <c r="AF44" s="47" cm="1">
        <f t="array" ref="AF44">(SUMPRODUCT((H44:O44/H$9:O$9)^H$7:O$7*H$5:O$5)+SUMPRODUCT((Q44:T44/Q$9:T$9)^Q$7:T$7*Q$5:T$5))*AF$9</f>
        <v>1.1912399301031349</v>
      </c>
      <c r="AG44" s="50" cm="1">
        <f t="array" ref="AG44">SUMPRODUCT(AC44:AF44 * AC$3:AF$3) / SUM(AC$3:AF$3)</f>
        <v>1.2396951934263254</v>
      </c>
    </row>
    <row r="45" spans="1:33" x14ac:dyDescent="0.25">
      <c r="A45" s="81" t="s">
        <v>643</v>
      </c>
      <c r="B45" s="20" t="s">
        <v>645</v>
      </c>
      <c r="C45" s="4" t="s">
        <v>8853</v>
      </c>
      <c r="D45" s="4" t="str">
        <f t="shared" si="0"/>
        <v>Zotac</v>
      </c>
      <c r="E45" s="4" t="s">
        <v>8854</v>
      </c>
      <c r="F45" s="14" t="s">
        <v>8862</v>
      </c>
      <c r="G45" s="9">
        <v>1</v>
      </c>
      <c r="H45" s="1">
        <v>9.1</v>
      </c>
      <c r="I45" s="1">
        <v>9.1</v>
      </c>
      <c r="J45" s="1">
        <v>0.14000000000000001</v>
      </c>
      <c r="K45" s="3">
        <v>1750</v>
      </c>
      <c r="L45" s="13">
        <v>1777</v>
      </c>
      <c r="M45" s="49">
        <v>49.46</v>
      </c>
      <c r="N45" s="1">
        <v>124.2</v>
      </c>
      <c r="O45" s="3">
        <v>30</v>
      </c>
      <c r="P45" s="11" t="s">
        <v>2275</v>
      </c>
      <c r="Q45" s="3">
        <v>8</v>
      </c>
      <c r="R45" s="3">
        <v>128</v>
      </c>
      <c r="S45" s="22">
        <v>14</v>
      </c>
      <c r="T45" s="9">
        <v>130</v>
      </c>
      <c r="U45" s="14" t="s">
        <v>642</v>
      </c>
      <c r="V45" s="12">
        <v>4</v>
      </c>
      <c r="W45" s="75">
        <v>16</v>
      </c>
      <c r="X45" s="76">
        <v>8</v>
      </c>
      <c r="Y45" s="9">
        <v>221.55</v>
      </c>
      <c r="Z45" s="3">
        <v>272.52999999999997</v>
      </c>
      <c r="AA45" s="17" t="s">
        <v>644</v>
      </c>
      <c r="AB45" s="18" t="s">
        <v>643</v>
      </c>
      <c r="AC45" s="46" cm="1">
        <f t="array" ref="AC45">(SUMPRODUCT((H45:O45/H$9:O$9)^H$7:O$7*H$2:O$2)+SUMPRODUCT((Q45:T45/Q$9:T$9)^Q$7:T$7*Q$2:T$2))*(0.8^(1-G45))*AC$9</f>
        <v>1.2791164396495678</v>
      </c>
      <c r="AD45" s="48" cm="1">
        <f t="array" ref="AD45">(SUMPRODUCT((H45:O45/H$9:O$9)^H$7:O$7*H$3:O$3)+SUMPRODUCT((Q45:T45/Q$9:T$9)^Q$7:T$7*Q$3:T$3))*(0.1^(1-G45))*AD$9</f>
        <v>1.235263776436853</v>
      </c>
      <c r="AE45" s="48" cm="1">
        <f t="array" ref="AE45">(SUMPRODUCT((H45:O45/H$9:O$9)^H$7:O$7*H$4:O$4)+SUMPRODUCT((Q45:T45/Q$9:T$9)^Q$7:T$7*Q$4:T$4))*AE$9</f>
        <v>1.1294606067779396</v>
      </c>
      <c r="AF45" s="47" cm="1">
        <f t="array" ref="AF45">(SUMPRODUCT((H45:O45/H$9:O$9)^H$7:O$7*H$5:O$5)+SUMPRODUCT((Q45:T45/Q$9:T$9)^Q$7:T$7*Q$5:T$5))*AF$9</f>
        <v>1.1802805304094219</v>
      </c>
      <c r="AG45" s="50" cm="1">
        <f t="array" ref="AG45">SUMPRODUCT(AC45:AF45 * AC$3:AF$3) / SUM(AC$3:AF$3)</f>
        <v>1.2216527715611878</v>
      </c>
    </row>
    <row r="46" spans="1:33" x14ac:dyDescent="0.25">
      <c r="A46" s="81" t="s">
        <v>639</v>
      </c>
      <c r="B46" s="20" t="s">
        <v>641</v>
      </c>
      <c r="C46" s="4" t="s">
        <v>8853</v>
      </c>
      <c r="D46" s="4" t="str">
        <f t="shared" si="0"/>
        <v>Zotac</v>
      </c>
      <c r="E46" s="4" t="s">
        <v>8854</v>
      </c>
      <c r="F46" s="14" t="s">
        <v>8862</v>
      </c>
      <c r="G46" s="9">
        <v>1</v>
      </c>
      <c r="H46" s="1">
        <v>9.1</v>
      </c>
      <c r="I46" s="1">
        <v>9.1</v>
      </c>
      <c r="J46" s="1">
        <v>0.14000000000000001</v>
      </c>
      <c r="K46" s="3">
        <v>1750</v>
      </c>
      <c r="L46" s="13">
        <v>1777</v>
      </c>
      <c r="M46" s="49">
        <v>49.46</v>
      </c>
      <c r="N46" s="1">
        <v>124.2</v>
      </c>
      <c r="O46" s="3">
        <v>30</v>
      </c>
      <c r="P46" s="11" t="s">
        <v>2275</v>
      </c>
      <c r="Q46" s="3">
        <v>8</v>
      </c>
      <c r="R46" s="3">
        <v>128</v>
      </c>
      <c r="S46" s="22">
        <v>14</v>
      </c>
      <c r="T46" s="9">
        <v>130</v>
      </c>
      <c r="U46" s="14" t="s">
        <v>642</v>
      </c>
      <c r="V46" s="12">
        <v>4</v>
      </c>
      <c r="W46" s="75">
        <v>16</v>
      </c>
      <c r="X46" s="76">
        <v>8</v>
      </c>
      <c r="Y46" s="9">
        <v>232.9</v>
      </c>
      <c r="Z46" s="3">
        <v>312</v>
      </c>
      <c r="AA46" s="17" t="s">
        <v>640</v>
      </c>
      <c r="AB46" s="18" t="s">
        <v>639</v>
      </c>
      <c r="AC46" s="46" cm="1">
        <f t="array" ref="AC46">(SUMPRODUCT((H46:O46/H$9:O$9)^H$7:O$7*H$2:O$2)+SUMPRODUCT((Q46:T46/Q$9:T$9)^Q$7:T$7*Q$2:T$2))*(0.8^(1-G46))*AC$9</f>
        <v>1.2791164396495678</v>
      </c>
      <c r="AD46" s="48" cm="1">
        <f t="array" ref="AD46">(SUMPRODUCT((H46:O46/H$9:O$9)^H$7:O$7*H$3:O$3)+SUMPRODUCT((Q46:T46/Q$9:T$9)^Q$7:T$7*Q$3:T$3))*(0.1^(1-G46))*AD$9</f>
        <v>1.235263776436853</v>
      </c>
      <c r="AE46" s="48" cm="1">
        <f t="array" ref="AE46">(SUMPRODUCT((H46:O46/H$9:O$9)^H$7:O$7*H$4:O$4)+SUMPRODUCT((Q46:T46/Q$9:T$9)^Q$7:T$7*Q$4:T$4))*AE$9</f>
        <v>1.1294606067779396</v>
      </c>
      <c r="AF46" s="47" cm="1">
        <f t="array" ref="AF46">(SUMPRODUCT((H46:O46/H$9:O$9)^H$7:O$7*H$5:O$5)+SUMPRODUCT((Q46:T46/Q$9:T$9)^Q$7:T$7*Q$5:T$5))*AF$9</f>
        <v>1.1802805304094219</v>
      </c>
      <c r="AG46" s="50" cm="1">
        <f t="array" ref="AG46">SUMPRODUCT(AC46:AF46 * AC$3:AF$3) / SUM(AC$3:AF$3)</f>
        <v>1.2216527715611878</v>
      </c>
    </row>
    <row r="47" spans="1:33" x14ac:dyDescent="0.25">
      <c r="A47" s="81" t="s">
        <v>629</v>
      </c>
      <c r="B47" s="20" t="s">
        <v>631</v>
      </c>
      <c r="C47" s="4" t="s">
        <v>8853</v>
      </c>
      <c r="D47" s="4" t="str">
        <f t="shared" si="0"/>
        <v>Zotac</v>
      </c>
      <c r="E47" s="4" t="s">
        <v>8854</v>
      </c>
      <c r="F47" s="14" t="s">
        <v>8862</v>
      </c>
      <c r="G47" s="9">
        <v>1</v>
      </c>
      <c r="H47" s="1">
        <v>9.1</v>
      </c>
      <c r="I47" s="1">
        <v>9.1</v>
      </c>
      <c r="J47" s="1">
        <v>0.14000000000000001</v>
      </c>
      <c r="K47" s="3">
        <v>1750</v>
      </c>
      <c r="L47" s="13">
        <v>1777</v>
      </c>
      <c r="M47" s="49">
        <v>49.46</v>
      </c>
      <c r="N47" s="1">
        <v>124.2</v>
      </c>
      <c r="O47" s="3">
        <v>30</v>
      </c>
      <c r="P47" s="11" t="s">
        <v>2275</v>
      </c>
      <c r="Q47" s="3">
        <v>8</v>
      </c>
      <c r="R47" s="3">
        <v>128</v>
      </c>
      <c r="S47" s="22">
        <v>14</v>
      </c>
      <c r="T47" s="9">
        <v>130</v>
      </c>
      <c r="U47" s="14" t="s">
        <v>446</v>
      </c>
      <c r="V47" s="12">
        <v>4</v>
      </c>
      <c r="W47" s="75">
        <v>16</v>
      </c>
      <c r="X47" s="76">
        <v>8</v>
      </c>
      <c r="Y47" s="9">
        <v>302.94</v>
      </c>
      <c r="Z47" s="3">
        <v>302.99</v>
      </c>
      <c r="AA47" s="17" t="s">
        <v>630</v>
      </c>
      <c r="AB47" s="18" t="s">
        <v>629</v>
      </c>
      <c r="AC47" s="46" cm="1">
        <f t="array" ref="AC47">(SUMPRODUCT((H47:O47/H$9:O$9)^H$7:O$7*H$2:O$2)+SUMPRODUCT((Q47:T47/Q$9:T$9)^Q$7:T$7*Q$2:T$2))*(0.8^(1-G47))*AC$9</f>
        <v>1.2791164396495678</v>
      </c>
      <c r="AD47" s="48" cm="1">
        <f t="array" ref="AD47">(SUMPRODUCT((H47:O47/H$9:O$9)^H$7:O$7*H$3:O$3)+SUMPRODUCT((Q47:T47/Q$9:T$9)^Q$7:T$7*Q$3:T$3))*(0.1^(1-G47))*AD$9</f>
        <v>1.235263776436853</v>
      </c>
      <c r="AE47" s="48" cm="1">
        <f t="array" ref="AE47">(SUMPRODUCT((H47:O47/H$9:O$9)^H$7:O$7*H$4:O$4)+SUMPRODUCT((Q47:T47/Q$9:T$9)^Q$7:T$7*Q$4:T$4))*AE$9</f>
        <v>1.1294606067779396</v>
      </c>
      <c r="AF47" s="47" cm="1">
        <f t="array" ref="AF47">(SUMPRODUCT((H47:O47/H$9:O$9)^H$7:O$7*H$5:O$5)+SUMPRODUCT((Q47:T47/Q$9:T$9)^Q$7:T$7*Q$5:T$5))*AF$9</f>
        <v>1.1802805304094219</v>
      </c>
      <c r="AG47" s="50" cm="1">
        <f t="array" ref="AG47">SUMPRODUCT(AC47:AF47 * AC$3:AF$3) / SUM(AC$3:AF$3)</f>
        <v>1.2216527715611878</v>
      </c>
    </row>
    <row r="48" spans="1:33" x14ac:dyDescent="0.25">
      <c r="A48" s="81" t="s">
        <v>626</v>
      </c>
      <c r="B48" s="20" t="s">
        <v>628</v>
      </c>
      <c r="C48" s="4" t="s">
        <v>8853</v>
      </c>
      <c r="D48" s="4" t="str">
        <f t="shared" si="0"/>
        <v>Zotac</v>
      </c>
      <c r="E48" s="4" t="s">
        <v>8854</v>
      </c>
      <c r="F48" s="14" t="s">
        <v>8862</v>
      </c>
      <c r="G48" s="9">
        <v>1</v>
      </c>
      <c r="H48" s="1">
        <v>9.25</v>
      </c>
      <c r="I48" s="1">
        <v>9.25</v>
      </c>
      <c r="J48" s="1">
        <v>0.14000000000000001</v>
      </c>
      <c r="K48" s="3">
        <v>1750</v>
      </c>
      <c r="L48" s="13">
        <v>1807</v>
      </c>
      <c r="M48" s="49">
        <v>49.46</v>
      </c>
      <c r="N48" s="1">
        <v>124.2</v>
      </c>
      <c r="O48" s="3">
        <v>30</v>
      </c>
      <c r="P48" s="11" t="s">
        <v>2275</v>
      </c>
      <c r="Q48" s="3">
        <v>8</v>
      </c>
      <c r="R48" s="3">
        <v>128</v>
      </c>
      <c r="S48" s="22">
        <v>14</v>
      </c>
      <c r="T48" s="9">
        <v>130</v>
      </c>
      <c r="U48" s="14" t="s">
        <v>446</v>
      </c>
      <c r="V48" s="12">
        <v>4</v>
      </c>
      <c r="W48" s="75">
        <v>16</v>
      </c>
      <c r="X48" s="76">
        <v>8</v>
      </c>
      <c r="Y48" s="9">
        <v>506.89</v>
      </c>
      <c r="Z48" s="3">
        <v>623.20000000000005</v>
      </c>
      <c r="AA48" s="17" t="s">
        <v>627</v>
      </c>
      <c r="AB48" s="18" t="s">
        <v>626</v>
      </c>
      <c r="AC48" s="46" cm="1">
        <f t="array" ref="AC48">(SUMPRODUCT((H48:O48/H$9:O$9)^H$7:O$7*H$2:O$2)+SUMPRODUCT((Q48:T48/Q$9:T$9)^Q$7:T$7*Q$2:T$2))*(0.8^(1-G48))*AC$9</f>
        <v>1.2838934463180798</v>
      </c>
      <c r="AD48" s="48" cm="1">
        <f t="array" ref="AD48">(SUMPRODUCT((H48:O48/H$9:O$9)^H$7:O$7*H$3:O$3)+SUMPRODUCT((Q48:T48/Q$9:T$9)^Q$7:T$7*Q$3:T$3))*(0.1^(1-G48))*AD$9</f>
        <v>1.2449458878053652</v>
      </c>
      <c r="AE48" s="48" cm="1">
        <f t="array" ref="AE48">(SUMPRODUCT((H48:O48/H$9:O$9)^H$7:O$7*H$4:O$4)+SUMPRODUCT((Q48:T48/Q$9:T$9)^Q$7:T$7*Q$4:T$4))*AE$9</f>
        <v>1.1322475942749111</v>
      </c>
      <c r="AF48" s="47" cm="1">
        <f t="array" ref="AF48">(SUMPRODUCT((H48:O48/H$9:O$9)^H$7:O$7*H$5:O$5)+SUMPRODUCT((Q48:T48/Q$9:T$9)^Q$7:T$7*Q$5:T$5))*AF$9</f>
        <v>1.1864018057185226</v>
      </c>
      <c r="AG48" s="50" cm="1">
        <f t="array" ref="AG48">SUMPRODUCT(AC48:AF48 * AC$3:AF$3) / SUM(AC$3:AF$3)</f>
        <v>1.2291577679285155</v>
      </c>
    </row>
    <row r="49" spans="1:33" x14ac:dyDescent="0.25">
      <c r="A49" s="81" t="s">
        <v>623</v>
      </c>
      <c r="B49" s="20" t="s">
        <v>625</v>
      </c>
      <c r="C49" s="4" t="s">
        <v>8853</v>
      </c>
      <c r="D49" s="4" t="str">
        <f t="shared" si="0"/>
        <v>Zotac</v>
      </c>
      <c r="E49" s="4" t="s">
        <v>8854</v>
      </c>
      <c r="F49" s="14" t="s">
        <v>8862</v>
      </c>
      <c r="G49" s="9">
        <v>1</v>
      </c>
      <c r="H49" s="1">
        <v>9.1</v>
      </c>
      <c r="I49" s="1">
        <v>9.1</v>
      </c>
      <c r="J49" s="1">
        <v>0.14000000000000001</v>
      </c>
      <c r="K49" s="3">
        <v>1750</v>
      </c>
      <c r="L49" s="13">
        <v>1777</v>
      </c>
      <c r="M49" s="49">
        <v>49.46</v>
      </c>
      <c r="N49" s="1">
        <v>124.2</v>
      </c>
      <c r="O49" s="3">
        <v>30</v>
      </c>
      <c r="P49" s="11" t="s">
        <v>2275</v>
      </c>
      <c r="Q49" s="3">
        <v>8</v>
      </c>
      <c r="R49" s="3">
        <v>128</v>
      </c>
      <c r="S49" s="22">
        <v>14</v>
      </c>
      <c r="T49" s="9">
        <v>130</v>
      </c>
      <c r="U49" s="14" t="s">
        <v>446</v>
      </c>
      <c r="V49" s="12">
        <v>4</v>
      </c>
      <c r="W49" s="75">
        <v>16</v>
      </c>
      <c r="X49" s="76">
        <v>8</v>
      </c>
      <c r="Y49" s="9">
        <v>290.83</v>
      </c>
      <c r="Z49" s="3">
        <v>411.83</v>
      </c>
      <c r="AA49" s="17" t="s">
        <v>624</v>
      </c>
      <c r="AB49" s="18" t="s">
        <v>623</v>
      </c>
      <c r="AC49" s="46" cm="1">
        <f t="array" ref="AC49">(SUMPRODUCT((H49:O49/H$9:O$9)^H$7:O$7*H$2:O$2)+SUMPRODUCT((Q49:T49/Q$9:T$9)^Q$7:T$7*Q$2:T$2))*(0.8^(1-G49))*AC$9</f>
        <v>1.2791164396495678</v>
      </c>
      <c r="AD49" s="48" cm="1">
        <f t="array" ref="AD49">(SUMPRODUCT((H49:O49/H$9:O$9)^H$7:O$7*H$3:O$3)+SUMPRODUCT((Q49:T49/Q$9:T$9)^Q$7:T$7*Q$3:T$3))*(0.1^(1-G49))*AD$9</f>
        <v>1.235263776436853</v>
      </c>
      <c r="AE49" s="48" cm="1">
        <f t="array" ref="AE49">(SUMPRODUCT((H49:O49/H$9:O$9)^H$7:O$7*H$4:O$4)+SUMPRODUCT((Q49:T49/Q$9:T$9)^Q$7:T$7*Q$4:T$4))*AE$9</f>
        <v>1.1294606067779396</v>
      </c>
      <c r="AF49" s="47" cm="1">
        <f t="array" ref="AF49">(SUMPRODUCT((H49:O49/H$9:O$9)^H$7:O$7*H$5:O$5)+SUMPRODUCT((Q49:T49/Q$9:T$9)^Q$7:T$7*Q$5:T$5))*AF$9</f>
        <v>1.1802805304094219</v>
      </c>
      <c r="AG49" s="50" cm="1">
        <f t="array" ref="AG49">SUMPRODUCT(AC49:AF49 * AC$3:AF$3) / SUM(AC$3:AF$3)</f>
        <v>1.2216527715611878</v>
      </c>
    </row>
    <row r="50" spans="1:33" x14ac:dyDescent="0.25">
      <c r="A50" s="81" t="s">
        <v>1143</v>
      </c>
      <c r="B50" s="20" t="s">
        <v>1145</v>
      </c>
      <c r="C50" s="4" t="s">
        <v>8853</v>
      </c>
      <c r="D50" s="4" t="str">
        <f t="shared" si="0"/>
        <v>MSI</v>
      </c>
      <c r="E50" s="4" t="s">
        <v>8854</v>
      </c>
      <c r="F50" s="14" t="s">
        <v>8862</v>
      </c>
      <c r="G50" s="9">
        <v>1</v>
      </c>
      <c r="H50" s="1">
        <v>9.25</v>
      </c>
      <c r="I50" s="1">
        <v>9.25</v>
      </c>
      <c r="J50" s="1">
        <v>0.14000000000000001</v>
      </c>
      <c r="K50" s="3">
        <v>1750</v>
      </c>
      <c r="L50" s="13">
        <v>1807</v>
      </c>
      <c r="M50" s="49">
        <v>49.46</v>
      </c>
      <c r="N50" s="1">
        <v>124.2</v>
      </c>
      <c r="O50" s="3">
        <v>30</v>
      </c>
      <c r="P50" s="11" t="s">
        <v>2275</v>
      </c>
      <c r="Q50" s="3">
        <v>8</v>
      </c>
      <c r="R50" s="3">
        <v>128</v>
      </c>
      <c r="S50" s="22">
        <v>14</v>
      </c>
      <c r="T50" s="9">
        <v>115</v>
      </c>
      <c r="U50" s="14" t="s">
        <v>642</v>
      </c>
      <c r="V50" s="12">
        <v>4</v>
      </c>
      <c r="W50" s="75">
        <v>16</v>
      </c>
      <c r="X50" s="76">
        <v>8</v>
      </c>
      <c r="Y50" s="9">
        <v>222.89</v>
      </c>
      <c r="Z50" s="3">
        <v>275.27</v>
      </c>
      <c r="AA50" s="17" t="s">
        <v>1144</v>
      </c>
      <c r="AB50" s="18" t="s">
        <v>1143</v>
      </c>
      <c r="AC50" s="46" cm="1">
        <f t="array" ref="AC50">(SUMPRODUCT((H50:O50/H$9:O$9)^H$7:O$7*H$2:O$2)+SUMPRODUCT((Q50:T50/Q$9:T$9)^Q$7:T$7*Q$2:T$2))*(0.8^(1-G50))*AC$9</f>
        <v>1.2862129519130874</v>
      </c>
      <c r="AD50" s="48" cm="1">
        <f t="array" ref="AD50">(SUMPRODUCT((H50:O50/H$9:O$9)^H$7:O$7*H$3:O$3)+SUMPRODUCT((Q50:T50/Q$9:T$9)^Q$7:T$7*Q$3:T$3))*(0.1^(1-G50))*AD$9</f>
        <v>1.2472653934003728</v>
      </c>
      <c r="AE50" s="48" cm="1">
        <f t="array" ref="AE50">(SUMPRODUCT((H50:O50/H$9:O$9)^H$7:O$7*H$4:O$4)+SUMPRODUCT((Q50:T50/Q$9:T$9)^Q$7:T$7*Q$4:T$4))*AE$9</f>
        <v>1.1322475942749111</v>
      </c>
      <c r="AF50" s="47" cm="1">
        <f t="array" ref="AF50">(SUMPRODUCT((H50:O50/H$9:O$9)^H$7:O$7*H$5:O$5)+SUMPRODUCT((Q50:T50/Q$9:T$9)^Q$7:T$7*Q$5:T$5))*AF$9</f>
        <v>1.1887213113135302</v>
      </c>
      <c r="AG50" s="50" cm="1">
        <f t="array" ref="AG50">SUMPRODUCT(AC50:AF50 * AC$3:AF$3) / SUM(AC$3:AF$3)</f>
        <v>1.2312195506796335</v>
      </c>
    </row>
    <row r="51" spans="1:33" x14ac:dyDescent="0.25">
      <c r="A51" s="81" t="s">
        <v>1140</v>
      </c>
      <c r="B51" s="20" t="s">
        <v>1142</v>
      </c>
      <c r="C51" s="4" t="s">
        <v>8853</v>
      </c>
      <c r="D51" s="4" t="str">
        <f t="shared" si="0"/>
        <v>MSI</v>
      </c>
      <c r="E51" s="4" t="s">
        <v>8854</v>
      </c>
      <c r="F51" s="14" t="s">
        <v>8862</v>
      </c>
      <c r="G51" s="9">
        <v>1</v>
      </c>
      <c r="H51" s="1">
        <v>9.25</v>
      </c>
      <c r="I51" s="1">
        <v>9.25</v>
      </c>
      <c r="J51" s="1">
        <v>0.14000000000000001</v>
      </c>
      <c r="K51" s="3">
        <v>1750</v>
      </c>
      <c r="L51" s="13">
        <v>1807</v>
      </c>
      <c r="M51" s="49">
        <v>49.46</v>
      </c>
      <c r="N51" s="1">
        <v>124.2</v>
      </c>
      <c r="O51" s="3">
        <v>30</v>
      </c>
      <c r="P51" s="11" t="s">
        <v>2275</v>
      </c>
      <c r="Q51" s="3">
        <v>8</v>
      </c>
      <c r="R51" s="3">
        <v>128</v>
      </c>
      <c r="S51" s="22">
        <v>14</v>
      </c>
      <c r="T51" s="9">
        <v>115</v>
      </c>
      <c r="U51" s="14" t="s">
        <v>642</v>
      </c>
      <c r="V51" s="12">
        <v>4</v>
      </c>
      <c r="W51" s="75">
        <v>16</v>
      </c>
      <c r="X51" s="76">
        <v>8</v>
      </c>
      <c r="Y51" s="9">
        <v>223</v>
      </c>
      <c r="Z51" s="3">
        <v>327</v>
      </c>
      <c r="AA51" s="17" t="s">
        <v>1141</v>
      </c>
      <c r="AB51" s="18" t="s">
        <v>1140</v>
      </c>
      <c r="AC51" s="46" cm="1">
        <f t="array" ref="AC51">(SUMPRODUCT((H51:O51/H$9:O$9)^H$7:O$7*H$2:O$2)+SUMPRODUCT((Q51:T51/Q$9:T$9)^Q$7:T$7*Q$2:T$2))*(0.8^(1-G51))*AC$9</f>
        <v>1.2862129519130874</v>
      </c>
      <c r="AD51" s="48" cm="1">
        <f t="array" ref="AD51">(SUMPRODUCT((H51:O51/H$9:O$9)^H$7:O$7*H$3:O$3)+SUMPRODUCT((Q51:T51/Q$9:T$9)^Q$7:T$7*Q$3:T$3))*(0.1^(1-G51))*AD$9</f>
        <v>1.2472653934003728</v>
      </c>
      <c r="AE51" s="48" cm="1">
        <f t="array" ref="AE51">(SUMPRODUCT((H51:O51/H$9:O$9)^H$7:O$7*H$4:O$4)+SUMPRODUCT((Q51:T51/Q$9:T$9)^Q$7:T$7*Q$4:T$4))*AE$9</f>
        <v>1.1322475942749111</v>
      </c>
      <c r="AF51" s="47" cm="1">
        <f t="array" ref="AF51">(SUMPRODUCT((H51:O51/H$9:O$9)^H$7:O$7*H$5:O$5)+SUMPRODUCT((Q51:T51/Q$9:T$9)^Q$7:T$7*Q$5:T$5))*AF$9</f>
        <v>1.1887213113135302</v>
      </c>
      <c r="AG51" s="50" cm="1">
        <f t="array" ref="AG51">SUMPRODUCT(AC51:AF51 * AC$3:AF$3) / SUM(AC$3:AF$3)</f>
        <v>1.2312195506796335</v>
      </c>
    </row>
    <row r="52" spans="1:33" x14ac:dyDescent="0.25">
      <c r="A52" s="81" t="s">
        <v>784</v>
      </c>
      <c r="B52" s="20" t="s">
        <v>786</v>
      </c>
      <c r="C52" s="4" t="s">
        <v>8853</v>
      </c>
      <c r="D52" s="4" t="str">
        <f t="shared" si="0"/>
        <v>Palit</v>
      </c>
      <c r="E52" s="4" t="s">
        <v>8854</v>
      </c>
      <c r="F52" s="14" t="s">
        <v>8862</v>
      </c>
      <c r="G52" s="9">
        <v>1</v>
      </c>
      <c r="H52" s="1">
        <v>9.1</v>
      </c>
      <c r="I52" s="1">
        <v>9.1</v>
      </c>
      <c r="J52" s="1">
        <v>0.14000000000000001</v>
      </c>
      <c r="K52" s="3">
        <v>1750</v>
      </c>
      <c r="L52" s="13">
        <v>1777</v>
      </c>
      <c r="M52" s="49">
        <v>49.46</v>
      </c>
      <c r="N52" s="1">
        <v>124.2</v>
      </c>
      <c r="O52" s="3">
        <v>30</v>
      </c>
      <c r="P52" s="11" t="s">
        <v>2275</v>
      </c>
      <c r="Q52" s="3">
        <v>8</v>
      </c>
      <c r="R52" s="3">
        <v>128</v>
      </c>
      <c r="S52" s="22">
        <v>14</v>
      </c>
      <c r="T52" s="9">
        <v>115</v>
      </c>
      <c r="U52" s="14" t="s">
        <v>642</v>
      </c>
      <c r="V52" s="12">
        <v>4</v>
      </c>
      <c r="W52" s="75">
        <v>8</v>
      </c>
      <c r="X52" s="76">
        <v>8</v>
      </c>
      <c r="Y52" s="9">
        <v>219.87</v>
      </c>
      <c r="Z52" s="3">
        <v>296.64999999999998</v>
      </c>
      <c r="AA52" s="17" t="s">
        <v>785</v>
      </c>
      <c r="AB52" s="18" t="s">
        <v>784</v>
      </c>
      <c r="AC52" s="46" cm="1">
        <f t="array" ref="AC52">(SUMPRODUCT((H52:O52/H$9:O$9)^H$7:O$7*H$2:O$2)+SUMPRODUCT((Q52:T52/Q$9:T$9)^Q$7:T$7*Q$2:T$2))*(0.8^(1-G52))*AC$9</f>
        <v>1.2814359452445754</v>
      </c>
      <c r="AD52" s="48" cm="1">
        <f t="array" ref="AD52">(SUMPRODUCT((H52:O52/H$9:O$9)^H$7:O$7*H$3:O$3)+SUMPRODUCT((Q52:T52/Q$9:T$9)^Q$7:T$7*Q$3:T$3))*(0.1^(1-G52))*AD$9</f>
        <v>1.2375832820318606</v>
      </c>
      <c r="AE52" s="48" cm="1">
        <f t="array" ref="AE52">(SUMPRODUCT((H52:O52/H$9:O$9)^H$7:O$7*H$4:O$4)+SUMPRODUCT((Q52:T52/Q$9:T$9)^Q$7:T$7*Q$4:T$4))*AE$9</f>
        <v>1.1294606067779396</v>
      </c>
      <c r="AF52" s="47" cm="1">
        <f t="array" ref="AF52">(SUMPRODUCT((H52:O52/H$9:O$9)^H$7:O$7*H$5:O$5)+SUMPRODUCT((Q52:T52/Q$9:T$9)^Q$7:T$7*Q$5:T$5))*AF$9</f>
        <v>1.1826000360044295</v>
      </c>
      <c r="AG52" s="50" cm="1">
        <f t="array" ref="AG52">SUMPRODUCT(AC52:AF52 * AC$3:AF$3) / SUM(AC$3:AF$3)</f>
        <v>1.2237145543123056</v>
      </c>
    </row>
    <row r="53" spans="1:33" x14ac:dyDescent="0.25">
      <c r="A53" s="81" t="s">
        <v>2231</v>
      </c>
      <c r="B53" s="20" t="s">
        <v>2233</v>
      </c>
      <c r="C53" s="4" t="s">
        <v>8853</v>
      </c>
      <c r="D53" s="4" t="str">
        <f t="shared" si="0"/>
        <v>ASUS</v>
      </c>
      <c r="E53" s="4" t="s">
        <v>8854</v>
      </c>
      <c r="F53" s="14" t="s">
        <v>8863</v>
      </c>
      <c r="G53" s="9">
        <v>1</v>
      </c>
      <c r="H53" s="1">
        <v>13.38</v>
      </c>
      <c r="I53" s="1">
        <v>13.38</v>
      </c>
      <c r="J53" s="1">
        <v>0.21</v>
      </c>
      <c r="K53" s="3">
        <v>1875</v>
      </c>
      <c r="L53" s="13">
        <v>1867</v>
      </c>
      <c r="M53" s="49">
        <v>63.36</v>
      </c>
      <c r="N53" s="1">
        <v>85.29</v>
      </c>
      <c r="O53" s="3">
        <v>28</v>
      </c>
      <c r="P53" s="11" t="s">
        <v>2275</v>
      </c>
      <c r="Q53" s="3">
        <v>8</v>
      </c>
      <c r="R53" s="3">
        <v>128</v>
      </c>
      <c r="S53" s="22">
        <v>15</v>
      </c>
      <c r="T53" s="9">
        <v>170</v>
      </c>
      <c r="U53" s="14" t="s">
        <v>446</v>
      </c>
      <c r="V53" s="12">
        <v>4</v>
      </c>
      <c r="W53" s="75">
        <v>16</v>
      </c>
      <c r="X53" s="76">
        <v>16</v>
      </c>
      <c r="Y53" s="9">
        <v>329</v>
      </c>
      <c r="Z53" s="3">
        <v>678.72</v>
      </c>
      <c r="AA53" s="17" t="s">
        <v>2232</v>
      </c>
      <c r="AB53" s="18" t="s">
        <v>2231</v>
      </c>
      <c r="AC53" s="46" cm="1">
        <f t="array" ref="AC53">(SUMPRODUCT((H53:O53/H$9:O$9)^H$7:O$7*H$2:O$2)+SUMPRODUCT((Q53:T53/Q$9:T$9)^Q$7:T$7*Q$2:T$2))*(0.8^(1-G53))*AC$9</f>
        <v>1.3106732997977795</v>
      </c>
      <c r="AD53" s="48" cm="1">
        <f t="array" ref="AD53">(SUMPRODUCT((H53:O53/H$9:O$9)^H$7:O$7*H$3:O$3)+SUMPRODUCT((Q53:T53/Q$9:T$9)^Q$7:T$7*Q$3:T$3))*(0.1^(1-G53))*AD$9</f>
        <v>1.5101858815403502</v>
      </c>
      <c r="AE53" s="48" cm="1">
        <f t="array" ref="AE53">(SUMPRODUCT((H53:O53/H$9:O$9)^H$7:O$7*H$4:O$4)+SUMPRODUCT((Q53:T53/Q$9:T$9)^Q$7:T$7*Q$4:T$4))*AE$9</f>
        <v>1.3789588643681823</v>
      </c>
      <c r="AF53" s="47" cm="1">
        <f t="array" ref="AF53">(SUMPRODUCT((H53:O53/H$9:O$9)^H$7:O$7*H$5:O$5)+SUMPRODUCT((Q53:T53/Q$9:T$9)^Q$7:T$7*Q$5:T$5))*AF$9</f>
        <v>1.3082977402826781</v>
      </c>
      <c r="AG53" s="50" cm="1">
        <f t="array" ref="AG53">SUMPRODUCT(AC53:AF53 * AC$3:AF$3) / SUM(AC$3:AF$3)</f>
        <v>1.428704981354513</v>
      </c>
    </row>
    <row r="54" spans="1:33" x14ac:dyDescent="0.25">
      <c r="A54" s="81" t="s">
        <v>2213</v>
      </c>
      <c r="B54" s="20" t="s">
        <v>2215</v>
      </c>
      <c r="C54" s="4" t="s">
        <v>8853</v>
      </c>
      <c r="D54" s="4" t="str">
        <f t="shared" si="0"/>
        <v>ASUS</v>
      </c>
      <c r="E54" s="4" t="s">
        <v>8854</v>
      </c>
      <c r="F54" s="14" t="s">
        <v>8863</v>
      </c>
      <c r="G54" s="9">
        <v>1</v>
      </c>
      <c r="H54" s="1">
        <v>13.38</v>
      </c>
      <c r="I54" s="1">
        <v>13.38</v>
      </c>
      <c r="J54" s="1">
        <v>0.21</v>
      </c>
      <c r="K54" s="3">
        <v>1875</v>
      </c>
      <c r="L54" s="13">
        <v>1867</v>
      </c>
      <c r="M54" s="49">
        <v>63.36</v>
      </c>
      <c r="N54" s="1">
        <v>85.29</v>
      </c>
      <c r="O54" s="3">
        <v>28</v>
      </c>
      <c r="P54" s="11" t="s">
        <v>2275</v>
      </c>
      <c r="Q54" s="3">
        <v>8</v>
      </c>
      <c r="R54" s="3">
        <v>128</v>
      </c>
      <c r="S54" s="22">
        <v>15</v>
      </c>
      <c r="T54" s="9">
        <v>170</v>
      </c>
      <c r="U54" s="14" t="s">
        <v>446</v>
      </c>
      <c r="V54" s="12">
        <v>4</v>
      </c>
      <c r="W54" s="75">
        <v>16</v>
      </c>
      <c r="X54" s="76">
        <v>16</v>
      </c>
      <c r="Y54" s="9">
        <v>373.88</v>
      </c>
      <c r="Z54" s="3">
        <v>424.15</v>
      </c>
      <c r="AA54" s="17" t="s">
        <v>2214</v>
      </c>
      <c r="AB54" s="18" t="s">
        <v>2213</v>
      </c>
      <c r="AC54" s="46" cm="1">
        <f t="array" ref="AC54">(SUMPRODUCT((H54:O54/H$9:O$9)^H$7:O$7*H$2:O$2)+SUMPRODUCT((Q54:T54/Q$9:T$9)^Q$7:T$7*Q$2:T$2))*(0.8^(1-G54))*AC$9</f>
        <v>1.3106732997977795</v>
      </c>
      <c r="AD54" s="48" cm="1">
        <f t="array" ref="AD54">(SUMPRODUCT((H54:O54/H$9:O$9)^H$7:O$7*H$3:O$3)+SUMPRODUCT((Q54:T54/Q$9:T$9)^Q$7:T$7*Q$3:T$3))*(0.1^(1-G54))*AD$9</f>
        <v>1.5101858815403502</v>
      </c>
      <c r="AE54" s="48" cm="1">
        <f t="array" ref="AE54">(SUMPRODUCT((H54:O54/H$9:O$9)^H$7:O$7*H$4:O$4)+SUMPRODUCT((Q54:T54/Q$9:T$9)^Q$7:T$7*Q$4:T$4))*AE$9</f>
        <v>1.3789588643681823</v>
      </c>
      <c r="AF54" s="47" cm="1">
        <f t="array" ref="AF54">(SUMPRODUCT((H54:O54/H$9:O$9)^H$7:O$7*H$5:O$5)+SUMPRODUCT((Q54:T54/Q$9:T$9)^Q$7:T$7*Q$5:T$5))*AF$9</f>
        <v>1.3082977402826781</v>
      </c>
      <c r="AG54" s="50" cm="1">
        <f t="array" ref="AG54">SUMPRODUCT(AC54:AF54 * AC$3:AF$3) / SUM(AC$3:AF$3)</f>
        <v>1.428704981354513</v>
      </c>
    </row>
    <row r="55" spans="1:33" x14ac:dyDescent="0.25">
      <c r="A55" s="81" t="s">
        <v>2210</v>
      </c>
      <c r="B55" s="20" t="s">
        <v>2212</v>
      </c>
      <c r="C55" s="4" t="s">
        <v>8853</v>
      </c>
      <c r="D55" s="4" t="str">
        <f t="shared" si="0"/>
        <v>ASUS</v>
      </c>
      <c r="E55" s="4" t="s">
        <v>8854</v>
      </c>
      <c r="F55" s="14" t="s">
        <v>8863</v>
      </c>
      <c r="G55" s="9">
        <v>1</v>
      </c>
      <c r="H55" s="1">
        <v>12.95</v>
      </c>
      <c r="I55" s="1">
        <v>12.95</v>
      </c>
      <c r="J55" s="1">
        <v>0.2</v>
      </c>
      <c r="K55" s="3">
        <v>1875</v>
      </c>
      <c r="L55" s="13">
        <v>1807</v>
      </c>
      <c r="M55" s="49">
        <v>63.36</v>
      </c>
      <c r="N55" s="1">
        <v>85.29</v>
      </c>
      <c r="O55" s="3">
        <v>28</v>
      </c>
      <c r="P55" s="11" t="s">
        <v>2275</v>
      </c>
      <c r="Q55" s="3">
        <v>8</v>
      </c>
      <c r="R55" s="3">
        <v>128</v>
      </c>
      <c r="S55" s="22">
        <v>15</v>
      </c>
      <c r="T55" s="9">
        <v>170</v>
      </c>
      <c r="U55" s="14" t="s">
        <v>446</v>
      </c>
      <c r="V55" s="12">
        <v>4</v>
      </c>
      <c r="W55" s="75">
        <v>16</v>
      </c>
      <c r="X55" s="76">
        <v>16</v>
      </c>
      <c r="Y55" s="9">
        <v>814.5</v>
      </c>
      <c r="Z55" s="3">
        <v>814.5</v>
      </c>
      <c r="AA55" s="17" t="s">
        <v>2211</v>
      </c>
      <c r="AB55" s="18" t="s">
        <v>2210</v>
      </c>
      <c r="AC55" s="46" cm="1">
        <f t="array" ref="AC55">(SUMPRODUCT((H55:O55/H$9:O$9)^H$7:O$7*H$2:O$2)+SUMPRODUCT((Q55:T55/Q$9:T$9)^Q$7:T$7*Q$2:T$2))*(0.8^(1-G55))*AC$9</f>
        <v>1.3004276277469971</v>
      </c>
      <c r="AD55" s="48" cm="1">
        <f t="array" ref="AD55">(SUMPRODUCT((H55:O55/H$9:O$9)^H$7:O$7*H$3:O$3)+SUMPRODUCT((Q55:T55/Q$9:T$9)^Q$7:T$7*Q$3:T$3))*(0.1^(1-G55))*AD$9</f>
        <v>1.4810535819625741</v>
      </c>
      <c r="AE55" s="48" cm="1">
        <f t="array" ref="AE55">(SUMPRODUCT((H55:O55/H$9:O$9)^H$7:O$7*H$4:O$4)+SUMPRODUCT((Q55:T55/Q$9:T$9)^Q$7:T$7*Q$4:T$4))*AE$9</f>
        <v>1.3487776114709096</v>
      </c>
      <c r="AF55" s="47" cm="1">
        <f t="array" ref="AF55">(SUMPRODUCT((H55:O55/H$9:O$9)^H$7:O$7*H$5:O$5)+SUMPRODUCT((Q55:T55/Q$9:T$9)^Q$7:T$7*Q$5:T$5))*AF$9</f>
        <v>1.2926002981476405</v>
      </c>
      <c r="AG55" s="50" cm="1">
        <f t="array" ref="AG55">SUMPRODUCT(AC55:AF55 * AC$3:AF$3) / SUM(AC$3:AF$3)</f>
        <v>1.4048430455695262</v>
      </c>
    </row>
    <row r="56" spans="1:33" x14ac:dyDescent="0.25">
      <c r="A56" s="81" t="s">
        <v>2204</v>
      </c>
      <c r="B56" s="20" t="s">
        <v>2206</v>
      </c>
      <c r="C56" s="4" t="s">
        <v>8853</v>
      </c>
      <c r="D56" s="4" t="str">
        <f t="shared" si="0"/>
        <v>ASUS</v>
      </c>
      <c r="E56" s="4" t="s">
        <v>8854</v>
      </c>
      <c r="F56" s="14" t="s">
        <v>8863</v>
      </c>
      <c r="G56" s="9">
        <v>1</v>
      </c>
      <c r="H56" s="1">
        <v>12.95</v>
      </c>
      <c r="I56" s="1">
        <v>12.95</v>
      </c>
      <c r="J56" s="1">
        <v>0.2</v>
      </c>
      <c r="K56" s="3">
        <v>1875</v>
      </c>
      <c r="L56" s="13">
        <v>1807</v>
      </c>
      <c r="M56" s="49">
        <v>63.36</v>
      </c>
      <c r="N56" s="1">
        <v>85.29</v>
      </c>
      <c r="O56" s="3">
        <v>28</v>
      </c>
      <c r="P56" s="11" t="s">
        <v>2275</v>
      </c>
      <c r="Q56" s="3">
        <v>8</v>
      </c>
      <c r="R56" s="3">
        <v>128</v>
      </c>
      <c r="S56" s="22">
        <v>15</v>
      </c>
      <c r="T56" s="9">
        <v>170</v>
      </c>
      <c r="U56" s="14" t="s">
        <v>446</v>
      </c>
      <c r="V56" s="12">
        <v>4</v>
      </c>
      <c r="W56" s="75">
        <v>16</v>
      </c>
      <c r="X56" s="76">
        <v>16</v>
      </c>
      <c r="Y56" s="9">
        <v>757.9</v>
      </c>
      <c r="Z56" s="3">
        <v>757.9</v>
      </c>
      <c r="AA56" s="17" t="s">
        <v>2205</v>
      </c>
      <c r="AB56" s="18" t="s">
        <v>2204</v>
      </c>
      <c r="AC56" s="46" cm="1">
        <f t="array" ref="AC56">(SUMPRODUCT((H56:O56/H$9:O$9)^H$7:O$7*H$2:O$2)+SUMPRODUCT((Q56:T56/Q$9:T$9)^Q$7:T$7*Q$2:T$2))*(0.8^(1-G56))*AC$9</f>
        <v>1.3004276277469971</v>
      </c>
      <c r="AD56" s="48" cm="1">
        <f t="array" ref="AD56">(SUMPRODUCT((H56:O56/H$9:O$9)^H$7:O$7*H$3:O$3)+SUMPRODUCT((Q56:T56/Q$9:T$9)^Q$7:T$7*Q$3:T$3))*(0.1^(1-G56))*AD$9</f>
        <v>1.4810535819625741</v>
      </c>
      <c r="AE56" s="48" cm="1">
        <f t="array" ref="AE56">(SUMPRODUCT((H56:O56/H$9:O$9)^H$7:O$7*H$4:O$4)+SUMPRODUCT((Q56:T56/Q$9:T$9)^Q$7:T$7*Q$4:T$4))*AE$9</f>
        <v>1.3487776114709096</v>
      </c>
      <c r="AF56" s="47" cm="1">
        <f t="array" ref="AF56">(SUMPRODUCT((H56:O56/H$9:O$9)^H$7:O$7*H$5:O$5)+SUMPRODUCT((Q56:T56/Q$9:T$9)^Q$7:T$7*Q$5:T$5))*AF$9</f>
        <v>1.2926002981476405</v>
      </c>
      <c r="AG56" s="50" cm="1">
        <f t="array" ref="AG56">SUMPRODUCT(AC56:AF56 * AC$3:AF$3) / SUM(AC$3:AF$3)</f>
        <v>1.4048430455695262</v>
      </c>
    </row>
    <row r="57" spans="1:33" x14ac:dyDescent="0.25">
      <c r="A57" s="81" t="s">
        <v>1610</v>
      </c>
      <c r="B57" s="20" t="s">
        <v>1612</v>
      </c>
      <c r="C57" s="4" t="s">
        <v>8853</v>
      </c>
      <c r="D57" s="4" t="str">
        <f t="shared" si="0"/>
        <v>GIGABYTE</v>
      </c>
      <c r="E57" s="4" t="s">
        <v>8854</v>
      </c>
      <c r="F57" s="14" t="s">
        <v>8863</v>
      </c>
      <c r="G57" s="9">
        <v>1</v>
      </c>
      <c r="H57" s="1">
        <v>12.95</v>
      </c>
      <c r="I57" s="1">
        <v>12.95</v>
      </c>
      <c r="J57" s="1">
        <v>0.2</v>
      </c>
      <c r="K57" s="3">
        <v>1875</v>
      </c>
      <c r="L57" s="13">
        <v>1807</v>
      </c>
      <c r="M57" s="49">
        <v>63.36</v>
      </c>
      <c r="N57" s="1">
        <v>85.29</v>
      </c>
      <c r="O57" s="3">
        <v>28</v>
      </c>
      <c r="P57" s="11" t="s">
        <v>2275</v>
      </c>
      <c r="Q57" s="3">
        <v>8</v>
      </c>
      <c r="R57" s="3">
        <v>128</v>
      </c>
      <c r="S57" s="22">
        <v>15</v>
      </c>
      <c r="T57" s="9">
        <v>170</v>
      </c>
      <c r="U57" s="14" t="s">
        <v>446</v>
      </c>
      <c r="V57" s="12">
        <v>4</v>
      </c>
      <c r="W57" s="75">
        <v>16</v>
      </c>
      <c r="X57" s="76">
        <v>16</v>
      </c>
      <c r="Y57" s="9">
        <v>309.98</v>
      </c>
      <c r="Z57" s="3">
        <v>387.4</v>
      </c>
      <c r="AA57" s="17" t="s">
        <v>1611</v>
      </c>
      <c r="AB57" s="18" t="s">
        <v>1610</v>
      </c>
      <c r="AC57" s="46" cm="1">
        <f t="array" ref="AC57">(SUMPRODUCT((H57:O57/H$9:O$9)^H$7:O$7*H$2:O$2)+SUMPRODUCT((Q57:T57/Q$9:T$9)^Q$7:T$7*Q$2:T$2))*(0.8^(1-G57))*AC$9</f>
        <v>1.3004276277469971</v>
      </c>
      <c r="AD57" s="48" cm="1">
        <f t="array" ref="AD57">(SUMPRODUCT((H57:O57/H$9:O$9)^H$7:O$7*H$3:O$3)+SUMPRODUCT((Q57:T57/Q$9:T$9)^Q$7:T$7*Q$3:T$3))*(0.1^(1-G57))*AD$9</f>
        <v>1.4810535819625741</v>
      </c>
      <c r="AE57" s="48" cm="1">
        <f t="array" ref="AE57">(SUMPRODUCT((H57:O57/H$9:O$9)^H$7:O$7*H$4:O$4)+SUMPRODUCT((Q57:T57/Q$9:T$9)^Q$7:T$7*Q$4:T$4))*AE$9</f>
        <v>1.3487776114709096</v>
      </c>
      <c r="AF57" s="47" cm="1">
        <f t="array" ref="AF57">(SUMPRODUCT((H57:O57/H$9:O$9)^H$7:O$7*H$5:O$5)+SUMPRODUCT((Q57:T57/Q$9:T$9)^Q$7:T$7*Q$5:T$5))*AF$9</f>
        <v>1.2926002981476405</v>
      </c>
      <c r="AG57" s="50" cm="1">
        <f t="array" ref="AG57">SUMPRODUCT(AC57:AF57 * AC$3:AF$3) / SUM(AC$3:AF$3)</f>
        <v>1.4048430455695262</v>
      </c>
    </row>
    <row r="58" spans="1:33" x14ac:dyDescent="0.25">
      <c r="A58" s="81" t="s">
        <v>1607</v>
      </c>
      <c r="B58" s="20" t="s">
        <v>1609</v>
      </c>
      <c r="C58" s="4" t="s">
        <v>8853</v>
      </c>
      <c r="D58" s="4" t="str">
        <f t="shared" si="0"/>
        <v>GIGABYTE</v>
      </c>
      <c r="E58" s="4" t="s">
        <v>8854</v>
      </c>
      <c r="F58" s="14" t="s">
        <v>8863</v>
      </c>
      <c r="G58" s="9">
        <v>1</v>
      </c>
      <c r="H58" s="1">
        <v>12.95</v>
      </c>
      <c r="I58" s="1">
        <v>12.95</v>
      </c>
      <c r="J58" s="1">
        <v>0.2</v>
      </c>
      <c r="K58" s="3">
        <v>1875</v>
      </c>
      <c r="L58" s="13">
        <v>1807</v>
      </c>
      <c r="M58" s="49">
        <v>63.36</v>
      </c>
      <c r="N58" s="1">
        <v>85.29</v>
      </c>
      <c r="O58" s="3">
        <v>28</v>
      </c>
      <c r="P58" s="11" t="s">
        <v>2275</v>
      </c>
      <c r="Q58" s="3">
        <v>8</v>
      </c>
      <c r="R58" s="3">
        <v>128</v>
      </c>
      <c r="S58" s="22">
        <v>15</v>
      </c>
      <c r="T58" s="9">
        <v>170</v>
      </c>
      <c r="U58" s="14" t="s">
        <v>446</v>
      </c>
      <c r="V58" s="12">
        <v>4</v>
      </c>
      <c r="W58" s="75">
        <v>16</v>
      </c>
      <c r="X58" s="76">
        <v>16</v>
      </c>
      <c r="Y58" s="9">
        <v>283.62</v>
      </c>
      <c r="Z58" s="3">
        <v>371</v>
      </c>
      <c r="AA58" s="17" t="s">
        <v>1608</v>
      </c>
      <c r="AB58" s="18" t="s">
        <v>1607</v>
      </c>
      <c r="AC58" s="46" cm="1">
        <f t="array" ref="AC58">(SUMPRODUCT((H58:O58/H$9:O$9)^H$7:O$7*H$2:O$2)+SUMPRODUCT((Q58:T58/Q$9:T$9)^Q$7:T$7*Q$2:T$2))*(0.8^(1-G58))*AC$9</f>
        <v>1.3004276277469971</v>
      </c>
      <c r="AD58" s="48" cm="1">
        <f t="array" ref="AD58">(SUMPRODUCT((H58:O58/H$9:O$9)^H$7:O$7*H$3:O$3)+SUMPRODUCT((Q58:T58/Q$9:T$9)^Q$7:T$7*Q$3:T$3))*(0.1^(1-G58))*AD$9</f>
        <v>1.4810535819625741</v>
      </c>
      <c r="AE58" s="48" cm="1">
        <f t="array" ref="AE58">(SUMPRODUCT((H58:O58/H$9:O$9)^H$7:O$7*H$4:O$4)+SUMPRODUCT((Q58:T58/Q$9:T$9)^Q$7:T$7*Q$4:T$4))*AE$9</f>
        <v>1.3487776114709096</v>
      </c>
      <c r="AF58" s="47" cm="1">
        <f t="array" ref="AF58">(SUMPRODUCT((H58:O58/H$9:O$9)^H$7:O$7*H$5:O$5)+SUMPRODUCT((Q58:T58/Q$9:T$9)^Q$7:T$7*Q$5:T$5))*AF$9</f>
        <v>1.2926002981476405</v>
      </c>
      <c r="AG58" s="50" cm="1">
        <f t="array" ref="AG58">SUMPRODUCT(AC58:AF58 * AC$3:AF$3) / SUM(AC$3:AF$3)</f>
        <v>1.4048430455695262</v>
      </c>
    </row>
    <row r="59" spans="1:33" x14ac:dyDescent="0.25">
      <c r="A59" s="81" t="s">
        <v>1307</v>
      </c>
      <c r="B59" s="20" t="s">
        <v>1309</v>
      </c>
      <c r="C59" s="4" t="s">
        <v>8853</v>
      </c>
      <c r="D59" s="4" t="str">
        <f t="shared" si="0"/>
        <v>INNO3D</v>
      </c>
      <c r="E59" s="4" t="s">
        <v>8854</v>
      </c>
      <c r="F59" s="14" t="s">
        <v>8863</v>
      </c>
      <c r="G59" s="9">
        <v>1</v>
      </c>
      <c r="H59" s="1">
        <v>12.74</v>
      </c>
      <c r="I59" s="1">
        <v>12.74</v>
      </c>
      <c r="J59" s="1">
        <v>0.2</v>
      </c>
      <c r="K59" s="3">
        <v>1875</v>
      </c>
      <c r="L59" s="13">
        <v>1777</v>
      </c>
      <c r="M59" s="49">
        <v>63.36</v>
      </c>
      <c r="N59" s="1">
        <v>85.29</v>
      </c>
      <c r="O59" s="3">
        <v>28</v>
      </c>
      <c r="P59" s="11" t="s">
        <v>2275</v>
      </c>
      <c r="Q59" s="3">
        <v>8</v>
      </c>
      <c r="R59" s="3">
        <v>128</v>
      </c>
      <c r="S59" s="22">
        <v>15</v>
      </c>
      <c r="T59" s="9">
        <v>170</v>
      </c>
      <c r="U59" s="14" t="s">
        <v>446</v>
      </c>
      <c r="V59" s="12">
        <v>4</v>
      </c>
      <c r="W59" s="75">
        <v>16</v>
      </c>
      <c r="X59" s="76">
        <v>16</v>
      </c>
      <c r="Y59" s="9">
        <v>271.64999999999998</v>
      </c>
      <c r="Z59" s="3">
        <v>386</v>
      </c>
      <c r="AA59" s="17" t="s">
        <v>1308</v>
      </c>
      <c r="AB59" s="18" t="s">
        <v>1307</v>
      </c>
      <c r="AC59" s="46" cm="1">
        <f t="array" ref="AC59">(SUMPRODUCT((H59:O59/H$9:O$9)^H$7:O$7*H$2:O$2)+SUMPRODUCT((Q59:T59/Q$9:T$9)^Q$7:T$7*Q$2:T$2))*(0.8^(1-G59))*AC$9</f>
        <v>1.2953220560921204</v>
      </c>
      <c r="AD59" s="48" cm="1">
        <f t="array" ref="AD59">(SUMPRODUCT((H59:O59/H$9:O$9)^H$7:O$7*H$3:O$3)+SUMPRODUCT((Q59:T59/Q$9:T$9)^Q$7:T$7*Q$3:T$3))*(0.1^(1-G59))*AD$9</f>
        <v>1.4683366704471785</v>
      </c>
      <c r="AE59" s="48" cm="1">
        <f t="array" ref="AE59">(SUMPRODUCT((H59:O59/H$9:O$9)^H$7:O$7*H$4:O$4)+SUMPRODUCT((Q59:T59/Q$9:T$9)^Q$7:T$7*Q$4:T$4))*AE$9</f>
        <v>1.3450049290148431</v>
      </c>
      <c r="AF59" s="47" cm="1">
        <f t="array" ref="AF59">(SUMPRODUCT((H59:O59/H$9:O$9)^H$7:O$7*H$5:O$5)+SUMPRODUCT((Q59:T59/Q$9:T$9)^Q$7:T$7*Q$5:T$5))*AF$9</f>
        <v>1.2848780061928431</v>
      </c>
      <c r="AG59" s="50" cm="1">
        <f t="array" ref="AG59">SUMPRODUCT(AC59:AF59 * AC$3:AF$3) / SUM(AC$3:AF$3)</f>
        <v>1.3952209305197978</v>
      </c>
    </row>
    <row r="60" spans="1:33" x14ac:dyDescent="0.25">
      <c r="A60" s="81" t="s">
        <v>1301</v>
      </c>
      <c r="B60" s="20" t="s">
        <v>1303</v>
      </c>
      <c r="C60" s="4" t="s">
        <v>8853</v>
      </c>
      <c r="D60" s="4" t="str">
        <f t="shared" si="0"/>
        <v>INNO3D</v>
      </c>
      <c r="E60" s="4" t="s">
        <v>8854</v>
      </c>
      <c r="F60" s="14" t="s">
        <v>8863</v>
      </c>
      <c r="G60" s="9">
        <v>1</v>
      </c>
      <c r="H60" s="1">
        <v>12.85</v>
      </c>
      <c r="I60" s="1">
        <v>12.85</v>
      </c>
      <c r="J60" s="1">
        <v>0.2</v>
      </c>
      <c r="K60" s="3">
        <v>1875</v>
      </c>
      <c r="L60" s="13">
        <v>1792</v>
      </c>
      <c r="M60" s="49">
        <v>63.36</v>
      </c>
      <c r="N60" s="1">
        <v>85.29</v>
      </c>
      <c r="O60" s="3">
        <v>28</v>
      </c>
      <c r="P60" s="11" t="s">
        <v>2275</v>
      </c>
      <c r="Q60" s="3">
        <v>8</v>
      </c>
      <c r="R60" s="3">
        <v>128</v>
      </c>
      <c r="S60" s="22">
        <v>15</v>
      </c>
      <c r="T60" s="9">
        <v>170</v>
      </c>
      <c r="U60" s="14" t="s">
        <v>446</v>
      </c>
      <c r="V60" s="12">
        <v>4</v>
      </c>
      <c r="W60" s="75">
        <v>16</v>
      </c>
      <c r="X60" s="76">
        <v>16</v>
      </c>
      <c r="Y60" s="9">
        <v>284.89999999999998</v>
      </c>
      <c r="Z60" s="3">
        <v>493.13</v>
      </c>
      <c r="AA60" s="17" t="s">
        <v>1302</v>
      </c>
      <c r="AB60" s="18" t="s">
        <v>1301</v>
      </c>
      <c r="AC60" s="46" cm="1">
        <f t="array" ref="AC60">(SUMPRODUCT((H60:O60/H$9:O$9)^H$7:O$7*H$2:O$2)+SUMPRODUCT((Q60:T60/Q$9:T$9)^Q$7:T$7*Q$2:T$2))*(0.8^(1-G60))*AC$9</f>
        <v>1.2979058454798005</v>
      </c>
      <c r="AD60" s="48" cm="1">
        <f t="array" ref="AD60">(SUMPRODUCT((H60:O60/H$9:O$9)^H$7:O$7*H$3:O$3)+SUMPRODUCT((Q60:T60/Q$9:T$9)^Q$7:T$7*Q$3:T$3))*(0.1^(1-G60))*AD$9</f>
        <v>1.4749828877716495</v>
      </c>
      <c r="AE60" s="48" cm="1">
        <f t="array" ref="AE60">(SUMPRODUCT((H60:O60/H$9:O$9)^H$7:O$7*H$4:O$4)+SUMPRODUCT((Q60:T60/Q$9:T$9)^Q$7:T$7*Q$4:T$4))*AE$9</f>
        <v>1.3469818651507111</v>
      </c>
      <c r="AF60" s="47" cm="1">
        <f t="array" ref="AF60">(SUMPRODUCT((H60:O60/H$9:O$9)^H$7:O$7*H$5:O$5)+SUMPRODUCT((Q60:T60/Q$9:T$9)^Q$7:T$7*Q$5:T$5))*AF$9</f>
        <v>1.2888880687012072</v>
      </c>
      <c r="AG60" s="50" cm="1">
        <f t="array" ref="AG60">SUMPRODUCT(AC60:AF60 * AC$3:AF$3) / SUM(AC$3:AF$3)</f>
        <v>1.4002319083644967</v>
      </c>
    </row>
    <row r="61" spans="1:33" x14ac:dyDescent="0.25">
      <c r="A61" s="81" t="s">
        <v>1116</v>
      </c>
      <c r="B61" s="20" t="s">
        <v>1118</v>
      </c>
      <c r="C61" s="4" t="s">
        <v>8853</v>
      </c>
      <c r="D61" s="4" t="str">
        <f t="shared" si="0"/>
        <v>MSI</v>
      </c>
      <c r="E61" s="4" t="s">
        <v>8854</v>
      </c>
      <c r="F61" s="14" t="s">
        <v>8863</v>
      </c>
      <c r="G61" s="9">
        <v>1</v>
      </c>
      <c r="H61" s="1">
        <v>12.95</v>
      </c>
      <c r="I61" s="1">
        <v>12.95</v>
      </c>
      <c r="J61" s="1">
        <v>0.2</v>
      </c>
      <c r="K61" s="3">
        <v>1875</v>
      </c>
      <c r="L61" s="13">
        <v>1807</v>
      </c>
      <c r="M61" s="49">
        <v>63.36</v>
      </c>
      <c r="N61" s="1">
        <v>85.29</v>
      </c>
      <c r="O61" s="3">
        <v>28</v>
      </c>
      <c r="P61" s="11" t="s">
        <v>2275</v>
      </c>
      <c r="Q61" s="3">
        <v>8</v>
      </c>
      <c r="R61" s="3">
        <v>128</v>
      </c>
      <c r="S61" s="22">
        <v>15</v>
      </c>
      <c r="T61" s="9">
        <v>170</v>
      </c>
      <c r="U61" s="14" t="s">
        <v>446</v>
      </c>
      <c r="V61" s="12">
        <v>4</v>
      </c>
      <c r="W61" s="75">
        <v>16</v>
      </c>
      <c r="X61" s="76">
        <v>16</v>
      </c>
      <c r="Y61" s="9">
        <v>337.68</v>
      </c>
      <c r="Z61" s="3">
        <v>594.65</v>
      </c>
      <c r="AA61" s="17" t="s">
        <v>1117</v>
      </c>
      <c r="AB61" s="18" t="s">
        <v>1116</v>
      </c>
      <c r="AC61" s="46" cm="1">
        <f t="array" ref="AC61">(SUMPRODUCT((H61:O61/H$9:O$9)^H$7:O$7*H$2:O$2)+SUMPRODUCT((Q61:T61/Q$9:T$9)^Q$7:T$7*Q$2:T$2))*(0.8^(1-G61))*AC$9</f>
        <v>1.3004276277469971</v>
      </c>
      <c r="AD61" s="48" cm="1">
        <f t="array" ref="AD61">(SUMPRODUCT((H61:O61/H$9:O$9)^H$7:O$7*H$3:O$3)+SUMPRODUCT((Q61:T61/Q$9:T$9)^Q$7:T$7*Q$3:T$3))*(0.1^(1-G61))*AD$9</f>
        <v>1.4810535819625741</v>
      </c>
      <c r="AE61" s="48" cm="1">
        <f t="array" ref="AE61">(SUMPRODUCT((H61:O61/H$9:O$9)^H$7:O$7*H$4:O$4)+SUMPRODUCT((Q61:T61/Q$9:T$9)^Q$7:T$7*Q$4:T$4))*AE$9</f>
        <v>1.3487776114709096</v>
      </c>
      <c r="AF61" s="47" cm="1">
        <f t="array" ref="AF61">(SUMPRODUCT((H61:O61/H$9:O$9)^H$7:O$7*H$5:O$5)+SUMPRODUCT((Q61:T61/Q$9:T$9)^Q$7:T$7*Q$5:T$5))*AF$9</f>
        <v>1.2926002981476405</v>
      </c>
      <c r="AG61" s="50" cm="1">
        <f t="array" ref="AG61">SUMPRODUCT(AC61:AF61 * AC$3:AF$3) / SUM(AC$3:AF$3)</f>
        <v>1.4048430455695262</v>
      </c>
    </row>
    <row r="62" spans="1:33" x14ac:dyDescent="0.25">
      <c r="A62" s="81" t="s">
        <v>772</v>
      </c>
      <c r="B62" s="20" t="s">
        <v>774</v>
      </c>
      <c r="C62" s="4" t="s">
        <v>8853</v>
      </c>
      <c r="D62" s="4" t="str">
        <f t="shared" si="0"/>
        <v>Palit</v>
      </c>
      <c r="E62" s="4" t="s">
        <v>8854</v>
      </c>
      <c r="F62" s="14" t="s">
        <v>8863</v>
      </c>
      <c r="G62" s="9">
        <v>1</v>
      </c>
      <c r="H62" s="1">
        <v>12.74</v>
      </c>
      <c r="I62" s="1">
        <v>12.74</v>
      </c>
      <c r="J62" s="1">
        <v>0.2</v>
      </c>
      <c r="K62" s="3">
        <v>1875</v>
      </c>
      <c r="L62" s="13">
        <v>1777</v>
      </c>
      <c r="M62" s="49">
        <v>63.36</v>
      </c>
      <c r="N62" s="1">
        <v>85.29</v>
      </c>
      <c r="O62" s="3">
        <v>28</v>
      </c>
      <c r="P62" s="11" t="s">
        <v>2275</v>
      </c>
      <c r="Q62" s="3">
        <v>8</v>
      </c>
      <c r="R62" s="3">
        <v>128</v>
      </c>
      <c r="S62" s="22">
        <v>15</v>
      </c>
      <c r="T62" s="9">
        <v>170</v>
      </c>
      <c r="U62" s="14" t="s">
        <v>446</v>
      </c>
      <c r="V62" s="12">
        <v>4</v>
      </c>
      <c r="W62" s="75">
        <v>16</v>
      </c>
      <c r="X62" s="76">
        <v>16</v>
      </c>
      <c r="Y62" s="9">
        <v>301.13</v>
      </c>
      <c r="Z62" s="3">
        <v>301.13</v>
      </c>
      <c r="AA62" s="17" t="s">
        <v>773</v>
      </c>
      <c r="AB62" s="18" t="s">
        <v>772</v>
      </c>
      <c r="AC62" s="46" cm="1">
        <f t="array" ref="AC62">(SUMPRODUCT((H62:O62/H$9:O$9)^H$7:O$7*H$2:O$2)+SUMPRODUCT((Q62:T62/Q$9:T$9)^Q$7:T$7*Q$2:T$2))*(0.8^(1-G62))*AC$9</f>
        <v>1.2953220560921204</v>
      </c>
      <c r="AD62" s="48" cm="1">
        <f t="array" ref="AD62">(SUMPRODUCT((H62:O62/H$9:O$9)^H$7:O$7*H$3:O$3)+SUMPRODUCT((Q62:T62/Q$9:T$9)^Q$7:T$7*Q$3:T$3))*(0.1^(1-G62))*AD$9</f>
        <v>1.4683366704471785</v>
      </c>
      <c r="AE62" s="48" cm="1">
        <f t="array" ref="AE62">(SUMPRODUCT((H62:O62/H$9:O$9)^H$7:O$7*H$4:O$4)+SUMPRODUCT((Q62:T62/Q$9:T$9)^Q$7:T$7*Q$4:T$4))*AE$9</f>
        <v>1.3450049290148431</v>
      </c>
      <c r="AF62" s="47" cm="1">
        <f t="array" ref="AF62">(SUMPRODUCT((H62:O62/H$9:O$9)^H$7:O$7*H$5:O$5)+SUMPRODUCT((Q62:T62/Q$9:T$9)^Q$7:T$7*Q$5:T$5))*AF$9</f>
        <v>1.2848780061928431</v>
      </c>
      <c r="AG62" s="50" cm="1">
        <f t="array" ref="AG62">SUMPRODUCT(AC62:AF62 * AC$3:AF$3) / SUM(AC$3:AF$3)</f>
        <v>1.3952209305197978</v>
      </c>
    </row>
    <row r="63" spans="1:33" x14ac:dyDescent="0.25">
      <c r="A63" s="81" t="s">
        <v>611</v>
      </c>
      <c r="B63" s="20" t="s">
        <v>613</v>
      </c>
      <c r="C63" s="4" t="s">
        <v>8853</v>
      </c>
      <c r="D63" s="4" t="str">
        <f t="shared" si="0"/>
        <v>Zotac</v>
      </c>
      <c r="E63" s="4" t="s">
        <v>8854</v>
      </c>
      <c r="F63" s="14" t="s">
        <v>8863</v>
      </c>
      <c r="G63" s="9">
        <v>1</v>
      </c>
      <c r="H63" s="1">
        <v>12.74</v>
      </c>
      <c r="I63" s="1">
        <v>12.74</v>
      </c>
      <c r="J63" s="1">
        <v>0.2</v>
      </c>
      <c r="K63" s="3">
        <v>1875</v>
      </c>
      <c r="L63" s="13">
        <v>1777</v>
      </c>
      <c r="M63" s="49">
        <v>63.36</v>
      </c>
      <c r="N63" s="1">
        <v>85.29</v>
      </c>
      <c r="O63" s="3">
        <v>28</v>
      </c>
      <c r="P63" s="11" t="s">
        <v>2275</v>
      </c>
      <c r="Q63" s="3">
        <v>8</v>
      </c>
      <c r="R63" s="3">
        <v>128</v>
      </c>
      <c r="S63" s="22">
        <v>15</v>
      </c>
      <c r="T63" s="9">
        <v>170</v>
      </c>
      <c r="U63" s="14" t="s">
        <v>446</v>
      </c>
      <c r="V63" s="12">
        <v>4</v>
      </c>
      <c r="W63" s="75">
        <v>16</v>
      </c>
      <c r="X63" s="76">
        <v>16</v>
      </c>
      <c r="Y63" s="9">
        <v>486.35</v>
      </c>
      <c r="Z63" s="3">
        <v>781.79</v>
      </c>
      <c r="AA63" s="17" t="s">
        <v>612</v>
      </c>
      <c r="AB63" s="18" t="s">
        <v>611</v>
      </c>
      <c r="AC63" s="46" cm="1">
        <f t="array" ref="AC63">(SUMPRODUCT((H63:O63/H$9:O$9)^H$7:O$7*H$2:O$2)+SUMPRODUCT((Q63:T63/Q$9:T$9)^Q$7:T$7*Q$2:T$2))*(0.8^(1-G63))*AC$9</f>
        <v>1.2953220560921204</v>
      </c>
      <c r="AD63" s="48" cm="1">
        <f t="array" ref="AD63">(SUMPRODUCT((H63:O63/H$9:O$9)^H$7:O$7*H$3:O$3)+SUMPRODUCT((Q63:T63/Q$9:T$9)^Q$7:T$7*Q$3:T$3))*(0.1^(1-G63))*AD$9</f>
        <v>1.4683366704471785</v>
      </c>
      <c r="AE63" s="48" cm="1">
        <f t="array" ref="AE63">(SUMPRODUCT((H63:O63/H$9:O$9)^H$7:O$7*H$4:O$4)+SUMPRODUCT((Q63:T63/Q$9:T$9)^Q$7:T$7*Q$4:T$4))*AE$9</f>
        <v>1.3450049290148431</v>
      </c>
      <c r="AF63" s="47" cm="1">
        <f t="array" ref="AF63">(SUMPRODUCT((H63:O63/H$9:O$9)^H$7:O$7*H$5:O$5)+SUMPRODUCT((Q63:T63/Q$9:T$9)^Q$7:T$7*Q$5:T$5))*AF$9</f>
        <v>1.2848780061928431</v>
      </c>
      <c r="AG63" s="50" cm="1">
        <f t="array" ref="AG63">SUMPRODUCT(AC63:AF63 * AC$3:AF$3) / SUM(AC$3:AF$3)</f>
        <v>1.3952209305197978</v>
      </c>
    </row>
    <row r="64" spans="1:33" x14ac:dyDescent="0.25">
      <c r="A64" s="81" t="s">
        <v>2207</v>
      </c>
      <c r="B64" s="20" t="s">
        <v>2209</v>
      </c>
      <c r="C64" s="4" t="s">
        <v>8853</v>
      </c>
      <c r="D64" s="4" t="str">
        <f t="shared" si="0"/>
        <v>ASUS</v>
      </c>
      <c r="E64" s="4" t="s">
        <v>8854</v>
      </c>
      <c r="F64" s="14" t="s">
        <v>8864</v>
      </c>
      <c r="G64" s="9">
        <v>1</v>
      </c>
      <c r="H64" s="1">
        <v>12.95</v>
      </c>
      <c r="I64" s="1">
        <v>12.95</v>
      </c>
      <c r="J64" s="1">
        <v>0.2</v>
      </c>
      <c r="K64" s="3">
        <v>1875</v>
      </c>
      <c r="L64" s="13">
        <v>1807</v>
      </c>
      <c r="M64" s="49">
        <v>63.36</v>
      </c>
      <c r="N64" s="1">
        <v>85.29</v>
      </c>
      <c r="O64" s="3">
        <v>28</v>
      </c>
      <c r="P64" s="11" t="s">
        <v>2275</v>
      </c>
      <c r="Q64" s="3">
        <v>12</v>
      </c>
      <c r="R64" s="3">
        <v>192</v>
      </c>
      <c r="S64" s="22">
        <v>15</v>
      </c>
      <c r="T64" s="9">
        <v>170</v>
      </c>
      <c r="U64" s="14" t="s">
        <v>446</v>
      </c>
      <c r="V64" s="12">
        <v>4</v>
      </c>
      <c r="W64" s="75">
        <v>16</v>
      </c>
      <c r="X64" s="76">
        <v>16</v>
      </c>
      <c r="Y64" s="9">
        <v>339.9</v>
      </c>
      <c r="Z64" s="3">
        <v>339.9</v>
      </c>
      <c r="AA64" s="17" t="s">
        <v>2208</v>
      </c>
      <c r="AB64" s="18" t="s">
        <v>2207</v>
      </c>
      <c r="AC64" s="46" cm="1">
        <f t="array" ref="AC64">(SUMPRODUCT((H64:O64/H$9:O$9)^H$7:O$7*H$2:O$2)+SUMPRODUCT((Q64:T64/Q$9:T$9)^Q$7:T$7*Q$2:T$2))*(0.8^(1-G64))*AC$9</f>
        <v>1.3808811560816907</v>
      </c>
      <c r="AD64" s="48" cm="1">
        <f t="array" ref="AD64">(SUMPRODUCT((H64:O64/H$9:O$9)^H$7:O$7*H$3:O$3)+SUMPRODUCT((Q64:T64/Q$9:T$9)^Q$7:T$7*Q$3:T$3))*(0.1^(1-G64))*AD$9</f>
        <v>1.5978620034614983</v>
      </c>
      <c r="AE64" s="48" cm="1">
        <f t="array" ref="AE64">(SUMPRODUCT((H64:O64/H$9:O$9)^H$7:O$7*H$4:O$4)+SUMPRODUCT((Q64:T64/Q$9:T$9)^Q$7:T$7*Q$4:T$4))*AE$9</f>
        <v>1.4694579039729501</v>
      </c>
      <c r="AF64" s="47" cm="1">
        <f t="array" ref="AF64">(SUMPRODUCT((H64:O64/H$9:O$9)^H$7:O$7*H$5:O$5)+SUMPRODUCT((Q64:T64/Q$9:T$9)^Q$7:T$7*Q$5:T$5))*AF$9</f>
        <v>1.3730538264823342</v>
      </c>
      <c r="AG64" s="50" cm="1">
        <f t="array" ref="AG64">SUMPRODUCT(AC64:AF64 * AC$3:AF$3) / SUM(AC$3:AF$3)</f>
        <v>1.5099633772362755</v>
      </c>
    </row>
    <row r="65" spans="1:33" x14ac:dyDescent="0.25">
      <c r="A65" s="81" t="s">
        <v>1841</v>
      </c>
      <c r="B65" s="20" t="s">
        <v>1843</v>
      </c>
      <c r="C65" s="4" t="s">
        <v>8853</v>
      </c>
      <c r="D65" s="4" t="str">
        <f t="shared" si="0"/>
        <v>ASUS</v>
      </c>
      <c r="E65" s="4" t="s">
        <v>8854</v>
      </c>
      <c r="F65" s="14" t="s">
        <v>8864</v>
      </c>
      <c r="G65" s="9">
        <v>1</v>
      </c>
      <c r="H65" s="1">
        <v>12.95</v>
      </c>
      <c r="I65" s="1">
        <v>12.95</v>
      </c>
      <c r="J65" s="1">
        <v>0.2</v>
      </c>
      <c r="K65" s="3">
        <v>1875</v>
      </c>
      <c r="L65" s="13">
        <v>1807</v>
      </c>
      <c r="M65" s="49">
        <v>63.36</v>
      </c>
      <c r="N65" s="1">
        <v>85.29</v>
      </c>
      <c r="O65" s="3">
        <v>28</v>
      </c>
      <c r="P65" s="11" t="s">
        <v>2275</v>
      </c>
      <c r="Q65" s="3">
        <v>12</v>
      </c>
      <c r="R65" s="3">
        <v>192</v>
      </c>
      <c r="S65" s="22">
        <v>15</v>
      </c>
      <c r="T65" s="9">
        <v>170</v>
      </c>
      <c r="U65" s="14" t="s">
        <v>446</v>
      </c>
      <c r="V65" s="12">
        <v>4</v>
      </c>
      <c r="W65" s="75">
        <v>16</v>
      </c>
      <c r="X65" s="76">
        <v>16</v>
      </c>
      <c r="Y65" s="9">
        <v>1696.58</v>
      </c>
      <c r="Z65" s="3">
        <v>1696.58</v>
      </c>
      <c r="AA65" s="17" t="s">
        <v>1842</v>
      </c>
      <c r="AB65" s="18" t="s">
        <v>1841</v>
      </c>
      <c r="AC65" s="46" cm="1">
        <f t="array" ref="AC65">(SUMPRODUCT((H65:O65/H$9:O$9)^H$7:O$7*H$2:O$2)+SUMPRODUCT((Q65:T65/Q$9:T$9)^Q$7:T$7*Q$2:T$2))*(0.8^(1-G65))*AC$9</f>
        <v>1.3808811560816907</v>
      </c>
      <c r="AD65" s="48" cm="1">
        <f t="array" ref="AD65">(SUMPRODUCT((H65:O65/H$9:O$9)^H$7:O$7*H$3:O$3)+SUMPRODUCT((Q65:T65/Q$9:T$9)^Q$7:T$7*Q$3:T$3))*(0.1^(1-G65))*AD$9</f>
        <v>1.5978620034614983</v>
      </c>
      <c r="AE65" s="48" cm="1">
        <f t="array" ref="AE65">(SUMPRODUCT((H65:O65/H$9:O$9)^H$7:O$7*H$4:O$4)+SUMPRODUCT((Q65:T65/Q$9:T$9)^Q$7:T$7*Q$4:T$4))*AE$9</f>
        <v>1.4694579039729501</v>
      </c>
      <c r="AF65" s="47" cm="1">
        <f t="array" ref="AF65">(SUMPRODUCT((H65:O65/H$9:O$9)^H$7:O$7*H$5:O$5)+SUMPRODUCT((Q65:T65/Q$9:T$9)^Q$7:T$7*Q$5:T$5))*AF$9</f>
        <v>1.3730538264823342</v>
      </c>
      <c r="AG65" s="50" cm="1">
        <f t="array" ref="AG65">SUMPRODUCT(AC65:AF65 * AC$3:AF$3) / SUM(AC$3:AF$3)</f>
        <v>1.5099633772362755</v>
      </c>
    </row>
    <row r="66" spans="1:33" x14ac:dyDescent="0.25">
      <c r="A66" s="81" t="s">
        <v>1616</v>
      </c>
      <c r="B66" s="20" t="s">
        <v>1618</v>
      </c>
      <c r="C66" s="4" t="s">
        <v>8853</v>
      </c>
      <c r="D66" s="4" t="str">
        <f t="shared" si="0"/>
        <v>GIGABYTE</v>
      </c>
      <c r="E66" s="4" t="s">
        <v>8854</v>
      </c>
      <c r="F66" s="14" t="s">
        <v>8864</v>
      </c>
      <c r="G66" s="9">
        <v>1</v>
      </c>
      <c r="H66" s="1">
        <v>13.17</v>
      </c>
      <c r="I66" s="1">
        <v>13.17</v>
      </c>
      <c r="J66" s="1">
        <v>0.21</v>
      </c>
      <c r="K66" s="3">
        <v>1875</v>
      </c>
      <c r="L66" s="13">
        <v>1837</v>
      </c>
      <c r="M66" s="49">
        <v>63.36</v>
      </c>
      <c r="N66" s="1">
        <v>85.29</v>
      </c>
      <c r="O66" s="3">
        <v>28</v>
      </c>
      <c r="P66" s="11" t="s">
        <v>2275</v>
      </c>
      <c r="Q66" s="3">
        <v>12</v>
      </c>
      <c r="R66" s="3">
        <v>192</v>
      </c>
      <c r="S66" s="22">
        <v>15</v>
      </c>
      <c r="T66" s="9">
        <v>170</v>
      </c>
      <c r="U66" s="14" t="s">
        <v>446</v>
      </c>
      <c r="V66" s="12">
        <v>4</v>
      </c>
      <c r="W66" s="75">
        <v>16</v>
      </c>
      <c r="X66" s="76">
        <v>16</v>
      </c>
      <c r="Y66" s="9">
        <v>552.46</v>
      </c>
      <c r="Z66" s="3">
        <v>552.46</v>
      </c>
      <c r="AA66" s="17" t="s">
        <v>1617</v>
      </c>
      <c r="AB66" s="18" t="s">
        <v>1616</v>
      </c>
      <c r="AC66" s="46" cm="1">
        <f t="array" ref="AC66">(SUMPRODUCT((H66:O66/H$9:O$9)^H$7:O$7*H$2:O$2)+SUMPRODUCT((Q66:T66/Q$9:T$9)^Q$7:T$7*Q$2:T$2))*(0.8^(1-G66))*AC$9</f>
        <v>1.3860380430924379</v>
      </c>
      <c r="AD66" s="48" cm="1">
        <f t="array" ref="AD66">(SUMPRODUCT((H66:O66/H$9:O$9)^H$7:O$7*H$3:O$3)+SUMPRODUCT((Q66:T66/Q$9:T$9)^Q$7:T$7*Q$3:T$3))*(0.1^(1-G66))*AD$9</f>
        <v>1.6143305400314336</v>
      </c>
      <c r="AE66" s="48" cm="1">
        <f t="array" ref="AE66">(SUMPRODUCT((H66:O66/H$9:O$9)^H$7:O$7*H$4:O$4)+SUMPRODUCT((Q66:T66/Q$9:T$9)^Q$7:T$7*Q$4:T$4))*AE$9</f>
        <v>1.4958788769424149</v>
      </c>
      <c r="AF66" s="47" cm="1">
        <f t="array" ref="AF66">(SUMPRODUCT((H66:O66/H$9:O$9)^H$7:O$7*H$5:O$5)+SUMPRODUCT((Q66:T66/Q$9:T$9)^Q$7:T$7*Q$5:T$5))*AF$9</f>
        <v>1.3810562545616643</v>
      </c>
      <c r="AG66" s="50" cm="1">
        <f t="array" ref="AG66">SUMPRODUCT(AC66:AF66 * AC$3:AF$3) / SUM(AC$3:AF$3)</f>
        <v>1.5242414470645262</v>
      </c>
    </row>
    <row r="67" spans="1:33" x14ac:dyDescent="0.25">
      <c r="A67" s="81" t="s">
        <v>1137</v>
      </c>
      <c r="B67" s="20" t="s">
        <v>1139</v>
      </c>
      <c r="C67" s="4" t="s">
        <v>8853</v>
      </c>
      <c r="D67" s="4" t="str">
        <f t="shared" si="0"/>
        <v>MSI</v>
      </c>
      <c r="E67" s="4" t="s">
        <v>8854</v>
      </c>
      <c r="F67" s="14" t="s">
        <v>8864</v>
      </c>
      <c r="G67" s="9">
        <v>1</v>
      </c>
      <c r="H67" s="1">
        <v>12.85</v>
      </c>
      <c r="I67" s="1">
        <v>12.85</v>
      </c>
      <c r="J67" s="1">
        <v>0.2</v>
      </c>
      <c r="K67" s="3">
        <v>1875</v>
      </c>
      <c r="L67" s="13">
        <v>1792</v>
      </c>
      <c r="M67" s="49">
        <v>63.36</v>
      </c>
      <c r="N67" s="1">
        <v>85.29</v>
      </c>
      <c r="O67" s="3">
        <v>28</v>
      </c>
      <c r="P67" s="11" t="s">
        <v>2275</v>
      </c>
      <c r="Q67" s="3">
        <v>12</v>
      </c>
      <c r="R67" s="3">
        <v>192</v>
      </c>
      <c r="S67" s="22">
        <v>15</v>
      </c>
      <c r="T67" s="9">
        <v>170</v>
      </c>
      <c r="U67" s="14" t="s">
        <v>446</v>
      </c>
      <c r="V67" s="12">
        <v>4</v>
      </c>
      <c r="W67" s="75">
        <v>16</v>
      </c>
      <c r="X67" s="76">
        <v>16</v>
      </c>
      <c r="Y67" s="9">
        <v>692.66</v>
      </c>
      <c r="Z67" s="3">
        <v>692.66</v>
      </c>
      <c r="AA67" s="17" t="s">
        <v>1138</v>
      </c>
      <c r="AB67" s="18" t="s">
        <v>1137</v>
      </c>
      <c r="AC67" s="46" cm="1">
        <f t="array" ref="AC67">(SUMPRODUCT((H67:O67/H$9:O$9)^H$7:O$7*H$2:O$2)+SUMPRODUCT((Q67:T67/Q$9:T$9)^Q$7:T$7*Q$2:T$2))*(0.8^(1-G67))*AC$9</f>
        <v>1.3783593738144941</v>
      </c>
      <c r="AD67" s="48" cm="1">
        <f t="array" ref="AD67">(SUMPRODUCT((H67:O67/H$9:O$9)^H$7:O$7*H$3:O$3)+SUMPRODUCT((Q67:T67/Q$9:T$9)^Q$7:T$7*Q$3:T$3))*(0.1^(1-G67))*AD$9</f>
        <v>1.5917913092705738</v>
      </c>
      <c r="AE67" s="48" cm="1">
        <f t="array" ref="AE67">(SUMPRODUCT((H67:O67/H$9:O$9)^H$7:O$7*H$4:O$4)+SUMPRODUCT((Q67:T67/Q$9:T$9)^Q$7:T$7*Q$4:T$4))*AE$9</f>
        <v>1.4676621576527515</v>
      </c>
      <c r="AF67" s="47" cm="1">
        <f t="array" ref="AF67">(SUMPRODUCT((H67:O67/H$9:O$9)^H$7:O$7*H$5:O$5)+SUMPRODUCT((Q67:T67/Q$9:T$9)^Q$7:T$7*Q$5:T$5))*AF$9</f>
        <v>1.3693415970359009</v>
      </c>
      <c r="AG67" s="50" cm="1">
        <f t="array" ref="AG67">SUMPRODUCT(AC67:AF67 * AC$3:AF$3) / SUM(AC$3:AF$3)</f>
        <v>1.505352240031246</v>
      </c>
    </row>
    <row r="68" spans="1:33" x14ac:dyDescent="0.25">
      <c r="A68" s="81" t="s">
        <v>1134</v>
      </c>
      <c r="B68" s="20" t="s">
        <v>1136</v>
      </c>
      <c r="C68" s="4" t="s">
        <v>8853</v>
      </c>
      <c r="D68" s="4" t="str">
        <f t="shared" si="0"/>
        <v>MSI</v>
      </c>
      <c r="E68" s="4" t="s">
        <v>8854</v>
      </c>
      <c r="F68" s="14" t="s">
        <v>8864</v>
      </c>
      <c r="G68" s="9">
        <v>1</v>
      </c>
      <c r="H68" s="1">
        <v>13.17</v>
      </c>
      <c r="I68" s="1">
        <v>13.17</v>
      </c>
      <c r="J68" s="1">
        <v>0.21</v>
      </c>
      <c r="K68" s="3">
        <v>1875</v>
      </c>
      <c r="L68" s="13">
        <v>1837</v>
      </c>
      <c r="M68" s="49">
        <v>63.36</v>
      </c>
      <c r="N68" s="1">
        <v>85.29</v>
      </c>
      <c r="O68" s="3">
        <v>28</v>
      </c>
      <c r="P68" s="11" t="s">
        <v>2275</v>
      </c>
      <c r="Q68" s="3">
        <v>12</v>
      </c>
      <c r="R68" s="3">
        <v>192</v>
      </c>
      <c r="S68" s="22">
        <v>15</v>
      </c>
      <c r="T68" s="9">
        <v>170</v>
      </c>
      <c r="U68" s="14" t="s">
        <v>793</v>
      </c>
      <c r="V68" s="12">
        <v>4</v>
      </c>
      <c r="W68" s="75">
        <v>16</v>
      </c>
      <c r="X68" s="76">
        <v>16</v>
      </c>
      <c r="Y68" s="9">
        <v>649.99</v>
      </c>
      <c r="Z68" s="3">
        <v>667.07</v>
      </c>
      <c r="AA68" s="17" t="s">
        <v>1135</v>
      </c>
      <c r="AB68" s="18" t="s">
        <v>1134</v>
      </c>
      <c r="AC68" s="46" cm="1">
        <f t="array" ref="AC68">(SUMPRODUCT((H68:O68/H$9:O$9)^H$7:O$7*H$2:O$2)+SUMPRODUCT((Q68:T68/Q$9:T$9)^Q$7:T$7*Q$2:T$2))*(0.8^(1-G68))*AC$9</f>
        <v>1.3860380430924379</v>
      </c>
      <c r="AD68" s="48" cm="1">
        <f t="array" ref="AD68">(SUMPRODUCT((H68:O68/H$9:O$9)^H$7:O$7*H$3:O$3)+SUMPRODUCT((Q68:T68/Q$9:T$9)^Q$7:T$7*Q$3:T$3))*(0.1^(1-G68))*AD$9</f>
        <v>1.6143305400314336</v>
      </c>
      <c r="AE68" s="48" cm="1">
        <f t="array" ref="AE68">(SUMPRODUCT((H68:O68/H$9:O$9)^H$7:O$7*H$4:O$4)+SUMPRODUCT((Q68:T68/Q$9:T$9)^Q$7:T$7*Q$4:T$4))*AE$9</f>
        <v>1.4958788769424149</v>
      </c>
      <c r="AF68" s="47" cm="1">
        <f t="array" ref="AF68">(SUMPRODUCT((H68:O68/H$9:O$9)^H$7:O$7*H$5:O$5)+SUMPRODUCT((Q68:T68/Q$9:T$9)^Q$7:T$7*Q$5:T$5))*AF$9</f>
        <v>1.3810562545616643</v>
      </c>
      <c r="AG68" s="50" cm="1">
        <f t="array" ref="AG68">SUMPRODUCT(AC68:AF68 * AC$3:AF$3) / SUM(AC$3:AF$3)</f>
        <v>1.5242414470645262</v>
      </c>
    </row>
    <row r="69" spans="1:33" x14ac:dyDescent="0.25">
      <c r="A69" s="81" t="s">
        <v>1131</v>
      </c>
      <c r="B69" s="20" t="s">
        <v>1133</v>
      </c>
      <c r="C69" s="4" t="s">
        <v>8853</v>
      </c>
      <c r="D69" s="4" t="str">
        <f t="shared" si="0"/>
        <v>MSI</v>
      </c>
      <c r="E69" s="4" t="s">
        <v>8854</v>
      </c>
      <c r="F69" s="14" t="s">
        <v>8864</v>
      </c>
      <c r="G69" s="9">
        <v>1</v>
      </c>
      <c r="H69" s="1">
        <v>13.38</v>
      </c>
      <c r="I69" s="1">
        <v>13.38</v>
      </c>
      <c r="J69" s="1">
        <v>0.21</v>
      </c>
      <c r="K69" s="3">
        <v>1875</v>
      </c>
      <c r="L69" s="13">
        <v>1867</v>
      </c>
      <c r="M69" s="49">
        <v>63.36</v>
      </c>
      <c r="N69" s="1">
        <v>85.29</v>
      </c>
      <c r="O69" s="3">
        <v>28</v>
      </c>
      <c r="P69" s="11" t="s">
        <v>2275</v>
      </c>
      <c r="Q69" s="3">
        <v>12</v>
      </c>
      <c r="R69" s="3">
        <v>192</v>
      </c>
      <c r="S69" s="22">
        <v>15</v>
      </c>
      <c r="T69" s="9">
        <v>170</v>
      </c>
      <c r="U69" s="14" t="s">
        <v>576</v>
      </c>
      <c r="V69" s="12">
        <v>4</v>
      </c>
      <c r="W69" s="75">
        <v>16</v>
      </c>
      <c r="X69" s="76">
        <v>16</v>
      </c>
      <c r="Y69" s="9">
        <v>799.99</v>
      </c>
      <c r="Z69" s="3">
        <v>799.99</v>
      </c>
      <c r="AA69" s="17" t="s">
        <v>1132</v>
      </c>
      <c r="AB69" s="18" t="s">
        <v>1131</v>
      </c>
      <c r="AC69" s="46" cm="1">
        <f t="array" ref="AC69">(SUMPRODUCT((H69:O69/H$9:O$9)^H$7:O$7*H$2:O$2)+SUMPRODUCT((Q69:T69/Q$9:T$9)^Q$7:T$7*Q$2:T$2))*(0.8^(1-G69))*AC$9</f>
        <v>1.3911268281324731</v>
      </c>
      <c r="AD69" s="48" cm="1">
        <f t="array" ref="AD69">(SUMPRODUCT((H69:O69/H$9:O$9)^H$7:O$7*H$3:O$3)+SUMPRODUCT((Q69:T69/Q$9:T$9)^Q$7:T$7*Q$3:T$3))*(0.1^(1-G69))*AD$9</f>
        <v>1.6269943030392744</v>
      </c>
      <c r="AE69" s="48" cm="1">
        <f t="array" ref="AE69">(SUMPRODUCT((H69:O69/H$9:O$9)^H$7:O$7*H$4:O$4)+SUMPRODUCT((Q69:T69/Q$9:T$9)^Q$7:T$7*Q$4:T$4))*AE$9</f>
        <v>1.4996391568702228</v>
      </c>
      <c r="AF69" s="47" cm="1">
        <f t="array" ref="AF69">(SUMPRODUCT((H69:O69/H$9:O$9)^H$7:O$7*H$5:O$5)+SUMPRODUCT((Q69:T69/Q$9:T$9)^Q$7:T$7*Q$5:T$5))*AF$9</f>
        <v>1.3887512686173717</v>
      </c>
      <c r="AG69" s="50" cm="1">
        <f t="array" ref="AG69">SUMPRODUCT(AC69:AF69 * AC$3:AF$3) / SUM(AC$3:AF$3)</f>
        <v>1.5338253130212627</v>
      </c>
    </row>
    <row r="70" spans="1:33" x14ac:dyDescent="0.25">
      <c r="A70" s="81" t="s">
        <v>1119</v>
      </c>
      <c r="B70" s="20" t="s">
        <v>1121</v>
      </c>
      <c r="C70" s="4" t="s">
        <v>8853</v>
      </c>
      <c r="D70" s="4" t="str">
        <f t="shared" si="0"/>
        <v>MSI</v>
      </c>
      <c r="E70" s="4" t="s">
        <v>8854</v>
      </c>
      <c r="F70" s="14" t="s">
        <v>8864</v>
      </c>
      <c r="G70" s="9">
        <v>1</v>
      </c>
      <c r="H70" s="1">
        <v>12.95</v>
      </c>
      <c r="I70" s="1">
        <v>12.95</v>
      </c>
      <c r="J70" s="1">
        <v>0.2</v>
      </c>
      <c r="K70" s="3">
        <v>1875</v>
      </c>
      <c r="L70" s="13">
        <v>1807</v>
      </c>
      <c r="M70" s="49">
        <v>63.36</v>
      </c>
      <c r="N70" s="1">
        <v>85.29</v>
      </c>
      <c r="O70" s="3">
        <v>28</v>
      </c>
      <c r="P70" s="11" t="s">
        <v>2275</v>
      </c>
      <c r="Q70" s="3">
        <v>12</v>
      </c>
      <c r="R70" s="3">
        <v>192</v>
      </c>
      <c r="S70" s="22">
        <v>15</v>
      </c>
      <c r="T70" s="9">
        <v>170</v>
      </c>
      <c r="U70" s="14" t="s">
        <v>446</v>
      </c>
      <c r="V70" s="12">
        <v>4</v>
      </c>
      <c r="W70" s="75">
        <v>16</v>
      </c>
      <c r="X70" s="76">
        <v>16</v>
      </c>
      <c r="Y70" s="9">
        <v>307</v>
      </c>
      <c r="Z70" s="3">
        <v>426</v>
      </c>
      <c r="AA70" s="17" t="s">
        <v>1120</v>
      </c>
      <c r="AB70" s="18" t="s">
        <v>1119</v>
      </c>
      <c r="AC70" s="46" cm="1">
        <f t="array" ref="AC70">(SUMPRODUCT((H70:O70/H$9:O$9)^H$7:O$7*H$2:O$2)+SUMPRODUCT((Q70:T70/Q$9:T$9)^Q$7:T$7*Q$2:T$2))*(0.8^(1-G70))*AC$9</f>
        <v>1.3808811560816907</v>
      </c>
      <c r="AD70" s="48" cm="1">
        <f t="array" ref="AD70">(SUMPRODUCT((H70:O70/H$9:O$9)^H$7:O$7*H$3:O$3)+SUMPRODUCT((Q70:T70/Q$9:T$9)^Q$7:T$7*Q$3:T$3))*(0.1^(1-G70))*AD$9</f>
        <v>1.5978620034614983</v>
      </c>
      <c r="AE70" s="48" cm="1">
        <f t="array" ref="AE70">(SUMPRODUCT((H70:O70/H$9:O$9)^H$7:O$7*H$4:O$4)+SUMPRODUCT((Q70:T70/Q$9:T$9)^Q$7:T$7*Q$4:T$4))*AE$9</f>
        <v>1.4694579039729501</v>
      </c>
      <c r="AF70" s="47" cm="1">
        <f t="array" ref="AF70">(SUMPRODUCT((H70:O70/H$9:O$9)^H$7:O$7*H$5:O$5)+SUMPRODUCT((Q70:T70/Q$9:T$9)^Q$7:T$7*Q$5:T$5))*AF$9</f>
        <v>1.3730538264823342</v>
      </c>
      <c r="AG70" s="50" cm="1">
        <f t="array" ref="AG70">SUMPRODUCT(AC70:AF70 * AC$3:AF$3) / SUM(AC$3:AF$3)</f>
        <v>1.5099633772362755</v>
      </c>
    </row>
    <row r="71" spans="1:33" x14ac:dyDescent="0.25">
      <c r="A71" s="81" t="s">
        <v>1113</v>
      </c>
      <c r="B71" s="20" t="s">
        <v>1115</v>
      </c>
      <c r="C71" s="4" t="s">
        <v>8853</v>
      </c>
      <c r="D71" s="4" t="str">
        <f t="shared" si="0"/>
        <v>MSI</v>
      </c>
      <c r="E71" s="4" t="s">
        <v>8854</v>
      </c>
      <c r="F71" s="14" t="s">
        <v>8864</v>
      </c>
      <c r="G71" s="9">
        <v>1</v>
      </c>
      <c r="H71" s="1">
        <v>12.95</v>
      </c>
      <c r="I71" s="1">
        <v>12.95</v>
      </c>
      <c r="J71" s="1">
        <v>0.2</v>
      </c>
      <c r="K71" s="3">
        <v>1875</v>
      </c>
      <c r="L71" s="13">
        <v>1807</v>
      </c>
      <c r="M71" s="49">
        <v>63.36</v>
      </c>
      <c r="N71" s="1">
        <v>85.29</v>
      </c>
      <c r="O71" s="3">
        <v>28</v>
      </c>
      <c r="P71" s="11" t="s">
        <v>2275</v>
      </c>
      <c r="Q71" s="3">
        <v>12</v>
      </c>
      <c r="R71" s="3">
        <v>192</v>
      </c>
      <c r="S71" s="22">
        <v>15</v>
      </c>
      <c r="T71" s="9">
        <v>170</v>
      </c>
      <c r="U71" s="14" t="s">
        <v>446</v>
      </c>
      <c r="V71" s="12">
        <v>4</v>
      </c>
      <c r="W71" s="75">
        <v>16</v>
      </c>
      <c r="X71" s="76">
        <v>16</v>
      </c>
      <c r="Y71" s="9">
        <v>615.70000000000005</v>
      </c>
      <c r="Z71" s="3">
        <v>663.57</v>
      </c>
      <c r="AA71" s="17" t="s">
        <v>1114</v>
      </c>
      <c r="AB71" s="18" t="s">
        <v>1113</v>
      </c>
      <c r="AC71" s="46" cm="1">
        <f t="array" ref="AC71">(SUMPRODUCT((H71:O71/H$9:O$9)^H$7:O$7*H$2:O$2)+SUMPRODUCT((Q71:T71/Q$9:T$9)^Q$7:T$7*Q$2:T$2))*(0.8^(1-G71))*AC$9</f>
        <v>1.3808811560816907</v>
      </c>
      <c r="AD71" s="48" cm="1">
        <f t="array" ref="AD71">(SUMPRODUCT((H71:O71/H$9:O$9)^H$7:O$7*H$3:O$3)+SUMPRODUCT((Q71:T71/Q$9:T$9)^Q$7:T$7*Q$3:T$3))*(0.1^(1-G71))*AD$9</f>
        <v>1.5978620034614983</v>
      </c>
      <c r="AE71" s="48" cm="1">
        <f t="array" ref="AE71">(SUMPRODUCT((H71:O71/H$9:O$9)^H$7:O$7*H$4:O$4)+SUMPRODUCT((Q71:T71/Q$9:T$9)^Q$7:T$7*Q$4:T$4))*AE$9</f>
        <v>1.4694579039729501</v>
      </c>
      <c r="AF71" s="47" cm="1">
        <f t="array" ref="AF71">(SUMPRODUCT((H71:O71/H$9:O$9)^H$7:O$7*H$5:O$5)+SUMPRODUCT((Q71:T71/Q$9:T$9)^Q$7:T$7*Q$5:T$5))*AF$9</f>
        <v>1.3730538264823342</v>
      </c>
      <c r="AG71" s="50" cm="1">
        <f t="array" ref="AG71">SUMPRODUCT(AC71:AF71 * AC$3:AF$3) / SUM(AC$3:AF$3)</f>
        <v>1.5099633772362755</v>
      </c>
    </row>
    <row r="72" spans="1:33" x14ac:dyDescent="0.25">
      <c r="A72" s="81" t="s">
        <v>778</v>
      </c>
      <c r="B72" s="20" t="s">
        <v>780</v>
      </c>
      <c r="C72" s="4" t="s">
        <v>8853</v>
      </c>
      <c r="D72" s="4" t="str">
        <f t="shared" ref="D72:D135" si="1">LEFT(AB72, FIND(" ", AB72 &amp; " ") - 1)</f>
        <v>Palit</v>
      </c>
      <c r="E72" s="4" t="s">
        <v>8854</v>
      </c>
      <c r="F72" s="14" t="s">
        <v>8864</v>
      </c>
      <c r="G72" s="9">
        <v>1</v>
      </c>
      <c r="H72" s="1">
        <v>13.17</v>
      </c>
      <c r="I72" s="1">
        <v>13.17</v>
      </c>
      <c r="J72" s="1">
        <v>0.21</v>
      </c>
      <c r="K72" s="3">
        <v>1875</v>
      </c>
      <c r="L72" s="13">
        <v>1837</v>
      </c>
      <c r="M72" s="49">
        <v>63.36</v>
      </c>
      <c r="N72" s="1">
        <v>85.29</v>
      </c>
      <c r="O72" s="3">
        <v>28</v>
      </c>
      <c r="P72" s="11" t="s">
        <v>2275</v>
      </c>
      <c r="Q72" s="3">
        <v>12</v>
      </c>
      <c r="R72" s="3">
        <v>192</v>
      </c>
      <c r="S72" s="22">
        <v>15</v>
      </c>
      <c r="T72" s="9">
        <v>170</v>
      </c>
      <c r="U72" s="14" t="s">
        <v>446</v>
      </c>
      <c r="V72" s="12">
        <v>4</v>
      </c>
      <c r="W72" s="75">
        <v>16</v>
      </c>
      <c r="X72" s="76">
        <v>16</v>
      </c>
      <c r="Y72" s="9">
        <v>301.36</v>
      </c>
      <c r="Z72" s="3">
        <v>449.99</v>
      </c>
      <c r="AA72" s="17" t="s">
        <v>779</v>
      </c>
      <c r="AB72" s="18" t="s">
        <v>778</v>
      </c>
      <c r="AC72" s="46" cm="1">
        <f t="array" ref="AC72">(SUMPRODUCT((H72:O72/H$9:O$9)^H$7:O$7*H$2:O$2)+SUMPRODUCT((Q72:T72/Q$9:T$9)^Q$7:T$7*Q$2:T$2))*(0.8^(1-G72))*AC$9</f>
        <v>1.3860380430924379</v>
      </c>
      <c r="AD72" s="48" cm="1">
        <f t="array" ref="AD72">(SUMPRODUCT((H72:O72/H$9:O$9)^H$7:O$7*H$3:O$3)+SUMPRODUCT((Q72:T72/Q$9:T$9)^Q$7:T$7*Q$3:T$3))*(0.1^(1-G72))*AD$9</f>
        <v>1.6143305400314336</v>
      </c>
      <c r="AE72" s="48" cm="1">
        <f t="array" ref="AE72">(SUMPRODUCT((H72:O72/H$9:O$9)^H$7:O$7*H$4:O$4)+SUMPRODUCT((Q72:T72/Q$9:T$9)^Q$7:T$7*Q$4:T$4))*AE$9</f>
        <v>1.4958788769424149</v>
      </c>
      <c r="AF72" s="47" cm="1">
        <f t="array" ref="AF72">(SUMPRODUCT((H72:O72/H$9:O$9)^H$7:O$7*H$5:O$5)+SUMPRODUCT((Q72:T72/Q$9:T$9)^Q$7:T$7*Q$5:T$5))*AF$9</f>
        <v>1.3810562545616643</v>
      </c>
      <c r="AG72" s="50" cm="1">
        <f t="array" ref="AG72">SUMPRODUCT(AC72:AF72 * AC$3:AF$3) / SUM(AC$3:AF$3)</f>
        <v>1.5242414470645262</v>
      </c>
    </row>
    <row r="73" spans="1:33" x14ac:dyDescent="0.25">
      <c r="A73" s="81" t="s">
        <v>775</v>
      </c>
      <c r="B73" s="20" t="s">
        <v>777</v>
      </c>
      <c r="C73" s="4" t="s">
        <v>8853</v>
      </c>
      <c r="D73" s="4" t="str">
        <f t="shared" si="1"/>
        <v>Palit</v>
      </c>
      <c r="E73" s="4" t="s">
        <v>8854</v>
      </c>
      <c r="F73" s="14" t="s">
        <v>8864</v>
      </c>
      <c r="G73" s="9">
        <v>1</v>
      </c>
      <c r="H73" s="1">
        <v>12.74</v>
      </c>
      <c r="I73" s="1">
        <v>12.74</v>
      </c>
      <c r="J73" s="1">
        <v>0.2</v>
      </c>
      <c r="K73" s="3">
        <v>1875</v>
      </c>
      <c r="L73" s="13">
        <v>1777</v>
      </c>
      <c r="M73" s="49">
        <v>63.36</v>
      </c>
      <c r="N73" s="1">
        <v>85.29</v>
      </c>
      <c r="O73" s="3">
        <v>28</v>
      </c>
      <c r="P73" s="11" t="s">
        <v>2275</v>
      </c>
      <c r="Q73" s="3">
        <v>12</v>
      </c>
      <c r="R73" s="3">
        <v>192</v>
      </c>
      <c r="S73" s="22">
        <v>15</v>
      </c>
      <c r="T73" s="9">
        <v>170</v>
      </c>
      <c r="U73" s="14" t="s">
        <v>446</v>
      </c>
      <c r="V73" s="12">
        <v>4</v>
      </c>
      <c r="W73" s="75">
        <v>16</v>
      </c>
      <c r="X73" s="76">
        <v>16</v>
      </c>
      <c r="Y73" s="9">
        <v>298</v>
      </c>
      <c r="Z73" s="3">
        <v>604.41</v>
      </c>
      <c r="AA73" s="17" t="s">
        <v>776</v>
      </c>
      <c r="AB73" s="18" t="s">
        <v>775</v>
      </c>
      <c r="AC73" s="46" cm="1">
        <f t="array" ref="AC73">(SUMPRODUCT((H73:O73/H$9:O$9)^H$7:O$7*H$2:O$2)+SUMPRODUCT((Q73:T73/Q$9:T$9)^Q$7:T$7*Q$2:T$2))*(0.8^(1-G73))*AC$9</f>
        <v>1.375775584426814</v>
      </c>
      <c r="AD73" s="48" cm="1">
        <f t="array" ref="AD73">(SUMPRODUCT((H73:O73/H$9:O$9)^H$7:O$7*H$3:O$3)+SUMPRODUCT((Q73:T73/Q$9:T$9)^Q$7:T$7*Q$3:T$3))*(0.1^(1-G73))*AD$9</f>
        <v>1.585145091946103</v>
      </c>
      <c r="AE73" s="48" cm="1">
        <f t="array" ref="AE73">(SUMPRODUCT((H73:O73/H$9:O$9)^H$7:O$7*H$4:O$4)+SUMPRODUCT((Q73:T73/Q$9:T$9)^Q$7:T$7*Q$4:T$4))*AE$9</f>
        <v>1.4656852215168836</v>
      </c>
      <c r="AF73" s="47" cm="1">
        <f t="array" ref="AF73">(SUMPRODUCT((H73:O73/H$9:O$9)^H$7:O$7*H$5:O$5)+SUMPRODUCT((Q73:T73/Q$9:T$9)^Q$7:T$7*Q$5:T$5))*AF$9</f>
        <v>1.3653315345275367</v>
      </c>
      <c r="AG73" s="50" cm="1">
        <f t="array" ref="AG73">SUMPRODUCT(AC73:AF73 * AC$3:AF$3) / SUM(AC$3:AF$3)</f>
        <v>1.5003412621865473</v>
      </c>
    </row>
    <row r="74" spans="1:33" x14ac:dyDescent="0.25">
      <c r="A74" s="81" t="s">
        <v>620</v>
      </c>
      <c r="B74" s="20" t="s">
        <v>622</v>
      </c>
      <c r="C74" s="4" t="s">
        <v>8853</v>
      </c>
      <c r="D74" s="4" t="str">
        <f t="shared" si="1"/>
        <v>Zotac</v>
      </c>
      <c r="E74" s="4" t="s">
        <v>8854</v>
      </c>
      <c r="F74" s="14" t="s">
        <v>8864</v>
      </c>
      <c r="G74" s="9">
        <v>1</v>
      </c>
      <c r="H74" s="1">
        <v>13.38</v>
      </c>
      <c r="I74" s="1">
        <v>13.38</v>
      </c>
      <c r="J74" s="1">
        <v>0.21</v>
      </c>
      <c r="K74" s="3">
        <v>1875</v>
      </c>
      <c r="L74" s="13">
        <v>1867</v>
      </c>
      <c r="M74" s="49">
        <v>63.36</v>
      </c>
      <c r="N74" s="1">
        <v>85.29</v>
      </c>
      <c r="O74" s="3">
        <v>28</v>
      </c>
      <c r="P74" s="11" t="s">
        <v>2275</v>
      </c>
      <c r="Q74" s="3">
        <v>12</v>
      </c>
      <c r="R74" s="3">
        <v>192</v>
      </c>
      <c r="S74" s="22">
        <v>15</v>
      </c>
      <c r="T74" s="9">
        <v>170</v>
      </c>
      <c r="U74" s="14" t="s">
        <v>576</v>
      </c>
      <c r="V74" s="12">
        <v>4</v>
      </c>
      <c r="W74" s="75">
        <v>16</v>
      </c>
      <c r="X74" s="76">
        <v>16</v>
      </c>
      <c r="Y74" s="9">
        <v>422.92</v>
      </c>
      <c r="Z74" s="3">
        <v>699</v>
      </c>
      <c r="AA74" s="17" t="s">
        <v>621</v>
      </c>
      <c r="AB74" s="18" t="s">
        <v>620</v>
      </c>
      <c r="AC74" s="46" cm="1">
        <f t="array" ref="AC74">(SUMPRODUCT((H74:O74/H$9:O$9)^H$7:O$7*H$2:O$2)+SUMPRODUCT((Q74:T74/Q$9:T$9)^Q$7:T$7*Q$2:T$2))*(0.8^(1-G74))*AC$9</f>
        <v>1.3911268281324731</v>
      </c>
      <c r="AD74" s="48" cm="1">
        <f t="array" ref="AD74">(SUMPRODUCT((H74:O74/H$9:O$9)^H$7:O$7*H$3:O$3)+SUMPRODUCT((Q74:T74/Q$9:T$9)^Q$7:T$7*Q$3:T$3))*(0.1^(1-G74))*AD$9</f>
        <v>1.6269943030392744</v>
      </c>
      <c r="AE74" s="48" cm="1">
        <f t="array" ref="AE74">(SUMPRODUCT((H74:O74/H$9:O$9)^H$7:O$7*H$4:O$4)+SUMPRODUCT((Q74:T74/Q$9:T$9)^Q$7:T$7*Q$4:T$4))*AE$9</f>
        <v>1.4996391568702228</v>
      </c>
      <c r="AF74" s="47" cm="1">
        <f t="array" ref="AF74">(SUMPRODUCT((H74:O74/H$9:O$9)^H$7:O$7*H$5:O$5)+SUMPRODUCT((Q74:T74/Q$9:T$9)^Q$7:T$7*Q$5:T$5))*AF$9</f>
        <v>1.3887512686173717</v>
      </c>
      <c r="AG74" s="50" cm="1">
        <f t="array" ref="AG74">SUMPRODUCT(AC74:AF74 * AC$3:AF$3) / SUM(AC$3:AF$3)</f>
        <v>1.5338253130212627</v>
      </c>
    </row>
    <row r="75" spans="1:33" x14ac:dyDescent="0.25">
      <c r="A75" s="81" t="s">
        <v>2234</v>
      </c>
      <c r="B75" s="20" t="s">
        <v>2236</v>
      </c>
      <c r="C75" s="4" t="s">
        <v>8853</v>
      </c>
      <c r="D75" s="4" t="str">
        <f t="shared" si="1"/>
        <v>ASUS</v>
      </c>
      <c r="E75" s="4" t="s">
        <v>8854</v>
      </c>
      <c r="F75" s="14" t="s">
        <v>8864</v>
      </c>
      <c r="G75" s="9">
        <v>1</v>
      </c>
      <c r="H75" s="1">
        <v>13.38</v>
      </c>
      <c r="I75" s="1">
        <v>13.38</v>
      </c>
      <c r="J75" s="1">
        <v>0.21</v>
      </c>
      <c r="K75" s="3">
        <v>1875</v>
      </c>
      <c r="L75" s="13">
        <v>1867</v>
      </c>
      <c r="M75" s="49">
        <v>63.36</v>
      </c>
      <c r="N75" s="1">
        <v>85.29</v>
      </c>
      <c r="O75" s="3">
        <v>28</v>
      </c>
      <c r="P75" s="11" t="s">
        <v>2275</v>
      </c>
      <c r="Q75" s="3">
        <v>12</v>
      </c>
      <c r="R75" s="3">
        <v>192</v>
      </c>
      <c r="S75" s="22">
        <v>15</v>
      </c>
      <c r="T75" s="9">
        <v>170</v>
      </c>
      <c r="U75" s="14" t="s">
        <v>446</v>
      </c>
      <c r="V75" s="12">
        <v>4</v>
      </c>
      <c r="W75" s="75">
        <v>16</v>
      </c>
      <c r="X75" s="76">
        <v>16</v>
      </c>
      <c r="Y75" s="9">
        <v>290.81</v>
      </c>
      <c r="Z75" s="3">
        <v>434.88</v>
      </c>
      <c r="AA75" s="17" t="s">
        <v>2235</v>
      </c>
      <c r="AB75" s="18" t="s">
        <v>2234</v>
      </c>
      <c r="AC75" s="46" cm="1">
        <f t="array" ref="AC75">(SUMPRODUCT((H75:O75/H$9:O$9)^H$7:O$7*H$2:O$2)+SUMPRODUCT((Q75:T75/Q$9:T$9)^Q$7:T$7*Q$2:T$2))*(0.8^(1-G75))*AC$9</f>
        <v>1.3911268281324731</v>
      </c>
      <c r="AD75" s="48" cm="1">
        <f t="array" ref="AD75">(SUMPRODUCT((H75:O75/H$9:O$9)^H$7:O$7*H$3:O$3)+SUMPRODUCT((Q75:T75/Q$9:T$9)^Q$7:T$7*Q$3:T$3))*(0.1^(1-G75))*AD$9</f>
        <v>1.6269943030392744</v>
      </c>
      <c r="AE75" s="48" cm="1">
        <f t="array" ref="AE75">(SUMPRODUCT((H75:O75/H$9:O$9)^H$7:O$7*H$4:O$4)+SUMPRODUCT((Q75:T75/Q$9:T$9)^Q$7:T$7*Q$4:T$4))*AE$9</f>
        <v>1.4996391568702228</v>
      </c>
      <c r="AF75" s="47" cm="1">
        <f t="array" ref="AF75">(SUMPRODUCT((H75:O75/H$9:O$9)^H$7:O$7*H$5:O$5)+SUMPRODUCT((Q75:T75/Q$9:T$9)^Q$7:T$7*Q$5:T$5))*AF$9</f>
        <v>1.3887512686173717</v>
      </c>
      <c r="AG75" s="50" cm="1">
        <f t="array" ref="AG75">SUMPRODUCT(AC75:AF75 * AC$3:AF$3) / SUM(AC$3:AF$3)</f>
        <v>1.5338253130212627</v>
      </c>
    </row>
    <row r="76" spans="1:33" x14ac:dyDescent="0.25">
      <c r="A76" s="81" t="s">
        <v>2216</v>
      </c>
      <c r="B76" s="20" t="s">
        <v>2218</v>
      </c>
      <c r="C76" s="4" t="s">
        <v>8853</v>
      </c>
      <c r="D76" s="4" t="str">
        <f t="shared" si="1"/>
        <v>ASUS</v>
      </c>
      <c r="E76" s="4" t="s">
        <v>8854</v>
      </c>
      <c r="F76" s="14" t="s">
        <v>8864</v>
      </c>
      <c r="G76" s="9">
        <v>1</v>
      </c>
      <c r="H76" s="1">
        <v>12.95</v>
      </c>
      <c r="I76" s="1">
        <v>12.95</v>
      </c>
      <c r="J76" s="1">
        <v>0.2</v>
      </c>
      <c r="K76" s="3">
        <v>1875</v>
      </c>
      <c r="L76" s="13">
        <v>1807</v>
      </c>
      <c r="M76" s="49">
        <v>63.36</v>
      </c>
      <c r="N76" s="1">
        <v>85.29</v>
      </c>
      <c r="O76" s="3">
        <v>28</v>
      </c>
      <c r="P76" s="11" t="s">
        <v>2275</v>
      </c>
      <c r="Q76" s="3">
        <v>12</v>
      </c>
      <c r="R76" s="3">
        <v>192</v>
      </c>
      <c r="S76" s="22">
        <v>15</v>
      </c>
      <c r="T76" s="9">
        <v>170</v>
      </c>
      <c r="U76" s="14" t="s">
        <v>446</v>
      </c>
      <c r="V76" s="12">
        <v>4</v>
      </c>
      <c r="W76" s="75">
        <v>16</v>
      </c>
      <c r="X76" s="76">
        <v>16</v>
      </c>
      <c r="Y76" s="9">
        <v>515.9</v>
      </c>
      <c r="Z76" s="3">
        <v>515.9</v>
      </c>
      <c r="AA76" s="17" t="s">
        <v>2217</v>
      </c>
      <c r="AB76" s="18" t="s">
        <v>2216</v>
      </c>
      <c r="AC76" s="46" cm="1">
        <f t="array" ref="AC76">(SUMPRODUCT((H76:O76/H$9:O$9)^H$7:O$7*H$2:O$2)+SUMPRODUCT((Q76:T76/Q$9:T$9)^Q$7:T$7*Q$2:T$2))*(0.8^(1-G76))*AC$9</f>
        <v>1.3808811560816907</v>
      </c>
      <c r="AD76" s="48" cm="1">
        <f t="array" ref="AD76">(SUMPRODUCT((H76:O76/H$9:O$9)^H$7:O$7*H$3:O$3)+SUMPRODUCT((Q76:T76/Q$9:T$9)^Q$7:T$7*Q$3:T$3))*(0.1^(1-G76))*AD$9</f>
        <v>1.5978620034614983</v>
      </c>
      <c r="AE76" s="48" cm="1">
        <f t="array" ref="AE76">(SUMPRODUCT((H76:O76/H$9:O$9)^H$7:O$7*H$4:O$4)+SUMPRODUCT((Q76:T76/Q$9:T$9)^Q$7:T$7*Q$4:T$4))*AE$9</f>
        <v>1.4694579039729501</v>
      </c>
      <c r="AF76" s="47" cm="1">
        <f t="array" ref="AF76">(SUMPRODUCT((H76:O76/H$9:O$9)^H$7:O$7*H$5:O$5)+SUMPRODUCT((Q76:T76/Q$9:T$9)^Q$7:T$7*Q$5:T$5))*AF$9</f>
        <v>1.3730538264823342</v>
      </c>
      <c r="AG76" s="50" cm="1">
        <f t="array" ref="AG76">SUMPRODUCT(AC76:AF76 * AC$3:AF$3) / SUM(AC$3:AF$3)</f>
        <v>1.5099633772362755</v>
      </c>
    </row>
    <row r="77" spans="1:33" x14ac:dyDescent="0.25">
      <c r="A77" s="81" t="s">
        <v>2051</v>
      </c>
      <c r="B77" s="20" t="s">
        <v>2053</v>
      </c>
      <c r="C77" s="4" t="s">
        <v>8853</v>
      </c>
      <c r="D77" s="4" t="str">
        <f t="shared" si="1"/>
        <v>ASUS</v>
      </c>
      <c r="E77" s="4" t="s">
        <v>8854</v>
      </c>
      <c r="F77" s="14" t="s">
        <v>8864</v>
      </c>
      <c r="G77" s="9">
        <v>1</v>
      </c>
      <c r="H77" s="1">
        <v>12.95</v>
      </c>
      <c r="I77" s="1">
        <v>12.95</v>
      </c>
      <c r="J77" s="1">
        <v>0.2</v>
      </c>
      <c r="K77" s="3">
        <v>1875</v>
      </c>
      <c r="L77" s="13">
        <v>1807</v>
      </c>
      <c r="M77" s="49">
        <v>63.36</v>
      </c>
      <c r="N77" s="1">
        <v>85.29</v>
      </c>
      <c r="O77" s="3">
        <v>28</v>
      </c>
      <c r="P77" s="11" t="s">
        <v>2275</v>
      </c>
      <c r="Q77" s="3">
        <v>12</v>
      </c>
      <c r="R77" s="3">
        <v>192</v>
      </c>
      <c r="S77" s="22">
        <v>15</v>
      </c>
      <c r="T77" s="9">
        <v>170</v>
      </c>
      <c r="U77" s="14" t="s">
        <v>446</v>
      </c>
      <c r="V77" s="12">
        <v>4</v>
      </c>
      <c r="W77" s="75">
        <v>16</v>
      </c>
      <c r="X77" s="76">
        <v>16</v>
      </c>
      <c r="Y77" s="9">
        <v>484.96</v>
      </c>
      <c r="Z77" s="3">
        <v>651.22</v>
      </c>
      <c r="AA77" s="17" t="s">
        <v>2052</v>
      </c>
      <c r="AB77" s="18" t="s">
        <v>2051</v>
      </c>
      <c r="AC77" s="46" cm="1">
        <f t="array" ref="AC77">(SUMPRODUCT((H77:O77/H$9:O$9)^H$7:O$7*H$2:O$2)+SUMPRODUCT((Q77:T77/Q$9:T$9)^Q$7:T$7*Q$2:T$2))*(0.8^(1-G77))*AC$9</f>
        <v>1.3808811560816907</v>
      </c>
      <c r="AD77" s="48" cm="1">
        <f t="array" ref="AD77">(SUMPRODUCT((H77:O77/H$9:O$9)^H$7:O$7*H$3:O$3)+SUMPRODUCT((Q77:T77/Q$9:T$9)^Q$7:T$7*Q$3:T$3))*(0.1^(1-G77))*AD$9</f>
        <v>1.5978620034614983</v>
      </c>
      <c r="AE77" s="48" cm="1">
        <f t="array" ref="AE77">(SUMPRODUCT((H77:O77/H$9:O$9)^H$7:O$7*H$4:O$4)+SUMPRODUCT((Q77:T77/Q$9:T$9)^Q$7:T$7*Q$4:T$4))*AE$9</f>
        <v>1.4694579039729501</v>
      </c>
      <c r="AF77" s="47" cm="1">
        <f t="array" ref="AF77">(SUMPRODUCT((H77:O77/H$9:O$9)^H$7:O$7*H$5:O$5)+SUMPRODUCT((Q77:T77/Q$9:T$9)^Q$7:T$7*Q$5:T$5))*AF$9</f>
        <v>1.3730538264823342</v>
      </c>
      <c r="AG77" s="50" cm="1">
        <f t="array" ref="AG77">SUMPRODUCT(AC77:AF77 * AC$3:AF$3) / SUM(AC$3:AF$3)</f>
        <v>1.5099633772362755</v>
      </c>
    </row>
    <row r="78" spans="1:33" x14ac:dyDescent="0.25">
      <c r="A78" s="81" t="s">
        <v>1955</v>
      </c>
      <c r="B78" s="20" t="s">
        <v>1957</v>
      </c>
      <c r="C78" s="4" t="s">
        <v>8853</v>
      </c>
      <c r="D78" s="4" t="str">
        <f t="shared" si="1"/>
        <v>ASUS</v>
      </c>
      <c r="E78" s="4" t="s">
        <v>8854</v>
      </c>
      <c r="F78" s="14" t="s">
        <v>8864</v>
      </c>
      <c r="G78" s="9">
        <v>1</v>
      </c>
      <c r="H78" s="1">
        <v>13.71</v>
      </c>
      <c r="I78" s="1">
        <v>13.71</v>
      </c>
      <c r="J78" s="1">
        <v>0.21</v>
      </c>
      <c r="K78" s="3">
        <v>1875</v>
      </c>
      <c r="L78" s="13">
        <v>1912</v>
      </c>
      <c r="M78" s="49">
        <v>63.36</v>
      </c>
      <c r="N78" s="1">
        <v>85.29</v>
      </c>
      <c r="O78" s="3">
        <v>28</v>
      </c>
      <c r="P78" s="11" t="s">
        <v>2275</v>
      </c>
      <c r="Q78" s="3">
        <v>12</v>
      </c>
      <c r="R78" s="3">
        <v>192</v>
      </c>
      <c r="S78" s="22">
        <v>15</v>
      </c>
      <c r="T78" s="9">
        <v>170</v>
      </c>
      <c r="U78" s="14" t="s">
        <v>446</v>
      </c>
      <c r="V78" s="12">
        <v>4</v>
      </c>
      <c r="W78" s="75">
        <v>16</v>
      </c>
      <c r="X78" s="76">
        <v>16</v>
      </c>
      <c r="Y78" s="9">
        <v>1187.6099999999999</v>
      </c>
      <c r="Z78" s="3">
        <v>1187.6099999999999</v>
      </c>
      <c r="AA78" s="17" t="s">
        <v>1956</v>
      </c>
      <c r="AB78" s="18" t="s">
        <v>1955</v>
      </c>
      <c r="AC78" s="46" cm="1">
        <f t="array" ref="AC78">(SUMPRODUCT((H78:O78/H$9:O$9)^H$7:O$7*H$2:O$2)+SUMPRODUCT((Q78:T78/Q$9:T$9)^Q$7:T$7*Q$2:T$2))*(0.8^(1-G78))*AC$9</f>
        <v>1.3988340643086654</v>
      </c>
      <c r="AD78" s="48" cm="1">
        <f t="array" ref="AD78">(SUMPRODUCT((H78:O78/H$9:O$9)^H$7:O$7*H$3:O$3)+SUMPRODUCT((Q78:T78/Q$9:T$9)^Q$7:T$7*Q$3:T$3))*(0.1^(1-G78))*AD$9</f>
        <v>1.6467889819500487</v>
      </c>
      <c r="AE78" s="48" cm="1">
        <f t="array" ref="AE78">(SUMPRODUCT((H78:O78/H$9:O$9)^H$7:O$7*H$4:O$4)+SUMPRODUCT((Q78:T78/Q$9:T$9)^Q$7:T$7*Q$4:T$4))*AE$9</f>
        <v>1.5055362916951909</v>
      </c>
      <c r="AF78" s="47" cm="1">
        <f t="array" ref="AF78">(SUMPRODUCT((H78:O78/H$9:O$9)^H$7:O$7*H$5:O$5)+SUMPRODUCT((Q78:T78/Q$9:T$9)^Q$7:T$7*Q$5:T$5))*AF$9</f>
        <v>1.4007079794717949</v>
      </c>
      <c r="AG78" s="50" cm="1">
        <f t="array" ref="AG78">SUMPRODUCT(AC78:AF78 * AC$3:AF$3) / SUM(AC$3:AF$3)</f>
        <v>1.5487549185684581</v>
      </c>
    </row>
    <row r="79" spans="1:33" x14ac:dyDescent="0.25">
      <c r="A79" s="81" t="s">
        <v>1853</v>
      </c>
      <c r="B79" s="20" t="s">
        <v>1855</v>
      </c>
      <c r="C79" s="4" t="s">
        <v>8853</v>
      </c>
      <c r="D79" s="4" t="str">
        <f t="shared" si="1"/>
        <v>ASUS</v>
      </c>
      <c r="E79" s="4" t="s">
        <v>8854</v>
      </c>
      <c r="F79" s="14" t="s">
        <v>8864</v>
      </c>
      <c r="G79" s="9">
        <v>1</v>
      </c>
      <c r="H79" s="1">
        <v>13.49</v>
      </c>
      <c r="I79" s="1">
        <v>13.49</v>
      </c>
      <c r="J79" s="1">
        <v>0.21</v>
      </c>
      <c r="K79" s="3">
        <v>1875</v>
      </c>
      <c r="L79" s="13">
        <v>1882</v>
      </c>
      <c r="M79" s="49">
        <v>63.36</v>
      </c>
      <c r="N79" s="1">
        <v>85.29</v>
      </c>
      <c r="O79" s="3">
        <v>28</v>
      </c>
      <c r="P79" s="11" t="s">
        <v>2275</v>
      </c>
      <c r="Q79" s="3">
        <v>12</v>
      </c>
      <c r="R79" s="3">
        <v>192</v>
      </c>
      <c r="S79" s="22">
        <v>15</v>
      </c>
      <c r="T79" s="9">
        <v>170</v>
      </c>
      <c r="U79" s="14" t="s">
        <v>446</v>
      </c>
      <c r="V79" s="12">
        <v>4</v>
      </c>
      <c r="W79" s="75">
        <v>16</v>
      </c>
      <c r="X79" s="76">
        <v>16</v>
      </c>
      <c r="Y79" s="9">
        <v>714.79</v>
      </c>
      <c r="Z79" s="3">
        <v>729.99</v>
      </c>
      <c r="AA79" s="17" t="s">
        <v>1854</v>
      </c>
      <c r="AB79" s="18" t="s">
        <v>1853</v>
      </c>
      <c r="AC79" s="46" cm="1">
        <f t="array" ref="AC79">(SUMPRODUCT((H79:O79/H$9:O$9)^H$7:O$7*H$2:O$2)+SUMPRODUCT((Q79:T79/Q$9:T$9)^Q$7:T$7*Q$2:T$2))*(0.8^(1-G79))*AC$9</f>
        <v>1.3936979613661109</v>
      </c>
      <c r="AD79" s="48" cm="1">
        <f t="array" ref="AD79">(SUMPRODUCT((H79:O79/H$9:O$9)^H$7:O$7*H$3:O$3)+SUMPRODUCT((Q79:T79/Q$9:T$9)^Q$7:T$7*Q$3:T$3))*(0.1^(1-G79))*AD$9</f>
        <v>1.6335993510216378</v>
      </c>
      <c r="AE79" s="48" cm="1">
        <f t="array" ref="AE79">(SUMPRODUCT((H79:O79/H$9:O$9)^H$7:O$7*H$4:O$4)+SUMPRODUCT((Q79:T79/Q$9:T$9)^Q$7:T$7*Q$4:T$4))*AE$9</f>
        <v>1.5016064672714799</v>
      </c>
      <c r="AF79" s="47" cm="1">
        <f t="array" ref="AF79">(SUMPRODUCT((H79:O79/H$9:O$9)^H$7:O$7*H$5:O$5)+SUMPRODUCT((Q79:T79/Q$9:T$9)^Q$7:T$7*Q$5:T$5))*AF$9</f>
        <v>1.3927403101968978</v>
      </c>
      <c r="AG79" s="50" cm="1">
        <f t="array" ref="AG79">SUMPRODUCT(AC79:AF79 * AC$3:AF$3) / SUM(AC$3:AF$3)</f>
        <v>1.5388067366360199</v>
      </c>
    </row>
    <row r="80" spans="1:33" x14ac:dyDescent="0.25">
      <c r="A80" s="81" t="s">
        <v>1613</v>
      </c>
      <c r="B80" s="20" t="s">
        <v>1615</v>
      </c>
      <c r="C80" s="4" t="s">
        <v>8853</v>
      </c>
      <c r="D80" s="4" t="str">
        <f t="shared" si="1"/>
        <v>GIGABYTE</v>
      </c>
      <c r="E80" s="4" t="s">
        <v>8854</v>
      </c>
      <c r="F80" s="14" t="s">
        <v>8864</v>
      </c>
      <c r="G80" s="9">
        <v>1</v>
      </c>
      <c r="H80" s="1">
        <v>13.17</v>
      </c>
      <c r="I80" s="1">
        <v>13.17</v>
      </c>
      <c r="J80" s="1">
        <v>0.21</v>
      </c>
      <c r="K80" s="3">
        <v>1875</v>
      </c>
      <c r="L80" s="13">
        <v>1837</v>
      </c>
      <c r="M80" s="49">
        <v>63.36</v>
      </c>
      <c r="N80" s="1">
        <v>85.29</v>
      </c>
      <c r="O80" s="3">
        <v>28</v>
      </c>
      <c r="P80" s="11" t="s">
        <v>2275</v>
      </c>
      <c r="Q80" s="3">
        <v>12</v>
      </c>
      <c r="R80" s="3">
        <v>192</v>
      </c>
      <c r="S80" s="22">
        <v>15</v>
      </c>
      <c r="T80" s="9">
        <v>170</v>
      </c>
      <c r="U80" s="14" t="s">
        <v>446</v>
      </c>
      <c r="V80" s="12">
        <v>4</v>
      </c>
      <c r="W80" s="75">
        <v>16</v>
      </c>
      <c r="X80" s="76">
        <v>16</v>
      </c>
      <c r="Y80" s="9">
        <v>297.36</v>
      </c>
      <c r="Z80" s="3">
        <v>435.72</v>
      </c>
      <c r="AA80" s="17" t="s">
        <v>1614</v>
      </c>
      <c r="AB80" s="18" t="s">
        <v>1613</v>
      </c>
      <c r="AC80" s="46" cm="1">
        <f t="array" ref="AC80">(SUMPRODUCT((H80:O80/H$9:O$9)^H$7:O$7*H$2:O$2)+SUMPRODUCT((Q80:T80/Q$9:T$9)^Q$7:T$7*Q$2:T$2))*(0.8^(1-G80))*AC$9</f>
        <v>1.3860380430924379</v>
      </c>
      <c r="AD80" s="48" cm="1">
        <f t="array" ref="AD80">(SUMPRODUCT((H80:O80/H$9:O$9)^H$7:O$7*H$3:O$3)+SUMPRODUCT((Q80:T80/Q$9:T$9)^Q$7:T$7*Q$3:T$3))*(0.1^(1-G80))*AD$9</f>
        <v>1.6143305400314336</v>
      </c>
      <c r="AE80" s="48" cm="1">
        <f t="array" ref="AE80">(SUMPRODUCT((H80:O80/H$9:O$9)^H$7:O$7*H$4:O$4)+SUMPRODUCT((Q80:T80/Q$9:T$9)^Q$7:T$7*Q$4:T$4))*AE$9</f>
        <v>1.4958788769424149</v>
      </c>
      <c r="AF80" s="47" cm="1">
        <f t="array" ref="AF80">(SUMPRODUCT((H80:O80/H$9:O$9)^H$7:O$7*H$5:O$5)+SUMPRODUCT((Q80:T80/Q$9:T$9)^Q$7:T$7*Q$5:T$5))*AF$9</f>
        <v>1.3810562545616643</v>
      </c>
      <c r="AG80" s="50" cm="1">
        <f t="array" ref="AG80">SUMPRODUCT(AC80:AF80 * AC$3:AF$3) / SUM(AC$3:AF$3)</f>
        <v>1.5242414470645262</v>
      </c>
    </row>
    <row r="81" spans="1:33" x14ac:dyDescent="0.25">
      <c r="A81" s="81" t="s">
        <v>1586</v>
      </c>
      <c r="B81" s="20" t="s">
        <v>1588</v>
      </c>
      <c r="C81" s="4" t="s">
        <v>8853</v>
      </c>
      <c r="D81" s="4" t="str">
        <f t="shared" si="1"/>
        <v>GIGABYTE</v>
      </c>
      <c r="E81" s="4" t="s">
        <v>8854</v>
      </c>
      <c r="F81" s="14" t="s">
        <v>8864</v>
      </c>
      <c r="G81" s="9">
        <v>1</v>
      </c>
      <c r="H81" s="1">
        <v>12.85</v>
      </c>
      <c r="I81" s="1">
        <v>12.85</v>
      </c>
      <c r="J81" s="1">
        <v>0.2</v>
      </c>
      <c r="K81" s="3">
        <v>1875</v>
      </c>
      <c r="L81" s="13">
        <v>1792</v>
      </c>
      <c r="M81" s="49">
        <v>63.36</v>
      </c>
      <c r="N81" s="1">
        <v>85.29</v>
      </c>
      <c r="O81" s="3">
        <v>28</v>
      </c>
      <c r="P81" s="11" t="s">
        <v>2275</v>
      </c>
      <c r="Q81" s="3">
        <v>12</v>
      </c>
      <c r="R81" s="3">
        <v>192</v>
      </c>
      <c r="S81" s="22">
        <v>15</v>
      </c>
      <c r="T81" s="9">
        <v>170</v>
      </c>
      <c r="U81" s="14" t="s">
        <v>446</v>
      </c>
      <c r="V81" s="12">
        <v>4</v>
      </c>
      <c r="W81" s="75">
        <v>16</v>
      </c>
      <c r="X81" s="76">
        <v>16</v>
      </c>
      <c r="Y81" s="9">
        <v>297.93</v>
      </c>
      <c r="Z81" s="3">
        <v>355.32</v>
      </c>
      <c r="AA81" s="17" t="s">
        <v>1587</v>
      </c>
      <c r="AB81" s="18" t="s">
        <v>1586</v>
      </c>
      <c r="AC81" s="46" cm="1">
        <f t="array" ref="AC81">(SUMPRODUCT((H81:O81/H$9:O$9)^H$7:O$7*H$2:O$2)+SUMPRODUCT((Q81:T81/Q$9:T$9)^Q$7:T$7*Q$2:T$2))*(0.8^(1-G81))*AC$9</f>
        <v>1.3783593738144941</v>
      </c>
      <c r="AD81" s="48" cm="1">
        <f t="array" ref="AD81">(SUMPRODUCT((H81:O81/H$9:O$9)^H$7:O$7*H$3:O$3)+SUMPRODUCT((Q81:T81/Q$9:T$9)^Q$7:T$7*Q$3:T$3))*(0.1^(1-G81))*AD$9</f>
        <v>1.5917913092705738</v>
      </c>
      <c r="AE81" s="48" cm="1">
        <f t="array" ref="AE81">(SUMPRODUCT((H81:O81/H$9:O$9)^H$7:O$7*H$4:O$4)+SUMPRODUCT((Q81:T81/Q$9:T$9)^Q$7:T$7*Q$4:T$4))*AE$9</f>
        <v>1.4676621576527515</v>
      </c>
      <c r="AF81" s="47" cm="1">
        <f t="array" ref="AF81">(SUMPRODUCT((H81:O81/H$9:O$9)^H$7:O$7*H$5:O$5)+SUMPRODUCT((Q81:T81/Q$9:T$9)^Q$7:T$7*Q$5:T$5))*AF$9</f>
        <v>1.3693415970359009</v>
      </c>
      <c r="AG81" s="50" cm="1">
        <f t="array" ref="AG81">SUMPRODUCT(AC81:AF81 * AC$3:AF$3) / SUM(AC$3:AF$3)</f>
        <v>1.505352240031246</v>
      </c>
    </row>
    <row r="82" spans="1:33" x14ac:dyDescent="0.25">
      <c r="A82" s="81" t="s">
        <v>1583</v>
      </c>
      <c r="B82" s="20" t="s">
        <v>1585</v>
      </c>
      <c r="C82" s="4" t="s">
        <v>8853</v>
      </c>
      <c r="D82" s="4" t="str">
        <f t="shared" si="1"/>
        <v>GIGABYTE</v>
      </c>
      <c r="E82" s="4" t="s">
        <v>8854</v>
      </c>
      <c r="F82" s="14" t="s">
        <v>8864</v>
      </c>
      <c r="G82" s="9">
        <v>1</v>
      </c>
      <c r="H82" s="1">
        <v>12.85</v>
      </c>
      <c r="I82" s="1">
        <v>12.85</v>
      </c>
      <c r="J82" s="1">
        <v>0.2</v>
      </c>
      <c r="K82" s="3">
        <v>1875</v>
      </c>
      <c r="L82" s="13">
        <v>1792</v>
      </c>
      <c r="M82" s="49">
        <v>63.36</v>
      </c>
      <c r="N82" s="1">
        <v>85.29</v>
      </c>
      <c r="O82" s="3">
        <v>28</v>
      </c>
      <c r="P82" s="11" t="s">
        <v>2275</v>
      </c>
      <c r="Q82" s="3">
        <v>12</v>
      </c>
      <c r="R82" s="3">
        <v>192</v>
      </c>
      <c r="S82" s="22">
        <v>15</v>
      </c>
      <c r="T82" s="9">
        <v>170</v>
      </c>
      <c r="U82" s="14" t="s">
        <v>446</v>
      </c>
      <c r="V82" s="12">
        <v>4</v>
      </c>
      <c r="W82" s="75">
        <v>16</v>
      </c>
      <c r="X82" s="76">
        <v>16</v>
      </c>
      <c r="Y82" s="9">
        <v>288.27999999999997</v>
      </c>
      <c r="Z82" s="3">
        <v>389</v>
      </c>
      <c r="AA82" s="17" t="s">
        <v>1584</v>
      </c>
      <c r="AB82" s="18" t="s">
        <v>1583</v>
      </c>
      <c r="AC82" s="46" cm="1">
        <f t="array" ref="AC82">(SUMPRODUCT((H82:O82/H$9:O$9)^H$7:O$7*H$2:O$2)+SUMPRODUCT((Q82:T82/Q$9:T$9)^Q$7:T$7*Q$2:T$2))*(0.8^(1-G82))*AC$9</f>
        <v>1.3783593738144941</v>
      </c>
      <c r="AD82" s="48" cm="1">
        <f t="array" ref="AD82">(SUMPRODUCT((H82:O82/H$9:O$9)^H$7:O$7*H$3:O$3)+SUMPRODUCT((Q82:T82/Q$9:T$9)^Q$7:T$7*Q$3:T$3))*(0.1^(1-G82))*AD$9</f>
        <v>1.5917913092705738</v>
      </c>
      <c r="AE82" s="48" cm="1">
        <f t="array" ref="AE82">(SUMPRODUCT((H82:O82/H$9:O$9)^H$7:O$7*H$4:O$4)+SUMPRODUCT((Q82:T82/Q$9:T$9)^Q$7:T$7*Q$4:T$4))*AE$9</f>
        <v>1.4676621576527515</v>
      </c>
      <c r="AF82" s="47" cm="1">
        <f t="array" ref="AF82">(SUMPRODUCT((H82:O82/H$9:O$9)^H$7:O$7*H$5:O$5)+SUMPRODUCT((Q82:T82/Q$9:T$9)^Q$7:T$7*Q$5:T$5))*AF$9</f>
        <v>1.3693415970359009</v>
      </c>
      <c r="AG82" s="50" cm="1">
        <f t="array" ref="AG82">SUMPRODUCT(AC82:AF82 * AC$3:AF$3) / SUM(AC$3:AF$3)</f>
        <v>1.505352240031246</v>
      </c>
    </row>
    <row r="83" spans="1:33" x14ac:dyDescent="0.25">
      <c r="A83" s="81" t="s">
        <v>1310</v>
      </c>
      <c r="B83" s="20" t="s">
        <v>1312</v>
      </c>
      <c r="C83" s="4" t="s">
        <v>8853</v>
      </c>
      <c r="D83" s="4" t="str">
        <f t="shared" si="1"/>
        <v>INNO3D</v>
      </c>
      <c r="E83" s="4" t="s">
        <v>8854</v>
      </c>
      <c r="F83" s="14" t="s">
        <v>8864</v>
      </c>
      <c r="G83" s="9">
        <v>1</v>
      </c>
      <c r="H83" s="1">
        <v>12.74</v>
      </c>
      <c r="I83" s="1">
        <v>12.74</v>
      </c>
      <c r="J83" s="1">
        <v>0.2</v>
      </c>
      <c r="K83" s="3">
        <v>1875</v>
      </c>
      <c r="L83" s="13">
        <v>1777</v>
      </c>
      <c r="M83" s="49">
        <v>63.36</v>
      </c>
      <c r="N83" s="1">
        <v>85.29</v>
      </c>
      <c r="O83" s="3">
        <v>28</v>
      </c>
      <c r="P83" s="11" t="s">
        <v>2275</v>
      </c>
      <c r="Q83" s="3">
        <v>12</v>
      </c>
      <c r="R83" s="3">
        <v>192</v>
      </c>
      <c r="S83" s="22">
        <v>15</v>
      </c>
      <c r="T83" s="9">
        <v>170</v>
      </c>
      <c r="U83" s="14" t="s">
        <v>446</v>
      </c>
      <c r="V83" s="12">
        <v>4</v>
      </c>
      <c r="W83" s="75">
        <v>16</v>
      </c>
      <c r="X83" s="76">
        <v>16</v>
      </c>
      <c r="Y83" s="9">
        <v>279.89999999999998</v>
      </c>
      <c r="Z83" s="3">
        <v>451.61</v>
      </c>
      <c r="AA83" s="17" t="s">
        <v>1311</v>
      </c>
      <c r="AB83" s="18" t="s">
        <v>1310</v>
      </c>
      <c r="AC83" s="46" cm="1">
        <f t="array" ref="AC83">(SUMPRODUCT((H83:O83/H$9:O$9)^H$7:O$7*H$2:O$2)+SUMPRODUCT((Q83:T83/Q$9:T$9)^Q$7:T$7*Q$2:T$2))*(0.8^(1-G83))*AC$9</f>
        <v>1.375775584426814</v>
      </c>
      <c r="AD83" s="48" cm="1">
        <f t="array" ref="AD83">(SUMPRODUCT((H83:O83/H$9:O$9)^H$7:O$7*H$3:O$3)+SUMPRODUCT((Q83:T83/Q$9:T$9)^Q$7:T$7*Q$3:T$3))*(0.1^(1-G83))*AD$9</f>
        <v>1.585145091946103</v>
      </c>
      <c r="AE83" s="48" cm="1">
        <f t="array" ref="AE83">(SUMPRODUCT((H83:O83/H$9:O$9)^H$7:O$7*H$4:O$4)+SUMPRODUCT((Q83:T83/Q$9:T$9)^Q$7:T$7*Q$4:T$4))*AE$9</f>
        <v>1.4656852215168836</v>
      </c>
      <c r="AF83" s="47" cm="1">
        <f t="array" ref="AF83">(SUMPRODUCT((H83:O83/H$9:O$9)^H$7:O$7*H$5:O$5)+SUMPRODUCT((Q83:T83/Q$9:T$9)^Q$7:T$7*Q$5:T$5))*AF$9</f>
        <v>1.3653315345275367</v>
      </c>
      <c r="AG83" s="50" cm="1">
        <f t="array" ref="AG83">SUMPRODUCT(AC83:AF83 * AC$3:AF$3) / SUM(AC$3:AF$3)</f>
        <v>1.5003412621865473</v>
      </c>
    </row>
    <row r="84" spans="1:33" x14ac:dyDescent="0.25">
      <c r="A84" s="81" t="s">
        <v>1304</v>
      </c>
      <c r="B84" s="20" t="s">
        <v>1306</v>
      </c>
      <c r="C84" s="4" t="s">
        <v>8853</v>
      </c>
      <c r="D84" s="4" t="str">
        <f t="shared" si="1"/>
        <v>INNO3D</v>
      </c>
      <c r="E84" s="4" t="s">
        <v>8854</v>
      </c>
      <c r="F84" s="14" t="s">
        <v>8864</v>
      </c>
      <c r="G84" s="9">
        <v>1</v>
      </c>
      <c r="H84" s="1">
        <v>12.85</v>
      </c>
      <c r="I84" s="1">
        <v>12.85</v>
      </c>
      <c r="J84" s="1">
        <v>0.2</v>
      </c>
      <c r="K84" s="3">
        <v>1875</v>
      </c>
      <c r="L84" s="13">
        <v>1792</v>
      </c>
      <c r="M84" s="49">
        <v>63.36</v>
      </c>
      <c r="N84" s="1">
        <v>85.29</v>
      </c>
      <c r="O84" s="3">
        <v>28</v>
      </c>
      <c r="P84" s="11" t="s">
        <v>2275</v>
      </c>
      <c r="Q84" s="3">
        <v>12</v>
      </c>
      <c r="R84" s="3">
        <v>192</v>
      </c>
      <c r="S84" s="22">
        <v>15</v>
      </c>
      <c r="T84" s="9">
        <v>170</v>
      </c>
      <c r="U84" s="14" t="s">
        <v>446</v>
      </c>
      <c r="V84" s="12">
        <v>4</v>
      </c>
      <c r="W84" s="75">
        <v>16</v>
      </c>
      <c r="X84" s="76">
        <v>16</v>
      </c>
      <c r="Y84" s="9">
        <v>299.24</v>
      </c>
      <c r="Z84" s="3">
        <v>432</v>
      </c>
      <c r="AA84" s="17" t="s">
        <v>1305</v>
      </c>
      <c r="AB84" s="18" t="s">
        <v>1304</v>
      </c>
      <c r="AC84" s="46" cm="1">
        <f t="array" ref="AC84">(SUMPRODUCT((H84:O84/H$9:O$9)^H$7:O$7*H$2:O$2)+SUMPRODUCT((Q84:T84/Q$9:T$9)^Q$7:T$7*Q$2:T$2))*(0.8^(1-G84))*AC$9</f>
        <v>1.3783593738144941</v>
      </c>
      <c r="AD84" s="48" cm="1">
        <f t="array" ref="AD84">(SUMPRODUCT((H84:O84/H$9:O$9)^H$7:O$7*H$3:O$3)+SUMPRODUCT((Q84:T84/Q$9:T$9)^Q$7:T$7*Q$3:T$3))*(0.1^(1-G84))*AD$9</f>
        <v>1.5917913092705738</v>
      </c>
      <c r="AE84" s="48" cm="1">
        <f t="array" ref="AE84">(SUMPRODUCT((H84:O84/H$9:O$9)^H$7:O$7*H$4:O$4)+SUMPRODUCT((Q84:T84/Q$9:T$9)^Q$7:T$7*Q$4:T$4))*AE$9</f>
        <v>1.4676621576527515</v>
      </c>
      <c r="AF84" s="47" cm="1">
        <f t="array" ref="AF84">(SUMPRODUCT((H84:O84/H$9:O$9)^H$7:O$7*H$5:O$5)+SUMPRODUCT((Q84:T84/Q$9:T$9)^Q$7:T$7*Q$5:T$5))*AF$9</f>
        <v>1.3693415970359009</v>
      </c>
      <c r="AG84" s="50" cm="1">
        <f t="array" ref="AG84">SUMPRODUCT(AC84:AF84 * AC$3:AF$3) / SUM(AC$3:AF$3)</f>
        <v>1.505352240031246</v>
      </c>
    </row>
    <row r="85" spans="1:33" x14ac:dyDescent="0.25">
      <c r="A85" s="81" t="s">
        <v>617</v>
      </c>
      <c r="B85" s="20" t="s">
        <v>619</v>
      </c>
      <c r="C85" s="4" t="s">
        <v>8853</v>
      </c>
      <c r="D85" s="4" t="str">
        <f t="shared" si="1"/>
        <v>Zotac</v>
      </c>
      <c r="E85" s="4" t="s">
        <v>8854</v>
      </c>
      <c r="F85" s="14" t="s">
        <v>8864</v>
      </c>
      <c r="G85" s="9">
        <v>1</v>
      </c>
      <c r="H85" s="1">
        <v>12.74</v>
      </c>
      <c r="I85" s="1">
        <v>12.74</v>
      </c>
      <c r="J85" s="1">
        <v>0.2</v>
      </c>
      <c r="K85" s="3">
        <v>1875</v>
      </c>
      <c r="L85" s="13">
        <v>1777</v>
      </c>
      <c r="M85" s="49">
        <v>63.36</v>
      </c>
      <c r="N85" s="1">
        <v>85.29</v>
      </c>
      <c r="O85" s="3">
        <v>28</v>
      </c>
      <c r="P85" s="11" t="s">
        <v>2275</v>
      </c>
      <c r="Q85" s="3">
        <v>12</v>
      </c>
      <c r="R85" s="3">
        <v>192</v>
      </c>
      <c r="S85" s="22">
        <v>15</v>
      </c>
      <c r="T85" s="9">
        <v>170</v>
      </c>
      <c r="U85" s="14" t="s">
        <v>446</v>
      </c>
      <c r="V85" s="12">
        <v>4</v>
      </c>
      <c r="W85" s="75">
        <v>16</v>
      </c>
      <c r="X85" s="76">
        <v>16</v>
      </c>
      <c r="Y85" s="9">
        <v>319.89999999999998</v>
      </c>
      <c r="Z85" s="3">
        <v>829.5</v>
      </c>
      <c r="AA85" s="17" t="s">
        <v>618</v>
      </c>
      <c r="AB85" s="18" t="s">
        <v>617</v>
      </c>
      <c r="AC85" s="46" cm="1">
        <f t="array" ref="AC85">(SUMPRODUCT((H85:O85/H$9:O$9)^H$7:O$7*H$2:O$2)+SUMPRODUCT((Q85:T85/Q$9:T$9)^Q$7:T$7*Q$2:T$2))*(0.8^(1-G85))*AC$9</f>
        <v>1.375775584426814</v>
      </c>
      <c r="AD85" s="48" cm="1">
        <f t="array" ref="AD85">(SUMPRODUCT((H85:O85/H$9:O$9)^H$7:O$7*H$3:O$3)+SUMPRODUCT((Q85:T85/Q$9:T$9)^Q$7:T$7*Q$3:T$3))*(0.1^(1-G85))*AD$9</f>
        <v>1.585145091946103</v>
      </c>
      <c r="AE85" s="48" cm="1">
        <f t="array" ref="AE85">(SUMPRODUCT((H85:O85/H$9:O$9)^H$7:O$7*H$4:O$4)+SUMPRODUCT((Q85:T85/Q$9:T$9)^Q$7:T$7*Q$4:T$4))*AE$9</f>
        <v>1.4656852215168836</v>
      </c>
      <c r="AF85" s="47" cm="1">
        <f t="array" ref="AF85">(SUMPRODUCT((H85:O85/H$9:O$9)^H$7:O$7*H$5:O$5)+SUMPRODUCT((Q85:T85/Q$9:T$9)^Q$7:T$7*Q$5:T$5))*AF$9</f>
        <v>1.3653315345275367</v>
      </c>
      <c r="AG85" s="50" cm="1">
        <f t="array" ref="AG85">SUMPRODUCT(AC85:AF85 * AC$3:AF$3) / SUM(AC$3:AF$3)</f>
        <v>1.5003412621865473</v>
      </c>
    </row>
    <row r="86" spans="1:33" x14ac:dyDescent="0.25">
      <c r="A86" s="81" t="s">
        <v>614</v>
      </c>
      <c r="B86" s="20" t="s">
        <v>616</v>
      </c>
      <c r="C86" s="4" t="s">
        <v>8853</v>
      </c>
      <c r="D86" s="4" t="str">
        <f t="shared" si="1"/>
        <v>Zotac</v>
      </c>
      <c r="E86" s="4" t="s">
        <v>8854</v>
      </c>
      <c r="F86" s="14" t="s">
        <v>8864</v>
      </c>
      <c r="G86" s="9">
        <v>1</v>
      </c>
      <c r="H86" s="1">
        <v>12.95</v>
      </c>
      <c r="I86" s="1">
        <v>12.95</v>
      </c>
      <c r="J86" s="1">
        <v>0.2</v>
      </c>
      <c r="K86" s="3">
        <v>1875</v>
      </c>
      <c r="L86" s="13">
        <v>1807</v>
      </c>
      <c r="M86" s="49">
        <v>63.36</v>
      </c>
      <c r="N86" s="1">
        <v>85.29</v>
      </c>
      <c r="O86" s="3">
        <v>28</v>
      </c>
      <c r="P86" s="11" t="s">
        <v>2275</v>
      </c>
      <c r="Q86" s="3">
        <v>12</v>
      </c>
      <c r="R86" s="3">
        <v>192</v>
      </c>
      <c r="S86" s="22">
        <v>15</v>
      </c>
      <c r="T86" s="9">
        <v>170</v>
      </c>
      <c r="U86" s="14" t="s">
        <v>446</v>
      </c>
      <c r="V86" s="12">
        <v>4</v>
      </c>
      <c r="W86" s="75">
        <v>16</v>
      </c>
      <c r="X86" s="76">
        <v>16</v>
      </c>
      <c r="Y86" s="9">
        <v>604.69000000000005</v>
      </c>
      <c r="Z86" s="3">
        <v>636.19000000000005</v>
      </c>
      <c r="AA86" s="17" t="s">
        <v>615</v>
      </c>
      <c r="AB86" s="18" t="s">
        <v>614</v>
      </c>
      <c r="AC86" s="46" cm="1">
        <f t="array" ref="AC86">(SUMPRODUCT((H86:O86/H$9:O$9)^H$7:O$7*H$2:O$2)+SUMPRODUCT((Q86:T86/Q$9:T$9)^Q$7:T$7*Q$2:T$2))*(0.8^(1-G86))*AC$9</f>
        <v>1.3808811560816907</v>
      </c>
      <c r="AD86" s="48" cm="1">
        <f t="array" ref="AD86">(SUMPRODUCT((H86:O86/H$9:O$9)^H$7:O$7*H$3:O$3)+SUMPRODUCT((Q86:T86/Q$9:T$9)^Q$7:T$7*Q$3:T$3))*(0.1^(1-G86))*AD$9</f>
        <v>1.5978620034614983</v>
      </c>
      <c r="AE86" s="48" cm="1">
        <f t="array" ref="AE86">(SUMPRODUCT((H86:O86/H$9:O$9)^H$7:O$7*H$4:O$4)+SUMPRODUCT((Q86:T86/Q$9:T$9)^Q$7:T$7*Q$4:T$4))*AE$9</f>
        <v>1.4694579039729501</v>
      </c>
      <c r="AF86" s="47" cm="1">
        <f t="array" ref="AF86">(SUMPRODUCT((H86:O86/H$9:O$9)^H$7:O$7*H$5:O$5)+SUMPRODUCT((Q86:T86/Q$9:T$9)^Q$7:T$7*Q$5:T$5))*AF$9</f>
        <v>1.3730538264823342</v>
      </c>
      <c r="AG86" s="50" cm="1">
        <f t="array" ref="AG86">SUMPRODUCT(AC86:AF86 * AC$3:AF$3) / SUM(AC$3:AF$3)</f>
        <v>1.5099633772362755</v>
      </c>
    </row>
    <row r="87" spans="1:33" x14ac:dyDescent="0.25">
      <c r="A87" s="81" t="s">
        <v>2225</v>
      </c>
      <c r="B87" s="20" t="s">
        <v>2227</v>
      </c>
      <c r="C87" s="4" t="s">
        <v>8853</v>
      </c>
      <c r="D87" s="4" t="str">
        <f t="shared" si="1"/>
        <v>ASUS</v>
      </c>
      <c r="E87" s="4" t="s">
        <v>8854</v>
      </c>
      <c r="F87" s="14" t="s">
        <v>8865</v>
      </c>
      <c r="G87" s="9">
        <v>1</v>
      </c>
      <c r="H87" s="1">
        <v>16.63</v>
      </c>
      <c r="I87" s="1">
        <v>16.63</v>
      </c>
      <c r="J87" s="1">
        <v>0.26</v>
      </c>
      <c r="K87" s="3">
        <v>1188</v>
      </c>
      <c r="L87" s="13">
        <v>1710</v>
      </c>
      <c r="M87" s="49">
        <v>112.8</v>
      </c>
      <c r="N87" s="1">
        <v>214.3</v>
      </c>
      <c r="O87" s="3">
        <v>38</v>
      </c>
      <c r="P87" s="11" t="s">
        <v>2276</v>
      </c>
      <c r="Q87" s="3">
        <v>8</v>
      </c>
      <c r="R87" s="3">
        <v>256</v>
      </c>
      <c r="S87" s="22">
        <v>19</v>
      </c>
      <c r="T87" s="9">
        <v>200</v>
      </c>
      <c r="U87" s="14" t="s">
        <v>576</v>
      </c>
      <c r="V87" s="12">
        <v>4</v>
      </c>
      <c r="W87" s="75">
        <v>16</v>
      </c>
      <c r="X87" s="76">
        <v>16</v>
      </c>
      <c r="Y87" s="9">
        <v>988.34</v>
      </c>
      <c r="Z87" s="3">
        <v>988.34</v>
      </c>
      <c r="AA87" s="17" t="s">
        <v>2226</v>
      </c>
      <c r="AB87" s="18" t="s">
        <v>2225</v>
      </c>
      <c r="AC87" s="46" cm="1">
        <f t="array" ref="AC87">(SUMPRODUCT((H87:O87/H$9:O$9)^H$7:O$7*H$2:O$2)+SUMPRODUCT((Q87:T87/Q$9:T$9)^Q$7:T$7*Q$2:T$2))*(0.8^(1-G87))*AC$9</f>
        <v>1.6379809214551129</v>
      </c>
      <c r="AD87" s="48" cm="1">
        <f t="array" ref="AD87">(SUMPRODUCT((H87:O87/H$9:O$9)^H$7:O$7*H$3:O$3)+SUMPRODUCT((Q87:T87/Q$9:T$9)^Q$7:T$7*Q$3:T$3))*(0.1^(1-G87))*AD$9</f>
        <v>1.7782411269892771</v>
      </c>
      <c r="AE87" s="48" cm="1">
        <f t="array" ref="AE87">(SUMPRODUCT((H87:O87/H$9:O$9)^H$7:O$7*H$4:O$4)+SUMPRODUCT((Q87:T87/Q$9:T$9)^Q$7:T$7*Q$4:T$4))*AE$9</f>
        <v>1.6768275944533491</v>
      </c>
      <c r="AF87" s="47" cm="1">
        <f t="array" ref="AF87">(SUMPRODUCT((H87:O87/H$9:O$9)^H$7:O$7*H$5:O$5)+SUMPRODUCT((Q87:T87/Q$9:T$9)^Q$7:T$7*Q$5:T$5))*AF$9</f>
        <v>1.619680749296819</v>
      </c>
      <c r="AG87" s="50" cm="1">
        <f t="array" ref="AG87">SUMPRODUCT(AC87:AF87 * AC$3:AF$3) / SUM(AC$3:AF$3)</f>
        <v>1.7171695261697368</v>
      </c>
    </row>
    <row r="88" spans="1:33" x14ac:dyDescent="0.25">
      <c r="A88" s="81" t="s">
        <v>2222</v>
      </c>
      <c r="B88" s="20" t="s">
        <v>2224</v>
      </c>
      <c r="C88" s="4" t="s">
        <v>8853</v>
      </c>
      <c r="D88" s="4" t="str">
        <f t="shared" si="1"/>
        <v>ASUS</v>
      </c>
      <c r="E88" s="4" t="s">
        <v>8854</v>
      </c>
      <c r="F88" s="14" t="s">
        <v>8865</v>
      </c>
      <c r="G88" s="9">
        <v>1</v>
      </c>
      <c r="H88" s="1">
        <v>16.489999999999998</v>
      </c>
      <c r="I88" s="1">
        <v>16.489999999999998</v>
      </c>
      <c r="J88" s="1">
        <v>0.26</v>
      </c>
      <c r="K88" s="3">
        <v>1188</v>
      </c>
      <c r="L88" s="13">
        <v>1695</v>
      </c>
      <c r="M88" s="49">
        <v>112.8</v>
      </c>
      <c r="N88" s="1">
        <v>214.3</v>
      </c>
      <c r="O88" s="3">
        <v>38</v>
      </c>
      <c r="P88" s="11" t="s">
        <v>2276</v>
      </c>
      <c r="Q88" s="3">
        <v>8</v>
      </c>
      <c r="R88" s="3">
        <v>256</v>
      </c>
      <c r="S88" s="22">
        <v>19</v>
      </c>
      <c r="T88" s="9">
        <v>200</v>
      </c>
      <c r="U88" s="14" t="s">
        <v>576</v>
      </c>
      <c r="V88" s="12">
        <v>4</v>
      </c>
      <c r="W88" s="75">
        <v>16</v>
      </c>
      <c r="X88" s="76">
        <v>16</v>
      </c>
      <c r="Y88" s="9">
        <v>1166.79</v>
      </c>
      <c r="Z88" s="3">
        <v>1186</v>
      </c>
      <c r="AA88" s="17" t="s">
        <v>2223</v>
      </c>
      <c r="AB88" s="18" t="s">
        <v>2222</v>
      </c>
      <c r="AC88" s="46" cm="1">
        <f t="array" ref="AC88">(SUMPRODUCT((H88:O88/H$9:O$9)^H$7:O$7*H$2:O$2)+SUMPRODUCT((Q88:T88/Q$9:T$9)^Q$7:T$7*Q$2:T$2))*(0.8^(1-G88))*AC$9</f>
        <v>1.6352296912680568</v>
      </c>
      <c r="AD88" s="48" cm="1">
        <f t="array" ref="AD88">(SUMPRODUCT((H88:O88/H$9:O$9)^H$7:O$7*H$3:O$3)+SUMPRODUCT((Q88:T88/Q$9:T$9)^Q$7:T$7*Q$3:T$3))*(0.1^(1-G88))*AD$9</f>
        <v>1.7701460159783848</v>
      </c>
      <c r="AE88" s="48" cm="1">
        <f t="array" ref="AE88">(SUMPRODUCT((H88:O88/H$9:O$9)^H$7:O$7*H$4:O$4)+SUMPRODUCT((Q88:T88/Q$9:T$9)^Q$7:T$7*Q$4:T$4))*AE$9</f>
        <v>1.6743755633133834</v>
      </c>
      <c r="AF88" s="47" cm="1">
        <f t="array" ref="AF88">(SUMPRODUCT((H88:O88/H$9:O$9)^H$7:O$7*H$5:O$5)+SUMPRODUCT((Q88:T88/Q$9:T$9)^Q$7:T$7*Q$5:T$5))*AF$9</f>
        <v>1.6148979933768945</v>
      </c>
      <c r="AG88" s="50" cm="1">
        <f t="array" ref="AG88">SUMPRODUCT(AC88:AF88 * AC$3:AF$3) / SUM(AC$3:AF$3)</f>
        <v>1.7111441300191927</v>
      </c>
    </row>
    <row r="89" spans="1:33" x14ac:dyDescent="0.25">
      <c r="A89" s="81" t="s">
        <v>2219</v>
      </c>
      <c r="B89" s="20" t="s">
        <v>2221</v>
      </c>
      <c r="C89" s="4" t="s">
        <v>8853</v>
      </c>
      <c r="D89" s="4" t="str">
        <f t="shared" si="1"/>
        <v>ASUS</v>
      </c>
      <c r="E89" s="4" t="s">
        <v>8854</v>
      </c>
      <c r="F89" s="14" t="s">
        <v>8865</v>
      </c>
      <c r="G89" s="9">
        <v>1</v>
      </c>
      <c r="H89" s="1">
        <v>16.489999999999998</v>
      </c>
      <c r="I89" s="1">
        <v>16.489999999999998</v>
      </c>
      <c r="J89" s="1">
        <v>0.26</v>
      </c>
      <c r="K89" s="3">
        <v>1188</v>
      </c>
      <c r="L89" s="13">
        <v>1695</v>
      </c>
      <c r="M89" s="49">
        <v>112.8</v>
      </c>
      <c r="N89" s="1">
        <v>214.3</v>
      </c>
      <c r="O89" s="3">
        <v>38</v>
      </c>
      <c r="P89" s="11" t="s">
        <v>2276</v>
      </c>
      <c r="Q89" s="3">
        <v>8</v>
      </c>
      <c r="R89" s="3">
        <v>256</v>
      </c>
      <c r="S89" s="22">
        <v>19</v>
      </c>
      <c r="T89" s="9">
        <v>200</v>
      </c>
      <c r="U89" s="14" t="s">
        <v>576</v>
      </c>
      <c r="V89" s="12">
        <v>4</v>
      </c>
      <c r="W89" s="75">
        <v>16</v>
      </c>
      <c r="X89" s="76">
        <v>16</v>
      </c>
      <c r="Y89" s="9">
        <v>988.34</v>
      </c>
      <c r="Z89" s="3">
        <v>1163.8800000000001</v>
      </c>
      <c r="AA89" s="17" t="s">
        <v>2220</v>
      </c>
      <c r="AB89" s="18" t="s">
        <v>2219</v>
      </c>
      <c r="AC89" s="46" cm="1">
        <f t="array" ref="AC89">(SUMPRODUCT((H89:O89/H$9:O$9)^H$7:O$7*H$2:O$2)+SUMPRODUCT((Q89:T89/Q$9:T$9)^Q$7:T$7*Q$2:T$2))*(0.8^(1-G89))*AC$9</f>
        <v>1.6352296912680568</v>
      </c>
      <c r="AD89" s="48" cm="1">
        <f t="array" ref="AD89">(SUMPRODUCT((H89:O89/H$9:O$9)^H$7:O$7*H$3:O$3)+SUMPRODUCT((Q89:T89/Q$9:T$9)^Q$7:T$7*Q$3:T$3))*(0.1^(1-G89))*AD$9</f>
        <v>1.7701460159783848</v>
      </c>
      <c r="AE89" s="48" cm="1">
        <f t="array" ref="AE89">(SUMPRODUCT((H89:O89/H$9:O$9)^H$7:O$7*H$4:O$4)+SUMPRODUCT((Q89:T89/Q$9:T$9)^Q$7:T$7*Q$4:T$4))*AE$9</f>
        <v>1.6743755633133834</v>
      </c>
      <c r="AF89" s="47" cm="1">
        <f t="array" ref="AF89">(SUMPRODUCT((H89:O89/H$9:O$9)^H$7:O$7*H$5:O$5)+SUMPRODUCT((Q89:T89/Q$9:T$9)^Q$7:T$7*Q$5:T$5))*AF$9</f>
        <v>1.6148979933768945</v>
      </c>
      <c r="AG89" s="50" cm="1">
        <f t="array" ref="AG89">SUMPRODUCT(AC89:AF89 * AC$3:AF$3) / SUM(AC$3:AF$3)</f>
        <v>1.7111441300191927</v>
      </c>
    </row>
    <row r="90" spans="1:33" x14ac:dyDescent="0.25">
      <c r="A90" s="81" t="s">
        <v>1847</v>
      </c>
      <c r="B90" s="20" t="s">
        <v>1849</v>
      </c>
      <c r="C90" s="4" t="s">
        <v>8853</v>
      </c>
      <c r="D90" s="4" t="str">
        <f t="shared" si="1"/>
        <v>ASUS</v>
      </c>
      <c r="E90" s="4" t="s">
        <v>8854</v>
      </c>
      <c r="F90" s="14" t="s">
        <v>8865</v>
      </c>
      <c r="G90" s="9">
        <v>1</v>
      </c>
      <c r="H90" s="1">
        <v>17.36</v>
      </c>
      <c r="I90" s="1">
        <v>17.36</v>
      </c>
      <c r="J90" s="1">
        <v>0.27</v>
      </c>
      <c r="K90" s="3">
        <v>1188</v>
      </c>
      <c r="L90" s="13">
        <v>1785</v>
      </c>
      <c r="M90" s="49">
        <v>112.8</v>
      </c>
      <c r="N90" s="1">
        <v>214.3</v>
      </c>
      <c r="O90" s="3">
        <v>38</v>
      </c>
      <c r="P90" s="11" t="s">
        <v>2276</v>
      </c>
      <c r="Q90" s="3">
        <v>8</v>
      </c>
      <c r="R90" s="3">
        <v>256</v>
      </c>
      <c r="S90" s="22">
        <v>19</v>
      </c>
      <c r="T90" s="9">
        <v>200</v>
      </c>
      <c r="U90" s="14" t="s">
        <v>576</v>
      </c>
      <c r="V90" s="12">
        <v>4</v>
      </c>
      <c r="W90" s="75">
        <v>16</v>
      </c>
      <c r="X90" s="76">
        <v>16</v>
      </c>
      <c r="Y90" s="9">
        <v>816.71</v>
      </c>
      <c r="Z90" s="3">
        <v>961.77</v>
      </c>
      <c r="AA90" s="17" t="s">
        <v>1848</v>
      </c>
      <c r="AB90" s="18" t="s">
        <v>1847</v>
      </c>
      <c r="AC90" s="46" cm="1">
        <f t="array" ref="AC90">(SUMPRODUCT((H90:O90/H$9:O$9)^H$7:O$7*H$2:O$2)+SUMPRODUCT((Q90:T90/Q$9:T$9)^Q$7:T$7*Q$2:T$2))*(0.8^(1-G90))*AC$9</f>
        <v>1.6518761005867688</v>
      </c>
      <c r="AD90" s="48" cm="1">
        <f t="array" ref="AD90">(SUMPRODUCT((H90:O90/H$9:O$9)^H$7:O$7*H$3:O$3)+SUMPRODUCT((Q90:T90/Q$9:T$9)^Q$7:T$7*Q$3:T$3))*(0.1^(1-G90))*AD$9</f>
        <v>1.8232799048486628</v>
      </c>
      <c r="AE90" s="48" cm="1">
        <f t="array" ref="AE90">(SUMPRODUCT((H90:O90/H$9:O$9)^H$7:O$7*H$4:O$4)+SUMPRODUCT((Q90:T90/Q$9:T$9)^Q$7:T$7*Q$4:T$4))*AE$9</f>
        <v>1.7109303283917465</v>
      </c>
      <c r="AF90" s="47" cm="1">
        <f t="array" ref="AF90">(SUMPRODUCT((H90:O90/H$9:O$9)^H$7:O$7*H$5:O$5)+SUMPRODUCT((Q90:T90/Q$9:T$9)^Q$7:T$7*Q$5:T$5))*AF$9</f>
        <v>1.6443846647924585</v>
      </c>
      <c r="AG90" s="50" cm="1">
        <f t="array" ref="AG90">SUMPRODUCT(AC90:AF90 * AC$3:AF$3) / SUM(AC$3:AF$3)</f>
        <v>1.7524134445226558</v>
      </c>
    </row>
    <row r="91" spans="1:33" x14ac:dyDescent="0.25">
      <c r="A91" s="81" t="s">
        <v>1844</v>
      </c>
      <c r="B91" s="20" t="s">
        <v>1846</v>
      </c>
      <c r="C91" s="4" t="s">
        <v>8853</v>
      </c>
      <c r="D91" s="4" t="str">
        <f t="shared" si="1"/>
        <v>ASUS</v>
      </c>
      <c r="E91" s="4" t="s">
        <v>8854</v>
      </c>
      <c r="F91" s="14" t="s">
        <v>8865</v>
      </c>
      <c r="G91" s="9">
        <v>1</v>
      </c>
      <c r="H91" s="1">
        <v>16.489999999999998</v>
      </c>
      <c r="I91" s="1">
        <v>16.489999999999998</v>
      </c>
      <c r="J91" s="1">
        <v>0.26</v>
      </c>
      <c r="K91" s="3">
        <v>1188</v>
      </c>
      <c r="L91" s="13">
        <v>1695</v>
      </c>
      <c r="M91" s="49">
        <v>112.8</v>
      </c>
      <c r="N91" s="1">
        <v>214.3</v>
      </c>
      <c r="O91" s="3">
        <v>38</v>
      </c>
      <c r="P91" s="11" t="s">
        <v>2276</v>
      </c>
      <c r="Q91" s="3">
        <v>8</v>
      </c>
      <c r="R91" s="3">
        <v>256</v>
      </c>
      <c r="S91" s="22">
        <v>19</v>
      </c>
      <c r="T91" s="9">
        <v>200</v>
      </c>
      <c r="U91" s="14" t="s">
        <v>576</v>
      </c>
      <c r="V91" s="12">
        <v>4</v>
      </c>
      <c r="W91" s="75">
        <v>16</v>
      </c>
      <c r="X91" s="76">
        <v>16</v>
      </c>
      <c r="Y91" s="9">
        <v>1061.6600000000001</v>
      </c>
      <c r="Z91" s="3">
        <v>1078.07</v>
      </c>
      <c r="AA91" s="17" t="s">
        <v>1845</v>
      </c>
      <c r="AB91" s="18" t="s">
        <v>1844</v>
      </c>
      <c r="AC91" s="46" cm="1">
        <f t="array" ref="AC91">(SUMPRODUCT((H91:O91/H$9:O$9)^H$7:O$7*H$2:O$2)+SUMPRODUCT((Q91:T91/Q$9:T$9)^Q$7:T$7*Q$2:T$2))*(0.8^(1-G91))*AC$9</f>
        <v>1.6352296912680568</v>
      </c>
      <c r="AD91" s="48" cm="1">
        <f t="array" ref="AD91">(SUMPRODUCT((H91:O91/H$9:O$9)^H$7:O$7*H$3:O$3)+SUMPRODUCT((Q91:T91/Q$9:T$9)^Q$7:T$7*Q$3:T$3))*(0.1^(1-G91))*AD$9</f>
        <v>1.7701460159783848</v>
      </c>
      <c r="AE91" s="48" cm="1">
        <f t="array" ref="AE91">(SUMPRODUCT((H91:O91/H$9:O$9)^H$7:O$7*H$4:O$4)+SUMPRODUCT((Q91:T91/Q$9:T$9)^Q$7:T$7*Q$4:T$4))*AE$9</f>
        <v>1.6743755633133834</v>
      </c>
      <c r="AF91" s="47" cm="1">
        <f t="array" ref="AF91">(SUMPRODUCT((H91:O91/H$9:O$9)^H$7:O$7*H$5:O$5)+SUMPRODUCT((Q91:T91/Q$9:T$9)^Q$7:T$7*Q$5:T$5))*AF$9</f>
        <v>1.6148979933768945</v>
      </c>
      <c r="AG91" s="50" cm="1">
        <f t="array" ref="AG91">SUMPRODUCT(AC91:AF91 * AC$3:AF$3) / SUM(AC$3:AF$3)</f>
        <v>1.7111441300191927</v>
      </c>
    </row>
    <row r="92" spans="1:33" x14ac:dyDescent="0.25">
      <c r="A92" s="81" t="s">
        <v>1601</v>
      </c>
      <c r="B92" s="20" t="s">
        <v>1603</v>
      </c>
      <c r="C92" s="4" t="s">
        <v>8853</v>
      </c>
      <c r="D92" s="4" t="str">
        <f t="shared" si="1"/>
        <v>GIGABYTE</v>
      </c>
      <c r="E92" s="4" t="s">
        <v>8854</v>
      </c>
      <c r="F92" s="14" t="s">
        <v>8865</v>
      </c>
      <c r="G92" s="9">
        <v>1</v>
      </c>
      <c r="H92" s="1">
        <v>16.34</v>
      </c>
      <c r="I92" s="1">
        <v>16.34</v>
      </c>
      <c r="J92" s="1">
        <v>0.26</v>
      </c>
      <c r="K92" s="3">
        <v>1188</v>
      </c>
      <c r="L92" s="13">
        <v>1680</v>
      </c>
      <c r="M92" s="49">
        <v>112.8</v>
      </c>
      <c r="N92" s="1">
        <v>214.3</v>
      </c>
      <c r="O92" s="3">
        <v>38</v>
      </c>
      <c r="P92" s="11" t="s">
        <v>2276</v>
      </c>
      <c r="Q92" s="3">
        <v>8</v>
      </c>
      <c r="R92" s="3">
        <v>256</v>
      </c>
      <c r="S92" s="22">
        <v>19</v>
      </c>
      <c r="T92" s="9">
        <v>200</v>
      </c>
      <c r="U92" s="14" t="s">
        <v>576</v>
      </c>
      <c r="V92" s="12">
        <v>4</v>
      </c>
      <c r="W92" s="75">
        <v>16</v>
      </c>
      <c r="X92" s="76">
        <v>16</v>
      </c>
      <c r="Y92" s="9">
        <v>678.63</v>
      </c>
      <c r="Z92" s="3">
        <v>678.63</v>
      </c>
      <c r="AA92" s="17" t="s">
        <v>1602</v>
      </c>
      <c r="AB92" s="18" t="s">
        <v>1601</v>
      </c>
      <c r="AC92" s="46" cm="1">
        <f t="array" ref="AC92">(SUMPRODUCT((H92:O92/H$9:O$9)^H$7:O$7*H$2:O$2)+SUMPRODUCT((Q92:T92/Q$9:T$9)^Q$7:T$7*Q$2:T$2))*(0.8^(1-G92))*AC$9</f>
        <v>1.6324175966498871</v>
      </c>
      <c r="AD92" s="48" cm="1">
        <f t="array" ref="AD92">(SUMPRODUCT((H92:O92/H$9:O$9)^H$7:O$7*H$3:O$3)+SUMPRODUCT((Q92:T92/Q$9:T$9)^Q$7:T$7*Q$3:T$3))*(0.1^(1-G92))*AD$9</f>
        <v>1.7614906064012255</v>
      </c>
      <c r="AE92" s="48" cm="1">
        <f t="array" ref="AE92">(SUMPRODUCT((H92:O92/H$9:O$9)^H$7:O$7*H$4:O$4)+SUMPRODUCT((Q92:T92/Q$9:T$9)^Q$7:T$7*Q$4:T$4))*AE$9</f>
        <v>1.6717460754348288</v>
      </c>
      <c r="AF92" s="47" cm="1">
        <f t="array" ref="AF92">(SUMPRODUCT((H92:O92/H$9:O$9)^H$7:O$7*H$5:O$5)+SUMPRODUCT((Q92:T92/Q$9:T$9)^Q$7:T$7*Q$5:T$5))*AF$9</f>
        <v>1.6098240524074685</v>
      </c>
      <c r="AG92" s="50" cm="1">
        <f t="array" ref="AG92">SUMPRODUCT(AC92:AF92 * AC$3:AF$3) / SUM(AC$3:AF$3)</f>
        <v>1.7047290645585542</v>
      </c>
    </row>
    <row r="93" spans="1:33" x14ac:dyDescent="0.25">
      <c r="A93" s="81" t="s">
        <v>1316</v>
      </c>
      <c r="B93" s="20" t="s">
        <v>1318</v>
      </c>
      <c r="C93" s="4" t="s">
        <v>8853</v>
      </c>
      <c r="D93" s="4" t="str">
        <f t="shared" si="1"/>
        <v>INNO3D</v>
      </c>
      <c r="E93" s="4" t="s">
        <v>8854</v>
      </c>
      <c r="F93" s="14" t="s">
        <v>8865</v>
      </c>
      <c r="G93" s="9">
        <v>1</v>
      </c>
      <c r="H93" s="1">
        <v>16.34</v>
      </c>
      <c r="I93" s="1">
        <v>16.34</v>
      </c>
      <c r="J93" s="1">
        <v>0.26</v>
      </c>
      <c r="K93" s="3">
        <v>1188</v>
      </c>
      <c r="L93" s="13">
        <v>1680</v>
      </c>
      <c r="M93" s="49">
        <v>112.8</v>
      </c>
      <c r="N93" s="1">
        <v>214.3</v>
      </c>
      <c r="O93" s="3">
        <v>38</v>
      </c>
      <c r="P93" s="11" t="s">
        <v>2276</v>
      </c>
      <c r="Q93" s="3">
        <v>8</v>
      </c>
      <c r="R93" s="3">
        <v>256</v>
      </c>
      <c r="S93" s="22">
        <v>19</v>
      </c>
      <c r="T93" s="9">
        <v>200</v>
      </c>
      <c r="U93" s="14" t="s">
        <v>576</v>
      </c>
      <c r="V93" s="12">
        <v>4</v>
      </c>
      <c r="W93" s="75">
        <v>16</v>
      </c>
      <c r="X93" s="76">
        <v>16</v>
      </c>
      <c r="Y93" s="9">
        <v>929.99</v>
      </c>
      <c r="Z93" s="3">
        <v>1504.14</v>
      </c>
      <c r="AA93" s="17" t="s">
        <v>1317</v>
      </c>
      <c r="AB93" s="18" t="s">
        <v>1316</v>
      </c>
      <c r="AC93" s="46" cm="1">
        <f t="array" ref="AC93">(SUMPRODUCT((H93:O93/H$9:O$9)^H$7:O$7*H$2:O$2)+SUMPRODUCT((Q93:T93/Q$9:T$9)^Q$7:T$7*Q$2:T$2))*(0.8^(1-G93))*AC$9</f>
        <v>1.6324175966498871</v>
      </c>
      <c r="AD93" s="48" cm="1">
        <f t="array" ref="AD93">(SUMPRODUCT((H93:O93/H$9:O$9)^H$7:O$7*H$3:O$3)+SUMPRODUCT((Q93:T93/Q$9:T$9)^Q$7:T$7*Q$3:T$3))*(0.1^(1-G93))*AD$9</f>
        <v>1.7614906064012255</v>
      </c>
      <c r="AE93" s="48" cm="1">
        <f t="array" ref="AE93">(SUMPRODUCT((H93:O93/H$9:O$9)^H$7:O$7*H$4:O$4)+SUMPRODUCT((Q93:T93/Q$9:T$9)^Q$7:T$7*Q$4:T$4))*AE$9</f>
        <v>1.6717460754348288</v>
      </c>
      <c r="AF93" s="47" cm="1">
        <f t="array" ref="AF93">(SUMPRODUCT((H93:O93/H$9:O$9)^H$7:O$7*H$5:O$5)+SUMPRODUCT((Q93:T93/Q$9:T$9)^Q$7:T$7*Q$5:T$5))*AF$9</f>
        <v>1.6098240524074685</v>
      </c>
      <c r="AG93" s="50" cm="1">
        <f t="array" ref="AG93">SUMPRODUCT(AC93:AF93 * AC$3:AF$3) / SUM(AC$3:AF$3)</f>
        <v>1.7047290645585542</v>
      </c>
    </row>
    <row r="94" spans="1:33" x14ac:dyDescent="0.25">
      <c r="A94" s="81" t="s">
        <v>2228</v>
      </c>
      <c r="B94" s="20" t="s">
        <v>2230</v>
      </c>
      <c r="C94" s="4" t="s">
        <v>8853</v>
      </c>
      <c r="D94" s="4" t="str">
        <f t="shared" si="1"/>
        <v>ASUS</v>
      </c>
      <c r="E94" s="4" t="s">
        <v>8854</v>
      </c>
      <c r="F94" s="14" t="s">
        <v>8865</v>
      </c>
      <c r="G94" s="9">
        <v>1</v>
      </c>
      <c r="H94" s="1">
        <v>16.93</v>
      </c>
      <c r="I94" s="1">
        <v>16.93</v>
      </c>
      <c r="J94" s="1">
        <v>0.26</v>
      </c>
      <c r="K94" s="3">
        <v>1750</v>
      </c>
      <c r="L94" s="13">
        <v>1740</v>
      </c>
      <c r="M94" s="49">
        <v>112.8</v>
      </c>
      <c r="N94" s="1">
        <v>214.3</v>
      </c>
      <c r="O94" s="3">
        <v>38</v>
      </c>
      <c r="P94" s="11" t="s">
        <v>2275</v>
      </c>
      <c r="Q94" s="3">
        <v>8</v>
      </c>
      <c r="R94" s="3">
        <v>256</v>
      </c>
      <c r="S94" s="22">
        <v>14</v>
      </c>
      <c r="T94" s="9">
        <v>200</v>
      </c>
      <c r="U94" s="14" t="s">
        <v>446</v>
      </c>
      <c r="V94" s="12">
        <v>4</v>
      </c>
      <c r="W94" s="75">
        <v>16</v>
      </c>
      <c r="X94" s="76">
        <v>16</v>
      </c>
      <c r="Y94" s="9">
        <v>847.07</v>
      </c>
      <c r="Z94" s="3">
        <v>847.07</v>
      </c>
      <c r="AA94" s="17" t="s">
        <v>2229</v>
      </c>
      <c r="AB94" s="18" t="s">
        <v>2228</v>
      </c>
      <c r="AC94" s="46" cm="1">
        <f t="array" ref="AC94">(SUMPRODUCT((H94:O94/H$9:O$9)^H$7:O$7*H$2:O$2)+SUMPRODUCT((Q94:T94/Q$9:T$9)^Q$7:T$7*Q$2:T$2))*(0.8^(1-G94))*AC$9</f>
        <v>1.6600691267360814</v>
      </c>
      <c r="AD94" s="48" cm="1">
        <f t="array" ref="AD94">(SUMPRODUCT((H94:O94/H$9:O$9)^H$7:O$7*H$3:O$3)+SUMPRODUCT((Q94:T94/Q$9:T$9)^Q$7:T$7*Q$3:T$3))*(0.1^(1-G94))*AD$9</f>
        <v>1.7963833840584613</v>
      </c>
      <c r="AE94" s="48" cm="1">
        <f t="array" ref="AE94">(SUMPRODUCT((H94:O94/H$9:O$9)^H$7:O$7*H$4:O$4)+SUMPRODUCT((Q94:T94/Q$9:T$9)^Q$7:T$7*Q$4:T$4))*AE$9</f>
        <v>1.6691182042113577</v>
      </c>
      <c r="AF94" s="47" cm="1">
        <f t="array" ref="AF94">(SUMPRODUCT((H94:O94/H$9:O$9)^H$7:O$7*H$5:O$5)+SUMPRODUCT((Q94:T94/Q$9:T$9)^Q$7:T$7*Q$5:T$5))*AF$9</f>
        <v>1.6315643822674941</v>
      </c>
      <c r="AG94" s="50" cm="1">
        <f t="array" ref="AG94">SUMPRODUCT(AC94:AF94 * AC$3:AF$3) / SUM(AC$3:AF$3)</f>
        <v>1.7320539320010031</v>
      </c>
    </row>
    <row r="95" spans="1:33" x14ac:dyDescent="0.25">
      <c r="A95" s="81" t="s">
        <v>1850</v>
      </c>
      <c r="B95" s="20" t="s">
        <v>1852</v>
      </c>
      <c r="C95" s="4" t="s">
        <v>8853</v>
      </c>
      <c r="D95" s="4" t="str">
        <f t="shared" si="1"/>
        <v>ASUS</v>
      </c>
      <c r="E95" s="4" t="s">
        <v>8854</v>
      </c>
      <c r="F95" s="14" t="s">
        <v>8865</v>
      </c>
      <c r="G95" s="9">
        <v>1</v>
      </c>
      <c r="H95" s="1">
        <v>17.36</v>
      </c>
      <c r="I95" s="1">
        <v>17.36</v>
      </c>
      <c r="J95" s="1">
        <v>0.27</v>
      </c>
      <c r="K95" s="3">
        <v>1750</v>
      </c>
      <c r="L95" s="13">
        <v>1785</v>
      </c>
      <c r="M95" s="49">
        <v>112.8</v>
      </c>
      <c r="N95" s="1">
        <v>214.3</v>
      </c>
      <c r="O95" s="3">
        <v>38</v>
      </c>
      <c r="P95" s="11" t="s">
        <v>2275</v>
      </c>
      <c r="Q95" s="3">
        <v>8</v>
      </c>
      <c r="R95" s="3">
        <v>256</v>
      </c>
      <c r="S95" s="22">
        <v>14</v>
      </c>
      <c r="T95" s="9">
        <v>200</v>
      </c>
      <c r="U95" s="14" t="s">
        <v>446</v>
      </c>
      <c r="V95" s="12">
        <v>4</v>
      </c>
      <c r="W95" s="75">
        <v>16</v>
      </c>
      <c r="X95" s="76">
        <v>16</v>
      </c>
      <c r="Y95" s="9">
        <v>1200.33</v>
      </c>
      <c r="Z95" s="3">
        <v>1239.99</v>
      </c>
      <c r="AA95" s="17" t="s">
        <v>1851</v>
      </c>
      <c r="AB95" s="18" t="s">
        <v>1850</v>
      </c>
      <c r="AC95" s="46" cm="1">
        <f t="array" ref="AC95">(SUMPRODUCT((H95:O95/H$9:O$9)^H$7:O$7*H$2:O$2)+SUMPRODUCT((Q95:T95/Q$9:T$9)^Q$7:T$7*Q$2:T$2))*(0.8^(1-G95))*AC$9</f>
        <v>1.6683524608772706</v>
      </c>
      <c r="AD95" s="48" cm="1">
        <f t="array" ref="AD95">(SUMPRODUCT((H95:O95/H$9:O$9)^H$7:O$7*H$3:O$3)+SUMPRODUCT((Q95:T95/Q$9:T$9)^Q$7:T$7*Q$3:T$3))*(0.1^(1-G95))*AD$9</f>
        <v>1.8241597902291853</v>
      </c>
      <c r="AE95" s="48" cm="1">
        <f t="array" ref="AE95">(SUMPRODUCT((H95:O95/H$9:O$9)^H$7:O$7*H$4:O$4)+SUMPRODUCT((Q95:T95/Q$9:T$9)^Q$7:T$7*Q$4:T$4))*AE$9</f>
        <v>1.6979735096233348</v>
      </c>
      <c r="AF95" s="47" cm="1">
        <f t="array" ref="AF95">(SUMPRODUCT((H95:O95/H$9:O$9)^H$7:O$7*H$5:O$5)+SUMPRODUCT((Q95:T95/Q$9:T$9)^Q$7:T$7*Q$5:T$5))*AF$9</f>
        <v>1.6461444355535035</v>
      </c>
      <c r="AG95" s="50" cm="1">
        <f t="array" ref="AG95">SUMPRODUCT(AC95:AF95 * AC$3:AF$3) / SUM(AC$3:AF$3)</f>
        <v>1.7545019783794915</v>
      </c>
    </row>
    <row r="96" spans="1:33" x14ac:dyDescent="0.25">
      <c r="A96" s="81" t="s">
        <v>1695</v>
      </c>
      <c r="B96" s="20" t="s">
        <v>1697</v>
      </c>
      <c r="C96" s="4" t="s">
        <v>8853</v>
      </c>
      <c r="D96" s="4" t="str">
        <f t="shared" si="1"/>
        <v>GIGABYTE</v>
      </c>
      <c r="E96" s="4" t="s">
        <v>8854</v>
      </c>
      <c r="F96" s="14" t="s">
        <v>8865</v>
      </c>
      <c r="G96" s="9">
        <v>1</v>
      </c>
      <c r="H96" s="1">
        <v>17.36</v>
      </c>
      <c r="I96" s="1">
        <v>17.36</v>
      </c>
      <c r="J96" s="1">
        <v>0.27</v>
      </c>
      <c r="K96" s="3">
        <v>1750</v>
      </c>
      <c r="L96" s="13">
        <v>1785</v>
      </c>
      <c r="M96" s="49">
        <v>112.8</v>
      </c>
      <c r="N96" s="1">
        <v>214.3</v>
      </c>
      <c r="O96" s="3">
        <v>38</v>
      </c>
      <c r="P96" s="11" t="s">
        <v>2275</v>
      </c>
      <c r="Q96" s="3">
        <v>8</v>
      </c>
      <c r="R96" s="3">
        <v>256</v>
      </c>
      <c r="S96" s="22">
        <v>14</v>
      </c>
      <c r="T96" s="9">
        <v>200</v>
      </c>
      <c r="U96" s="14" t="s">
        <v>793</v>
      </c>
      <c r="V96" s="12">
        <v>4</v>
      </c>
      <c r="W96" s="75">
        <v>16</v>
      </c>
      <c r="X96" s="76">
        <v>16</v>
      </c>
      <c r="Y96" s="9">
        <v>571.08000000000004</v>
      </c>
      <c r="Z96" s="3">
        <v>920.84</v>
      </c>
      <c r="AA96" s="17" t="s">
        <v>1696</v>
      </c>
      <c r="AB96" s="18" t="s">
        <v>1695</v>
      </c>
      <c r="AC96" s="46" cm="1">
        <f t="array" ref="AC96">(SUMPRODUCT((H96:O96/H$9:O$9)^H$7:O$7*H$2:O$2)+SUMPRODUCT((Q96:T96/Q$9:T$9)^Q$7:T$7*Q$2:T$2))*(0.8^(1-G96))*AC$9</f>
        <v>1.6683524608772706</v>
      </c>
      <c r="AD96" s="48" cm="1">
        <f t="array" ref="AD96">(SUMPRODUCT((H96:O96/H$9:O$9)^H$7:O$7*H$3:O$3)+SUMPRODUCT((Q96:T96/Q$9:T$9)^Q$7:T$7*Q$3:T$3))*(0.1^(1-G96))*AD$9</f>
        <v>1.8241597902291853</v>
      </c>
      <c r="AE96" s="48" cm="1">
        <f t="array" ref="AE96">(SUMPRODUCT((H96:O96/H$9:O$9)^H$7:O$7*H$4:O$4)+SUMPRODUCT((Q96:T96/Q$9:T$9)^Q$7:T$7*Q$4:T$4))*AE$9</f>
        <v>1.6979735096233348</v>
      </c>
      <c r="AF96" s="47" cm="1">
        <f t="array" ref="AF96">(SUMPRODUCT((H96:O96/H$9:O$9)^H$7:O$7*H$5:O$5)+SUMPRODUCT((Q96:T96/Q$9:T$9)^Q$7:T$7*Q$5:T$5))*AF$9</f>
        <v>1.6461444355535035</v>
      </c>
      <c r="AG96" s="50" cm="1">
        <f t="array" ref="AG96">SUMPRODUCT(AC96:AF96 * AC$3:AF$3) / SUM(AC$3:AF$3)</f>
        <v>1.7545019783794915</v>
      </c>
    </row>
    <row r="97" spans="1:33" x14ac:dyDescent="0.25">
      <c r="A97" s="81" t="s">
        <v>1604</v>
      </c>
      <c r="B97" s="20" t="s">
        <v>1606</v>
      </c>
      <c r="C97" s="4" t="s">
        <v>8853</v>
      </c>
      <c r="D97" s="4" t="str">
        <f t="shared" si="1"/>
        <v>GIGABYTE</v>
      </c>
      <c r="E97" s="4" t="s">
        <v>8854</v>
      </c>
      <c r="F97" s="14" t="s">
        <v>8865</v>
      </c>
      <c r="G97" s="9">
        <v>1</v>
      </c>
      <c r="H97" s="1">
        <v>16.489999999999998</v>
      </c>
      <c r="I97" s="1">
        <v>16.489999999999998</v>
      </c>
      <c r="J97" s="1">
        <v>0.26</v>
      </c>
      <c r="K97" s="3">
        <v>1750</v>
      </c>
      <c r="L97" s="13">
        <v>1695</v>
      </c>
      <c r="M97" s="49">
        <v>112.8</v>
      </c>
      <c r="N97" s="1">
        <v>214.3</v>
      </c>
      <c r="O97" s="3">
        <v>38</v>
      </c>
      <c r="P97" s="11" t="s">
        <v>2275</v>
      </c>
      <c r="Q97" s="3">
        <v>8</v>
      </c>
      <c r="R97" s="3">
        <v>256</v>
      </c>
      <c r="S97" s="22">
        <v>14</v>
      </c>
      <c r="T97" s="9">
        <v>200</v>
      </c>
      <c r="U97" s="14" t="s">
        <v>446</v>
      </c>
      <c r="V97" s="12">
        <v>4</v>
      </c>
      <c r="W97" s="75">
        <v>16</v>
      </c>
      <c r="X97" s="76">
        <v>16</v>
      </c>
      <c r="Y97" s="9">
        <v>495.64</v>
      </c>
      <c r="Z97" s="3">
        <v>595.4</v>
      </c>
      <c r="AA97" s="17" t="s">
        <v>1605</v>
      </c>
      <c r="AB97" s="18" t="s">
        <v>1604</v>
      </c>
      <c r="AC97" s="46" cm="1">
        <f t="array" ref="AC97">(SUMPRODUCT((H97:O97/H$9:O$9)^H$7:O$7*H$2:O$2)+SUMPRODUCT((Q97:T97/Q$9:T$9)^Q$7:T$7*Q$2:T$2))*(0.8^(1-G97))*AC$9</f>
        <v>1.6517060515585584</v>
      </c>
      <c r="AD97" s="48" cm="1">
        <f t="array" ref="AD97">(SUMPRODUCT((H97:O97/H$9:O$9)^H$7:O$7*H$3:O$3)+SUMPRODUCT((Q97:T97/Q$9:T$9)^Q$7:T$7*Q$3:T$3))*(0.1^(1-G97))*AD$9</f>
        <v>1.7710259013589074</v>
      </c>
      <c r="AE97" s="48" cm="1">
        <f t="array" ref="AE97">(SUMPRODUCT((H97:O97/H$9:O$9)^H$7:O$7*H$4:O$4)+SUMPRODUCT((Q97:T97/Q$9:T$9)^Q$7:T$7*Q$4:T$4))*AE$9</f>
        <v>1.6614187445449717</v>
      </c>
      <c r="AF97" s="47" cm="1">
        <f t="array" ref="AF97">(SUMPRODUCT((H97:O97/H$9:O$9)^H$7:O$7*H$5:O$5)+SUMPRODUCT((Q97:T97/Q$9:T$9)^Q$7:T$7*Q$5:T$5))*AF$9</f>
        <v>1.6166577641379396</v>
      </c>
      <c r="AG97" s="50" cm="1">
        <f t="array" ref="AG97">SUMPRODUCT(AC97:AF97 * AC$3:AF$3) / SUM(AC$3:AF$3)</f>
        <v>1.7132326638760282</v>
      </c>
    </row>
    <row r="98" spans="1:33" x14ac:dyDescent="0.25">
      <c r="A98" s="81" t="s">
        <v>1598</v>
      </c>
      <c r="B98" s="20" t="s">
        <v>1600</v>
      </c>
      <c r="C98" s="4" t="s">
        <v>8853</v>
      </c>
      <c r="D98" s="4" t="str">
        <f t="shared" si="1"/>
        <v>GIGABYTE</v>
      </c>
      <c r="E98" s="4" t="s">
        <v>8854</v>
      </c>
      <c r="F98" s="14" t="s">
        <v>8865</v>
      </c>
      <c r="G98" s="9">
        <v>1</v>
      </c>
      <c r="H98" s="1">
        <v>16.93</v>
      </c>
      <c r="I98" s="1">
        <v>16.93</v>
      </c>
      <c r="J98" s="1">
        <v>0.26</v>
      </c>
      <c r="K98" s="3">
        <v>1750</v>
      </c>
      <c r="L98" s="13">
        <v>1740</v>
      </c>
      <c r="M98" s="49">
        <v>112.8</v>
      </c>
      <c r="N98" s="1">
        <v>214.3</v>
      </c>
      <c r="O98" s="3">
        <v>38</v>
      </c>
      <c r="P98" s="11" t="s">
        <v>2275</v>
      </c>
      <c r="Q98" s="3">
        <v>8</v>
      </c>
      <c r="R98" s="3">
        <v>256</v>
      </c>
      <c r="S98" s="22">
        <v>14</v>
      </c>
      <c r="T98" s="9">
        <v>200</v>
      </c>
      <c r="U98" s="14" t="s">
        <v>446</v>
      </c>
      <c r="V98" s="12">
        <v>4</v>
      </c>
      <c r="W98" s="75">
        <v>16</v>
      </c>
      <c r="X98" s="76">
        <v>16</v>
      </c>
      <c r="Y98" s="9">
        <v>987.18</v>
      </c>
      <c r="Z98" s="3">
        <v>987.18</v>
      </c>
      <c r="AA98" s="17" t="s">
        <v>1599</v>
      </c>
      <c r="AB98" s="18" t="s">
        <v>1598</v>
      </c>
      <c r="AC98" s="46" cm="1">
        <f t="array" ref="AC98">(SUMPRODUCT((H98:O98/H$9:O$9)^H$7:O$7*H$2:O$2)+SUMPRODUCT((Q98:T98/Q$9:T$9)^Q$7:T$7*Q$2:T$2))*(0.8^(1-G98))*AC$9</f>
        <v>1.6600691267360814</v>
      </c>
      <c r="AD98" s="48" cm="1">
        <f t="array" ref="AD98">(SUMPRODUCT((H98:O98/H$9:O$9)^H$7:O$7*H$3:O$3)+SUMPRODUCT((Q98:T98/Q$9:T$9)^Q$7:T$7*Q$3:T$3))*(0.1^(1-G98))*AD$9</f>
        <v>1.7963833840584613</v>
      </c>
      <c r="AE98" s="48" cm="1">
        <f t="array" ref="AE98">(SUMPRODUCT((H98:O98/H$9:O$9)^H$7:O$7*H$4:O$4)+SUMPRODUCT((Q98:T98/Q$9:T$9)^Q$7:T$7*Q$4:T$4))*AE$9</f>
        <v>1.6691182042113577</v>
      </c>
      <c r="AF98" s="47" cm="1">
        <f t="array" ref="AF98">(SUMPRODUCT((H98:O98/H$9:O$9)^H$7:O$7*H$5:O$5)+SUMPRODUCT((Q98:T98/Q$9:T$9)^Q$7:T$7*Q$5:T$5))*AF$9</f>
        <v>1.6315643822674941</v>
      </c>
      <c r="AG98" s="50" cm="1">
        <f t="array" ref="AG98">SUMPRODUCT(AC98:AF98 * AC$3:AF$3) / SUM(AC$3:AF$3)</f>
        <v>1.7320539320010031</v>
      </c>
    </row>
    <row r="99" spans="1:33" x14ac:dyDescent="0.25">
      <c r="A99" s="81" t="s">
        <v>1595</v>
      </c>
      <c r="B99" s="20" t="s">
        <v>1597</v>
      </c>
      <c r="C99" s="4" t="s">
        <v>8853</v>
      </c>
      <c r="D99" s="4" t="str">
        <f t="shared" si="1"/>
        <v>GIGABYTE</v>
      </c>
      <c r="E99" s="4" t="s">
        <v>8854</v>
      </c>
      <c r="F99" s="14" t="s">
        <v>8865</v>
      </c>
      <c r="G99" s="9">
        <v>1</v>
      </c>
      <c r="H99" s="1">
        <v>17.22</v>
      </c>
      <c r="I99" s="1">
        <v>17.22</v>
      </c>
      <c r="J99" s="1">
        <v>0.27</v>
      </c>
      <c r="K99" s="3">
        <v>1750</v>
      </c>
      <c r="L99" s="13">
        <v>1770</v>
      </c>
      <c r="M99" s="49">
        <v>112.8</v>
      </c>
      <c r="N99" s="1">
        <v>214.3</v>
      </c>
      <c r="O99" s="3">
        <v>38</v>
      </c>
      <c r="P99" s="11" t="s">
        <v>2275</v>
      </c>
      <c r="Q99" s="3">
        <v>8</v>
      </c>
      <c r="R99" s="3">
        <v>256</v>
      </c>
      <c r="S99" s="22">
        <v>14</v>
      </c>
      <c r="T99" s="9">
        <v>200</v>
      </c>
      <c r="U99" s="14" t="s">
        <v>793</v>
      </c>
      <c r="V99" s="12">
        <v>4</v>
      </c>
      <c r="W99" s="75">
        <v>16</v>
      </c>
      <c r="X99" s="76">
        <v>16</v>
      </c>
      <c r="Y99" s="9">
        <v>959.99</v>
      </c>
      <c r="Z99" s="3">
        <v>1434.61</v>
      </c>
      <c r="AA99" s="17" t="s">
        <v>1596</v>
      </c>
      <c r="AB99" s="18" t="s">
        <v>1595</v>
      </c>
      <c r="AC99" s="46" cm="1">
        <f t="array" ref="AC99">(SUMPRODUCT((H99:O99/H$9:O$9)^H$7:O$7*H$2:O$2)+SUMPRODUCT((Q99:T99/Q$9:T$9)^Q$7:T$7*Q$2:T$2))*(0.8^(1-G99))*AC$9</f>
        <v>1.6656130681082495</v>
      </c>
      <c r="AD99" s="48" cm="1">
        <f t="array" ref="AD99">(SUMPRODUCT((H99:O99/H$9:O$9)^H$7:O$7*H$3:O$3)+SUMPRODUCT((Q99:T99/Q$9:T$9)^Q$7:T$7*Q$3:T$3))*(0.1^(1-G99))*AD$9</f>
        <v>1.8161090469615566</v>
      </c>
      <c r="AE99" s="48" cm="1">
        <f t="array" ref="AE99">(SUMPRODUCT((H99:O99/H$9:O$9)^H$7:O$7*H$4:O$4)+SUMPRODUCT((Q99:T99/Q$9:T$9)^Q$7:T$7*Q$4:T$4))*AE$9</f>
        <v>1.6955320333762187</v>
      </c>
      <c r="AF99" s="47" cm="1">
        <f t="array" ref="AF99">(SUMPRODUCT((H99:O99/H$9:O$9)^H$7:O$7*H$5:O$5)+SUMPRODUCT((Q99:T99/Q$9:T$9)^Q$7:T$7*Q$5:T$5))*AF$9</f>
        <v>1.6413838522603315</v>
      </c>
      <c r="AG99" s="50" cm="1">
        <f t="array" ref="AG99">SUMPRODUCT(AC99:AF99 * AC$3:AF$3) / SUM(AC$3:AF$3)</f>
        <v>1.7485080720818749</v>
      </c>
    </row>
    <row r="100" spans="1:33" x14ac:dyDescent="0.25">
      <c r="A100" s="81" t="s">
        <v>1592</v>
      </c>
      <c r="B100" s="20" t="s">
        <v>1594</v>
      </c>
      <c r="C100" s="4" t="s">
        <v>8853</v>
      </c>
      <c r="D100" s="4" t="str">
        <f t="shared" si="1"/>
        <v>GIGABYTE</v>
      </c>
      <c r="E100" s="4" t="s">
        <v>8854</v>
      </c>
      <c r="F100" s="14" t="s">
        <v>8865</v>
      </c>
      <c r="G100" s="9">
        <v>1</v>
      </c>
      <c r="H100" s="1">
        <v>17.07</v>
      </c>
      <c r="I100" s="1">
        <v>17.07</v>
      </c>
      <c r="J100" s="1">
        <v>0.27</v>
      </c>
      <c r="K100" s="3">
        <v>1750</v>
      </c>
      <c r="L100" s="13">
        <v>1755</v>
      </c>
      <c r="M100" s="49">
        <v>112.8</v>
      </c>
      <c r="N100" s="1">
        <v>214.3</v>
      </c>
      <c r="O100" s="3">
        <v>38</v>
      </c>
      <c r="P100" s="11" t="s">
        <v>2275</v>
      </c>
      <c r="Q100" s="3">
        <v>8</v>
      </c>
      <c r="R100" s="3">
        <v>256</v>
      </c>
      <c r="S100" s="22">
        <v>14</v>
      </c>
      <c r="T100" s="9">
        <v>200</v>
      </c>
      <c r="U100" s="14" t="s">
        <v>793</v>
      </c>
      <c r="V100" s="12">
        <v>4</v>
      </c>
      <c r="W100" s="75">
        <v>16</v>
      </c>
      <c r="X100" s="76">
        <v>16</v>
      </c>
      <c r="Y100" s="9">
        <v>714</v>
      </c>
      <c r="Z100" s="3">
        <v>1089.8</v>
      </c>
      <c r="AA100" s="17" t="s">
        <v>1593</v>
      </c>
      <c r="AB100" s="18" t="s">
        <v>1592</v>
      </c>
      <c r="AC100" s="46" cm="1">
        <f t="array" ref="AC100">(SUMPRODUCT((H100:O100/H$9:O$9)^H$7:O$7*H$2:O$2)+SUMPRODUCT((Q100:T100/Q$9:T$9)^Q$7:T$7*Q$2:T$2))*(0.8^(1-G100))*AC$9</f>
        <v>1.6628131777140325</v>
      </c>
      <c r="AD100" s="48" cm="1">
        <f t="array" ref="AD100">(SUMPRODUCT((H100:O100/H$9:O$9)^H$7:O$7*H$3:O$3)+SUMPRODUCT((Q100:T100/Q$9:T$9)^Q$7:T$7*Q$3:T$3))*(0.1^(1-G100))*AD$9</f>
        <v>1.8075015199617566</v>
      </c>
      <c r="AE100" s="48" cm="1">
        <f t="array" ref="AE100">(SUMPRODUCT((H100:O100/H$9:O$9)^H$7:O$7*H$4:O$4)+SUMPRODUCT((Q100:T100/Q$9:T$9)^Q$7:T$7*Q$4:T$4))*AE$9</f>
        <v>1.6929139619002718</v>
      </c>
      <c r="AF100" s="47" cm="1">
        <f t="array" ref="AF100">(SUMPRODUCT((H100:O100/H$9:O$9)^H$7:O$7*H$5:O$5)+SUMPRODUCT((Q100:T100/Q$9:T$9)^Q$7:T$7*Q$5:T$5))*AF$9</f>
        <v>1.6363336561562709</v>
      </c>
      <c r="AG100" s="50" cm="1">
        <f t="array" ref="AG100">SUMPRODUCT(AC100:AF100 * AC$3:AF$3) / SUM(AC$3:AF$3)</f>
        <v>1.742126868057168</v>
      </c>
    </row>
    <row r="101" spans="1:33" x14ac:dyDescent="0.25">
      <c r="A101" s="81" t="s">
        <v>1589</v>
      </c>
      <c r="B101" s="20" t="s">
        <v>1591</v>
      </c>
      <c r="C101" s="4" t="s">
        <v>8853</v>
      </c>
      <c r="D101" s="4" t="str">
        <f t="shared" si="1"/>
        <v>GIGABYTE</v>
      </c>
      <c r="E101" s="4" t="s">
        <v>8854</v>
      </c>
      <c r="F101" s="14" t="s">
        <v>8865</v>
      </c>
      <c r="G101" s="9">
        <v>1</v>
      </c>
      <c r="H101" s="1">
        <v>16.34</v>
      </c>
      <c r="I101" s="1">
        <v>16.34</v>
      </c>
      <c r="J101" s="1">
        <v>0.26</v>
      </c>
      <c r="K101" s="3">
        <v>1750</v>
      </c>
      <c r="L101" s="13">
        <v>1680</v>
      </c>
      <c r="M101" s="49">
        <v>112.8</v>
      </c>
      <c r="N101" s="1">
        <v>214.3</v>
      </c>
      <c r="O101" s="3">
        <v>38</v>
      </c>
      <c r="P101" s="11" t="s">
        <v>2275</v>
      </c>
      <c r="Q101" s="3">
        <v>8</v>
      </c>
      <c r="R101" s="3">
        <v>256</v>
      </c>
      <c r="S101" s="22">
        <v>14</v>
      </c>
      <c r="T101" s="9">
        <v>200</v>
      </c>
      <c r="U101" s="14" t="s">
        <v>446</v>
      </c>
      <c r="V101" s="12">
        <v>4</v>
      </c>
      <c r="W101" s="75">
        <v>16</v>
      </c>
      <c r="X101" s="76">
        <v>16</v>
      </c>
      <c r="Y101" s="9">
        <v>639.98</v>
      </c>
      <c r="Z101" s="3">
        <v>947.53</v>
      </c>
      <c r="AA101" s="17" t="s">
        <v>1590</v>
      </c>
      <c r="AB101" s="18" t="s">
        <v>1589</v>
      </c>
      <c r="AC101" s="46" cm="1">
        <f t="array" ref="AC101">(SUMPRODUCT((H101:O101/H$9:O$9)^H$7:O$7*H$2:O$2)+SUMPRODUCT((Q101:T101/Q$9:T$9)^Q$7:T$7*Q$2:T$2))*(0.8^(1-G101))*AC$9</f>
        <v>1.6488939569403886</v>
      </c>
      <c r="AD101" s="48" cm="1">
        <f t="array" ref="AD101">(SUMPRODUCT((H101:O101/H$9:O$9)^H$7:O$7*H$3:O$3)+SUMPRODUCT((Q101:T101/Q$9:T$9)^Q$7:T$7*Q$3:T$3))*(0.1^(1-G101))*AD$9</f>
        <v>1.762370491781748</v>
      </c>
      <c r="AE101" s="48" cm="1">
        <f t="array" ref="AE101">(SUMPRODUCT((H101:O101/H$9:O$9)^H$7:O$7*H$4:O$4)+SUMPRODUCT((Q101:T101/Q$9:T$9)^Q$7:T$7*Q$4:T$4))*AE$9</f>
        <v>1.6587892566664175</v>
      </c>
      <c r="AF101" s="47" cm="1">
        <f t="array" ref="AF101">(SUMPRODUCT((H101:O101/H$9:O$9)^H$7:O$7*H$5:O$5)+SUMPRODUCT((Q101:T101/Q$9:T$9)^Q$7:T$7*Q$5:T$5))*AF$9</f>
        <v>1.6115838231685136</v>
      </c>
      <c r="AG101" s="50" cm="1">
        <f t="array" ref="AG101">SUMPRODUCT(AC101:AF101 * AC$3:AF$3) / SUM(AC$3:AF$3)</f>
        <v>1.7068175984153902</v>
      </c>
    </row>
    <row r="102" spans="1:33" x14ac:dyDescent="0.25">
      <c r="A102" s="81" t="s">
        <v>1313</v>
      </c>
      <c r="B102" s="20" t="s">
        <v>1315</v>
      </c>
      <c r="C102" s="4" t="s">
        <v>8853</v>
      </c>
      <c r="D102" s="4" t="str">
        <f t="shared" si="1"/>
        <v>INNO3D</v>
      </c>
      <c r="E102" s="4" t="s">
        <v>8854</v>
      </c>
      <c r="F102" s="14" t="s">
        <v>8865</v>
      </c>
      <c r="G102" s="9">
        <v>1</v>
      </c>
      <c r="H102" s="1">
        <v>16.2</v>
      </c>
      <c r="I102" s="1">
        <v>16.2</v>
      </c>
      <c r="J102" s="1">
        <v>0.25</v>
      </c>
      <c r="K102" s="3">
        <v>1750</v>
      </c>
      <c r="L102" s="13">
        <v>1665</v>
      </c>
      <c r="M102" s="49">
        <v>112.8</v>
      </c>
      <c r="N102" s="1">
        <v>214.3</v>
      </c>
      <c r="O102" s="3">
        <v>38</v>
      </c>
      <c r="P102" s="11" t="s">
        <v>2275</v>
      </c>
      <c r="Q102" s="3">
        <v>8</v>
      </c>
      <c r="R102" s="3">
        <v>256</v>
      </c>
      <c r="S102" s="22">
        <v>14</v>
      </c>
      <c r="T102" s="9">
        <v>200</v>
      </c>
      <c r="U102" s="14" t="s">
        <v>446</v>
      </c>
      <c r="V102" s="12">
        <v>4</v>
      </c>
      <c r="W102" s="75">
        <v>16</v>
      </c>
      <c r="X102" s="76">
        <v>16</v>
      </c>
      <c r="Y102" s="9">
        <v>430.15</v>
      </c>
      <c r="Z102" s="3">
        <v>434.63</v>
      </c>
      <c r="AA102" s="17" t="s">
        <v>1314</v>
      </c>
      <c r="AB102" s="18" t="s">
        <v>1313</v>
      </c>
      <c r="AC102" s="46" cm="1">
        <f t="array" ref="AC102">(SUMPRODUCT((H102:O102/H$9:O$9)^H$7:O$7*H$2:O$2)+SUMPRODUCT((Q102:T102/Q$9:T$9)^Q$7:T$7*Q$2:T$2))*(0.8^(1-G102))*AC$9</f>
        <v>1.6461378402537001</v>
      </c>
      <c r="AD102" s="48" cm="1">
        <f t="array" ref="AD102">(SUMPRODUCT((H102:O102/H$9:O$9)^H$7:O$7*H$3:O$3)+SUMPRODUCT((Q102:T102/Q$9:T$9)^Q$7:T$7*Q$3:T$3))*(0.1^(1-G102))*AD$9</f>
        <v>1.7511835522567616</v>
      </c>
      <c r="AE102" s="48" cm="1">
        <f t="array" ref="AE102">(SUMPRODUCT((H102:O102/H$9:O$9)^H$7:O$7*H$4:O$4)+SUMPRODUCT((Q102:T102/Q$9:T$9)^Q$7:T$7*Q$4:T$4))*AE$9</f>
        <v>1.6348178313277897</v>
      </c>
      <c r="AF102" s="47" cm="1">
        <f t="array" ref="AF102">(SUMPRODUCT((H102:O102/H$9:O$9)^H$7:O$7*H$5:O$5)+SUMPRODUCT((Q102:T102/Q$9:T$9)^Q$7:T$7*Q$5:T$5))*AF$9</f>
        <v>1.6067919463317581</v>
      </c>
      <c r="AG102" s="50" cm="1">
        <f t="array" ref="AG102">SUMPRODUCT(AC102:AF102 * AC$3:AF$3) / SUM(AC$3:AF$3)</f>
        <v>1.6966811413877541</v>
      </c>
    </row>
    <row r="103" spans="1:33" x14ac:dyDescent="0.25">
      <c r="A103" s="81" t="s">
        <v>1128</v>
      </c>
      <c r="B103" s="20" t="s">
        <v>1130</v>
      </c>
      <c r="C103" s="4" t="s">
        <v>8853</v>
      </c>
      <c r="D103" s="4" t="str">
        <f t="shared" si="1"/>
        <v>MSI</v>
      </c>
      <c r="E103" s="4" t="s">
        <v>8854</v>
      </c>
      <c r="F103" s="14" t="s">
        <v>8865</v>
      </c>
      <c r="G103" s="9">
        <v>1</v>
      </c>
      <c r="H103" s="1">
        <v>17.22</v>
      </c>
      <c r="I103" s="1">
        <v>17.22</v>
      </c>
      <c r="J103" s="1">
        <v>0.27</v>
      </c>
      <c r="K103" s="3">
        <v>1750</v>
      </c>
      <c r="L103" s="13">
        <v>1770</v>
      </c>
      <c r="M103" s="49">
        <v>112.8</v>
      </c>
      <c r="N103" s="1">
        <v>214.3</v>
      </c>
      <c r="O103" s="3">
        <v>38</v>
      </c>
      <c r="P103" s="11" t="s">
        <v>2275</v>
      </c>
      <c r="Q103" s="3">
        <v>8</v>
      </c>
      <c r="R103" s="3">
        <v>256</v>
      </c>
      <c r="S103" s="22">
        <v>14</v>
      </c>
      <c r="T103" s="9">
        <v>220</v>
      </c>
      <c r="U103" s="14" t="s">
        <v>793</v>
      </c>
      <c r="V103" s="12">
        <v>4</v>
      </c>
      <c r="W103" s="75">
        <v>16</v>
      </c>
      <c r="X103" s="76">
        <v>16</v>
      </c>
      <c r="Y103" s="9">
        <v>665.28</v>
      </c>
      <c r="Z103" s="3">
        <v>1047.0999999999999</v>
      </c>
      <c r="AA103" s="17" t="s">
        <v>1129</v>
      </c>
      <c r="AB103" s="18" t="s">
        <v>1128</v>
      </c>
      <c r="AC103" s="46" cm="1">
        <f t="array" ref="AC103">(SUMPRODUCT((H103:O103/H$9:O$9)^H$7:O$7*H$2:O$2)+SUMPRODUCT((Q103:T103/Q$9:T$9)^Q$7:T$7*Q$2:T$2))*(0.8^(1-G103))*AC$9</f>
        <v>1.6642364729336399</v>
      </c>
      <c r="AD103" s="48" cm="1">
        <f t="array" ref="AD103">(SUMPRODUCT((H103:O103/H$9:O$9)^H$7:O$7*H$3:O$3)+SUMPRODUCT((Q103:T103/Q$9:T$9)^Q$7:T$7*Q$3:T$3))*(0.1^(1-G103))*AD$9</f>
        <v>1.8147324517869468</v>
      </c>
      <c r="AE103" s="48" cm="1">
        <f t="array" ref="AE103">(SUMPRODUCT((H103:O103/H$9:O$9)^H$7:O$7*H$4:O$4)+SUMPRODUCT((Q103:T103/Q$9:T$9)^Q$7:T$7*Q$4:T$4))*AE$9</f>
        <v>1.6955320333762187</v>
      </c>
      <c r="AF103" s="47" cm="1">
        <f t="array" ref="AF103">(SUMPRODUCT((H103:O103/H$9:O$9)^H$7:O$7*H$5:O$5)+SUMPRODUCT((Q103:T103/Q$9:T$9)^Q$7:T$7*Q$5:T$5))*AF$9</f>
        <v>1.6400072570857218</v>
      </c>
      <c r="AG103" s="50" cm="1">
        <f t="array" ref="AG103">SUMPRODUCT(AC103:AF103 * AC$3:AF$3) / SUM(AC$3:AF$3)</f>
        <v>1.7472844319266663</v>
      </c>
    </row>
    <row r="104" spans="1:33" x14ac:dyDescent="0.25">
      <c r="A104" s="81" t="s">
        <v>1125</v>
      </c>
      <c r="B104" s="20" t="s">
        <v>1127</v>
      </c>
      <c r="C104" s="4" t="s">
        <v>8853</v>
      </c>
      <c r="D104" s="4" t="str">
        <f t="shared" si="1"/>
        <v>MSI</v>
      </c>
      <c r="E104" s="4" t="s">
        <v>8854</v>
      </c>
      <c r="F104" s="14" t="s">
        <v>8865</v>
      </c>
      <c r="G104" s="9">
        <v>1</v>
      </c>
      <c r="H104" s="1">
        <v>17.95</v>
      </c>
      <c r="I104" s="1">
        <v>17.95</v>
      </c>
      <c r="J104" s="1">
        <v>0.28000000000000003</v>
      </c>
      <c r="K104" s="3">
        <v>1750</v>
      </c>
      <c r="L104" s="13">
        <v>1845</v>
      </c>
      <c r="M104" s="49">
        <v>112.8</v>
      </c>
      <c r="N104" s="1">
        <v>214.3</v>
      </c>
      <c r="O104" s="3">
        <v>38</v>
      </c>
      <c r="P104" s="11" t="s">
        <v>2275</v>
      </c>
      <c r="Q104" s="3">
        <v>8</v>
      </c>
      <c r="R104" s="3">
        <v>256</v>
      </c>
      <c r="S104" s="22">
        <v>14</v>
      </c>
      <c r="T104" s="9">
        <v>240</v>
      </c>
      <c r="U104" s="14" t="s">
        <v>576</v>
      </c>
      <c r="V104" s="12">
        <v>4</v>
      </c>
      <c r="W104" s="75">
        <v>16</v>
      </c>
      <c r="X104" s="76">
        <v>16</v>
      </c>
      <c r="Y104" s="9">
        <v>660.43</v>
      </c>
      <c r="Z104" s="3">
        <v>660.43</v>
      </c>
      <c r="AA104" s="17" t="s">
        <v>1126</v>
      </c>
      <c r="AB104" s="18" t="s">
        <v>1125</v>
      </c>
      <c r="AC104" s="46" cm="1">
        <f t="array" ref="AC104">(SUMPRODUCT((H104:O104/H$9:O$9)^H$7:O$7*H$2:O$2)+SUMPRODUCT((Q104:T104/Q$9:T$9)^Q$7:T$7*Q$2:T$2))*(0.8^(1-G104))*AC$9</f>
        <v>1.6768839418225787</v>
      </c>
      <c r="AD104" s="48" cm="1">
        <f t="array" ref="AD104">(SUMPRODUCT((H104:O104/H$9:O$9)^H$7:O$7*H$3:O$3)+SUMPRODUCT((Q104:T104/Q$9:T$9)^Q$7:T$7*Q$3:T$3))*(0.1^(1-G104))*AD$9</f>
        <v>1.8583658113560246</v>
      </c>
      <c r="AE104" s="48" cm="1">
        <f t="array" ref="AE104">(SUMPRODUCT((H104:O104/H$9:O$9)^H$7:O$7*H$4:O$4)+SUMPRODUCT((Q104:T104/Q$9:T$9)^Q$7:T$7*Q$4:T$4))*AE$9</f>
        <v>1.7294337090908933</v>
      </c>
      <c r="AF104" s="47" cm="1">
        <f t="array" ref="AF104">(SUMPRODUCT((H104:O104/H$9:O$9)^H$7:O$7*H$5:O$5)+SUMPRODUCT((Q104:T104/Q$9:T$9)^Q$7:T$7*Q$5:T$5))*AF$9</f>
        <v>1.6634198891482832</v>
      </c>
      <c r="AG104" s="50" cm="1">
        <f t="array" ref="AG104">SUMPRODUCT(AC104:AF104 * AC$3:AF$3) / SUM(AC$3:AF$3)</f>
        <v>1.7813020569252567</v>
      </c>
    </row>
    <row r="105" spans="1:33" x14ac:dyDescent="0.25">
      <c r="A105" s="81" t="s">
        <v>1122</v>
      </c>
      <c r="B105" s="20" t="s">
        <v>1124</v>
      </c>
      <c r="C105" s="4" t="s">
        <v>8853</v>
      </c>
      <c r="D105" s="4" t="str">
        <f t="shared" si="1"/>
        <v>MSI</v>
      </c>
      <c r="E105" s="4" t="s">
        <v>8854</v>
      </c>
      <c r="F105" s="14" t="s">
        <v>8865</v>
      </c>
      <c r="G105" s="9">
        <v>1</v>
      </c>
      <c r="H105" s="1">
        <v>16.489999999999998</v>
      </c>
      <c r="I105" s="1">
        <v>16.489999999999998</v>
      </c>
      <c r="J105" s="1">
        <v>0.26</v>
      </c>
      <c r="K105" s="3">
        <v>1750</v>
      </c>
      <c r="L105" s="13">
        <v>1695</v>
      </c>
      <c r="M105" s="49">
        <v>112.8</v>
      </c>
      <c r="N105" s="1">
        <v>214.3</v>
      </c>
      <c r="O105" s="3">
        <v>38</v>
      </c>
      <c r="P105" s="11" t="s">
        <v>2275</v>
      </c>
      <c r="Q105" s="3">
        <v>8</v>
      </c>
      <c r="R105" s="3">
        <v>256</v>
      </c>
      <c r="S105" s="22">
        <v>14</v>
      </c>
      <c r="T105" s="9">
        <v>200</v>
      </c>
      <c r="U105" s="14" t="s">
        <v>446</v>
      </c>
      <c r="V105" s="12">
        <v>4</v>
      </c>
      <c r="W105" s="75">
        <v>16</v>
      </c>
      <c r="X105" s="76">
        <v>16</v>
      </c>
      <c r="Y105" s="9">
        <v>614.29999999999995</v>
      </c>
      <c r="Z105" s="3">
        <v>978.57</v>
      </c>
      <c r="AA105" s="17" t="s">
        <v>1123</v>
      </c>
      <c r="AB105" s="18" t="s">
        <v>1122</v>
      </c>
      <c r="AC105" s="46" cm="1">
        <f t="array" ref="AC105">(SUMPRODUCT((H105:O105/H$9:O$9)^H$7:O$7*H$2:O$2)+SUMPRODUCT((Q105:T105/Q$9:T$9)^Q$7:T$7*Q$2:T$2))*(0.8^(1-G105))*AC$9</f>
        <v>1.6517060515585584</v>
      </c>
      <c r="AD105" s="48" cm="1">
        <f t="array" ref="AD105">(SUMPRODUCT((H105:O105/H$9:O$9)^H$7:O$7*H$3:O$3)+SUMPRODUCT((Q105:T105/Q$9:T$9)^Q$7:T$7*Q$3:T$3))*(0.1^(1-G105))*AD$9</f>
        <v>1.7710259013589074</v>
      </c>
      <c r="AE105" s="48" cm="1">
        <f t="array" ref="AE105">(SUMPRODUCT((H105:O105/H$9:O$9)^H$7:O$7*H$4:O$4)+SUMPRODUCT((Q105:T105/Q$9:T$9)^Q$7:T$7*Q$4:T$4))*AE$9</f>
        <v>1.6614187445449717</v>
      </c>
      <c r="AF105" s="47" cm="1">
        <f t="array" ref="AF105">(SUMPRODUCT((H105:O105/H$9:O$9)^H$7:O$7*H$5:O$5)+SUMPRODUCT((Q105:T105/Q$9:T$9)^Q$7:T$7*Q$5:T$5))*AF$9</f>
        <v>1.6166577641379396</v>
      </c>
      <c r="AG105" s="50" cm="1">
        <f t="array" ref="AG105">SUMPRODUCT(AC105:AF105 * AC$3:AF$3) / SUM(AC$3:AF$3)</f>
        <v>1.7132326638760282</v>
      </c>
    </row>
    <row r="106" spans="1:33" x14ac:dyDescent="0.25">
      <c r="A106" s="81" t="s">
        <v>769</v>
      </c>
      <c r="B106" s="20" t="s">
        <v>771</v>
      </c>
      <c r="C106" s="4" t="s">
        <v>8853</v>
      </c>
      <c r="D106" s="4" t="str">
        <f t="shared" si="1"/>
        <v>Palit</v>
      </c>
      <c r="E106" s="4" t="s">
        <v>8854</v>
      </c>
      <c r="F106" s="14" t="s">
        <v>8865</v>
      </c>
      <c r="G106" s="9">
        <v>1</v>
      </c>
      <c r="H106" s="1">
        <v>16.2</v>
      </c>
      <c r="I106" s="1">
        <v>16.2</v>
      </c>
      <c r="J106" s="1">
        <v>0.25</v>
      </c>
      <c r="K106" s="3">
        <v>1750</v>
      </c>
      <c r="L106" s="13">
        <v>1665</v>
      </c>
      <c r="M106" s="49">
        <v>112.8</v>
      </c>
      <c r="N106" s="1">
        <v>214.3</v>
      </c>
      <c r="O106" s="3">
        <v>38</v>
      </c>
      <c r="P106" s="11" t="s">
        <v>2275</v>
      </c>
      <c r="Q106" s="3">
        <v>8</v>
      </c>
      <c r="R106" s="3">
        <v>256</v>
      </c>
      <c r="S106" s="22">
        <v>14</v>
      </c>
      <c r="T106" s="9">
        <v>200</v>
      </c>
      <c r="U106" s="14" t="s">
        <v>446</v>
      </c>
      <c r="V106" s="12">
        <v>4</v>
      </c>
      <c r="W106" s="75">
        <v>16</v>
      </c>
      <c r="X106" s="76">
        <v>16</v>
      </c>
      <c r="Y106" s="9">
        <v>802.19</v>
      </c>
      <c r="Z106" s="3">
        <v>802.19</v>
      </c>
      <c r="AA106" s="17" t="s">
        <v>770</v>
      </c>
      <c r="AB106" s="18" t="s">
        <v>769</v>
      </c>
      <c r="AC106" s="46" cm="1">
        <f t="array" ref="AC106">(SUMPRODUCT((H106:O106/H$9:O$9)^H$7:O$7*H$2:O$2)+SUMPRODUCT((Q106:T106/Q$9:T$9)^Q$7:T$7*Q$2:T$2))*(0.8^(1-G106))*AC$9</f>
        <v>1.6461378402537001</v>
      </c>
      <c r="AD106" s="48" cm="1">
        <f t="array" ref="AD106">(SUMPRODUCT((H106:O106/H$9:O$9)^H$7:O$7*H$3:O$3)+SUMPRODUCT((Q106:T106/Q$9:T$9)^Q$7:T$7*Q$3:T$3))*(0.1^(1-G106))*AD$9</f>
        <v>1.7511835522567616</v>
      </c>
      <c r="AE106" s="48" cm="1">
        <f t="array" ref="AE106">(SUMPRODUCT((H106:O106/H$9:O$9)^H$7:O$7*H$4:O$4)+SUMPRODUCT((Q106:T106/Q$9:T$9)^Q$7:T$7*Q$4:T$4))*AE$9</f>
        <v>1.6348178313277897</v>
      </c>
      <c r="AF106" s="47" cm="1">
        <f t="array" ref="AF106">(SUMPRODUCT((H106:O106/H$9:O$9)^H$7:O$7*H$5:O$5)+SUMPRODUCT((Q106:T106/Q$9:T$9)^Q$7:T$7*Q$5:T$5))*AF$9</f>
        <v>1.6067919463317581</v>
      </c>
      <c r="AG106" s="50" cm="1">
        <f t="array" ref="AG106">SUMPRODUCT(AC106:AF106 * AC$3:AF$3) / SUM(AC$3:AF$3)</f>
        <v>1.6966811413877541</v>
      </c>
    </row>
    <row r="107" spans="1:33" x14ac:dyDescent="0.25">
      <c r="A107" s="81" t="s">
        <v>1952</v>
      </c>
      <c r="B107" s="20" t="s">
        <v>1954</v>
      </c>
      <c r="C107" s="4" t="s">
        <v>8853</v>
      </c>
      <c r="D107" s="4" t="str">
        <f t="shared" si="1"/>
        <v>ASUS</v>
      </c>
      <c r="E107" s="4" t="s">
        <v>8854</v>
      </c>
      <c r="F107" s="14" t="s">
        <v>8866</v>
      </c>
      <c r="G107" s="9">
        <v>1</v>
      </c>
      <c r="H107" s="1">
        <v>22.79</v>
      </c>
      <c r="I107" s="1">
        <v>22.79</v>
      </c>
      <c r="J107" s="1">
        <v>0.36</v>
      </c>
      <c r="K107" s="3">
        <v>1750</v>
      </c>
      <c r="L107" s="13">
        <v>1935</v>
      </c>
      <c r="M107" s="49">
        <v>144</v>
      </c>
      <c r="N107" s="1">
        <v>276</v>
      </c>
      <c r="O107" s="3">
        <v>46</v>
      </c>
      <c r="P107" s="11" t="s">
        <v>2275</v>
      </c>
      <c r="Q107" s="3">
        <v>8</v>
      </c>
      <c r="R107" s="3">
        <v>256</v>
      </c>
      <c r="S107" s="22">
        <v>14</v>
      </c>
      <c r="T107" s="9">
        <v>220</v>
      </c>
      <c r="U107" s="14" t="s">
        <v>576</v>
      </c>
      <c r="V107" s="12">
        <v>4</v>
      </c>
      <c r="W107" s="75">
        <v>16</v>
      </c>
      <c r="X107" s="76">
        <v>16</v>
      </c>
      <c r="Y107" s="9">
        <v>1575.4</v>
      </c>
      <c r="Z107" s="3">
        <v>1575.4</v>
      </c>
      <c r="AA107" s="17" t="s">
        <v>1953</v>
      </c>
      <c r="AB107" s="18" t="s">
        <v>1952</v>
      </c>
      <c r="AC107" s="46" cm="1">
        <f t="array" ref="AC107">(SUMPRODUCT((H107:O107/H$9:O$9)^H$7:O$7*H$2:O$2)+SUMPRODUCT((Q107:T107/Q$9:T$9)^Q$7:T$7*Q$2:T$2))*(0.8^(1-G107))*AC$9</f>
        <v>1.8684136032260839</v>
      </c>
      <c r="AD107" s="48" cm="1">
        <f t="array" ref="AD107">(SUMPRODUCT((H107:O107/H$9:O$9)^H$7:O$7*H$3:O$3)+SUMPRODUCT((Q107:T107/Q$9:T$9)^Q$7:T$7*Q$3:T$3))*(0.1^(1-G107))*AD$9</f>
        <v>2.144942137784648</v>
      </c>
      <c r="AE107" s="48" cm="1">
        <f t="array" ref="AE107">(SUMPRODUCT((H107:O107/H$9:O$9)^H$7:O$7*H$4:O$4)+SUMPRODUCT((Q107:T107/Q$9:T$9)^Q$7:T$7*Q$4:T$4))*AE$9</f>
        <v>1.9770680474607953</v>
      </c>
      <c r="AF107" s="47" cm="1">
        <f t="array" ref="AF107">(SUMPRODUCT((H107:O107/H$9:O$9)^H$7:O$7*H$5:O$5)+SUMPRODUCT((Q107:T107/Q$9:T$9)^Q$7:T$7*Q$5:T$5))*AF$9</f>
        <v>1.8941369663055201</v>
      </c>
      <c r="AG107" s="50" cm="1">
        <f t="array" ref="AG107">SUMPRODUCT(AC107:AF107 * AC$3:AF$3) / SUM(AC$3:AF$3)</f>
        <v>2.0384005100757161</v>
      </c>
    </row>
    <row r="108" spans="1:33" x14ac:dyDescent="0.25">
      <c r="A108" s="81" t="s">
        <v>1835</v>
      </c>
      <c r="B108" s="20" t="s">
        <v>1837</v>
      </c>
      <c r="C108" s="4" t="s">
        <v>8853</v>
      </c>
      <c r="D108" s="4" t="str">
        <f t="shared" si="1"/>
        <v>ASUS</v>
      </c>
      <c r="E108" s="4" t="s">
        <v>8854</v>
      </c>
      <c r="F108" s="14" t="s">
        <v>8866</v>
      </c>
      <c r="G108" s="9">
        <v>1</v>
      </c>
      <c r="H108" s="1">
        <v>21.73</v>
      </c>
      <c r="I108" s="1">
        <v>21.73</v>
      </c>
      <c r="J108" s="1">
        <v>0.34</v>
      </c>
      <c r="K108" s="3">
        <v>1750</v>
      </c>
      <c r="L108" s="13">
        <v>1845</v>
      </c>
      <c r="M108" s="49">
        <v>144</v>
      </c>
      <c r="N108" s="1">
        <v>276</v>
      </c>
      <c r="O108" s="3">
        <v>46</v>
      </c>
      <c r="P108" s="11" t="s">
        <v>2275</v>
      </c>
      <c r="Q108" s="3">
        <v>8</v>
      </c>
      <c r="R108" s="3">
        <v>256</v>
      </c>
      <c r="S108" s="22">
        <v>14</v>
      </c>
      <c r="T108" s="9">
        <v>220</v>
      </c>
      <c r="U108" s="14" t="s">
        <v>576</v>
      </c>
      <c r="V108" s="12">
        <v>4</v>
      </c>
      <c r="W108" s="75">
        <v>16</v>
      </c>
      <c r="X108" s="76">
        <v>16</v>
      </c>
      <c r="Y108" s="9">
        <v>789.99</v>
      </c>
      <c r="Z108" s="3">
        <v>884.65</v>
      </c>
      <c r="AA108" s="17" t="s">
        <v>1836</v>
      </c>
      <c r="AB108" s="18" t="s">
        <v>1835</v>
      </c>
      <c r="AC108" s="46" cm="1">
        <f t="array" ref="AC108">(SUMPRODUCT((H108:O108/H$9:O$9)^H$7:O$7*H$2:O$2)+SUMPRODUCT((Q108:T108/Q$9:T$9)^Q$7:T$7*Q$2:T$2))*(0.8^(1-G108))*AC$9</f>
        <v>1.850922622844217</v>
      </c>
      <c r="AD108" s="48" cm="1">
        <f t="array" ref="AD108">(SUMPRODUCT((H108:O108/H$9:O$9)^H$7:O$7*H$3:O$3)+SUMPRODUCT((Q108:T108/Q$9:T$9)^Q$7:T$7*Q$3:T$3))*(0.1^(1-G108))*AD$9</f>
        <v>2.0806918623911455</v>
      </c>
      <c r="AE108" s="48" cm="1">
        <f t="array" ref="AE108">(SUMPRODUCT((H108:O108/H$9:O$9)^H$7:O$7*H$4:O$4)+SUMPRODUCT((Q108:T108/Q$9:T$9)^Q$7:T$7*Q$4:T$4))*AE$9</f>
        <v>1.9186535548295764</v>
      </c>
      <c r="AF108" s="47" cm="1">
        <f t="array" ref="AF108">(SUMPRODUCT((H108:O108/H$9:O$9)^H$7:O$7*H$5:O$5)+SUMPRODUCT((Q108:T108/Q$9:T$9)^Q$7:T$7*Q$5:T$5))*AF$9</f>
        <v>1.8601527304480083</v>
      </c>
      <c r="AG108" s="50" cm="1">
        <f t="array" ref="AG108">SUMPRODUCT(AC108:AF108 * AC$3:AF$3) / SUM(AC$3:AF$3)</f>
        <v>1.9876362107470713</v>
      </c>
    </row>
    <row r="109" spans="1:33" x14ac:dyDescent="0.25">
      <c r="A109" s="81" t="s">
        <v>1692</v>
      </c>
      <c r="B109" s="20" t="s">
        <v>1694</v>
      </c>
      <c r="C109" s="4" t="s">
        <v>8853</v>
      </c>
      <c r="D109" s="4" t="str">
        <f t="shared" si="1"/>
        <v>GIGABYTE</v>
      </c>
      <c r="E109" s="4" t="s">
        <v>8854</v>
      </c>
      <c r="F109" s="14" t="s">
        <v>8866</v>
      </c>
      <c r="G109" s="9">
        <v>1</v>
      </c>
      <c r="H109" s="1">
        <v>21.73</v>
      </c>
      <c r="I109" s="1">
        <v>21.73</v>
      </c>
      <c r="J109" s="1">
        <v>0.34</v>
      </c>
      <c r="K109" s="3">
        <v>1750</v>
      </c>
      <c r="L109" s="13">
        <v>1845</v>
      </c>
      <c r="M109" s="49">
        <v>144</v>
      </c>
      <c r="N109" s="1">
        <v>276</v>
      </c>
      <c r="O109" s="3">
        <v>46</v>
      </c>
      <c r="P109" s="11" t="s">
        <v>2275</v>
      </c>
      <c r="Q109" s="3">
        <v>8</v>
      </c>
      <c r="R109" s="3">
        <v>256</v>
      </c>
      <c r="S109" s="22">
        <v>14</v>
      </c>
      <c r="T109" s="9">
        <v>220</v>
      </c>
      <c r="U109" s="14" t="s">
        <v>576</v>
      </c>
      <c r="V109" s="12">
        <v>4</v>
      </c>
      <c r="W109" s="75">
        <v>16</v>
      </c>
      <c r="X109" s="76">
        <v>16</v>
      </c>
      <c r="Y109" s="9">
        <v>842.55</v>
      </c>
      <c r="Z109" s="3">
        <v>1189.99</v>
      </c>
      <c r="AA109" s="17" t="s">
        <v>1693</v>
      </c>
      <c r="AB109" s="18" t="s">
        <v>1692</v>
      </c>
      <c r="AC109" s="46" cm="1">
        <f t="array" ref="AC109">(SUMPRODUCT((H109:O109/H$9:O$9)^H$7:O$7*H$2:O$2)+SUMPRODUCT((Q109:T109/Q$9:T$9)^Q$7:T$7*Q$2:T$2))*(0.8^(1-G109))*AC$9</f>
        <v>1.850922622844217</v>
      </c>
      <c r="AD109" s="48" cm="1">
        <f t="array" ref="AD109">(SUMPRODUCT((H109:O109/H$9:O$9)^H$7:O$7*H$3:O$3)+SUMPRODUCT((Q109:T109/Q$9:T$9)^Q$7:T$7*Q$3:T$3))*(0.1^(1-G109))*AD$9</f>
        <v>2.0806918623911455</v>
      </c>
      <c r="AE109" s="48" cm="1">
        <f t="array" ref="AE109">(SUMPRODUCT((H109:O109/H$9:O$9)^H$7:O$7*H$4:O$4)+SUMPRODUCT((Q109:T109/Q$9:T$9)^Q$7:T$7*Q$4:T$4))*AE$9</f>
        <v>1.9186535548295764</v>
      </c>
      <c r="AF109" s="47" cm="1">
        <f t="array" ref="AF109">(SUMPRODUCT((H109:O109/H$9:O$9)^H$7:O$7*H$5:O$5)+SUMPRODUCT((Q109:T109/Q$9:T$9)^Q$7:T$7*Q$5:T$5))*AF$9</f>
        <v>1.8601527304480083</v>
      </c>
      <c r="AG109" s="50" cm="1">
        <f t="array" ref="AG109">SUMPRODUCT(AC109:AF109 * AC$3:AF$3) / SUM(AC$3:AF$3)</f>
        <v>1.9876362107470713</v>
      </c>
    </row>
    <row r="110" spans="1:33" x14ac:dyDescent="0.25">
      <c r="A110" s="81" t="s">
        <v>1565</v>
      </c>
      <c r="B110" s="20" t="s">
        <v>1567</v>
      </c>
      <c r="C110" s="4" t="s">
        <v>8853</v>
      </c>
      <c r="D110" s="4" t="str">
        <f t="shared" si="1"/>
        <v>GIGABYTE</v>
      </c>
      <c r="E110" s="4" t="s">
        <v>8854</v>
      </c>
      <c r="F110" s="14" t="s">
        <v>8866</v>
      </c>
      <c r="G110" s="9">
        <v>1</v>
      </c>
      <c r="H110" s="1">
        <v>21.37</v>
      </c>
      <c r="I110" s="1">
        <v>21.37</v>
      </c>
      <c r="J110" s="1">
        <v>0.33</v>
      </c>
      <c r="K110" s="3">
        <v>1750</v>
      </c>
      <c r="L110" s="13">
        <v>1815</v>
      </c>
      <c r="M110" s="49">
        <v>144</v>
      </c>
      <c r="N110" s="1">
        <v>276</v>
      </c>
      <c r="O110" s="3">
        <v>46</v>
      </c>
      <c r="P110" s="11" t="s">
        <v>2275</v>
      </c>
      <c r="Q110" s="3">
        <v>8</v>
      </c>
      <c r="R110" s="3">
        <v>256</v>
      </c>
      <c r="S110" s="22">
        <v>14</v>
      </c>
      <c r="T110" s="9">
        <v>220</v>
      </c>
      <c r="U110" s="14" t="s">
        <v>793</v>
      </c>
      <c r="V110" s="12">
        <v>4</v>
      </c>
      <c r="W110" s="75">
        <v>16</v>
      </c>
      <c r="X110" s="76">
        <v>16</v>
      </c>
      <c r="Y110" s="9">
        <v>1006.03</v>
      </c>
      <c r="Z110" s="3">
        <v>1006.03</v>
      </c>
      <c r="AA110" s="17" t="s">
        <v>1566</v>
      </c>
      <c r="AB110" s="18" t="s">
        <v>1565</v>
      </c>
      <c r="AC110" s="46" cm="1">
        <f t="array" ref="AC110">(SUMPRODUCT((H110:O110/H$9:O$9)^H$7:O$7*H$2:O$2)+SUMPRODUCT((Q110:T110/Q$9:T$9)^Q$7:T$7*Q$2:T$2))*(0.8^(1-G110))*AC$9</f>
        <v>1.845035569545705</v>
      </c>
      <c r="AD110" s="48" cm="1">
        <f t="array" ref="AD110">(SUMPRODUCT((H110:O110/H$9:O$9)^H$7:O$7*H$3:O$3)+SUMPRODUCT((Q110:T110/Q$9:T$9)^Q$7:T$7*Q$3:T$3))*(0.1^(1-G110))*AD$9</f>
        <v>2.0578528053920717</v>
      </c>
      <c r="AE110" s="48" cm="1">
        <f t="array" ref="AE110">(SUMPRODUCT((H110:O110/H$9:O$9)^H$7:O$7*H$4:O$4)+SUMPRODUCT((Q110:T110/Q$9:T$9)^Q$7:T$7*Q$4:T$4))*AE$9</f>
        <v>1.8921399882549337</v>
      </c>
      <c r="AF110" s="47" cm="1">
        <f t="array" ref="AF110">(SUMPRODUCT((H110:O110/H$9:O$9)^H$7:O$7*H$5:O$5)+SUMPRODUCT((Q110:T110/Q$9:T$9)^Q$7:T$7*Q$5:T$5))*AF$9</f>
        <v>1.8485995988444217</v>
      </c>
      <c r="AG110" s="50" cm="1">
        <f t="array" ref="AG110">SUMPRODUCT(AC110:AF110 * AC$3:AF$3) / SUM(AC$3:AF$3)</f>
        <v>1.9690951964222758</v>
      </c>
    </row>
    <row r="111" spans="1:33" x14ac:dyDescent="0.25">
      <c r="A111" s="81" t="s">
        <v>608</v>
      </c>
      <c r="B111" s="20" t="s">
        <v>610</v>
      </c>
      <c r="C111" s="4" t="s">
        <v>8853</v>
      </c>
      <c r="D111" s="4" t="str">
        <f t="shared" si="1"/>
        <v>Zotac</v>
      </c>
      <c r="E111" s="4" t="s">
        <v>8854</v>
      </c>
      <c r="F111" s="14" t="s">
        <v>8866</v>
      </c>
      <c r="G111" s="9">
        <v>1</v>
      </c>
      <c r="H111" s="1">
        <v>21.02</v>
      </c>
      <c r="I111" s="1">
        <v>21.02</v>
      </c>
      <c r="J111" s="1">
        <v>0.33</v>
      </c>
      <c r="K111" s="3">
        <v>1750</v>
      </c>
      <c r="L111" s="13">
        <v>1785</v>
      </c>
      <c r="M111" s="49">
        <v>144</v>
      </c>
      <c r="N111" s="1">
        <v>276</v>
      </c>
      <c r="O111" s="3">
        <v>46</v>
      </c>
      <c r="P111" s="11" t="s">
        <v>2275</v>
      </c>
      <c r="Q111" s="3">
        <v>8</v>
      </c>
      <c r="R111" s="3">
        <v>256</v>
      </c>
      <c r="S111" s="22">
        <v>14</v>
      </c>
      <c r="T111" s="9">
        <v>220</v>
      </c>
      <c r="U111" s="14" t="s">
        <v>576</v>
      </c>
      <c r="V111" s="12">
        <v>4</v>
      </c>
      <c r="W111" s="75">
        <v>16</v>
      </c>
      <c r="X111" s="76">
        <v>16</v>
      </c>
      <c r="Y111" s="9">
        <v>699.9</v>
      </c>
      <c r="Z111" s="3">
        <v>878.54</v>
      </c>
      <c r="AA111" s="17" t="s">
        <v>609</v>
      </c>
      <c r="AB111" s="18" t="s">
        <v>608</v>
      </c>
      <c r="AC111" s="46" cm="1">
        <f t="array" ref="AC111">(SUMPRODUCT((H111:O111/H$9:O$9)^H$7:O$7*H$2:O$2)+SUMPRODUCT((Q111:T111/Q$9:T$9)^Q$7:T$7*Q$2:T$2))*(0.8^(1-G111))*AC$9</f>
        <v>1.839195719223454</v>
      </c>
      <c r="AD111" s="48" cm="1">
        <f t="array" ref="AD111">(SUMPRODUCT((H111:O111/H$9:O$9)^H$7:O$7*H$3:O$3)+SUMPRODUCT((Q111:T111/Q$9:T$9)^Q$7:T$7*Q$3:T$3))*(0.1^(1-G111))*AD$9</f>
        <v>2.0384151949760887</v>
      </c>
      <c r="AE111" s="48" cm="1">
        <f t="array" ref="AE111">(SUMPRODUCT((H111:O111/H$9:O$9)^H$7:O$7*H$4:O$4)+SUMPRODUCT((Q111:T111/Q$9:T$9)^Q$7:T$7*Q$4:T$4))*AE$9</f>
        <v>1.8861593286938243</v>
      </c>
      <c r="AF111" s="47" cm="1">
        <f t="array" ref="AF111">(SUMPRODUCT((H111:O111/H$9:O$9)^H$7:O$7*H$5:O$5)+SUMPRODUCT((Q111:T111/Q$9:T$9)^Q$7:T$7*Q$5:T$5))*AF$9</f>
        <v>1.837304510868724</v>
      </c>
      <c r="AG111" s="50" cm="1">
        <f t="array" ref="AG111">SUMPRODUCT(AC111:AF111 * AC$3:AF$3) / SUM(AC$3:AF$3)</f>
        <v>1.9547761831902817</v>
      </c>
    </row>
    <row r="112" spans="1:33" x14ac:dyDescent="0.25">
      <c r="A112" s="81" t="s">
        <v>2201</v>
      </c>
      <c r="B112" s="20" t="s">
        <v>2203</v>
      </c>
      <c r="C112" s="4" t="s">
        <v>8853</v>
      </c>
      <c r="D112" s="4" t="str">
        <f t="shared" si="1"/>
        <v>ASUS</v>
      </c>
      <c r="E112" s="4" t="s">
        <v>8854</v>
      </c>
      <c r="F112" s="14" t="s">
        <v>8866</v>
      </c>
      <c r="G112" s="9">
        <v>1</v>
      </c>
      <c r="H112" s="1">
        <v>21.2</v>
      </c>
      <c r="I112" s="1">
        <v>21.2</v>
      </c>
      <c r="J112" s="1">
        <v>0.33</v>
      </c>
      <c r="K112" s="3">
        <v>1750</v>
      </c>
      <c r="L112" s="13">
        <v>1800</v>
      </c>
      <c r="M112" s="49">
        <v>144</v>
      </c>
      <c r="N112" s="1">
        <v>276</v>
      </c>
      <c r="O112" s="3">
        <v>46</v>
      </c>
      <c r="P112" s="11" t="s">
        <v>2275</v>
      </c>
      <c r="Q112" s="3">
        <v>8</v>
      </c>
      <c r="R112" s="3">
        <v>256</v>
      </c>
      <c r="S112" s="22">
        <v>14</v>
      </c>
      <c r="T112" s="9">
        <v>220</v>
      </c>
      <c r="U112" s="14" t="s">
        <v>576</v>
      </c>
      <c r="V112" s="12">
        <v>4</v>
      </c>
      <c r="W112" s="75">
        <v>16</v>
      </c>
      <c r="X112" s="76">
        <v>16</v>
      </c>
      <c r="Y112" s="9">
        <v>587.94000000000005</v>
      </c>
      <c r="Z112" s="3">
        <v>883.79</v>
      </c>
      <c r="AA112" s="17" t="s">
        <v>2202</v>
      </c>
      <c r="AB112" s="18" t="s">
        <v>2201</v>
      </c>
      <c r="AC112" s="46" cm="1">
        <f t="array" ref="AC112">(SUMPRODUCT((H112:O112/H$9:O$9)^H$7:O$7*H$2:O$2)+SUMPRODUCT((Q112:T112/Q$9:T$9)^Q$7:T$7*Q$2:T$2))*(0.8^(1-G112))*AC$9</f>
        <v>1.8421453361733042</v>
      </c>
      <c r="AD112" s="48" cm="1">
        <f t="array" ref="AD112">(SUMPRODUCT((H112:O112/H$9:O$9)^H$7:O$7*H$3:O$3)+SUMPRODUCT((Q112:T112/Q$9:T$9)^Q$7:T$7*Q$3:T$3))*(0.1^(1-G112))*AD$9</f>
        <v>2.0484058039298021</v>
      </c>
      <c r="AE112" s="48" cm="1">
        <f t="array" ref="AE112">(SUMPRODUCT((H112:O112/H$9:O$9)^H$7:O$7*H$4:O$4)+SUMPRODUCT((Q112:T112/Q$9:T$9)^Q$7:T$7*Q$4:T$4))*AE$9</f>
        <v>1.889236329875768</v>
      </c>
      <c r="AF112" s="47" cm="1">
        <f t="array" ref="AF112">(SUMPRODUCT((H112:O112/H$9:O$9)^H$7:O$7*H$5:O$5)+SUMPRODUCT((Q112:T112/Q$9:T$9)^Q$7:T$7*Q$5:T$5))*AF$9</f>
        <v>1.8430939508558768</v>
      </c>
      <c r="AG112" s="50" cm="1">
        <f t="array" ref="AG112">SUMPRODUCT(AC112:AF112 * AC$3:AF$3) / SUM(AC$3:AF$3)</f>
        <v>1.9621249200076167</v>
      </c>
    </row>
    <row r="113" spans="1:33" x14ac:dyDescent="0.25">
      <c r="A113" s="81" t="s">
        <v>2198</v>
      </c>
      <c r="B113" s="20" t="s">
        <v>2200</v>
      </c>
      <c r="C113" s="4" t="s">
        <v>8853</v>
      </c>
      <c r="D113" s="4" t="str">
        <f t="shared" si="1"/>
        <v>ASUS</v>
      </c>
      <c r="E113" s="4" t="s">
        <v>8854</v>
      </c>
      <c r="F113" s="14" t="s">
        <v>8866</v>
      </c>
      <c r="G113" s="9">
        <v>1</v>
      </c>
      <c r="H113" s="1">
        <v>20.67</v>
      </c>
      <c r="I113" s="1">
        <v>20.67</v>
      </c>
      <c r="J113" s="1">
        <v>0.32</v>
      </c>
      <c r="K113" s="3">
        <v>1750</v>
      </c>
      <c r="L113" s="13">
        <v>1755</v>
      </c>
      <c r="M113" s="49">
        <v>144</v>
      </c>
      <c r="N113" s="1">
        <v>276</v>
      </c>
      <c r="O113" s="3">
        <v>46</v>
      </c>
      <c r="P113" s="11" t="s">
        <v>2275</v>
      </c>
      <c r="Q113" s="3">
        <v>8</v>
      </c>
      <c r="R113" s="3">
        <v>256</v>
      </c>
      <c r="S113" s="22">
        <v>14</v>
      </c>
      <c r="T113" s="9">
        <v>220</v>
      </c>
      <c r="U113" s="14" t="s">
        <v>576</v>
      </c>
      <c r="V113" s="12">
        <v>4</v>
      </c>
      <c r="W113" s="75">
        <v>16</v>
      </c>
      <c r="X113" s="76">
        <v>16</v>
      </c>
      <c r="Y113" s="9">
        <v>892.17</v>
      </c>
      <c r="Z113" s="3">
        <v>892.17</v>
      </c>
      <c r="AA113" s="17" t="s">
        <v>2199</v>
      </c>
      <c r="AB113" s="18" t="s">
        <v>2198</v>
      </c>
      <c r="AC113" s="46" cm="1">
        <f t="array" ref="AC113">(SUMPRODUCT((H113:O113/H$9:O$9)^H$7:O$7*H$2:O$2)+SUMPRODUCT((Q113:T113/Q$9:T$9)^Q$7:T$7*Q$2:T$2))*(0.8^(1-G113))*AC$9</f>
        <v>1.8333460764271481</v>
      </c>
      <c r="AD113" s="48" cm="1">
        <f t="array" ref="AD113">(SUMPRODUCT((H113:O113/H$9:O$9)^H$7:O$7*H$3:O$3)+SUMPRODUCT((Q113:T113/Q$9:T$9)^Q$7:T$7*Q$3:T$3))*(0.1^(1-G113))*AD$9</f>
        <v>2.0160082415960292</v>
      </c>
      <c r="AE113" s="48" cm="1">
        <f t="array" ref="AE113">(SUMPRODUCT((H113:O113/H$9:O$9)^H$7:O$7*H$4:O$4)+SUMPRODUCT((Q113:T113/Q$9:T$9)^Q$7:T$7*Q$4:T$4))*AE$9</f>
        <v>1.8596725977444248</v>
      </c>
      <c r="AF113" s="47" cm="1">
        <f t="array" ref="AF113">(SUMPRODUCT((H113:O113/H$9:O$9)^H$7:O$7*H$5:O$5)+SUMPRODUCT((Q113:T113/Q$9:T$9)^Q$7:T$7*Q$5:T$5))*AF$9</f>
        <v>1.8259890879931409</v>
      </c>
      <c r="AG113" s="50" cm="1">
        <f t="array" ref="AG113">SUMPRODUCT(AC113:AF113 * AC$3:AF$3) / SUM(AC$3:AF$3)</f>
        <v>1.9365240613727783</v>
      </c>
    </row>
    <row r="114" spans="1:33" x14ac:dyDescent="0.25">
      <c r="A114" s="81" t="s">
        <v>1838</v>
      </c>
      <c r="B114" s="20" t="s">
        <v>1840</v>
      </c>
      <c r="C114" s="4" t="s">
        <v>8853</v>
      </c>
      <c r="D114" s="4" t="str">
        <f t="shared" si="1"/>
        <v>ASUS</v>
      </c>
      <c r="E114" s="4" t="s">
        <v>8854</v>
      </c>
      <c r="F114" s="14" t="s">
        <v>8866</v>
      </c>
      <c r="G114" s="9">
        <v>1</v>
      </c>
      <c r="H114" s="1">
        <v>21.73</v>
      </c>
      <c r="I114" s="1">
        <v>21.73</v>
      </c>
      <c r="J114" s="1">
        <v>0.34</v>
      </c>
      <c r="K114" s="3">
        <v>1750</v>
      </c>
      <c r="L114" s="13">
        <v>1845</v>
      </c>
      <c r="M114" s="49">
        <v>144</v>
      </c>
      <c r="N114" s="1">
        <v>276</v>
      </c>
      <c r="O114" s="3">
        <v>46</v>
      </c>
      <c r="P114" s="11" t="s">
        <v>2275</v>
      </c>
      <c r="Q114" s="3">
        <v>8</v>
      </c>
      <c r="R114" s="3">
        <v>256</v>
      </c>
      <c r="S114" s="22">
        <v>14</v>
      </c>
      <c r="T114" s="9">
        <v>220</v>
      </c>
      <c r="U114" s="14" t="s">
        <v>576</v>
      </c>
      <c r="V114" s="12">
        <v>4</v>
      </c>
      <c r="W114" s="75">
        <v>16</v>
      </c>
      <c r="X114" s="76">
        <v>16</v>
      </c>
      <c r="Y114" s="9">
        <v>789.99</v>
      </c>
      <c r="Z114" s="3">
        <v>1583.87</v>
      </c>
      <c r="AA114" s="17" t="s">
        <v>1839</v>
      </c>
      <c r="AB114" s="18" t="s">
        <v>1838</v>
      </c>
      <c r="AC114" s="46" cm="1">
        <f t="array" ref="AC114">(SUMPRODUCT((H114:O114/H$9:O$9)^H$7:O$7*H$2:O$2)+SUMPRODUCT((Q114:T114/Q$9:T$9)^Q$7:T$7*Q$2:T$2))*(0.8^(1-G114))*AC$9</f>
        <v>1.850922622844217</v>
      </c>
      <c r="AD114" s="48" cm="1">
        <f t="array" ref="AD114">(SUMPRODUCT((H114:O114/H$9:O$9)^H$7:O$7*H$3:O$3)+SUMPRODUCT((Q114:T114/Q$9:T$9)^Q$7:T$7*Q$3:T$3))*(0.1^(1-G114))*AD$9</f>
        <v>2.0806918623911455</v>
      </c>
      <c r="AE114" s="48" cm="1">
        <f t="array" ref="AE114">(SUMPRODUCT((H114:O114/H$9:O$9)^H$7:O$7*H$4:O$4)+SUMPRODUCT((Q114:T114/Q$9:T$9)^Q$7:T$7*Q$4:T$4))*AE$9</f>
        <v>1.9186535548295764</v>
      </c>
      <c r="AF114" s="47" cm="1">
        <f t="array" ref="AF114">(SUMPRODUCT((H114:O114/H$9:O$9)^H$7:O$7*H$5:O$5)+SUMPRODUCT((Q114:T114/Q$9:T$9)^Q$7:T$7*Q$5:T$5))*AF$9</f>
        <v>1.8601527304480083</v>
      </c>
      <c r="AG114" s="50" cm="1">
        <f t="array" ref="AG114">SUMPRODUCT(AC114:AF114 * AC$3:AF$3) / SUM(AC$3:AF$3)</f>
        <v>1.9876362107470713</v>
      </c>
    </row>
    <row r="115" spans="1:33" x14ac:dyDescent="0.25">
      <c r="A115" s="81" t="s">
        <v>1823</v>
      </c>
      <c r="B115" s="20" t="s">
        <v>1825</v>
      </c>
      <c r="C115" s="4" t="s">
        <v>8853</v>
      </c>
      <c r="D115" s="4" t="str">
        <f t="shared" si="1"/>
        <v>ASUS</v>
      </c>
      <c r="E115" s="4" t="s">
        <v>8854</v>
      </c>
      <c r="F115" s="14" t="s">
        <v>8866</v>
      </c>
      <c r="G115" s="9">
        <v>1</v>
      </c>
      <c r="H115" s="1">
        <v>20.67</v>
      </c>
      <c r="I115" s="1">
        <v>20.67</v>
      </c>
      <c r="J115" s="1">
        <v>0.32</v>
      </c>
      <c r="K115" s="3">
        <v>1750</v>
      </c>
      <c r="L115" s="13">
        <v>1755</v>
      </c>
      <c r="M115" s="49">
        <v>144</v>
      </c>
      <c r="N115" s="1">
        <v>276</v>
      </c>
      <c r="O115" s="3">
        <v>46</v>
      </c>
      <c r="P115" s="11" t="s">
        <v>2275</v>
      </c>
      <c r="Q115" s="3">
        <v>8</v>
      </c>
      <c r="R115" s="3">
        <v>256</v>
      </c>
      <c r="S115" s="22">
        <v>14</v>
      </c>
      <c r="T115" s="9">
        <v>220</v>
      </c>
      <c r="U115" s="14" t="s">
        <v>576</v>
      </c>
      <c r="V115" s="12">
        <v>4</v>
      </c>
      <c r="W115" s="75">
        <v>16</v>
      </c>
      <c r="X115" s="76">
        <v>16</v>
      </c>
      <c r="Y115" s="9">
        <v>908.87</v>
      </c>
      <c r="Z115" s="3">
        <v>908.87</v>
      </c>
      <c r="AA115" s="17" t="s">
        <v>1824</v>
      </c>
      <c r="AB115" s="18" t="s">
        <v>1823</v>
      </c>
      <c r="AC115" s="46" cm="1">
        <f t="array" ref="AC115">(SUMPRODUCT((H115:O115/H$9:O$9)^H$7:O$7*H$2:O$2)+SUMPRODUCT((Q115:T115/Q$9:T$9)^Q$7:T$7*Q$2:T$2))*(0.8^(1-G115))*AC$9</f>
        <v>1.8333460764271481</v>
      </c>
      <c r="AD115" s="48" cm="1">
        <f t="array" ref="AD115">(SUMPRODUCT((H115:O115/H$9:O$9)^H$7:O$7*H$3:O$3)+SUMPRODUCT((Q115:T115/Q$9:T$9)^Q$7:T$7*Q$3:T$3))*(0.1^(1-G115))*AD$9</f>
        <v>2.0160082415960292</v>
      </c>
      <c r="AE115" s="48" cm="1">
        <f t="array" ref="AE115">(SUMPRODUCT((H115:O115/H$9:O$9)^H$7:O$7*H$4:O$4)+SUMPRODUCT((Q115:T115/Q$9:T$9)^Q$7:T$7*Q$4:T$4))*AE$9</f>
        <v>1.8596725977444248</v>
      </c>
      <c r="AF115" s="47" cm="1">
        <f t="array" ref="AF115">(SUMPRODUCT((H115:O115/H$9:O$9)^H$7:O$7*H$5:O$5)+SUMPRODUCT((Q115:T115/Q$9:T$9)^Q$7:T$7*Q$5:T$5))*AF$9</f>
        <v>1.8259890879931409</v>
      </c>
      <c r="AG115" s="50" cm="1">
        <f t="array" ref="AG115">SUMPRODUCT(AC115:AF115 * AC$3:AF$3) / SUM(AC$3:AF$3)</f>
        <v>1.9365240613727783</v>
      </c>
    </row>
    <row r="116" spans="1:33" x14ac:dyDescent="0.25">
      <c r="A116" s="81" t="s">
        <v>1701</v>
      </c>
      <c r="B116" s="20" t="s">
        <v>1703</v>
      </c>
      <c r="C116" s="4" t="s">
        <v>8853</v>
      </c>
      <c r="D116" s="4" t="str">
        <f t="shared" si="1"/>
        <v>ASUS</v>
      </c>
      <c r="E116" s="4" t="s">
        <v>8854</v>
      </c>
      <c r="F116" s="14" t="s">
        <v>8866</v>
      </c>
      <c r="G116" s="9">
        <v>1</v>
      </c>
      <c r="H116" s="1">
        <v>20.67</v>
      </c>
      <c r="I116" s="1">
        <v>20.67</v>
      </c>
      <c r="J116" s="1">
        <v>0.32</v>
      </c>
      <c r="K116" s="3">
        <v>1750</v>
      </c>
      <c r="L116" s="13">
        <v>1755</v>
      </c>
      <c r="M116" s="49">
        <v>144</v>
      </c>
      <c r="N116" s="1">
        <v>276</v>
      </c>
      <c r="O116" s="3">
        <v>46</v>
      </c>
      <c r="P116" s="11" t="s">
        <v>2275</v>
      </c>
      <c r="Q116" s="3">
        <v>8</v>
      </c>
      <c r="R116" s="3">
        <v>256</v>
      </c>
      <c r="S116" s="22">
        <v>14</v>
      </c>
      <c r="T116" s="9">
        <v>220</v>
      </c>
      <c r="U116" s="14" t="s">
        <v>576</v>
      </c>
      <c r="V116" s="12">
        <v>4</v>
      </c>
      <c r="W116" s="75">
        <v>16</v>
      </c>
      <c r="X116" s="76">
        <v>16</v>
      </c>
      <c r="Y116" s="9">
        <v>763.75</v>
      </c>
      <c r="Z116" s="3">
        <v>763.75</v>
      </c>
      <c r="AA116" s="17" t="s">
        <v>1702</v>
      </c>
      <c r="AB116" s="18" t="s">
        <v>1701</v>
      </c>
      <c r="AC116" s="46" cm="1">
        <f t="array" ref="AC116">(SUMPRODUCT((H116:O116/H$9:O$9)^H$7:O$7*H$2:O$2)+SUMPRODUCT((Q116:T116/Q$9:T$9)^Q$7:T$7*Q$2:T$2))*(0.8^(1-G116))*AC$9</f>
        <v>1.8333460764271481</v>
      </c>
      <c r="AD116" s="48" cm="1">
        <f t="array" ref="AD116">(SUMPRODUCT((H116:O116/H$9:O$9)^H$7:O$7*H$3:O$3)+SUMPRODUCT((Q116:T116/Q$9:T$9)^Q$7:T$7*Q$3:T$3))*(0.1^(1-G116))*AD$9</f>
        <v>2.0160082415960292</v>
      </c>
      <c r="AE116" s="48" cm="1">
        <f t="array" ref="AE116">(SUMPRODUCT((H116:O116/H$9:O$9)^H$7:O$7*H$4:O$4)+SUMPRODUCT((Q116:T116/Q$9:T$9)^Q$7:T$7*Q$4:T$4))*AE$9</f>
        <v>1.8596725977444248</v>
      </c>
      <c r="AF116" s="47" cm="1">
        <f t="array" ref="AF116">(SUMPRODUCT((H116:O116/H$9:O$9)^H$7:O$7*H$5:O$5)+SUMPRODUCT((Q116:T116/Q$9:T$9)^Q$7:T$7*Q$5:T$5))*AF$9</f>
        <v>1.8259890879931409</v>
      </c>
      <c r="AG116" s="50" cm="1">
        <f t="array" ref="AG116">SUMPRODUCT(AC116:AF116 * AC$3:AF$3) / SUM(AC$3:AF$3)</f>
        <v>1.9365240613727783</v>
      </c>
    </row>
    <row r="117" spans="1:33" x14ac:dyDescent="0.25">
      <c r="A117" s="81" t="s">
        <v>1580</v>
      </c>
      <c r="B117" s="20" t="s">
        <v>1582</v>
      </c>
      <c r="C117" s="4" t="s">
        <v>8853</v>
      </c>
      <c r="D117" s="4" t="str">
        <f t="shared" si="1"/>
        <v>GIGABYTE</v>
      </c>
      <c r="E117" s="4" t="s">
        <v>8854</v>
      </c>
      <c r="F117" s="14" t="s">
        <v>8866</v>
      </c>
      <c r="G117" s="9">
        <v>1</v>
      </c>
      <c r="H117" s="1">
        <v>20.309999999999999</v>
      </c>
      <c r="I117" s="1">
        <v>20.309999999999999</v>
      </c>
      <c r="J117" s="1">
        <v>0.32</v>
      </c>
      <c r="K117" s="3">
        <v>1750</v>
      </c>
      <c r="L117" s="13">
        <v>1725</v>
      </c>
      <c r="M117" s="49">
        <v>144</v>
      </c>
      <c r="N117" s="1">
        <v>276</v>
      </c>
      <c r="O117" s="3">
        <v>46</v>
      </c>
      <c r="P117" s="11" t="s">
        <v>2275</v>
      </c>
      <c r="Q117" s="3">
        <v>8</v>
      </c>
      <c r="R117" s="3">
        <v>256</v>
      </c>
      <c r="S117" s="22">
        <v>14</v>
      </c>
      <c r="T117" s="9">
        <v>220</v>
      </c>
      <c r="U117" s="14" t="s">
        <v>793</v>
      </c>
      <c r="V117" s="12">
        <v>4</v>
      </c>
      <c r="W117" s="75">
        <v>16</v>
      </c>
      <c r="X117" s="76">
        <v>16</v>
      </c>
      <c r="Y117" s="9">
        <v>610.08000000000004</v>
      </c>
      <c r="Z117" s="3">
        <v>615.99</v>
      </c>
      <c r="AA117" s="17" t="s">
        <v>1581</v>
      </c>
      <c r="AB117" s="18" t="s">
        <v>1580</v>
      </c>
      <c r="AC117" s="46" cm="1">
        <f t="array" ref="AC117">(SUMPRODUCT((H117:O117/H$9:O$9)^H$7:O$7*H$2:O$2)+SUMPRODUCT((Q117:T117/Q$9:T$9)^Q$7:T$7*Q$2:T$2))*(0.8^(1-G117))*AC$9</f>
        <v>1.8274292567985024</v>
      </c>
      <c r="AD117" s="48" cm="1">
        <f t="array" ref="AD117">(SUMPRODUCT((H117:O117/H$9:O$9)^H$7:O$7*H$3:O$3)+SUMPRODUCT((Q117:T117/Q$9:T$9)^Q$7:T$7*Q$3:T$3))*(0.1^(1-G117))*AD$9</f>
        <v>1.9959508829340069</v>
      </c>
      <c r="AE117" s="48" cm="1">
        <f t="array" ref="AE117">(SUMPRODUCT((H117:O117/H$9:O$9)^H$7:O$7*H$4:O$4)+SUMPRODUCT((Q117:T117/Q$9:T$9)^Q$7:T$7*Q$4:T$4))*AE$9</f>
        <v>1.8535002163147398</v>
      </c>
      <c r="AF117" s="47" cm="1">
        <f t="array" ref="AF117">(SUMPRODUCT((H117:O117/H$9:O$9)^H$7:O$7*H$5:O$5)+SUMPRODUCT((Q117:T117/Q$9:T$9)^Q$7:T$7*Q$5:T$5))*AF$9</f>
        <v>1.8143728949385003</v>
      </c>
      <c r="AG117" s="50" cm="1">
        <f t="array" ref="AG117">SUMPRODUCT(AC117:AF117 * AC$3:AF$3) / SUM(AC$3:AF$3)</f>
        <v>1.9217730953989198</v>
      </c>
    </row>
    <row r="118" spans="1:33" x14ac:dyDescent="0.25">
      <c r="A118" s="81" t="s">
        <v>1577</v>
      </c>
      <c r="B118" s="20" t="s">
        <v>1579</v>
      </c>
      <c r="C118" s="4" t="s">
        <v>8853</v>
      </c>
      <c r="D118" s="4" t="str">
        <f t="shared" si="1"/>
        <v>GIGABYTE</v>
      </c>
      <c r="E118" s="4" t="s">
        <v>8854</v>
      </c>
      <c r="F118" s="14" t="s">
        <v>8866</v>
      </c>
      <c r="G118" s="9">
        <v>1</v>
      </c>
      <c r="H118" s="1">
        <v>21.37</v>
      </c>
      <c r="I118" s="1">
        <v>21.37</v>
      </c>
      <c r="J118" s="1">
        <v>0.33</v>
      </c>
      <c r="K118" s="3">
        <v>1750</v>
      </c>
      <c r="L118" s="13">
        <v>1815</v>
      </c>
      <c r="M118" s="49">
        <v>144</v>
      </c>
      <c r="N118" s="1">
        <v>276</v>
      </c>
      <c r="O118" s="3">
        <v>46</v>
      </c>
      <c r="P118" s="11" t="s">
        <v>2275</v>
      </c>
      <c r="Q118" s="3">
        <v>8</v>
      </c>
      <c r="R118" s="3">
        <v>256</v>
      </c>
      <c r="S118" s="22">
        <v>14</v>
      </c>
      <c r="T118" s="9">
        <v>220</v>
      </c>
      <c r="U118" s="14" t="s">
        <v>793</v>
      </c>
      <c r="V118" s="12">
        <v>4</v>
      </c>
      <c r="W118" s="75">
        <v>16</v>
      </c>
      <c r="X118" s="76">
        <v>16</v>
      </c>
      <c r="Y118" s="9">
        <v>648.35</v>
      </c>
      <c r="Z118" s="3">
        <v>1275.1099999999999</v>
      </c>
      <c r="AA118" s="17" t="s">
        <v>1578</v>
      </c>
      <c r="AB118" s="18" t="s">
        <v>1577</v>
      </c>
      <c r="AC118" s="46" cm="1">
        <f t="array" ref="AC118">(SUMPRODUCT((H118:O118/H$9:O$9)^H$7:O$7*H$2:O$2)+SUMPRODUCT((Q118:T118/Q$9:T$9)^Q$7:T$7*Q$2:T$2))*(0.8^(1-G118))*AC$9</f>
        <v>1.845035569545705</v>
      </c>
      <c r="AD118" s="48" cm="1">
        <f t="array" ref="AD118">(SUMPRODUCT((H118:O118/H$9:O$9)^H$7:O$7*H$3:O$3)+SUMPRODUCT((Q118:T118/Q$9:T$9)^Q$7:T$7*Q$3:T$3))*(0.1^(1-G118))*AD$9</f>
        <v>2.0578528053920717</v>
      </c>
      <c r="AE118" s="48" cm="1">
        <f t="array" ref="AE118">(SUMPRODUCT((H118:O118/H$9:O$9)^H$7:O$7*H$4:O$4)+SUMPRODUCT((Q118:T118/Q$9:T$9)^Q$7:T$7*Q$4:T$4))*AE$9</f>
        <v>1.8921399882549337</v>
      </c>
      <c r="AF118" s="47" cm="1">
        <f t="array" ref="AF118">(SUMPRODUCT((H118:O118/H$9:O$9)^H$7:O$7*H$5:O$5)+SUMPRODUCT((Q118:T118/Q$9:T$9)^Q$7:T$7*Q$5:T$5))*AF$9</f>
        <v>1.8485995988444217</v>
      </c>
      <c r="AG118" s="50" cm="1">
        <f t="array" ref="AG118">SUMPRODUCT(AC118:AF118 * AC$3:AF$3) / SUM(AC$3:AF$3)</f>
        <v>1.9690951964222758</v>
      </c>
    </row>
    <row r="119" spans="1:33" x14ac:dyDescent="0.25">
      <c r="A119" s="81" t="s">
        <v>1298</v>
      </c>
      <c r="B119" s="20" t="s">
        <v>1300</v>
      </c>
      <c r="C119" s="4" t="s">
        <v>8853</v>
      </c>
      <c r="D119" s="4" t="str">
        <f t="shared" si="1"/>
        <v>INNO3D</v>
      </c>
      <c r="E119" s="4" t="s">
        <v>8854</v>
      </c>
      <c r="F119" s="14" t="s">
        <v>8866</v>
      </c>
      <c r="G119" s="9">
        <v>1</v>
      </c>
      <c r="H119" s="1">
        <v>21.02</v>
      </c>
      <c r="I119" s="1">
        <v>21.02</v>
      </c>
      <c r="J119" s="1">
        <v>0.33</v>
      </c>
      <c r="K119" s="3">
        <v>1750</v>
      </c>
      <c r="L119" s="13">
        <v>1785</v>
      </c>
      <c r="M119" s="49">
        <v>144</v>
      </c>
      <c r="N119" s="1">
        <v>276</v>
      </c>
      <c r="O119" s="3">
        <v>46</v>
      </c>
      <c r="P119" s="11" t="s">
        <v>2275</v>
      </c>
      <c r="Q119" s="3">
        <v>8</v>
      </c>
      <c r="R119" s="3">
        <v>256</v>
      </c>
      <c r="S119" s="22">
        <v>14</v>
      </c>
      <c r="T119" s="9">
        <v>220</v>
      </c>
      <c r="U119" s="14" t="s">
        <v>576</v>
      </c>
      <c r="V119" s="12">
        <v>4</v>
      </c>
      <c r="W119" s="75">
        <v>16</v>
      </c>
      <c r="X119" s="76">
        <v>16</v>
      </c>
      <c r="Y119" s="9">
        <v>599.9</v>
      </c>
      <c r="Z119" s="3">
        <v>1047.43</v>
      </c>
      <c r="AA119" s="17" t="s">
        <v>1299</v>
      </c>
      <c r="AB119" s="18" t="s">
        <v>1298</v>
      </c>
      <c r="AC119" s="46" cm="1">
        <f t="array" ref="AC119">(SUMPRODUCT((H119:O119/H$9:O$9)^H$7:O$7*H$2:O$2)+SUMPRODUCT((Q119:T119/Q$9:T$9)^Q$7:T$7*Q$2:T$2))*(0.8^(1-G119))*AC$9</f>
        <v>1.839195719223454</v>
      </c>
      <c r="AD119" s="48" cm="1">
        <f t="array" ref="AD119">(SUMPRODUCT((H119:O119/H$9:O$9)^H$7:O$7*H$3:O$3)+SUMPRODUCT((Q119:T119/Q$9:T$9)^Q$7:T$7*Q$3:T$3))*(0.1^(1-G119))*AD$9</f>
        <v>2.0384151949760887</v>
      </c>
      <c r="AE119" s="48" cm="1">
        <f t="array" ref="AE119">(SUMPRODUCT((H119:O119/H$9:O$9)^H$7:O$7*H$4:O$4)+SUMPRODUCT((Q119:T119/Q$9:T$9)^Q$7:T$7*Q$4:T$4))*AE$9</f>
        <v>1.8861593286938243</v>
      </c>
      <c r="AF119" s="47" cm="1">
        <f t="array" ref="AF119">(SUMPRODUCT((H119:O119/H$9:O$9)^H$7:O$7*H$5:O$5)+SUMPRODUCT((Q119:T119/Q$9:T$9)^Q$7:T$7*Q$5:T$5))*AF$9</f>
        <v>1.837304510868724</v>
      </c>
      <c r="AG119" s="50" cm="1">
        <f t="array" ref="AG119">SUMPRODUCT(AC119:AF119 * AC$3:AF$3) / SUM(AC$3:AF$3)</f>
        <v>1.9547761831902817</v>
      </c>
    </row>
    <row r="120" spans="1:33" x14ac:dyDescent="0.25">
      <c r="A120" s="81" t="s">
        <v>1110</v>
      </c>
      <c r="B120" s="20" t="s">
        <v>1112</v>
      </c>
      <c r="C120" s="4" t="s">
        <v>8853</v>
      </c>
      <c r="D120" s="4" t="str">
        <f t="shared" si="1"/>
        <v>MSI</v>
      </c>
      <c r="E120" s="4" t="s">
        <v>8854</v>
      </c>
      <c r="F120" s="14" t="s">
        <v>8866</v>
      </c>
      <c r="G120" s="9">
        <v>1</v>
      </c>
      <c r="H120" s="1">
        <v>21.73</v>
      </c>
      <c r="I120" s="1">
        <v>21.73</v>
      </c>
      <c r="J120" s="1">
        <v>0.34</v>
      </c>
      <c r="K120" s="3">
        <v>1750</v>
      </c>
      <c r="L120" s="13">
        <v>1845</v>
      </c>
      <c r="M120" s="49">
        <v>144</v>
      </c>
      <c r="N120" s="1">
        <v>276</v>
      </c>
      <c r="O120" s="3">
        <v>46</v>
      </c>
      <c r="P120" s="11" t="s">
        <v>2275</v>
      </c>
      <c r="Q120" s="3">
        <v>8</v>
      </c>
      <c r="R120" s="3">
        <v>256</v>
      </c>
      <c r="S120" s="22">
        <v>14</v>
      </c>
      <c r="T120" s="9">
        <v>240</v>
      </c>
      <c r="U120" s="14" t="s">
        <v>576</v>
      </c>
      <c r="V120" s="12">
        <v>4</v>
      </c>
      <c r="W120" s="75">
        <v>16</v>
      </c>
      <c r="X120" s="76">
        <v>16</v>
      </c>
      <c r="Y120" s="9">
        <v>835</v>
      </c>
      <c r="Z120" s="3">
        <v>1311.17</v>
      </c>
      <c r="AA120" s="17" t="s">
        <v>1111</v>
      </c>
      <c r="AB120" s="18" t="s">
        <v>1110</v>
      </c>
      <c r="AC120" s="46" cm="1">
        <f t="array" ref="AC120">(SUMPRODUCT((H120:O120/H$9:O$9)^H$7:O$7*H$2:O$2)+SUMPRODUCT((Q120:T120/Q$9:T$9)^Q$7:T$7*Q$2:T$2))*(0.8^(1-G120))*AC$9</f>
        <v>1.8497219053466947</v>
      </c>
      <c r="AD120" s="48" cm="1">
        <f t="array" ref="AD120">(SUMPRODUCT((H120:O120/H$9:O$9)^H$7:O$7*H$3:O$3)+SUMPRODUCT((Q120:T120/Q$9:T$9)^Q$7:T$7*Q$3:T$3))*(0.1^(1-G120))*AD$9</f>
        <v>2.0794911448936233</v>
      </c>
      <c r="AE120" s="48" cm="1">
        <f t="array" ref="AE120">(SUMPRODUCT((H120:O120/H$9:O$9)^H$7:O$7*H$4:O$4)+SUMPRODUCT((Q120:T120/Q$9:T$9)^Q$7:T$7*Q$4:T$4))*AE$9</f>
        <v>1.9186535548295764</v>
      </c>
      <c r="AF120" s="47" cm="1">
        <f t="array" ref="AF120">(SUMPRODUCT((H120:O120/H$9:O$9)^H$7:O$7*H$5:O$5)+SUMPRODUCT((Q120:T120/Q$9:T$9)^Q$7:T$7*Q$5:T$5))*AF$9</f>
        <v>1.858952012950486</v>
      </c>
      <c r="AG120" s="50" cm="1">
        <f t="array" ref="AG120">SUMPRODUCT(AC120:AF120 * AC$3:AF$3) / SUM(AC$3:AF$3)</f>
        <v>1.9865689063048295</v>
      </c>
    </row>
    <row r="121" spans="1:33" x14ac:dyDescent="0.25">
      <c r="A121" s="81" t="s">
        <v>1101</v>
      </c>
      <c r="B121" s="20" t="s">
        <v>1103</v>
      </c>
      <c r="C121" s="4" t="s">
        <v>8853</v>
      </c>
      <c r="D121" s="4" t="str">
        <f t="shared" si="1"/>
        <v>MSI</v>
      </c>
      <c r="E121" s="4" t="s">
        <v>8854</v>
      </c>
      <c r="F121" s="14" t="s">
        <v>8866</v>
      </c>
      <c r="G121" s="9">
        <v>1</v>
      </c>
      <c r="H121" s="1">
        <v>20.67</v>
      </c>
      <c r="I121" s="1">
        <v>20.67</v>
      </c>
      <c r="J121" s="1">
        <v>0.32</v>
      </c>
      <c r="K121" s="3">
        <v>1750</v>
      </c>
      <c r="L121" s="13">
        <v>1755</v>
      </c>
      <c r="M121" s="49">
        <v>144</v>
      </c>
      <c r="N121" s="1">
        <v>276</v>
      </c>
      <c r="O121" s="3">
        <v>46</v>
      </c>
      <c r="P121" s="11" t="s">
        <v>2275</v>
      </c>
      <c r="Q121" s="3">
        <v>8</v>
      </c>
      <c r="R121" s="3">
        <v>256</v>
      </c>
      <c r="S121" s="22">
        <v>14</v>
      </c>
      <c r="T121" s="9">
        <v>220</v>
      </c>
      <c r="U121" s="14" t="s">
        <v>576</v>
      </c>
      <c r="V121" s="12">
        <v>4</v>
      </c>
      <c r="W121" s="75">
        <v>16</v>
      </c>
      <c r="X121" s="76">
        <v>16</v>
      </c>
      <c r="Y121" s="9">
        <v>779</v>
      </c>
      <c r="Z121" s="3">
        <v>1498.4</v>
      </c>
      <c r="AA121" s="17" t="s">
        <v>1102</v>
      </c>
      <c r="AB121" s="18" t="s">
        <v>1101</v>
      </c>
      <c r="AC121" s="46" cm="1">
        <f t="array" ref="AC121">(SUMPRODUCT((H121:O121/H$9:O$9)^H$7:O$7*H$2:O$2)+SUMPRODUCT((Q121:T121/Q$9:T$9)^Q$7:T$7*Q$2:T$2))*(0.8^(1-G121))*AC$9</f>
        <v>1.8333460764271481</v>
      </c>
      <c r="AD121" s="48" cm="1">
        <f t="array" ref="AD121">(SUMPRODUCT((H121:O121/H$9:O$9)^H$7:O$7*H$3:O$3)+SUMPRODUCT((Q121:T121/Q$9:T$9)^Q$7:T$7*Q$3:T$3))*(0.1^(1-G121))*AD$9</f>
        <v>2.0160082415960292</v>
      </c>
      <c r="AE121" s="48" cm="1">
        <f t="array" ref="AE121">(SUMPRODUCT((H121:O121/H$9:O$9)^H$7:O$7*H$4:O$4)+SUMPRODUCT((Q121:T121/Q$9:T$9)^Q$7:T$7*Q$4:T$4))*AE$9</f>
        <v>1.8596725977444248</v>
      </c>
      <c r="AF121" s="47" cm="1">
        <f t="array" ref="AF121">(SUMPRODUCT((H121:O121/H$9:O$9)^H$7:O$7*H$5:O$5)+SUMPRODUCT((Q121:T121/Q$9:T$9)^Q$7:T$7*Q$5:T$5))*AF$9</f>
        <v>1.8259890879931409</v>
      </c>
      <c r="AG121" s="50" cm="1">
        <f t="array" ref="AG121">SUMPRODUCT(AC121:AF121 * AC$3:AF$3) / SUM(AC$3:AF$3)</f>
        <v>1.9365240613727783</v>
      </c>
    </row>
    <row r="122" spans="1:33" x14ac:dyDescent="0.25">
      <c r="A122" s="81" t="s">
        <v>1098</v>
      </c>
      <c r="B122" s="20" t="s">
        <v>1100</v>
      </c>
      <c r="C122" s="4" t="s">
        <v>8853</v>
      </c>
      <c r="D122" s="4" t="str">
        <f t="shared" si="1"/>
        <v>MSI</v>
      </c>
      <c r="E122" s="4" t="s">
        <v>8854</v>
      </c>
      <c r="F122" s="14" t="s">
        <v>8866</v>
      </c>
      <c r="G122" s="9">
        <v>1</v>
      </c>
      <c r="H122" s="1">
        <v>20.67</v>
      </c>
      <c r="I122" s="1">
        <v>20.67</v>
      </c>
      <c r="J122" s="1">
        <v>0.32</v>
      </c>
      <c r="K122" s="3">
        <v>1750</v>
      </c>
      <c r="L122" s="13">
        <v>1755</v>
      </c>
      <c r="M122" s="49">
        <v>144</v>
      </c>
      <c r="N122" s="1">
        <v>276</v>
      </c>
      <c r="O122" s="3">
        <v>46</v>
      </c>
      <c r="P122" s="11" t="s">
        <v>2275</v>
      </c>
      <c r="Q122" s="3">
        <v>8</v>
      </c>
      <c r="R122" s="3">
        <v>256</v>
      </c>
      <c r="S122" s="22">
        <v>14</v>
      </c>
      <c r="T122" s="9">
        <v>220</v>
      </c>
      <c r="U122" s="14" t="s">
        <v>576</v>
      </c>
      <c r="V122" s="12">
        <v>4</v>
      </c>
      <c r="W122" s="75">
        <v>16</v>
      </c>
      <c r="X122" s="76">
        <v>16</v>
      </c>
      <c r="Y122" s="9">
        <v>829</v>
      </c>
      <c r="Z122" s="3">
        <v>829</v>
      </c>
      <c r="AA122" s="17" t="s">
        <v>1099</v>
      </c>
      <c r="AB122" s="18" t="s">
        <v>1098</v>
      </c>
      <c r="AC122" s="46" cm="1">
        <f t="array" ref="AC122">(SUMPRODUCT((H122:O122/H$9:O$9)^H$7:O$7*H$2:O$2)+SUMPRODUCT((Q122:T122/Q$9:T$9)^Q$7:T$7*Q$2:T$2))*(0.8^(1-G122))*AC$9</f>
        <v>1.8333460764271481</v>
      </c>
      <c r="AD122" s="48" cm="1">
        <f t="array" ref="AD122">(SUMPRODUCT((H122:O122/H$9:O$9)^H$7:O$7*H$3:O$3)+SUMPRODUCT((Q122:T122/Q$9:T$9)^Q$7:T$7*Q$3:T$3))*(0.1^(1-G122))*AD$9</f>
        <v>2.0160082415960292</v>
      </c>
      <c r="AE122" s="48" cm="1">
        <f t="array" ref="AE122">(SUMPRODUCT((H122:O122/H$9:O$9)^H$7:O$7*H$4:O$4)+SUMPRODUCT((Q122:T122/Q$9:T$9)^Q$7:T$7*Q$4:T$4))*AE$9</f>
        <v>1.8596725977444248</v>
      </c>
      <c r="AF122" s="47" cm="1">
        <f t="array" ref="AF122">(SUMPRODUCT((H122:O122/H$9:O$9)^H$7:O$7*H$5:O$5)+SUMPRODUCT((Q122:T122/Q$9:T$9)^Q$7:T$7*Q$5:T$5))*AF$9</f>
        <v>1.8259890879931409</v>
      </c>
      <c r="AG122" s="50" cm="1">
        <f t="array" ref="AG122">SUMPRODUCT(AC122:AF122 * AC$3:AF$3) / SUM(AC$3:AF$3)</f>
        <v>1.9365240613727783</v>
      </c>
    </row>
    <row r="123" spans="1:33" x14ac:dyDescent="0.25">
      <c r="A123" s="81" t="s">
        <v>766</v>
      </c>
      <c r="B123" s="20" t="s">
        <v>768</v>
      </c>
      <c r="C123" s="4" t="s">
        <v>8853</v>
      </c>
      <c r="D123" s="4" t="str">
        <f t="shared" si="1"/>
        <v>Palit</v>
      </c>
      <c r="E123" s="4" t="s">
        <v>8854</v>
      </c>
      <c r="F123" s="14" t="s">
        <v>8866</v>
      </c>
      <c r="G123" s="9">
        <v>1</v>
      </c>
      <c r="H123" s="1">
        <v>20.309999999999999</v>
      </c>
      <c r="I123" s="1">
        <v>20.309999999999999</v>
      </c>
      <c r="J123" s="1">
        <v>0.32</v>
      </c>
      <c r="K123" s="3">
        <v>1750</v>
      </c>
      <c r="L123" s="13">
        <v>1725</v>
      </c>
      <c r="M123" s="49">
        <v>144</v>
      </c>
      <c r="N123" s="1">
        <v>276</v>
      </c>
      <c r="O123" s="3">
        <v>46</v>
      </c>
      <c r="P123" s="11" t="s">
        <v>2275</v>
      </c>
      <c r="Q123" s="3">
        <v>8</v>
      </c>
      <c r="R123" s="3">
        <v>256</v>
      </c>
      <c r="S123" s="22">
        <v>14</v>
      </c>
      <c r="T123" s="9">
        <v>220</v>
      </c>
      <c r="U123" s="14" t="s">
        <v>576</v>
      </c>
      <c r="V123" s="12">
        <v>4</v>
      </c>
      <c r="W123" s="75">
        <v>16</v>
      </c>
      <c r="X123" s="76">
        <v>16</v>
      </c>
      <c r="Y123" s="9">
        <v>769</v>
      </c>
      <c r="Z123" s="3">
        <v>911.77</v>
      </c>
      <c r="AA123" s="17" t="s">
        <v>767</v>
      </c>
      <c r="AB123" s="18" t="s">
        <v>766</v>
      </c>
      <c r="AC123" s="46" cm="1">
        <f t="array" ref="AC123">(SUMPRODUCT((H123:O123/H$9:O$9)^H$7:O$7*H$2:O$2)+SUMPRODUCT((Q123:T123/Q$9:T$9)^Q$7:T$7*Q$2:T$2))*(0.8^(1-G123))*AC$9</f>
        <v>1.8274292567985024</v>
      </c>
      <c r="AD123" s="48" cm="1">
        <f t="array" ref="AD123">(SUMPRODUCT((H123:O123/H$9:O$9)^H$7:O$7*H$3:O$3)+SUMPRODUCT((Q123:T123/Q$9:T$9)^Q$7:T$7*Q$3:T$3))*(0.1^(1-G123))*AD$9</f>
        <v>1.9959508829340069</v>
      </c>
      <c r="AE123" s="48" cm="1">
        <f t="array" ref="AE123">(SUMPRODUCT((H123:O123/H$9:O$9)^H$7:O$7*H$4:O$4)+SUMPRODUCT((Q123:T123/Q$9:T$9)^Q$7:T$7*Q$4:T$4))*AE$9</f>
        <v>1.8535002163147398</v>
      </c>
      <c r="AF123" s="47" cm="1">
        <f t="array" ref="AF123">(SUMPRODUCT((H123:O123/H$9:O$9)^H$7:O$7*H$5:O$5)+SUMPRODUCT((Q123:T123/Q$9:T$9)^Q$7:T$7*Q$5:T$5))*AF$9</f>
        <v>1.8143728949385003</v>
      </c>
      <c r="AG123" s="50" cm="1">
        <f t="array" ref="AG123">SUMPRODUCT(AC123:AF123 * AC$3:AF$3) / SUM(AC$3:AF$3)</f>
        <v>1.9217730953989198</v>
      </c>
    </row>
    <row r="124" spans="1:33" x14ac:dyDescent="0.25">
      <c r="A124" s="81" t="s">
        <v>763</v>
      </c>
      <c r="B124" s="20" t="s">
        <v>765</v>
      </c>
      <c r="C124" s="4" t="s">
        <v>8853</v>
      </c>
      <c r="D124" s="4" t="str">
        <f t="shared" si="1"/>
        <v>Palit</v>
      </c>
      <c r="E124" s="4" t="s">
        <v>8854</v>
      </c>
      <c r="F124" s="14" t="s">
        <v>8866</v>
      </c>
      <c r="G124" s="9">
        <v>1</v>
      </c>
      <c r="H124" s="1">
        <v>21.37</v>
      </c>
      <c r="I124" s="1">
        <v>21.37</v>
      </c>
      <c r="J124" s="1">
        <v>0.33</v>
      </c>
      <c r="K124" s="3">
        <v>1750</v>
      </c>
      <c r="L124" s="13">
        <v>1815</v>
      </c>
      <c r="M124" s="49">
        <v>144</v>
      </c>
      <c r="N124" s="1">
        <v>276</v>
      </c>
      <c r="O124" s="3">
        <v>46</v>
      </c>
      <c r="P124" s="11" t="s">
        <v>2275</v>
      </c>
      <c r="Q124" s="3">
        <v>8</v>
      </c>
      <c r="R124" s="3">
        <v>256</v>
      </c>
      <c r="S124" s="22">
        <v>14</v>
      </c>
      <c r="T124" s="9">
        <v>220</v>
      </c>
      <c r="U124" s="14" t="s">
        <v>576</v>
      </c>
      <c r="V124" s="12">
        <v>4</v>
      </c>
      <c r="W124" s="75">
        <v>16</v>
      </c>
      <c r="X124" s="76">
        <v>16</v>
      </c>
      <c r="Y124" s="9">
        <v>1842.08</v>
      </c>
      <c r="Z124" s="3">
        <v>1860.05</v>
      </c>
      <c r="AA124" s="17" t="s">
        <v>764</v>
      </c>
      <c r="AB124" s="18" t="s">
        <v>763</v>
      </c>
      <c r="AC124" s="46" cm="1">
        <f t="array" ref="AC124">(SUMPRODUCT((H124:O124/H$9:O$9)^H$7:O$7*H$2:O$2)+SUMPRODUCT((Q124:T124/Q$9:T$9)^Q$7:T$7*Q$2:T$2))*(0.8^(1-G124))*AC$9</f>
        <v>1.845035569545705</v>
      </c>
      <c r="AD124" s="48" cm="1">
        <f t="array" ref="AD124">(SUMPRODUCT((H124:O124/H$9:O$9)^H$7:O$7*H$3:O$3)+SUMPRODUCT((Q124:T124/Q$9:T$9)^Q$7:T$7*Q$3:T$3))*(0.1^(1-G124))*AD$9</f>
        <v>2.0578528053920717</v>
      </c>
      <c r="AE124" s="48" cm="1">
        <f t="array" ref="AE124">(SUMPRODUCT((H124:O124/H$9:O$9)^H$7:O$7*H$4:O$4)+SUMPRODUCT((Q124:T124/Q$9:T$9)^Q$7:T$7*Q$4:T$4))*AE$9</f>
        <v>1.8921399882549337</v>
      </c>
      <c r="AF124" s="47" cm="1">
        <f t="array" ref="AF124">(SUMPRODUCT((H124:O124/H$9:O$9)^H$7:O$7*H$5:O$5)+SUMPRODUCT((Q124:T124/Q$9:T$9)^Q$7:T$7*Q$5:T$5))*AF$9</f>
        <v>1.8485995988444217</v>
      </c>
      <c r="AG124" s="50" cm="1">
        <f t="array" ref="AG124">SUMPRODUCT(AC124:AF124 * AC$3:AF$3) / SUM(AC$3:AF$3)</f>
        <v>1.9690951964222758</v>
      </c>
    </row>
    <row r="125" spans="1:33" x14ac:dyDescent="0.25">
      <c r="A125" s="81" t="s">
        <v>760</v>
      </c>
      <c r="B125" s="20" t="s">
        <v>762</v>
      </c>
      <c r="C125" s="4" t="s">
        <v>8853</v>
      </c>
      <c r="D125" s="4" t="str">
        <f t="shared" si="1"/>
        <v>Palit</v>
      </c>
      <c r="E125" s="4" t="s">
        <v>8854</v>
      </c>
      <c r="F125" s="14" t="s">
        <v>8866</v>
      </c>
      <c r="G125" s="9">
        <v>1</v>
      </c>
      <c r="H125" s="1">
        <v>20.309999999999999</v>
      </c>
      <c r="I125" s="1">
        <v>20.309999999999999</v>
      </c>
      <c r="J125" s="1">
        <v>0.32</v>
      </c>
      <c r="K125" s="3">
        <v>1750</v>
      </c>
      <c r="L125" s="13">
        <v>1725</v>
      </c>
      <c r="M125" s="49">
        <v>144</v>
      </c>
      <c r="N125" s="1">
        <v>276</v>
      </c>
      <c r="O125" s="3">
        <v>46</v>
      </c>
      <c r="P125" s="11" t="s">
        <v>2275</v>
      </c>
      <c r="Q125" s="3">
        <v>8</v>
      </c>
      <c r="R125" s="3">
        <v>256</v>
      </c>
      <c r="S125" s="22">
        <v>14</v>
      </c>
      <c r="T125" s="9">
        <v>220</v>
      </c>
      <c r="U125" s="14" t="s">
        <v>576</v>
      </c>
      <c r="V125" s="12">
        <v>4</v>
      </c>
      <c r="W125" s="75">
        <v>16</v>
      </c>
      <c r="X125" s="76">
        <v>16</v>
      </c>
      <c r="Y125" s="9">
        <v>1214.7</v>
      </c>
      <c r="Z125" s="3">
        <v>1214.7</v>
      </c>
      <c r="AA125" s="17" t="s">
        <v>761</v>
      </c>
      <c r="AB125" s="18" t="s">
        <v>760</v>
      </c>
      <c r="AC125" s="46" cm="1">
        <f t="array" ref="AC125">(SUMPRODUCT((H125:O125/H$9:O$9)^H$7:O$7*H$2:O$2)+SUMPRODUCT((Q125:T125/Q$9:T$9)^Q$7:T$7*Q$2:T$2))*(0.8^(1-G125))*AC$9</f>
        <v>1.8274292567985024</v>
      </c>
      <c r="AD125" s="48" cm="1">
        <f t="array" ref="AD125">(SUMPRODUCT((H125:O125/H$9:O$9)^H$7:O$7*H$3:O$3)+SUMPRODUCT((Q125:T125/Q$9:T$9)^Q$7:T$7*Q$3:T$3))*(0.1^(1-G125))*AD$9</f>
        <v>1.9959508829340069</v>
      </c>
      <c r="AE125" s="48" cm="1">
        <f t="array" ref="AE125">(SUMPRODUCT((H125:O125/H$9:O$9)^H$7:O$7*H$4:O$4)+SUMPRODUCT((Q125:T125/Q$9:T$9)^Q$7:T$7*Q$4:T$4))*AE$9</f>
        <v>1.8535002163147398</v>
      </c>
      <c r="AF125" s="47" cm="1">
        <f t="array" ref="AF125">(SUMPRODUCT((H125:O125/H$9:O$9)^H$7:O$7*H$5:O$5)+SUMPRODUCT((Q125:T125/Q$9:T$9)^Q$7:T$7*Q$5:T$5))*AF$9</f>
        <v>1.8143728949385003</v>
      </c>
      <c r="AG125" s="50" cm="1">
        <f t="array" ref="AG125">SUMPRODUCT(AC125:AF125 * AC$3:AF$3) / SUM(AC$3:AF$3)</f>
        <v>1.9217730953989198</v>
      </c>
    </row>
    <row r="126" spans="1:33" x14ac:dyDescent="0.25">
      <c r="A126" s="81" t="s">
        <v>596</v>
      </c>
      <c r="B126" s="20" t="s">
        <v>598</v>
      </c>
      <c r="C126" s="4" t="s">
        <v>8853</v>
      </c>
      <c r="D126" s="4" t="str">
        <f t="shared" si="1"/>
        <v>Zotac</v>
      </c>
      <c r="E126" s="4" t="s">
        <v>8854</v>
      </c>
      <c r="F126" s="14" t="s">
        <v>8866</v>
      </c>
      <c r="G126" s="9">
        <v>1</v>
      </c>
      <c r="H126" s="1">
        <v>20.309999999999999</v>
      </c>
      <c r="I126" s="1">
        <v>20.309999999999999</v>
      </c>
      <c r="J126" s="1">
        <v>0.32</v>
      </c>
      <c r="K126" s="3">
        <v>1750</v>
      </c>
      <c r="L126" s="13">
        <v>1725</v>
      </c>
      <c r="M126" s="49">
        <v>144</v>
      </c>
      <c r="N126" s="1">
        <v>276</v>
      </c>
      <c r="O126" s="3">
        <v>46</v>
      </c>
      <c r="P126" s="11" t="s">
        <v>2275</v>
      </c>
      <c r="Q126" s="3">
        <v>8</v>
      </c>
      <c r="R126" s="3">
        <v>256</v>
      </c>
      <c r="S126" s="22">
        <v>14</v>
      </c>
      <c r="T126" s="9">
        <v>220</v>
      </c>
      <c r="U126" s="14" t="s">
        <v>576</v>
      </c>
      <c r="V126" s="12">
        <v>4</v>
      </c>
      <c r="W126" s="75">
        <v>16</v>
      </c>
      <c r="X126" s="76">
        <v>16</v>
      </c>
      <c r="Y126" s="9">
        <v>548.99</v>
      </c>
      <c r="Z126" s="3">
        <v>1028.9100000000001</v>
      </c>
      <c r="AA126" s="17" t="s">
        <v>597</v>
      </c>
      <c r="AB126" s="18" t="s">
        <v>596</v>
      </c>
      <c r="AC126" s="46" cm="1">
        <f t="array" ref="AC126">(SUMPRODUCT((H126:O126/H$9:O$9)^H$7:O$7*H$2:O$2)+SUMPRODUCT((Q126:T126/Q$9:T$9)^Q$7:T$7*Q$2:T$2))*(0.8^(1-G126))*AC$9</f>
        <v>1.8274292567985024</v>
      </c>
      <c r="AD126" s="48" cm="1">
        <f t="array" ref="AD126">(SUMPRODUCT((H126:O126/H$9:O$9)^H$7:O$7*H$3:O$3)+SUMPRODUCT((Q126:T126/Q$9:T$9)^Q$7:T$7*Q$3:T$3))*(0.1^(1-G126))*AD$9</f>
        <v>1.9959508829340069</v>
      </c>
      <c r="AE126" s="48" cm="1">
        <f t="array" ref="AE126">(SUMPRODUCT((H126:O126/H$9:O$9)^H$7:O$7*H$4:O$4)+SUMPRODUCT((Q126:T126/Q$9:T$9)^Q$7:T$7*Q$4:T$4))*AE$9</f>
        <v>1.8535002163147398</v>
      </c>
      <c r="AF126" s="47" cm="1">
        <f t="array" ref="AF126">(SUMPRODUCT((H126:O126/H$9:O$9)^H$7:O$7*H$5:O$5)+SUMPRODUCT((Q126:T126/Q$9:T$9)^Q$7:T$7*Q$5:T$5))*AF$9</f>
        <v>1.8143728949385003</v>
      </c>
      <c r="AG126" s="50" cm="1">
        <f t="array" ref="AG126">SUMPRODUCT(AC126:AF126 * AC$3:AF$3) / SUM(AC$3:AF$3)</f>
        <v>1.9217730953989198</v>
      </c>
    </row>
    <row r="127" spans="1:33" x14ac:dyDescent="0.25">
      <c r="A127" s="81" t="s">
        <v>593</v>
      </c>
      <c r="B127" s="20" t="s">
        <v>595</v>
      </c>
      <c r="C127" s="4" t="s">
        <v>8853</v>
      </c>
      <c r="D127" s="4" t="str">
        <f t="shared" si="1"/>
        <v>Zotac</v>
      </c>
      <c r="E127" s="4" t="s">
        <v>8854</v>
      </c>
      <c r="F127" s="14" t="s">
        <v>8866</v>
      </c>
      <c r="G127" s="9">
        <v>1</v>
      </c>
      <c r="H127" s="1">
        <v>20.67</v>
      </c>
      <c r="I127" s="1">
        <v>20.67</v>
      </c>
      <c r="J127" s="1">
        <v>0.32</v>
      </c>
      <c r="K127" s="3">
        <v>1750</v>
      </c>
      <c r="L127" s="13">
        <v>1755</v>
      </c>
      <c r="M127" s="49">
        <v>144</v>
      </c>
      <c r="N127" s="1">
        <v>276</v>
      </c>
      <c r="O127" s="3">
        <v>46</v>
      </c>
      <c r="P127" s="11" t="s">
        <v>2275</v>
      </c>
      <c r="Q127" s="3">
        <v>8</v>
      </c>
      <c r="R127" s="3">
        <v>256</v>
      </c>
      <c r="S127" s="22">
        <v>14</v>
      </c>
      <c r="T127" s="9">
        <v>220</v>
      </c>
      <c r="U127" s="14" t="s">
        <v>576</v>
      </c>
      <c r="V127" s="12">
        <v>4</v>
      </c>
      <c r="W127" s="75">
        <v>16</v>
      </c>
      <c r="X127" s="76">
        <v>16</v>
      </c>
      <c r="Y127" s="9">
        <v>848.29</v>
      </c>
      <c r="Z127" s="3">
        <v>1118.02</v>
      </c>
      <c r="AA127" s="17" t="s">
        <v>594</v>
      </c>
      <c r="AB127" s="18" t="s">
        <v>593</v>
      </c>
      <c r="AC127" s="46" cm="1">
        <f t="array" ref="AC127">(SUMPRODUCT((H127:O127/H$9:O$9)^H$7:O$7*H$2:O$2)+SUMPRODUCT((Q127:T127/Q$9:T$9)^Q$7:T$7*Q$2:T$2))*(0.8^(1-G127))*AC$9</f>
        <v>1.8333460764271481</v>
      </c>
      <c r="AD127" s="48" cm="1">
        <f t="array" ref="AD127">(SUMPRODUCT((H127:O127/H$9:O$9)^H$7:O$7*H$3:O$3)+SUMPRODUCT((Q127:T127/Q$9:T$9)^Q$7:T$7*Q$3:T$3))*(0.1^(1-G127))*AD$9</f>
        <v>2.0160082415960292</v>
      </c>
      <c r="AE127" s="48" cm="1">
        <f t="array" ref="AE127">(SUMPRODUCT((H127:O127/H$9:O$9)^H$7:O$7*H$4:O$4)+SUMPRODUCT((Q127:T127/Q$9:T$9)^Q$7:T$7*Q$4:T$4))*AE$9</f>
        <v>1.8596725977444248</v>
      </c>
      <c r="AF127" s="47" cm="1">
        <f t="array" ref="AF127">(SUMPRODUCT((H127:O127/H$9:O$9)^H$7:O$7*H$5:O$5)+SUMPRODUCT((Q127:T127/Q$9:T$9)^Q$7:T$7*Q$5:T$5))*AF$9</f>
        <v>1.8259890879931409</v>
      </c>
      <c r="AG127" s="50" cm="1">
        <f t="array" ref="AG127">SUMPRODUCT(AC127:AF127 * AC$3:AF$3) / SUM(AC$3:AF$3)</f>
        <v>1.9365240613727783</v>
      </c>
    </row>
    <row r="128" spans="1:33" x14ac:dyDescent="0.25">
      <c r="A128" s="81" t="s">
        <v>1829</v>
      </c>
      <c r="B128" s="20" t="s">
        <v>1831</v>
      </c>
      <c r="C128" s="4" t="s">
        <v>8853</v>
      </c>
      <c r="D128" s="4" t="str">
        <f t="shared" si="1"/>
        <v>ASUS</v>
      </c>
      <c r="E128" s="4" t="s">
        <v>8854</v>
      </c>
      <c r="F128" s="14" t="s">
        <v>8867</v>
      </c>
      <c r="G128" s="9">
        <v>1</v>
      </c>
      <c r="H128" s="1">
        <v>22.3</v>
      </c>
      <c r="I128" s="1">
        <v>22.3</v>
      </c>
      <c r="J128" s="1">
        <v>0.35</v>
      </c>
      <c r="K128" s="3">
        <v>1188</v>
      </c>
      <c r="L128" s="13">
        <v>1815</v>
      </c>
      <c r="M128" s="49">
        <v>151.6</v>
      </c>
      <c r="N128" s="1">
        <v>303.3</v>
      </c>
      <c r="O128" s="3">
        <v>48</v>
      </c>
      <c r="P128" s="11" t="s">
        <v>2276</v>
      </c>
      <c r="Q128" s="3">
        <v>8</v>
      </c>
      <c r="R128" s="3">
        <v>256</v>
      </c>
      <c r="S128" s="22">
        <v>19</v>
      </c>
      <c r="T128" s="9">
        <v>290</v>
      </c>
      <c r="U128" s="14" t="s">
        <v>576</v>
      </c>
      <c r="V128" s="12">
        <v>4</v>
      </c>
      <c r="W128" s="75">
        <v>16</v>
      </c>
      <c r="X128" s="76">
        <v>16</v>
      </c>
      <c r="Y128" s="9">
        <v>712.64</v>
      </c>
      <c r="Z128" s="3">
        <v>1169.1300000000001</v>
      </c>
      <c r="AA128" s="17" t="s">
        <v>1830</v>
      </c>
      <c r="AB128" s="18" t="s">
        <v>1829</v>
      </c>
      <c r="AC128" s="46" cm="1">
        <f t="array" ref="AC128">(SUMPRODUCT((H128:O128/H$9:O$9)^H$7:O$7*H$2:O$2)+SUMPRODUCT((Q128:T128/Q$9:T$9)^Q$7:T$7*Q$2:T$2))*(0.8^(1-G128))*AC$9</f>
        <v>1.8777029649286616</v>
      </c>
      <c r="AD128" s="48" cm="1">
        <f t="array" ref="AD128">(SUMPRODUCT((H128:O128/H$9:O$9)^H$7:O$7*H$3:O$3)+SUMPRODUCT((Q128:T128/Q$9:T$9)^Q$7:T$7*Q$3:T$3))*(0.1^(1-G128))*AD$9</f>
        <v>2.108553348247463</v>
      </c>
      <c r="AE128" s="48" cm="1">
        <f t="array" ref="AE128">(SUMPRODUCT((H128:O128/H$9:O$9)^H$7:O$7*H$4:O$4)+SUMPRODUCT((Q128:T128/Q$9:T$9)^Q$7:T$7*Q$4:T$4))*AE$9</f>
        <v>1.9615661576467271</v>
      </c>
      <c r="AF128" s="47" cm="1">
        <f t="array" ref="AF128">(SUMPRODUCT((H128:O128/H$9:O$9)^H$7:O$7*H$5:O$5)+SUMPRODUCT((Q128:T128/Q$9:T$9)^Q$7:T$7*Q$5:T$5))*AF$9</f>
        <v>1.8961641817482033</v>
      </c>
      <c r="AG128" s="50" cm="1">
        <f t="array" ref="AG128">SUMPRODUCT(AC128:AF128 * AC$3:AF$3) / SUM(AC$3:AF$3)</f>
        <v>2.0183481798777043</v>
      </c>
    </row>
    <row r="129" spans="1:33" x14ac:dyDescent="0.25">
      <c r="A129" s="81" t="s">
        <v>1688</v>
      </c>
      <c r="B129" s="20" t="s">
        <v>1690</v>
      </c>
      <c r="C129" s="4" t="s">
        <v>8853</v>
      </c>
      <c r="D129" s="4" t="str">
        <f t="shared" si="1"/>
        <v>GIGABYTE</v>
      </c>
      <c r="E129" s="4" t="s">
        <v>8854</v>
      </c>
      <c r="F129" s="14" t="s">
        <v>8867</v>
      </c>
      <c r="G129" s="9">
        <v>1</v>
      </c>
      <c r="H129" s="1">
        <v>23.04</v>
      </c>
      <c r="I129" s="1">
        <v>23.04</v>
      </c>
      <c r="J129" s="1">
        <v>0.36</v>
      </c>
      <c r="K129" s="3">
        <v>1188</v>
      </c>
      <c r="L129" s="13">
        <v>1875</v>
      </c>
      <c r="M129" s="49">
        <v>151.6</v>
      </c>
      <c r="N129" s="1">
        <v>303.3</v>
      </c>
      <c r="O129" s="3">
        <v>48</v>
      </c>
      <c r="P129" s="11" t="s">
        <v>2276</v>
      </c>
      <c r="Q129" s="3">
        <v>8</v>
      </c>
      <c r="R129" s="3">
        <v>256</v>
      </c>
      <c r="S129" s="22">
        <v>19</v>
      </c>
      <c r="T129" s="9">
        <v>290</v>
      </c>
      <c r="U129" s="14" t="s">
        <v>1691</v>
      </c>
      <c r="V129" s="12">
        <v>4</v>
      </c>
      <c r="W129" s="75">
        <v>16</v>
      </c>
      <c r="X129" s="76">
        <v>16</v>
      </c>
      <c r="Y129" s="9">
        <v>1325.76</v>
      </c>
      <c r="Z129" s="3">
        <v>1354.89</v>
      </c>
      <c r="AA129" s="17" t="s">
        <v>1689</v>
      </c>
      <c r="AB129" s="18" t="s">
        <v>1688</v>
      </c>
      <c r="AC129" s="46" cm="1">
        <f t="array" ref="AC129">(SUMPRODUCT((H129:O129/H$9:O$9)^H$7:O$7*H$2:O$2)+SUMPRODUCT((Q129:T129/Q$9:T$9)^Q$7:T$7*Q$2:T$2))*(0.8^(1-G129))*AC$9</f>
        <v>1.8895633095237625</v>
      </c>
      <c r="AD129" s="48" cm="1">
        <f t="array" ref="AD129">(SUMPRODUCT((H129:O129/H$9:O$9)^H$7:O$7*H$3:O$3)+SUMPRODUCT((Q129:T129/Q$9:T$9)^Q$7:T$7*Q$3:T$3))*(0.1^(1-G129))*AD$9</f>
        <v>2.152095179706373</v>
      </c>
      <c r="AE129" s="48" cm="1">
        <f t="array" ref="AE129">(SUMPRODUCT((H129:O129/H$9:O$9)^H$7:O$7*H$4:O$4)+SUMPRODUCT((Q129:T129/Q$9:T$9)^Q$7:T$7*Q$4:T$4))*AE$9</f>
        <v>1.9942635605309933</v>
      </c>
      <c r="AF129" s="47" cm="1">
        <f t="array" ref="AF129">(SUMPRODUCT((H129:O129/H$9:O$9)^H$7:O$7*H$5:O$5)+SUMPRODUCT((Q129:T129/Q$9:T$9)^Q$7:T$7*Q$5:T$5))*AF$9</f>
        <v>1.9197110136718318</v>
      </c>
      <c r="AG129" s="50" cm="1">
        <f t="array" ref="AG129">SUMPRODUCT(AC129:AF129 * AC$3:AF$3) / SUM(AC$3:AF$3)</f>
        <v>2.0520723270951389</v>
      </c>
    </row>
    <row r="130" spans="1:33" x14ac:dyDescent="0.25">
      <c r="A130" s="81" t="s">
        <v>1574</v>
      </c>
      <c r="B130" s="20" t="s">
        <v>1576</v>
      </c>
      <c r="C130" s="4" t="s">
        <v>8853</v>
      </c>
      <c r="D130" s="4" t="str">
        <f t="shared" si="1"/>
        <v>GIGABYTE</v>
      </c>
      <c r="E130" s="4" t="s">
        <v>8854</v>
      </c>
      <c r="F130" s="14" t="s">
        <v>8867</v>
      </c>
      <c r="G130" s="9">
        <v>1</v>
      </c>
      <c r="H130" s="1">
        <v>21.75</v>
      </c>
      <c r="I130" s="1">
        <v>21.75</v>
      </c>
      <c r="J130" s="1">
        <v>0.34</v>
      </c>
      <c r="K130" s="3">
        <v>1188</v>
      </c>
      <c r="L130" s="13">
        <v>1770</v>
      </c>
      <c r="M130" s="49">
        <v>151.6</v>
      </c>
      <c r="N130" s="1">
        <v>303.3</v>
      </c>
      <c r="O130" s="3">
        <v>48</v>
      </c>
      <c r="P130" s="11" t="s">
        <v>2276</v>
      </c>
      <c r="Q130" s="3">
        <v>8</v>
      </c>
      <c r="R130" s="3">
        <v>256</v>
      </c>
      <c r="S130" s="22">
        <v>19</v>
      </c>
      <c r="T130" s="9">
        <v>290</v>
      </c>
      <c r="U130" s="14" t="s">
        <v>576</v>
      </c>
      <c r="V130" s="12">
        <v>4</v>
      </c>
      <c r="W130" s="75">
        <v>16</v>
      </c>
      <c r="X130" s="76">
        <v>16</v>
      </c>
      <c r="Y130" s="9">
        <v>699.95</v>
      </c>
      <c r="Z130" s="3">
        <v>699.95</v>
      </c>
      <c r="AA130" s="17" t="s">
        <v>1575</v>
      </c>
      <c r="AB130" s="18" t="s">
        <v>1574</v>
      </c>
      <c r="AC130" s="46" cm="1">
        <f t="array" ref="AC130">(SUMPRODUCT((H130:O130/H$9:O$9)^H$7:O$7*H$2:O$2)+SUMPRODUCT((Q130:T130/Q$9:T$9)^Q$7:T$7*Q$2:T$2))*(0.8^(1-G130))*AC$9</f>
        <v>1.8688103796016147</v>
      </c>
      <c r="AD130" s="48" cm="1">
        <f t="array" ref="AD130">(SUMPRODUCT((H130:O130/H$9:O$9)^H$7:O$7*H$3:O$3)+SUMPRODUCT((Q130:T130/Q$9:T$9)^Q$7:T$7*Q$3:T$3))*(0.1^(1-G130))*AD$9</f>
        <v>2.0753142786324847</v>
      </c>
      <c r="AE130" s="48" cm="1">
        <f t="array" ref="AE130">(SUMPRODUCT((H130:O130/H$9:O$9)^H$7:O$7*H$4:O$4)+SUMPRODUCT((Q130:T130/Q$9:T$9)^Q$7:T$7*Q$4:T$4))*AE$9</f>
        <v>1.931951258589045</v>
      </c>
      <c r="AF130" s="47" cm="1">
        <f t="array" ref="AF130">(SUMPRODUCT((H130:O130/H$9:O$9)^H$7:O$7*H$5:O$5)+SUMPRODUCT((Q130:T130/Q$9:T$9)^Q$7:T$7*Q$5:T$5))*AF$9</f>
        <v>1.8785877917177647</v>
      </c>
      <c r="AG130" s="50" cm="1">
        <f t="array" ref="AG130">SUMPRODUCT(AC130:AF130 * AC$3:AF$3) / SUM(AC$3:AF$3)</f>
        <v>1.9921799898589485</v>
      </c>
    </row>
    <row r="131" spans="1:33" x14ac:dyDescent="0.25">
      <c r="A131" s="81" t="s">
        <v>1571</v>
      </c>
      <c r="B131" s="20" t="s">
        <v>1573</v>
      </c>
      <c r="C131" s="4" t="s">
        <v>8853</v>
      </c>
      <c r="D131" s="4" t="str">
        <f t="shared" si="1"/>
        <v>GIGABYTE</v>
      </c>
      <c r="E131" s="4" t="s">
        <v>8854</v>
      </c>
      <c r="F131" s="14" t="s">
        <v>8867</v>
      </c>
      <c r="G131" s="9">
        <v>1</v>
      </c>
      <c r="H131" s="1">
        <v>22.49</v>
      </c>
      <c r="I131" s="1">
        <v>22.49</v>
      </c>
      <c r="J131" s="1">
        <v>0.35</v>
      </c>
      <c r="K131" s="3">
        <v>1188</v>
      </c>
      <c r="L131" s="13">
        <v>1830</v>
      </c>
      <c r="M131" s="49">
        <v>151.6</v>
      </c>
      <c r="N131" s="1">
        <v>303.3</v>
      </c>
      <c r="O131" s="3">
        <v>48</v>
      </c>
      <c r="P131" s="11" t="s">
        <v>2276</v>
      </c>
      <c r="Q131" s="3">
        <v>8</v>
      </c>
      <c r="R131" s="3">
        <v>256</v>
      </c>
      <c r="S131" s="22">
        <v>19</v>
      </c>
      <c r="T131" s="9">
        <v>290</v>
      </c>
      <c r="U131" s="14" t="s">
        <v>576</v>
      </c>
      <c r="V131" s="12">
        <v>4</v>
      </c>
      <c r="W131" s="75">
        <v>16</v>
      </c>
      <c r="X131" s="76">
        <v>16</v>
      </c>
      <c r="Y131" s="9">
        <v>1225.17</v>
      </c>
      <c r="Z131" s="3">
        <v>1275.94</v>
      </c>
      <c r="AA131" s="17" t="s">
        <v>1572</v>
      </c>
      <c r="AB131" s="18" t="s">
        <v>1571</v>
      </c>
      <c r="AC131" s="46" cm="1">
        <f t="array" ref="AC131">(SUMPRODUCT((H131:O131/H$9:O$9)^H$7:O$7*H$2:O$2)+SUMPRODUCT((Q131:T131/Q$9:T$9)^Q$7:T$7*Q$2:T$2))*(0.8^(1-G131))*AC$9</f>
        <v>1.8806999940568825</v>
      </c>
      <c r="AD131" s="48" cm="1">
        <f t="array" ref="AD131">(SUMPRODUCT((H131:O131/H$9:O$9)^H$7:O$7*H$3:O$3)+SUMPRODUCT((Q131:T131/Q$9:T$9)^Q$7:T$7*Q$3:T$3))*(0.1^(1-G131))*AD$9</f>
        <v>2.119000200971132</v>
      </c>
      <c r="AE131" s="48" cm="1">
        <f t="array" ref="AE131">(SUMPRODUCT((H131:O131/H$9:O$9)^H$7:O$7*H$4:O$4)+SUMPRODUCT((Q131:T131/Q$9:T$9)^Q$7:T$7*Q$4:T$4))*AE$9</f>
        <v>1.9647949675315317</v>
      </c>
      <c r="AF131" s="47" cm="1">
        <f t="array" ref="AF131">(SUMPRODUCT((H131:O131/H$9:O$9)^H$7:O$7*H$5:O$5)+SUMPRODUCT((Q131:T131/Q$9:T$9)^Q$7:T$7*Q$5:T$5))*AF$9</f>
        <v>1.9021971687685804</v>
      </c>
      <c r="AG131" s="50" cm="1">
        <f t="array" ref="AG131">SUMPRODUCT(AC131:AF131 * AC$3:AF$3) / SUM(AC$3:AF$3)</f>
        <v>2.0260157462917099</v>
      </c>
    </row>
    <row r="132" spans="1:33" x14ac:dyDescent="0.25">
      <c r="A132" s="81" t="s">
        <v>1568</v>
      </c>
      <c r="B132" s="20" t="s">
        <v>1570</v>
      </c>
      <c r="C132" s="4" t="s">
        <v>8853</v>
      </c>
      <c r="D132" s="4" t="str">
        <f t="shared" si="1"/>
        <v>GIGABYTE</v>
      </c>
      <c r="E132" s="4" t="s">
        <v>8854</v>
      </c>
      <c r="F132" s="14" t="s">
        <v>8867</v>
      </c>
      <c r="G132" s="9">
        <v>1</v>
      </c>
      <c r="H132" s="1">
        <v>22.49</v>
      </c>
      <c r="I132" s="1">
        <v>22.49</v>
      </c>
      <c r="J132" s="1">
        <v>0.35</v>
      </c>
      <c r="K132" s="3">
        <v>1188</v>
      </c>
      <c r="L132" s="13">
        <v>1830</v>
      </c>
      <c r="M132" s="49">
        <v>151.6</v>
      </c>
      <c r="N132" s="1">
        <v>303.3</v>
      </c>
      <c r="O132" s="3">
        <v>48</v>
      </c>
      <c r="P132" s="11" t="s">
        <v>2276</v>
      </c>
      <c r="Q132" s="3">
        <v>8</v>
      </c>
      <c r="R132" s="3">
        <v>256</v>
      </c>
      <c r="S132" s="22">
        <v>19</v>
      </c>
      <c r="T132" s="9">
        <v>290</v>
      </c>
      <c r="U132" s="14" t="s">
        <v>576</v>
      </c>
      <c r="V132" s="12">
        <v>4</v>
      </c>
      <c r="W132" s="75">
        <v>16</v>
      </c>
      <c r="X132" s="76">
        <v>16</v>
      </c>
      <c r="Y132" s="9">
        <v>850.45</v>
      </c>
      <c r="Z132" s="3">
        <v>1729.45</v>
      </c>
      <c r="AA132" s="17" t="s">
        <v>1569</v>
      </c>
      <c r="AB132" s="18" t="s">
        <v>1568</v>
      </c>
      <c r="AC132" s="46" cm="1">
        <f t="array" ref="AC132">(SUMPRODUCT((H132:O132/H$9:O$9)^H$7:O$7*H$2:O$2)+SUMPRODUCT((Q132:T132/Q$9:T$9)^Q$7:T$7*Q$2:T$2))*(0.8^(1-G132))*AC$9</f>
        <v>1.8806999940568825</v>
      </c>
      <c r="AD132" s="48" cm="1">
        <f t="array" ref="AD132">(SUMPRODUCT((H132:O132/H$9:O$9)^H$7:O$7*H$3:O$3)+SUMPRODUCT((Q132:T132/Q$9:T$9)^Q$7:T$7*Q$3:T$3))*(0.1^(1-G132))*AD$9</f>
        <v>2.119000200971132</v>
      </c>
      <c r="AE132" s="48" cm="1">
        <f t="array" ref="AE132">(SUMPRODUCT((H132:O132/H$9:O$9)^H$7:O$7*H$4:O$4)+SUMPRODUCT((Q132:T132/Q$9:T$9)^Q$7:T$7*Q$4:T$4))*AE$9</f>
        <v>1.9647949675315317</v>
      </c>
      <c r="AF132" s="47" cm="1">
        <f t="array" ref="AF132">(SUMPRODUCT((H132:O132/H$9:O$9)^H$7:O$7*H$5:O$5)+SUMPRODUCT((Q132:T132/Q$9:T$9)^Q$7:T$7*Q$5:T$5))*AF$9</f>
        <v>1.9021971687685804</v>
      </c>
      <c r="AG132" s="50" cm="1">
        <f t="array" ref="AG132">SUMPRODUCT(AC132:AF132 * AC$3:AF$3) / SUM(AC$3:AF$3)</f>
        <v>2.0260157462917099</v>
      </c>
    </row>
    <row r="133" spans="1:33" x14ac:dyDescent="0.25">
      <c r="A133" s="81" t="s">
        <v>1295</v>
      </c>
      <c r="B133" s="20" t="s">
        <v>1297</v>
      </c>
      <c r="C133" s="4" t="s">
        <v>8853</v>
      </c>
      <c r="D133" s="4" t="str">
        <f t="shared" si="1"/>
        <v>INNO3D</v>
      </c>
      <c r="E133" s="4" t="s">
        <v>8854</v>
      </c>
      <c r="F133" s="14" t="s">
        <v>8867</v>
      </c>
      <c r="G133" s="9">
        <v>1</v>
      </c>
      <c r="H133" s="1">
        <v>22.49</v>
      </c>
      <c r="I133" s="1">
        <v>22.49</v>
      </c>
      <c r="J133" s="1">
        <v>0.35</v>
      </c>
      <c r="K133" s="3">
        <v>1188</v>
      </c>
      <c r="L133" s="13">
        <v>1830</v>
      </c>
      <c r="M133" s="49">
        <v>151.6</v>
      </c>
      <c r="N133" s="1">
        <v>303.3</v>
      </c>
      <c r="O133" s="3">
        <v>48</v>
      </c>
      <c r="P133" s="11" t="s">
        <v>2276</v>
      </c>
      <c r="Q133" s="3">
        <v>8</v>
      </c>
      <c r="R133" s="3">
        <v>256</v>
      </c>
      <c r="S133" s="22">
        <v>19</v>
      </c>
      <c r="T133" s="9">
        <v>290</v>
      </c>
      <c r="U133" s="14" t="s">
        <v>576</v>
      </c>
      <c r="V133" s="12">
        <v>4</v>
      </c>
      <c r="W133" s="75">
        <v>16</v>
      </c>
      <c r="X133" s="76">
        <v>16</v>
      </c>
      <c r="Y133" s="9">
        <v>1090</v>
      </c>
      <c r="Z133" s="3">
        <v>1101.3599999999999</v>
      </c>
      <c r="AA133" s="17" t="s">
        <v>1296</v>
      </c>
      <c r="AB133" s="18" t="s">
        <v>1295</v>
      </c>
      <c r="AC133" s="46" cm="1">
        <f t="array" ref="AC133">(SUMPRODUCT((H133:O133/H$9:O$9)^H$7:O$7*H$2:O$2)+SUMPRODUCT((Q133:T133/Q$9:T$9)^Q$7:T$7*Q$2:T$2))*(0.8^(1-G133))*AC$9</f>
        <v>1.8806999940568825</v>
      </c>
      <c r="AD133" s="48" cm="1">
        <f t="array" ref="AD133">(SUMPRODUCT((H133:O133/H$9:O$9)^H$7:O$7*H$3:O$3)+SUMPRODUCT((Q133:T133/Q$9:T$9)^Q$7:T$7*Q$3:T$3))*(0.1^(1-G133))*AD$9</f>
        <v>2.119000200971132</v>
      </c>
      <c r="AE133" s="48" cm="1">
        <f t="array" ref="AE133">(SUMPRODUCT((H133:O133/H$9:O$9)^H$7:O$7*H$4:O$4)+SUMPRODUCT((Q133:T133/Q$9:T$9)^Q$7:T$7*Q$4:T$4))*AE$9</f>
        <v>1.9647949675315317</v>
      </c>
      <c r="AF133" s="47" cm="1">
        <f t="array" ref="AF133">(SUMPRODUCT((H133:O133/H$9:O$9)^H$7:O$7*H$5:O$5)+SUMPRODUCT((Q133:T133/Q$9:T$9)^Q$7:T$7*Q$5:T$5))*AF$9</f>
        <v>1.9021971687685804</v>
      </c>
      <c r="AG133" s="50" cm="1">
        <f t="array" ref="AG133">SUMPRODUCT(AC133:AF133 * AC$3:AF$3) / SUM(AC$3:AF$3)</f>
        <v>2.0260157462917099</v>
      </c>
    </row>
    <row r="134" spans="1:33" x14ac:dyDescent="0.25">
      <c r="A134" s="81" t="s">
        <v>1292</v>
      </c>
      <c r="B134" s="20" t="s">
        <v>1294</v>
      </c>
      <c r="C134" s="4" t="s">
        <v>8853</v>
      </c>
      <c r="D134" s="4" t="str">
        <f t="shared" si="1"/>
        <v>INNO3D</v>
      </c>
      <c r="E134" s="4" t="s">
        <v>8854</v>
      </c>
      <c r="F134" s="14" t="s">
        <v>8867</v>
      </c>
      <c r="G134" s="9">
        <v>1</v>
      </c>
      <c r="H134" s="1">
        <v>21.93</v>
      </c>
      <c r="I134" s="1">
        <v>21.93</v>
      </c>
      <c r="J134" s="1">
        <v>0.34</v>
      </c>
      <c r="K134" s="3">
        <v>1188</v>
      </c>
      <c r="L134" s="13">
        <v>1785</v>
      </c>
      <c r="M134" s="49">
        <v>151.6</v>
      </c>
      <c r="N134" s="1">
        <v>303.3</v>
      </c>
      <c r="O134" s="3">
        <v>48</v>
      </c>
      <c r="P134" s="11" t="s">
        <v>2276</v>
      </c>
      <c r="Q134" s="3">
        <v>8</v>
      </c>
      <c r="R134" s="3">
        <v>256</v>
      </c>
      <c r="S134" s="22">
        <v>19</v>
      </c>
      <c r="T134" s="9">
        <v>290</v>
      </c>
      <c r="U134" s="14" t="s">
        <v>576</v>
      </c>
      <c r="V134" s="12">
        <v>4</v>
      </c>
      <c r="W134" s="75">
        <v>16</v>
      </c>
      <c r="X134" s="76">
        <v>16</v>
      </c>
      <c r="Y134" s="9">
        <v>696.39</v>
      </c>
      <c r="Z134" s="3">
        <v>1387.46</v>
      </c>
      <c r="AA134" s="17" t="s">
        <v>1293</v>
      </c>
      <c r="AB134" s="18" t="s">
        <v>1292</v>
      </c>
      <c r="AC134" s="46" cm="1">
        <f t="array" ref="AC134">(SUMPRODUCT((H134:O134/H$9:O$9)^H$7:O$7*H$2:O$2)+SUMPRODUCT((Q134:T134/Q$9:T$9)^Q$7:T$7*Q$2:T$2))*(0.8^(1-G134))*AC$9</f>
        <v>1.8717581330261555</v>
      </c>
      <c r="AD134" s="48" cm="1">
        <f t="array" ref="AD134">(SUMPRODUCT((H134:O134/H$9:O$9)^H$7:O$7*H$3:O$3)+SUMPRODUCT((Q134:T134/Q$9:T$9)^Q$7:T$7*Q$3:T$3))*(0.1^(1-G134))*AD$9</f>
        <v>2.085263295359213</v>
      </c>
      <c r="AE134" s="48" cm="1">
        <f t="array" ref="AE134">(SUMPRODUCT((H134:O134/H$9:O$9)^H$7:O$7*H$4:O$4)+SUMPRODUCT((Q134:T134/Q$9:T$9)^Q$7:T$7*Q$4:T$4))*AE$9</f>
        <v>1.9350178168027199</v>
      </c>
      <c r="AF134" s="47" cm="1">
        <f t="array" ref="AF134">(SUMPRODUCT((H134:O134/H$9:O$9)^H$7:O$7*H$5:O$5)+SUMPRODUCT((Q134:T134/Q$9:T$9)^Q$7:T$7*Q$5:T$5))*AF$9</f>
        <v>1.8843592894391854</v>
      </c>
      <c r="AG134" s="50" cm="1">
        <f t="array" ref="AG134">SUMPRODUCT(AC134:AF134 * AC$3:AF$3) / SUM(AC$3:AF$3)</f>
        <v>1.9995011585885325</v>
      </c>
    </row>
    <row r="135" spans="1:33" x14ac:dyDescent="0.25">
      <c r="A135" s="81" t="s">
        <v>1107</v>
      </c>
      <c r="B135" s="20" t="s">
        <v>1109</v>
      </c>
      <c r="C135" s="4" t="s">
        <v>8853</v>
      </c>
      <c r="D135" s="4" t="str">
        <f t="shared" si="1"/>
        <v>MSI</v>
      </c>
      <c r="E135" s="4" t="s">
        <v>8854</v>
      </c>
      <c r="F135" s="14" t="s">
        <v>8867</v>
      </c>
      <c r="G135" s="9">
        <v>1</v>
      </c>
      <c r="H135" s="1">
        <v>22.49</v>
      </c>
      <c r="I135" s="1">
        <v>22.49</v>
      </c>
      <c r="J135" s="1">
        <v>0.35</v>
      </c>
      <c r="K135" s="3">
        <v>1188</v>
      </c>
      <c r="L135" s="13">
        <v>1830</v>
      </c>
      <c r="M135" s="49">
        <v>151.6</v>
      </c>
      <c r="N135" s="1">
        <v>303.3</v>
      </c>
      <c r="O135" s="3">
        <v>48</v>
      </c>
      <c r="P135" s="11" t="s">
        <v>2276</v>
      </c>
      <c r="Q135" s="3">
        <v>8</v>
      </c>
      <c r="R135" s="3">
        <v>256</v>
      </c>
      <c r="S135" s="22">
        <v>19</v>
      </c>
      <c r="T135" s="9">
        <v>310</v>
      </c>
      <c r="U135" s="14" t="s">
        <v>576</v>
      </c>
      <c r="V135" s="12">
        <v>4</v>
      </c>
      <c r="W135" s="75">
        <v>16</v>
      </c>
      <c r="X135" s="76">
        <v>16</v>
      </c>
      <c r="Y135" s="9">
        <v>819</v>
      </c>
      <c r="Z135" s="3">
        <v>829</v>
      </c>
      <c r="AA135" s="17" t="s">
        <v>1108</v>
      </c>
      <c r="AB135" s="18" t="s">
        <v>1107</v>
      </c>
      <c r="AC135" s="46" cm="1">
        <f t="array" ref="AC135">(SUMPRODUCT((H135:O135/H$9:O$9)^H$7:O$7*H$2:O$2)+SUMPRODUCT((Q135:T135/Q$9:T$9)^Q$7:T$7*Q$2:T$2))*(0.8^(1-G135))*AC$9</f>
        <v>1.8798943580004313</v>
      </c>
      <c r="AD135" s="48" cm="1">
        <f t="array" ref="AD135">(SUMPRODUCT((H135:O135/H$9:O$9)^H$7:O$7*H$3:O$3)+SUMPRODUCT((Q135:T135/Q$9:T$9)^Q$7:T$7*Q$3:T$3))*(0.1^(1-G135))*AD$9</f>
        <v>2.1181945649146807</v>
      </c>
      <c r="AE135" s="48" cm="1">
        <f t="array" ref="AE135">(SUMPRODUCT((H135:O135/H$9:O$9)^H$7:O$7*H$4:O$4)+SUMPRODUCT((Q135:T135/Q$9:T$9)^Q$7:T$7*Q$4:T$4))*AE$9</f>
        <v>1.9647949675315317</v>
      </c>
      <c r="AF135" s="47" cm="1">
        <f t="array" ref="AF135">(SUMPRODUCT((H135:O135/H$9:O$9)^H$7:O$7*H$5:O$5)+SUMPRODUCT((Q135:T135/Q$9:T$9)^Q$7:T$7*Q$5:T$5))*AF$9</f>
        <v>1.9013915327121289</v>
      </c>
      <c r="AG135" s="50" cm="1">
        <f t="array" ref="AG135">SUMPRODUCT(AC135:AF135 * AC$3:AF$3) / SUM(AC$3:AF$3)</f>
        <v>2.0252996253526416</v>
      </c>
    </row>
    <row r="136" spans="1:33" x14ac:dyDescent="0.25">
      <c r="A136" s="81" t="s">
        <v>1104</v>
      </c>
      <c r="B136" s="20" t="s">
        <v>1106</v>
      </c>
      <c r="C136" s="4" t="s">
        <v>8853</v>
      </c>
      <c r="D136" s="4" t="str">
        <f t="shared" ref="D136:D199" si="2">LEFT(AB136, FIND(" ", AB136 &amp; " ") - 1)</f>
        <v>MSI</v>
      </c>
      <c r="E136" s="4" t="s">
        <v>8854</v>
      </c>
      <c r="F136" s="14" t="s">
        <v>8867</v>
      </c>
      <c r="G136" s="9">
        <v>1</v>
      </c>
      <c r="H136" s="1">
        <v>22.12</v>
      </c>
      <c r="I136" s="1">
        <v>22.12</v>
      </c>
      <c r="J136" s="1">
        <v>0.35</v>
      </c>
      <c r="K136" s="3">
        <v>1188</v>
      </c>
      <c r="L136" s="13">
        <v>1800</v>
      </c>
      <c r="M136" s="49">
        <v>151.6</v>
      </c>
      <c r="N136" s="1">
        <v>303.3</v>
      </c>
      <c r="O136" s="3">
        <v>48</v>
      </c>
      <c r="P136" s="11" t="s">
        <v>2276</v>
      </c>
      <c r="Q136" s="3">
        <v>8</v>
      </c>
      <c r="R136" s="3">
        <v>256</v>
      </c>
      <c r="S136" s="22">
        <v>19</v>
      </c>
      <c r="T136" s="9">
        <v>290</v>
      </c>
      <c r="U136" s="14" t="s">
        <v>576</v>
      </c>
      <c r="V136" s="12">
        <v>4</v>
      </c>
      <c r="W136" s="75">
        <v>16</v>
      </c>
      <c r="X136" s="76">
        <v>16</v>
      </c>
      <c r="Y136" s="9">
        <v>1000</v>
      </c>
      <c r="Z136" s="3">
        <v>1030.03</v>
      </c>
      <c r="AA136" s="17" t="s">
        <v>1105</v>
      </c>
      <c r="AB136" s="18" t="s">
        <v>1104</v>
      </c>
      <c r="AC136" s="46" cm="1">
        <f t="array" ref="AC136">(SUMPRODUCT((H136:O136/H$9:O$9)^H$7:O$7*H$2:O$2)+SUMPRODUCT((Q136:T136/Q$9:T$9)^Q$7:T$7*Q$2:T$2))*(0.8^(1-G136))*AC$9</f>
        <v>1.8747601474004729</v>
      </c>
      <c r="AD136" s="48" cm="1">
        <f t="array" ref="AD136">(SUMPRODUCT((H136:O136/H$9:O$9)^H$7:O$7*H$3:O$3)+SUMPRODUCT((Q136:T136/Q$9:T$9)^Q$7:T$7*Q$3:T$3))*(0.1^(1-G136))*AD$9</f>
        <v>2.0986256183967367</v>
      </c>
      <c r="AE136" s="48" cm="1">
        <f t="array" ref="AE136">(SUMPRODUCT((H136:O136/H$9:O$9)^H$7:O$7*H$4:O$4)+SUMPRODUCT((Q136:T136/Q$9:T$9)^Q$7:T$7*Q$4:T$4))*AE$9</f>
        <v>1.9585047468001973</v>
      </c>
      <c r="AF136" s="47" cm="1">
        <f t="array" ref="AF136">(SUMPRODUCT((H136:O136/H$9:O$9)^H$7:O$7*H$5:O$5)+SUMPRODUCT((Q136:T136/Q$9:T$9)^Q$7:T$7*Q$5:T$5))*AF$9</f>
        <v>1.8904031318422887</v>
      </c>
      <c r="AG136" s="50" cm="1">
        <f t="array" ref="AG136">SUMPRODUCT(AC136:AF136 * AC$3:AF$3) / SUM(AC$3:AF$3)</f>
        <v>2.0110419730720026</v>
      </c>
    </row>
    <row r="137" spans="1:33" x14ac:dyDescent="0.25">
      <c r="A137" s="81" t="s">
        <v>757</v>
      </c>
      <c r="B137" s="20" t="s">
        <v>759</v>
      </c>
      <c r="C137" s="4" t="s">
        <v>8853</v>
      </c>
      <c r="D137" s="4" t="str">
        <f t="shared" si="2"/>
        <v>Palit</v>
      </c>
      <c r="E137" s="4" t="s">
        <v>8854</v>
      </c>
      <c r="F137" s="14" t="s">
        <v>8867</v>
      </c>
      <c r="G137" s="9">
        <v>1</v>
      </c>
      <c r="H137" s="1">
        <v>21.75</v>
      </c>
      <c r="I137" s="1">
        <v>21.75</v>
      </c>
      <c r="J137" s="1">
        <v>0.34</v>
      </c>
      <c r="K137" s="3">
        <v>1188</v>
      </c>
      <c r="L137" s="13">
        <v>1770</v>
      </c>
      <c r="M137" s="49">
        <v>151.6</v>
      </c>
      <c r="N137" s="1">
        <v>303.3</v>
      </c>
      <c r="O137" s="3">
        <v>48</v>
      </c>
      <c r="P137" s="11" t="s">
        <v>2276</v>
      </c>
      <c r="Q137" s="3">
        <v>8</v>
      </c>
      <c r="R137" s="3">
        <v>256</v>
      </c>
      <c r="S137" s="22">
        <v>19</v>
      </c>
      <c r="T137" s="9">
        <v>290</v>
      </c>
      <c r="U137" s="14" t="s">
        <v>576</v>
      </c>
      <c r="V137" s="12">
        <v>4</v>
      </c>
      <c r="W137" s="75">
        <v>16</v>
      </c>
      <c r="X137" s="76">
        <v>16</v>
      </c>
      <c r="Y137" s="9">
        <v>833.72</v>
      </c>
      <c r="Z137" s="3">
        <v>1414.11</v>
      </c>
      <c r="AA137" s="17" t="s">
        <v>758</v>
      </c>
      <c r="AB137" s="18" t="s">
        <v>757</v>
      </c>
      <c r="AC137" s="46" cm="1">
        <f t="array" ref="AC137">(SUMPRODUCT((H137:O137/H$9:O$9)^H$7:O$7*H$2:O$2)+SUMPRODUCT((Q137:T137/Q$9:T$9)^Q$7:T$7*Q$2:T$2))*(0.8^(1-G137))*AC$9</f>
        <v>1.8688103796016147</v>
      </c>
      <c r="AD137" s="48" cm="1">
        <f t="array" ref="AD137">(SUMPRODUCT((H137:O137/H$9:O$9)^H$7:O$7*H$3:O$3)+SUMPRODUCT((Q137:T137/Q$9:T$9)^Q$7:T$7*Q$3:T$3))*(0.1^(1-G137))*AD$9</f>
        <v>2.0753142786324847</v>
      </c>
      <c r="AE137" s="48" cm="1">
        <f t="array" ref="AE137">(SUMPRODUCT((H137:O137/H$9:O$9)^H$7:O$7*H$4:O$4)+SUMPRODUCT((Q137:T137/Q$9:T$9)^Q$7:T$7*Q$4:T$4))*AE$9</f>
        <v>1.931951258589045</v>
      </c>
      <c r="AF137" s="47" cm="1">
        <f t="array" ref="AF137">(SUMPRODUCT((H137:O137/H$9:O$9)^H$7:O$7*H$5:O$5)+SUMPRODUCT((Q137:T137/Q$9:T$9)^Q$7:T$7*Q$5:T$5))*AF$9</f>
        <v>1.8785877917177647</v>
      </c>
      <c r="AG137" s="50" cm="1">
        <f t="array" ref="AG137">SUMPRODUCT(AC137:AF137 * AC$3:AF$3) / SUM(AC$3:AF$3)</f>
        <v>1.9921799898589485</v>
      </c>
    </row>
    <row r="138" spans="1:33" x14ac:dyDescent="0.25">
      <c r="A138" s="81" t="s">
        <v>754</v>
      </c>
      <c r="B138" s="20" t="s">
        <v>756</v>
      </c>
      <c r="C138" s="4" t="s">
        <v>8853</v>
      </c>
      <c r="D138" s="4" t="str">
        <f t="shared" si="2"/>
        <v>Palit</v>
      </c>
      <c r="E138" s="4" t="s">
        <v>8854</v>
      </c>
      <c r="F138" s="14" t="s">
        <v>8867</v>
      </c>
      <c r="G138" s="9">
        <v>1</v>
      </c>
      <c r="H138" s="1">
        <v>21.75</v>
      </c>
      <c r="I138" s="1">
        <v>21.75</v>
      </c>
      <c r="J138" s="1">
        <v>0.34</v>
      </c>
      <c r="K138" s="3">
        <v>1188</v>
      </c>
      <c r="L138" s="13">
        <v>1770</v>
      </c>
      <c r="M138" s="49">
        <v>151.6</v>
      </c>
      <c r="N138" s="1">
        <v>303.3</v>
      </c>
      <c r="O138" s="3">
        <v>48</v>
      </c>
      <c r="P138" s="11" t="s">
        <v>2276</v>
      </c>
      <c r="Q138" s="3">
        <v>8</v>
      </c>
      <c r="R138" s="3">
        <v>256</v>
      </c>
      <c r="S138" s="22">
        <v>19</v>
      </c>
      <c r="T138" s="9">
        <v>290</v>
      </c>
      <c r="U138" s="14" t="s">
        <v>576</v>
      </c>
      <c r="V138" s="12">
        <v>4</v>
      </c>
      <c r="W138" s="75">
        <v>16</v>
      </c>
      <c r="X138" s="76">
        <v>16</v>
      </c>
      <c r="Y138" s="9">
        <v>751</v>
      </c>
      <c r="Z138" s="3">
        <v>848.24</v>
      </c>
      <c r="AA138" s="17" t="s">
        <v>755</v>
      </c>
      <c r="AB138" s="18" t="s">
        <v>754</v>
      </c>
      <c r="AC138" s="46" cm="1">
        <f t="array" ref="AC138">(SUMPRODUCT((H138:O138/H$9:O$9)^H$7:O$7*H$2:O$2)+SUMPRODUCT((Q138:T138/Q$9:T$9)^Q$7:T$7*Q$2:T$2))*(0.8^(1-G138))*AC$9</f>
        <v>1.8688103796016147</v>
      </c>
      <c r="AD138" s="48" cm="1">
        <f t="array" ref="AD138">(SUMPRODUCT((H138:O138/H$9:O$9)^H$7:O$7*H$3:O$3)+SUMPRODUCT((Q138:T138/Q$9:T$9)^Q$7:T$7*Q$3:T$3))*(0.1^(1-G138))*AD$9</f>
        <v>2.0753142786324847</v>
      </c>
      <c r="AE138" s="48" cm="1">
        <f t="array" ref="AE138">(SUMPRODUCT((H138:O138/H$9:O$9)^H$7:O$7*H$4:O$4)+SUMPRODUCT((Q138:T138/Q$9:T$9)^Q$7:T$7*Q$4:T$4))*AE$9</f>
        <v>1.931951258589045</v>
      </c>
      <c r="AF138" s="47" cm="1">
        <f t="array" ref="AF138">(SUMPRODUCT((H138:O138/H$9:O$9)^H$7:O$7*H$5:O$5)+SUMPRODUCT((Q138:T138/Q$9:T$9)^Q$7:T$7*Q$5:T$5))*AF$9</f>
        <v>1.8785877917177647</v>
      </c>
      <c r="AG138" s="50" cm="1">
        <f t="array" ref="AG138">SUMPRODUCT(AC138:AF138 * AC$3:AF$3) / SUM(AC$3:AF$3)</f>
        <v>1.9921799898589485</v>
      </c>
    </row>
    <row r="139" spans="1:33" x14ac:dyDescent="0.25">
      <c r="A139" s="81" t="s">
        <v>605</v>
      </c>
      <c r="B139" s="20" t="s">
        <v>607</v>
      </c>
      <c r="C139" s="4" t="s">
        <v>8853</v>
      </c>
      <c r="D139" s="4" t="str">
        <f t="shared" si="2"/>
        <v>Zotac</v>
      </c>
      <c r="E139" s="4" t="s">
        <v>8854</v>
      </c>
      <c r="F139" s="14" t="s">
        <v>8867</v>
      </c>
      <c r="G139" s="9">
        <v>1</v>
      </c>
      <c r="H139" s="1">
        <v>23.22</v>
      </c>
      <c r="I139" s="1">
        <v>23.22</v>
      </c>
      <c r="J139" s="1">
        <v>0.36</v>
      </c>
      <c r="K139" s="3">
        <v>1188</v>
      </c>
      <c r="L139" s="13">
        <v>1890</v>
      </c>
      <c r="M139" s="49">
        <v>151.6</v>
      </c>
      <c r="N139" s="1">
        <v>303.3</v>
      </c>
      <c r="O139" s="3">
        <v>48</v>
      </c>
      <c r="P139" s="11" t="s">
        <v>2276</v>
      </c>
      <c r="Q139" s="3">
        <v>8</v>
      </c>
      <c r="R139" s="3">
        <v>256</v>
      </c>
      <c r="S139" s="22">
        <v>19</v>
      </c>
      <c r="T139" s="9">
        <v>290</v>
      </c>
      <c r="U139" s="14" t="s">
        <v>583</v>
      </c>
      <c r="V139" s="12">
        <v>4</v>
      </c>
      <c r="W139" s="75">
        <v>16</v>
      </c>
      <c r="X139" s="76">
        <v>16</v>
      </c>
      <c r="Y139" s="9">
        <v>1069.98</v>
      </c>
      <c r="Z139" s="3">
        <v>1080.42</v>
      </c>
      <c r="AA139" s="17" t="s">
        <v>606</v>
      </c>
      <c r="AB139" s="18" t="s">
        <v>605</v>
      </c>
      <c r="AC139" s="46" cm="1">
        <f t="array" ref="AC139">(SUMPRODUCT((H139:O139/H$9:O$9)^H$7:O$7*H$2:O$2)+SUMPRODUCT((Q139:T139/Q$9:T$9)^Q$7:T$7*Q$2:T$2))*(0.8^(1-G139))*AC$9</f>
        <v>1.8924941938765163</v>
      </c>
      <c r="AD139" s="48" cm="1">
        <f t="array" ref="AD139">(SUMPRODUCT((H139:O139/H$9:O$9)^H$7:O$7*H$3:O$3)+SUMPRODUCT((Q139:T139/Q$9:T$9)^Q$7:T$7*Q$3:T$3))*(0.1^(1-G139))*AD$9</f>
        <v>2.1619716666031863</v>
      </c>
      <c r="AE139" s="48" cm="1">
        <f t="array" ref="AE139">(SUMPRODUCT((H139:O139/H$9:O$9)^H$7:O$7*H$4:O$4)+SUMPRODUCT((Q139:T139/Q$9:T$9)^Q$7:T$7*Q$4:T$4))*AE$9</f>
        <v>1.9973125708834449</v>
      </c>
      <c r="AF139" s="47" cm="1">
        <f t="array" ref="AF139">(SUMPRODUCT((H139:O139/H$9:O$9)^H$7:O$7*H$5:O$5)+SUMPRODUCT((Q139:T139/Q$9:T$9)^Q$7:T$7*Q$5:T$5))*AF$9</f>
        <v>1.9254468848769575</v>
      </c>
      <c r="AG139" s="50" cm="1">
        <f t="array" ref="AG139">SUMPRODUCT(AC139:AF139 * AC$3:AF$3) / SUM(AC$3:AF$3)</f>
        <v>2.0593425024477319</v>
      </c>
    </row>
    <row r="140" spans="1:33" x14ac:dyDescent="0.25">
      <c r="A140" s="81" t="s">
        <v>602</v>
      </c>
      <c r="B140" s="20" t="s">
        <v>604</v>
      </c>
      <c r="C140" s="4" t="s">
        <v>8853</v>
      </c>
      <c r="D140" s="4" t="str">
        <f t="shared" si="2"/>
        <v>Zotac</v>
      </c>
      <c r="E140" s="4" t="s">
        <v>8854</v>
      </c>
      <c r="F140" s="14" t="s">
        <v>8867</v>
      </c>
      <c r="G140" s="9">
        <v>1</v>
      </c>
      <c r="H140" s="1">
        <v>22.12</v>
      </c>
      <c r="I140" s="1">
        <v>22.12</v>
      </c>
      <c r="J140" s="1">
        <v>0.35</v>
      </c>
      <c r="K140" s="3">
        <v>1188</v>
      </c>
      <c r="L140" s="13">
        <v>1800</v>
      </c>
      <c r="M140" s="49">
        <v>151.6</v>
      </c>
      <c r="N140" s="1">
        <v>303.3</v>
      </c>
      <c r="O140" s="3">
        <v>48</v>
      </c>
      <c r="P140" s="11" t="s">
        <v>2276</v>
      </c>
      <c r="Q140" s="3">
        <v>8</v>
      </c>
      <c r="R140" s="3">
        <v>256</v>
      </c>
      <c r="S140" s="22">
        <v>19</v>
      </c>
      <c r="T140" s="9">
        <v>290</v>
      </c>
      <c r="U140" s="14" t="s">
        <v>576</v>
      </c>
      <c r="V140" s="12">
        <v>4</v>
      </c>
      <c r="W140" s="75">
        <v>16</v>
      </c>
      <c r="X140" s="76">
        <v>16</v>
      </c>
      <c r="Y140" s="9">
        <v>827</v>
      </c>
      <c r="Z140" s="3">
        <v>1173.04</v>
      </c>
      <c r="AA140" s="17" t="s">
        <v>603</v>
      </c>
      <c r="AB140" s="18" t="s">
        <v>602</v>
      </c>
      <c r="AC140" s="46" cm="1">
        <f t="array" ref="AC140">(SUMPRODUCT((H140:O140/H$9:O$9)^H$7:O$7*H$2:O$2)+SUMPRODUCT((Q140:T140/Q$9:T$9)^Q$7:T$7*Q$2:T$2))*(0.8^(1-G140))*AC$9</f>
        <v>1.8747601474004729</v>
      </c>
      <c r="AD140" s="48" cm="1">
        <f t="array" ref="AD140">(SUMPRODUCT((H140:O140/H$9:O$9)^H$7:O$7*H$3:O$3)+SUMPRODUCT((Q140:T140/Q$9:T$9)^Q$7:T$7*Q$3:T$3))*(0.1^(1-G140))*AD$9</f>
        <v>2.0986256183967367</v>
      </c>
      <c r="AE140" s="48" cm="1">
        <f t="array" ref="AE140">(SUMPRODUCT((H140:O140/H$9:O$9)^H$7:O$7*H$4:O$4)+SUMPRODUCT((Q140:T140/Q$9:T$9)^Q$7:T$7*Q$4:T$4))*AE$9</f>
        <v>1.9585047468001973</v>
      </c>
      <c r="AF140" s="47" cm="1">
        <f t="array" ref="AF140">(SUMPRODUCT((H140:O140/H$9:O$9)^H$7:O$7*H$5:O$5)+SUMPRODUCT((Q140:T140/Q$9:T$9)^Q$7:T$7*Q$5:T$5))*AF$9</f>
        <v>1.8904031318422887</v>
      </c>
      <c r="AG140" s="50" cm="1">
        <f t="array" ref="AG140">SUMPRODUCT(AC140:AF140 * AC$3:AF$3) / SUM(AC$3:AF$3)</f>
        <v>2.0110419730720026</v>
      </c>
    </row>
    <row r="141" spans="1:33" x14ac:dyDescent="0.25">
      <c r="A141" s="81" t="s">
        <v>599</v>
      </c>
      <c r="B141" s="20" t="s">
        <v>601</v>
      </c>
      <c r="C141" s="4" t="s">
        <v>8853</v>
      </c>
      <c r="D141" s="4" t="str">
        <f t="shared" si="2"/>
        <v>Zotac</v>
      </c>
      <c r="E141" s="4" t="s">
        <v>8854</v>
      </c>
      <c r="F141" s="14" t="s">
        <v>8867</v>
      </c>
      <c r="G141" s="9">
        <v>1</v>
      </c>
      <c r="H141" s="1">
        <v>21.75</v>
      </c>
      <c r="I141" s="1">
        <v>21.75</v>
      </c>
      <c r="J141" s="1">
        <v>0.34</v>
      </c>
      <c r="K141" s="3">
        <v>1188</v>
      </c>
      <c r="L141" s="13">
        <v>1770</v>
      </c>
      <c r="M141" s="49">
        <v>151.6</v>
      </c>
      <c r="N141" s="1">
        <v>303.3</v>
      </c>
      <c r="O141" s="3">
        <v>48</v>
      </c>
      <c r="P141" s="11" t="s">
        <v>2276</v>
      </c>
      <c r="Q141" s="3">
        <v>8</v>
      </c>
      <c r="R141" s="3">
        <v>256</v>
      </c>
      <c r="S141" s="22">
        <v>19</v>
      </c>
      <c r="T141" s="9">
        <v>290</v>
      </c>
      <c r="U141" s="14" t="s">
        <v>576</v>
      </c>
      <c r="V141" s="12">
        <v>4</v>
      </c>
      <c r="W141" s="75">
        <v>16</v>
      </c>
      <c r="X141" s="76">
        <v>16</v>
      </c>
      <c r="Y141" s="9">
        <v>729.9</v>
      </c>
      <c r="Z141" s="3">
        <v>729.9</v>
      </c>
      <c r="AA141" s="17" t="s">
        <v>600</v>
      </c>
      <c r="AB141" s="18" t="s">
        <v>599</v>
      </c>
      <c r="AC141" s="46" cm="1">
        <f t="array" ref="AC141">(SUMPRODUCT((H141:O141/H$9:O$9)^H$7:O$7*H$2:O$2)+SUMPRODUCT((Q141:T141/Q$9:T$9)^Q$7:T$7*Q$2:T$2))*(0.8^(1-G141))*AC$9</f>
        <v>1.8688103796016147</v>
      </c>
      <c r="AD141" s="48" cm="1">
        <f t="array" ref="AD141">(SUMPRODUCT((H141:O141/H$9:O$9)^H$7:O$7*H$3:O$3)+SUMPRODUCT((Q141:T141/Q$9:T$9)^Q$7:T$7*Q$3:T$3))*(0.1^(1-G141))*AD$9</f>
        <v>2.0753142786324847</v>
      </c>
      <c r="AE141" s="48" cm="1">
        <f t="array" ref="AE141">(SUMPRODUCT((H141:O141/H$9:O$9)^H$7:O$7*H$4:O$4)+SUMPRODUCT((Q141:T141/Q$9:T$9)^Q$7:T$7*Q$4:T$4))*AE$9</f>
        <v>1.931951258589045</v>
      </c>
      <c r="AF141" s="47" cm="1">
        <f t="array" ref="AF141">(SUMPRODUCT((H141:O141/H$9:O$9)^H$7:O$7*H$5:O$5)+SUMPRODUCT((Q141:T141/Q$9:T$9)^Q$7:T$7*Q$5:T$5))*AF$9</f>
        <v>1.8785877917177647</v>
      </c>
      <c r="AG141" s="50" cm="1">
        <f t="array" ref="AG141">SUMPRODUCT(AC141:AF141 * AC$3:AF$3) / SUM(AC$3:AF$3)</f>
        <v>1.9921799898589485</v>
      </c>
    </row>
    <row r="142" spans="1:33" x14ac:dyDescent="0.25">
      <c r="A142" s="81" t="s">
        <v>1832</v>
      </c>
      <c r="B142" s="20" t="s">
        <v>1834</v>
      </c>
      <c r="C142" s="4" t="s">
        <v>8853</v>
      </c>
      <c r="D142" s="4" t="str">
        <f t="shared" si="2"/>
        <v>ASUS</v>
      </c>
      <c r="E142" s="4" t="s">
        <v>8854</v>
      </c>
      <c r="F142" s="14" t="s">
        <v>8867</v>
      </c>
      <c r="G142" s="9">
        <v>1</v>
      </c>
      <c r="H142" s="1">
        <v>22.3</v>
      </c>
      <c r="I142" s="1">
        <v>22.3</v>
      </c>
      <c r="J142" s="1">
        <v>0.35</v>
      </c>
      <c r="K142" s="3">
        <v>1188</v>
      </c>
      <c r="L142" s="13">
        <v>1815</v>
      </c>
      <c r="M142" s="49">
        <v>151.6</v>
      </c>
      <c r="N142" s="1">
        <v>303.3</v>
      </c>
      <c r="O142" s="3">
        <v>48</v>
      </c>
      <c r="P142" s="11" t="s">
        <v>2276</v>
      </c>
      <c r="Q142" s="3">
        <v>8</v>
      </c>
      <c r="R142" s="3">
        <v>256</v>
      </c>
      <c r="S142" s="22">
        <v>19</v>
      </c>
      <c r="T142" s="9">
        <v>290</v>
      </c>
      <c r="U142" s="14" t="s">
        <v>576</v>
      </c>
      <c r="V142" s="12">
        <v>4</v>
      </c>
      <c r="W142" s="75">
        <v>16</v>
      </c>
      <c r="X142" s="76">
        <v>16</v>
      </c>
      <c r="Y142" s="9">
        <v>1040.72</v>
      </c>
      <c r="Z142" s="3">
        <v>1274.05</v>
      </c>
      <c r="AA142" s="17" t="s">
        <v>1833</v>
      </c>
      <c r="AB142" s="18" t="s">
        <v>1832</v>
      </c>
      <c r="AC142" s="46" cm="1">
        <f t="array" ref="AC142">(SUMPRODUCT((H142:O142/H$9:O$9)^H$7:O$7*H$2:O$2)+SUMPRODUCT((Q142:T142/Q$9:T$9)^Q$7:T$7*Q$2:T$2))*(0.8^(1-G142))*AC$9</f>
        <v>1.8777029649286616</v>
      </c>
      <c r="AD142" s="48" cm="1">
        <f t="array" ref="AD142">(SUMPRODUCT((H142:O142/H$9:O$9)^H$7:O$7*H$3:O$3)+SUMPRODUCT((Q142:T142/Q$9:T$9)^Q$7:T$7*Q$3:T$3))*(0.1^(1-G142))*AD$9</f>
        <v>2.108553348247463</v>
      </c>
      <c r="AE142" s="48" cm="1">
        <f t="array" ref="AE142">(SUMPRODUCT((H142:O142/H$9:O$9)^H$7:O$7*H$4:O$4)+SUMPRODUCT((Q142:T142/Q$9:T$9)^Q$7:T$7*Q$4:T$4))*AE$9</f>
        <v>1.9615661576467271</v>
      </c>
      <c r="AF142" s="47" cm="1">
        <f t="array" ref="AF142">(SUMPRODUCT((H142:O142/H$9:O$9)^H$7:O$7*H$5:O$5)+SUMPRODUCT((Q142:T142/Q$9:T$9)^Q$7:T$7*Q$5:T$5))*AF$9</f>
        <v>1.8961641817482033</v>
      </c>
      <c r="AG142" s="50" cm="1">
        <f t="array" ref="AG142">SUMPRODUCT(AC142:AF142 * AC$3:AF$3) / SUM(AC$3:AF$3)</f>
        <v>2.0183481798777043</v>
      </c>
    </row>
    <row r="143" spans="1:33" x14ac:dyDescent="0.25">
      <c r="A143" s="81" t="s">
        <v>1826</v>
      </c>
      <c r="B143" s="20" t="s">
        <v>1828</v>
      </c>
      <c r="C143" s="4" t="s">
        <v>8853</v>
      </c>
      <c r="D143" s="4" t="str">
        <f t="shared" si="2"/>
        <v>ASUS</v>
      </c>
      <c r="E143" s="4" t="s">
        <v>8854</v>
      </c>
      <c r="F143" s="14" t="s">
        <v>8867</v>
      </c>
      <c r="G143" s="9">
        <v>1</v>
      </c>
      <c r="H143" s="1">
        <v>22.12</v>
      </c>
      <c r="I143" s="1">
        <v>22.12</v>
      </c>
      <c r="J143" s="1">
        <v>0.35</v>
      </c>
      <c r="K143" s="3">
        <v>1188</v>
      </c>
      <c r="L143" s="13">
        <v>1800</v>
      </c>
      <c r="M143" s="49">
        <v>151.6</v>
      </c>
      <c r="N143" s="1">
        <v>303.3</v>
      </c>
      <c r="O143" s="3">
        <v>48</v>
      </c>
      <c r="P143" s="11" t="s">
        <v>2276</v>
      </c>
      <c r="Q143" s="3">
        <v>8</v>
      </c>
      <c r="R143" s="3">
        <v>256</v>
      </c>
      <c r="S143" s="22">
        <v>19</v>
      </c>
      <c r="T143" s="9">
        <v>290</v>
      </c>
      <c r="U143" s="14" t="s">
        <v>576</v>
      </c>
      <c r="V143" s="12">
        <v>4</v>
      </c>
      <c r="W143" s="75">
        <v>16</v>
      </c>
      <c r="X143" s="76">
        <v>16</v>
      </c>
      <c r="Y143" s="9">
        <v>1042.1099999999999</v>
      </c>
      <c r="Z143" s="3">
        <v>1061.92</v>
      </c>
      <c r="AA143" s="17" t="s">
        <v>1827</v>
      </c>
      <c r="AB143" s="18" t="s">
        <v>1826</v>
      </c>
      <c r="AC143" s="46" cm="1">
        <f t="array" ref="AC143">(SUMPRODUCT((H143:O143/H$9:O$9)^H$7:O$7*H$2:O$2)+SUMPRODUCT((Q143:T143/Q$9:T$9)^Q$7:T$7*Q$2:T$2))*(0.8^(1-G143))*AC$9</f>
        <v>1.8747601474004729</v>
      </c>
      <c r="AD143" s="48" cm="1">
        <f t="array" ref="AD143">(SUMPRODUCT((H143:O143/H$9:O$9)^H$7:O$7*H$3:O$3)+SUMPRODUCT((Q143:T143/Q$9:T$9)^Q$7:T$7*Q$3:T$3))*(0.1^(1-G143))*AD$9</f>
        <v>2.0986256183967367</v>
      </c>
      <c r="AE143" s="48" cm="1">
        <f t="array" ref="AE143">(SUMPRODUCT((H143:O143/H$9:O$9)^H$7:O$7*H$4:O$4)+SUMPRODUCT((Q143:T143/Q$9:T$9)^Q$7:T$7*Q$4:T$4))*AE$9</f>
        <v>1.9585047468001973</v>
      </c>
      <c r="AF143" s="47" cm="1">
        <f t="array" ref="AF143">(SUMPRODUCT((H143:O143/H$9:O$9)^H$7:O$7*H$5:O$5)+SUMPRODUCT((Q143:T143/Q$9:T$9)^Q$7:T$7*Q$5:T$5))*AF$9</f>
        <v>1.8904031318422887</v>
      </c>
      <c r="AG143" s="50" cm="1">
        <f t="array" ref="AG143">SUMPRODUCT(AC143:AF143 * AC$3:AF$3) / SUM(AC$3:AF$3)</f>
        <v>2.0110419730720026</v>
      </c>
    </row>
    <row r="144" spans="1:33" x14ac:dyDescent="0.25">
      <c r="A144" s="81" t="s">
        <v>1946</v>
      </c>
      <c r="B144" s="20" t="s">
        <v>1948</v>
      </c>
      <c r="C144" s="4" t="s">
        <v>8853</v>
      </c>
      <c r="D144" s="4" t="str">
        <f t="shared" si="2"/>
        <v>ASUS</v>
      </c>
      <c r="E144" s="4" t="s">
        <v>8854</v>
      </c>
      <c r="F144" s="14" t="s">
        <v>8868</v>
      </c>
      <c r="G144" s="9">
        <v>1</v>
      </c>
      <c r="H144" s="1">
        <v>33.68</v>
      </c>
      <c r="I144" s="1">
        <v>33.68</v>
      </c>
      <c r="J144" s="1">
        <v>0.53</v>
      </c>
      <c r="K144" s="3">
        <v>1188</v>
      </c>
      <c r="L144" s="13">
        <v>1935</v>
      </c>
      <c r="M144" s="49">
        <v>138.19999999999999</v>
      </c>
      <c r="N144" s="1">
        <v>391.7</v>
      </c>
      <c r="O144" s="3">
        <v>68</v>
      </c>
      <c r="P144" s="11" t="s">
        <v>2276</v>
      </c>
      <c r="Q144" s="3">
        <v>10</v>
      </c>
      <c r="R144" s="3">
        <v>320</v>
      </c>
      <c r="S144" s="22">
        <v>19</v>
      </c>
      <c r="T144" s="9">
        <v>320</v>
      </c>
      <c r="U144" s="14" t="s">
        <v>583</v>
      </c>
      <c r="V144" s="12">
        <v>4</v>
      </c>
      <c r="W144" s="75">
        <v>16</v>
      </c>
      <c r="X144" s="76">
        <v>16</v>
      </c>
      <c r="Y144" s="9">
        <v>2544.87</v>
      </c>
      <c r="Z144" s="3">
        <v>2544.87</v>
      </c>
      <c r="AA144" s="17" t="s">
        <v>1947</v>
      </c>
      <c r="AB144" s="18" t="s">
        <v>1946</v>
      </c>
      <c r="AC144" s="46" cm="1">
        <f t="array" ref="AC144">(SUMPRODUCT((H144:O144/H$9:O$9)^H$7:O$7*H$2:O$2)+SUMPRODUCT((Q144:T144/Q$9:T$9)^Q$7:T$7*Q$2:T$2))*(0.8^(1-G144))*AC$9</f>
        <v>2.1287183030411554</v>
      </c>
      <c r="AD144" s="48" cm="1">
        <f t="array" ref="AD144">(SUMPRODUCT((H144:O144/H$9:O$9)^H$7:O$7*H$3:O$3)+SUMPRODUCT((Q144:T144/Q$9:T$9)^Q$7:T$7*Q$3:T$3))*(0.1^(1-G144))*AD$9</f>
        <v>2.8220473683603471</v>
      </c>
      <c r="AE144" s="48" cm="1">
        <f t="array" ref="AE144">(SUMPRODUCT((H144:O144/H$9:O$9)^H$7:O$7*H$4:O$4)+SUMPRODUCT((Q144:T144/Q$9:T$9)^Q$7:T$7*Q$4:T$4))*AE$9</f>
        <v>2.583913990977015</v>
      </c>
      <c r="AF144" s="47" cm="1">
        <f t="array" ref="AF144">(SUMPRODUCT((H144:O144/H$9:O$9)^H$7:O$7*H$5:O$5)+SUMPRODUCT((Q144:T144/Q$9:T$9)^Q$7:T$7*Q$5:T$5))*AF$9</f>
        <v>2.3567990550385738</v>
      </c>
      <c r="AG144" s="50" cm="1">
        <f t="array" ref="AG144">SUMPRODUCT(AC144:AF144 * AC$3:AF$3) / SUM(AC$3:AF$3)</f>
        <v>2.6024918744331496</v>
      </c>
    </row>
    <row r="145" spans="1:33" x14ac:dyDescent="0.25">
      <c r="A145" s="81" t="s">
        <v>1685</v>
      </c>
      <c r="B145" s="20" t="s">
        <v>1687</v>
      </c>
      <c r="C145" s="4" t="s">
        <v>8853</v>
      </c>
      <c r="D145" s="4" t="str">
        <f t="shared" si="2"/>
        <v>GIGABYTE</v>
      </c>
      <c r="E145" s="4" t="s">
        <v>8854</v>
      </c>
      <c r="F145" s="14" t="s">
        <v>8868</v>
      </c>
      <c r="G145" s="9">
        <v>1</v>
      </c>
      <c r="H145" s="1">
        <v>32.119999999999997</v>
      </c>
      <c r="I145" s="1">
        <v>32.119999999999997</v>
      </c>
      <c r="J145" s="1">
        <v>0.5</v>
      </c>
      <c r="K145" s="3">
        <v>1188</v>
      </c>
      <c r="L145" s="13">
        <v>1845</v>
      </c>
      <c r="M145" s="49">
        <v>138.19999999999999</v>
      </c>
      <c r="N145" s="1">
        <v>391.7</v>
      </c>
      <c r="O145" s="3">
        <v>68</v>
      </c>
      <c r="P145" s="11" t="s">
        <v>2276</v>
      </c>
      <c r="Q145" s="3">
        <v>10</v>
      </c>
      <c r="R145" s="3">
        <v>320</v>
      </c>
      <c r="S145" s="22">
        <v>19</v>
      </c>
      <c r="T145" s="9">
        <v>320</v>
      </c>
      <c r="U145" s="14" t="s">
        <v>576</v>
      </c>
      <c r="V145" s="12">
        <v>4</v>
      </c>
      <c r="W145" s="75">
        <v>16</v>
      </c>
      <c r="X145" s="76">
        <v>16</v>
      </c>
      <c r="Y145" s="9">
        <v>1117.5</v>
      </c>
      <c r="Z145" s="3">
        <v>1562.92</v>
      </c>
      <c r="AA145" s="17" t="s">
        <v>1686</v>
      </c>
      <c r="AB145" s="18" t="s">
        <v>1685</v>
      </c>
      <c r="AC145" s="46" cm="1">
        <f t="array" ref="AC145">(SUMPRODUCT((H145:O145/H$9:O$9)^H$7:O$7*H$2:O$2)+SUMPRODUCT((Q145:T145/Q$9:T$9)^Q$7:T$7*Q$2:T$2))*(0.8^(1-G145))*AC$9</f>
        <v>2.1087320788329942</v>
      </c>
      <c r="AD145" s="48" cm="1">
        <f t="array" ref="AD145">(SUMPRODUCT((H145:O145/H$9:O$9)^H$7:O$7*H$3:O$3)+SUMPRODUCT((Q145:T145/Q$9:T$9)^Q$7:T$7*Q$3:T$3))*(0.1^(1-G145))*AD$9</f>
        <v>2.733102070134823</v>
      </c>
      <c r="AE145" s="48" cm="1">
        <f t="array" ref="AE145">(SUMPRODUCT((H145:O145/H$9:O$9)^H$7:O$7*H$4:O$4)+SUMPRODUCT((Q145:T145/Q$9:T$9)^Q$7:T$7*Q$4:T$4))*AE$9</f>
        <v>2.5023224761996854</v>
      </c>
      <c r="AF145" s="47" cm="1">
        <f t="array" ref="AF145">(SUMPRODUCT((H145:O145/H$9:O$9)^H$7:O$7*H$5:O$5)+SUMPRODUCT((Q145:T145/Q$9:T$9)^Q$7:T$7*Q$5:T$5))*AF$9</f>
        <v>2.3107551047801533</v>
      </c>
      <c r="AG145" s="50" cm="1">
        <f t="array" ref="AG145">SUMPRODUCT(AC145:AF145 * AC$3:AF$3) / SUM(AC$3:AF$3)</f>
        <v>2.5330070669215026</v>
      </c>
    </row>
    <row r="146" spans="1:33" x14ac:dyDescent="0.25">
      <c r="A146" s="81" t="s">
        <v>1682</v>
      </c>
      <c r="B146" s="20" t="s">
        <v>1684</v>
      </c>
      <c r="C146" s="4" t="s">
        <v>8853</v>
      </c>
      <c r="D146" s="4" t="str">
        <f t="shared" si="2"/>
        <v>GIGABYTE</v>
      </c>
      <c r="E146" s="4" t="s">
        <v>8854</v>
      </c>
      <c r="F146" s="14" t="s">
        <v>8868</v>
      </c>
      <c r="G146" s="9">
        <v>1</v>
      </c>
      <c r="H146" s="1">
        <v>32.119999999999997</v>
      </c>
      <c r="I146" s="1">
        <v>32.119999999999997</v>
      </c>
      <c r="J146" s="1">
        <v>0.5</v>
      </c>
      <c r="K146" s="3">
        <v>1188</v>
      </c>
      <c r="L146" s="13">
        <v>1845</v>
      </c>
      <c r="M146" s="49">
        <v>138.19999999999999</v>
      </c>
      <c r="N146" s="1">
        <v>391.7</v>
      </c>
      <c r="O146" s="3">
        <v>68</v>
      </c>
      <c r="P146" s="11" t="s">
        <v>2276</v>
      </c>
      <c r="Q146" s="3">
        <v>10</v>
      </c>
      <c r="R146" s="3">
        <v>320</v>
      </c>
      <c r="S146" s="22">
        <v>19</v>
      </c>
      <c r="T146" s="9">
        <v>320</v>
      </c>
      <c r="U146" s="14" t="s">
        <v>576</v>
      </c>
      <c r="V146" s="12">
        <v>4</v>
      </c>
      <c r="W146" s="75">
        <v>16</v>
      </c>
      <c r="X146" s="76">
        <v>16</v>
      </c>
      <c r="Y146" s="9">
        <v>1699</v>
      </c>
      <c r="Z146" s="3">
        <v>1699</v>
      </c>
      <c r="AA146" s="17" t="s">
        <v>1683</v>
      </c>
      <c r="AB146" s="18" t="s">
        <v>1682</v>
      </c>
      <c r="AC146" s="46" cm="1">
        <f t="array" ref="AC146">(SUMPRODUCT((H146:O146/H$9:O$9)^H$7:O$7*H$2:O$2)+SUMPRODUCT((Q146:T146/Q$9:T$9)^Q$7:T$7*Q$2:T$2))*(0.8^(1-G146))*AC$9</f>
        <v>2.1087320788329942</v>
      </c>
      <c r="AD146" s="48" cm="1">
        <f t="array" ref="AD146">(SUMPRODUCT((H146:O146/H$9:O$9)^H$7:O$7*H$3:O$3)+SUMPRODUCT((Q146:T146/Q$9:T$9)^Q$7:T$7*Q$3:T$3))*(0.1^(1-G146))*AD$9</f>
        <v>2.733102070134823</v>
      </c>
      <c r="AE146" s="48" cm="1">
        <f t="array" ref="AE146">(SUMPRODUCT((H146:O146/H$9:O$9)^H$7:O$7*H$4:O$4)+SUMPRODUCT((Q146:T146/Q$9:T$9)^Q$7:T$7*Q$4:T$4))*AE$9</f>
        <v>2.5023224761996854</v>
      </c>
      <c r="AF146" s="47" cm="1">
        <f t="array" ref="AF146">(SUMPRODUCT((H146:O146/H$9:O$9)^H$7:O$7*H$5:O$5)+SUMPRODUCT((Q146:T146/Q$9:T$9)^Q$7:T$7*Q$5:T$5))*AF$9</f>
        <v>2.3107551047801533</v>
      </c>
      <c r="AG146" s="50" cm="1">
        <f t="array" ref="AG146">SUMPRODUCT(AC146:AF146 * AC$3:AF$3) / SUM(AC$3:AF$3)</f>
        <v>2.5330070669215026</v>
      </c>
    </row>
    <row r="147" spans="1:33" x14ac:dyDescent="0.25">
      <c r="A147" s="81" t="s">
        <v>1562</v>
      </c>
      <c r="B147" s="20" t="s">
        <v>1564</v>
      </c>
      <c r="C147" s="4" t="s">
        <v>8853</v>
      </c>
      <c r="D147" s="4" t="str">
        <f t="shared" si="2"/>
        <v>GIGABYTE</v>
      </c>
      <c r="E147" s="4" t="s">
        <v>8854</v>
      </c>
      <c r="F147" s="14" t="s">
        <v>8868</v>
      </c>
      <c r="G147" s="9">
        <v>1</v>
      </c>
      <c r="H147" s="1">
        <v>31.33</v>
      </c>
      <c r="I147" s="1">
        <v>31.33</v>
      </c>
      <c r="J147" s="1">
        <v>0.49</v>
      </c>
      <c r="K147" s="3">
        <v>1188</v>
      </c>
      <c r="L147" s="13">
        <v>1800</v>
      </c>
      <c r="M147" s="49">
        <v>138.19999999999999</v>
      </c>
      <c r="N147" s="1">
        <v>391.7</v>
      </c>
      <c r="O147" s="3">
        <v>68</v>
      </c>
      <c r="P147" s="11" t="s">
        <v>2276</v>
      </c>
      <c r="Q147" s="3">
        <v>10</v>
      </c>
      <c r="R147" s="3">
        <v>320</v>
      </c>
      <c r="S147" s="22">
        <v>19</v>
      </c>
      <c r="T147" s="9">
        <v>320</v>
      </c>
      <c r="U147" s="14" t="s">
        <v>576</v>
      </c>
      <c r="V147" s="12">
        <v>4</v>
      </c>
      <c r="W147" s="75">
        <v>16</v>
      </c>
      <c r="X147" s="76">
        <v>16</v>
      </c>
      <c r="Y147" s="9">
        <v>1099.3499999999999</v>
      </c>
      <c r="Z147" s="3">
        <v>1099.3499999999999</v>
      </c>
      <c r="AA147" s="17" t="s">
        <v>1563</v>
      </c>
      <c r="AB147" s="18" t="s">
        <v>1562</v>
      </c>
      <c r="AC147" s="46" cm="1">
        <f t="array" ref="AC147">(SUMPRODUCT((H147:O147/H$9:O$9)^H$7:O$7*H$2:O$2)+SUMPRODUCT((Q147:T147/Q$9:T$9)^Q$7:T$7*Q$2:T$2))*(0.8^(1-G147))*AC$9</f>
        <v>2.0986479265229248</v>
      </c>
      <c r="AD147" s="48" cm="1">
        <f t="array" ref="AD147">(SUMPRODUCT((H147:O147/H$9:O$9)^H$7:O$7*H$3:O$3)+SUMPRODUCT((Q147:T147/Q$9:T$9)^Q$7:T$7*Q$3:T$3))*(0.1^(1-G147))*AD$9</f>
        <v>2.6892493001321096</v>
      </c>
      <c r="AE147" s="48" cm="1">
        <f t="array" ref="AE147">(SUMPRODUCT((H147:O147/H$9:O$9)^H$7:O$7*H$4:O$4)+SUMPRODUCT((Q147:T147/Q$9:T$9)^Q$7:T$7*Q$4:T$4))*AE$9</f>
        <v>2.4705149981181043</v>
      </c>
      <c r="AF147" s="47" cm="1">
        <f t="array" ref="AF147">(SUMPRODUCT((H147:O147/H$9:O$9)^H$7:O$7*H$5:O$5)+SUMPRODUCT((Q147:T147/Q$9:T$9)^Q$7:T$7*Q$5:T$5))*AF$9</f>
        <v>2.2873758843770413</v>
      </c>
      <c r="AG147" s="50" cm="1">
        <f t="array" ref="AG147">SUMPRODUCT(AC147:AF147 * AC$3:AF$3) / SUM(AC$3:AF$3)</f>
        <v>2.4995330239031781</v>
      </c>
    </row>
    <row r="148" spans="1:33" x14ac:dyDescent="0.25">
      <c r="A148" s="81" t="s">
        <v>1559</v>
      </c>
      <c r="B148" s="20" t="s">
        <v>1561</v>
      </c>
      <c r="C148" s="4" t="s">
        <v>8853</v>
      </c>
      <c r="D148" s="4" t="str">
        <f t="shared" si="2"/>
        <v>GIGABYTE</v>
      </c>
      <c r="E148" s="4" t="s">
        <v>8854</v>
      </c>
      <c r="F148" s="14" t="s">
        <v>8868</v>
      </c>
      <c r="G148" s="9">
        <v>1</v>
      </c>
      <c r="H148" s="1">
        <v>31.33</v>
      </c>
      <c r="I148" s="1">
        <v>31.33</v>
      </c>
      <c r="J148" s="1">
        <v>0.49</v>
      </c>
      <c r="K148" s="3">
        <v>1188</v>
      </c>
      <c r="L148" s="13">
        <v>1800</v>
      </c>
      <c r="M148" s="49">
        <v>138.19999999999999</v>
      </c>
      <c r="N148" s="1">
        <v>391.7</v>
      </c>
      <c r="O148" s="3">
        <v>68</v>
      </c>
      <c r="P148" s="11" t="s">
        <v>2276</v>
      </c>
      <c r="Q148" s="3">
        <v>10</v>
      </c>
      <c r="R148" s="3">
        <v>320</v>
      </c>
      <c r="S148" s="22">
        <v>19</v>
      </c>
      <c r="T148" s="9">
        <v>320</v>
      </c>
      <c r="U148" s="14" t="s">
        <v>576</v>
      </c>
      <c r="V148" s="12">
        <v>4</v>
      </c>
      <c r="W148" s="75">
        <v>16</v>
      </c>
      <c r="X148" s="76">
        <v>16</v>
      </c>
      <c r="Y148" s="9">
        <v>1699</v>
      </c>
      <c r="Z148" s="3">
        <v>1699</v>
      </c>
      <c r="AA148" s="17" t="s">
        <v>1560</v>
      </c>
      <c r="AB148" s="18" t="s">
        <v>1559</v>
      </c>
      <c r="AC148" s="46" cm="1">
        <f t="array" ref="AC148">(SUMPRODUCT((H148:O148/H$9:O$9)^H$7:O$7*H$2:O$2)+SUMPRODUCT((Q148:T148/Q$9:T$9)^Q$7:T$7*Q$2:T$2))*(0.8^(1-G148))*AC$9</f>
        <v>2.0986479265229248</v>
      </c>
      <c r="AD148" s="48" cm="1">
        <f t="array" ref="AD148">(SUMPRODUCT((H148:O148/H$9:O$9)^H$7:O$7*H$3:O$3)+SUMPRODUCT((Q148:T148/Q$9:T$9)^Q$7:T$7*Q$3:T$3))*(0.1^(1-G148))*AD$9</f>
        <v>2.6892493001321096</v>
      </c>
      <c r="AE148" s="48" cm="1">
        <f t="array" ref="AE148">(SUMPRODUCT((H148:O148/H$9:O$9)^H$7:O$7*H$4:O$4)+SUMPRODUCT((Q148:T148/Q$9:T$9)^Q$7:T$7*Q$4:T$4))*AE$9</f>
        <v>2.4705149981181043</v>
      </c>
      <c r="AF148" s="47" cm="1">
        <f t="array" ref="AF148">(SUMPRODUCT((H148:O148/H$9:O$9)^H$7:O$7*H$5:O$5)+SUMPRODUCT((Q148:T148/Q$9:T$9)^Q$7:T$7*Q$5:T$5))*AF$9</f>
        <v>2.2873758843770413</v>
      </c>
      <c r="AG148" s="50" cm="1">
        <f t="array" ref="AG148">SUMPRODUCT(AC148:AF148 * AC$3:AF$3) / SUM(AC$3:AF$3)</f>
        <v>2.4995330239031781</v>
      </c>
    </row>
    <row r="149" spans="1:33" x14ac:dyDescent="0.25">
      <c r="A149" s="81" t="s">
        <v>584</v>
      </c>
      <c r="B149" s="20" t="s">
        <v>586</v>
      </c>
      <c r="C149" s="4" t="s">
        <v>8853</v>
      </c>
      <c r="D149" s="4" t="str">
        <f t="shared" si="2"/>
        <v>Zotac</v>
      </c>
      <c r="E149" s="4" t="s">
        <v>8854</v>
      </c>
      <c r="F149" s="14" t="s">
        <v>8868</v>
      </c>
      <c r="G149" s="9">
        <v>1</v>
      </c>
      <c r="H149" s="1">
        <v>30.03</v>
      </c>
      <c r="I149" s="1">
        <v>30.03</v>
      </c>
      <c r="J149" s="1">
        <v>0.47</v>
      </c>
      <c r="K149" s="3">
        <v>1188</v>
      </c>
      <c r="L149" s="13">
        <v>1725</v>
      </c>
      <c r="M149" s="49">
        <v>138.19999999999999</v>
      </c>
      <c r="N149" s="1">
        <v>391.7</v>
      </c>
      <c r="O149" s="3">
        <v>68</v>
      </c>
      <c r="P149" s="11" t="s">
        <v>2276</v>
      </c>
      <c r="Q149" s="3">
        <v>10</v>
      </c>
      <c r="R149" s="3">
        <v>320</v>
      </c>
      <c r="S149" s="22">
        <v>19</v>
      </c>
      <c r="T149" s="9">
        <v>320</v>
      </c>
      <c r="U149" s="14" t="s">
        <v>576</v>
      </c>
      <c r="V149" s="12">
        <v>4</v>
      </c>
      <c r="W149" s="75">
        <v>16</v>
      </c>
      <c r="X149" s="76">
        <v>16</v>
      </c>
      <c r="Y149" s="9">
        <v>978.08</v>
      </c>
      <c r="Z149" s="3">
        <v>992.68</v>
      </c>
      <c r="AA149" s="17" t="s">
        <v>585</v>
      </c>
      <c r="AB149" s="18" t="s">
        <v>584</v>
      </c>
      <c r="AC149" s="46" cm="1">
        <f t="array" ref="AC149">(SUMPRODUCT((H149:O149/H$9:O$9)^H$7:O$7*H$2:O$2)+SUMPRODUCT((Q149:T149/Q$9:T$9)^Q$7:T$7*Q$2:T$2))*(0.8^(1-G149))*AC$9</f>
        <v>2.0818760288041056</v>
      </c>
      <c r="AD149" s="48" cm="1">
        <f t="array" ref="AD149">(SUMPRODUCT((H149:O149/H$9:O$9)^H$7:O$7*H$3:O$3)+SUMPRODUCT((Q149:T149/Q$9:T$9)^Q$7:T$7*Q$3:T$3))*(0.1^(1-G149))*AD$9</f>
        <v>2.6157841896924969</v>
      </c>
      <c r="AE149" s="48" cm="1">
        <f t="array" ref="AE149">(SUMPRODUCT((H149:O149/H$9:O$9)^H$7:O$7*H$4:O$4)+SUMPRODUCT((Q149:T149/Q$9:T$9)^Q$7:T$7*Q$4:T$4))*AE$9</f>
        <v>2.4111906033695316</v>
      </c>
      <c r="AF149" s="47" cm="1">
        <f t="array" ref="AF149">(SUMPRODUCT((H149:O149/H$9:O$9)^H$7:O$7*H$5:O$5)+SUMPRODUCT((Q149:T149/Q$9:T$9)^Q$7:T$7*Q$5:T$5))*AF$9</f>
        <v>2.2487151839807678</v>
      </c>
      <c r="AG149" s="50" cm="1">
        <f t="array" ref="AG149">SUMPRODUCT(AC149:AF149 * AC$3:AF$3) / SUM(AC$3:AF$3)</f>
        <v>2.4428887078899257</v>
      </c>
    </row>
    <row r="150" spans="1:33" x14ac:dyDescent="0.25">
      <c r="A150" s="81" t="s">
        <v>1949</v>
      </c>
      <c r="B150" s="20" t="s">
        <v>1951</v>
      </c>
      <c r="C150" s="4" t="s">
        <v>8853</v>
      </c>
      <c r="D150" s="4" t="str">
        <f t="shared" si="2"/>
        <v>ASUS</v>
      </c>
      <c r="E150" s="4" t="s">
        <v>8854</v>
      </c>
      <c r="F150" s="14" t="s">
        <v>8869</v>
      </c>
      <c r="G150" s="9">
        <v>1</v>
      </c>
      <c r="H150" s="1">
        <v>33.869999999999997</v>
      </c>
      <c r="I150" s="1">
        <v>33.869999999999997</v>
      </c>
      <c r="J150" s="1">
        <v>0.53</v>
      </c>
      <c r="K150" s="3">
        <v>1188</v>
      </c>
      <c r="L150" s="13">
        <v>1890</v>
      </c>
      <c r="M150" s="49">
        <v>152.80000000000001</v>
      </c>
      <c r="N150" s="1">
        <v>436.8</v>
      </c>
      <c r="O150" s="3">
        <v>70</v>
      </c>
      <c r="P150" s="11" t="s">
        <v>2276</v>
      </c>
      <c r="Q150" s="3">
        <v>12</v>
      </c>
      <c r="R150" s="3">
        <v>384</v>
      </c>
      <c r="S150" s="22">
        <v>19</v>
      </c>
      <c r="T150" s="9">
        <v>350</v>
      </c>
      <c r="U150" s="14" t="s">
        <v>583</v>
      </c>
      <c r="V150" s="12">
        <v>4</v>
      </c>
      <c r="W150" s="75">
        <v>16</v>
      </c>
      <c r="X150" s="76">
        <v>16</v>
      </c>
      <c r="Y150" s="9">
        <v>1804.05</v>
      </c>
      <c r="Z150" s="3">
        <v>1822.84</v>
      </c>
      <c r="AA150" s="17" t="s">
        <v>1950</v>
      </c>
      <c r="AB150" s="18" t="s">
        <v>1949</v>
      </c>
      <c r="AC150" s="46" cm="1">
        <f t="array" ref="AC150">(SUMPRODUCT((H150:O150/H$9:O$9)^H$7:O$7*H$2:O$2)+SUMPRODUCT((Q150:T150/Q$9:T$9)^Q$7:T$7*Q$2:T$2))*(0.8^(1-G150))*AC$9</f>
        <v>2.2523151918757303</v>
      </c>
      <c r="AD150" s="48" cm="1">
        <f t="array" ref="AD150">(SUMPRODUCT((H150:O150/H$9:O$9)^H$7:O$7*H$3:O$3)+SUMPRODUCT((Q150:T150/Q$9:T$9)^Q$7:T$7*Q$3:T$3))*(0.1^(1-G150))*AD$9</f>
        <v>2.900642321480519</v>
      </c>
      <c r="AE150" s="48" cm="1">
        <f t="array" ref="AE150">(SUMPRODUCT((H150:O150/H$9:O$9)^H$7:O$7*H$4:O$4)+SUMPRODUCT((Q150:T150/Q$9:T$9)^Q$7:T$7*Q$4:T$4))*AE$9</f>
        <v>2.6675401276190658</v>
      </c>
      <c r="AF150" s="47" cm="1">
        <f t="array" ref="AF150">(SUMPRODUCT((H150:O150/H$9:O$9)^H$7:O$7*H$5:O$5)+SUMPRODUCT((Q150:T150/Q$9:T$9)^Q$7:T$7*Q$5:T$5))*AF$9</f>
        <v>2.4531410839741818</v>
      </c>
      <c r="AG150" s="50" cm="1">
        <f t="array" ref="AG150">SUMPRODUCT(AC150:AF150 * AC$3:AF$3) / SUM(AC$3:AF$3)</f>
        <v>2.6921040165329475</v>
      </c>
    </row>
    <row r="151" spans="1:33" x14ac:dyDescent="0.25">
      <c r="A151" s="81" t="s">
        <v>1943</v>
      </c>
      <c r="B151" s="20" t="s">
        <v>1945</v>
      </c>
      <c r="C151" s="4" t="s">
        <v>8853</v>
      </c>
      <c r="D151" s="4" t="str">
        <f t="shared" si="2"/>
        <v>ASUS</v>
      </c>
      <c r="E151" s="4" t="s">
        <v>8854</v>
      </c>
      <c r="F151" s="14" t="s">
        <v>8869</v>
      </c>
      <c r="G151" s="9">
        <v>1</v>
      </c>
      <c r="H151" s="1">
        <v>33.869999999999997</v>
      </c>
      <c r="I151" s="1">
        <v>33.869999999999997</v>
      </c>
      <c r="J151" s="1">
        <v>0.53</v>
      </c>
      <c r="K151" s="3">
        <v>1188</v>
      </c>
      <c r="L151" s="13">
        <v>1890</v>
      </c>
      <c r="M151" s="49">
        <v>152.80000000000001</v>
      </c>
      <c r="N151" s="1">
        <v>436.8</v>
      </c>
      <c r="O151" s="3">
        <v>70</v>
      </c>
      <c r="P151" s="11" t="s">
        <v>2276</v>
      </c>
      <c r="Q151" s="3">
        <v>12</v>
      </c>
      <c r="R151" s="3">
        <v>384</v>
      </c>
      <c r="S151" s="22">
        <v>19</v>
      </c>
      <c r="T151" s="9">
        <v>350</v>
      </c>
      <c r="U151" s="14" t="s">
        <v>583</v>
      </c>
      <c r="V151" s="12">
        <v>4</v>
      </c>
      <c r="W151" s="75">
        <v>16</v>
      </c>
      <c r="X151" s="76">
        <v>16</v>
      </c>
      <c r="Y151" s="9">
        <v>1299</v>
      </c>
      <c r="Z151" s="3">
        <v>2265</v>
      </c>
      <c r="AA151" s="17" t="s">
        <v>1944</v>
      </c>
      <c r="AB151" s="18" t="s">
        <v>1943</v>
      </c>
      <c r="AC151" s="46" cm="1">
        <f t="array" ref="AC151">(SUMPRODUCT((H151:O151/H$9:O$9)^H$7:O$7*H$2:O$2)+SUMPRODUCT((Q151:T151/Q$9:T$9)^Q$7:T$7*Q$2:T$2))*(0.8^(1-G151))*AC$9</f>
        <v>2.2523151918757303</v>
      </c>
      <c r="AD151" s="48" cm="1">
        <f t="array" ref="AD151">(SUMPRODUCT((H151:O151/H$9:O$9)^H$7:O$7*H$3:O$3)+SUMPRODUCT((Q151:T151/Q$9:T$9)^Q$7:T$7*Q$3:T$3))*(0.1^(1-G151))*AD$9</f>
        <v>2.900642321480519</v>
      </c>
      <c r="AE151" s="48" cm="1">
        <f t="array" ref="AE151">(SUMPRODUCT((H151:O151/H$9:O$9)^H$7:O$7*H$4:O$4)+SUMPRODUCT((Q151:T151/Q$9:T$9)^Q$7:T$7*Q$4:T$4))*AE$9</f>
        <v>2.6675401276190658</v>
      </c>
      <c r="AF151" s="47" cm="1">
        <f t="array" ref="AF151">(SUMPRODUCT((H151:O151/H$9:O$9)^H$7:O$7*H$5:O$5)+SUMPRODUCT((Q151:T151/Q$9:T$9)^Q$7:T$7*Q$5:T$5))*AF$9</f>
        <v>2.4531410839741818</v>
      </c>
      <c r="AG151" s="50" cm="1">
        <f t="array" ref="AG151">SUMPRODUCT(AC151:AF151 * AC$3:AF$3) / SUM(AC$3:AF$3)</f>
        <v>2.6921040165329475</v>
      </c>
    </row>
    <row r="152" spans="1:33" x14ac:dyDescent="0.25">
      <c r="A152" s="81" t="s">
        <v>1814</v>
      </c>
      <c r="B152" s="20" t="s">
        <v>1816</v>
      </c>
      <c r="C152" s="4" t="s">
        <v>8853</v>
      </c>
      <c r="D152" s="4" t="str">
        <f t="shared" si="2"/>
        <v>ASUS</v>
      </c>
      <c r="E152" s="4" t="s">
        <v>8854</v>
      </c>
      <c r="F152" s="14" t="s">
        <v>8869</v>
      </c>
      <c r="G152" s="9">
        <v>1</v>
      </c>
      <c r="H152" s="1">
        <v>31.18</v>
      </c>
      <c r="I152" s="1">
        <v>31.18</v>
      </c>
      <c r="J152" s="1">
        <v>0.49</v>
      </c>
      <c r="K152" s="3">
        <v>1188</v>
      </c>
      <c r="L152" s="13">
        <v>1740</v>
      </c>
      <c r="M152" s="49">
        <v>152.80000000000001</v>
      </c>
      <c r="N152" s="1">
        <v>436.8</v>
      </c>
      <c r="O152" s="3">
        <v>70</v>
      </c>
      <c r="P152" s="11" t="s">
        <v>2276</v>
      </c>
      <c r="Q152" s="3">
        <v>12</v>
      </c>
      <c r="R152" s="3">
        <v>384</v>
      </c>
      <c r="S152" s="22">
        <v>19</v>
      </c>
      <c r="T152" s="9">
        <v>350</v>
      </c>
      <c r="U152" s="14" t="s">
        <v>576</v>
      </c>
      <c r="V152" s="12">
        <v>4</v>
      </c>
      <c r="W152" s="75">
        <v>16</v>
      </c>
      <c r="X152" s="76">
        <v>16</v>
      </c>
      <c r="Y152" s="9">
        <v>3999</v>
      </c>
      <c r="Z152" s="3">
        <v>3999</v>
      </c>
      <c r="AA152" s="17" t="s">
        <v>1815</v>
      </c>
      <c r="AB152" s="18" t="s">
        <v>1814</v>
      </c>
      <c r="AC152" s="46" cm="1">
        <f t="array" ref="AC152">(SUMPRODUCT((H152:O152/H$9:O$9)^H$7:O$7*H$2:O$2)+SUMPRODUCT((Q152:T152/Q$9:T$9)^Q$7:T$7*Q$2:T$2))*(0.8^(1-G152))*AC$9</f>
        <v>2.2184190583855221</v>
      </c>
      <c r="AD152" s="48" cm="1">
        <f t="array" ref="AD152">(SUMPRODUCT((H152:O152/H$9:O$9)^H$7:O$7*H$3:O$3)+SUMPRODUCT((Q152:T152/Q$9:T$9)^Q$7:T$7*Q$3:T$3))*(0.1^(1-G152))*AD$9</f>
        <v>2.7502936873032682</v>
      </c>
      <c r="AE152" s="48" cm="1">
        <f t="array" ref="AE152">(SUMPRODUCT((H152:O152/H$9:O$9)^H$7:O$7*H$4:O$4)+SUMPRODUCT((Q152:T152/Q$9:T$9)^Q$7:T$7*Q$4:T$4))*AE$9</f>
        <v>2.5485768135481788</v>
      </c>
      <c r="AF152" s="47" cm="1">
        <f t="array" ref="AF152">(SUMPRODUCT((H152:O152/H$9:O$9)^H$7:O$7*H$5:O$5)+SUMPRODUCT((Q152:T152/Q$9:T$9)^Q$7:T$7*Q$5:T$5))*AF$9</f>
        <v>2.3738875460106899</v>
      </c>
      <c r="AG152" s="50" cm="1">
        <f t="array" ref="AG152">SUMPRODUCT(AC152:AF152 * AC$3:AF$3) / SUM(AC$3:AF$3)</f>
        <v>2.5765005729620931</v>
      </c>
    </row>
    <row r="153" spans="1:33" x14ac:dyDescent="0.25">
      <c r="A153" s="81" t="s">
        <v>1286</v>
      </c>
      <c r="B153" s="20" t="s">
        <v>1288</v>
      </c>
      <c r="C153" s="4" t="s">
        <v>8853</v>
      </c>
      <c r="D153" s="4" t="str">
        <f t="shared" si="2"/>
        <v>INNO3D</v>
      </c>
      <c r="E153" s="4" t="s">
        <v>8854</v>
      </c>
      <c r="F153" s="14" t="s">
        <v>8869</v>
      </c>
      <c r="G153" s="9">
        <v>1</v>
      </c>
      <c r="H153" s="1">
        <v>31.45</v>
      </c>
      <c r="I153" s="1">
        <v>31.45</v>
      </c>
      <c r="J153" s="1">
        <v>0.49</v>
      </c>
      <c r="K153" s="3">
        <v>1188</v>
      </c>
      <c r="L153" s="13">
        <v>1755</v>
      </c>
      <c r="M153" s="49">
        <v>152.80000000000001</v>
      </c>
      <c r="N153" s="1">
        <v>436.8</v>
      </c>
      <c r="O153" s="3">
        <v>70</v>
      </c>
      <c r="P153" s="11" t="s">
        <v>2276</v>
      </c>
      <c r="Q153" s="3">
        <v>12</v>
      </c>
      <c r="R153" s="3">
        <v>384</v>
      </c>
      <c r="S153" s="22">
        <v>19</v>
      </c>
      <c r="T153" s="9">
        <v>350</v>
      </c>
      <c r="U153" s="14" t="s">
        <v>576</v>
      </c>
      <c r="V153" s="12">
        <v>4</v>
      </c>
      <c r="W153" s="75">
        <v>16</v>
      </c>
      <c r="X153" s="76">
        <v>16</v>
      </c>
      <c r="Y153" s="9">
        <v>964.34</v>
      </c>
      <c r="Z153" s="3">
        <v>3025.23</v>
      </c>
      <c r="AA153" s="17" t="s">
        <v>1287</v>
      </c>
      <c r="AB153" s="18" t="s">
        <v>1286</v>
      </c>
      <c r="AC153" s="46" cm="1">
        <f t="array" ref="AC153">(SUMPRODUCT((H153:O153/H$9:O$9)^H$7:O$7*H$2:O$2)+SUMPRODUCT((Q153:T153/Q$9:T$9)^Q$7:T$7*Q$2:T$2))*(0.8^(1-G153))*AC$9</f>
        <v>2.2218269166759224</v>
      </c>
      <c r="AD153" s="48" cm="1">
        <f t="array" ref="AD153">(SUMPRODUCT((H153:O153/H$9:O$9)^H$7:O$7*H$3:O$3)+SUMPRODUCT((Q153:T153/Q$9:T$9)^Q$7:T$7*Q$3:T$3))*(0.1^(1-G153))*AD$9</f>
        <v>2.7643760980170211</v>
      </c>
      <c r="AE153" s="48" cm="1">
        <f t="array" ref="AE153">(SUMPRODUCT((H153:O153/H$9:O$9)^H$7:O$7*H$4:O$4)+SUMPRODUCT((Q153:T153/Q$9:T$9)^Q$7:T$7*Q$4:T$4))*AE$9</f>
        <v>2.5530138449988651</v>
      </c>
      <c r="AF153" s="47" cm="1">
        <f t="array" ref="AF153">(SUMPRODUCT((H153:O153/H$9:O$9)^H$7:O$7*H$5:O$5)+SUMPRODUCT((Q153:T153/Q$9:T$9)^Q$7:T$7*Q$5:T$5))*AF$9</f>
        <v>2.3818718936040302</v>
      </c>
      <c r="AG153" s="50" cm="1">
        <f t="array" ref="AG153">SUMPRODUCT(AC153:AF153 * AC$3:AF$3) / SUM(AC$3:AF$3)</f>
        <v>2.5867158389448779</v>
      </c>
    </row>
    <row r="154" spans="1:33" x14ac:dyDescent="0.25">
      <c r="A154" s="81" t="s">
        <v>1820</v>
      </c>
      <c r="B154" s="20" t="s">
        <v>1822</v>
      </c>
      <c r="C154" s="4" t="s">
        <v>8853</v>
      </c>
      <c r="D154" s="4" t="str">
        <f t="shared" si="2"/>
        <v>ASUS</v>
      </c>
      <c r="E154" s="4" t="s">
        <v>8854</v>
      </c>
      <c r="F154" s="14" t="s">
        <v>8868</v>
      </c>
      <c r="G154" s="9">
        <v>1</v>
      </c>
      <c r="H154" s="1">
        <v>31.6</v>
      </c>
      <c r="I154" s="1">
        <v>31.6</v>
      </c>
      <c r="J154" s="1">
        <v>0.49</v>
      </c>
      <c r="K154" s="3">
        <v>1188</v>
      </c>
      <c r="L154" s="13">
        <v>1815</v>
      </c>
      <c r="M154" s="49">
        <v>138.19999999999999</v>
      </c>
      <c r="N154" s="1">
        <v>391.7</v>
      </c>
      <c r="O154" s="3">
        <v>68</v>
      </c>
      <c r="P154" s="11" t="s">
        <v>2276</v>
      </c>
      <c r="Q154" s="3">
        <v>10</v>
      </c>
      <c r="R154" s="3">
        <v>320</v>
      </c>
      <c r="S154" s="22">
        <v>19</v>
      </c>
      <c r="T154" s="9">
        <v>320</v>
      </c>
      <c r="U154" s="14" t="s">
        <v>576</v>
      </c>
      <c r="V154" s="12">
        <v>4</v>
      </c>
      <c r="W154" s="75">
        <v>16</v>
      </c>
      <c r="X154" s="76">
        <v>16</v>
      </c>
      <c r="Y154" s="9">
        <v>439.9</v>
      </c>
      <c r="Z154" s="3">
        <v>899</v>
      </c>
      <c r="AA154" s="17" t="s">
        <v>1821</v>
      </c>
      <c r="AB154" s="18" t="s">
        <v>1820</v>
      </c>
      <c r="AC154" s="46" cm="1">
        <f t="array" ref="AC154">(SUMPRODUCT((H154:O154/H$9:O$9)^H$7:O$7*H$2:O$2)+SUMPRODUCT((Q154:T154/Q$9:T$9)^Q$7:T$7*Q$2:T$2))*(0.8^(1-G154))*AC$9</f>
        <v>2.1020485776564497</v>
      </c>
      <c r="AD154" s="48" cm="1">
        <f t="array" ref="AD154">(SUMPRODUCT((H154:O154/H$9:O$9)^H$7:O$7*H$3:O$3)+SUMPRODUCT((Q154:T154/Q$9:T$9)^Q$7:T$7*Q$3:T$3))*(0.1^(1-G154))*AD$9</f>
        <v>2.7033220092514147</v>
      </c>
      <c r="AE154" s="48" cm="1">
        <f t="array" ref="AE154">(SUMPRODUCT((H154:O154/H$9:O$9)^H$7:O$7*H$4:O$4)+SUMPRODUCT((Q154:T154/Q$9:T$9)^Q$7:T$7*Q$4:T$4))*AE$9</f>
        <v>2.4749499097806424</v>
      </c>
      <c r="AF154" s="47" cm="1">
        <f t="array" ref="AF154">(SUMPRODUCT((H154:O154/H$9:O$9)^H$7:O$7*H$5:O$5)+SUMPRODUCT((Q154:T154/Q$9:T$9)^Q$7:T$7*Q$5:T$5))*AF$9</f>
        <v>2.2953538761788388</v>
      </c>
      <c r="AG154" s="50" cm="1">
        <f t="array" ref="AG154">SUMPRODUCT(AC154:AF154 * AC$3:AF$3) / SUM(AC$3:AF$3)</f>
        <v>2.5097404040878497</v>
      </c>
    </row>
    <row r="155" spans="1:33" x14ac:dyDescent="0.25">
      <c r="A155" s="81" t="s">
        <v>1817</v>
      </c>
      <c r="B155" s="20" t="s">
        <v>1819</v>
      </c>
      <c r="C155" s="4" t="s">
        <v>8853</v>
      </c>
      <c r="D155" s="4" t="str">
        <f t="shared" si="2"/>
        <v>ASUS</v>
      </c>
      <c r="E155" s="4" t="s">
        <v>8854</v>
      </c>
      <c r="F155" s="14" t="s">
        <v>8868</v>
      </c>
      <c r="G155" s="9">
        <v>1</v>
      </c>
      <c r="H155" s="1">
        <v>30.29</v>
      </c>
      <c r="I155" s="1">
        <v>30.29</v>
      </c>
      <c r="J155" s="1">
        <v>0.47</v>
      </c>
      <c r="K155" s="3">
        <v>1188</v>
      </c>
      <c r="L155" s="13">
        <v>1740</v>
      </c>
      <c r="M155" s="49">
        <v>138.19999999999999</v>
      </c>
      <c r="N155" s="1">
        <v>391.7</v>
      </c>
      <c r="O155" s="3">
        <v>68</v>
      </c>
      <c r="P155" s="11" t="s">
        <v>2276</v>
      </c>
      <c r="Q155" s="3">
        <v>10</v>
      </c>
      <c r="R155" s="3">
        <v>320</v>
      </c>
      <c r="S155" s="22">
        <v>19</v>
      </c>
      <c r="T155" s="9">
        <v>320</v>
      </c>
      <c r="U155" s="14" t="s">
        <v>576</v>
      </c>
      <c r="V155" s="12">
        <v>4</v>
      </c>
      <c r="W155" s="75">
        <v>16</v>
      </c>
      <c r="X155" s="76">
        <v>16</v>
      </c>
      <c r="Y155" s="9">
        <v>879</v>
      </c>
      <c r="Z155" s="3">
        <v>1135.74</v>
      </c>
      <c r="AA155" s="17" t="s">
        <v>1818</v>
      </c>
      <c r="AB155" s="18" t="s">
        <v>1817</v>
      </c>
      <c r="AC155" s="46" cm="1">
        <f t="array" ref="AC155">(SUMPRODUCT((H155:O155/H$9:O$9)^H$7:O$7*H$2:O$2)+SUMPRODUCT((Q155:T155/Q$9:T$9)^Q$7:T$7*Q$2:T$2))*(0.8^(1-G155))*AC$9</f>
        <v>2.0852361348974537</v>
      </c>
      <c r="AD155" s="48" cm="1">
        <f t="array" ref="AD155">(SUMPRODUCT((H155:O155/H$9:O$9)^H$7:O$7*H$3:O$3)+SUMPRODUCT((Q155:T155/Q$9:T$9)^Q$7:T$7*Q$3:T$3))*(0.1^(1-G155))*AD$9</f>
        <v>2.6294234546742583</v>
      </c>
      <c r="AE155" s="48" cm="1">
        <f t="array" ref="AE155">(SUMPRODUCT((H155:O155/H$9:O$9)^H$7:O$7*H$4:O$4)+SUMPRODUCT((Q155:T155/Q$9:T$9)^Q$7:T$7*Q$4:T$4))*AE$9</f>
        <v>2.4154793876138383</v>
      </c>
      <c r="AF155" s="47" cm="1">
        <f t="array" ref="AF155">(SUMPRODUCT((H155:O155/H$9:O$9)^H$7:O$7*H$5:O$5)+SUMPRODUCT((Q155:T155/Q$9:T$9)^Q$7:T$7*Q$5:T$5))*AF$9</f>
        <v>2.2564615647979926</v>
      </c>
      <c r="AG155" s="50" cm="1">
        <f t="array" ref="AG155">SUMPRODUCT(AC155:AF155 * AC$3:AF$3) / SUM(AC$3:AF$3)</f>
        <v>2.4527936900586997</v>
      </c>
    </row>
    <row r="156" spans="1:33" x14ac:dyDescent="0.25">
      <c r="A156" s="81" t="s">
        <v>1289</v>
      </c>
      <c r="B156" s="20" t="s">
        <v>1291</v>
      </c>
      <c r="C156" s="4" t="s">
        <v>8853</v>
      </c>
      <c r="D156" s="4" t="str">
        <f t="shared" si="2"/>
        <v>INNO3D</v>
      </c>
      <c r="E156" s="4" t="s">
        <v>8854</v>
      </c>
      <c r="F156" s="14" t="s">
        <v>8868</v>
      </c>
      <c r="G156" s="9">
        <v>1</v>
      </c>
      <c r="H156" s="1">
        <v>30.81</v>
      </c>
      <c r="I156" s="1">
        <v>30.81</v>
      </c>
      <c r="J156" s="1">
        <v>0.48</v>
      </c>
      <c r="K156" s="3">
        <v>1188</v>
      </c>
      <c r="L156" s="13">
        <v>1770</v>
      </c>
      <c r="M156" s="49">
        <v>138.19999999999999</v>
      </c>
      <c r="N156" s="1">
        <v>391.7</v>
      </c>
      <c r="O156" s="3">
        <v>68</v>
      </c>
      <c r="P156" s="11" t="s">
        <v>2276</v>
      </c>
      <c r="Q156" s="3">
        <v>10</v>
      </c>
      <c r="R156" s="3">
        <v>320</v>
      </c>
      <c r="S156" s="22">
        <v>19</v>
      </c>
      <c r="T156" s="9">
        <v>320</v>
      </c>
      <c r="U156" s="14" t="s">
        <v>576</v>
      </c>
      <c r="V156" s="12">
        <v>4</v>
      </c>
      <c r="W156" s="75">
        <v>16</v>
      </c>
      <c r="X156" s="76">
        <v>16</v>
      </c>
      <c r="Y156" s="9">
        <v>1497.68</v>
      </c>
      <c r="Z156" s="3">
        <v>1513.28</v>
      </c>
      <c r="AA156" s="17" t="s">
        <v>1290</v>
      </c>
      <c r="AB156" s="18" t="s">
        <v>1289</v>
      </c>
      <c r="AC156" s="46" cm="1">
        <f t="array" ref="AC156">(SUMPRODUCT((H156:O156/H$9:O$9)^H$7:O$7*H$2:O$2)+SUMPRODUCT((Q156:T156/Q$9:T$9)^Q$7:T$7*Q$2:T$2))*(0.8^(1-G156))*AC$9</f>
        <v>2.0919477037535112</v>
      </c>
      <c r="AD156" s="48" cm="1">
        <f t="array" ref="AD156">(SUMPRODUCT((H156:O156/H$9:O$9)^H$7:O$7*H$3:O$3)+SUMPRODUCT((Q156:T156/Q$9:T$9)^Q$7:T$7*Q$3:T$3))*(0.1^(1-G156))*AD$9</f>
        <v>2.6593713201254907</v>
      </c>
      <c r="AE156" s="48" cm="1">
        <f t="array" ref="AE156">(SUMPRODUCT((H156:O156/H$9:O$9)^H$7:O$7*H$4:O$4)+SUMPRODUCT((Q156:T156/Q$9:T$9)^Q$7:T$7*Q$4:T$4))*AE$9</f>
        <v>2.443043916184954</v>
      </c>
      <c r="AF156" s="47" cm="1">
        <f t="array" ref="AF156">(SUMPRODUCT((H156:O156/H$9:O$9)^H$7:O$7*H$5:O$5)+SUMPRODUCT((Q156:T156/Q$9:T$9)^Q$7:T$7*Q$5:T$5))*AF$9</f>
        <v>2.2719328311867075</v>
      </c>
      <c r="AG156" s="50" cm="1">
        <f t="array" ref="AG156">SUMPRODUCT(AC156:AF156 * AC$3:AF$3) / SUM(AC$3:AF$3)</f>
        <v>2.4761912576914153</v>
      </c>
    </row>
    <row r="157" spans="1:33" x14ac:dyDescent="0.25">
      <c r="A157" s="81" t="s">
        <v>1095</v>
      </c>
      <c r="B157" s="20" t="s">
        <v>1097</v>
      </c>
      <c r="C157" s="4" t="s">
        <v>8853</v>
      </c>
      <c r="D157" s="4" t="str">
        <f t="shared" si="2"/>
        <v>MSI</v>
      </c>
      <c r="E157" s="4" t="s">
        <v>8854</v>
      </c>
      <c r="F157" s="14" t="s">
        <v>8868</v>
      </c>
      <c r="G157" s="9">
        <v>1</v>
      </c>
      <c r="H157" s="1">
        <v>31.86</v>
      </c>
      <c r="I157" s="1">
        <v>31.86</v>
      </c>
      <c r="J157" s="1">
        <v>0.5</v>
      </c>
      <c r="K157" s="3">
        <v>1188</v>
      </c>
      <c r="L157" s="13">
        <v>1830</v>
      </c>
      <c r="M157" s="49">
        <v>138.19999999999999</v>
      </c>
      <c r="N157" s="1">
        <v>391.7</v>
      </c>
      <c r="O157" s="3">
        <v>68</v>
      </c>
      <c r="P157" s="11" t="s">
        <v>2276</v>
      </c>
      <c r="Q157" s="3">
        <v>10</v>
      </c>
      <c r="R157" s="3">
        <v>320</v>
      </c>
      <c r="S157" s="22">
        <v>19</v>
      </c>
      <c r="T157" s="9">
        <v>370</v>
      </c>
      <c r="U157" s="14" t="s">
        <v>583</v>
      </c>
      <c r="V157" s="12">
        <v>4</v>
      </c>
      <c r="W157" s="75">
        <v>16</v>
      </c>
      <c r="X157" s="76">
        <v>16</v>
      </c>
      <c r="Y157" s="9">
        <v>895.52</v>
      </c>
      <c r="Z157" s="3">
        <v>999</v>
      </c>
      <c r="AA157" s="17" t="s">
        <v>1096</v>
      </c>
      <c r="AB157" s="18" t="s">
        <v>1095</v>
      </c>
      <c r="AC157" s="46" cm="1">
        <f t="array" ref="AC157">(SUMPRODUCT((H157:O157/H$9:O$9)^H$7:O$7*H$2:O$2)+SUMPRODUCT((Q157:T157/Q$9:T$9)^Q$7:T$7*Q$2:T$2))*(0.8^(1-G157))*AC$9</f>
        <v>2.1037542784127798</v>
      </c>
      <c r="AD157" s="48" cm="1">
        <f t="array" ref="AD157">(SUMPRODUCT((H157:O157/H$9:O$9)^H$7:O$7*H$3:O$3)+SUMPRODUCT((Q157:T157/Q$9:T$9)^Q$7:T$7*Q$3:T$3))*(0.1^(1-G157))*AD$9</f>
        <v>2.7179275245066927</v>
      </c>
      <c r="AE157" s="48" cm="1">
        <f t="array" ref="AE157">(SUMPRODUCT((H157:O157/H$9:O$9)^H$7:O$7*H$4:O$4)+SUMPRODUCT((Q157:T157/Q$9:T$9)^Q$7:T$7*Q$4:T$4))*AE$9</f>
        <v>2.4980588817122173</v>
      </c>
      <c r="AF157" s="47" cm="1">
        <f t="array" ref="AF157">(SUMPRODUCT((H157:O157/H$9:O$9)^H$7:O$7*H$5:O$5)+SUMPRODUCT((Q157:T157/Q$9:T$9)^Q$7:T$7*Q$5:T$5))*AF$9</f>
        <v>2.3014204712725972</v>
      </c>
      <c r="AG157" s="50" cm="1">
        <f t="array" ref="AG157">SUMPRODUCT(AC157:AF157 * AC$3:AF$3) / SUM(AC$3:AF$3)</f>
        <v>2.521717625419305</v>
      </c>
    </row>
    <row r="158" spans="1:33" x14ac:dyDescent="0.25">
      <c r="A158" s="81" t="s">
        <v>1092</v>
      </c>
      <c r="B158" s="20" t="s">
        <v>1094</v>
      </c>
      <c r="C158" s="4" t="s">
        <v>8853</v>
      </c>
      <c r="D158" s="4" t="str">
        <f t="shared" si="2"/>
        <v>MSI</v>
      </c>
      <c r="E158" s="4" t="s">
        <v>8854</v>
      </c>
      <c r="F158" s="14" t="s">
        <v>8868</v>
      </c>
      <c r="G158" s="9">
        <v>1</v>
      </c>
      <c r="H158" s="1">
        <v>31.07</v>
      </c>
      <c r="I158" s="1">
        <v>31.07</v>
      </c>
      <c r="J158" s="1">
        <v>0.49</v>
      </c>
      <c r="K158" s="3">
        <v>1188</v>
      </c>
      <c r="L158" s="13">
        <v>1785</v>
      </c>
      <c r="M158" s="49">
        <v>138.19999999999999</v>
      </c>
      <c r="N158" s="1">
        <v>391.7</v>
      </c>
      <c r="O158" s="3">
        <v>68</v>
      </c>
      <c r="P158" s="11" t="s">
        <v>2276</v>
      </c>
      <c r="Q158" s="3">
        <v>10</v>
      </c>
      <c r="R158" s="3">
        <v>320</v>
      </c>
      <c r="S158" s="22">
        <v>19</v>
      </c>
      <c r="T158" s="9">
        <v>320</v>
      </c>
      <c r="U158" s="14" t="s">
        <v>576</v>
      </c>
      <c r="V158" s="12">
        <v>4</v>
      </c>
      <c r="W158" s="75">
        <v>16</v>
      </c>
      <c r="X158" s="76">
        <v>16</v>
      </c>
      <c r="Y158" s="9">
        <v>1599</v>
      </c>
      <c r="Z158" s="3">
        <v>1614.6</v>
      </c>
      <c r="AA158" s="17" t="s">
        <v>1093</v>
      </c>
      <c r="AB158" s="18" t="s">
        <v>1092</v>
      </c>
      <c r="AC158" s="46" cm="1">
        <f t="array" ref="AC158">(SUMPRODUCT((H158:O158/H$9:O$9)^H$7:O$7*H$2:O$2)+SUMPRODUCT((Q158:T158/Q$9:T$9)^Q$7:T$7*Q$2:T$2))*(0.8^(1-G158))*AC$9</f>
        <v>2.095299220259458</v>
      </c>
      <c r="AD158" s="48" cm="1">
        <f t="array" ref="AD158">(SUMPRODUCT((H158:O158/H$9:O$9)^H$7:O$7*H$3:O$3)+SUMPRODUCT((Q158:T158/Q$9:T$9)^Q$7:T$7*Q$3:T$3))*(0.1^(1-G158))*AD$9</f>
        <v>2.6756689200700761</v>
      </c>
      <c r="AE158" s="48" cm="1">
        <f t="array" ref="AE158">(SUMPRODUCT((H158:O158/H$9:O$9)^H$7:O$7*H$4:O$4)+SUMPRODUCT((Q158:T158/Q$9:T$9)^Q$7:T$7*Q$4:T$4))*AE$9</f>
        <v>2.4662407289953108</v>
      </c>
      <c r="AF158" s="47" cm="1">
        <f t="array" ref="AF158">(SUMPRODUCT((H158:O158/H$9:O$9)^H$7:O$7*H$5:O$5)+SUMPRODUCT((Q158:T158/Q$9:T$9)^Q$7:T$7*Q$5:T$5))*AF$9</f>
        <v>2.2796578514931132</v>
      </c>
      <c r="AG158" s="50" cm="1">
        <f t="array" ref="AG158">SUMPRODUCT(AC158:AF158 * AC$3:AF$3) / SUM(AC$3:AF$3)</f>
        <v>2.489668992997172</v>
      </c>
    </row>
    <row r="159" spans="1:33" x14ac:dyDescent="0.25">
      <c r="A159" s="81" t="s">
        <v>1089</v>
      </c>
      <c r="B159" s="20" t="s">
        <v>1091</v>
      </c>
      <c r="C159" s="4" t="s">
        <v>8853</v>
      </c>
      <c r="D159" s="4" t="str">
        <f t="shared" si="2"/>
        <v>MSI</v>
      </c>
      <c r="E159" s="4" t="s">
        <v>8854</v>
      </c>
      <c r="F159" s="14" t="s">
        <v>8868</v>
      </c>
      <c r="G159" s="9">
        <v>1</v>
      </c>
      <c r="H159" s="1">
        <v>33.42</v>
      </c>
      <c r="I159" s="1">
        <v>33.42</v>
      </c>
      <c r="J159" s="1">
        <v>0.52</v>
      </c>
      <c r="K159" s="3">
        <v>1188</v>
      </c>
      <c r="L159" s="13">
        <v>1920</v>
      </c>
      <c r="M159" s="49">
        <v>138.19999999999999</v>
      </c>
      <c r="N159" s="1">
        <v>391.7</v>
      </c>
      <c r="O159" s="3">
        <v>68</v>
      </c>
      <c r="P159" s="11" t="s">
        <v>2276</v>
      </c>
      <c r="Q159" s="3">
        <v>10</v>
      </c>
      <c r="R159" s="3">
        <v>320</v>
      </c>
      <c r="S159" s="22">
        <v>19</v>
      </c>
      <c r="T159" s="9">
        <v>370</v>
      </c>
      <c r="U159" s="14" t="s">
        <v>583</v>
      </c>
      <c r="V159" s="12">
        <v>4</v>
      </c>
      <c r="W159" s="75">
        <v>16</v>
      </c>
      <c r="X159" s="76">
        <v>16</v>
      </c>
      <c r="Y159" s="9">
        <v>1049</v>
      </c>
      <c r="Z159" s="3">
        <v>1049</v>
      </c>
      <c r="AA159" s="17" t="s">
        <v>1090</v>
      </c>
      <c r="AB159" s="18" t="s">
        <v>1089</v>
      </c>
      <c r="AC159" s="46" cm="1">
        <f t="array" ref="AC159">(SUMPRODUCT((H159:O159/H$9:O$9)^H$7:O$7*H$2:O$2)+SUMPRODUCT((Q159:T159/Q$9:T$9)^Q$7:T$7*Q$2:T$2))*(0.8^(1-G159))*AC$9</f>
        <v>2.1237564086821963</v>
      </c>
      <c r="AD159" s="48" cm="1">
        <f t="array" ref="AD159">(SUMPRODUCT((H159:O159/H$9:O$9)^H$7:O$7*H$3:O$3)+SUMPRODUCT((Q159:T159/Q$9:T$9)^Q$7:T$7*Q$3:T$3))*(0.1^(1-G159))*AD$9</f>
        <v>2.8042945996385473</v>
      </c>
      <c r="AE159" s="48" cm="1">
        <f t="array" ref="AE159">(SUMPRODUCT((H159:O159/H$9:O$9)^H$7:O$7*H$4:O$4)+SUMPRODUCT((Q159:T159/Q$9:T$9)^Q$7:T$7*Q$4:T$4))*AE$9</f>
        <v>2.5610491944072828</v>
      </c>
      <c r="AF159" s="47" cm="1">
        <f t="array" ref="AF159">(SUMPRODUCT((H159:O159/H$9:O$9)^H$7:O$7*H$5:O$5)+SUMPRODUCT((Q159:T159/Q$9:T$9)^Q$7:T$7*Q$5:T$5))*AF$9</f>
        <v>2.347503945175017</v>
      </c>
      <c r="AG159" s="50" cm="1">
        <f t="array" ref="AG159">SUMPRODUCT(AC159:AF159 * AC$3:AF$3) / SUM(AC$3:AF$3)</f>
        <v>2.5877125248206485</v>
      </c>
    </row>
    <row r="160" spans="1:33" x14ac:dyDescent="0.25">
      <c r="A160" s="81" t="s">
        <v>751</v>
      </c>
      <c r="B160" s="20" t="s">
        <v>753</v>
      </c>
      <c r="C160" s="4" t="s">
        <v>8853</v>
      </c>
      <c r="D160" s="4" t="str">
        <f t="shared" si="2"/>
        <v>Palit</v>
      </c>
      <c r="E160" s="4" t="s">
        <v>8854</v>
      </c>
      <c r="F160" s="14" t="s">
        <v>8868</v>
      </c>
      <c r="G160" s="9">
        <v>1</v>
      </c>
      <c r="H160" s="1">
        <v>29.77</v>
      </c>
      <c r="I160" s="1">
        <v>29.77</v>
      </c>
      <c r="J160" s="1">
        <v>0.47</v>
      </c>
      <c r="K160" s="3">
        <v>1188</v>
      </c>
      <c r="L160" s="13">
        <v>1710</v>
      </c>
      <c r="M160" s="49">
        <v>138.19999999999999</v>
      </c>
      <c r="N160" s="1">
        <v>391.7</v>
      </c>
      <c r="O160" s="3">
        <v>68</v>
      </c>
      <c r="P160" s="11" t="s">
        <v>2276</v>
      </c>
      <c r="Q160" s="3">
        <v>10</v>
      </c>
      <c r="R160" s="3">
        <v>320</v>
      </c>
      <c r="S160" s="22">
        <v>19</v>
      </c>
      <c r="T160" s="9">
        <v>320</v>
      </c>
      <c r="U160" s="14" t="s">
        <v>576</v>
      </c>
      <c r="V160" s="12">
        <v>4</v>
      </c>
      <c r="W160" s="75">
        <v>16</v>
      </c>
      <c r="X160" s="76">
        <v>16</v>
      </c>
      <c r="Y160" s="9">
        <v>962</v>
      </c>
      <c r="Z160" s="3">
        <v>1338.97</v>
      </c>
      <c r="AA160" s="17" t="s">
        <v>752</v>
      </c>
      <c r="AB160" s="18" t="s">
        <v>751</v>
      </c>
      <c r="AC160" s="46" cm="1">
        <f t="array" ref="AC160">(SUMPRODUCT((H160:O160/H$9:O$9)^H$7:O$7*H$2:O$2)+SUMPRODUCT((Q160:T160/Q$9:T$9)^Q$7:T$7*Q$2:T$2))*(0.8^(1-G160))*AC$9</f>
        <v>2.0785130049563252</v>
      </c>
      <c r="AD160" s="48" cm="1">
        <f t="array" ref="AD160">(SUMPRODUCT((H160:O160/H$9:O$9)^H$7:O$7*H$3:O$3)+SUMPRODUCT((Q160:T160/Q$9:T$9)^Q$7:T$7*Q$3:T$3))*(0.1^(1-G160))*AD$9</f>
        <v>2.6021298437108484</v>
      </c>
      <c r="AE160" s="48" cm="1">
        <f t="array" ref="AE160">(SUMPRODUCT((H160:O160/H$9:O$9)^H$7:O$7*H$4:O$4)+SUMPRODUCT((Q160:T160/Q$9:T$9)^Q$7:T$7*Q$4:T$4))*AE$9</f>
        <v>2.4068981042354336</v>
      </c>
      <c r="AF160" s="47" cm="1">
        <f t="array" ref="AF160">(SUMPRODUCT((H160:O160/H$9:O$9)^H$7:O$7*H$5:O$5)+SUMPRODUCT((Q160:T160/Q$9:T$9)^Q$7:T$7*Q$5:T$5))*AF$9</f>
        <v>2.2409615462070325</v>
      </c>
      <c r="AG160" s="50" cm="1">
        <f t="array" ref="AG160">SUMPRODUCT(AC160:AF160 * AC$3:AF$3) / SUM(AC$3:AF$3)</f>
        <v>2.4329732388371905</v>
      </c>
    </row>
    <row r="161" spans="1:33" x14ac:dyDescent="0.25">
      <c r="A161" s="81" t="s">
        <v>1940</v>
      </c>
      <c r="B161" s="20" t="s">
        <v>1942</v>
      </c>
      <c r="C161" s="4" t="s">
        <v>8853</v>
      </c>
      <c r="D161" s="4" t="str">
        <f t="shared" si="2"/>
        <v>ASUS</v>
      </c>
      <c r="E161" s="4" t="s">
        <v>8854</v>
      </c>
      <c r="F161" s="14" t="s">
        <v>8870</v>
      </c>
      <c r="G161" s="9">
        <v>1</v>
      </c>
      <c r="H161" s="1">
        <v>37.79</v>
      </c>
      <c r="I161" s="1">
        <v>37.79</v>
      </c>
      <c r="J161" s="1">
        <v>0.59</v>
      </c>
      <c r="K161" s="3">
        <v>1188</v>
      </c>
      <c r="L161" s="13">
        <v>1845</v>
      </c>
      <c r="M161" s="49">
        <v>152.80000000000001</v>
      </c>
      <c r="N161" s="1">
        <v>478.8</v>
      </c>
      <c r="O161" s="3">
        <v>80</v>
      </c>
      <c r="P161" s="11" t="s">
        <v>2276</v>
      </c>
      <c r="Q161" s="3">
        <v>12</v>
      </c>
      <c r="R161" s="3">
        <v>384</v>
      </c>
      <c r="S161" s="22">
        <v>19</v>
      </c>
      <c r="T161" s="9">
        <v>350</v>
      </c>
      <c r="U161" s="14" t="s">
        <v>583</v>
      </c>
      <c r="V161" s="12">
        <v>4</v>
      </c>
      <c r="W161" s="75">
        <v>16</v>
      </c>
      <c r="X161" s="76">
        <v>16</v>
      </c>
      <c r="Y161" s="9">
        <v>1646.72</v>
      </c>
      <c r="Z161" s="3">
        <v>1671.36</v>
      </c>
      <c r="AA161" s="17" t="s">
        <v>1941</v>
      </c>
      <c r="AB161" s="18" t="s">
        <v>1940</v>
      </c>
      <c r="AC161" s="46" cm="1">
        <f t="array" ref="AC161">(SUMPRODUCT((H161:O161/H$9:O$9)^H$7:O$7*H$2:O$2)+SUMPRODUCT((Q161:T161/Q$9:T$9)^Q$7:T$7*Q$2:T$2))*(0.8^(1-G161))*AC$9</f>
        <v>2.3347496005581525</v>
      </c>
      <c r="AD161" s="48" cm="1">
        <f t="array" ref="AD161">(SUMPRODUCT((H161:O161/H$9:O$9)^H$7:O$7*H$3:O$3)+SUMPRODUCT((Q161:T161/Q$9:T$9)^Q$7:T$7*Q$3:T$3))*(0.1^(1-G161))*AD$9</f>
        <v>3.110711582838924</v>
      </c>
      <c r="AE161" s="48" cm="1">
        <f t="array" ref="AE161">(SUMPRODUCT((H161:O161/H$9:O$9)^H$7:O$7*H$4:O$4)+SUMPRODUCT((Q161:T161/Q$9:T$9)^Q$7:T$7*Q$4:T$4))*AE$9</f>
        <v>2.8414089929069881</v>
      </c>
      <c r="AF161" s="47" cm="1">
        <f t="array" ref="AF161">(SUMPRODUCT((H161:O161/H$9:O$9)^H$7:O$7*H$5:O$5)+SUMPRODUCT((Q161:T161/Q$9:T$9)^Q$7:T$7*Q$5:T$5))*AF$9</f>
        <v>2.602896299226988</v>
      </c>
      <c r="AG161" s="50" cm="1">
        <f t="array" ref="AG161">SUMPRODUCT(AC161:AF161 * AC$3:AF$3) / SUM(AC$3:AF$3)</f>
        <v>2.8668261951977021</v>
      </c>
    </row>
    <row r="162" spans="1:33" x14ac:dyDescent="0.25">
      <c r="A162" s="81" t="s">
        <v>1556</v>
      </c>
      <c r="B162" s="20" t="s">
        <v>1558</v>
      </c>
      <c r="C162" s="4" t="s">
        <v>8853</v>
      </c>
      <c r="D162" s="4" t="str">
        <f t="shared" si="2"/>
        <v>GIGABYTE</v>
      </c>
      <c r="E162" s="4" t="s">
        <v>8854</v>
      </c>
      <c r="F162" s="14" t="s">
        <v>8870</v>
      </c>
      <c r="G162" s="9">
        <v>1</v>
      </c>
      <c r="H162" s="1">
        <v>35.020000000000003</v>
      </c>
      <c r="I162" s="1">
        <v>35.020000000000003</v>
      </c>
      <c r="J162" s="1">
        <v>0.55000000000000004</v>
      </c>
      <c r="K162" s="3">
        <v>1188</v>
      </c>
      <c r="L162" s="13">
        <v>1710</v>
      </c>
      <c r="M162" s="49">
        <v>152.80000000000001</v>
      </c>
      <c r="N162" s="1">
        <v>478.8</v>
      </c>
      <c r="O162" s="3">
        <v>80</v>
      </c>
      <c r="P162" s="11" t="s">
        <v>2276</v>
      </c>
      <c r="Q162" s="3">
        <v>12</v>
      </c>
      <c r="R162" s="3">
        <v>384</v>
      </c>
      <c r="S162" s="22">
        <v>19</v>
      </c>
      <c r="T162" s="9">
        <v>350</v>
      </c>
      <c r="U162" s="14" t="s">
        <v>576</v>
      </c>
      <c r="V162" s="12">
        <v>4</v>
      </c>
      <c r="W162" s="75">
        <v>16</v>
      </c>
      <c r="X162" s="76">
        <v>16</v>
      </c>
      <c r="Y162" s="9">
        <v>1964.53</v>
      </c>
      <c r="Z162" s="3">
        <v>1964.53</v>
      </c>
      <c r="AA162" s="17" t="s">
        <v>1557</v>
      </c>
      <c r="AB162" s="18" t="s">
        <v>1556</v>
      </c>
      <c r="AC162" s="46" cm="1">
        <f t="array" ref="AC162">(SUMPRODUCT((H162:O162/H$9:O$9)^H$7:O$7*H$2:O$2)+SUMPRODUCT((Q162:T162/Q$9:T$9)^Q$7:T$7*Q$2:T$2))*(0.8^(1-G162))*AC$9</f>
        <v>2.3024719128524063</v>
      </c>
      <c r="AD162" s="48" cm="1">
        <f t="array" ref="AD162">(SUMPRODUCT((H162:O162/H$9:O$9)^H$7:O$7*H$3:O$3)+SUMPRODUCT((Q162:T162/Q$9:T$9)^Q$7:T$7*Q$3:T$3))*(0.1^(1-G162))*AD$9</f>
        <v>2.9589459354894658</v>
      </c>
      <c r="AE162" s="48" cm="1">
        <f t="array" ref="AE162">(SUMPRODUCT((H162:O162/H$9:O$9)^H$7:O$7*H$4:O$4)+SUMPRODUCT((Q162:T162/Q$9:T$9)^Q$7:T$7*Q$4:T$4))*AE$9</f>
        <v>2.7232935391706214</v>
      </c>
      <c r="AF162" s="47" cm="1">
        <f t="array" ref="AF162">(SUMPRODUCT((H162:O162/H$9:O$9)^H$7:O$7*H$5:O$5)+SUMPRODUCT((Q162:T162/Q$9:T$9)^Q$7:T$7*Q$5:T$5))*AF$9</f>
        <v>2.5231683444094766</v>
      </c>
      <c r="AG162" s="50" cm="1">
        <f t="array" ref="AG162">SUMPRODUCT(AC162:AF162 * AC$3:AF$3) / SUM(AC$3:AF$3)</f>
        <v>2.7507204002789751</v>
      </c>
    </row>
    <row r="163" spans="1:33" x14ac:dyDescent="0.25">
      <c r="A163" s="81" t="s">
        <v>1283</v>
      </c>
      <c r="B163" s="20" t="s">
        <v>1285</v>
      </c>
      <c r="C163" s="4" t="s">
        <v>8853</v>
      </c>
      <c r="D163" s="4" t="str">
        <f t="shared" si="2"/>
        <v>INNO3D</v>
      </c>
      <c r="E163" s="4" t="s">
        <v>8854</v>
      </c>
      <c r="F163" s="14" t="s">
        <v>8870</v>
      </c>
      <c r="G163" s="9">
        <v>1</v>
      </c>
      <c r="H163" s="1">
        <v>35.020000000000003</v>
      </c>
      <c r="I163" s="1">
        <v>35.020000000000003</v>
      </c>
      <c r="J163" s="1">
        <v>0.55000000000000004</v>
      </c>
      <c r="K163" s="3">
        <v>1188</v>
      </c>
      <c r="L163" s="13">
        <v>1710</v>
      </c>
      <c r="M163" s="49">
        <v>152.80000000000001</v>
      </c>
      <c r="N163" s="1">
        <v>478.8</v>
      </c>
      <c r="O163" s="3">
        <v>80</v>
      </c>
      <c r="P163" s="11" t="s">
        <v>2276</v>
      </c>
      <c r="Q163" s="3">
        <v>12</v>
      </c>
      <c r="R163" s="3">
        <v>384</v>
      </c>
      <c r="S163" s="22">
        <v>19</v>
      </c>
      <c r="T163" s="9">
        <v>350</v>
      </c>
      <c r="U163" s="14" t="s">
        <v>576</v>
      </c>
      <c r="V163" s="12">
        <v>4</v>
      </c>
      <c r="W163" s="75">
        <v>16</v>
      </c>
      <c r="X163" s="76">
        <v>16</v>
      </c>
      <c r="Y163" s="9">
        <v>939</v>
      </c>
      <c r="Z163" s="3">
        <v>1317.31</v>
      </c>
      <c r="AA163" s="17" t="s">
        <v>1284</v>
      </c>
      <c r="AB163" s="18" t="s">
        <v>1283</v>
      </c>
      <c r="AC163" s="46" cm="1">
        <f t="array" ref="AC163">(SUMPRODUCT((H163:O163/H$9:O$9)^H$7:O$7*H$2:O$2)+SUMPRODUCT((Q163:T163/Q$9:T$9)^Q$7:T$7*Q$2:T$2))*(0.8^(1-G163))*AC$9</f>
        <v>2.3024719128524063</v>
      </c>
      <c r="AD163" s="48" cm="1">
        <f t="array" ref="AD163">(SUMPRODUCT((H163:O163/H$9:O$9)^H$7:O$7*H$3:O$3)+SUMPRODUCT((Q163:T163/Q$9:T$9)^Q$7:T$7*Q$3:T$3))*(0.1^(1-G163))*AD$9</f>
        <v>2.9589459354894658</v>
      </c>
      <c r="AE163" s="48" cm="1">
        <f t="array" ref="AE163">(SUMPRODUCT((H163:O163/H$9:O$9)^H$7:O$7*H$4:O$4)+SUMPRODUCT((Q163:T163/Q$9:T$9)^Q$7:T$7*Q$4:T$4))*AE$9</f>
        <v>2.7232935391706214</v>
      </c>
      <c r="AF163" s="47" cm="1">
        <f t="array" ref="AF163">(SUMPRODUCT((H163:O163/H$9:O$9)^H$7:O$7*H$5:O$5)+SUMPRODUCT((Q163:T163/Q$9:T$9)^Q$7:T$7*Q$5:T$5))*AF$9</f>
        <v>2.5231683444094766</v>
      </c>
      <c r="AG163" s="50" cm="1">
        <f t="array" ref="AG163">SUMPRODUCT(AC163:AF163 * AC$3:AF$3) / SUM(AC$3:AF$3)</f>
        <v>2.7507204002789751</v>
      </c>
    </row>
    <row r="164" spans="1:33" x14ac:dyDescent="0.25">
      <c r="A164" s="81" t="s">
        <v>1280</v>
      </c>
      <c r="B164" s="20" t="s">
        <v>1282</v>
      </c>
      <c r="C164" s="4" t="s">
        <v>8853</v>
      </c>
      <c r="D164" s="4" t="str">
        <f t="shared" si="2"/>
        <v>INNO3D</v>
      </c>
      <c r="E164" s="4" t="s">
        <v>8854</v>
      </c>
      <c r="F164" s="14" t="s">
        <v>8870</v>
      </c>
      <c r="G164" s="9">
        <v>1</v>
      </c>
      <c r="H164" s="1">
        <v>35.020000000000003</v>
      </c>
      <c r="I164" s="1">
        <v>35.020000000000003</v>
      </c>
      <c r="J164" s="1">
        <v>0.55000000000000004</v>
      </c>
      <c r="K164" s="3">
        <v>1188</v>
      </c>
      <c r="L164" s="13">
        <v>1710</v>
      </c>
      <c r="M164" s="49">
        <v>152.80000000000001</v>
      </c>
      <c r="N164" s="1">
        <v>478.8</v>
      </c>
      <c r="O164" s="3">
        <v>80</v>
      </c>
      <c r="P164" s="11" t="s">
        <v>2276</v>
      </c>
      <c r="Q164" s="3">
        <v>12</v>
      </c>
      <c r="R164" s="3">
        <v>384</v>
      </c>
      <c r="S164" s="22">
        <v>19</v>
      </c>
      <c r="T164" s="9">
        <v>350</v>
      </c>
      <c r="U164" s="14" t="s">
        <v>576</v>
      </c>
      <c r="V164" s="12">
        <v>4</v>
      </c>
      <c r="W164" s="75">
        <v>16</v>
      </c>
      <c r="X164" s="76">
        <v>16</v>
      </c>
      <c r="Y164" s="9">
        <v>1839.98</v>
      </c>
      <c r="Z164" s="3">
        <v>1904.49</v>
      </c>
      <c r="AA164" s="17" t="s">
        <v>1281</v>
      </c>
      <c r="AB164" s="18" t="s">
        <v>1280</v>
      </c>
      <c r="AC164" s="46" cm="1">
        <f t="array" ref="AC164">(SUMPRODUCT((H164:O164/H$9:O$9)^H$7:O$7*H$2:O$2)+SUMPRODUCT((Q164:T164/Q$9:T$9)^Q$7:T$7*Q$2:T$2))*(0.8^(1-G164))*AC$9</f>
        <v>2.3024719128524063</v>
      </c>
      <c r="AD164" s="48" cm="1">
        <f t="array" ref="AD164">(SUMPRODUCT((H164:O164/H$9:O$9)^H$7:O$7*H$3:O$3)+SUMPRODUCT((Q164:T164/Q$9:T$9)^Q$7:T$7*Q$3:T$3))*(0.1^(1-G164))*AD$9</f>
        <v>2.9589459354894658</v>
      </c>
      <c r="AE164" s="48" cm="1">
        <f t="array" ref="AE164">(SUMPRODUCT((H164:O164/H$9:O$9)^H$7:O$7*H$4:O$4)+SUMPRODUCT((Q164:T164/Q$9:T$9)^Q$7:T$7*Q$4:T$4))*AE$9</f>
        <v>2.7232935391706214</v>
      </c>
      <c r="AF164" s="47" cm="1">
        <f t="array" ref="AF164">(SUMPRODUCT((H164:O164/H$9:O$9)^H$7:O$7*H$5:O$5)+SUMPRODUCT((Q164:T164/Q$9:T$9)^Q$7:T$7*Q$5:T$5))*AF$9</f>
        <v>2.5231683444094766</v>
      </c>
      <c r="AG164" s="50" cm="1">
        <f t="array" ref="AG164">SUMPRODUCT(AC164:AF164 * AC$3:AF$3) / SUM(AC$3:AF$3)</f>
        <v>2.7507204002789751</v>
      </c>
    </row>
    <row r="165" spans="1:33" x14ac:dyDescent="0.25">
      <c r="A165" s="81" t="s">
        <v>1086</v>
      </c>
      <c r="B165" s="20" t="s">
        <v>1088</v>
      </c>
      <c r="C165" s="4" t="s">
        <v>8853</v>
      </c>
      <c r="D165" s="4" t="str">
        <f t="shared" si="2"/>
        <v>MSI</v>
      </c>
      <c r="E165" s="4" t="s">
        <v>8854</v>
      </c>
      <c r="F165" s="14" t="s">
        <v>8870</v>
      </c>
      <c r="G165" s="9">
        <v>1</v>
      </c>
      <c r="H165" s="1">
        <v>36.25</v>
      </c>
      <c r="I165" s="1">
        <v>36.25</v>
      </c>
      <c r="J165" s="1">
        <v>0.56999999999999995</v>
      </c>
      <c r="K165" s="3">
        <v>1188</v>
      </c>
      <c r="L165" s="13">
        <v>1770</v>
      </c>
      <c r="M165" s="49">
        <v>152.80000000000001</v>
      </c>
      <c r="N165" s="1">
        <v>478.8</v>
      </c>
      <c r="O165" s="3">
        <v>80</v>
      </c>
      <c r="P165" s="11" t="s">
        <v>2276</v>
      </c>
      <c r="Q165" s="3">
        <v>12</v>
      </c>
      <c r="R165" s="3">
        <v>384</v>
      </c>
      <c r="S165" s="22">
        <v>19</v>
      </c>
      <c r="T165" s="9">
        <v>350</v>
      </c>
      <c r="U165" s="14" t="s">
        <v>583</v>
      </c>
      <c r="V165" s="12">
        <v>4</v>
      </c>
      <c r="W165" s="75">
        <v>16</v>
      </c>
      <c r="X165" s="76">
        <v>16</v>
      </c>
      <c r="Y165" s="9">
        <v>1817.68</v>
      </c>
      <c r="Z165" s="3">
        <v>1817.68</v>
      </c>
      <c r="AA165" s="17" t="s">
        <v>1087</v>
      </c>
      <c r="AB165" s="18" t="s">
        <v>1086</v>
      </c>
      <c r="AC165" s="46" cm="1">
        <f t="array" ref="AC165">(SUMPRODUCT((H165:O165/H$9:O$9)^H$7:O$7*H$2:O$2)+SUMPRODUCT((Q165:T165/Q$9:T$9)^Q$7:T$7*Q$2:T$2))*(0.8^(1-G165))*AC$9</f>
        <v>2.3168418991830548</v>
      </c>
      <c r="AD165" s="48" cm="1">
        <f t="array" ref="AD165">(SUMPRODUCT((H165:O165/H$9:O$9)^H$7:O$7*H$3:O$3)+SUMPRODUCT((Q165:T165/Q$9:T$9)^Q$7:T$7*Q$3:T$3))*(0.1^(1-G165))*AD$9</f>
        <v>3.0271116211756177</v>
      </c>
      <c r="AE165" s="48" cm="1">
        <f t="array" ref="AE165">(SUMPRODUCT((H165:O165/H$9:O$9)^H$7:O$7*H$4:O$4)+SUMPRODUCT((Q165:T165/Q$9:T$9)^Q$7:T$7*Q$4:T$4))*AE$9</f>
        <v>2.7800128617675899</v>
      </c>
      <c r="AF165" s="47" cm="1">
        <f t="array" ref="AF165">(SUMPRODUCT((H165:O165/H$9:O$9)^H$7:O$7*H$5:O$5)+SUMPRODUCT((Q165:T165/Q$9:T$9)^Q$7:T$7*Q$5:T$5))*AF$9</f>
        <v>2.5586549168067312</v>
      </c>
      <c r="AG165" s="50" cm="1">
        <f t="array" ref="AG165">SUMPRODUCT(AC165:AF165 * AC$3:AF$3) / SUM(AC$3:AF$3)</f>
        <v>2.80320179907004</v>
      </c>
    </row>
    <row r="166" spans="1:33" x14ac:dyDescent="0.25">
      <c r="A166" s="81" t="s">
        <v>1083</v>
      </c>
      <c r="B166" s="20" t="s">
        <v>1085</v>
      </c>
      <c r="C166" s="4" t="s">
        <v>8853</v>
      </c>
      <c r="D166" s="4" t="str">
        <f t="shared" si="2"/>
        <v>MSI</v>
      </c>
      <c r="E166" s="4" t="s">
        <v>8854</v>
      </c>
      <c r="F166" s="14" t="s">
        <v>8870</v>
      </c>
      <c r="G166" s="9">
        <v>1</v>
      </c>
      <c r="H166" s="1">
        <v>34.71</v>
      </c>
      <c r="I166" s="1">
        <v>34.71</v>
      </c>
      <c r="J166" s="1">
        <v>0.54</v>
      </c>
      <c r="K166" s="3">
        <v>1188</v>
      </c>
      <c r="L166" s="13">
        <v>1695</v>
      </c>
      <c r="M166" s="49">
        <v>152.80000000000001</v>
      </c>
      <c r="N166" s="1">
        <v>478.8</v>
      </c>
      <c r="O166" s="3">
        <v>80</v>
      </c>
      <c r="P166" s="11" t="s">
        <v>2276</v>
      </c>
      <c r="Q166" s="3">
        <v>12</v>
      </c>
      <c r="R166" s="3">
        <v>384</v>
      </c>
      <c r="S166" s="22">
        <v>19</v>
      </c>
      <c r="T166" s="9">
        <v>350</v>
      </c>
      <c r="U166" s="14" t="s">
        <v>576</v>
      </c>
      <c r="V166" s="12">
        <v>4</v>
      </c>
      <c r="W166" s="75">
        <v>16</v>
      </c>
      <c r="X166" s="76">
        <v>16</v>
      </c>
      <c r="Y166" s="9">
        <v>2002.35</v>
      </c>
      <c r="Z166" s="3">
        <v>2689.38</v>
      </c>
      <c r="AA166" s="17" t="s">
        <v>1084</v>
      </c>
      <c r="AB166" s="18" t="s">
        <v>1083</v>
      </c>
      <c r="AC166" s="46" cm="1">
        <f t="array" ref="AC166">(SUMPRODUCT((H166:O166/H$9:O$9)^H$7:O$7*H$2:O$2)+SUMPRODUCT((Q166:T166/Q$9:T$9)^Q$7:T$7*Q$2:T$2))*(0.8^(1-G166))*AC$9</f>
        <v>2.2988580411387516</v>
      </c>
      <c r="AD166" s="48" cm="1">
        <f t="array" ref="AD166">(SUMPRODUCT((H166:O166/H$9:O$9)^H$7:O$7*H$3:O$3)+SUMPRODUCT((Q166:T166/Q$9:T$9)^Q$7:T$7*Q$3:T$3))*(0.1^(1-G166))*AD$9</f>
        <v>2.9404082907814399</v>
      </c>
      <c r="AE166" s="48" cm="1">
        <f t="array" ref="AE166">(SUMPRODUCT((H166:O166/H$9:O$9)^H$7:O$7*H$4:O$4)+SUMPRODUCT((Q166:T166/Q$9:T$9)^Q$7:T$7*Q$4:T$4))*AE$9</f>
        <v>2.6997708566144545</v>
      </c>
      <c r="AF166" s="47" cm="1">
        <f t="array" ref="AF166">(SUMPRODUCT((H166:O166/H$9:O$9)^H$7:O$7*H$5:O$5)+SUMPRODUCT((Q166:T166/Q$9:T$9)^Q$7:T$7*Q$5:T$5))*AF$9</f>
        <v>2.5142097593760444</v>
      </c>
      <c r="AG166" s="50" cm="1">
        <f t="array" ref="AG166">SUMPRODUCT(AC166:AF166 * AC$3:AF$3) / SUM(AC$3:AF$3)</f>
        <v>2.7357126679215384</v>
      </c>
    </row>
    <row r="167" spans="1:33" x14ac:dyDescent="0.25">
      <c r="A167" s="81" t="s">
        <v>748</v>
      </c>
      <c r="B167" s="20" t="s">
        <v>750</v>
      </c>
      <c r="C167" s="4" t="s">
        <v>8853</v>
      </c>
      <c r="D167" s="4" t="str">
        <f t="shared" si="2"/>
        <v>Palit</v>
      </c>
      <c r="E167" s="4" t="s">
        <v>8854</v>
      </c>
      <c r="F167" s="14" t="s">
        <v>8870</v>
      </c>
      <c r="G167" s="9">
        <v>1</v>
      </c>
      <c r="H167" s="1">
        <v>34.1</v>
      </c>
      <c r="I167" s="1">
        <v>34.1</v>
      </c>
      <c r="J167" s="1">
        <v>0.53</v>
      </c>
      <c r="K167" s="3">
        <v>1188</v>
      </c>
      <c r="L167" s="13">
        <v>1665</v>
      </c>
      <c r="M167" s="49">
        <v>152.80000000000001</v>
      </c>
      <c r="N167" s="1">
        <v>478.8</v>
      </c>
      <c r="O167" s="3">
        <v>80</v>
      </c>
      <c r="P167" s="11" t="s">
        <v>2276</v>
      </c>
      <c r="Q167" s="3">
        <v>12</v>
      </c>
      <c r="R167" s="3">
        <v>384</v>
      </c>
      <c r="S167" s="22">
        <v>19</v>
      </c>
      <c r="T167" s="9">
        <v>350</v>
      </c>
      <c r="U167" s="14" t="s">
        <v>583</v>
      </c>
      <c r="V167" s="12">
        <v>4</v>
      </c>
      <c r="W167" s="75">
        <v>16</v>
      </c>
      <c r="X167" s="76">
        <v>16</v>
      </c>
      <c r="Y167" s="9">
        <v>1299.99</v>
      </c>
      <c r="Z167" s="3">
        <v>1670.44</v>
      </c>
      <c r="AA167" s="17" t="s">
        <v>749</v>
      </c>
      <c r="AB167" s="18" t="s">
        <v>748</v>
      </c>
      <c r="AC167" s="46" cm="1">
        <f t="array" ref="AC167">(SUMPRODUCT((H167:O167/H$9:O$9)^H$7:O$7*H$2:O$2)+SUMPRODUCT((Q167:T167/Q$9:T$9)^Q$7:T$7*Q$2:T$2))*(0.8^(1-G167))*AC$9</f>
        <v>2.2916749403305503</v>
      </c>
      <c r="AD167" s="48" cm="1">
        <f t="array" ref="AD167">(SUMPRODUCT((H167:O167/H$9:O$9)^H$7:O$7*H$3:O$3)+SUMPRODUCT((Q167:T167/Q$9:T$9)^Q$7:T$7*Q$3:T$3))*(0.1^(1-G167))*AD$9</f>
        <v>2.9064107876254015</v>
      </c>
      <c r="AE167" s="48" cm="1">
        <f t="array" ref="AE167">(SUMPRODUCT((H167:O167/H$9:O$9)^H$7:O$7*H$4:O$4)+SUMPRODUCT((Q167:T167/Q$9:T$9)^Q$7:T$7*Q$4:T$4))*AE$9</f>
        <v>2.6712890205436657</v>
      </c>
      <c r="AF167" s="47" cm="1">
        <f t="array" ref="AF167">(SUMPRODUCT((H167:O167/H$9:O$9)^H$7:O$7*H$5:O$5)+SUMPRODUCT((Q167:T167/Q$9:T$9)^Q$7:T$7*Q$5:T$5))*AF$9</f>
        <v>2.4965312188436326</v>
      </c>
      <c r="AG167" s="50" cm="1">
        <f t="array" ref="AG167">SUMPRODUCT(AC167:AF167 * AC$3:AF$3) / SUM(AC$3:AF$3)</f>
        <v>2.709516910825772</v>
      </c>
    </row>
    <row r="168" spans="1:33" x14ac:dyDescent="0.25">
      <c r="A168" s="81" t="s">
        <v>745</v>
      </c>
      <c r="B168" s="20" t="s">
        <v>747</v>
      </c>
      <c r="C168" s="4" t="s">
        <v>8853</v>
      </c>
      <c r="D168" s="4" t="str">
        <f t="shared" si="2"/>
        <v>Palit</v>
      </c>
      <c r="E168" s="4" t="s">
        <v>8854</v>
      </c>
      <c r="F168" s="14" t="s">
        <v>8870</v>
      </c>
      <c r="G168" s="9">
        <v>1</v>
      </c>
      <c r="H168" s="1">
        <v>34.1</v>
      </c>
      <c r="I168" s="1">
        <v>34.1</v>
      </c>
      <c r="J168" s="1">
        <v>0.53</v>
      </c>
      <c r="K168" s="3">
        <v>1188</v>
      </c>
      <c r="L168" s="13">
        <v>1665</v>
      </c>
      <c r="M168" s="49">
        <v>152.80000000000001</v>
      </c>
      <c r="N168" s="1">
        <v>478.8</v>
      </c>
      <c r="O168" s="3">
        <v>80</v>
      </c>
      <c r="P168" s="11" t="s">
        <v>2276</v>
      </c>
      <c r="Q168" s="3">
        <v>12</v>
      </c>
      <c r="R168" s="3">
        <v>384</v>
      </c>
      <c r="S168" s="22">
        <v>19</v>
      </c>
      <c r="T168" s="9">
        <v>350</v>
      </c>
      <c r="U168" s="14" t="s">
        <v>576</v>
      </c>
      <c r="V168" s="12">
        <v>4</v>
      </c>
      <c r="W168" s="75">
        <v>16</v>
      </c>
      <c r="X168" s="76">
        <v>16</v>
      </c>
      <c r="Y168" s="9">
        <v>1605.8</v>
      </c>
      <c r="Z168" s="3">
        <v>1605.8</v>
      </c>
      <c r="AA168" s="17" t="s">
        <v>746</v>
      </c>
      <c r="AB168" s="18" t="s">
        <v>745</v>
      </c>
      <c r="AC168" s="46" cm="1">
        <f t="array" ref="AC168">(SUMPRODUCT((H168:O168/H$9:O$9)^H$7:O$7*H$2:O$2)+SUMPRODUCT((Q168:T168/Q$9:T$9)^Q$7:T$7*Q$2:T$2))*(0.8^(1-G168))*AC$9</f>
        <v>2.2916749403305503</v>
      </c>
      <c r="AD168" s="48" cm="1">
        <f t="array" ref="AD168">(SUMPRODUCT((H168:O168/H$9:O$9)^H$7:O$7*H$3:O$3)+SUMPRODUCT((Q168:T168/Q$9:T$9)^Q$7:T$7*Q$3:T$3))*(0.1^(1-G168))*AD$9</f>
        <v>2.9064107876254015</v>
      </c>
      <c r="AE168" s="48" cm="1">
        <f t="array" ref="AE168">(SUMPRODUCT((H168:O168/H$9:O$9)^H$7:O$7*H$4:O$4)+SUMPRODUCT((Q168:T168/Q$9:T$9)^Q$7:T$7*Q$4:T$4))*AE$9</f>
        <v>2.6712890205436657</v>
      </c>
      <c r="AF168" s="47" cm="1">
        <f t="array" ref="AF168">(SUMPRODUCT((H168:O168/H$9:O$9)^H$7:O$7*H$5:O$5)+SUMPRODUCT((Q168:T168/Q$9:T$9)^Q$7:T$7*Q$5:T$5))*AF$9</f>
        <v>2.4965312188436326</v>
      </c>
      <c r="AG168" s="50" cm="1">
        <f t="array" ref="AG168">SUMPRODUCT(AC168:AF168 * AC$3:AF$3) / SUM(AC$3:AF$3)</f>
        <v>2.709516910825772</v>
      </c>
    </row>
    <row r="169" spans="1:33" x14ac:dyDescent="0.25">
      <c r="A169" s="81" t="s">
        <v>590</v>
      </c>
      <c r="B169" s="20" t="s">
        <v>592</v>
      </c>
      <c r="C169" s="4" t="s">
        <v>8853</v>
      </c>
      <c r="D169" s="4" t="str">
        <f t="shared" si="2"/>
        <v>Zotac</v>
      </c>
      <c r="E169" s="4" t="s">
        <v>8854</v>
      </c>
      <c r="F169" s="14" t="s">
        <v>8870</v>
      </c>
      <c r="G169" s="9">
        <v>1</v>
      </c>
      <c r="H169" s="1">
        <v>35.020000000000003</v>
      </c>
      <c r="I169" s="1">
        <v>35.020000000000003</v>
      </c>
      <c r="J169" s="1">
        <v>0.55000000000000004</v>
      </c>
      <c r="K169" s="3">
        <v>1188</v>
      </c>
      <c r="L169" s="13">
        <v>1710</v>
      </c>
      <c r="M169" s="49">
        <v>152.80000000000001</v>
      </c>
      <c r="N169" s="1">
        <v>478.8</v>
      </c>
      <c r="O169" s="3">
        <v>80</v>
      </c>
      <c r="P169" s="11" t="s">
        <v>2276</v>
      </c>
      <c r="Q169" s="3">
        <v>12</v>
      </c>
      <c r="R169" s="3">
        <v>384</v>
      </c>
      <c r="S169" s="22">
        <v>19</v>
      </c>
      <c r="T169" s="9">
        <v>350</v>
      </c>
      <c r="U169" s="14" t="s">
        <v>576</v>
      </c>
      <c r="V169" s="12">
        <v>4</v>
      </c>
      <c r="W169" s="75">
        <v>16</v>
      </c>
      <c r="X169" s="76">
        <v>16</v>
      </c>
      <c r="Y169" s="9">
        <v>3927.35</v>
      </c>
      <c r="Z169" s="3">
        <v>3927.35</v>
      </c>
      <c r="AA169" s="17" t="s">
        <v>591</v>
      </c>
      <c r="AB169" s="18" t="s">
        <v>590</v>
      </c>
      <c r="AC169" s="46" cm="1">
        <f t="array" ref="AC169">(SUMPRODUCT((H169:O169/H$9:O$9)^H$7:O$7*H$2:O$2)+SUMPRODUCT((Q169:T169/Q$9:T$9)^Q$7:T$7*Q$2:T$2))*(0.8^(1-G169))*AC$9</f>
        <v>2.3024719128524063</v>
      </c>
      <c r="AD169" s="48" cm="1">
        <f t="array" ref="AD169">(SUMPRODUCT((H169:O169/H$9:O$9)^H$7:O$7*H$3:O$3)+SUMPRODUCT((Q169:T169/Q$9:T$9)^Q$7:T$7*Q$3:T$3))*(0.1^(1-G169))*AD$9</f>
        <v>2.9589459354894658</v>
      </c>
      <c r="AE169" s="48" cm="1">
        <f t="array" ref="AE169">(SUMPRODUCT((H169:O169/H$9:O$9)^H$7:O$7*H$4:O$4)+SUMPRODUCT((Q169:T169/Q$9:T$9)^Q$7:T$7*Q$4:T$4))*AE$9</f>
        <v>2.7232935391706214</v>
      </c>
      <c r="AF169" s="47" cm="1">
        <f t="array" ref="AF169">(SUMPRODUCT((H169:O169/H$9:O$9)^H$7:O$7*H$5:O$5)+SUMPRODUCT((Q169:T169/Q$9:T$9)^Q$7:T$7*Q$5:T$5))*AF$9</f>
        <v>2.5231683444094766</v>
      </c>
      <c r="AG169" s="50" cm="1">
        <f t="array" ref="AG169">SUMPRODUCT(AC169:AF169 * AC$3:AF$3) / SUM(AC$3:AF$3)</f>
        <v>2.7507204002789751</v>
      </c>
    </row>
    <row r="170" spans="1:33" x14ac:dyDescent="0.25">
      <c r="A170" s="81" t="s">
        <v>587</v>
      </c>
      <c r="B170" s="20" t="s">
        <v>589</v>
      </c>
      <c r="C170" s="4" t="s">
        <v>8853</v>
      </c>
      <c r="D170" s="4" t="str">
        <f t="shared" si="2"/>
        <v>Zotac</v>
      </c>
      <c r="E170" s="4" t="s">
        <v>8854</v>
      </c>
      <c r="F170" s="14" t="s">
        <v>8870</v>
      </c>
      <c r="G170" s="9">
        <v>1</v>
      </c>
      <c r="H170" s="1">
        <v>34.1</v>
      </c>
      <c r="I170" s="1">
        <v>34.1</v>
      </c>
      <c r="J170" s="1">
        <v>0.53</v>
      </c>
      <c r="K170" s="3">
        <v>1188</v>
      </c>
      <c r="L170" s="13">
        <v>1665</v>
      </c>
      <c r="M170" s="49">
        <v>152.80000000000001</v>
      </c>
      <c r="N170" s="1">
        <v>478.8</v>
      </c>
      <c r="O170" s="3">
        <v>80</v>
      </c>
      <c r="P170" s="11" t="s">
        <v>2276</v>
      </c>
      <c r="Q170" s="3">
        <v>12</v>
      </c>
      <c r="R170" s="3">
        <v>384</v>
      </c>
      <c r="S170" s="22">
        <v>19</v>
      </c>
      <c r="T170" s="9">
        <v>350</v>
      </c>
      <c r="U170" s="14" t="s">
        <v>576</v>
      </c>
      <c r="V170" s="12">
        <v>4</v>
      </c>
      <c r="W170" s="75">
        <v>16</v>
      </c>
      <c r="X170" s="76">
        <v>16</v>
      </c>
      <c r="Y170" s="9">
        <v>1345.02</v>
      </c>
      <c r="Z170" s="3">
        <v>1345.02</v>
      </c>
      <c r="AA170" s="17" t="s">
        <v>588</v>
      </c>
      <c r="AB170" s="18" t="s">
        <v>587</v>
      </c>
      <c r="AC170" s="46" cm="1">
        <f t="array" ref="AC170">(SUMPRODUCT((H170:O170/H$9:O$9)^H$7:O$7*H$2:O$2)+SUMPRODUCT((Q170:T170/Q$9:T$9)^Q$7:T$7*Q$2:T$2))*(0.8^(1-G170))*AC$9</f>
        <v>2.2916749403305503</v>
      </c>
      <c r="AD170" s="48" cm="1">
        <f t="array" ref="AD170">(SUMPRODUCT((H170:O170/H$9:O$9)^H$7:O$7*H$3:O$3)+SUMPRODUCT((Q170:T170/Q$9:T$9)^Q$7:T$7*Q$3:T$3))*(0.1^(1-G170))*AD$9</f>
        <v>2.9064107876254015</v>
      </c>
      <c r="AE170" s="48" cm="1">
        <f t="array" ref="AE170">(SUMPRODUCT((H170:O170/H$9:O$9)^H$7:O$7*H$4:O$4)+SUMPRODUCT((Q170:T170/Q$9:T$9)^Q$7:T$7*Q$4:T$4))*AE$9</f>
        <v>2.6712890205436657</v>
      </c>
      <c r="AF170" s="47" cm="1">
        <f t="array" ref="AF170">(SUMPRODUCT((H170:O170/H$9:O$9)^H$7:O$7*H$5:O$5)+SUMPRODUCT((Q170:T170/Q$9:T$9)^Q$7:T$7*Q$5:T$5))*AF$9</f>
        <v>2.4965312188436326</v>
      </c>
      <c r="AG170" s="50" cm="1">
        <f t="array" ref="AG170">SUMPRODUCT(AC170:AF170 * AC$3:AF$3) / SUM(AC$3:AF$3)</f>
        <v>2.709516910825772</v>
      </c>
    </row>
    <row r="171" spans="1:33" x14ac:dyDescent="0.25">
      <c r="A171" s="81" t="s">
        <v>1937</v>
      </c>
      <c r="B171" s="20" t="s">
        <v>1939</v>
      </c>
      <c r="C171" s="4" t="s">
        <v>8853</v>
      </c>
      <c r="D171" s="4" t="str">
        <f t="shared" si="2"/>
        <v>ASUS</v>
      </c>
      <c r="E171" s="4" t="s">
        <v>8854</v>
      </c>
      <c r="F171" s="14" t="s">
        <v>8871</v>
      </c>
      <c r="G171" s="9">
        <v>1</v>
      </c>
      <c r="H171" s="1">
        <v>39.67</v>
      </c>
      <c r="I171" s="1">
        <v>39.67</v>
      </c>
      <c r="J171" s="1">
        <v>0.62</v>
      </c>
      <c r="K171" s="3">
        <v>1219</v>
      </c>
      <c r="L171" s="13">
        <v>1890</v>
      </c>
      <c r="M171" s="49">
        <v>189.9</v>
      </c>
      <c r="N171" s="1">
        <v>556</v>
      </c>
      <c r="O171" s="3">
        <v>82</v>
      </c>
      <c r="P171" s="11" t="s">
        <v>2276</v>
      </c>
      <c r="Q171" s="3">
        <v>24</v>
      </c>
      <c r="R171" s="3">
        <v>384</v>
      </c>
      <c r="S171" s="22">
        <v>19.5</v>
      </c>
      <c r="T171" s="9">
        <v>350</v>
      </c>
      <c r="U171" s="14" t="s">
        <v>583</v>
      </c>
      <c r="V171" s="12">
        <v>4</v>
      </c>
      <c r="W171" s="75">
        <v>16</v>
      </c>
      <c r="X171" s="76">
        <v>16</v>
      </c>
      <c r="Y171" s="9">
        <v>2289.9899999999998</v>
      </c>
      <c r="Z171" s="3">
        <v>2653.93</v>
      </c>
      <c r="AA171" s="17" t="s">
        <v>1938</v>
      </c>
      <c r="AB171" s="18" t="s">
        <v>1937</v>
      </c>
      <c r="AC171" s="46" cm="1">
        <f t="array" ref="AC171">(SUMPRODUCT((H171:O171/H$9:O$9)^H$7:O$7*H$2:O$2)+SUMPRODUCT((Q171:T171/Q$9:T$9)^Q$7:T$7*Q$2:T$2))*(0.8^(1-G171))*AC$9</f>
        <v>2.590604409106033</v>
      </c>
      <c r="AD171" s="48" cm="1">
        <f t="array" ref="AD171">(SUMPRODUCT((H171:O171/H$9:O$9)^H$7:O$7*H$3:O$3)+SUMPRODUCT((Q171:T171/Q$9:T$9)^Q$7:T$7*Q$3:T$3))*(0.1^(1-G171))*AD$9</f>
        <v>3.393215465882836</v>
      </c>
      <c r="AE171" s="48" cm="1">
        <f t="array" ref="AE171">(SUMPRODUCT((H171:O171/H$9:O$9)^H$7:O$7*H$4:O$4)+SUMPRODUCT((Q171:T171/Q$9:T$9)^Q$7:T$7*Q$4:T$4))*AE$9</f>
        <v>3.0634341784132624</v>
      </c>
      <c r="AF171" s="47" cm="1">
        <f t="array" ref="AF171">(SUMPRODUCT((H171:O171/H$9:O$9)^H$7:O$7*H$5:O$5)+SUMPRODUCT((Q171:T171/Q$9:T$9)^Q$7:T$7*Q$5:T$5))*AF$9</f>
        <v>2.8237157201238259</v>
      </c>
      <c r="AG171" s="50" cm="1">
        <f t="array" ref="AG171">SUMPRODUCT(AC171:AF171 * AC$3:AF$3) / SUM(AC$3:AF$3)</f>
        <v>3.1278879668524704</v>
      </c>
    </row>
    <row r="172" spans="1:33" x14ac:dyDescent="0.25">
      <c r="A172" s="81" t="s">
        <v>1934</v>
      </c>
      <c r="B172" s="20" t="s">
        <v>1936</v>
      </c>
      <c r="C172" s="4" t="s">
        <v>8853</v>
      </c>
      <c r="D172" s="4" t="str">
        <f t="shared" si="2"/>
        <v>ASUS</v>
      </c>
      <c r="E172" s="4" t="s">
        <v>8854</v>
      </c>
      <c r="F172" s="14" t="s">
        <v>8871</v>
      </c>
      <c r="G172" s="9">
        <v>1</v>
      </c>
      <c r="H172" s="1">
        <v>36.21</v>
      </c>
      <c r="I172" s="1">
        <v>36.21</v>
      </c>
      <c r="J172" s="1">
        <v>0.56999999999999995</v>
      </c>
      <c r="K172" s="3">
        <v>1219</v>
      </c>
      <c r="L172" s="13">
        <v>1725</v>
      </c>
      <c r="M172" s="49">
        <v>189.9</v>
      </c>
      <c r="N172" s="1">
        <v>556</v>
      </c>
      <c r="O172" s="3">
        <v>82</v>
      </c>
      <c r="P172" s="11" t="s">
        <v>2276</v>
      </c>
      <c r="Q172" s="3">
        <v>24</v>
      </c>
      <c r="R172" s="3">
        <v>384</v>
      </c>
      <c r="S172" s="22">
        <v>19.5</v>
      </c>
      <c r="T172" s="9">
        <v>350</v>
      </c>
      <c r="U172" s="14" t="s">
        <v>583</v>
      </c>
      <c r="V172" s="12">
        <v>4</v>
      </c>
      <c r="W172" s="75">
        <v>16</v>
      </c>
      <c r="X172" s="76">
        <v>16</v>
      </c>
      <c r="Y172" s="9">
        <v>2629.7</v>
      </c>
      <c r="Z172" s="3">
        <v>2629.7</v>
      </c>
      <c r="AA172" s="17" t="s">
        <v>1935</v>
      </c>
      <c r="AB172" s="18" t="s">
        <v>1934</v>
      </c>
      <c r="AC172" s="46" cm="1">
        <f t="array" ref="AC172">(SUMPRODUCT((H172:O172/H$9:O$9)^H$7:O$7*H$2:O$2)+SUMPRODUCT((Q172:T172/Q$9:T$9)^Q$7:T$7*Q$2:T$2))*(0.8^(1-G172))*AC$9</f>
        <v>2.5508641009839215</v>
      </c>
      <c r="AD172" s="48" cm="1">
        <f t="array" ref="AD172">(SUMPRODUCT((H172:O172/H$9:O$9)^H$7:O$7*H$3:O$3)+SUMPRODUCT((Q172:T172/Q$9:T$9)^Q$7:T$7*Q$3:T$3))*(0.1^(1-G172))*AD$9</f>
        <v>3.2047549086320797</v>
      </c>
      <c r="AE172" s="48" cm="1">
        <f t="array" ref="AE172">(SUMPRODUCT((H172:O172/H$9:O$9)^H$7:O$7*H$4:O$4)+SUMPRODUCT((Q172:T172/Q$9:T$9)^Q$7:T$7*Q$4:T$4))*AE$9</f>
        <v>2.9168415483951193</v>
      </c>
      <c r="AF172" s="47" cm="1">
        <f t="array" ref="AF172">(SUMPRODUCT((H172:O172/H$9:O$9)^H$7:O$7*H$5:O$5)+SUMPRODUCT((Q172:T172/Q$9:T$9)^Q$7:T$7*Q$5:T$5))*AF$9</f>
        <v>2.7247350900109044</v>
      </c>
      <c r="AG172" s="50" cm="1">
        <f t="array" ref="AG172">SUMPRODUCT(AC172:AF172 * AC$3:AF$3) / SUM(AC$3:AF$3)</f>
        <v>2.9837794308941956</v>
      </c>
    </row>
    <row r="173" spans="1:33" x14ac:dyDescent="0.25">
      <c r="A173" s="81" t="s">
        <v>1811</v>
      </c>
      <c r="B173" s="20" t="s">
        <v>1813</v>
      </c>
      <c r="C173" s="4" t="s">
        <v>8853</v>
      </c>
      <c r="D173" s="4" t="str">
        <f t="shared" si="2"/>
        <v>ASUS</v>
      </c>
      <c r="E173" s="4" t="s">
        <v>8854</v>
      </c>
      <c r="F173" s="14" t="s">
        <v>8871</v>
      </c>
      <c r="G173" s="9">
        <v>1</v>
      </c>
      <c r="H173" s="1">
        <v>37.159999999999997</v>
      </c>
      <c r="I173" s="1">
        <v>37.159999999999997</v>
      </c>
      <c r="J173" s="1">
        <v>0.57999999999999996</v>
      </c>
      <c r="K173" s="3">
        <v>1219</v>
      </c>
      <c r="L173" s="13">
        <v>1770</v>
      </c>
      <c r="M173" s="49">
        <v>189.9</v>
      </c>
      <c r="N173" s="1">
        <v>556</v>
      </c>
      <c r="O173" s="3">
        <v>82</v>
      </c>
      <c r="P173" s="11" t="s">
        <v>2276</v>
      </c>
      <c r="Q173" s="3">
        <v>24</v>
      </c>
      <c r="R173" s="3">
        <v>384</v>
      </c>
      <c r="S173" s="22">
        <v>19.5</v>
      </c>
      <c r="T173" s="9">
        <v>350</v>
      </c>
      <c r="U173" s="14" t="s">
        <v>576</v>
      </c>
      <c r="V173" s="12">
        <v>4</v>
      </c>
      <c r="W173" s="75">
        <v>16</v>
      </c>
      <c r="X173" s="76">
        <v>16</v>
      </c>
      <c r="Y173" s="9">
        <v>1989</v>
      </c>
      <c r="Z173" s="3">
        <v>2189</v>
      </c>
      <c r="AA173" s="17" t="s">
        <v>1812</v>
      </c>
      <c r="AB173" s="18" t="s">
        <v>1811</v>
      </c>
      <c r="AC173" s="46" cm="1">
        <f t="array" ref="AC173">(SUMPRODUCT((H173:O173/H$9:O$9)^H$7:O$7*H$2:O$2)+SUMPRODUCT((Q173:T173/Q$9:T$9)^Q$7:T$7*Q$2:T$2))*(0.8^(1-G173))*AC$9</f>
        <v>2.5617728852536739</v>
      </c>
      <c r="AD173" s="48" cm="1">
        <f t="array" ref="AD173">(SUMPRODUCT((H173:O173/H$9:O$9)^H$7:O$7*H$3:O$3)+SUMPRODUCT((Q173:T173/Q$9:T$9)^Q$7:T$7*Q$3:T$3))*(0.1^(1-G173))*AD$9</f>
        <v>3.2557473882642149</v>
      </c>
      <c r="AE173" s="48" cm="1">
        <f t="array" ref="AE173">(SUMPRODUCT((H173:O173/H$9:O$9)^H$7:O$7*H$4:O$4)+SUMPRODUCT((Q173:T173/Q$9:T$9)^Q$7:T$7*Q$4:T$4))*AE$9</f>
        <v>2.9504939256214247</v>
      </c>
      <c r="AF173" s="47" cm="1">
        <f t="array" ref="AF173">(SUMPRODUCT((H173:O173/H$9:O$9)^H$7:O$7*H$5:O$5)+SUMPRODUCT((Q173:T173/Q$9:T$9)^Q$7:T$7*Q$5:T$5))*AF$9</f>
        <v>2.7519942851404804</v>
      </c>
      <c r="AG173" s="50" cm="1">
        <f t="array" ref="AG173">SUMPRODUCT(AC173:AF173 * AC$3:AF$3) / SUM(AC$3:AF$3)</f>
        <v>3.0222090691704149</v>
      </c>
    </row>
    <row r="174" spans="1:33" x14ac:dyDescent="0.25">
      <c r="A174" s="81" t="s">
        <v>1277</v>
      </c>
      <c r="B174" s="20" t="s">
        <v>1279</v>
      </c>
      <c r="C174" s="4" t="s">
        <v>8853</v>
      </c>
      <c r="D174" s="4" t="str">
        <f t="shared" si="2"/>
        <v>INNO3D</v>
      </c>
      <c r="E174" s="4" t="s">
        <v>8854</v>
      </c>
      <c r="F174" s="14" t="s">
        <v>8871</v>
      </c>
      <c r="G174" s="9">
        <v>1</v>
      </c>
      <c r="H174" s="1">
        <v>36.840000000000003</v>
      </c>
      <c r="I174" s="1">
        <v>36.840000000000003</v>
      </c>
      <c r="J174" s="1">
        <v>0.57999999999999996</v>
      </c>
      <c r="K174" s="3">
        <v>1219</v>
      </c>
      <c r="L174" s="13">
        <v>1755</v>
      </c>
      <c r="M174" s="49">
        <v>189.9</v>
      </c>
      <c r="N174" s="1">
        <v>556</v>
      </c>
      <c r="O174" s="3">
        <v>82</v>
      </c>
      <c r="P174" s="11" t="s">
        <v>2276</v>
      </c>
      <c r="Q174" s="3">
        <v>24</v>
      </c>
      <c r="R174" s="3">
        <v>384</v>
      </c>
      <c r="S174" s="22">
        <v>19.5</v>
      </c>
      <c r="T174" s="9">
        <v>350</v>
      </c>
      <c r="U174" s="14" t="s">
        <v>576</v>
      </c>
      <c r="V174" s="12">
        <v>4</v>
      </c>
      <c r="W174" s="75">
        <v>16</v>
      </c>
      <c r="X174" s="76">
        <v>16</v>
      </c>
      <c r="Y174" s="9">
        <v>1331.82</v>
      </c>
      <c r="Z174" s="3">
        <v>2816.07</v>
      </c>
      <c r="AA174" s="17" t="s">
        <v>1278</v>
      </c>
      <c r="AB174" s="18" t="s">
        <v>1277</v>
      </c>
      <c r="AC174" s="46" cm="1">
        <f t="array" ref="AC174">(SUMPRODUCT((H174:O174/H$9:O$9)^H$7:O$7*H$2:O$2)+SUMPRODUCT((Q174:T174/Q$9:T$9)^Q$7:T$7*Q$2:T$2))*(0.8^(1-G174))*AC$9</f>
        <v>2.5581217834977372</v>
      </c>
      <c r="AD174" s="48" cm="1">
        <f t="array" ref="AD174">(SUMPRODUCT((H174:O174/H$9:O$9)^H$7:O$7*H$3:O$3)+SUMPRODUCT((Q174:T174/Q$9:T$9)^Q$7:T$7*Q$3:T$3))*(0.1^(1-G174))*AD$9</f>
        <v>3.2394727761428697</v>
      </c>
      <c r="AE174" s="48" cm="1">
        <f t="array" ref="AE174">(SUMPRODUCT((H174:O174/H$9:O$9)^H$7:O$7*H$4:O$4)+SUMPRODUCT((Q174:T174/Q$9:T$9)^Q$7:T$7*Q$4:T$4))*AE$9</f>
        <v>2.9453222200603184</v>
      </c>
      <c r="AF174" s="47" cm="1">
        <f t="array" ref="AF174">(SUMPRODUCT((H174:O174/H$9:O$9)^H$7:O$7*H$5:O$5)+SUMPRODUCT((Q174:T174/Q$9:T$9)^Q$7:T$7*Q$5:T$5))*AF$9</f>
        <v>2.7428288703104307</v>
      </c>
      <c r="AG174" s="50" cm="1">
        <f t="array" ref="AG174">SUMPRODUCT(AC174:AF174 * AC$3:AF$3) / SUM(AC$3:AF$3)</f>
        <v>3.0104568979429911</v>
      </c>
    </row>
    <row r="175" spans="1:33" x14ac:dyDescent="0.25">
      <c r="A175" s="81" t="s">
        <v>1274</v>
      </c>
      <c r="B175" s="20" t="s">
        <v>1276</v>
      </c>
      <c r="C175" s="4" t="s">
        <v>8853</v>
      </c>
      <c r="D175" s="4" t="str">
        <f t="shared" si="2"/>
        <v>INNO3D</v>
      </c>
      <c r="E175" s="4" t="s">
        <v>8854</v>
      </c>
      <c r="F175" s="14" t="s">
        <v>8871</v>
      </c>
      <c r="G175" s="9">
        <v>1</v>
      </c>
      <c r="H175" s="1">
        <v>36.840000000000003</v>
      </c>
      <c r="I175" s="1">
        <v>36.840000000000003</v>
      </c>
      <c r="J175" s="1">
        <v>0.57999999999999996</v>
      </c>
      <c r="K175" s="3">
        <v>1219</v>
      </c>
      <c r="L175" s="13">
        <v>1755</v>
      </c>
      <c r="M175" s="49">
        <v>189.9</v>
      </c>
      <c r="N175" s="1">
        <v>556</v>
      </c>
      <c r="O175" s="3">
        <v>82</v>
      </c>
      <c r="P175" s="11" t="s">
        <v>2276</v>
      </c>
      <c r="Q175" s="3">
        <v>24</v>
      </c>
      <c r="R175" s="3">
        <v>384</v>
      </c>
      <c r="S175" s="22">
        <v>19.5</v>
      </c>
      <c r="T175" s="9">
        <v>350</v>
      </c>
      <c r="U175" s="14" t="s">
        <v>576</v>
      </c>
      <c r="V175" s="12">
        <v>4</v>
      </c>
      <c r="W175" s="75">
        <v>16</v>
      </c>
      <c r="X175" s="76">
        <v>16</v>
      </c>
      <c r="Y175" s="9">
        <v>1331.82</v>
      </c>
      <c r="Z175" s="3">
        <v>3984.98</v>
      </c>
      <c r="AA175" s="17" t="s">
        <v>1275</v>
      </c>
      <c r="AB175" s="18" t="s">
        <v>1274</v>
      </c>
      <c r="AC175" s="46" cm="1">
        <f t="array" ref="AC175">(SUMPRODUCT((H175:O175/H$9:O$9)^H$7:O$7*H$2:O$2)+SUMPRODUCT((Q175:T175/Q$9:T$9)^Q$7:T$7*Q$2:T$2))*(0.8^(1-G175))*AC$9</f>
        <v>2.5581217834977372</v>
      </c>
      <c r="AD175" s="48" cm="1">
        <f t="array" ref="AD175">(SUMPRODUCT((H175:O175/H$9:O$9)^H$7:O$7*H$3:O$3)+SUMPRODUCT((Q175:T175/Q$9:T$9)^Q$7:T$7*Q$3:T$3))*(0.1^(1-G175))*AD$9</f>
        <v>3.2394727761428697</v>
      </c>
      <c r="AE175" s="48" cm="1">
        <f t="array" ref="AE175">(SUMPRODUCT((H175:O175/H$9:O$9)^H$7:O$7*H$4:O$4)+SUMPRODUCT((Q175:T175/Q$9:T$9)^Q$7:T$7*Q$4:T$4))*AE$9</f>
        <v>2.9453222200603184</v>
      </c>
      <c r="AF175" s="47" cm="1">
        <f t="array" ref="AF175">(SUMPRODUCT((H175:O175/H$9:O$9)^H$7:O$7*H$5:O$5)+SUMPRODUCT((Q175:T175/Q$9:T$9)^Q$7:T$7*Q$5:T$5))*AF$9</f>
        <v>2.7428288703104307</v>
      </c>
      <c r="AG175" s="50" cm="1">
        <f t="array" ref="AG175">SUMPRODUCT(AC175:AF175 * AC$3:AF$3) / SUM(AC$3:AF$3)</f>
        <v>3.0104568979429911</v>
      </c>
    </row>
    <row r="176" spans="1:33" x14ac:dyDescent="0.25">
      <c r="A176" s="81" t="s">
        <v>1271</v>
      </c>
      <c r="B176" s="20" t="s">
        <v>1273</v>
      </c>
      <c r="C176" s="4" t="s">
        <v>8853</v>
      </c>
      <c r="D176" s="4" t="str">
        <f t="shared" si="2"/>
        <v>INNO3D</v>
      </c>
      <c r="E176" s="4" t="s">
        <v>8854</v>
      </c>
      <c r="F176" s="14" t="s">
        <v>8871</v>
      </c>
      <c r="G176" s="9">
        <v>1</v>
      </c>
      <c r="H176" s="1">
        <v>35.58</v>
      </c>
      <c r="I176" s="1">
        <v>35.58</v>
      </c>
      <c r="J176" s="1">
        <v>0.56000000000000005</v>
      </c>
      <c r="K176" s="3">
        <v>1219</v>
      </c>
      <c r="L176" s="13">
        <v>1695</v>
      </c>
      <c r="M176" s="49">
        <v>189.9</v>
      </c>
      <c r="N176" s="1">
        <v>556</v>
      </c>
      <c r="O176" s="3">
        <v>82</v>
      </c>
      <c r="P176" s="11" t="s">
        <v>2276</v>
      </c>
      <c r="Q176" s="3">
        <v>24</v>
      </c>
      <c r="R176" s="3">
        <v>384</v>
      </c>
      <c r="S176" s="22">
        <v>19.5</v>
      </c>
      <c r="T176" s="9">
        <v>350</v>
      </c>
      <c r="U176" s="14" t="s">
        <v>576</v>
      </c>
      <c r="V176" s="12">
        <v>4</v>
      </c>
      <c r="W176" s="75">
        <v>16</v>
      </c>
      <c r="X176" s="76">
        <v>16</v>
      </c>
      <c r="Y176" s="9">
        <v>2442.33</v>
      </c>
      <c r="Z176" s="3">
        <v>2538.35</v>
      </c>
      <c r="AA176" s="17" t="s">
        <v>1272</v>
      </c>
      <c r="AB176" s="18" t="s">
        <v>1271</v>
      </c>
      <c r="AC176" s="46" cm="1">
        <f t="array" ref="AC176">(SUMPRODUCT((H176:O176/H$9:O$9)^H$7:O$7*H$2:O$2)+SUMPRODUCT((Q176:T176/Q$9:T$9)^Q$7:T$7*Q$2:T$2))*(0.8^(1-G176))*AC$9</f>
        <v>2.5435937823092356</v>
      </c>
      <c r="AD176" s="48" cm="1">
        <f t="array" ref="AD176">(SUMPRODUCT((H176:O176/H$9:O$9)^H$7:O$7*H$3:O$3)+SUMPRODUCT((Q176:T176/Q$9:T$9)^Q$7:T$7*Q$3:T$3))*(0.1^(1-G176))*AD$9</f>
        <v>3.1699564813534287</v>
      </c>
      <c r="AE176" s="48" cm="1">
        <f t="array" ref="AE176">(SUMPRODUCT((H176:O176/H$9:O$9)^H$7:O$7*H$4:O$4)+SUMPRODUCT((Q176:T176/Q$9:T$9)^Q$7:T$7*Q$4:T$4))*AE$9</f>
        <v>2.8882788459376618</v>
      </c>
      <c r="AF176" s="47" cm="1">
        <f t="array" ref="AF176">(SUMPRODUCT((H176:O176/H$9:O$9)^H$7:O$7*H$5:O$5)+SUMPRODUCT((Q176:T176/Q$9:T$9)^Q$7:T$7*Q$5:T$5))*AF$9</f>
        <v>2.7066072233811047</v>
      </c>
      <c r="AG176" s="50" cm="1">
        <f t="array" ref="AG176">SUMPRODUCT(AC176:AF176 * AC$3:AF$3) / SUM(AC$3:AF$3)</f>
        <v>2.9570403068044797</v>
      </c>
    </row>
    <row r="177" spans="1:33" x14ac:dyDescent="0.25">
      <c r="A177" s="81" t="s">
        <v>1080</v>
      </c>
      <c r="B177" s="20" t="s">
        <v>1082</v>
      </c>
      <c r="C177" s="4" t="s">
        <v>8853</v>
      </c>
      <c r="D177" s="4" t="str">
        <f t="shared" si="2"/>
        <v>MSI</v>
      </c>
      <c r="E177" s="4" t="s">
        <v>8854</v>
      </c>
      <c r="F177" s="14" t="s">
        <v>8871</v>
      </c>
      <c r="G177" s="9">
        <v>1</v>
      </c>
      <c r="H177" s="1">
        <v>37.47</v>
      </c>
      <c r="I177" s="1">
        <v>37.47</v>
      </c>
      <c r="J177" s="1">
        <v>0.59</v>
      </c>
      <c r="K177" s="3">
        <v>1219</v>
      </c>
      <c r="L177" s="13">
        <v>1785</v>
      </c>
      <c r="M177" s="49">
        <v>189.9</v>
      </c>
      <c r="N177" s="1">
        <v>556</v>
      </c>
      <c r="O177" s="3">
        <v>82</v>
      </c>
      <c r="P177" s="11" t="s">
        <v>2276</v>
      </c>
      <c r="Q177" s="3">
        <v>24</v>
      </c>
      <c r="R177" s="3">
        <v>384</v>
      </c>
      <c r="S177" s="22">
        <v>19.5</v>
      </c>
      <c r="T177" s="9">
        <v>370</v>
      </c>
      <c r="U177" s="14" t="s">
        <v>583</v>
      </c>
      <c r="V177" s="12">
        <v>4</v>
      </c>
      <c r="W177" s="75">
        <v>16</v>
      </c>
      <c r="X177" s="76">
        <v>16</v>
      </c>
      <c r="Y177" s="9">
        <v>1989.99</v>
      </c>
      <c r="Z177" s="3">
        <v>2302.41</v>
      </c>
      <c r="AA177" s="17" t="s">
        <v>1081</v>
      </c>
      <c r="AB177" s="18" t="s">
        <v>1080</v>
      </c>
      <c r="AC177" s="46" cm="1">
        <f t="array" ref="AC177">(SUMPRODUCT((H177:O177/H$9:O$9)^H$7:O$7*H$2:O$2)+SUMPRODUCT((Q177:T177/Q$9:T$9)^Q$7:T$7*Q$2:T$2))*(0.8^(1-G177))*AC$9</f>
        <v>2.5647543293543418</v>
      </c>
      <c r="AD177" s="48" cm="1">
        <f t="array" ref="AD177">(SUMPRODUCT((H177:O177/H$9:O$9)^H$7:O$7*H$3:O$3)+SUMPRODUCT((Q177:T177/Q$9:T$9)^Q$7:T$7*Q$3:T$3))*(0.1^(1-G177))*AD$9</f>
        <v>3.2734989164745487</v>
      </c>
      <c r="AE177" s="48" cm="1">
        <f t="array" ref="AE177">(SUMPRODUCT((H177:O177/H$9:O$9)^H$7:O$7*H$4:O$4)+SUMPRODUCT((Q177:T177/Q$9:T$9)^Q$7:T$7*Q$4:T$4))*AE$9</f>
        <v>2.9737225223591892</v>
      </c>
      <c r="AF177" s="47" cm="1">
        <f t="array" ref="AF177">(SUMPRODUCT((H177:O177/H$9:O$9)^H$7:O$7*H$5:O$5)+SUMPRODUCT((Q177:T177/Q$9:T$9)^Q$7:T$7*Q$5:T$5))*AF$9</f>
        <v>2.7602764735467242</v>
      </c>
      <c r="AG177" s="50" cm="1">
        <f t="array" ref="AG177">SUMPRODUCT(AC177:AF177 * AC$3:AF$3) / SUM(AC$3:AF$3)</f>
        <v>3.0365292565648367</v>
      </c>
    </row>
    <row r="178" spans="1:33" x14ac:dyDescent="0.25">
      <c r="A178" s="81" t="s">
        <v>1077</v>
      </c>
      <c r="B178" s="20" t="s">
        <v>1079</v>
      </c>
      <c r="C178" s="4" t="s">
        <v>8853</v>
      </c>
      <c r="D178" s="4" t="str">
        <f t="shared" si="2"/>
        <v>MSI</v>
      </c>
      <c r="E178" s="4" t="s">
        <v>8854</v>
      </c>
      <c r="F178" s="14" t="s">
        <v>8871</v>
      </c>
      <c r="G178" s="9">
        <v>1</v>
      </c>
      <c r="H178" s="1">
        <v>39.36</v>
      </c>
      <c r="I178" s="1">
        <v>39.36</v>
      </c>
      <c r="J178" s="1">
        <v>0.62</v>
      </c>
      <c r="K178" s="3">
        <v>1219</v>
      </c>
      <c r="L178" s="13">
        <v>1875</v>
      </c>
      <c r="M178" s="49">
        <v>189.9</v>
      </c>
      <c r="N178" s="1">
        <v>556</v>
      </c>
      <c r="O178" s="3">
        <v>82</v>
      </c>
      <c r="P178" s="11" t="s">
        <v>2276</v>
      </c>
      <c r="Q178" s="3">
        <v>24</v>
      </c>
      <c r="R178" s="3">
        <v>384</v>
      </c>
      <c r="S178" s="22">
        <v>19.5</v>
      </c>
      <c r="T178" s="9">
        <v>420</v>
      </c>
      <c r="U178" s="14" t="s">
        <v>583</v>
      </c>
      <c r="V178" s="12">
        <v>4</v>
      </c>
      <c r="W178" s="75">
        <v>16</v>
      </c>
      <c r="X178" s="76">
        <v>16</v>
      </c>
      <c r="Y178" s="9">
        <v>1879.99</v>
      </c>
      <c r="Z178" s="3">
        <v>1879.99</v>
      </c>
      <c r="AA178" s="17" t="s">
        <v>1078</v>
      </c>
      <c r="AB178" s="18" t="s">
        <v>1077</v>
      </c>
      <c r="AC178" s="46" cm="1">
        <f t="array" ref="AC178">(SUMPRODUCT((H178:O178/H$9:O$9)^H$7:O$7*H$2:O$2)+SUMPRODUCT((Q178:T178/Q$9:T$9)^Q$7:T$7*Q$2:T$2))*(0.8^(1-G178))*AC$9</f>
        <v>2.5850825129560349</v>
      </c>
      <c r="AD178" s="48" cm="1">
        <f t="array" ref="AD178">(SUMPRODUCT((H178:O178/H$9:O$9)^H$7:O$7*H$3:O$3)+SUMPRODUCT((Q178:T178/Q$9:T$9)^Q$7:T$7*Q$3:T$3))*(0.1^(1-G178))*AD$9</f>
        <v>3.3756209637310772</v>
      </c>
      <c r="AE178" s="48" cm="1">
        <f t="array" ref="AE178">(SUMPRODUCT((H178:O178/H$9:O$9)^H$7:O$7*H$4:O$4)+SUMPRODUCT((Q178:T178/Q$9:T$9)^Q$7:T$7*Q$4:T$4))*AE$9</f>
        <v>3.058456928424492</v>
      </c>
      <c r="AF178" s="47" cm="1">
        <f t="array" ref="AF178">(SUMPRODUCT((H178:O178/H$9:O$9)^H$7:O$7*H$5:O$5)+SUMPRODUCT((Q178:T178/Q$9:T$9)^Q$7:T$7*Q$5:T$5))*AF$9</f>
        <v>2.8129274701815739</v>
      </c>
      <c r="AG178" s="50" cm="1">
        <f t="array" ref="AG178">SUMPRODUCT(AC178:AF178 * AC$3:AF$3) / SUM(AC$3:AF$3)</f>
        <v>3.1148418579762542</v>
      </c>
    </row>
    <row r="179" spans="1:33" x14ac:dyDescent="0.25">
      <c r="A179" s="81" t="s">
        <v>742</v>
      </c>
      <c r="B179" s="20" t="s">
        <v>744</v>
      </c>
      <c r="C179" s="4" t="s">
        <v>8853</v>
      </c>
      <c r="D179" s="4" t="str">
        <f t="shared" si="2"/>
        <v>Palit</v>
      </c>
      <c r="E179" s="4" t="s">
        <v>8854</v>
      </c>
      <c r="F179" s="14" t="s">
        <v>8871</v>
      </c>
      <c r="G179" s="9">
        <v>1</v>
      </c>
      <c r="H179" s="1">
        <v>36.53</v>
      </c>
      <c r="I179" s="1">
        <v>36.53</v>
      </c>
      <c r="J179" s="1">
        <v>0.56999999999999995</v>
      </c>
      <c r="K179" s="3">
        <v>1219</v>
      </c>
      <c r="L179" s="13">
        <v>1740</v>
      </c>
      <c r="M179" s="49">
        <v>189.9</v>
      </c>
      <c r="N179" s="1">
        <v>556</v>
      </c>
      <c r="O179" s="3">
        <v>82</v>
      </c>
      <c r="P179" s="11" t="s">
        <v>2276</v>
      </c>
      <c r="Q179" s="3">
        <v>24</v>
      </c>
      <c r="R179" s="3">
        <v>384</v>
      </c>
      <c r="S179" s="22">
        <v>19.5</v>
      </c>
      <c r="T179" s="9">
        <v>350</v>
      </c>
      <c r="U179" s="14" t="s">
        <v>583</v>
      </c>
      <c r="V179" s="12">
        <v>4</v>
      </c>
      <c r="W179" s="75">
        <v>16</v>
      </c>
      <c r="X179" s="76">
        <v>16</v>
      </c>
      <c r="Y179" s="9">
        <v>2204.36</v>
      </c>
      <c r="Z179" s="3">
        <v>2790.36</v>
      </c>
      <c r="AA179" s="17" t="s">
        <v>743</v>
      </c>
      <c r="AB179" s="18" t="s">
        <v>742</v>
      </c>
      <c r="AC179" s="46" cm="1">
        <f t="array" ref="AC179">(SUMPRODUCT((H179:O179/H$9:O$9)^H$7:O$7*H$2:O$2)+SUMPRODUCT((Q179:T179/Q$9:T$9)^Q$7:T$7*Q$2:T$2))*(0.8^(1-G179))*AC$9</f>
        <v>2.5545214773165381</v>
      </c>
      <c r="AD179" s="48" cm="1">
        <f t="array" ref="AD179">(SUMPRODUCT((H179:O179/H$9:O$9)^H$7:O$7*H$3:O$3)+SUMPRODUCT((Q179:T179/Q$9:T$9)^Q$7:T$7*Q$3:T$3))*(0.1^(1-G179))*AD$9</f>
        <v>3.2210652334673386</v>
      </c>
      <c r="AE179" s="48" cm="1">
        <f t="array" ref="AE179">(SUMPRODUCT((H179:O179/H$9:O$9)^H$7:O$7*H$4:O$4)+SUMPRODUCT((Q179:T179/Q$9:T$9)^Q$7:T$7*Q$4:T$4))*AE$9</f>
        <v>2.922022143357232</v>
      </c>
      <c r="AF179" s="47" cm="1">
        <f t="array" ref="AF179">(SUMPRODUCT((H179:O179/H$9:O$9)^H$7:O$7*H$5:O$5)+SUMPRODUCT((Q179:T179/Q$9:T$9)^Q$7:T$7*Q$5:T$5))*AF$9</f>
        <v>2.7339175482679408</v>
      </c>
      <c r="AG179" s="50" cm="1">
        <f t="array" ref="AG179">SUMPRODUCT(AC179:AF179 * AC$3:AF$3) / SUM(AC$3:AF$3)</f>
        <v>2.9955563165634049</v>
      </c>
    </row>
    <row r="180" spans="1:33" x14ac:dyDescent="0.25">
      <c r="A180" s="81" t="s">
        <v>580</v>
      </c>
      <c r="B180" s="20" t="s">
        <v>582</v>
      </c>
      <c r="C180" s="4" t="s">
        <v>8853</v>
      </c>
      <c r="D180" s="4" t="str">
        <f t="shared" si="2"/>
        <v>Zotac</v>
      </c>
      <c r="E180" s="4" t="s">
        <v>8854</v>
      </c>
      <c r="F180" s="14" t="s">
        <v>8871</v>
      </c>
      <c r="G180" s="9">
        <v>1</v>
      </c>
      <c r="H180" s="1">
        <v>38.1</v>
      </c>
      <c r="I180" s="1">
        <v>38.1</v>
      </c>
      <c r="J180" s="1">
        <v>0.6</v>
      </c>
      <c r="K180" s="3">
        <v>1219</v>
      </c>
      <c r="L180" s="13">
        <v>1815</v>
      </c>
      <c r="M180" s="49">
        <v>189.9</v>
      </c>
      <c r="N180" s="1">
        <v>556</v>
      </c>
      <c r="O180" s="3">
        <v>82</v>
      </c>
      <c r="P180" s="11" t="s">
        <v>2276</v>
      </c>
      <c r="Q180" s="3">
        <v>24</v>
      </c>
      <c r="R180" s="3">
        <v>384</v>
      </c>
      <c r="S180" s="22">
        <v>19.5</v>
      </c>
      <c r="T180" s="9">
        <v>350</v>
      </c>
      <c r="U180" s="14" t="s">
        <v>583</v>
      </c>
      <c r="V180" s="12">
        <v>4</v>
      </c>
      <c r="W180" s="75">
        <v>16</v>
      </c>
      <c r="X180" s="76">
        <v>16</v>
      </c>
      <c r="Y180" s="9">
        <v>3927.92</v>
      </c>
      <c r="Z180" s="3">
        <v>3927.92</v>
      </c>
      <c r="AA180" s="17" t="s">
        <v>581</v>
      </c>
      <c r="AB180" s="18" t="s">
        <v>580</v>
      </c>
      <c r="AC180" s="46" cm="1">
        <f t="array" ref="AC180">(SUMPRODUCT((H180:O180/H$9:O$9)^H$7:O$7*H$2:O$2)+SUMPRODUCT((Q180:T180/Q$9:T$9)^Q$7:T$7*Q$2:T$2))*(0.8^(1-G180))*AC$9</f>
        <v>2.5726001815402593</v>
      </c>
      <c r="AD180" s="48" cm="1">
        <f t="array" ref="AD180">(SUMPRODUCT((H180:O180/H$9:O$9)^H$7:O$7*H$3:O$3)+SUMPRODUCT((Q180:T180/Q$9:T$9)^Q$7:T$7*Q$3:T$3))*(0.1^(1-G180))*AD$9</f>
        <v>3.3086730575408989</v>
      </c>
      <c r="AE180" s="48" cm="1">
        <f t="array" ref="AE180">(SUMPRODUCT((H180:O180/H$9:O$9)^H$7:O$7*H$4:O$4)+SUMPRODUCT((Q180:T180/Q$9:T$9)^Q$7:T$7*Q$4:T$4))*AE$9</f>
        <v>3.0020440555119978</v>
      </c>
      <c r="AF180" s="47" cm="1">
        <f t="array" ref="AF180">(SUMPRODUCT((H180:O180/H$9:O$9)^H$7:O$7*H$5:O$5)+SUMPRODUCT((Q180:T180/Q$9:T$9)^Q$7:T$7*Q$5:T$5))*AF$9</f>
        <v>2.7789167378855155</v>
      </c>
      <c r="AG180" s="50" cm="1">
        <f t="array" ref="AG180">SUMPRODUCT(AC180:AF180 * AC$3:AF$3) / SUM(AC$3:AF$3)</f>
        <v>3.0636316358172397</v>
      </c>
    </row>
    <row r="181" spans="1:33" x14ac:dyDescent="0.25">
      <c r="A181" s="81" t="s">
        <v>577</v>
      </c>
      <c r="B181" s="20" t="s">
        <v>579</v>
      </c>
      <c r="C181" s="4" t="s">
        <v>8853</v>
      </c>
      <c r="D181" s="4" t="str">
        <f t="shared" si="2"/>
        <v>Zotac</v>
      </c>
      <c r="E181" s="4" t="s">
        <v>8854</v>
      </c>
      <c r="F181" s="14" t="s">
        <v>8871</v>
      </c>
      <c r="G181" s="9">
        <v>1</v>
      </c>
      <c r="H181" s="1">
        <v>35.9</v>
      </c>
      <c r="I181" s="1">
        <v>35.9</v>
      </c>
      <c r="J181" s="1">
        <v>0.56000000000000005</v>
      </c>
      <c r="K181" s="3">
        <v>1219</v>
      </c>
      <c r="L181" s="13">
        <v>1710</v>
      </c>
      <c r="M181" s="49">
        <v>189.9</v>
      </c>
      <c r="N181" s="1">
        <v>556</v>
      </c>
      <c r="O181" s="3">
        <v>82</v>
      </c>
      <c r="P181" s="11" t="s">
        <v>2276</v>
      </c>
      <c r="Q181" s="3">
        <v>24</v>
      </c>
      <c r="R181" s="3">
        <v>384</v>
      </c>
      <c r="S181" s="22">
        <v>19.5</v>
      </c>
      <c r="T181" s="9">
        <v>350</v>
      </c>
      <c r="U181" s="14" t="s">
        <v>576</v>
      </c>
      <c r="V181" s="12">
        <v>4</v>
      </c>
      <c r="W181" s="75">
        <v>16</v>
      </c>
      <c r="X181" s="76">
        <v>16</v>
      </c>
      <c r="Y181" s="9">
        <v>2726.51</v>
      </c>
      <c r="Z181" s="3">
        <v>2726.51</v>
      </c>
      <c r="AA181" s="17" t="s">
        <v>578</v>
      </c>
      <c r="AB181" s="18" t="s">
        <v>577</v>
      </c>
      <c r="AC181" s="46" cm="1">
        <f t="array" ref="AC181">(SUMPRODUCT((H181:O181/H$9:O$9)^H$7:O$7*H$2:O$2)+SUMPRODUCT((Q181:T181/Q$9:T$9)^Q$7:T$7*Q$2:T$2))*(0.8^(1-G181))*AC$9</f>
        <v>2.5472575539106219</v>
      </c>
      <c r="AD181" s="48" cm="1">
        <f t="array" ref="AD181">(SUMPRODUCT((H181:O181/H$9:O$9)^H$7:O$7*H$3:O$3)+SUMPRODUCT((Q181:T181/Q$9:T$9)^Q$7:T$7*Q$3:T$3))*(0.1^(1-G181))*AD$9</f>
        <v>3.1863032264513014</v>
      </c>
      <c r="AE181" s="48" cm="1">
        <f t="array" ref="AE181">(SUMPRODUCT((H181:O181/H$9:O$9)^H$7:O$7*H$4:O$4)+SUMPRODUCT((Q181:T181/Q$9:T$9)^Q$7:T$7*Q$4:T$4))*AE$9</f>
        <v>2.8934685013206192</v>
      </c>
      <c r="AF181" s="47" cm="1">
        <f t="array" ref="AF181">(SUMPRODUCT((H181:O181/H$9:O$9)^H$7:O$7*H$5:O$5)+SUMPRODUCT((Q181:T181/Q$9:T$9)^Q$7:T$7*Q$5:T$5))*AF$9</f>
        <v>2.7158070563632939</v>
      </c>
      <c r="AG181" s="50" cm="1">
        <f t="array" ref="AG181">SUMPRODUCT(AC181:AF181 * AC$3:AF$3) / SUM(AC$3:AF$3)</f>
        <v>2.9688423943319999</v>
      </c>
    </row>
    <row r="182" spans="1:33" x14ac:dyDescent="0.25">
      <c r="A182" s="81" t="s">
        <v>573</v>
      </c>
      <c r="B182" s="20" t="s">
        <v>575</v>
      </c>
      <c r="C182" s="4" t="s">
        <v>8853</v>
      </c>
      <c r="D182" s="4" t="str">
        <f t="shared" si="2"/>
        <v>Zotac</v>
      </c>
      <c r="E182" s="4" t="s">
        <v>8854</v>
      </c>
      <c r="F182" s="14" t="s">
        <v>8871</v>
      </c>
      <c r="G182" s="9">
        <v>1</v>
      </c>
      <c r="H182" s="1">
        <v>35.58</v>
      </c>
      <c r="I182" s="1">
        <v>35.58</v>
      </c>
      <c r="J182" s="1">
        <v>0.56000000000000005</v>
      </c>
      <c r="K182" s="3">
        <v>1219</v>
      </c>
      <c r="L182" s="13">
        <v>1695</v>
      </c>
      <c r="M182" s="49">
        <v>189.9</v>
      </c>
      <c r="N182" s="1">
        <v>556</v>
      </c>
      <c r="O182" s="3">
        <v>82</v>
      </c>
      <c r="P182" s="11" t="s">
        <v>2276</v>
      </c>
      <c r="Q182" s="3">
        <v>24</v>
      </c>
      <c r="R182" s="3">
        <v>384</v>
      </c>
      <c r="S182" s="22">
        <v>19.5</v>
      </c>
      <c r="T182" s="9">
        <v>350</v>
      </c>
      <c r="U182" s="14" t="s">
        <v>576</v>
      </c>
      <c r="V182" s="12">
        <v>4</v>
      </c>
      <c r="W182" s="75">
        <v>16</v>
      </c>
      <c r="X182" s="76">
        <v>16</v>
      </c>
      <c r="Y182" s="9">
        <v>3635.39</v>
      </c>
      <c r="Z182" s="3">
        <v>3635.39</v>
      </c>
      <c r="AA182" s="17" t="s">
        <v>574</v>
      </c>
      <c r="AB182" s="18" t="s">
        <v>573</v>
      </c>
      <c r="AC182" s="46" cm="1">
        <f t="array" ref="AC182">(SUMPRODUCT((H182:O182/H$9:O$9)^H$7:O$7*H$2:O$2)+SUMPRODUCT((Q182:T182/Q$9:T$9)^Q$7:T$7*Q$2:T$2))*(0.8^(1-G182))*AC$9</f>
        <v>2.5435937823092356</v>
      </c>
      <c r="AD182" s="48" cm="1">
        <f t="array" ref="AD182">(SUMPRODUCT((H182:O182/H$9:O$9)^H$7:O$7*H$3:O$3)+SUMPRODUCT((Q182:T182/Q$9:T$9)^Q$7:T$7*Q$3:T$3))*(0.1^(1-G182))*AD$9</f>
        <v>3.1699564813534287</v>
      </c>
      <c r="AE182" s="48" cm="1">
        <f t="array" ref="AE182">(SUMPRODUCT((H182:O182/H$9:O$9)^H$7:O$7*H$4:O$4)+SUMPRODUCT((Q182:T182/Q$9:T$9)^Q$7:T$7*Q$4:T$4))*AE$9</f>
        <v>2.8882788459376618</v>
      </c>
      <c r="AF182" s="47" cm="1">
        <f t="array" ref="AF182">(SUMPRODUCT((H182:O182/H$9:O$9)^H$7:O$7*H$5:O$5)+SUMPRODUCT((Q182:T182/Q$9:T$9)^Q$7:T$7*Q$5:T$5))*AF$9</f>
        <v>2.7066072233811047</v>
      </c>
      <c r="AG182" s="50" cm="1">
        <f t="array" ref="AG182">SUMPRODUCT(AC182:AF182 * AC$3:AF$3) / SUM(AC$3:AF$3)</f>
        <v>2.9570403068044797</v>
      </c>
    </row>
    <row r="183" spans="1:33" x14ac:dyDescent="0.25">
      <c r="A183" s="81" t="s">
        <v>1880</v>
      </c>
      <c r="B183" s="20" t="s">
        <v>1882</v>
      </c>
      <c r="C183" s="4" t="s">
        <v>8853</v>
      </c>
      <c r="D183" s="4" t="str">
        <f t="shared" si="2"/>
        <v>ASUS</v>
      </c>
      <c r="E183" s="4" t="s">
        <v>8854</v>
      </c>
      <c r="F183" s="14" t="s">
        <v>8872</v>
      </c>
      <c r="G183" s="9">
        <v>1</v>
      </c>
      <c r="H183" s="1">
        <v>42.58</v>
      </c>
      <c r="I183" s="1">
        <v>42.58</v>
      </c>
      <c r="J183" s="1">
        <v>0.67</v>
      </c>
      <c r="K183" s="3">
        <v>1313</v>
      </c>
      <c r="L183" s="13">
        <v>1980</v>
      </c>
      <c r="M183" s="49">
        <v>174.7</v>
      </c>
      <c r="N183" s="1">
        <v>524.1</v>
      </c>
      <c r="O183" s="3">
        <v>84</v>
      </c>
      <c r="P183" s="11" t="s">
        <v>2276</v>
      </c>
      <c r="Q183" s="3">
        <v>24</v>
      </c>
      <c r="R183" s="3">
        <v>384</v>
      </c>
      <c r="S183" s="22">
        <v>21</v>
      </c>
      <c r="T183" s="9">
        <v>450</v>
      </c>
      <c r="U183" s="14" t="s">
        <v>471</v>
      </c>
      <c r="V183" s="12">
        <v>4</v>
      </c>
      <c r="W183" s="75">
        <v>16</v>
      </c>
      <c r="X183" s="76">
        <v>16</v>
      </c>
      <c r="Y183" s="9">
        <v>2013.15</v>
      </c>
      <c r="Z183" s="3">
        <v>2013.15</v>
      </c>
      <c r="AA183" s="17" t="s">
        <v>1881</v>
      </c>
      <c r="AB183" s="18" t="s">
        <v>1880</v>
      </c>
      <c r="AC183" s="46" cm="1">
        <f t="array" ref="AC183">(SUMPRODUCT((H183:O183/H$9:O$9)^H$7:O$7*H$2:O$2)+SUMPRODUCT((Q183:T183/Q$9:T$9)^Q$7:T$7*Q$2:T$2))*(0.8^(1-G183))*AC$9</f>
        <v>2.5794848414510545</v>
      </c>
      <c r="AD183" s="48" cm="1">
        <f t="array" ref="AD183">(SUMPRODUCT((H183:O183/H$9:O$9)^H$7:O$7*H$3:O$3)+SUMPRODUCT((Q183:T183/Q$9:T$9)^Q$7:T$7*Q$3:T$3))*(0.1^(1-G183))*AD$9</f>
        <v>3.5546598390941302</v>
      </c>
      <c r="AE183" s="48" cm="1">
        <f t="array" ref="AE183">(SUMPRODUCT((H183:O183/H$9:O$9)^H$7:O$7*H$4:O$4)+SUMPRODUCT((Q183:T183/Q$9:T$9)^Q$7:T$7*Q$4:T$4))*AE$9</f>
        <v>3.209786496637304</v>
      </c>
      <c r="AF183" s="47" cm="1">
        <f t="array" ref="AF183">(SUMPRODUCT((H183:O183/H$9:O$9)^H$7:O$7*H$5:O$5)+SUMPRODUCT((Q183:T183/Q$9:T$9)^Q$7:T$7*Q$5:T$5))*AF$9</f>
        <v>2.8916385196539904</v>
      </c>
      <c r="AG183" s="50" cm="1">
        <f t="array" ref="AG183">SUMPRODUCT(AC183:AF183 * AC$3:AF$3) / SUM(AC$3:AF$3)</f>
        <v>3.2433078593072802</v>
      </c>
    </row>
    <row r="184" spans="1:33" x14ac:dyDescent="0.25">
      <c r="A184" s="81" t="s">
        <v>1808</v>
      </c>
      <c r="B184" s="20" t="s">
        <v>1810</v>
      </c>
      <c r="C184" s="4" t="s">
        <v>8853</v>
      </c>
      <c r="D184" s="4" t="str">
        <f t="shared" si="2"/>
        <v>ASUS</v>
      </c>
      <c r="E184" s="4" t="s">
        <v>8854</v>
      </c>
      <c r="F184" s="14" t="s">
        <v>8872</v>
      </c>
      <c r="G184" s="9">
        <v>1</v>
      </c>
      <c r="H184" s="1">
        <v>40.64</v>
      </c>
      <c r="I184" s="1">
        <v>40.64</v>
      </c>
      <c r="J184" s="1">
        <v>0.64</v>
      </c>
      <c r="K184" s="3">
        <v>1313</v>
      </c>
      <c r="L184" s="13">
        <v>1890</v>
      </c>
      <c r="M184" s="49">
        <v>174.7</v>
      </c>
      <c r="N184" s="1">
        <v>524.1</v>
      </c>
      <c r="O184" s="3">
        <v>84</v>
      </c>
      <c r="P184" s="11" t="s">
        <v>2276</v>
      </c>
      <c r="Q184" s="3">
        <v>24</v>
      </c>
      <c r="R184" s="3">
        <v>384</v>
      </c>
      <c r="S184" s="22">
        <v>21</v>
      </c>
      <c r="T184" s="9">
        <v>450</v>
      </c>
      <c r="U184" s="14" t="s">
        <v>471</v>
      </c>
      <c r="V184" s="12">
        <v>4</v>
      </c>
      <c r="W184" s="75">
        <v>16</v>
      </c>
      <c r="X184" s="76">
        <v>16</v>
      </c>
      <c r="Y184" s="9">
        <v>3300</v>
      </c>
      <c r="Z184" s="3">
        <v>3300</v>
      </c>
      <c r="AA184" s="17" t="s">
        <v>1809</v>
      </c>
      <c r="AB184" s="18" t="s">
        <v>1808</v>
      </c>
      <c r="AC184" s="46" cm="1">
        <f t="array" ref="AC184">(SUMPRODUCT((H184:O184/H$9:O$9)^H$7:O$7*H$2:O$2)+SUMPRODUCT((Q184:T184/Q$9:T$9)^Q$7:T$7*Q$2:T$2))*(0.8^(1-G184))*AC$9</f>
        <v>2.5576997481393855</v>
      </c>
      <c r="AD184" s="48" cm="1">
        <f t="array" ref="AD184">(SUMPRODUCT((H184:O184/H$9:O$9)^H$7:O$7*H$3:O$3)+SUMPRODUCT((Q184:T184/Q$9:T$9)^Q$7:T$7*Q$3:T$3))*(0.1^(1-G184))*AD$9</f>
        <v>3.4498439718670992</v>
      </c>
      <c r="AE184" s="48" cm="1">
        <f t="array" ref="AE184">(SUMPRODUCT((H184:O184/H$9:O$9)^H$7:O$7*H$4:O$4)+SUMPRODUCT((Q184:T184/Q$9:T$9)^Q$7:T$7*Q$4:T$4))*AE$9</f>
        <v>3.1253514140196397</v>
      </c>
      <c r="AF184" s="47" cm="1">
        <f t="array" ref="AF184">(SUMPRODUCT((H184:O184/H$9:O$9)^H$7:O$7*H$5:O$5)+SUMPRODUCT((Q184:T184/Q$9:T$9)^Q$7:T$7*Q$5:T$5))*AF$9</f>
        <v>2.8368104490661281</v>
      </c>
      <c r="AG184" s="50" cm="1">
        <f t="array" ref="AG184">SUMPRODUCT(AC184:AF184 * AC$3:AF$3) / SUM(AC$3:AF$3)</f>
        <v>3.1629262854626008</v>
      </c>
    </row>
    <row r="185" spans="1:33" x14ac:dyDescent="0.25">
      <c r="A185" s="81" t="s">
        <v>1553</v>
      </c>
      <c r="B185" s="20" t="s">
        <v>1555</v>
      </c>
      <c r="C185" s="4" t="s">
        <v>8853</v>
      </c>
      <c r="D185" s="4" t="str">
        <f t="shared" si="2"/>
        <v>GIGABYTE</v>
      </c>
      <c r="E185" s="4" t="s">
        <v>8854</v>
      </c>
      <c r="F185" s="14" t="s">
        <v>8872</v>
      </c>
      <c r="G185" s="9">
        <v>1</v>
      </c>
      <c r="H185" s="1">
        <v>40.97</v>
      </c>
      <c r="I185" s="1">
        <v>40.97</v>
      </c>
      <c r="J185" s="1">
        <v>0.64</v>
      </c>
      <c r="K185" s="3">
        <v>1313</v>
      </c>
      <c r="L185" s="13">
        <v>1905</v>
      </c>
      <c r="M185" s="49">
        <v>174.7</v>
      </c>
      <c r="N185" s="1">
        <v>524.1</v>
      </c>
      <c r="O185" s="3">
        <v>84</v>
      </c>
      <c r="P185" s="11" t="s">
        <v>2276</v>
      </c>
      <c r="Q185" s="3">
        <v>24</v>
      </c>
      <c r="R185" s="3">
        <v>384</v>
      </c>
      <c r="S185" s="22">
        <v>21</v>
      </c>
      <c r="T185" s="9">
        <v>450</v>
      </c>
      <c r="U185" s="14" t="s">
        <v>471</v>
      </c>
      <c r="V185" s="12">
        <v>4</v>
      </c>
      <c r="W185" s="75">
        <v>16</v>
      </c>
      <c r="X185" s="76">
        <v>16</v>
      </c>
      <c r="Y185" s="9">
        <v>1872.13</v>
      </c>
      <c r="Z185" s="3">
        <v>3530.82</v>
      </c>
      <c r="AA185" s="17" t="s">
        <v>1554</v>
      </c>
      <c r="AB185" s="18" t="s">
        <v>1553</v>
      </c>
      <c r="AC185" s="46" cm="1">
        <f t="array" ref="AC185">(SUMPRODUCT((H185:O185/H$9:O$9)^H$7:O$7*H$2:O$2)+SUMPRODUCT((Q185:T185/Q$9:T$9)^Q$7:T$7*Q$2:T$2))*(0.8^(1-G185))*AC$9</f>
        <v>2.5613732333741335</v>
      </c>
      <c r="AD185" s="48" cm="1">
        <f t="array" ref="AD185">(SUMPRODUCT((H185:O185/H$9:O$9)^H$7:O$7*H$3:O$3)+SUMPRODUCT((Q185:T185/Q$9:T$9)^Q$7:T$7*Q$3:T$3))*(0.1^(1-G185))*AD$9</f>
        <v>3.4664078325296241</v>
      </c>
      <c r="AE185" s="48" cm="1">
        <f t="array" ref="AE185">(SUMPRODUCT((H185:O185/H$9:O$9)^H$7:O$7*H$4:O$4)+SUMPRODUCT((Q185:T185/Q$9:T$9)^Q$7:T$7*Q$4:T$4))*AE$9</f>
        <v>3.1306327837064472</v>
      </c>
      <c r="AF185" s="47" cm="1">
        <f t="array" ref="AF185">(SUMPRODUCT((H185:O185/H$9:O$9)^H$7:O$7*H$5:O$5)+SUMPRODUCT((Q185:T185/Q$9:T$9)^Q$7:T$7*Q$5:T$5))*AF$9</f>
        <v>2.8461407248973551</v>
      </c>
      <c r="AG185" s="50" cm="1">
        <f t="array" ref="AG185">SUMPRODUCT(AC185:AF185 * AC$3:AF$3) / SUM(AC$3:AF$3)</f>
        <v>3.1748825426402001</v>
      </c>
    </row>
    <row r="186" spans="1:33" x14ac:dyDescent="0.25">
      <c r="A186" s="81" t="s">
        <v>1074</v>
      </c>
      <c r="B186" s="20" t="s">
        <v>1076</v>
      </c>
      <c r="C186" s="4" t="s">
        <v>8853</v>
      </c>
      <c r="D186" s="4" t="str">
        <f t="shared" si="2"/>
        <v>MSI</v>
      </c>
      <c r="E186" s="4" t="s">
        <v>8854</v>
      </c>
      <c r="F186" s="14" t="s">
        <v>8872</v>
      </c>
      <c r="G186" s="9">
        <v>1</v>
      </c>
      <c r="H186" s="1">
        <v>42.26</v>
      </c>
      <c r="I186" s="1">
        <v>42.26</v>
      </c>
      <c r="J186" s="1">
        <v>0.66</v>
      </c>
      <c r="K186" s="3">
        <v>1313</v>
      </c>
      <c r="L186" s="13">
        <v>1965</v>
      </c>
      <c r="M186" s="49">
        <v>174.7</v>
      </c>
      <c r="N186" s="1">
        <v>524.1</v>
      </c>
      <c r="O186" s="3">
        <v>84</v>
      </c>
      <c r="P186" s="11" t="s">
        <v>2276</v>
      </c>
      <c r="Q186" s="3">
        <v>24</v>
      </c>
      <c r="R186" s="3">
        <v>384</v>
      </c>
      <c r="S186" s="22">
        <v>21</v>
      </c>
      <c r="T186" s="9">
        <v>480</v>
      </c>
      <c r="U186" s="14" t="s">
        <v>471</v>
      </c>
      <c r="V186" s="12">
        <v>4</v>
      </c>
      <c r="W186" s="75">
        <v>16</v>
      </c>
      <c r="X186" s="76">
        <v>16</v>
      </c>
      <c r="Y186" s="9">
        <v>2665.95</v>
      </c>
      <c r="Z186" s="3">
        <v>2665.95</v>
      </c>
      <c r="AA186" s="17" t="s">
        <v>1075</v>
      </c>
      <c r="AB186" s="18" t="s">
        <v>1074</v>
      </c>
      <c r="AC186" s="46" cm="1">
        <f t="array" ref="AC186">(SUMPRODUCT((H186:O186/H$9:O$9)^H$7:O$7*H$2:O$2)+SUMPRODUCT((Q186:T186/Q$9:T$9)^Q$7:T$7*Q$2:T$2))*(0.8^(1-G186))*AC$9</f>
        <v>2.5752525177147265</v>
      </c>
      <c r="AD186" s="48" cm="1">
        <f t="array" ref="AD186">(SUMPRODUCT((H186:O186/H$9:O$9)^H$7:O$7*H$3:O$3)+SUMPRODUCT((Q186:T186/Q$9:T$9)^Q$7:T$7*Q$3:T$3))*(0.1^(1-G186))*AD$9</f>
        <v>3.5355021411499363</v>
      </c>
      <c r="AE186" s="48" cm="1">
        <f t="array" ref="AE186">(SUMPRODUCT((H186:O186/H$9:O$9)^H$7:O$7*H$4:O$4)+SUMPRODUCT((Q186:T186/Q$9:T$9)^Q$7:T$7*Q$4:T$4))*AE$9</f>
        <v>3.1869234720804775</v>
      </c>
      <c r="AF186" s="47" cm="1">
        <f t="array" ref="AF186">(SUMPRODUCT((H186:O186/H$9:O$9)^H$7:O$7*H$5:O$5)+SUMPRODUCT((Q186:T186/Q$9:T$9)^Q$7:T$7*Q$5:T$5))*AF$9</f>
        <v>2.8819795800563393</v>
      </c>
      <c r="AG186" s="50" cm="1">
        <f t="array" ref="AG186">SUMPRODUCT(AC186:AF186 * AC$3:AF$3) / SUM(AC$3:AF$3)</f>
        <v>3.2278091471651953</v>
      </c>
    </row>
    <row r="187" spans="1:33" x14ac:dyDescent="0.25">
      <c r="A187" s="81" t="s">
        <v>2195</v>
      </c>
      <c r="B187" s="20" t="s">
        <v>2197</v>
      </c>
      <c r="C187" s="4" t="s">
        <v>8853</v>
      </c>
      <c r="D187" s="4" t="str">
        <f t="shared" si="2"/>
        <v>ASUS</v>
      </c>
      <c r="E187" s="4" t="s">
        <v>8855</v>
      </c>
      <c r="F187" s="14" t="s">
        <v>8873</v>
      </c>
      <c r="G187" s="9">
        <v>1</v>
      </c>
      <c r="H187" s="1">
        <v>15.58</v>
      </c>
      <c r="I187" s="1">
        <v>15.58</v>
      </c>
      <c r="J187" s="1">
        <v>0.24</v>
      </c>
      <c r="K187" s="3">
        <v>2125</v>
      </c>
      <c r="L187" s="13">
        <v>2535</v>
      </c>
      <c r="M187" s="49">
        <v>58.6</v>
      </c>
      <c r="N187" s="1">
        <v>175.7</v>
      </c>
      <c r="O187" s="3">
        <v>24</v>
      </c>
      <c r="P187" s="11" t="s">
        <v>2275</v>
      </c>
      <c r="Q187" s="3">
        <v>8</v>
      </c>
      <c r="R187" s="3">
        <v>128</v>
      </c>
      <c r="S187" s="22">
        <v>17</v>
      </c>
      <c r="T187" s="9">
        <v>115</v>
      </c>
      <c r="U187" s="14" t="s">
        <v>446</v>
      </c>
      <c r="V187" s="12">
        <v>4</v>
      </c>
      <c r="W187" s="75">
        <v>16</v>
      </c>
      <c r="X187" s="76">
        <v>8</v>
      </c>
      <c r="Y187" s="9">
        <v>331.15</v>
      </c>
      <c r="Z187" s="3">
        <v>455</v>
      </c>
      <c r="AA187" s="17" t="s">
        <v>2196</v>
      </c>
      <c r="AB187" s="18" t="s">
        <v>2195</v>
      </c>
      <c r="AC187" s="46" cm="1">
        <f t="array" ref="AC187">(SUMPRODUCT((H187:O187/H$9:O$9)^H$7:O$7*H$2:O$2)+SUMPRODUCT((Q187:T187/Q$9:T$9)^Q$7:T$7*Q$2:T$2))*(0.8^(1-G187))*AC$9</f>
        <v>1.5130953713057429</v>
      </c>
      <c r="AD187" s="48" cm="1">
        <f t="array" ref="AD187">(SUMPRODUCT((H187:O187/H$9:O$9)^H$7:O$7*H$3:O$3)+SUMPRODUCT((Q187:T187/Q$9:T$9)^Q$7:T$7*Q$3:T$3))*(0.1^(1-G187))*AD$9</f>
        <v>1.6785312541880244</v>
      </c>
      <c r="AE187" s="48" cm="1">
        <f t="array" ref="AE187">(SUMPRODUCT((H187:O187/H$9:O$9)^H$7:O$7*H$4:O$4)+SUMPRODUCT((Q187:T187/Q$9:T$9)^Q$7:T$7*Q$4:T$4))*AE$9</f>
        <v>1.5016805393783819</v>
      </c>
      <c r="AF187" s="47" cm="1">
        <f t="array" ref="AF187">(SUMPRODUCT((H187:O187/H$9:O$9)^H$7:O$7*H$5:O$5)+SUMPRODUCT((Q187:T187/Q$9:T$9)^Q$7:T$7*Q$5:T$5))*AF$9</f>
        <v>1.4631478593486267</v>
      </c>
      <c r="AG187" s="50" cm="1">
        <f t="array" ref="AG187">SUMPRODUCT(AC187:AF187 * AC$3:AF$3) / SUM(AC$3:AF$3)</f>
        <v>1.595411295144451</v>
      </c>
    </row>
    <row r="188" spans="1:33" x14ac:dyDescent="0.25">
      <c r="A188" s="81" t="s">
        <v>2192</v>
      </c>
      <c r="B188" s="20" t="s">
        <v>2194</v>
      </c>
      <c r="C188" s="4" t="s">
        <v>8853</v>
      </c>
      <c r="D188" s="4" t="str">
        <f t="shared" si="2"/>
        <v>ASUS</v>
      </c>
      <c r="E188" s="4" t="s">
        <v>8855</v>
      </c>
      <c r="F188" s="14" t="s">
        <v>8873</v>
      </c>
      <c r="G188" s="9">
        <v>1</v>
      </c>
      <c r="H188" s="1">
        <v>15.58</v>
      </c>
      <c r="I188" s="1">
        <v>15.58</v>
      </c>
      <c r="J188" s="1">
        <v>0.24</v>
      </c>
      <c r="K188" s="3">
        <v>2125</v>
      </c>
      <c r="L188" s="13">
        <v>2535</v>
      </c>
      <c r="M188" s="49">
        <v>58.6</v>
      </c>
      <c r="N188" s="1">
        <v>175.7</v>
      </c>
      <c r="O188" s="3">
        <v>24</v>
      </c>
      <c r="P188" s="11" t="s">
        <v>2275</v>
      </c>
      <c r="Q188" s="3">
        <v>8</v>
      </c>
      <c r="R188" s="3">
        <v>128</v>
      </c>
      <c r="S188" s="22">
        <v>17</v>
      </c>
      <c r="T188" s="9">
        <v>115</v>
      </c>
      <c r="U188" s="14" t="s">
        <v>446</v>
      </c>
      <c r="V188" s="12">
        <v>4</v>
      </c>
      <c r="W188" s="75">
        <v>16</v>
      </c>
      <c r="X188" s="76">
        <v>8</v>
      </c>
      <c r="Y188" s="9">
        <v>304.89999999999998</v>
      </c>
      <c r="Z188" s="3">
        <v>470</v>
      </c>
      <c r="AA188" s="17" t="s">
        <v>2193</v>
      </c>
      <c r="AB188" s="18" t="s">
        <v>2192</v>
      </c>
      <c r="AC188" s="46" cm="1">
        <f t="array" ref="AC188">(SUMPRODUCT((H188:O188/H$9:O$9)^H$7:O$7*H$2:O$2)+SUMPRODUCT((Q188:T188/Q$9:T$9)^Q$7:T$7*Q$2:T$2))*(0.8^(1-G188))*AC$9</f>
        <v>1.5130953713057429</v>
      </c>
      <c r="AD188" s="48" cm="1">
        <f t="array" ref="AD188">(SUMPRODUCT((H188:O188/H$9:O$9)^H$7:O$7*H$3:O$3)+SUMPRODUCT((Q188:T188/Q$9:T$9)^Q$7:T$7*Q$3:T$3))*(0.1^(1-G188))*AD$9</f>
        <v>1.6785312541880244</v>
      </c>
      <c r="AE188" s="48" cm="1">
        <f t="array" ref="AE188">(SUMPRODUCT((H188:O188/H$9:O$9)^H$7:O$7*H$4:O$4)+SUMPRODUCT((Q188:T188/Q$9:T$9)^Q$7:T$7*Q$4:T$4))*AE$9</f>
        <v>1.5016805393783819</v>
      </c>
      <c r="AF188" s="47" cm="1">
        <f t="array" ref="AF188">(SUMPRODUCT((H188:O188/H$9:O$9)^H$7:O$7*H$5:O$5)+SUMPRODUCT((Q188:T188/Q$9:T$9)^Q$7:T$7*Q$5:T$5))*AF$9</f>
        <v>1.4631478593486267</v>
      </c>
      <c r="AG188" s="50" cm="1">
        <f t="array" ref="AG188">SUMPRODUCT(AC188:AF188 * AC$3:AF$3) / SUM(AC$3:AF$3)</f>
        <v>1.595411295144451</v>
      </c>
    </row>
    <row r="189" spans="1:33" x14ac:dyDescent="0.25">
      <c r="A189" s="81" t="s">
        <v>2189</v>
      </c>
      <c r="B189" s="20" t="s">
        <v>2191</v>
      </c>
      <c r="C189" s="4" t="s">
        <v>8853</v>
      </c>
      <c r="D189" s="4" t="str">
        <f t="shared" si="2"/>
        <v>ASUS</v>
      </c>
      <c r="E189" s="4" t="s">
        <v>8855</v>
      </c>
      <c r="F189" s="14" t="s">
        <v>8873</v>
      </c>
      <c r="G189" s="9">
        <v>1</v>
      </c>
      <c r="H189" s="1">
        <v>15.58</v>
      </c>
      <c r="I189" s="1">
        <v>15.58</v>
      </c>
      <c r="J189" s="1">
        <v>0.24</v>
      </c>
      <c r="K189" s="3">
        <v>2125</v>
      </c>
      <c r="L189" s="13">
        <v>2535</v>
      </c>
      <c r="M189" s="49">
        <v>58.6</v>
      </c>
      <c r="N189" s="1">
        <v>175.7</v>
      </c>
      <c r="O189" s="3">
        <v>24</v>
      </c>
      <c r="P189" s="11" t="s">
        <v>2275</v>
      </c>
      <c r="Q189" s="3">
        <v>8</v>
      </c>
      <c r="R189" s="3">
        <v>128</v>
      </c>
      <c r="S189" s="22">
        <v>17</v>
      </c>
      <c r="T189" s="9">
        <v>115</v>
      </c>
      <c r="U189" s="14" t="s">
        <v>446</v>
      </c>
      <c r="V189" s="12">
        <v>4</v>
      </c>
      <c r="W189" s="75">
        <v>16</v>
      </c>
      <c r="X189" s="76">
        <v>8</v>
      </c>
      <c r="Y189" s="9">
        <v>354.11</v>
      </c>
      <c r="Z189" s="3">
        <v>697.8</v>
      </c>
      <c r="AA189" s="17" t="s">
        <v>2190</v>
      </c>
      <c r="AB189" s="18" t="s">
        <v>2189</v>
      </c>
      <c r="AC189" s="46" cm="1">
        <f t="array" ref="AC189">(SUMPRODUCT((H189:O189/H$9:O$9)^H$7:O$7*H$2:O$2)+SUMPRODUCT((Q189:T189/Q$9:T$9)^Q$7:T$7*Q$2:T$2))*(0.8^(1-G189))*AC$9</f>
        <v>1.5130953713057429</v>
      </c>
      <c r="AD189" s="48" cm="1">
        <f t="array" ref="AD189">(SUMPRODUCT((H189:O189/H$9:O$9)^H$7:O$7*H$3:O$3)+SUMPRODUCT((Q189:T189/Q$9:T$9)^Q$7:T$7*Q$3:T$3))*(0.1^(1-G189))*AD$9</f>
        <v>1.6785312541880244</v>
      </c>
      <c r="AE189" s="48" cm="1">
        <f t="array" ref="AE189">(SUMPRODUCT((H189:O189/H$9:O$9)^H$7:O$7*H$4:O$4)+SUMPRODUCT((Q189:T189/Q$9:T$9)^Q$7:T$7*Q$4:T$4))*AE$9</f>
        <v>1.5016805393783819</v>
      </c>
      <c r="AF189" s="47" cm="1">
        <f t="array" ref="AF189">(SUMPRODUCT((H189:O189/H$9:O$9)^H$7:O$7*H$5:O$5)+SUMPRODUCT((Q189:T189/Q$9:T$9)^Q$7:T$7*Q$5:T$5))*AF$9</f>
        <v>1.4631478593486267</v>
      </c>
      <c r="AG189" s="50" cm="1">
        <f t="array" ref="AG189">SUMPRODUCT(AC189:AF189 * AC$3:AF$3) / SUM(AC$3:AF$3)</f>
        <v>1.595411295144451</v>
      </c>
    </row>
    <row r="190" spans="1:33" x14ac:dyDescent="0.25">
      <c r="A190" s="81" t="s">
        <v>2186</v>
      </c>
      <c r="B190" s="20" t="s">
        <v>2188</v>
      </c>
      <c r="C190" s="4" t="s">
        <v>8853</v>
      </c>
      <c r="D190" s="4" t="str">
        <f t="shared" si="2"/>
        <v>ASUS</v>
      </c>
      <c r="E190" s="4" t="s">
        <v>8855</v>
      </c>
      <c r="F190" s="14" t="s">
        <v>8873</v>
      </c>
      <c r="G190" s="9">
        <v>1</v>
      </c>
      <c r="H190" s="1">
        <v>15.58</v>
      </c>
      <c r="I190" s="1">
        <v>15.58</v>
      </c>
      <c r="J190" s="1">
        <v>0.24</v>
      </c>
      <c r="K190" s="3">
        <v>2125</v>
      </c>
      <c r="L190" s="13">
        <v>2535</v>
      </c>
      <c r="M190" s="49">
        <v>58.6</v>
      </c>
      <c r="N190" s="1">
        <v>175.7</v>
      </c>
      <c r="O190" s="3">
        <v>24</v>
      </c>
      <c r="P190" s="11" t="s">
        <v>2275</v>
      </c>
      <c r="Q190" s="3">
        <v>8</v>
      </c>
      <c r="R190" s="3">
        <v>128</v>
      </c>
      <c r="S190" s="22">
        <v>17</v>
      </c>
      <c r="T190" s="9">
        <v>115</v>
      </c>
      <c r="U190" s="14" t="s">
        <v>446</v>
      </c>
      <c r="V190" s="12">
        <v>4</v>
      </c>
      <c r="W190" s="75">
        <v>16</v>
      </c>
      <c r="X190" s="76">
        <v>8</v>
      </c>
      <c r="Y190" s="9">
        <v>319.89999999999998</v>
      </c>
      <c r="Z190" s="3">
        <v>440.58</v>
      </c>
      <c r="AA190" s="17" t="s">
        <v>2187</v>
      </c>
      <c r="AB190" s="18" t="s">
        <v>2186</v>
      </c>
      <c r="AC190" s="46" cm="1">
        <f t="array" ref="AC190">(SUMPRODUCT((H190:O190/H$9:O$9)^H$7:O$7*H$2:O$2)+SUMPRODUCT((Q190:T190/Q$9:T$9)^Q$7:T$7*Q$2:T$2))*(0.8^(1-G190))*AC$9</f>
        <v>1.5130953713057429</v>
      </c>
      <c r="AD190" s="48" cm="1">
        <f t="array" ref="AD190">(SUMPRODUCT((H190:O190/H$9:O$9)^H$7:O$7*H$3:O$3)+SUMPRODUCT((Q190:T190/Q$9:T$9)^Q$7:T$7*Q$3:T$3))*(0.1^(1-G190))*AD$9</f>
        <v>1.6785312541880244</v>
      </c>
      <c r="AE190" s="48" cm="1">
        <f t="array" ref="AE190">(SUMPRODUCT((H190:O190/H$9:O$9)^H$7:O$7*H$4:O$4)+SUMPRODUCT((Q190:T190/Q$9:T$9)^Q$7:T$7*Q$4:T$4))*AE$9</f>
        <v>1.5016805393783819</v>
      </c>
      <c r="AF190" s="47" cm="1">
        <f t="array" ref="AF190">(SUMPRODUCT((H190:O190/H$9:O$9)^H$7:O$7*H$5:O$5)+SUMPRODUCT((Q190:T190/Q$9:T$9)^Q$7:T$7*Q$5:T$5))*AF$9</f>
        <v>1.4631478593486267</v>
      </c>
      <c r="AG190" s="50" cm="1">
        <f t="array" ref="AG190">SUMPRODUCT(AC190:AF190 * AC$3:AF$3) / SUM(AC$3:AF$3)</f>
        <v>1.595411295144451</v>
      </c>
    </row>
    <row r="191" spans="1:33" x14ac:dyDescent="0.25">
      <c r="A191" s="81" t="s">
        <v>2183</v>
      </c>
      <c r="B191" s="20" t="s">
        <v>2185</v>
      </c>
      <c r="C191" s="4" t="s">
        <v>8853</v>
      </c>
      <c r="D191" s="4" t="str">
        <f t="shared" si="2"/>
        <v>ASUS</v>
      </c>
      <c r="E191" s="4" t="s">
        <v>8855</v>
      </c>
      <c r="F191" s="14" t="s">
        <v>8873</v>
      </c>
      <c r="G191" s="9">
        <v>1</v>
      </c>
      <c r="H191" s="1">
        <v>15.58</v>
      </c>
      <c r="I191" s="1">
        <v>15.58</v>
      </c>
      <c r="J191" s="1">
        <v>0.24</v>
      </c>
      <c r="K191" s="3">
        <v>2125</v>
      </c>
      <c r="L191" s="13">
        <v>2535</v>
      </c>
      <c r="M191" s="49">
        <v>58.6</v>
      </c>
      <c r="N191" s="1">
        <v>175.7</v>
      </c>
      <c r="O191" s="3">
        <v>24</v>
      </c>
      <c r="P191" s="11" t="s">
        <v>2275</v>
      </c>
      <c r="Q191" s="3">
        <v>8</v>
      </c>
      <c r="R191" s="3">
        <v>128</v>
      </c>
      <c r="S191" s="22">
        <v>17</v>
      </c>
      <c r="T191" s="9">
        <v>115</v>
      </c>
      <c r="U191" s="14" t="s">
        <v>446</v>
      </c>
      <c r="V191" s="12">
        <v>4</v>
      </c>
      <c r="W191" s="75">
        <v>16</v>
      </c>
      <c r="X191" s="76">
        <v>8</v>
      </c>
      <c r="Y191" s="9">
        <v>358.99</v>
      </c>
      <c r="Z191" s="3">
        <v>521.41</v>
      </c>
      <c r="AA191" s="17" t="s">
        <v>2184</v>
      </c>
      <c r="AB191" s="18" t="s">
        <v>2183</v>
      </c>
      <c r="AC191" s="46" cm="1">
        <f t="array" ref="AC191">(SUMPRODUCT((H191:O191/H$9:O$9)^H$7:O$7*H$2:O$2)+SUMPRODUCT((Q191:T191/Q$9:T$9)^Q$7:T$7*Q$2:T$2))*(0.8^(1-G191))*AC$9</f>
        <v>1.5130953713057429</v>
      </c>
      <c r="AD191" s="48" cm="1">
        <f t="array" ref="AD191">(SUMPRODUCT((H191:O191/H$9:O$9)^H$7:O$7*H$3:O$3)+SUMPRODUCT((Q191:T191/Q$9:T$9)^Q$7:T$7*Q$3:T$3))*(0.1^(1-G191))*AD$9</f>
        <v>1.6785312541880244</v>
      </c>
      <c r="AE191" s="48" cm="1">
        <f t="array" ref="AE191">(SUMPRODUCT((H191:O191/H$9:O$9)^H$7:O$7*H$4:O$4)+SUMPRODUCT((Q191:T191/Q$9:T$9)^Q$7:T$7*Q$4:T$4))*AE$9</f>
        <v>1.5016805393783819</v>
      </c>
      <c r="AF191" s="47" cm="1">
        <f t="array" ref="AF191">(SUMPRODUCT((H191:O191/H$9:O$9)^H$7:O$7*H$5:O$5)+SUMPRODUCT((Q191:T191/Q$9:T$9)^Q$7:T$7*Q$5:T$5))*AF$9</f>
        <v>1.4631478593486267</v>
      </c>
      <c r="AG191" s="50" cm="1">
        <f t="array" ref="AG191">SUMPRODUCT(AC191:AF191 * AC$3:AF$3) / SUM(AC$3:AF$3)</f>
        <v>1.595411295144451</v>
      </c>
    </row>
    <row r="192" spans="1:33" x14ac:dyDescent="0.25">
      <c r="A192" s="81" t="s">
        <v>2147</v>
      </c>
      <c r="B192" s="20" t="s">
        <v>2149</v>
      </c>
      <c r="C192" s="4" t="s">
        <v>8853</v>
      </c>
      <c r="D192" s="4" t="str">
        <f t="shared" si="2"/>
        <v>ASUS</v>
      </c>
      <c r="E192" s="4" t="s">
        <v>8855</v>
      </c>
      <c r="F192" s="14" t="s">
        <v>8873</v>
      </c>
      <c r="G192" s="9">
        <v>1</v>
      </c>
      <c r="H192" s="1">
        <v>15.58</v>
      </c>
      <c r="I192" s="1">
        <v>15.58</v>
      </c>
      <c r="J192" s="1">
        <v>0.24</v>
      </c>
      <c r="K192" s="3">
        <v>2125</v>
      </c>
      <c r="L192" s="13">
        <v>2535</v>
      </c>
      <c r="M192" s="49">
        <v>58.6</v>
      </c>
      <c r="N192" s="1">
        <v>175.7</v>
      </c>
      <c r="O192" s="3">
        <v>24</v>
      </c>
      <c r="P192" s="11" t="s">
        <v>2275</v>
      </c>
      <c r="Q192" s="3">
        <v>8</v>
      </c>
      <c r="R192" s="3">
        <v>128</v>
      </c>
      <c r="S192" s="22">
        <v>17</v>
      </c>
      <c r="T192" s="9">
        <v>115</v>
      </c>
      <c r="U192" s="14" t="s">
        <v>446</v>
      </c>
      <c r="V192" s="12">
        <v>4</v>
      </c>
      <c r="W192" s="75">
        <v>16</v>
      </c>
      <c r="X192" s="76">
        <v>8</v>
      </c>
      <c r="Y192" s="9">
        <v>369.99</v>
      </c>
      <c r="Z192" s="3">
        <v>703.72</v>
      </c>
      <c r="AA192" s="17" t="s">
        <v>2148</v>
      </c>
      <c r="AB192" s="18" t="s">
        <v>2147</v>
      </c>
      <c r="AC192" s="46" cm="1">
        <f t="array" ref="AC192">(SUMPRODUCT((H192:O192/H$9:O$9)^H$7:O$7*H$2:O$2)+SUMPRODUCT((Q192:T192/Q$9:T$9)^Q$7:T$7*Q$2:T$2))*(0.8^(1-G192))*AC$9</f>
        <v>1.5130953713057429</v>
      </c>
      <c r="AD192" s="48" cm="1">
        <f t="array" ref="AD192">(SUMPRODUCT((H192:O192/H$9:O$9)^H$7:O$7*H$3:O$3)+SUMPRODUCT((Q192:T192/Q$9:T$9)^Q$7:T$7*Q$3:T$3))*(0.1^(1-G192))*AD$9</f>
        <v>1.6785312541880244</v>
      </c>
      <c r="AE192" s="48" cm="1">
        <f t="array" ref="AE192">(SUMPRODUCT((H192:O192/H$9:O$9)^H$7:O$7*H$4:O$4)+SUMPRODUCT((Q192:T192/Q$9:T$9)^Q$7:T$7*Q$4:T$4))*AE$9</f>
        <v>1.5016805393783819</v>
      </c>
      <c r="AF192" s="47" cm="1">
        <f t="array" ref="AF192">(SUMPRODUCT((H192:O192/H$9:O$9)^H$7:O$7*H$5:O$5)+SUMPRODUCT((Q192:T192/Q$9:T$9)^Q$7:T$7*Q$5:T$5))*AF$9</f>
        <v>1.4631478593486267</v>
      </c>
      <c r="AG192" s="50" cm="1">
        <f t="array" ref="AG192">SUMPRODUCT(AC192:AF192 * AC$3:AF$3) / SUM(AC$3:AF$3)</f>
        <v>1.595411295144451</v>
      </c>
    </row>
    <row r="193" spans="1:33" x14ac:dyDescent="0.25">
      <c r="A193" s="81" t="s">
        <v>2144</v>
      </c>
      <c r="B193" s="20" t="s">
        <v>2146</v>
      </c>
      <c r="C193" s="4" t="s">
        <v>8853</v>
      </c>
      <c r="D193" s="4" t="str">
        <f t="shared" si="2"/>
        <v>ASUS</v>
      </c>
      <c r="E193" s="4" t="s">
        <v>8855</v>
      </c>
      <c r="F193" s="14" t="s">
        <v>8873</v>
      </c>
      <c r="G193" s="9">
        <v>1</v>
      </c>
      <c r="H193" s="1">
        <v>15.3</v>
      </c>
      <c r="I193" s="1">
        <v>15.3</v>
      </c>
      <c r="J193" s="1">
        <v>0.24</v>
      </c>
      <c r="K193" s="3">
        <v>2125</v>
      </c>
      <c r="L193" s="13">
        <v>2490</v>
      </c>
      <c r="M193" s="49">
        <v>58.6</v>
      </c>
      <c r="N193" s="1">
        <v>175.7</v>
      </c>
      <c r="O193" s="3">
        <v>24</v>
      </c>
      <c r="P193" s="11" t="s">
        <v>2275</v>
      </c>
      <c r="Q193" s="3">
        <v>8</v>
      </c>
      <c r="R193" s="3">
        <v>128</v>
      </c>
      <c r="S193" s="22">
        <v>17</v>
      </c>
      <c r="T193" s="9">
        <v>115</v>
      </c>
      <c r="U193" s="14" t="s">
        <v>446</v>
      </c>
      <c r="V193" s="12">
        <v>4</v>
      </c>
      <c r="W193" s="75">
        <v>16</v>
      </c>
      <c r="X193" s="76">
        <v>8</v>
      </c>
      <c r="Y193" s="9">
        <v>921.12</v>
      </c>
      <c r="Z193" s="3">
        <v>921.12</v>
      </c>
      <c r="AA193" s="17" t="s">
        <v>2145</v>
      </c>
      <c r="AB193" s="18" t="s">
        <v>2144</v>
      </c>
      <c r="AC193" s="46" cm="1">
        <f t="array" ref="AC193">(SUMPRODUCT((H193:O193/H$9:O$9)^H$7:O$7*H$2:O$2)+SUMPRODUCT((Q193:T193/Q$9:T$9)^Q$7:T$7*Q$2:T$2))*(0.8^(1-G193))*AC$9</f>
        <v>1.5058689807197654</v>
      </c>
      <c r="AD193" s="48" cm="1">
        <f t="array" ref="AD193">(SUMPRODUCT((H193:O193/H$9:O$9)^H$7:O$7*H$3:O$3)+SUMPRODUCT((Q193:T193/Q$9:T$9)^Q$7:T$7*Q$3:T$3))*(0.1^(1-G193))*AD$9</f>
        <v>1.661858821278456</v>
      </c>
      <c r="AE193" s="48" cm="1">
        <f t="array" ref="AE193">(SUMPRODUCT((H193:O193/H$9:O$9)^H$7:O$7*H$4:O$4)+SUMPRODUCT((Q193:T193/Q$9:T$9)^Q$7:T$7*Q$4:T$4))*AE$9</f>
        <v>1.4967420082794871</v>
      </c>
      <c r="AF193" s="47" cm="1">
        <f t="array" ref="AF193">(SUMPRODUCT((H193:O193/H$9:O$9)^H$7:O$7*H$5:O$5)+SUMPRODUCT((Q193:T193/Q$9:T$9)^Q$7:T$7*Q$5:T$5))*AF$9</f>
        <v>1.4528357854510441</v>
      </c>
      <c r="AG193" s="50" cm="1">
        <f t="array" ref="AG193">SUMPRODUCT(AC193:AF193 * AC$3:AF$3) / SUM(AC$3:AF$3)</f>
        <v>1.5826770293253312</v>
      </c>
    </row>
    <row r="194" spans="1:33" x14ac:dyDescent="0.25">
      <c r="A194" s="81" t="s">
        <v>2066</v>
      </c>
      <c r="B194" s="20" t="s">
        <v>2068</v>
      </c>
      <c r="C194" s="4" t="s">
        <v>8853</v>
      </c>
      <c r="D194" s="4" t="str">
        <f t="shared" si="2"/>
        <v>ASUS</v>
      </c>
      <c r="E194" s="4" t="s">
        <v>8855</v>
      </c>
      <c r="F194" s="14" t="s">
        <v>8873</v>
      </c>
      <c r="G194" s="9">
        <v>1</v>
      </c>
      <c r="H194" s="1">
        <v>15.48</v>
      </c>
      <c r="I194" s="1">
        <v>15.48</v>
      </c>
      <c r="J194" s="1">
        <v>0.24</v>
      </c>
      <c r="K194" s="3">
        <v>2125</v>
      </c>
      <c r="L194" s="13">
        <v>2520</v>
      </c>
      <c r="M194" s="49">
        <v>58.6</v>
      </c>
      <c r="N194" s="1">
        <v>175.7</v>
      </c>
      <c r="O194" s="3">
        <v>24</v>
      </c>
      <c r="P194" s="11" t="s">
        <v>2275</v>
      </c>
      <c r="Q194" s="3">
        <v>8</v>
      </c>
      <c r="R194" s="3">
        <v>128</v>
      </c>
      <c r="S194" s="22">
        <v>17</v>
      </c>
      <c r="T194" s="9">
        <v>115</v>
      </c>
      <c r="U194" s="14" t="s">
        <v>642</v>
      </c>
      <c r="V194" s="12">
        <v>4</v>
      </c>
      <c r="W194" s="75">
        <v>16</v>
      </c>
      <c r="X194" s="76">
        <v>8</v>
      </c>
      <c r="Y194" s="9">
        <v>366</v>
      </c>
      <c r="Z194" s="3">
        <v>466.74</v>
      </c>
      <c r="AA194" s="17" t="s">
        <v>2067</v>
      </c>
      <c r="AB194" s="18" t="s">
        <v>2066</v>
      </c>
      <c r="AC194" s="46" cm="1">
        <f t="array" ref="AC194">(SUMPRODUCT((H194:O194/H$9:O$9)^H$7:O$7*H$2:O$2)+SUMPRODUCT((Q194:T194/Q$9:T$9)^Q$7:T$7*Q$2:T$2))*(0.8^(1-G194))*AC$9</f>
        <v>1.5106488314241724</v>
      </c>
      <c r="AD194" s="48" cm="1">
        <f t="array" ref="AD194">(SUMPRODUCT((H194:O194/H$9:O$9)^H$7:O$7*H$3:O$3)+SUMPRODUCT((Q194:T194/Q$9:T$9)^Q$7:T$7*Q$3:T$3))*(0.1^(1-G194))*AD$9</f>
        <v>1.6726077765229368</v>
      </c>
      <c r="AE194" s="48" cm="1">
        <f t="array" ref="AE194">(SUMPRODUCT((H194:O194/H$9:O$9)^H$7:O$7*H$4:O$4)+SUMPRODUCT((Q194:T194/Q$9:T$9)^Q$7:T$7*Q$4:T$4))*AE$9</f>
        <v>1.499917805410143</v>
      </c>
      <c r="AF194" s="47" cm="1">
        <f t="array" ref="AF194">(SUMPRODUCT((H194:O194/H$9:O$9)^H$7:O$7*H$5:O$5)+SUMPRODUCT((Q194:T194/Q$9:T$9)^Q$7:T$7*Q$5:T$5))*AF$9</f>
        <v>1.459520400412611</v>
      </c>
      <c r="AG194" s="50" cm="1">
        <f t="array" ref="AG194">SUMPRODUCT(AC194:AF194 * AC$3:AF$3) / SUM(AC$3:AF$3)</f>
        <v>1.5909122817533337</v>
      </c>
    </row>
    <row r="195" spans="1:33" x14ac:dyDescent="0.25">
      <c r="A195" s="81" t="s">
        <v>2030</v>
      </c>
      <c r="B195" s="20" t="s">
        <v>2032</v>
      </c>
      <c r="C195" s="4" t="s">
        <v>8853</v>
      </c>
      <c r="D195" s="4" t="str">
        <f t="shared" si="2"/>
        <v>ASUS</v>
      </c>
      <c r="E195" s="4" t="s">
        <v>8855</v>
      </c>
      <c r="F195" s="14" t="s">
        <v>8873</v>
      </c>
      <c r="G195" s="9">
        <v>1</v>
      </c>
      <c r="H195" s="1">
        <v>15.85</v>
      </c>
      <c r="I195" s="1">
        <v>15.85</v>
      </c>
      <c r="J195" s="1">
        <v>0.25</v>
      </c>
      <c r="K195" s="3">
        <v>2125</v>
      </c>
      <c r="L195" s="13">
        <v>2580</v>
      </c>
      <c r="M195" s="49">
        <v>58.6</v>
      </c>
      <c r="N195" s="1">
        <v>175.7</v>
      </c>
      <c r="O195" s="3">
        <v>24</v>
      </c>
      <c r="P195" s="11" t="s">
        <v>2275</v>
      </c>
      <c r="Q195" s="3">
        <v>8</v>
      </c>
      <c r="R195" s="3">
        <v>128</v>
      </c>
      <c r="S195" s="22">
        <v>17</v>
      </c>
      <c r="T195" s="9">
        <v>115</v>
      </c>
      <c r="U195" s="14" t="s">
        <v>446</v>
      </c>
      <c r="V195" s="12">
        <v>4</v>
      </c>
      <c r="W195" s="75">
        <v>16</v>
      </c>
      <c r="X195" s="76">
        <v>8</v>
      </c>
      <c r="Y195" s="9">
        <v>370.58</v>
      </c>
      <c r="Z195" s="3">
        <v>544</v>
      </c>
      <c r="AA195" s="17" t="s">
        <v>2031</v>
      </c>
      <c r="AB195" s="18" t="s">
        <v>2030</v>
      </c>
      <c r="AC195" s="46" cm="1">
        <f t="array" ref="AC195">(SUMPRODUCT((H195:O195/H$9:O$9)^H$7:O$7*H$2:O$2)+SUMPRODUCT((Q195:T195/Q$9:T$9)^Q$7:T$7*Q$2:T$2))*(0.8^(1-G195))*AC$9</f>
        <v>1.5202502722299842</v>
      </c>
      <c r="AD195" s="48" cm="1">
        <f t="array" ref="AD195">(SUMPRODUCT((H195:O195/H$9:O$9)^H$7:O$7*H$3:O$3)+SUMPRODUCT((Q195:T195/Q$9:T$9)^Q$7:T$7*Q$3:T$3))*(0.1^(1-G195))*AD$9</f>
        <v>1.697710314519596</v>
      </c>
      <c r="AE195" s="48" cm="1">
        <f t="array" ref="AE195">(SUMPRODUCT((H195:O195/H$9:O$9)^H$7:O$7*H$4:O$4)+SUMPRODUCT((Q195:T195/Q$9:T$9)^Q$7:T$7*Q$4:T$4))*AE$9</f>
        <v>1.5281222138797976</v>
      </c>
      <c r="AF195" s="47" cm="1">
        <f t="array" ref="AF195">(SUMPRODUCT((H195:O195/H$9:O$9)^H$7:O$7*H$5:O$5)+SUMPRODUCT((Q195:T195/Q$9:T$9)^Q$7:T$7*Q$5:T$5))*AF$9</f>
        <v>1.4731523890368554</v>
      </c>
      <c r="AG195" s="50" cm="1">
        <f t="array" ref="AG195">SUMPRODUCT(AC195:AF195 * AC$3:AF$3) / SUM(AC$3:AF$3)</f>
        <v>1.6118641975975596</v>
      </c>
    </row>
    <row r="196" spans="1:33" x14ac:dyDescent="0.25">
      <c r="A196" s="81" t="s">
        <v>2021</v>
      </c>
      <c r="B196" s="20" t="s">
        <v>2023</v>
      </c>
      <c r="C196" s="4" t="s">
        <v>8853</v>
      </c>
      <c r="D196" s="4" t="str">
        <f t="shared" si="2"/>
        <v>ASUS</v>
      </c>
      <c r="E196" s="4" t="s">
        <v>8855</v>
      </c>
      <c r="F196" s="14" t="s">
        <v>8873</v>
      </c>
      <c r="G196" s="9">
        <v>1</v>
      </c>
      <c r="H196" s="1">
        <v>15.3</v>
      </c>
      <c r="I196" s="1">
        <v>15.3</v>
      </c>
      <c r="J196" s="1">
        <v>0.24</v>
      </c>
      <c r="K196" s="3">
        <v>2125</v>
      </c>
      <c r="L196" s="13">
        <v>2490</v>
      </c>
      <c r="M196" s="49">
        <v>58.6</v>
      </c>
      <c r="N196" s="1">
        <v>175.7</v>
      </c>
      <c r="O196" s="3">
        <v>24</v>
      </c>
      <c r="P196" s="11" t="s">
        <v>2275</v>
      </c>
      <c r="Q196" s="3">
        <v>8</v>
      </c>
      <c r="R196" s="3">
        <v>128</v>
      </c>
      <c r="S196" s="22">
        <v>17</v>
      </c>
      <c r="T196" s="9">
        <v>115</v>
      </c>
      <c r="U196" s="14" t="s">
        <v>446</v>
      </c>
      <c r="V196" s="12">
        <v>4</v>
      </c>
      <c r="W196" s="75">
        <v>16</v>
      </c>
      <c r="X196" s="76">
        <v>8</v>
      </c>
      <c r="Y196" s="9">
        <v>924.24</v>
      </c>
      <c r="Z196" s="3">
        <v>924.24</v>
      </c>
      <c r="AA196" s="17" t="s">
        <v>2022</v>
      </c>
      <c r="AB196" s="18" t="s">
        <v>2021</v>
      </c>
      <c r="AC196" s="46" cm="1">
        <f t="array" ref="AC196">(SUMPRODUCT((H196:O196/H$9:O$9)^H$7:O$7*H$2:O$2)+SUMPRODUCT((Q196:T196/Q$9:T$9)^Q$7:T$7*Q$2:T$2))*(0.8^(1-G196))*AC$9</f>
        <v>1.5058689807197654</v>
      </c>
      <c r="AD196" s="48" cm="1">
        <f t="array" ref="AD196">(SUMPRODUCT((H196:O196/H$9:O$9)^H$7:O$7*H$3:O$3)+SUMPRODUCT((Q196:T196/Q$9:T$9)^Q$7:T$7*Q$3:T$3))*(0.1^(1-G196))*AD$9</f>
        <v>1.661858821278456</v>
      </c>
      <c r="AE196" s="48" cm="1">
        <f t="array" ref="AE196">(SUMPRODUCT((H196:O196/H$9:O$9)^H$7:O$7*H$4:O$4)+SUMPRODUCT((Q196:T196/Q$9:T$9)^Q$7:T$7*Q$4:T$4))*AE$9</f>
        <v>1.4967420082794871</v>
      </c>
      <c r="AF196" s="47" cm="1">
        <f t="array" ref="AF196">(SUMPRODUCT((H196:O196/H$9:O$9)^H$7:O$7*H$5:O$5)+SUMPRODUCT((Q196:T196/Q$9:T$9)^Q$7:T$7*Q$5:T$5))*AF$9</f>
        <v>1.4528357854510441</v>
      </c>
      <c r="AG196" s="50" cm="1">
        <f t="array" ref="AG196">SUMPRODUCT(AC196:AF196 * AC$3:AF$3) / SUM(AC$3:AF$3)</f>
        <v>1.5826770293253312</v>
      </c>
    </row>
    <row r="197" spans="1:33" x14ac:dyDescent="0.25">
      <c r="A197" s="81" t="s">
        <v>1931</v>
      </c>
      <c r="B197" s="20" t="s">
        <v>1933</v>
      </c>
      <c r="C197" s="4" t="s">
        <v>8853</v>
      </c>
      <c r="D197" s="4" t="str">
        <f t="shared" si="2"/>
        <v>ASUS</v>
      </c>
      <c r="E197" s="4" t="s">
        <v>8855</v>
      </c>
      <c r="F197" s="14" t="s">
        <v>8873</v>
      </c>
      <c r="G197" s="9">
        <v>1</v>
      </c>
      <c r="H197" s="1">
        <v>16.59</v>
      </c>
      <c r="I197" s="1">
        <v>16.59</v>
      </c>
      <c r="J197" s="1">
        <v>0.26</v>
      </c>
      <c r="K197" s="3">
        <v>2125</v>
      </c>
      <c r="L197" s="13">
        <v>2700</v>
      </c>
      <c r="M197" s="49">
        <v>58.6</v>
      </c>
      <c r="N197" s="1">
        <v>175.7</v>
      </c>
      <c r="O197" s="3">
        <v>24</v>
      </c>
      <c r="P197" s="11" t="s">
        <v>2275</v>
      </c>
      <c r="Q197" s="3">
        <v>8</v>
      </c>
      <c r="R197" s="3">
        <v>128</v>
      </c>
      <c r="S197" s="22">
        <v>17</v>
      </c>
      <c r="T197" s="9">
        <v>115</v>
      </c>
      <c r="U197" s="14" t="s">
        <v>446</v>
      </c>
      <c r="V197" s="12">
        <v>4</v>
      </c>
      <c r="W197" s="75">
        <v>16</v>
      </c>
      <c r="X197" s="76">
        <v>8</v>
      </c>
      <c r="Y197" s="9">
        <v>930.87</v>
      </c>
      <c r="Z197" s="3">
        <v>1096.2</v>
      </c>
      <c r="AA197" s="17" t="s">
        <v>1932</v>
      </c>
      <c r="AB197" s="18" t="s">
        <v>1931</v>
      </c>
      <c r="AC197" s="46" cm="1">
        <f t="array" ref="AC197">(SUMPRODUCT((H197:O197/H$9:O$9)^H$7:O$7*H$2:O$2)+SUMPRODUCT((Q197:T197/Q$9:T$9)^Q$7:T$7*Q$2:T$2))*(0.8^(1-G197))*AC$9</f>
        <v>1.5393867393348075</v>
      </c>
      <c r="AD197" s="48" cm="1">
        <f t="array" ref="AD197">(SUMPRODUCT((H197:O197/H$9:O$9)^H$7:O$7*H$3:O$3)+SUMPRODUCT((Q197:T197/Q$9:T$9)^Q$7:T$7*Q$3:T$3))*(0.1^(1-G197))*AD$9</f>
        <v>1.7445988976385856</v>
      </c>
      <c r="AE197" s="48" cm="1">
        <f t="array" ref="AE197">(SUMPRODUCT((H197:O197/H$9:O$9)^H$7:O$7*H$4:O$4)+SUMPRODUCT((Q197:T197/Q$9:T$9)^Q$7:T$7*Q$4:T$4))*AE$9</f>
        <v>1.5626250429389144</v>
      </c>
      <c r="AF197" s="47" cm="1">
        <f t="array" ref="AF197">(SUMPRODUCT((H197:O197/H$9:O$9)^H$7:O$7*H$5:O$5)+SUMPRODUCT((Q197:T197/Q$9:T$9)^Q$7:T$7*Q$5:T$5))*AF$9</f>
        <v>1.5003150564161891</v>
      </c>
      <c r="AG197" s="50" cm="1">
        <f t="array" ref="AG197">SUMPRODUCT(AC197:AF197 * AC$3:AF$3) / SUM(AC$3:AF$3)</f>
        <v>1.6494635805287041</v>
      </c>
    </row>
    <row r="198" spans="1:33" x14ac:dyDescent="0.25">
      <c r="A198" s="81" t="s">
        <v>1928</v>
      </c>
      <c r="B198" s="20" t="s">
        <v>1930</v>
      </c>
      <c r="C198" s="4" t="s">
        <v>8853</v>
      </c>
      <c r="D198" s="4" t="str">
        <f t="shared" si="2"/>
        <v>ASUS</v>
      </c>
      <c r="E198" s="4" t="s">
        <v>8855</v>
      </c>
      <c r="F198" s="14" t="s">
        <v>8873</v>
      </c>
      <c r="G198" s="9">
        <v>1</v>
      </c>
      <c r="H198" s="1">
        <v>15.3</v>
      </c>
      <c r="I198" s="1">
        <v>15.3</v>
      </c>
      <c r="J198" s="1">
        <v>0.24</v>
      </c>
      <c r="K198" s="3">
        <v>2125</v>
      </c>
      <c r="L198" s="13">
        <v>2490</v>
      </c>
      <c r="M198" s="49">
        <v>58.6</v>
      </c>
      <c r="N198" s="1">
        <v>175.7</v>
      </c>
      <c r="O198" s="3">
        <v>24</v>
      </c>
      <c r="P198" s="11" t="s">
        <v>2275</v>
      </c>
      <c r="Q198" s="3">
        <v>8</v>
      </c>
      <c r="R198" s="3">
        <v>128</v>
      </c>
      <c r="S198" s="22">
        <v>17</v>
      </c>
      <c r="T198" s="9">
        <v>115</v>
      </c>
      <c r="U198" s="14" t="s">
        <v>446</v>
      </c>
      <c r="V198" s="12">
        <v>4</v>
      </c>
      <c r="W198" s="75">
        <v>16</v>
      </c>
      <c r="X198" s="76">
        <v>8</v>
      </c>
      <c r="Y198" s="9">
        <v>1024.48</v>
      </c>
      <c r="Z198" s="3">
        <v>1024.48</v>
      </c>
      <c r="AA198" s="17" t="s">
        <v>1929</v>
      </c>
      <c r="AB198" s="18" t="s">
        <v>1928</v>
      </c>
      <c r="AC198" s="46" cm="1">
        <f t="array" ref="AC198">(SUMPRODUCT((H198:O198/H$9:O$9)^H$7:O$7*H$2:O$2)+SUMPRODUCT((Q198:T198/Q$9:T$9)^Q$7:T$7*Q$2:T$2))*(0.8^(1-G198))*AC$9</f>
        <v>1.5058689807197654</v>
      </c>
      <c r="AD198" s="48" cm="1">
        <f t="array" ref="AD198">(SUMPRODUCT((H198:O198/H$9:O$9)^H$7:O$7*H$3:O$3)+SUMPRODUCT((Q198:T198/Q$9:T$9)^Q$7:T$7*Q$3:T$3))*(0.1^(1-G198))*AD$9</f>
        <v>1.661858821278456</v>
      </c>
      <c r="AE198" s="48" cm="1">
        <f t="array" ref="AE198">(SUMPRODUCT((H198:O198/H$9:O$9)^H$7:O$7*H$4:O$4)+SUMPRODUCT((Q198:T198/Q$9:T$9)^Q$7:T$7*Q$4:T$4))*AE$9</f>
        <v>1.4967420082794871</v>
      </c>
      <c r="AF198" s="47" cm="1">
        <f t="array" ref="AF198">(SUMPRODUCT((H198:O198/H$9:O$9)^H$7:O$7*H$5:O$5)+SUMPRODUCT((Q198:T198/Q$9:T$9)^Q$7:T$7*Q$5:T$5))*AF$9</f>
        <v>1.4528357854510441</v>
      </c>
      <c r="AG198" s="50" cm="1">
        <f t="array" ref="AG198">SUMPRODUCT(AC198:AF198 * AC$3:AF$3) / SUM(AC$3:AF$3)</f>
        <v>1.5826770293253312</v>
      </c>
    </row>
    <row r="199" spans="1:33" x14ac:dyDescent="0.25">
      <c r="A199" s="81" t="s">
        <v>1679</v>
      </c>
      <c r="B199" s="20" t="s">
        <v>1681</v>
      </c>
      <c r="C199" s="4" t="s">
        <v>8853</v>
      </c>
      <c r="D199" s="4" t="str">
        <f t="shared" si="2"/>
        <v>GIGABYTE</v>
      </c>
      <c r="E199" s="4" t="s">
        <v>8855</v>
      </c>
      <c r="F199" s="14" t="s">
        <v>8873</v>
      </c>
      <c r="G199" s="9">
        <v>1</v>
      </c>
      <c r="H199" s="1">
        <v>16.22</v>
      </c>
      <c r="I199" s="1">
        <v>16.22</v>
      </c>
      <c r="J199" s="1">
        <v>0.25</v>
      </c>
      <c r="K199" s="3">
        <v>2125</v>
      </c>
      <c r="L199" s="13">
        <v>2640</v>
      </c>
      <c r="M199" s="49">
        <v>58.6</v>
      </c>
      <c r="N199" s="1">
        <v>175.7</v>
      </c>
      <c r="O199" s="3">
        <v>24</v>
      </c>
      <c r="P199" s="11" t="s">
        <v>2275</v>
      </c>
      <c r="Q199" s="3">
        <v>8</v>
      </c>
      <c r="R199" s="3">
        <v>128</v>
      </c>
      <c r="S199" s="22">
        <v>17</v>
      </c>
      <c r="T199" s="9">
        <v>115</v>
      </c>
      <c r="U199" s="14" t="s">
        <v>446</v>
      </c>
      <c r="V199" s="12">
        <v>4</v>
      </c>
      <c r="W199" s="75">
        <v>16</v>
      </c>
      <c r="X199" s="76">
        <v>8</v>
      </c>
      <c r="Y199" s="9">
        <v>519.66</v>
      </c>
      <c r="Z199" s="3">
        <v>643.99</v>
      </c>
      <c r="AA199" s="17" t="s">
        <v>1680</v>
      </c>
      <c r="AB199" s="18" t="s">
        <v>1679</v>
      </c>
      <c r="AC199" s="46" cm="1">
        <f t="array" ref="AC199">(SUMPRODUCT((H199:O199/H$9:O$9)^H$7:O$7*H$2:O$2)+SUMPRODUCT((Q199:T199/Q$9:T$9)^Q$7:T$7*Q$2:T$2))*(0.8^(1-G199))*AC$9</f>
        <v>1.5298293888550583</v>
      </c>
      <c r="AD199" s="48" cm="1">
        <f t="array" ref="AD199">(SUMPRODUCT((H199:O199/H$9:O$9)^H$7:O$7*H$3:O$3)+SUMPRODUCT((Q199:T199/Q$9:T$9)^Q$7:T$7*Q$3:T$3))*(0.1^(1-G199))*AD$9</f>
        <v>1.7196495111094472</v>
      </c>
      <c r="AE199" s="48" cm="1">
        <f t="array" ref="AE199">(SUMPRODUCT((H199:O199/H$9:O$9)^H$7:O$7*H$4:O$4)+SUMPRODUCT((Q199:T199/Q$9:T$9)^Q$7:T$7*Q$4:T$4))*AE$9</f>
        <v>1.5346235066527263</v>
      </c>
      <c r="AF199" s="47" cm="1">
        <f t="array" ref="AF199">(SUMPRODUCT((H199:O199/H$9:O$9)^H$7:O$7*H$5:O$5)+SUMPRODUCT((Q199:T199/Q$9:T$9)^Q$7:T$7*Q$5:T$5))*AF$9</f>
        <v>1.4867503207509203</v>
      </c>
      <c r="AG199" s="50" cm="1">
        <f t="array" ref="AG199">SUMPRODUCT(AC199:AF199 * AC$3:AF$3) / SUM(AC$3:AF$3)</f>
        <v>1.6286378474009924</v>
      </c>
    </row>
    <row r="200" spans="1:33" x14ac:dyDescent="0.25">
      <c r="A200" s="81" t="s">
        <v>1550</v>
      </c>
      <c r="B200" s="20" t="s">
        <v>1552</v>
      </c>
      <c r="C200" s="4" t="s">
        <v>8853</v>
      </c>
      <c r="D200" s="4" t="str">
        <f t="shared" ref="D200:D263" si="3">LEFT(AB200, FIND(" ", AB200 &amp; " ") - 1)</f>
        <v>GIGABYTE</v>
      </c>
      <c r="E200" s="4" t="s">
        <v>8855</v>
      </c>
      <c r="F200" s="14" t="s">
        <v>8873</v>
      </c>
      <c r="G200" s="9">
        <v>1</v>
      </c>
      <c r="H200" s="1">
        <v>15.67</v>
      </c>
      <c r="I200" s="1">
        <v>15.67</v>
      </c>
      <c r="J200" s="1">
        <v>0.24</v>
      </c>
      <c r="K200" s="3">
        <v>2125</v>
      </c>
      <c r="L200" s="13">
        <v>2550</v>
      </c>
      <c r="M200" s="49">
        <v>58.6</v>
      </c>
      <c r="N200" s="1">
        <v>175.7</v>
      </c>
      <c r="O200" s="3">
        <v>24</v>
      </c>
      <c r="P200" s="11" t="s">
        <v>2275</v>
      </c>
      <c r="Q200" s="3">
        <v>8</v>
      </c>
      <c r="R200" s="3">
        <v>128</v>
      </c>
      <c r="S200" s="22">
        <v>17</v>
      </c>
      <c r="T200" s="9">
        <v>115</v>
      </c>
      <c r="U200" s="14" t="s">
        <v>446</v>
      </c>
      <c r="V200" s="12">
        <v>4</v>
      </c>
      <c r="W200" s="75">
        <v>16</v>
      </c>
      <c r="X200" s="76">
        <v>8</v>
      </c>
      <c r="Y200" s="9">
        <v>349</v>
      </c>
      <c r="Z200" s="3">
        <v>449.49</v>
      </c>
      <c r="AA200" s="17" t="s">
        <v>1551</v>
      </c>
      <c r="AB200" s="18" t="s">
        <v>1550</v>
      </c>
      <c r="AC200" s="46" cm="1">
        <f t="array" ref="AC200">(SUMPRODUCT((H200:O200/H$9:O$9)^H$7:O$7*H$2:O$2)+SUMPRODUCT((Q200:T200/Q$9:T$9)^Q$7:T$7*Q$2:T$2))*(0.8^(1-G200))*AC$9</f>
        <v>1.515481731303725</v>
      </c>
      <c r="AD200" s="48" cm="1">
        <f t="array" ref="AD200">(SUMPRODUCT((H200:O200/H$9:O$9)^H$7:O$7*H$3:O$3)+SUMPRODUCT((Q200:T200/Q$9:T$9)^Q$7:T$7*Q$3:T$3))*(0.1^(1-G200))*AD$9</f>
        <v>1.6838954190151916</v>
      </c>
      <c r="AE200" s="48" cm="1">
        <f t="array" ref="AE200">(SUMPRODUCT((H200:O200/H$9:O$9)^H$7:O$7*H$4:O$4)+SUMPRODUCT((Q200:T200/Q$9:T$9)^Q$7:T$7*Q$4:T$4))*AE$9</f>
        <v>1.5032660326722977</v>
      </c>
      <c r="AF200" s="47" cm="1">
        <f t="array" ref="AF200">(SUMPRODUCT((H200:O200/H$9:O$9)^H$7:O$7*H$5:O$5)+SUMPRODUCT((Q200:T200/Q$9:T$9)^Q$7:T$7*Q$5:T$5))*AF$9</f>
        <v>1.466484762187509</v>
      </c>
      <c r="AG200" s="50" cm="1">
        <f t="array" ref="AG200">SUMPRODUCT(AC200:AF200 * AC$3:AF$3) / SUM(AC$3:AF$3)</f>
        <v>1.5995214297761229</v>
      </c>
    </row>
    <row r="201" spans="1:33" x14ac:dyDescent="0.25">
      <c r="A201" s="81" t="s">
        <v>1547</v>
      </c>
      <c r="B201" s="20" t="s">
        <v>1549</v>
      </c>
      <c r="C201" s="4" t="s">
        <v>8853</v>
      </c>
      <c r="D201" s="4" t="str">
        <f t="shared" si="3"/>
        <v>GIGABYTE</v>
      </c>
      <c r="E201" s="4" t="s">
        <v>8855</v>
      </c>
      <c r="F201" s="14" t="s">
        <v>8873</v>
      </c>
      <c r="G201" s="9">
        <v>1</v>
      </c>
      <c r="H201" s="1">
        <v>15.11</v>
      </c>
      <c r="I201" s="1">
        <v>15.11</v>
      </c>
      <c r="J201" s="1">
        <v>0.24</v>
      </c>
      <c r="K201" s="3">
        <v>2125</v>
      </c>
      <c r="L201" s="13">
        <v>2460</v>
      </c>
      <c r="M201" s="49">
        <v>58.6</v>
      </c>
      <c r="N201" s="1">
        <v>175.7</v>
      </c>
      <c r="O201" s="3">
        <v>24</v>
      </c>
      <c r="P201" s="11" t="s">
        <v>2275</v>
      </c>
      <c r="Q201" s="3">
        <v>8</v>
      </c>
      <c r="R201" s="3">
        <v>128</v>
      </c>
      <c r="S201" s="22">
        <v>17</v>
      </c>
      <c r="T201" s="9">
        <v>115</v>
      </c>
      <c r="U201" s="14" t="s">
        <v>446</v>
      </c>
      <c r="V201" s="12">
        <v>4</v>
      </c>
      <c r="W201" s="75">
        <v>16</v>
      </c>
      <c r="X201" s="76">
        <v>8</v>
      </c>
      <c r="Y201" s="9">
        <v>318.86</v>
      </c>
      <c r="Z201" s="3">
        <v>431.11</v>
      </c>
      <c r="AA201" s="17" t="s">
        <v>1548</v>
      </c>
      <c r="AB201" s="18" t="s">
        <v>1547</v>
      </c>
      <c r="AC201" s="46" cm="1">
        <f t="array" ref="AC201">(SUMPRODUCT((H201:O201/H$9:O$9)^H$7:O$7*H$2:O$2)+SUMPRODUCT((Q201:T201/Q$9:T$9)^Q$7:T$7*Q$2:T$2))*(0.8^(1-G201))*AC$9</f>
        <v>1.5010244804348885</v>
      </c>
      <c r="AD201" s="48" cm="1">
        <f t="array" ref="AD201">(SUMPRODUCT((H201:O201/H$9:O$9)^H$7:O$7*H$3:O$3)+SUMPRODUCT((Q201:T201/Q$9:T$9)^Q$7:T$7*Q$3:T$3))*(0.1^(1-G201))*AD$9</f>
        <v>1.6505366827573136</v>
      </c>
      <c r="AE201" s="48" cm="1">
        <f t="array" ref="AE201">(SUMPRODUCT((H201:O201/H$9:O$9)^H$7:O$7*H$4:O$4)+SUMPRODUCT((Q201:T201/Q$9:T$9)^Q$7:T$7*Q$4:T$4))*AE$9</f>
        <v>1.4933857211625887</v>
      </c>
      <c r="AF201" s="47" cm="1">
        <f t="array" ref="AF201">(SUMPRODUCT((H201:O201/H$9:O$9)^H$7:O$7*H$5:O$5)+SUMPRODUCT((Q201:T201/Q$9:T$9)^Q$7:T$7*Q$5:T$5))*AF$9</f>
        <v>1.4458534505552438</v>
      </c>
      <c r="AG201" s="50" cm="1">
        <f t="array" ref="AG201">SUMPRODUCT(AC201:AF201 * AC$3:AF$3) / SUM(AC$3:AF$3)</f>
        <v>1.5740428923815948</v>
      </c>
    </row>
    <row r="202" spans="1:33" x14ac:dyDescent="0.25">
      <c r="A202" s="81" t="s">
        <v>1544</v>
      </c>
      <c r="B202" s="20" t="s">
        <v>1546</v>
      </c>
      <c r="C202" s="4" t="s">
        <v>8853</v>
      </c>
      <c r="D202" s="4" t="str">
        <f t="shared" si="3"/>
        <v>GIGABYTE</v>
      </c>
      <c r="E202" s="4" t="s">
        <v>8855</v>
      </c>
      <c r="F202" s="14" t="s">
        <v>8873</v>
      </c>
      <c r="G202" s="9">
        <v>1</v>
      </c>
      <c r="H202" s="1">
        <v>15.39</v>
      </c>
      <c r="I202" s="1">
        <v>15.39</v>
      </c>
      <c r="J202" s="1">
        <v>0.24</v>
      </c>
      <c r="K202" s="3">
        <v>2125</v>
      </c>
      <c r="L202" s="13">
        <v>2505</v>
      </c>
      <c r="M202" s="49">
        <v>58.6</v>
      </c>
      <c r="N202" s="1">
        <v>175.7</v>
      </c>
      <c r="O202" s="3">
        <v>24</v>
      </c>
      <c r="P202" s="11" t="s">
        <v>2275</v>
      </c>
      <c r="Q202" s="3">
        <v>8</v>
      </c>
      <c r="R202" s="3">
        <v>128</v>
      </c>
      <c r="S202" s="22">
        <v>17</v>
      </c>
      <c r="T202" s="9">
        <v>115</v>
      </c>
      <c r="U202" s="14" t="s">
        <v>446</v>
      </c>
      <c r="V202" s="12">
        <v>4</v>
      </c>
      <c r="W202" s="75">
        <v>16</v>
      </c>
      <c r="X202" s="76">
        <v>8</v>
      </c>
      <c r="Y202" s="9">
        <v>315.14</v>
      </c>
      <c r="Z202" s="3">
        <v>456.35</v>
      </c>
      <c r="AA202" s="17" t="s">
        <v>1545</v>
      </c>
      <c r="AB202" s="18" t="s">
        <v>1544</v>
      </c>
      <c r="AC202" s="46" cm="1">
        <f t="array" ref="AC202">(SUMPRODUCT((H202:O202/H$9:O$9)^H$7:O$7*H$2:O$2)+SUMPRODUCT((Q202:T202/Q$9:T$9)^Q$7:T$7*Q$2:T$2))*(0.8^(1-G202))*AC$9</f>
        <v>1.5082596179159138</v>
      </c>
      <c r="AD202" s="48" cm="1">
        <f t="array" ref="AD202">(SUMPRODUCT((H202:O202/H$9:O$9)^H$7:O$7*H$3:O$3)+SUMPRODUCT((Q202:T202/Q$9:T$9)^Q$7:T$7*Q$3:T$3))*(0.1^(1-G202))*AD$9</f>
        <v>1.6672352948098239</v>
      </c>
      <c r="AE202" s="48" cm="1">
        <f t="array" ref="AE202">(SUMPRODUCT((H202:O202/H$9:O$9)^H$7:O$7*H$4:O$4)+SUMPRODUCT((Q202:T202/Q$9:T$9)^Q$7:T$7*Q$4:T$4))*AE$9</f>
        <v>1.4983303711454066</v>
      </c>
      <c r="AF202" s="47" cm="1">
        <f t="array" ref="AF202">(SUMPRODUCT((H202:O202/H$9:O$9)^H$7:O$7*H$5:O$5)+SUMPRODUCT((Q202:T202/Q$9:T$9)^Q$7:T$7*Q$5:T$5))*AF$9</f>
        <v>1.4561791457344913</v>
      </c>
      <c r="AG202" s="50" cm="1">
        <f t="array" ref="AG202">SUMPRODUCT(AC202:AF202 * AC$3:AF$3) / SUM(AC$3:AF$3)</f>
        <v>1.5867961100744594</v>
      </c>
    </row>
    <row r="203" spans="1:33" x14ac:dyDescent="0.25">
      <c r="A203" s="81" t="s">
        <v>1541</v>
      </c>
      <c r="B203" s="20" t="s">
        <v>1543</v>
      </c>
      <c r="C203" s="4" t="s">
        <v>8853</v>
      </c>
      <c r="D203" s="4" t="str">
        <f t="shared" si="3"/>
        <v>GIGABYTE</v>
      </c>
      <c r="E203" s="4" t="s">
        <v>8855</v>
      </c>
      <c r="F203" s="14" t="s">
        <v>8873</v>
      </c>
      <c r="G203" s="9">
        <v>1</v>
      </c>
      <c r="H203" s="1">
        <v>15.39</v>
      </c>
      <c r="I203" s="1">
        <v>15.39</v>
      </c>
      <c r="J203" s="1">
        <v>0.24</v>
      </c>
      <c r="K203" s="3">
        <v>2125</v>
      </c>
      <c r="L203" s="13">
        <v>2505</v>
      </c>
      <c r="M203" s="49">
        <v>58.6</v>
      </c>
      <c r="N203" s="1">
        <v>175.7</v>
      </c>
      <c r="O203" s="3">
        <v>24</v>
      </c>
      <c r="P203" s="11" t="s">
        <v>2275</v>
      </c>
      <c r="Q203" s="3">
        <v>8</v>
      </c>
      <c r="R203" s="3">
        <v>128</v>
      </c>
      <c r="S203" s="22">
        <v>17</v>
      </c>
      <c r="T203" s="9">
        <v>115</v>
      </c>
      <c r="U203" s="14" t="s">
        <v>446</v>
      </c>
      <c r="V203" s="12">
        <v>4</v>
      </c>
      <c r="W203" s="75">
        <v>16</v>
      </c>
      <c r="X203" s="76">
        <v>8</v>
      </c>
      <c r="Y203" s="9">
        <v>339.71</v>
      </c>
      <c r="Z203" s="3">
        <v>456</v>
      </c>
      <c r="AA203" s="17" t="s">
        <v>1542</v>
      </c>
      <c r="AB203" s="18" t="s">
        <v>1541</v>
      </c>
      <c r="AC203" s="46" cm="1">
        <f t="array" ref="AC203">(SUMPRODUCT((H203:O203/H$9:O$9)^H$7:O$7*H$2:O$2)+SUMPRODUCT((Q203:T203/Q$9:T$9)^Q$7:T$7*Q$2:T$2))*(0.8^(1-G203))*AC$9</f>
        <v>1.5082596179159138</v>
      </c>
      <c r="AD203" s="48" cm="1">
        <f t="array" ref="AD203">(SUMPRODUCT((H203:O203/H$9:O$9)^H$7:O$7*H$3:O$3)+SUMPRODUCT((Q203:T203/Q$9:T$9)^Q$7:T$7*Q$3:T$3))*(0.1^(1-G203))*AD$9</f>
        <v>1.6672352948098239</v>
      </c>
      <c r="AE203" s="48" cm="1">
        <f t="array" ref="AE203">(SUMPRODUCT((H203:O203/H$9:O$9)^H$7:O$7*H$4:O$4)+SUMPRODUCT((Q203:T203/Q$9:T$9)^Q$7:T$7*Q$4:T$4))*AE$9</f>
        <v>1.4983303711454066</v>
      </c>
      <c r="AF203" s="47" cm="1">
        <f t="array" ref="AF203">(SUMPRODUCT((H203:O203/H$9:O$9)^H$7:O$7*H$5:O$5)+SUMPRODUCT((Q203:T203/Q$9:T$9)^Q$7:T$7*Q$5:T$5))*AF$9</f>
        <v>1.4561791457344913</v>
      </c>
      <c r="AG203" s="50" cm="1">
        <f t="array" ref="AG203">SUMPRODUCT(AC203:AF203 * AC$3:AF$3) / SUM(AC$3:AF$3)</f>
        <v>1.5867961100744594</v>
      </c>
    </row>
    <row r="204" spans="1:33" x14ac:dyDescent="0.25">
      <c r="A204" s="81" t="s">
        <v>1538</v>
      </c>
      <c r="B204" s="20" t="s">
        <v>1540</v>
      </c>
      <c r="C204" s="4" t="s">
        <v>8853</v>
      </c>
      <c r="D204" s="4" t="str">
        <f t="shared" si="3"/>
        <v>GIGABYTE</v>
      </c>
      <c r="E204" s="4" t="s">
        <v>8855</v>
      </c>
      <c r="F204" s="14" t="s">
        <v>8873</v>
      </c>
      <c r="G204" s="9">
        <v>1</v>
      </c>
      <c r="H204" s="1">
        <v>15.67</v>
      </c>
      <c r="I204" s="1">
        <v>15.67</v>
      </c>
      <c r="J204" s="1">
        <v>0.24</v>
      </c>
      <c r="K204" s="3">
        <v>2125</v>
      </c>
      <c r="L204" s="13">
        <v>2550</v>
      </c>
      <c r="M204" s="49">
        <v>58.6</v>
      </c>
      <c r="N204" s="1">
        <v>175.7</v>
      </c>
      <c r="O204" s="3">
        <v>24</v>
      </c>
      <c r="P204" s="11" t="s">
        <v>2275</v>
      </c>
      <c r="Q204" s="3">
        <v>8</v>
      </c>
      <c r="R204" s="3">
        <v>128</v>
      </c>
      <c r="S204" s="22">
        <v>17</v>
      </c>
      <c r="T204" s="9">
        <v>115</v>
      </c>
      <c r="U204" s="14" t="s">
        <v>446</v>
      </c>
      <c r="V204" s="12">
        <v>4</v>
      </c>
      <c r="W204" s="75">
        <v>16</v>
      </c>
      <c r="X204" s="76">
        <v>8</v>
      </c>
      <c r="Y204" s="9">
        <v>331.59</v>
      </c>
      <c r="Z204" s="3">
        <v>481.39</v>
      </c>
      <c r="AA204" s="17" t="s">
        <v>1539</v>
      </c>
      <c r="AB204" s="18" t="s">
        <v>1538</v>
      </c>
      <c r="AC204" s="46" cm="1">
        <f t="array" ref="AC204">(SUMPRODUCT((H204:O204/H$9:O$9)^H$7:O$7*H$2:O$2)+SUMPRODUCT((Q204:T204/Q$9:T$9)^Q$7:T$7*Q$2:T$2))*(0.8^(1-G204))*AC$9</f>
        <v>1.515481731303725</v>
      </c>
      <c r="AD204" s="48" cm="1">
        <f t="array" ref="AD204">(SUMPRODUCT((H204:O204/H$9:O$9)^H$7:O$7*H$3:O$3)+SUMPRODUCT((Q204:T204/Q$9:T$9)^Q$7:T$7*Q$3:T$3))*(0.1^(1-G204))*AD$9</f>
        <v>1.6838954190151916</v>
      </c>
      <c r="AE204" s="48" cm="1">
        <f t="array" ref="AE204">(SUMPRODUCT((H204:O204/H$9:O$9)^H$7:O$7*H$4:O$4)+SUMPRODUCT((Q204:T204/Q$9:T$9)^Q$7:T$7*Q$4:T$4))*AE$9</f>
        <v>1.5032660326722977</v>
      </c>
      <c r="AF204" s="47" cm="1">
        <f t="array" ref="AF204">(SUMPRODUCT((H204:O204/H$9:O$9)^H$7:O$7*H$5:O$5)+SUMPRODUCT((Q204:T204/Q$9:T$9)^Q$7:T$7*Q$5:T$5))*AF$9</f>
        <v>1.466484762187509</v>
      </c>
      <c r="AG204" s="50" cm="1">
        <f t="array" ref="AG204">SUMPRODUCT(AC204:AF204 * AC$3:AF$3) / SUM(AC$3:AF$3)</f>
        <v>1.5995214297761229</v>
      </c>
    </row>
    <row r="205" spans="1:33" x14ac:dyDescent="0.25">
      <c r="A205" s="81" t="s">
        <v>1535</v>
      </c>
      <c r="B205" s="20" t="s">
        <v>1537</v>
      </c>
      <c r="C205" s="4" t="s">
        <v>8853</v>
      </c>
      <c r="D205" s="4" t="str">
        <f t="shared" si="3"/>
        <v>GIGABYTE</v>
      </c>
      <c r="E205" s="4" t="s">
        <v>8855</v>
      </c>
      <c r="F205" s="14" t="s">
        <v>8873</v>
      </c>
      <c r="G205" s="9">
        <v>1</v>
      </c>
      <c r="H205" s="1">
        <v>15.21</v>
      </c>
      <c r="I205" s="1">
        <v>15.21</v>
      </c>
      <c r="J205" s="1">
        <v>0.24</v>
      </c>
      <c r="K205" s="3">
        <v>2125</v>
      </c>
      <c r="L205" s="13">
        <v>2475</v>
      </c>
      <c r="M205" s="49">
        <v>58.6</v>
      </c>
      <c r="N205" s="1">
        <v>175.7</v>
      </c>
      <c r="O205" s="3">
        <v>24</v>
      </c>
      <c r="P205" s="11" t="s">
        <v>2275</v>
      </c>
      <c r="Q205" s="3">
        <v>8</v>
      </c>
      <c r="R205" s="3">
        <v>128</v>
      </c>
      <c r="S205" s="22">
        <v>17</v>
      </c>
      <c r="T205" s="9">
        <v>115</v>
      </c>
      <c r="U205" s="14" t="s">
        <v>446</v>
      </c>
      <c r="V205" s="12">
        <v>4</v>
      </c>
      <c r="W205" s="75">
        <v>16</v>
      </c>
      <c r="X205" s="76">
        <v>8</v>
      </c>
      <c r="Y205" s="9">
        <v>329.9</v>
      </c>
      <c r="Z205" s="3">
        <v>472</v>
      </c>
      <c r="AA205" s="17" t="s">
        <v>1536</v>
      </c>
      <c r="AB205" s="18" t="s">
        <v>1535</v>
      </c>
      <c r="AC205" s="46" cm="1">
        <f t="array" ref="AC205">(SUMPRODUCT((H205:O205/H$9:O$9)^H$7:O$7*H$2:O$2)+SUMPRODUCT((Q205:T205/Q$9:T$9)^Q$7:T$7*Q$2:T$2))*(0.8^(1-G205))*AC$9</f>
        <v>1.5034769104469872</v>
      </c>
      <c r="AD205" s="48" cm="1">
        <f t="array" ref="AD205">(SUMPRODUCT((H205:O205/H$9:O$9)^H$7:O$7*H$3:O$3)+SUMPRODUCT((Q205:T205/Q$9:T$9)^Q$7:T$7*Q$3:T$3))*(0.1^(1-G205))*AD$9</f>
        <v>1.656478329309647</v>
      </c>
      <c r="AE205" s="48" cm="1">
        <f t="array" ref="AE205">(SUMPRODUCT((H205:O205/H$9:O$9)^H$7:O$7*H$4:O$4)+SUMPRODUCT((Q205:T205/Q$9:T$9)^Q$7:T$7*Q$4:T$4))*AE$9</f>
        <v>1.4951527108019516</v>
      </c>
      <c r="AF205" s="47" cm="1">
        <f t="array" ref="AF205">(SUMPRODUCT((H205:O205/H$9:O$9)^H$7:O$7*H$5:O$5)+SUMPRODUCT((Q205:T205/Q$9:T$9)^Q$7:T$7*Q$5:T$5))*AF$9</f>
        <v>1.4494903057395501</v>
      </c>
      <c r="AG205" s="50" cm="1">
        <f t="array" ref="AG205">SUMPRODUCT(AC205:AF205 * AC$3:AF$3) / SUM(AC$3:AF$3)</f>
        <v>1.5785550201811103</v>
      </c>
    </row>
    <row r="206" spans="1:33" x14ac:dyDescent="0.25">
      <c r="A206" s="81" t="s">
        <v>1499</v>
      </c>
      <c r="B206" s="20" t="s">
        <v>1501</v>
      </c>
      <c r="C206" s="4" t="s">
        <v>8853</v>
      </c>
      <c r="D206" s="4" t="str">
        <f t="shared" si="3"/>
        <v>GIGABYTE</v>
      </c>
      <c r="E206" s="4" t="s">
        <v>8855</v>
      </c>
      <c r="F206" s="14" t="s">
        <v>8873</v>
      </c>
      <c r="G206" s="9">
        <v>1</v>
      </c>
      <c r="H206" s="1">
        <v>15.21</v>
      </c>
      <c r="I206" s="1">
        <v>15.21</v>
      </c>
      <c r="J206" s="1">
        <v>0.24</v>
      </c>
      <c r="K206" s="3">
        <v>2125</v>
      </c>
      <c r="L206" s="13">
        <v>2475</v>
      </c>
      <c r="M206" s="49">
        <v>58.6</v>
      </c>
      <c r="N206" s="1">
        <v>175.7</v>
      </c>
      <c r="O206" s="3">
        <v>24</v>
      </c>
      <c r="P206" s="11" t="s">
        <v>2275</v>
      </c>
      <c r="Q206" s="3">
        <v>8</v>
      </c>
      <c r="R206" s="3">
        <v>128</v>
      </c>
      <c r="S206" s="22">
        <v>17</v>
      </c>
      <c r="T206" s="9">
        <v>115</v>
      </c>
      <c r="U206" s="14" t="s">
        <v>446</v>
      </c>
      <c r="V206" s="12">
        <v>4</v>
      </c>
      <c r="W206" s="75">
        <v>16</v>
      </c>
      <c r="X206" s="76">
        <v>8</v>
      </c>
      <c r="Y206" s="9">
        <v>301.89999999999998</v>
      </c>
      <c r="Z206" s="3">
        <v>431.32</v>
      </c>
      <c r="AA206" s="17" t="s">
        <v>1500</v>
      </c>
      <c r="AB206" s="18" t="s">
        <v>1499</v>
      </c>
      <c r="AC206" s="46" cm="1">
        <f t="array" ref="AC206">(SUMPRODUCT((H206:O206/H$9:O$9)^H$7:O$7*H$2:O$2)+SUMPRODUCT((Q206:T206/Q$9:T$9)^Q$7:T$7*Q$2:T$2))*(0.8^(1-G206))*AC$9</f>
        <v>1.5034769104469872</v>
      </c>
      <c r="AD206" s="48" cm="1">
        <f t="array" ref="AD206">(SUMPRODUCT((H206:O206/H$9:O$9)^H$7:O$7*H$3:O$3)+SUMPRODUCT((Q206:T206/Q$9:T$9)^Q$7:T$7*Q$3:T$3))*(0.1^(1-G206))*AD$9</f>
        <v>1.656478329309647</v>
      </c>
      <c r="AE206" s="48" cm="1">
        <f t="array" ref="AE206">(SUMPRODUCT((H206:O206/H$9:O$9)^H$7:O$7*H$4:O$4)+SUMPRODUCT((Q206:T206/Q$9:T$9)^Q$7:T$7*Q$4:T$4))*AE$9</f>
        <v>1.4951527108019516</v>
      </c>
      <c r="AF206" s="47" cm="1">
        <f t="array" ref="AF206">(SUMPRODUCT((H206:O206/H$9:O$9)^H$7:O$7*H$5:O$5)+SUMPRODUCT((Q206:T206/Q$9:T$9)^Q$7:T$7*Q$5:T$5))*AF$9</f>
        <v>1.4494903057395501</v>
      </c>
      <c r="AG206" s="50" cm="1">
        <f t="array" ref="AG206">SUMPRODUCT(AC206:AF206 * AC$3:AF$3) / SUM(AC$3:AF$3)</f>
        <v>1.5785550201811103</v>
      </c>
    </row>
    <row r="207" spans="1:33" x14ac:dyDescent="0.25">
      <c r="A207" s="81" t="s">
        <v>1268</v>
      </c>
      <c r="B207" s="20" t="s">
        <v>1270</v>
      </c>
      <c r="C207" s="4" t="s">
        <v>8853</v>
      </c>
      <c r="D207" s="4" t="str">
        <f t="shared" si="3"/>
        <v>INNO3D</v>
      </c>
      <c r="E207" s="4" t="s">
        <v>8855</v>
      </c>
      <c r="F207" s="14" t="s">
        <v>8873</v>
      </c>
      <c r="G207" s="9">
        <v>1</v>
      </c>
      <c r="H207" s="1">
        <v>15.3</v>
      </c>
      <c r="I207" s="1">
        <v>15.3</v>
      </c>
      <c r="J207" s="1">
        <v>0.24</v>
      </c>
      <c r="K207" s="3">
        <v>2125</v>
      </c>
      <c r="L207" s="13">
        <v>2490</v>
      </c>
      <c r="M207" s="49">
        <v>58.6</v>
      </c>
      <c r="N207" s="1">
        <v>175.7</v>
      </c>
      <c r="O207" s="3">
        <v>24</v>
      </c>
      <c r="P207" s="11" t="s">
        <v>2275</v>
      </c>
      <c r="Q207" s="3">
        <v>8</v>
      </c>
      <c r="R207" s="3">
        <v>128</v>
      </c>
      <c r="S207" s="22">
        <v>17</v>
      </c>
      <c r="T207" s="9">
        <v>115</v>
      </c>
      <c r="U207" s="14" t="s">
        <v>446</v>
      </c>
      <c r="V207" s="12">
        <v>4</v>
      </c>
      <c r="W207" s="75">
        <v>16</v>
      </c>
      <c r="X207" s="76">
        <v>8</v>
      </c>
      <c r="Y207" s="9">
        <v>325.54000000000002</v>
      </c>
      <c r="Z207" s="3">
        <v>441.39</v>
      </c>
      <c r="AA207" s="17" t="s">
        <v>1269</v>
      </c>
      <c r="AB207" s="18" t="s">
        <v>1268</v>
      </c>
      <c r="AC207" s="46" cm="1">
        <f t="array" ref="AC207">(SUMPRODUCT((H207:O207/H$9:O$9)^H$7:O$7*H$2:O$2)+SUMPRODUCT((Q207:T207/Q$9:T$9)^Q$7:T$7*Q$2:T$2))*(0.8^(1-G207))*AC$9</f>
        <v>1.5058689807197654</v>
      </c>
      <c r="AD207" s="48" cm="1">
        <f t="array" ref="AD207">(SUMPRODUCT((H207:O207/H$9:O$9)^H$7:O$7*H$3:O$3)+SUMPRODUCT((Q207:T207/Q$9:T$9)^Q$7:T$7*Q$3:T$3))*(0.1^(1-G207))*AD$9</f>
        <v>1.661858821278456</v>
      </c>
      <c r="AE207" s="48" cm="1">
        <f t="array" ref="AE207">(SUMPRODUCT((H207:O207/H$9:O$9)^H$7:O$7*H$4:O$4)+SUMPRODUCT((Q207:T207/Q$9:T$9)^Q$7:T$7*Q$4:T$4))*AE$9</f>
        <v>1.4967420082794871</v>
      </c>
      <c r="AF207" s="47" cm="1">
        <f t="array" ref="AF207">(SUMPRODUCT((H207:O207/H$9:O$9)^H$7:O$7*H$5:O$5)+SUMPRODUCT((Q207:T207/Q$9:T$9)^Q$7:T$7*Q$5:T$5))*AF$9</f>
        <v>1.4528357854510441</v>
      </c>
      <c r="AG207" s="50" cm="1">
        <f t="array" ref="AG207">SUMPRODUCT(AC207:AF207 * AC$3:AF$3) / SUM(AC$3:AF$3)</f>
        <v>1.5826770293253312</v>
      </c>
    </row>
    <row r="208" spans="1:33" x14ac:dyDescent="0.25">
      <c r="A208" s="81" t="s">
        <v>1244</v>
      </c>
      <c r="B208" s="20" t="s">
        <v>1246</v>
      </c>
      <c r="C208" s="4" t="s">
        <v>8853</v>
      </c>
      <c r="D208" s="4" t="str">
        <f t="shared" si="3"/>
        <v>INNO3D</v>
      </c>
      <c r="E208" s="4" t="s">
        <v>8855</v>
      </c>
      <c r="F208" s="14" t="s">
        <v>8873</v>
      </c>
      <c r="G208" s="9">
        <v>1</v>
      </c>
      <c r="H208" s="1">
        <v>15.3</v>
      </c>
      <c r="I208" s="1">
        <v>15.3</v>
      </c>
      <c r="J208" s="1">
        <v>0.24</v>
      </c>
      <c r="K208" s="3">
        <v>2125</v>
      </c>
      <c r="L208" s="13">
        <v>2490</v>
      </c>
      <c r="M208" s="49">
        <v>58.6</v>
      </c>
      <c r="N208" s="1">
        <v>175.7</v>
      </c>
      <c r="O208" s="3">
        <v>24</v>
      </c>
      <c r="P208" s="11" t="s">
        <v>2275</v>
      </c>
      <c r="Q208" s="3">
        <v>8</v>
      </c>
      <c r="R208" s="3">
        <v>128</v>
      </c>
      <c r="S208" s="22">
        <v>17</v>
      </c>
      <c r="T208" s="9">
        <v>115</v>
      </c>
      <c r="U208" s="14" t="s">
        <v>446</v>
      </c>
      <c r="V208" s="12">
        <v>4</v>
      </c>
      <c r="W208" s="75">
        <v>16</v>
      </c>
      <c r="X208" s="76">
        <v>8</v>
      </c>
      <c r="Y208" s="9">
        <v>335.99</v>
      </c>
      <c r="Z208" s="3">
        <v>454</v>
      </c>
      <c r="AA208" s="17" t="s">
        <v>1245</v>
      </c>
      <c r="AB208" s="18" t="s">
        <v>1244</v>
      </c>
      <c r="AC208" s="46" cm="1">
        <f t="array" ref="AC208">(SUMPRODUCT((H208:O208/H$9:O$9)^H$7:O$7*H$2:O$2)+SUMPRODUCT((Q208:T208/Q$9:T$9)^Q$7:T$7*Q$2:T$2))*(0.8^(1-G208))*AC$9</f>
        <v>1.5058689807197654</v>
      </c>
      <c r="AD208" s="48" cm="1">
        <f t="array" ref="AD208">(SUMPRODUCT((H208:O208/H$9:O$9)^H$7:O$7*H$3:O$3)+SUMPRODUCT((Q208:T208/Q$9:T$9)^Q$7:T$7*Q$3:T$3))*(0.1^(1-G208))*AD$9</f>
        <v>1.661858821278456</v>
      </c>
      <c r="AE208" s="48" cm="1">
        <f t="array" ref="AE208">(SUMPRODUCT((H208:O208/H$9:O$9)^H$7:O$7*H$4:O$4)+SUMPRODUCT((Q208:T208/Q$9:T$9)^Q$7:T$7*Q$4:T$4))*AE$9</f>
        <v>1.4967420082794871</v>
      </c>
      <c r="AF208" s="47" cm="1">
        <f t="array" ref="AF208">(SUMPRODUCT((H208:O208/H$9:O$9)^H$7:O$7*H$5:O$5)+SUMPRODUCT((Q208:T208/Q$9:T$9)^Q$7:T$7*Q$5:T$5))*AF$9</f>
        <v>1.4528357854510441</v>
      </c>
      <c r="AG208" s="50" cm="1">
        <f t="array" ref="AG208">SUMPRODUCT(AC208:AF208 * AC$3:AF$3) / SUM(AC$3:AF$3)</f>
        <v>1.5826770293253312</v>
      </c>
    </row>
    <row r="209" spans="1:33" x14ac:dyDescent="0.25">
      <c r="A209" s="81" t="s">
        <v>1241</v>
      </c>
      <c r="B209" s="20" t="s">
        <v>1243</v>
      </c>
      <c r="C209" s="4" t="s">
        <v>8853</v>
      </c>
      <c r="D209" s="4" t="str">
        <f t="shared" si="3"/>
        <v>INNO3D</v>
      </c>
      <c r="E209" s="4" t="s">
        <v>8855</v>
      </c>
      <c r="F209" s="14" t="s">
        <v>8873</v>
      </c>
      <c r="G209" s="9">
        <v>1</v>
      </c>
      <c r="H209" s="1">
        <v>15.3</v>
      </c>
      <c r="I209" s="1">
        <v>15.3</v>
      </c>
      <c r="J209" s="1">
        <v>0.24</v>
      </c>
      <c r="K209" s="3">
        <v>2125</v>
      </c>
      <c r="L209" s="13">
        <v>2490</v>
      </c>
      <c r="M209" s="49">
        <v>58.6</v>
      </c>
      <c r="N209" s="1">
        <v>175.7</v>
      </c>
      <c r="O209" s="3">
        <v>24</v>
      </c>
      <c r="P209" s="11" t="s">
        <v>2275</v>
      </c>
      <c r="Q209" s="3">
        <v>8</v>
      </c>
      <c r="R209" s="3">
        <v>128</v>
      </c>
      <c r="S209" s="22">
        <v>17</v>
      </c>
      <c r="T209" s="9">
        <v>115</v>
      </c>
      <c r="U209" s="14" t="s">
        <v>446</v>
      </c>
      <c r="V209" s="12">
        <v>4</v>
      </c>
      <c r="W209" s="75">
        <v>16</v>
      </c>
      <c r="X209" s="76">
        <v>8</v>
      </c>
      <c r="Y209" s="9">
        <v>327.24</v>
      </c>
      <c r="Z209" s="3">
        <v>663.13</v>
      </c>
      <c r="AA209" s="17" t="s">
        <v>1242</v>
      </c>
      <c r="AB209" s="18" t="s">
        <v>1241</v>
      </c>
      <c r="AC209" s="46" cm="1">
        <f t="array" ref="AC209">(SUMPRODUCT((H209:O209/H$9:O$9)^H$7:O$7*H$2:O$2)+SUMPRODUCT((Q209:T209/Q$9:T$9)^Q$7:T$7*Q$2:T$2))*(0.8^(1-G209))*AC$9</f>
        <v>1.5058689807197654</v>
      </c>
      <c r="AD209" s="48" cm="1">
        <f t="array" ref="AD209">(SUMPRODUCT((H209:O209/H$9:O$9)^H$7:O$7*H$3:O$3)+SUMPRODUCT((Q209:T209/Q$9:T$9)^Q$7:T$7*Q$3:T$3))*(0.1^(1-G209))*AD$9</f>
        <v>1.661858821278456</v>
      </c>
      <c r="AE209" s="48" cm="1">
        <f t="array" ref="AE209">(SUMPRODUCT((H209:O209/H$9:O$9)^H$7:O$7*H$4:O$4)+SUMPRODUCT((Q209:T209/Q$9:T$9)^Q$7:T$7*Q$4:T$4))*AE$9</f>
        <v>1.4967420082794871</v>
      </c>
      <c r="AF209" s="47" cm="1">
        <f t="array" ref="AF209">(SUMPRODUCT((H209:O209/H$9:O$9)^H$7:O$7*H$5:O$5)+SUMPRODUCT((Q209:T209/Q$9:T$9)^Q$7:T$7*Q$5:T$5))*AF$9</f>
        <v>1.4528357854510441</v>
      </c>
      <c r="AG209" s="50" cm="1">
        <f t="array" ref="AG209">SUMPRODUCT(AC209:AF209 * AC$3:AF$3) / SUM(AC$3:AF$3)</f>
        <v>1.5826770293253312</v>
      </c>
    </row>
    <row r="210" spans="1:33" x14ac:dyDescent="0.25">
      <c r="A210" s="81" t="s">
        <v>1236</v>
      </c>
      <c r="B210" s="20" t="s">
        <v>1238</v>
      </c>
      <c r="C210" s="4" t="s">
        <v>8853</v>
      </c>
      <c r="D210" s="4" t="str">
        <f t="shared" si="3"/>
        <v>INNO3D</v>
      </c>
      <c r="E210" s="4" t="s">
        <v>8855</v>
      </c>
      <c r="F210" s="14" t="s">
        <v>8873</v>
      </c>
      <c r="G210" s="9">
        <v>1</v>
      </c>
      <c r="H210" s="1">
        <v>15.11</v>
      </c>
      <c r="I210" s="1">
        <v>15.11</v>
      </c>
      <c r="J210" s="1">
        <v>0.24</v>
      </c>
      <c r="K210" s="3">
        <v>2125</v>
      </c>
      <c r="L210" s="13">
        <v>2460</v>
      </c>
      <c r="M210" s="49">
        <v>58.6</v>
      </c>
      <c r="N210" s="1">
        <v>175.7</v>
      </c>
      <c r="O210" s="3">
        <v>24</v>
      </c>
      <c r="P210" s="11" t="s">
        <v>2275</v>
      </c>
      <c r="Q210" s="3">
        <v>8</v>
      </c>
      <c r="R210" s="3">
        <v>128</v>
      </c>
      <c r="S210" s="22">
        <v>17</v>
      </c>
      <c r="T210" s="9">
        <v>115</v>
      </c>
      <c r="U210" s="14" t="s">
        <v>446</v>
      </c>
      <c r="V210" s="12">
        <v>4</v>
      </c>
      <c r="W210" s="75">
        <v>16</v>
      </c>
      <c r="X210" s="76">
        <v>8</v>
      </c>
      <c r="Y210" s="9">
        <v>309.89999999999998</v>
      </c>
      <c r="Z210" s="3">
        <v>384.13</v>
      </c>
      <c r="AA210" s="17" t="s">
        <v>1237</v>
      </c>
      <c r="AB210" s="18" t="s">
        <v>1236</v>
      </c>
      <c r="AC210" s="46" cm="1">
        <f t="array" ref="AC210">(SUMPRODUCT((H210:O210/H$9:O$9)^H$7:O$7*H$2:O$2)+SUMPRODUCT((Q210:T210/Q$9:T$9)^Q$7:T$7*Q$2:T$2))*(0.8^(1-G210))*AC$9</f>
        <v>1.5010244804348885</v>
      </c>
      <c r="AD210" s="48" cm="1">
        <f t="array" ref="AD210">(SUMPRODUCT((H210:O210/H$9:O$9)^H$7:O$7*H$3:O$3)+SUMPRODUCT((Q210:T210/Q$9:T$9)^Q$7:T$7*Q$3:T$3))*(0.1^(1-G210))*AD$9</f>
        <v>1.6505366827573136</v>
      </c>
      <c r="AE210" s="48" cm="1">
        <f t="array" ref="AE210">(SUMPRODUCT((H210:O210/H$9:O$9)^H$7:O$7*H$4:O$4)+SUMPRODUCT((Q210:T210/Q$9:T$9)^Q$7:T$7*Q$4:T$4))*AE$9</f>
        <v>1.4933857211625887</v>
      </c>
      <c r="AF210" s="47" cm="1">
        <f t="array" ref="AF210">(SUMPRODUCT((H210:O210/H$9:O$9)^H$7:O$7*H$5:O$5)+SUMPRODUCT((Q210:T210/Q$9:T$9)^Q$7:T$7*Q$5:T$5))*AF$9</f>
        <v>1.4458534505552438</v>
      </c>
      <c r="AG210" s="50" cm="1">
        <f t="array" ref="AG210">SUMPRODUCT(AC210:AF210 * AC$3:AF$3) / SUM(AC$3:AF$3)</f>
        <v>1.5740428923815948</v>
      </c>
    </row>
    <row r="211" spans="1:33" x14ac:dyDescent="0.25">
      <c r="A211" s="81" t="s">
        <v>1236</v>
      </c>
      <c r="B211" s="20" t="s">
        <v>1240</v>
      </c>
      <c r="C211" s="4" t="s">
        <v>8853</v>
      </c>
      <c r="D211" s="4" t="str">
        <f t="shared" si="3"/>
        <v>INNO3D</v>
      </c>
      <c r="E211" s="4" t="s">
        <v>8855</v>
      </c>
      <c r="F211" s="14" t="s">
        <v>8873</v>
      </c>
      <c r="G211" s="9">
        <v>1</v>
      </c>
      <c r="H211" s="1">
        <v>15.11</v>
      </c>
      <c r="I211" s="1">
        <v>15.11</v>
      </c>
      <c r="J211" s="1">
        <v>0.24</v>
      </c>
      <c r="K211" s="3">
        <v>2125</v>
      </c>
      <c r="L211" s="13">
        <v>2460</v>
      </c>
      <c r="M211" s="49">
        <v>58.6</v>
      </c>
      <c r="N211" s="1">
        <v>175.7</v>
      </c>
      <c r="O211" s="3">
        <v>24</v>
      </c>
      <c r="P211" s="11" t="s">
        <v>2275</v>
      </c>
      <c r="Q211" s="3">
        <v>8</v>
      </c>
      <c r="R211" s="3">
        <v>128</v>
      </c>
      <c r="S211" s="22">
        <v>17</v>
      </c>
      <c r="T211" s="9">
        <v>115</v>
      </c>
      <c r="U211" s="14" t="s">
        <v>446</v>
      </c>
      <c r="V211" s="12">
        <v>4</v>
      </c>
      <c r="W211" s="75">
        <v>16</v>
      </c>
      <c r="X211" s="76">
        <v>8</v>
      </c>
      <c r="Y211" s="9">
        <v>315</v>
      </c>
      <c r="Z211" s="3">
        <v>662.55</v>
      </c>
      <c r="AA211" s="17" t="s">
        <v>1239</v>
      </c>
      <c r="AB211" s="18" t="s">
        <v>1236</v>
      </c>
      <c r="AC211" s="46" cm="1">
        <f t="array" ref="AC211">(SUMPRODUCT((H211:O211/H$9:O$9)^H$7:O$7*H$2:O$2)+SUMPRODUCT((Q211:T211/Q$9:T$9)^Q$7:T$7*Q$2:T$2))*(0.8^(1-G211))*AC$9</f>
        <v>1.5010244804348885</v>
      </c>
      <c r="AD211" s="48" cm="1">
        <f t="array" ref="AD211">(SUMPRODUCT((H211:O211/H$9:O$9)^H$7:O$7*H$3:O$3)+SUMPRODUCT((Q211:T211/Q$9:T$9)^Q$7:T$7*Q$3:T$3))*(0.1^(1-G211))*AD$9</f>
        <v>1.6505366827573136</v>
      </c>
      <c r="AE211" s="48" cm="1">
        <f t="array" ref="AE211">(SUMPRODUCT((H211:O211/H$9:O$9)^H$7:O$7*H$4:O$4)+SUMPRODUCT((Q211:T211/Q$9:T$9)^Q$7:T$7*Q$4:T$4))*AE$9</f>
        <v>1.4933857211625887</v>
      </c>
      <c r="AF211" s="47" cm="1">
        <f t="array" ref="AF211">(SUMPRODUCT((H211:O211/H$9:O$9)^H$7:O$7*H$5:O$5)+SUMPRODUCT((Q211:T211/Q$9:T$9)^Q$7:T$7*Q$5:T$5))*AF$9</f>
        <v>1.4458534505552438</v>
      </c>
      <c r="AG211" s="50" cm="1">
        <f t="array" ref="AG211">SUMPRODUCT(AC211:AF211 * AC$3:AF$3) / SUM(AC$3:AF$3)</f>
        <v>1.5740428923815948</v>
      </c>
    </row>
    <row r="212" spans="1:33" x14ac:dyDescent="0.25">
      <c r="A212" s="81" t="s">
        <v>1071</v>
      </c>
      <c r="B212" s="20" t="s">
        <v>1073</v>
      </c>
      <c r="C212" s="4" t="s">
        <v>8853</v>
      </c>
      <c r="D212" s="4" t="str">
        <f t="shared" si="3"/>
        <v>MSI</v>
      </c>
      <c r="E212" s="4" t="s">
        <v>8855</v>
      </c>
      <c r="F212" s="14" t="s">
        <v>8873</v>
      </c>
      <c r="G212" s="9">
        <v>1</v>
      </c>
      <c r="H212" s="1">
        <v>15.39</v>
      </c>
      <c r="I212" s="1">
        <v>15.39</v>
      </c>
      <c r="J212" s="1">
        <v>0.24</v>
      </c>
      <c r="K212" s="3">
        <v>2125</v>
      </c>
      <c r="L212" s="13">
        <v>2505</v>
      </c>
      <c r="M212" s="49">
        <v>58.6</v>
      </c>
      <c r="N212" s="1">
        <v>175.7</v>
      </c>
      <c r="O212" s="3">
        <v>24</v>
      </c>
      <c r="P212" s="11" t="s">
        <v>2275</v>
      </c>
      <c r="Q212" s="3">
        <v>8</v>
      </c>
      <c r="R212" s="3">
        <v>128</v>
      </c>
      <c r="S212" s="22">
        <v>17</v>
      </c>
      <c r="T212" s="9">
        <v>115</v>
      </c>
      <c r="U212" s="14" t="s">
        <v>446</v>
      </c>
      <c r="V212" s="12">
        <v>4</v>
      </c>
      <c r="W212" s="75">
        <v>16</v>
      </c>
      <c r="X212" s="76">
        <v>8</v>
      </c>
      <c r="Y212" s="9">
        <v>341.77</v>
      </c>
      <c r="Z212" s="3">
        <v>481</v>
      </c>
      <c r="AA212" s="17" t="s">
        <v>1072</v>
      </c>
      <c r="AB212" s="18" t="s">
        <v>1071</v>
      </c>
      <c r="AC212" s="46" cm="1">
        <f t="array" ref="AC212">(SUMPRODUCT((H212:O212/H$9:O$9)^H$7:O$7*H$2:O$2)+SUMPRODUCT((Q212:T212/Q$9:T$9)^Q$7:T$7*Q$2:T$2))*(0.8^(1-G212))*AC$9</f>
        <v>1.5082596179159138</v>
      </c>
      <c r="AD212" s="48" cm="1">
        <f t="array" ref="AD212">(SUMPRODUCT((H212:O212/H$9:O$9)^H$7:O$7*H$3:O$3)+SUMPRODUCT((Q212:T212/Q$9:T$9)^Q$7:T$7*Q$3:T$3))*(0.1^(1-G212))*AD$9</f>
        <v>1.6672352948098239</v>
      </c>
      <c r="AE212" s="48" cm="1">
        <f t="array" ref="AE212">(SUMPRODUCT((H212:O212/H$9:O$9)^H$7:O$7*H$4:O$4)+SUMPRODUCT((Q212:T212/Q$9:T$9)^Q$7:T$7*Q$4:T$4))*AE$9</f>
        <v>1.4983303711454066</v>
      </c>
      <c r="AF212" s="47" cm="1">
        <f t="array" ref="AF212">(SUMPRODUCT((H212:O212/H$9:O$9)^H$7:O$7*H$5:O$5)+SUMPRODUCT((Q212:T212/Q$9:T$9)^Q$7:T$7*Q$5:T$5))*AF$9</f>
        <v>1.4561791457344913</v>
      </c>
      <c r="AG212" s="50" cm="1">
        <f t="array" ref="AG212">SUMPRODUCT(AC212:AF212 * AC$3:AF$3) / SUM(AC$3:AF$3)</f>
        <v>1.5867961100744594</v>
      </c>
    </row>
    <row r="213" spans="1:33" x14ac:dyDescent="0.25">
      <c r="A213" s="81" t="s">
        <v>1068</v>
      </c>
      <c r="B213" s="20" t="s">
        <v>1070</v>
      </c>
      <c r="C213" s="4" t="s">
        <v>8853</v>
      </c>
      <c r="D213" s="4" t="str">
        <f t="shared" si="3"/>
        <v>MSI</v>
      </c>
      <c r="E213" s="4" t="s">
        <v>8855</v>
      </c>
      <c r="F213" s="14" t="s">
        <v>8873</v>
      </c>
      <c r="G213" s="9">
        <v>1</v>
      </c>
      <c r="H213" s="1">
        <v>16.04</v>
      </c>
      <c r="I213" s="1">
        <v>16.04</v>
      </c>
      <c r="J213" s="1">
        <v>0.25</v>
      </c>
      <c r="K213" s="3">
        <v>2125</v>
      </c>
      <c r="L213" s="13">
        <v>2610</v>
      </c>
      <c r="M213" s="49">
        <v>58.6</v>
      </c>
      <c r="N213" s="1">
        <v>175.7</v>
      </c>
      <c r="O213" s="3">
        <v>24</v>
      </c>
      <c r="P213" s="11" t="s">
        <v>2275</v>
      </c>
      <c r="Q213" s="3">
        <v>8</v>
      </c>
      <c r="R213" s="3">
        <v>128</v>
      </c>
      <c r="S213" s="22">
        <v>17</v>
      </c>
      <c r="T213" s="9">
        <v>115</v>
      </c>
      <c r="U213" s="14" t="s">
        <v>446</v>
      </c>
      <c r="V213" s="12">
        <v>4</v>
      </c>
      <c r="W213" s="75">
        <v>16</v>
      </c>
      <c r="X213" s="76">
        <v>8</v>
      </c>
      <c r="Y213" s="9">
        <v>726.24</v>
      </c>
      <c r="Z213" s="3">
        <v>726.24</v>
      </c>
      <c r="AA213" s="17" t="s">
        <v>1069</v>
      </c>
      <c r="AB213" s="18" t="s">
        <v>1068</v>
      </c>
      <c r="AC213" s="46" cm="1">
        <f t="array" ref="AC213">(SUMPRODUCT((H213:O213/H$9:O$9)^H$7:O$7*H$2:O$2)+SUMPRODUCT((Q213:T213/Q$9:T$9)^Q$7:T$7*Q$2:T$2))*(0.8^(1-G213))*AC$9</f>
        <v>1.5250718701304677</v>
      </c>
      <c r="AD213" s="48" cm="1">
        <f t="array" ref="AD213">(SUMPRODUCT((H213:O213/H$9:O$9)^H$7:O$7*H$3:O$3)+SUMPRODUCT((Q213:T213/Q$9:T$9)^Q$7:T$7*Q$3:T$3))*(0.1^(1-G213))*AD$9</f>
        <v>1.7089643761379913</v>
      </c>
      <c r="AE213" s="48" cm="1">
        <f t="array" ref="AE213">(SUMPRODUCT((H213:O213/H$9:O$9)^H$7:O$7*H$4:O$4)+SUMPRODUCT((Q213:T213/Q$9:T$9)^Q$7:T$7*Q$4:T$4))*AE$9</f>
        <v>1.5314625892114826</v>
      </c>
      <c r="AF213" s="47" cm="1">
        <f t="array" ref="AF213">(SUMPRODUCT((H213:O213/H$9:O$9)^H$7:O$7*H$5:O$5)+SUMPRODUCT((Q213:T213/Q$9:T$9)^Q$7:T$7*Q$5:T$5))*AF$9</f>
        <v>1.4800992452536534</v>
      </c>
      <c r="AG213" s="50" cm="1">
        <f t="array" ref="AG213">SUMPRODUCT(AC213:AF213 * AC$3:AF$3) / SUM(AC$3:AF$3)</f>
        <v>1.6204490158864024</v>
      </c>
    </row>
    <row r="214" spans="1:33" x14ac:dyDescent="0.25">
      <c r="A214" s="81" t="s">
        <v>1065</v>
      </c>
      <c r="B214" s="20" t="s">
        <v>1067</v>
      </c>
      <c r="C214" s="4" t="s">
        <v>8853</v>
      </c>
      <c r="D214" s="4" t="str">
        <f t="shared" si="3"/>
        <v>MSI</v>
      </c>
      <c r="E214" s="4" t="s">
        <v>8855</v>
      </c>
      <c r="F214" s="14" t="s">
        <v>8873</v>
      </c>
      <c r="G214" s="9">
        <v>1</v>
      </c>
      <c r="H214" s="1">
        <v>16.04</v>
      </c>
      <c r="I214" s="1">
        <v>16.04</v>
      </c>
      <c r="J214" s="1">
        <v>0.25</v>
      </c>
      <c r="K214" s="3">
        <v>2125</v>
      </c>
      <c r="L214" s="13">
        <v>2610</v>
      </c>
      <c r="M214" s="49">
        <v>58.6</v>
      </c>
      <c r="N214" s="1">
        <v>175.7</v>
      </c>
      <c r="O214" s="3">
        <v>24</v>
      </c>
      <c r="P214" s="11" t="s">
        <v>2275</v>
      </c>
      <c r="Q214" s="3">
        <v>8</v>
      </c>
      <c r="R214" s="3">
        <v>128</v>
      </c>
      <c r="S214" s="22">
        <v>17</v>
      </c>
      <c r="T214" s="9">
        <v>115</v>
      </c>
      <c r="U214" s="14" t="s">
        <v>446</v>
      </c>
      <c r="V214" s="12">
        <v>4</v>
      </c>
      <c r="W214" s="75">
        <v>16</v>
      </c>
      <c r="X214" s="76">
        <v>8</v>
      </c>
      <c r="Y214" s="9">
        <v>718</v>
      </c>
      <c r="Z214" s="3">
        <v>763.7</v>
      </c>
      <c r="AA214" s="17" t="s">
        <v>1066</v>
      </c>
      <c r="AB214" s="18" t="s">
        <v>1065</v>
      </c>
      <c r="AC214" s="46" cm="1">
        <f t="array" ref="AC214">(SUMPRODUCT((H214:O214/H$9:O$9)^H$7:O$7*H$2:O$2)+SUMPRODUCT((Q214:T214/Q$9:T$9)^Q$7:T$7*Q$2:T$2))*(0.8^(1-G214))*AC$9</f>
        <v>1.5250718701304677</v>
      </c>
      <c r="AD214" s="48" cm="1">
        <f t="array" ref="AD214">(SUMPRODUCT((H214:O214/H$9:O$9)^H$7:O$7*H$3:O$3)+SUMPRODUCT((Q214:T214/Q$9:T$9)^Q$7:T$7*Q$3:T$3))*(0.1^(1-G214))*AD$9</f>
        <v>1.7089643761379913</v>
      </c>
      <c r="AE214" s="48" cm="1">
        <f t="array" ref="AE214">(SUMPRODUCT((H214:O214/H$9:O$9)^H$7:O$7*H$4:O$4)+SUMPRODUCT((Q214:T214/Q$9:T$9)^Q$7:T$7*Q$4:T$4))*AE$9</f>
        <v>1.5314625892114826</v>
      </c>
      <c r="AF214" s="47" cm="1">
        <f t="array" ref="AF214">(SUMPRODUCT((H214:O214/H$9:O$9)^H$7:O$7*H$5:O$5)+SUMPRODUCT((Q214:T214/Q$9:T$9)^Q$7:T$7*Q$5:T$5))*AF$9</f>
        <v>1.4800992452536534</v>
      </c>
      <c r="AG214" s="50" cm="1">
        <f t="array" ref="AG214">SUMPRODUCT(AC214:AF214 * AC$3:AF$3) / SUM(AC$3:AF$3)</f>
        <v>1.6204490158864024</v>
      </c>
    </row>
    <row r="215" spans="1:33" x14ac:dyDescent="0.25">
      <c r="A215" s="81" t="s">
        <v>1024</v>
      </c>
      <c r="B215" s="20" t="s">
        <v>1026</v>
      </c>
      <c r="C215" s="4" t="s">
        <v>8853</v>
      </c>
      <c r="D215" s="4" t="str">
        <f t="shared" si="3"/>
        <v>MSI</v>
      </c>
      <c r="E215" s="4" t="s">
        <v>8855</v>
      </c>
      <c r="F215" s="14" t="s">
        <v>8873</v>
      </c>
      <c r="G215" s="9">
        <v>1</v>
      </c>
      <c r="H215" s="1">
        <v>15.39</v>
      </c>
      <c r="I215" s="1">
        <v>15.39</v>
      </c>
      <c r="J215" s="1">
        <v>0.24</v>
      </c>
      <c r="K215" s="3">
        <v>2125</v>
      </c>
      <c r="L215" s="13">
        <v>2490</v>
      </c>
      <c r="M215" s="49">
        <v>58.6</v>
      </c>
      <c r="N215" s="1">
        <v>175.7</v>
      </c>
      <c r="O215" s="3">
        <v>24</v>
      </c>
      <c r="P215" s="11" t="s">
        <v>2275</v>
      </c>
      <c r="Q215" s="3">
        <v>8</v>
      </c>
      <c r="R215" s="3">
        <v>128</v>
      </c>
      <c r="S215" s="22">
        <v>17</v>
      </c>
      <c r="T215" s="9">
        <v>115</v>
      </c>
      <c r="U215" s="14" t="s">
        <v>446</v>
      </c>
      <c r="V215" s="12">
        <v>4</v>
      </c>
      <c r="W215" s="75">
        <v>16</v>
      </c>
      <c r="X215" s="76">
        <v>8</v>
      </c>
      <c r="Y215" s="9">
        <v>311.89</v>
      </c>
      <c r="Z215" s="3">
        <v>550</v>
      </c>
      <c r="AA215" s="17" t="s">
        <v>1025</v>
      </c>
      <c r="AB215" s="18" t="s">
        <v>1024</v>
      </c>
      <c r="AC215" s="46" cm="1">
        <f t="array" ref="AC215">(SUMPRODUCT((H215:O215/H$9:O$9)^H$7:O$7*H$2:O$2)+SUMPRODUCT((Q215:T215/Q$9:T$9)^Q$7:T$7*Q$2:T$2))*(0.8^(1-G215))*AC$9</f>
        <v>1.5063984350084052</v>
      </c>
      <c r="AD215" s="48" cm="1">
        <f t="array" ref="AD215">(SUMPRODUCT((H215:O215/H$9:O$9)^H$7:O$7*H$3:O$3)+SUMPRODUCT((Q215:T215/Q$9:T$9)^Q$7:T$7*Q$3:T$3))*(0.1^(1-G215))*AD$9</f>
        <v>1.6668630582283219</v>
      </c>
      <c r="AE215" s="48" cm="1">
        <f t="array" ref="AE215">(SUMPRODUCT((H215:O215/H$9:O$9)^H$7:O$7*H$4:O$4)+SUMPRODUCT((Q215:T215/Q$9:T$9)^Q$7:T$7*Q$4:T$4))*AE$9</f>
        <v>1.4983303711454066</v>
      </c>
      <c r="AF215" s="47" cm="1">
        <f t="array" ref="AF215">(SUMPRODUCT((H215:O215/H$9:O$9)^H$7:O$7*H$5:O$5)+SUMPRODUCT((Q215:T215/Q$9:T$9)^Q$7:T$7*Q$5:T$5))*AF$9</f>
        <v>1.4554346725714882</v>
      </c>
      <c r="AG215" s="50" cm="1">
        <f t="array" ref="AG215">SUMPRODUCT(AC215:AF215 * AC$3:AF$3) / SUM(AC$3:AF$3)</f>
        <v>1.5861550359618728</v>
      </c>
    </row>
    <row r="216" spans="1:33" x14ac:dyDescent="0.25">
      <c r="A216" s="81" t="s">
        <v>1021</v>
      </c>
      <c r="B216" s="20" t="s">
        <v>1023</v>
      </c>
      <c r="C216" s="4" t="s">
        <v>8853</v>
      </c>
      <c r="D216" s="4" t="str">
        <f t="shared" si="3"/>
        <v>MSI</v>
      </c>
      <c r="E216" s="4" t="s">
        <v>8855</v>
      </c>
      <c r="F216" s="14" t="s">
        <v>8873</v>
      </c>
      <c r="G216" s="9">
        <v>1</v>
      </c>
      <c r="H216" s="1">
        <v>15.39</v>
      </c>
      <c r="I216" s="1">
        <v>15.39</v>
      </c>
      <c r="J216" s="1">
        <v>0.24</v>
      </c>
      <c r="K216" s="3">
        <v>2125</v>
      </c>
      <c r="L216" s="13">
        <v>2490</v>
      </c>
      <c r="M216" s="49">
        <v>58.6</v>
      </c>
      <c r="N216" s="1">
        <v>175.7</v>
      </c>
      <c r="O216" s="3">
        <v>24</v>
      </c>
      <c r="P216" s="11" t="s">
        <v>2275</v>
      </c>
      <c r="Q216" s="3">
        <v>8</v>
      </c>
      <c r="R216" s="3">
        <v>128</v>
      </c>
      <c r="S216" s="22">
        <v>17</v>
      </c>
      <c r="T216" s="9">
        <v>115</v>
      </c>
      <c r="U216" s="14" t="s">
        <v>446</v>
      </c>
      <c r="V216" s="12">
        <v>4</v>
      </c>
      <c r="W216" s="75">
        <v>16</v>
      </c>
      <c r="X216" s="76">
        <v>8</v>
      </c>
      <c r="Y216" s="9">
        <v>329.13</v>
      </c>
      <c r="Z216" s="3">
        <v>447</v>
      </c>
      <c r="AA216" s="17" t="s">
        <v>1022</v>
      </c>
      <c r="AB216" s="18" t="s">
        <v>1021</v>
      </c>
      <c r="AC216" s="46" cm="1">
        <f t="array" ref="AC216">(SUMPRODUCT((H216:O216/H$9:O$9)^H$7:O$7*H$2:O$2)+SUMPRODUCT((Q216:T216/Q$9:T$9)^Q$7:T$7*Q$2:T$2))*(0.8^(1-G216))*AC$9</f>
        <v>1.5063984350084052</v>
      </c>
      <c r="AD216" s="48" cm="1">
        <f t="array" ref="AD216">(SUMPRODUCT((H216:O216/H$9:O$9)^H$7:O$7*H$3:O$3)+SUMPRODUCT((Q216:T216/Q$9:T$9)^Q$7:T$7*Q$3:T$3))*(0.1^(1-G216))*AD$9</f>
        <v>1.6668630582283219</v>
      </c>
      <c r="AE216" s="48" cm="1">
        <f t="array" ref="AE216">(SUMPRODUCT((H216:O216/H$9:O$9)^H$7:O$7*H$4:O$4)+SUMPRODUCT((Q216:T216/Q$9:T$9)^Q$7:T$7*Q$4:T$4))*AE$9</f>
        <v>1.4983303711454066</v>
      </c>
      <c r="AF216" s="47" cm="1">
        <f t="array" ref="AF216">(SUMPRODUCT((H216:O216/H$9:O$9)^H$7:O$7*H$5:O$5)+SUMPRODUCT((Q216:T216/Q$9:T$9)^Q$7:T$7*Q$5:T$5))*AF$9</f>
        <v>1.4554346725714882</v>
      </c>
      <c r="AG216" s="50" cm="1">
        <f t="array" ref="AG216">SUMPRODUCT(AC216:AF216 * AC$3:AF$3) / SUM(AC$3:AF$3)</f>
        <v>1.5861550359618728</v>
      </c>
    </row>
    <row r="217" spans="1:33" x14ac:dyDescent="0.25">
      <c r="A217" s="81" t="s">
        <v>739</v>
      </c>
      <c r="B217" s="20" t="s">
        <v>741</v>
      </c>
      <c r="C217" s="4" t="s">
        <v>8853</v>
      </c>
      <c r="D217" s="4" t="str">
        <f t="shared" si="3"/>
        <v>Palit</v>
      </c>
      <c r="E217" s="4" t="s">
        <v>8855</v>
      </c>
      <c r="F217" s="14" t="s">
        <v>8873</v>
      </c>
      <c r="G217" s="9">
        <v>1</v>
      </c>
      <c r="H217" s="1">
        <v>15.11</v>
      </c>
      <c r="I217" s="1">
        <v>15.11</v>
      </c>
      <c r="J217" s="1">
        <v>0.24</v>
      </c>
      <c r="K217" s="3">
        <v>2125</v>
      </c>
      <c r="L217" s="13">
        <v>2460</v>
      </c>
      <c r="M217" s="49">
        <v>58.6</v>
      </c>
      <c r="N217" s="1">
        <v>175.7</v>
      </c>
      <c r="O217" s="3">
        <v>24</v>
      </c>
      <c r="P217" s="11" t="s">
        <v>2275</v>
      </c>
      <c r="Q217" s="3">
        <v>8</v>
      </c>
      <c r="R217" s="3">
        <v>128</v>
      </c>
      <c r="S217" s="22">
        <v>17</v>
      </c>
      <c r="T217" s="9">
        <v>115</v>
      </c>
      <c r="U217" s="14" t="s">
        <v>446</v>
      </c>
      <c r="V217" s="12">
        <v>4</v>
      </c>
      <c r="W217" s="75">
        <v>16</v>
      </c>
      <c r="X217" s="76">
        <v>8</v>
      </c>
      <c r="Y217" s="9">
        <v>664.31</v>
      </c>
      <c r="Z217" s="3">
        <v>664.31</v>
      </c>
      <c r="AA217" s="17" t="s">
        <v>740</v>
      </c>
      <c r="AB217" s="18" t="s">
        <v>739</v>
      </c>
      <c r="AC217" s="46" cm="1">
        <f t="array" ref="AC217">(SUMPRODUCT((H217:O217/H$9:O$9)^H$7:O$7*H$2:O$2)+SUMPRODUCT((Q217:T217/Q$9:T$9)^Q$7:T$7*Q$2:T$2))*(0.8^(1-G217))*AC$9</f>
        <v>1.5010244804348885</v>
      </c>
      <c r="AD217" s="48" cm="1">
        <f t="array" ref="AD217">(SUMPRODUCT((H217:O217/H$9:O$9)^H$7:O$7*H$3:O$3)+SUMPRODUCT((Q217:T217/Q$9:T$9)^Q$7:T$7*Q$3:T$3))*(0.1^(1-G217))*AD$9</f>
        <v>1.6505366827573136</v>
      </c>
      <c r="AE217" s="48" cm="1">
        <f t="array" ref="AE217">(SUMPRODUCT((H217:O217/H$9:O$9)^H$7:O$7*H$4:O$4)+SUMPRODUCT((Q217:T217/Q$9:T$9)^Q$7:T$7*Q$4:T$4))*AE$9</f>
        <v>1.4933857211625887</v>
      </c>
      <c r="AF217" s="47" cm="1">
        <f t="array" ref="AF217">(SUMPRODUCT((H217:O217/H$9:O$9)^H$7:O$7*H$5:O$5)+SUMPRODUCT((Q217:T217/Q$9:T$9)^Q$7:T$7*Q$5:T$5))*AF$9</f>
        <v>1.4458534505552438</v>
      </c>
      <c r="AG217" s="50" cm="1">
        <f t="array" ref="AG217">SUMPRODUCT(AC217:AF217 * AC$3:AF$3) / SUM(AC$3:AF$3)</f>
        <v>1.5740428923815948</v>
      </c>
    </row>
    <row r="218" spans="1:33" x14ac:dyDescent="0.25">
      <c r="A218" s="81" t="s">
        <v>736</v>
      </c>
      <c r="B218" s="20" t="s">
        <v>738</v>
      </c>
      <c r="C218" s="4" t="s">
        <v>8853</v>
      </c>
      <c r="D218" s="4" t="str">
        <f t="shared" si="3"/>
        <v>Palit</v>
      </c>
      <c r="E218" s="4" t="s">
        <v>8855</v>
      </c>
      <c r="F218" s="14" t="s">
        <v>8873</v>
      </c>
      <c r="G218" s="9">
        <v>1</v>
      </c>
      <c r="H218" s="1">
        <v>15.76</v>
      </c>
      <c r="I218" s="1">
        <v>15.76</v>
      </c>
      <c r="J218" s="1">
        <v>0.25</v>
      </c>
      <c r="K218" s="3">
        <v>2125</v>
      </c>
      <c r="L218" s="13">
        <v>2565</v>
      </c>
      <c r="M218" s="49">
        <v>58.6</v>
      </c>
      <c r="N218" s="1">
        <v>175.7</v>
      </c>
      <c r="O218" s="3">
        <v>24</v>
      </c>
      <c r="P218" s="11" t="s">
        <v>2275</v>
      </c>
      <c r="Q218" s="3">
        <v>8</v>
      </c>
      <c r="R218" s="3">
        <v>128</v>
      </c>
      <c r="S218" s="22">
        <v>17</v>
      </c>
      <c r="T218" s="9">
        <v>115</v>
      </c>
      <c r="U218" s="14" t="s">
        <v>446</v>
      </c>
      <c r="V218" s="12">
        <v>4</v>
      </c>
      <c r="W218" s="75">
        <v>16</v>
      </c>
      <c r="X218" s="76">
        <v>8</v>
      </c>
      <c r="Y218" s="9">
        <v>387.76</v>
      </c>
      <c r="Z218" s="3">
        <v>387.76</v>
      </c>
      <c r="AA218" s="17" t="s">
        <v>737</v>
      </c>
      <c r="AB218" s="18" t="s">
        <v>736</v>
      </c>
      <c r="AC218" s="46" cm="1">
        <f t="array" ref="AC218">(SUMPRODUCT((H218:O218/H$9:O$9)^H$7:O$7*H$2:O$2)+SUMPRODUCT((Q218:T218/Q$9:T$9)^Q$7:T$7*Q$2:T$2))*(0.8^(1-G218))*AC$9</f>
        <v>1.5178666953012079</v>
      </c>
      <c r="AD218" s="48" cm="1">
        <f t="array" ref="AD218">(SUMPRODUCT((H218:O218/H$9:O$9)^H$7:O$7*H$3:O$3)+SUMPRODUCT((Q218:T218/Q$9:T$9)^Q$7:T$7*Q$3:T$3))*(0.1^(1-G218))*AD$9</f>
        <v>1.6923539468824256</v>
      </c>
      <c r="AE218" s="48" cm="1">
        <f t="array" ref="AE218">(SUMPRODUCT((H218:O218/H$9:O$9)^H$7:O$7*H$4:O$4)+SUMPRODUCT((Q218:T218/Q$9:T$9)^Q$7:T$7*Q$4:T$4))*AE$9</f>
        <v>1.5265385355994772</v>
      </c>
      <c r="AF218" s="47" cm="1">
        <f t="array" ref="AF218">(SUMPRODUCT((H218:O218/H$9:O$9)^H$7:O$7*H$5:O$5)+SUMPRODUCT((Q218:T218/Q$9:T$9)^Q$7:T$7*Q$5:T$5))*AF$9</f>
        <v>1.4698196010351254</v>
      </c>
      <c r="AG218" s="50" cm="1">
        <f t="array" ref="AG218">SUMPRODUCT(AC218:AF218 * AC$3:AF$3) / SUM(AC$3:AF$3)</f>
        <v>1.607759746057345</v>
      </c>
    </row>
    <row r="219" spans="1:33" x14ac:dyDescent="0.25">
      <c r="A219" s="81" t="s">
        <v>733</v>
      </c>
      <c r="B219" s="20" t="s">
        <v>735</v>
      </c>
      <c r="C219" s="4" t="s">
        <v>8853</v>
      </c>
      <c r="D219" s="4" t="str">
        <f t="shared" si="3"/>
        <v>Palit</v>
      </c>
      <c r="E219" s="4" t="s">
        <v>8855</v>
      </c>
      <c r="F219" s="14" t="s">
        <v>8873</v>
      </c>
      <c r="G219" s="9">
        <v>1</v>
      </c>
      <c r="H219" s="1">
        <v>15.11</v>
      </c>
      <c r="I219" s="1">
        <v>15.11</v>
      </c>
      <c r="J219" s="1">
        <v>0.24</v>
      </c>
      <c r="K219" s="3">
        <v>2125</v>
      </c>
      <c r="L219" s="13">
        <v>2460</v>
      </c>
      <c r="M219" s="49">
        <v>58.6</v>
      </c>
      <c r="N219" s="1">
        <v>175.7</v>
      </c>
      <c r="O219" s="3">
        <v>24</v>
      </c>
      <c r="P219" s="11" t="s">
        <v>2275</v>
      </c>
      <c r="Q219" s="3">
        <v>8</v>
      </c>
      <c r="R219" s="3">
        <v>128</v>
      </c>
      <c r="S219" s="22">
        <v>17</v>
      </c>
      <c r="T219" s="9">
        <v>115</v>
      </c>
      <c r="U219" s="14" t="s">
        <v>446</v>
      </c>
      <c r="V219" s="12">
        <v>4</v>
      </c>
      <c r="W219" s="75">
        <v>16</v>
      </c>
      <c r="X219" s="76">
        <v>8</v>
      </c>
      <c r="Y219" s="9">
        <v>314.64</v>
      </c>
      <c r="Z219" s="3">
        <v>396.63</v>
      </c>
      <c r="AA219" s="17" t="s">
        <v>734</v>
      </c>
      <c r="AB219" s="18" t="s">
        <v>733</v>
      </c>
      <c r="AC219" s="46" cm="1">
        <f t="array" ref="AC219">(SUMPRODUCT((H219:O219/H$9:O$9)^H$7:O$7*H$2:O$2)+SUMPRODUCT((Q219:T219/Q$9:T$9)^Q$7:T$7*Q$2:T$2))*(0.8^(1-G219))*AC$9</f>
        <v>1.5010244804348885</v>
      </c>
      <c r="AD219" s="48" cm="1">
        <f t="array" ref="AD219">(SUMPRODUCT((H219:O219/H$9:O$9)^H$7:O$7*H$3:O$3)+SUMPRODUCT((Q219:T219/Q$9:T$9)^Q$7:T$7*Q$3:T$3))*(0.1^(1-G219))*AD$9</f>
        <v>1.6505366827573136</v>
      </c>
      <c r="AE219" s="48" cm="1">
        <f t="array" ref="AE219">(SUMPRODUCT((H219:O219/H$9:O$9)^H$7:O$7*H$4:O$4)+SUMPRODUCT((Q219:T219/Q$9:T$9)^Q$7:T$7*Q$4:T$4))*AE$9</f>
        <v>1.4933857211625887</v>
      </c>
      <c r="AF219" s="47" cm="1">
        <f t="array" ref="AF219">(SUMPRODUCT((H219:O219/H$9:O$9)^H$7:O$7*H$5:O$5)+SUMPRODUCT((Q219:T219/Q$9:T$9)^Q$7:T$7*Q$5:T$5))*AF$9</f>
        <v>1.4458534505552438</v>
      </c>
      <c r="AG219" s="50" cm="1">
        <f t="array" ref="AG219">SUMPRODUCT(AC219:AF219 * AC$3:AF$3) / SUM(AC$3:AF$3)</f>
        <v>1.5740428923815948</v>
      </c>
    </row>
    <row r="220" spans="1:33" x14ac:dyDescent="0.25">
      <c r="A220" s="81" t="s">
        <v>730</v>
      </c>
      <c r="B220" s="20" t="s">
        <v>732</v>
      </c>
      <c r="C220" s="4" t="s">
        <v>8853</v>
      </c>
      <c r="D220" s="4" t="str">
        <f t="shared" si="3"/>
        <v>Palit</v>
      </c>
      <c r="E220" s="4" t="s">
        <v>8855</v>
      </c>
      <c r="F220" s="14" t="s">
        <v>8873</v>
      </c>
      <c r="G220" s="9">
        <v>1</v>
      </c>
      <c r="H220" s="1">
        <v>15.11</v>
      </c>
      <c r="I220" s="1">
        <v>15.11</v>
      </c>
      <c r="J220" s="1">
        <v>0.24</v>
      </c>
      <c r="K220" s="3">
        <v>2125</v>
      </c>
      <c r="L220" s="13">
        <v>2460</v>
      </c>
      <c r="M220" s="49">
        <v>58.6</v>
      </c>
      <c r="N220" s="1">
        <v>175.7</v>
      </c>
      <c r="O220" s="3">
        <v>24</v>
      </c>
      <c r="P220" s="11" t="s">
        <v>2275</v>
      </c>
      <c r="Q220" s="3">
        <v>8</v>
      </c>
      <c r="R220" s="3">
        <v>128</v>
      </c>
      <c r="S220" s="22">
        <v>17</v>
      </c>
      <c r="T220" s="9">
        <v>115</v>
      </c>
      <c r="U220" s="14" t="s">
        <v>446</v>
      </c>
      <c r="V220" s="12">
        <v>4</v>
      </c>
      <c r="W220" s="75">
        <v>16</v>
      </c>
      <c r="X220" s="76">
        <v>8</v>
      </c>
      <c r="Y220" s="9">
        <v>320.19</v>
      </c>
      <c r="Z220" s="3">
        <v>385</v>
      </c>
      <c r="AA220" s="17" t="s">
        <v>731</v>
      </c>
      <c r="AB220" s="18" t="s">
        <v>730</v>
      </c>
      <c r="AC220" s="46" cm="1">
        <f t="array" ref="AC220">(SUMPRODUCT((H220:O220/H$9:O$9)^H$7:O$7*H$2:O$2)+SUMPRODUCT((Q220:T220/Q$9:T$9)^Q$7:T$7*Q$2:T$2))*(0.8^(1-G220))*AC$9</f>
        <v>1.5010244804348885</v>
      </c>
      <c r="AD220" s="48" cm="1">
        <f t="array" ref="AD220">(SUMPRODUCT((H220:O220/H$9:O$9)^H$7:O$7*H$3:O$3)+SUMPRODUCT((Q220:T220/Q$9:T$9)^Q$7:T$7*Q$3:T$3))*(0.1^(1-G220))*AD$9</f>
        <v>1.6505366827573136</v>
      </c>
      <c r="AE220" s="48" cm="1">
        <f t="array" ref="AE220">(SUMPRODUCT((H220:O220/H$9:O$9)^H$7:O$7*H$4:O$4)+SUMPRODUCT((Q220:T220/Q$9:T$9)^Q$7:T$7*Q$4:T$4))*AE$9</f>
        <v>1.4933857211625887</v>
      </c>
      <c r="AF220" s="47" cm="1">
        <f t="array" ref="AF220">(SUMPRODUCT((H220:O220/H$9:O$9)^H$7:O$7*H$5:O$5)+SUMPRODUCT((Q220:T220/Q$9:T$9)^Q$7:T$7*Q$5:T$5))*AF$9</f>
        <v>1.4458534505552438</v>
      </c>
      <c r="AG220" s="50" cm="1">
        <f t="array" ref="AG220">SUMPRODUCT(AC220:AF220 * AC$3:AF$3) / SUM(AC$3:AF$3)</f>
        <v>1.5740428923815948</v>
      </c>
    </row>
    <row r="221" spans="1:33" x14ac:dyDescent="0.25">
      <c r="A221" s="81" t="s">
        <v>570</v>
      </c>
      <c r="B221" s="20" t="s">
        <v>572</v>
      </c>
      <c r="C221" s="4" t="s">
        <v>8853</v>
      </c>
      <c r="D221" s="4" t="str">
        <f t="shared" si="3"/>
        <v>Zotac</v>
      </c>
      <c r="E221" s="4" t="s">
        <v>8855</v>
      </c>
      <c r="F221" s="14" t="s">
        <v>8873</v>
      </c>
      <c r="G221" s="9">
        <v>1</v>
      </c>
      <c r="H221" s="1">
        <v>15.11</v>
      </c>
      <c r="I221" s="1">
        <v>15.11</v>
      </c>
      <c r="J221" s="1">
        <v>0.24</v>
      </c>
      <c r="K221" s="3">
        <v>2125</v>
      </c>
      <c r="L221" s="13">
        <v>2460</v>
      </c>
      <c r="M221" s="49">
        <v>58.6</v>
      </c>
      <c r="N221" s="1">
        <v>175.7</v>
      </c>
      <c r="O221" s="3">
        <v>24</v>
      </c>
      <c r="P221" s="11" t="s">
        <v>2275</v>
      </c>
      <c r="Q221" s="3">
        <v>8</v>
      </c>
      <c r="R221" s="3">
        <v>128</v>
      </c>
      <c r="S221" s="22">
        <v>17</v>
      </c>
      <c r="T221" s="9">
        <v>115</v>
      </c>
      <c r="U221" s="14" t="s">
        <v>446</v>
      </c>
      <c r="V221" s="12">
        <v>4</v>
      </c>
      <c r="W221" s="75">
        <v>16</v>
      </c>
      <c r="X221" s="76">
        <v>8</v>
      </c>
      <c r="Y221" s="9">
        <v>331.11</v>
      </c>
      <c r="Z221" s="3">
        <v>420.25</v>
      </c>
      <c r="AA221" s="17" t="s">
        <v>571</v>
      </c>
      <c r="AB221" s="18" t="s">
        <v>570</v>
      </c>
      <c r="AC221" s="46" cm="1">
        <f t="array" ref="AC221">(SUMPRODUCT((H221:O221/H$9:O$9)^H$7:O$7*H$2:O$2)+SUMPRODUCT((Q221:T221/Q$9:T$9)^Q$7:T$7*Q$2:T$2))*(0.8^(1-G221))*AC$9</f>
        <v>1.5010244804348885</v>
      </c>
      <c r="AD221" s="48" cm="1">
        <f t="array" ref="AD221">(SUMPRODUCT((H221:O221/H$9:O$9)^H$7:O$7*H$3:O$3)+SUMPRODUCT((Q221:T221/Q$9:T$9)^Q$7:T$7*Q$3:T$3))*(0.1^(1-G221))*AD$9</f>
        <v>1.6505366827573136</v>
      </c>
      <c r="AE221" s="48" cm="1">
        <f t="array" ref="AE221">(SUMPRODUCT((H221:O221/H$9:O$9)^H$7:O$7*H$4:O$4)+SUMPRODUCT((Q221:T221/Q$9:T$9)^Q$7:T$7*Q$4:T$4))*AE$9</f>
        <v>1.4933857211625887</v>
      </c>
      <c r="AF221" s="47" cm="1">
        <f t="array" ref="AF221">(SUMPRODUCT((H221:O221/H$9:O$9)^H$7:O$7*H$5:O$5)+SUMPRODUCT((Q221:T221/Q$9:T$9)^Q$7:T$7*Q$5:T$5))*AF$9</f>
        <v>1.4458534505552438</v>
      </c>
      <c r="AG221" s="50" cm="1">
        <f t="array" ref="AG221">SUMPRODUCT(AC221:AF221 * AC$3:AF$3) / SUM(AC$3:AF$3)</f>
        <v>1.5740428923815948</v>
      </c>
    </row>
    <row r="222" spans="1:33" x14ac:dyDescent="0.25">
      <c r="A222" s="81" t="s">
        <v>552</v>
      </c>
      <c r="B222" s="20" t="s">
        <v>554</v>
      </c>
      <c r="C222" s="4" t="s">
        <v>8853</v>
      </c>
      <c r="D222" s="4" t="str">
        <f t="shared" si="3"/>
        <v>Zotac</v>
      </c>
      <c r="E222" s="4" t="s">
        <v>8855</v>
      </c>
      <c r="F222" s="14" t="s">
        <v>8873</v>
      </c>
      <c r="G222" s="9">
        <v>1</v>
      </c>
      <c r="H222" s="1">
        <v>15.21</v>
      </c>
      <c r="I222" s="1">
        <v>15.21</v>
      </c>
      <c r="J222" s="1">
        <v>0.24</v>
      </c>
      <c r="K222" s="3">
        <v>2125</v>
      </c>
      <c r="L222" s="13">
        <v>2475</v>
      </c>
      <c r="M222" s="49">
        <v>58.6</v>
      </c>
      <c r="N222" s="1">
        <v>175.7</v>
      </c>
      <c r="O222" s="3">
        <v>24</v>
      </c>
      <c r="P222" s="11" t="s">
        <v>2275</v>
      </c>
      <c r="Q222" s="3">
        <v>8</v>
      </c>
      <c r="R222" s="3">
        <v>128</v>
      </c>
      <c r="S222" s="22">
        <v>17</v>
      </c>
      <c r="T222" s="9">
        <v>115</v>
      </c>
      <c r="U222" s="14" t="s">
        <v>446</v>
      </c>
      <c r="V222" s="12">
        <v>4</v>
      </c>
      <c r="W222" s="75">
        <v>16</v>
      </c>
      <c r="X222" s="76">
        <v>8</v>
      </c>
      <c r="Y222" s="9">
        <v>396.39</v>
      </c>
      <c r="Z222" s="3">
        <v>523.51</v>
      </c>
      <c r="AA222" s="17" t="s">
        <v>553</v>
      </c>
      <c r="AB222" s="18" t="s">
        <v>552</v>
      </c>
      <c r="AC222" s="46" cm="1">
        <f t="array" ref="AC222">(SUMPRODUCT((H222:O222/H$9:O$9)^H$7:O$7*H$2:O$2)+SUMPRODUCT((Q222:T222/Q$9:T$9)^Q$7:T$7*Q$2:T$2))*(0.8^(1-G222))*AC$9</f>
        <v>1.5034769104469872</v>
      </c>
      <c r="AD222" s="48" cm="1">
        <f t="array" ref="AD222">(SUMPRODUCT((H222:O222/H$9:O$9)^H$7:O$7*H$3:O$3)+SUMPRODUCT((Q222:T222/Q$9:T$9)^Q$7:T$7*Q$3:T$3))*(0.1^(1-G222))*AD$9</f>
        <v>1.656478329309647</v>
      </c>
      <c r="AE222" s="48" cm="1">
        <f t="array" ref="AE222">(SUMPRODUCT((H222:O222/H$9:O$9)^H$7:O$7*H$4:O$4)+SUMPRODUCT((Q222:T222/Q$9:T$9)^Q$7:T$7*Q$4:T$4))*AE$9</f>
        <v>1.4951527108019516</v>
      </c>
      <c r="AF222" s="47" cm="1">
        <f t="array" ref="AF222">(SUMPRODUCT((H222:O222/H$9:O$9)^H$7:O$7*H$5:O$5)+SUMPRODUCT((Q222:T222/Q$9:T$9)^Q$7:T$7*Q$5:T$5))*AF$9</f>
        <v>1.4494903057395501</v>
      </c>
      <c r="AG222" s="50" cm="1">
        <f t="array" ref="AG222">SUMPRODUCT(AC222:AF222 * AC$3:AF$3) / SUM(AC$3:AF$3)</f>
        <v>1.5785550201811103</v>
      </c>
    </row>
    <row r="223" spans="1:33" x14ac:dyDescent="0.25">
      <c r="A223" s="81" t="s">
        <v>549</v>
      </c>
      <c r="B223" s="20" t="s">
        <v>551</v>
      </c>
      <c r="C223" s="4" t="s">
        <v>8853</v>
      </c>
      <c r="D223" s="4" t="str">
        <f t="shared" si="3"/>
        <v>Zotac</v>
      </c>
      <c r="E223" s="4" t="s">
        <v>8855</v>
      </c>
      <c r="F223" s="14" t="s">
        <v>8873</v>
      </c>
      <c r="G223" s="9">
        <v>1</v>
      </c>
      <c r="H223" s="1">
        <v>15.3</v>
      </c>
      <c r="I223" s="1">
        <v>15.3</v>
      </c>
      <c r="J223" s="1">
        <v>0.24</v>
      </c>
      <c r="K223" s="3">
        <v>2125</v>
      </c>
      <c r="L223" s="13">
        <v>2490</v>
      </c>
      <c r="M223" s="49">
        <v>58.6</v>
      </c>
      <c r="N223" s="1">
        <v>175.7</v>
      </c>
      <c r="O223" s="3">
        <v>24</v>
      </c>
      <c r="P223" s="11" t="s">
        <v>2275</v>
      </c>
      <c r="Q223" s="3">
        <v>8</v>
      </c>
      <c r="R223" s="3">
        <v>128</v>
      </c>
      <c r="S223" s="22">
        <v>17</v>
      </c>
      <c r="T223" s="9">
        <v>115</v>
      </c>
      <c r="U223" s="14" t="s">
        <v>446</v>
      </c>
      <c r="V223" s="12">
        <v>4</v>
      </c>
      <c r="W223" s="75">
        <v>16</v>
      </c>
      <c r="X223" s="76">
        <v>8</v>
      </c>
      <c r="Y223" s="9">
        <v>339.69</v>
      </c>
      <c r="Z223" s="3">
        <v>424</v>
      </c>
      <c r="AA223" s="17" t="s">
        <v>550</v>
      </c>
      <c r="AB223" s="18" t="s">
        <v>549</v>
      </c>
      <c r="AC223" s="46" cm="1">
        <f t="array" ref="AC223">(SUMPRODUCT((H223:O223/H$9:O$9)^H$7:O$7*H$2:O$2)+SUMPRODUCT((Q223:T223/Q$9:T$9)^Q$7:T$7*Q$2:T$2))*(0.8^(1-G223))*AC$9</f>
        <v>1.5058689807197654</v>
      </c>
      <c r="AD223" s="48" cm="1">
        <f t="array" ref="AD223">(SUMPRODUCT((H223:O223/H$9:O$9)^H$7:O$7*H$3:O$3)+SUMPRODUCT((Q223:T223/Q$9:T$9)^Q$7:T$7*Q$3:T$3))*(0.1^(1-G223))*AD$9</f>
        <v>1.661858821278456</v>
      </c>
      <c r="AE223" s="48" cm="1">
        <f t="array" ref="AE223">(SUMPRODUCT((H223:O223/H$9:O$9)^H$7:O$7*H$4:O$4)+SUMPRODUCT((Q223:T223/Q$9:T$9)^Q$7:T$7*Q$4:T$4))*AE$9</f>
        <v>1.4967420082794871</v>
      </c>
      <c r="AF223" s="47" cm="1">
        <f t="array" ref="AF223">(SUMPRODUCT((H223:O223/H$9:O$9)^H$7:O$7*H$5:O$5)+SUMPRODUCT((Q223:T223/Q$9:T$9)^Q$7:T$7*Q$5:T$5))*AF$9</f>
        <v>1.4528357854510441</v>
      </c>
      <c r="AG223" s="50" cm="1">
        <f t="array" ref="AG223">SUMPRODUCT(AC223:AF223 * AC$3:AF$3) / SUM(AC$3:AF$3)</f>
        <v>1.5826770293253312</v>
      </c>
    </row>
    <row r="224" spans="1:33" x14ac:dyDescent="0.25">
      <c r="A224" s="81" t="s">
        <v>546</v>
      </c>
      <c r="B224" s="20" t="s">
        <v>548</v>
      </c>
      <c r="C224" s="4" t="s">
        <v>8853</v>
      </c>
      <c r="D224" s="4" t="str">
        <f t="shared" si="3"/>
        <v>Zotac</v>
      </c>
      <c r="E224" s="4" t="s">
        <v>8855</v>
      </c>
      <c r="F224" s="14" t="s">
        <v>8873</v>
      </c>
      <c r="G224" s="9">
        <v>1</v>
      </c>
      <c r="H224" s="1">
        <v>15.21</v>
      </c>
      <c r="I224" s="1">
        <v>15.21</v>
      </c>
      <c r="J224" s="1">
        <v>0.24</v>
      </c>
      <c r="K224" s="3">
        <v>2125</v>
      </c>
      <c r="L224" s="13">
        <v>2475</v>
      </c>
      <c r="M224" s="49">
        <v>58.6</v>
      </c>
      <c r="N224" s="1">
        <v>175.7</v>
      </c>
      <c r="O224" s="3">
        <v>24</v>
      </c>
      <c r="P224" s="11" t="s">
        <v>2275</v>
      </c>
      <c r="Q224" s="3">
        <v>8</v>
      </c>
      <c r="R224" s="3">
        <v>128</v>
      </c>
      <c r="S224" s="22">
        <v>17</v>
      </c>
      <c r="T224" s="9">
        <v>115</v>
      </c>
      <c r="U224" s="14" t="s">
        <v>446</v>
      </c>
      <c r="V224" s="12">
        <v>4</v>
      </c>
      <c r="W224" s="75">
        <v>16</v>
      </c>
      <c r="X224" s="76">
        <v>8</v>
      </c>
      <c r="Y224" s="9">
        <v>339</v>
      </c>
      <c r="Z224" s="3">
        <v>661.91</v>
      </c>
      <c r="AA224" s="17" t="s">
        <v>547</v>
      </c>
      <c r="AB224" s="18" t="s">
        <v>546</v>
      </c>
      <c r="AC224" s="46" cm="1">
        <f t="array" ref="AC224">(SUMPRODUCT((H224:O224/H$9:O$9)^H$7:O$7*H$2:O$2)+SUMPRODUCT((Q224:T224/Q$9:T$9)^Q$7:T$7*Q$2:T$2))*(0.8^(1-G224))*AC$9</f>
        <v>1.5034769104469872</v>
      </c>
      <c r="AD224" s="48" cm="1">
        <f t="array" ref="AD224">(SUMPRODUCT((H224:O224/H$9:O$9)^H$7:O$7*H$3:O$3)+SUMPRODUCT((Q224:T224/Q$9:T$9)^Q$7:T$7*Q$3:T$3))*(0.1^(1-G224))*AD$9</f>
        <v>1.656478329309647</v>
      </c>
      <c r="AE224" s="48" cm="1">
        <f t="array" ref="AE224">(SUMPRODUCT((H224:O224/H$9:O$9)^H$7:O$7*H$4:O$4)+SUMPRODUCT((Q224:T224/Q$9:T$9)^Q$7:T$7*Q$4:T$4))*AE$9</f>
        <v>1.4951527108019516</v>
      </c>
      <c r="AF224" s="47" cm="1">
        <f t="array" ref="AF224">(SUMPRODUCT((H224:O224/H$9:O$9)^H$7:O$7*H$5:O$5)+SUMPRODUCT((Q224:T224/Q$9:T$9)^Q$7:T$7*Q$5:T$5))*AF$9</f>
        <v>1.4494903057395501</v>
      </c>
      <c r="AG224" s="50" cm="1">
        <f t="array" ref="AG224">SUMPRODUCT(AC224:AF224 * AC$3:AF$3) / SUM(AC$3:AF$3)</f>
        <v>1.5785550201811103</v>
      </c>
    </row>
    <row r="225" spans="1:33" x14ac:dyDescent="0.25">
      <c r="A225" s="81" t="s">
        <v>543</v>
      </c>
      <c r="B225" s="20" t="s">
        <v>545</v>
      </c>
      <c r="C225" s="4" t="s">
        <v>8853</v>
      </c>
      <c r="D225" s="4" t="str">
        <f t="shared" si="3"/>
        <v>Zotac</v>
      </c>
      <c r="E225" s="4" t="s">
        <v>8855</v>
      </c>
      <c r="F225" s="14" t="s">
        <v>8873</v>
      </c>
      <c r="G225" s="9">
        <v>1</v>
      </c>
      <c r="H225" s="1">
        <v>15.11</v>
      </c>
      <c r="I225" s="1">
        <v>15.11</v>
      </c>
      <c r="J225" s="1">
        <v>0.24</v>
      </c>
      <c r="K225" s="3">
        <v>2125</v>
      </c>
      <c r="L225" s="13">
        <v>2460</v>
      </c>
      <c r="M225" s="49">
        <v>58.6</v>
      </c>
      <c r="N225" s="1">
        <v>175.7</v>
      </c>
      <c r="O225" s="3">
        <v>24</v>
      </c>
      <c r="P225" s="11" t="s">
        <v>2275</v>
      </c>
      <c r="Q225" s="3">
        <v>8</v>
      </c>
      <c r="R225" s="3">
        <v>128</v>
      </c>
      <c r="S225" s="22">
        <v>17</v>
      </c>
      <c r="T225" s="9">
        <v>115</v>
      </c>
      <c r="U225" s="14" t="s">
        <v>446</v>
      </c>
      <c r="V225" s="12">
        <v>4</v>
      </c>
      <c r="W225" s="75">
        <v>16</v>
      </c>
      <c r="X225" s="76">
        <v>8</v>
      </c>
      <c r="Y225" s="9">
        <v>318.88</v>
      </c>
      <c r="Z225" s="3">
        <v>422.65</v>
      </c>
      <c r="AA225" s="17" t="s">
        <v>544</v>
      </c>
      <c r="AB225" s="18" t="s">
        <v>543</v>
      </c>
      <c r="AC225" s="46" cm="1">
        <f t="array" ref="AC225">(SUMPRODUCT((H225:O225/H$9:O$9)^H$7:O$7*H$2:O$2)+SUMPRODUCT((Q225:T225/Q$9:T$9)^Q$7:T$7*Q$2:T$2))*(0.8^(1-G225))*AC$9</f>
        <v>1.5010244804348885</v>
      </c>
      <c r="AD225" s="48" cm="1">
        <f t="array" ref="AD225">(SUMPRODUCT((H225:O225/H$9:O$9)^H$7:O$7*H$3:O$3)+SUMPRODUCT((Q225:T225/Q$9:T$9)^Q$7:T$7*Q$3:T$3))*(0.1^(1-G225))*AD$9</f>
        <v>1.6505366827573136</v>
      </c>
      <c r="AE225" s="48" cm="1">
        <f t="array" ref="AE225">(SUMPRODUCT((H225:O225/H$9:O$9)^H$7:O$7*H$4:O$4)+SUMPRODUCT((Q225:T225/Q$9:T$9)^Q$7:T$7*Q$4:T$4))*AE$9</f>
        <v>1.4933857211625887</v>
      </c>
      <c r="AF225" s="47" cm="1">
        <f t="array" ref="AF225">(SUMPRODUCT((H225:O225/H$9:O$9)^H$7:O$7*H$5:O$5)+SUMPRODUCT((Q225:T225/Q$9:T$9)^Q$7:T$7*Q$5:T$5))*AF$9</f>
        <v>1.4458534505552438</v>
      </c>
      <c r="AG225" s="50" cm="1">
        <f t="array" ref="AG225">SUMPRODUCT(AC225:AF225 * AC$3:AF$3) / SUM(AC$3:AF$3)</f>
        <v>1.5740428923815948</v>
      </c>
    </row>
    <row r="226" spans="1:33" x14ac:dyDescent="0.25">
      <c r="A226" s="81" t="s">
        <v>2174</v>
      </c>
      <c r="B226" s="20" t="s">
        <v>2176</v>
      </c>
      <c r="C226" s="4" t="s">
        <v>8853</v>
      </c>
      <c r="D226" s="4" t="str">
        <f t="shared" si="3"/>
        <v>ASUS</v>
      </c>
      <c r="E226" s="4" t="s">
        <v>8855</v>
      </c>
      <c r="F226" s="14" t="s">
        <v>8874</v>
      </c>
      <c r="G226" s="9">
        <v>1</v>
      </c>
      <c r="H226" s="1">
        <v>22.59</v>
      </c>
      <c r="I226" s="1">
        <v>22.59</v>
      </c>
      <c r="J226" s="1">
        <v>0.35</v>
      </c>
      <c r="K226" s="3">
        <v>2250</v>
      </c>
      <c r="L226" s="13">
        <v>2595</v>
      </c>
      <c r="M226" s="49">
        <v>121.7</v>
      </c>
      <c r="N226" s="1">
        <v>344.8</v>
      </c>
      <c r="O226" s="3">
        <v>30</v>
      </c>
      <c r="P226" s="11" t="s">
        <v>2275</v>
      </c>
      <c r="Q226" s="3">
        <v>8</v>
      </c>
      <c r="R226" s="3">
        <v>128</v>
      </c>
      <c r="S226" s="22">
        <v>18</v>
      </c>
      <c r="T226" s="9">
        <v>160</v>
      </c>
      <c r="U226" s="14" t="s">
        <v>446</v>
      </c>
      <c r="V226" s="12">
        <v>4</v>
      </c>
      <c r="W226" s="75">
        <v>16</v>
      </c>
      <c r="X226" s="76">
        <v>8</v>
      </c>
      <c r="Y226" s="9">
        <v>429.34</v>
      </c>
      <c r="Z226" s="3">
        <v>589.61</v>
      </c>
      <c r="AA226" s="17" t="s">
        <v>2175</v>
      </c>
      <c r="AB226" s="18" t="s">
        <v>2174</v>
      </c>
      <c r="AC226" s="46" cm="1">
        <f t="array" ref="AC226">(SUMPRODUCT((H226:O226/H$9:O$9)^H$7:O$7*H$2:O$2)+SUMPRODUCT((Q226:T226/Q$9:T$9)^Q$7:T$7*Q$2:T$2))*(0.8^(1-G226))*AC$9</f>
        <v>1.8910336773882861</v>
      </c>
      <c r="AD226" s="48" cm="1">
        <f t="array" ref="AD226">(SUMPRODUCT((H226:O226/H$9:O$9)^H$7:O$7*H$3:O$3)+SUMPRODUCT((Q226:T226/Q$9:T$9)^Q$7:T$7*Q$3:T$3))*(0.1^(1-G226))*AD$9</f>
        <v>2.0921320224453974</v>
      </c>
      <c r="AE226" s="48" cm="1">
        <f t="array" ref="AE226">(SUMPRODUCT((H226:O226/H$9:O$9)^H$7:O$7*H$4:O$4)+SUMPRODUCT((Q226:T226/Q$9:T$9)^Q$7:T$7*Q$4:T$4))*AE$9</f>
        <v>1.8615995140919486</v>
      </c>
      <c r="AF226" s="47" cm="1">
        <f t="array" ref="AF226">(SUMPRODUCT((H226:O226/H$9:O$9)^H$7:O$7*H$5:O$5)+SUMPRODUCT((Q226:T226/Q$9:T$9)^Q$7:T$7*Q$5:T$5))*AF$9</f>
        <v>1.8416253459384304</v>
      </c>
      <c r="AG226" s="50" cm="1">
        <f t="array" ref="AG226">SUMPRODUCT(AC226:AF226 * AC$3:AF$3) / SUM(AC$3:AF$3)</f>
        <v>1.9912497957010009</v>
      </c>
    </row>
    <row r="227" spans="1:33" x14ac:dyDescent="0.25">
      <c r="A227" s="81" t="s">
        <v>2171</v>
      </c>
      <c r="B227" s="20" t="s">
        <v>2173</v>
      </c>
      <c r="C227" s="4" t="s">
        <v>8853</v>
      </c>
      <c r="D227" s="4" t="str">
        <f t="shared" si="3"/>
        <v>ASUS</v>
      </c>
      <c r="E227" s="4" t="s">
        <v>8855</v>
      </c>
      <c r="F227" s="14" t="s">
        <v>8874</v>
      </c>
      <c r="G227" s="9">
        <v>1</v>
      </c>
      <c r="H227" s="1">
        <v>22.59</v>
      </c>
      <c r="I227" s="1">
        <v>22.59</v>
      </c>
      <c r="J227" s="1">
        <v>0.35</v>
      </c>
      <c r="K227" s="3">
        <v>2250</v>
      </c>
      <c r="L227" s="13">
        <v>2595</v>
      </c>
      <c r="M227" s="49">
        <v>121.7</v>
      </c>
      <c r="N227" s="1">
        <v>344.8</v>
      </c>
      <c r="O227" s="3">
        <v>30</v>
      </c>
      <c r="P227" s="11" t="s">
        <v>2275</v>
      </c>
      <c r="Q227" s="3">
        <v>8</v>
      </c>
      <c r="R227" s="3">
        <v>128</v>
      </c>
      <c r="S227" s="22">
        <v>18</v>
      </c>
      <c r="T227" s="9">
        <v>160</v>
      </c>
      <c r="U227" s="14" t="s">
        <v>446</v>
      </c>
      <c r="V227" s="12">
        <v>4</v>
      </c>
      <c r="W227" s="75">
        <v>16</v>
      </c>
      <c r="X227" s="76">
        <v>8</v>
      </c>
      <c r="Y227" s="9">
        <v>424.71</v>
      </c>
      <c r="Z227" s="3">
        <v>617.20000000000005</v>
      </c>
      <c r="AA227" s="17" t="s">
        <v>2172</v>
      </c>
      <c r="AB227" s="18" t="s">
        <v>2171</v>
      </c>
      <c r="AC227" s="46" cm="1">
        <f t="array" ref="AC227">(SUMPRODUCT((H227:O227/H$9:O$9)^H$7:O$7*H$2:O$2)+SUMPRODUCT((Q227:T227/Q$9:T$9)^Q$7:T$7*Q$2:T$2))*(0.8^(1-G227))*AC$9</f>
        <v>1.8910336773882861</v>
      </c>
      <c r="AD227" s="48" cm="1">
        <f t="array" ref="AD227">(SUMPRODUCT((H227:O227/H$9:O$9)^H$7:O$7*H$3:O$3)+SUMPRODUCT((Q227:T227/Q$9:T$9)^Q$7:T$7*Q$3:T$3))*(0.1^(1-G227))*AD$9</f>
        <v>2.0921320224453974</v>
      </c>
      <c r="AE227" s="48" cm="1">
        <f t="array" ref="AE227">(SUMPRODUCT((H227:O227/H$9:O$9)^H$7:O$7*H$4:O$4)+SUMPRODUCT((Q227:T227/Q$9:T$9)^Q$7:T$7*Q$4:T$4))*AE$9</f>
        <v>1.8615995140919486</v>
      </c>
      <c r="AF227" s="47" cm="1">
        <f t="array" ref="AF227">(SUMPRODUCT((H227:O227/H$9:O$9)^H$7:O$7*H$5:O$5)+SUMPRODUCT((Q227:T227/Q$9:T$9)^Q$7:T$7*Q$5:T$5))*AF$9</f>
        <v>1.8416253459384304</v>
      </c>
      <c r="AG227" s="50" cm="1">
        <f t="array" ref="AG227">SUMPRODUCT(AC227:AF227 * AC$3:AF$3) / SUM(AC$3:AF$3)</f>
        <v>1.9912497957010009</v>
      </c>
    </row>
    <row r="228" spans="1:33" x14ac:dyDescent="0.25">
      <c r="A228" s="81" t="s">
        <v>2168</v>
      </c>
      <c r="B228" s="20" t="s">
        <v>2170</v>
      </c>
      <c r="C228" s="4" t="s">
        <v>8853</v>
      </c>
      <c r="D228" s="4" t="str">
        <f t="shared" si="3"/>
        <v>ASUS</v>
      </c>
      <c r="E228" s="4" t="s">
        <v>8855</v>
      </c>
      <c r="F228" s="14" t="s">
        <v>8874</v>
      </c>
      <c r="G228" s="9">
        <v>1</v>
      </c>
      <c r="H228" s="1">
        <v>22.33</v>
      </c>
      <c r="I228" s="1">
        <v>22.33</v>
      </c>
      <c r="J228" s="1">
        <v>0.35</v>
      </c>
      <c r="K228" s="3">
        <v>2250</v>
      </c>
      <c r="L228" s="13">
        <v>2565</v>
      </c>
      <c r="M228" s="49">
        <v>121.7</v>
      </c>
      <c r="N228" s="1">
        <v>344.8</v>
      </c>
      <c r="O228" s="3">
        <v>30</v>
      </c>
      <c r="P228" s="11" t="s">
        <v>2275</v>
      </c>
      <c r="Q228" s="3">
        <v>8</v>
      </c>
      <c r="R228" s="3">
        <v>128</v>
      </c>
      <c r="S228" s="22">
        <v>18</v>
      </c>
      <c r="T228" s="9">
        <v>160</v>
      </c>
      <c r="U228" s="14" t="s">
        <v>446</v>
      </c>
      <c r="V228" s="12">
        <v>4</v>
      </c>
      <c r="W228" s="75">
        <v>16</v>
      </c>
      <c r="X228" s="76">
        <v>8</v>
      </c>
      <c r="Y228" s="9">
        <v>479.27</v>
      </c>
      <c r="Z228" s="3">
        <v>791.86</v>
      </c>
      <c r="AA228" s="17" t="s">
        <v>2169</v>
      </c>
      <c r="AB228" s="18" t="s">
        <v>2168</v>
      </c>
      <c r="AC228" s="46" cm="1">
        <f t="array" ref="AC228">(SUMPRODUCT((H228:O228/H$9:O$9)^H$7:O$7*H$2:O$2)+SUMPRODUCT((Q228:T228/Q$9:T$9)^Q$7:T$7*Q$2:T$2))*(0.8^(1-G228))*AC$9</f>
        <v>1.8858510235241903</v>
      </c>
      <c r="AD228" s="48" cm="1">
        <f t="array" ref="AD228">(SUMPRODUCT((H228:O228/H$9:O$9)^H$7:O$7*H$3:O$3)+SUMPRODUCT((Q228:T228/Q$9:T$9)^Q$7:T$7*Q$3:T$3))*(0.1^(1-G228))*AD$9</f>
        <v>2.0776250791731625</v>
      </c>
      <c r="AE228" s="48" cm="1">
        <f t="array" ref="AE228">(SUMPRODUCT((H228:O228/H$9:O$9)^H$7:O$7*H$4:O$4)+SUMPRODUCT((Q228:T228/Q$9:T$9)^Q$7:T$7*Q$4:T$4))*AE$9</f>
        <v>1.8571824217748172</v>
      </c>
      <c r="AF228" s="47" cm="1">
        <f t="array" ref="AF228">(SUMPRODUCT((H228:O228/H$9:O$9)^H$7:O$7*H$5:O$5)+SUMPRODUCT((Q228:T228/Q$9:T$9)^Q$7:T$7*Q$5:T$5))*AF$9</f>
        <v>1.8329392021292819</v>
      </c>
      <c r="AG228" s="50" cm="1">
        <f t="array" ref="AG228">SUMPRODUCT(AC228:AF228 * AC$3:AF$3) / SUM(AC$3:AF$3)</f>
        <v>1.980388128457871</v>
      </c>
    </row>
    <row r="229" spans="1:33" x14ac:dyDescent="0.25">
      <c r="A229" s="81" t="s">
        <v>2165</v>
      </c>
      <c r="B229" s="20" t="s">
        <v>2167</v>
      </c>
      <c r="C229" s="4" t="s">
        <v>8853</v>
      </c>
      <c r="D229" s="4" t="str">
        <f t="shared" si="3"/>
        <v>ASUS</v>
      </c>
      <c r="E229" s="4" t="s">
        <v>8855</v>
      </c>
      <c r="F229" s="14" t="s">
        <v>8874</v>
      </c>
      <c r="G229" s="9">
        <v>1</v>
      </c>
      <c r="H229" s="1">
        <v>22.59</v>
      </c>
      <c r="I229" s="1">
        <v>22.59</v>
      </c>
      <c r="J229" s="1">
        <v>0.35</v>
      </c>
      <c r="K229" s="3">
        <v>2250</v>
      </c>
      <c r="L229" s="13">
        <v>2595</v>
      </c>
      <c r="M229" s="49">
        <v>121.7</v>
      </c>
      <c r="N229" s="1">
        <v>344.8</v>
      </c>
      <c r="O229" s="3">
        <v>30</v>
      </c>
      <c r="P229" s="11" t="s">
        <v>2275</v>
      </c>
      <c r="Q229" s="3">
        <v>8</v>
      </c>
      <c r="R229" s="3">
        <v>128</v>
      </c>
      <c r="S229" s="22">
        <v>18</v>
      </c>
      <c r="T229" s="9">
        <v>160</v>
      </c>
      <c r="U229" s="14" t="s">
        <v>446</v>
      </c>
      <c r="V229" s="12">
        <v>4</v>
      </c>
      <c r="W229" s="75">
        <v>16</v>
      </c>
      <c r="X229" s="76">
        <v>8</v>
      </c>
      <c r="Y229" s="9">
        <v>769</v>
      </c>
      <c r="Z229" s="3">
        <v>769</v>
      </c>
      <c r="AA229" s="17" t="s">
        <v>2166</v>
      </c>
      <c r="AB229" s="18" t="s">
        <v>2165</v>
      </c>
      <c r="AC229" s="46" cm="1">
        <f t="array" ref="AC229">(SUMPRODUCT((H229:O229/H$9:O$9)^H$7:O$7*H$2:O$2)+SUMPRODUCT((Q229:T229/Q$9:T$9)^Q$7:T$7*Q$2:T$2))*(0.8^(1-G229))*AC$9</f>
        <v>1.8910336773882861</v>
      </c>
      <c r="AD229" s="48" cm="1">
        <f t="array" ref="AD229">(SUMPRODUCT((H229:O229/H$9:O$9)^H$7:O$7*H$3:O$3)+SUMPRODUCT((Q229:T229/Q$9:T$9)^Q$7:T$7*Q$3:T$3))*(0.1^(1-G229))*AD$9</f>
        <v>2.0921320224453974</v>
      </c>
      <c r="AE229" s="48" cm="1">
        <f t="array" ref="AE229">(SUMPRODUCT((H229:O229/H$9:O$9)^H$7:O$7*H$4:O$4)+SUMPRODUCT((Q229:T229/Q$9:T$9)^Q$7:T$7*Q$4:T$4))*AE$9</f>
        <v>1.8615995140919486</v>
      </c>
      <c r="AF229" s="47" cm="1">
        <f t="array" ref="AF229">(SUMPRODUCT((H229:O229/H$9:O$9)^H$7:O$7*H$5:O$5)+SUMPRODUCT((Q229:T229/Q$9:T$9)^Q$7:T$7*Q$5:T$5))*AF$9</f>
        <v>1.8416253459384304</v>
      </c>
      <c r="AG229" s="50" cm="1">
        <f t="array" ref="AG229">SUMPRODUCT(AC229:AF229 * AC$3:AF$3) / SUM(AC$3:AF$3)</f>
        <v>1.9912497957010009</v>
      </c>
    </row>
    <row r="230" spans="1:33" x14ac:dyDescent="0.25">
      <c r="A230" s="81" t="s">
        <v>2159</v>
      </c>
      <c r="B230" s="20" t="s">
        <v>2161</v>
      </c>
      <c r="C230" s="4" t="s">
        <v>8853</v>
      </c>
      <c r="D230" s="4" t="str">
        <f t="shared" si="3"/>
        <v>ASUS</v>
      </c>
      <c r="E230" s="4" t="s">
        <v>8855</v>
      </c>
      <c r="F230" s="14" t="s">
        <v>8874</v>
      </c>
      <c r="G230" s="9">
        <v>1</v>
      </c>
      <c r="H230" s="1">
        <v>22.59</v>
      </c>
      <c r="I230" s="1">
        <v>22.59</v>
      </c>
      <c r="J230" s="1">
        <v>0.35</v>
      </c>
      <c r="K230" s="3">
        <v>2250</v>
      </c>
      <c r="L230" s="13">
        <v>2595</v>
      </c>
      <c r="M230" s="49">
        <v>121.7</v>
      </c>
      <c r="N230" s="1">
        <v>344.8</v>
      </c>
      <c r="O230" s="3">
        <v>30</v>
      </c>
      <c r="P230" s="11" t="s">
        <v>2275</v>
      </c>
      <c r="Q230" s="3">
        <v>8</v>
      </c>
      <c r="R230" s="3">
        <v>128</v>
      </c>
      <c r="S230" s="22">
        <v>18</v>
      </c>
      <c r="T230" s="9">
        <v>160</v>
      </c>
      <c r="U230" s="14" t="s">
        <v>446</v>
      </c>
      <c r="V230" s="12">
        <v>4</v>
      </c>
      <c r="W230" s="75">
        <v>16</v>
      </c>
      <c r="X230" s="76">
        <v>8</v>
      </c>
      <c r="Y230" s="9">
        <v>499</v>
      </c>
      <c r="Z230" s="3">
        <v>965.06</v>
      </c>
      <c r="AA230" s="17" t="s">
        <v>2160</v>
      </c>
      <c r="AB230" s="18" t="s">
        <v>2159</v>
      </c>
      <c r="AC230" s="46" cm="1">
        <f t="array" ref="AC230">(SUMPRODUCT((H230:O230/H$9:O$9)^H$7:O$7*H$2:O$2)+SUMPRODUCT((Q230:T230/Q$9:T$9)^Q$7:T$7*Q$2:T$2))*(0.8^(1-G230))*AC$9</f>
        <v>1.8910336773882861</v>
      </c>
      <c r="AD230" s="48" cm="1">
        <f t="array" ref="AD230">(SUMPRODUCT((H230:O230/H$9:O$9)^H$7:O$7*H$3:O$3)+SUMPRODUCT((Q230:T230/Q$9:T$9)^Q$7:T$7*Q$3:T$3))*(0.1^(1-G230))*AD$9</f>
        <v>2.0921320224453974</v>
      </c>
      <c r="AE230" s="48" cm="1">
        <f t="array" ref="AE230">(SUMPRODUCT((H230:O230/H$9:O$9)^H$7:O$7*H$4:O$4)+SUMPRODUCT((Q230:T230/Q$9:T$9)^Q$7:T$7*Q$4:T$4))*AE$9</f>
        <v>1.8615995140919486</v>
      </c>
      <c r="AF230" s="47" cm="1">
        <f t="array" ref="AF230">(SUMPRODUCT((H230:O230/H$9:O$9)^H$7:O$7*H$5:O$5)+SUMPRODUCT((Q230:T230/Q$9:T$9)^Q$7:T$7*Q$5:T$5))*AF$9</f>
        <v>1.8416253459384304</v>
      </c>
      <c r="AG230" s="50" cm="1">
        <f t="array" ref="AG230">SUMPRODUCT(AC230:AF230 * AC$3:AF$3) / SUM(AC$3:AF$3)</f>
        <v>1.9912497957010009</v>
      </c>
    </row>
    <row r="231" spans="1:33" x14ac:dyDescent="0.25">
      <c r="A231" s="81" t="s">
        <v>2156</v>
      </c>
      <c r="B231" s="20" t="s">
        <v>2158</v>
      </c>
      <c r="C231" s="4" t="s">
        <v>8853</v>
      </c>
      <c r="D231" s="4" t="str">
        <f t="shared" si="3"/>
        <v>ASUS</v>
      </c>
      <c r="E231" s="4" t="s">
        <v>8855</v>
      </c>
      <c r="F231" s="14" t="s">
        <v>8874</v>
      </c>
      <c r="G231" s="9">
        <v>1</v>
      </c>
      <c r="H231" s="1">
        <v>22.59</v>
      </c>
      <c r="I231" s="1">
        <v>22.59</v>
      </c>
      <c r="J231" s="1">
        <v>0.35</v>
      </c>
      <c r="K231" s="3">
        <v>2250</v>
      </c>
      <c r="L231" s="13">
        <v>2595</v>
      </c>
      <c r="M231" s="49">
        <v>121.7</v>
      </c>
      <c r="N231" s="1">
        <v>344.8</v>
      </c>
      <c r="O231" s="3">
        <v>30</v>
      </c>
      <c r="P231" s="11" t="s">
        <v>2275</v>
      </c>
      <c r="Q231" s="3">
        <v>8</v>
      </c>
      <c r="R231" s="3">
        <v>128</v>
      </c>
      <c r="S231" s="22">
        <v>18</v>
      </c>
      <c r="T231" s="9">
        <v>160</v>
      </c>
      <c r="U231" s="14" t="s">
        <v>446</v>
      </c>
      <c r="V231" s="12">
        <v>4</v>
      </c>
      <c r="W231" s="75">
        <v>16</v>
      </c>
      <c r="X231" s="76">
        <v>8</v>
      </c>
      <c r="Y231" s="9">
        <v>465</v>
      </c>
      <c r="Z231" s="3">
        <v>834.38</v>
      </c>
      <c r="AA231" s="17" t="s">
        <v>2157</v>
      </c>
      <c r="AB231" s="18" t="s">
        <v>2156</v>
      </c>
      <c r="AC231" s="46" cm="1">
        <f t="array" ref="AC231">(SUMPRODUCT((H231:O231/H$9:O$9)^H$7:O$7*H$2:O$2)+SUMPRODUCT((Q231:T231/Q$9:T$9)^Q$7:T$7*Q$2:T$2))*(0.8^(1-G231))*AC$9</f>
        <v>1.8910336773882861</v>
      </c>
      <c r="AD231" s="48" cm="1">
        <f t="array" ref="AD231">(SUMPRODUCT((H231:O231/H$9:O$9)^H$7:O$7*H$3:O$3)+SUMPRODUCT((Q231:T231/Q$9:T$9)^Q$7:T$7*Q$3:T$3))*(0.1^(1-G231))*AD$9</f>
        <v>2.0921320224453974</v>
      </c>
      <c r="AE231" s="48" cm="1">
        <f t="array" ref="AE231">(SUMPRODUCT((H231:O231/H$9:O$9)^H$7:O$7*H$4:O$4)+SUMPRODUCT((Q231:T231/Q$9:T$9)^Q$7:T$7*Q$4:T$4))*AE$9</f>
        <v>1.8615995140919486</v>
      </c>
      <c r="AF231" s="47" cm="1">
        <f t="array" ref="AF231">(SUMPRODUCT((H231:O231/H$9:O$9)^H$7:O$7*H$5:O$5)+SUMPRODUCT((Q231:T231/Q$9:T$9)^Q$7:T$7*Q$5:T$5))*AF$9</f>
        <v>1.8416253459384304</v>
      </c>
      <c r="AG231" s="50" cm="1">
        <f t="array" ref="AG231">SUMPRODUCT(AC231:AF231 * AC$3:AF$3) / SUM(AC$3:AF$3)</f>
        <v>1.9912497957010009</v>
      </c>
    </row>
    <row r="232" spans="1:33" x14ac:dyDescent="0.25">
      <c r="A232" s="81" t="s">
        <v>2153</v>
      </c>
      <c r="B232" s="20" t="s">
        <v>2155</v>
      </c>
      <c r="C232" s="4" t="s">
        <v>8853</v>
      </c>
      <c r="D232" s="4" t="str">
        <f t="shared" si="3"/>
        <v>ASUS</v>
      </c>
      <c r="E232" s="4" t="s">
        <v>8855</v>
      </c>
      <c r="F232" s="14" t="s">
        <v>8874</v>
      </c>
      <c r="G232" s="9">
        <v>1</v>
      </c>
      <c r="H232" s="1">
        <v>22.33</v>
      </c>
      <c r="I232" s="1">
        <v>22.33</v>
      </c>
      <c r="J232" s="1">
        <v>0.35</v>
      </c>
      <c r="K232" s="3">
        <v>2250</v>
      </c>
      <c r="L232" s="13">
        <v>2565</v>
      </c>
      <c r="M232" s="49">
        <v>121.7</v>
      </c>
      <c r="N232" s="1">
        <v>344.8</v>
      </c>
      <c r="O232" s="3">
        <v>30</v>
      </c>
      <c r="P232" s="11" t="s">
        <v>2275</v>
      </c>
      <c r="Q232" s="3">
        <v>8</v>
      </c>
      <c r="R232" s="3">
        <v>128</v>
      </c>
      <c r="S232" s="22">
        <v>18</v>
      </c>
      <c r="T232" s="9">
        <v>160</v>
      </c>
      <c r="U232" s="14" t="s">
        <v>446</v>
      </c>
      <c r="V232" s="12">
        <v>4</v>
      </c>
      <c r="W232" s="75">
        <v>16</v>
      </c>
      <c r="X232" s="76">
        <v>8</v>
      </c>
      <c r="Y232" s="9">
        <v>1059.23</v>
      </c>
      <c r="Z232" s="3">
        <v>1059.23</v>
      </c>
      <c r="AA232" s="17" t="s">
        <v>2154</v>
      </c>
      <c r="AB232" s="18" t="s">
        <v>2153</v>
      </c>
      <c r="AC232" s="46" cm="1">
        <f t="array" ref="AC232">(SUMPRODUCT((H232:O232/H$9:O$9)^H$7:O$7*H$2:O$2)+SUMPRODUCT((Q232:T232/Q$9:T$9)^Q$7:T$7*Q$2:T$2))*(0.8^(1-G232))*AC$9</f>
        <v>1.8858510235241903</v>
      </c>
      <c r="AD232" s="48" cm="1">
        <f t="array" ref="AD232">(SUMPRODUCT((H232:O232/H$9:O$9)^H$7:O$7*H$3:O$3)+SUMPRODUCT((Q232:T232/Q$9:T$9)^Q$7:T$7*Q$3:T$3))*(0.1^(1-G232))*AD$9</f>
        <v>2.0776250791731625</v>
      </c>
      <c r="AE232" s="48" cm="1">
        <f t="array" ref="AE232">(SUMPRODUCT((H232:O232/H$9:O$9)^H$7:O$7*H$4:O$4)+SUMPRODUCT((Q232:T232/Q$9:T$9)^Q$7:T$7*Q$4:T$4))*AE$9</f>
        <v>1.8571824217748172</v>
      </c>
      <c r="AF232" s="47" cm="1">
        <f t="array" ref="AF232">(SUMPRODUCT((H232:O232/H$9:O$9)^H$7:O$7*H$5:O$5)+SUMPRODUCT((Q232:T232/Q$9:T$9)^Q$7:T$7*Q$5:T$5))*AF$9</f>
        <v>1.8329392021292819</v>
      </c>
      <c r="AG232" s="50" cm="1">
        <f t="array" ref="AG232">SUMPRODUCT(AC232:AF232 * AC$3:AF$3) / SUM(AC$3:AF$3)</f>
        <v>1.980388128457871</v>
      </c>
    </row>
    <row r="233" spans="1:33" x14ac:dyDescent="0.25">
      <c r="A233" s="81" t="s">
        <v>2150</v>
      </c>
      <c r="B233" s="20" t="s">
        <v>2152</v>
      </c>
      <c r="C233" s="4" t="s">
        <v>8853</v>
      </c>
      <c r="D233" s="4" t="str">
        <f t="shared" si="3"/>
        <v>ASUS</v>
      </c>
      <c r="E233" s="4" t="s">
        <v>8855</v>
      </c>
      <c r="F233" s="14" t="s">
        <v>8874</v>
      </c>
      <c r="G233" s="9">
        <v>1</v>
      </c>
      <c r="H233" s="1">
        <v>22.33</v>
      </c>
      <c r="I233" s="1">
        <v>22.33</v>
      </c>
      <c r="J233" s="1">
        <v>0.35</v>
      </c>
      <c r="K233" s="3">
        <v>2250</v>
      </c>
      <c r="L233" s="13">
        <v>2565</v>
      </c>
      <c r="M233" s="49">
        <v>121.7</v>
      </c>
      <c r="N233" s="1">
        <v>344.8</v>
      </c>
      <c r="O233" s="3">
        <v>30</v>
      </c>
      <c r="P233" s="11" t="s">
        <v>2275</v>
      </c>
      <c r="Q233" s="3">
        <v>8</v>
      </c>
      <c r="R233" s="3">
        <v>128</v>
      </c>
      <c r="S233" s="22">
        <v>18</v>
      </c>
      <c r="T233" s="9">
        <v>160</v>
      </c>
      <c r="U233" s="14" t="s">
        <v>446</v>
      </c>
      <c r="V233" s="12">
        <v>4</v>
      </c>
      <c r="W233" s="75">
        <v>16</v>
      </c>
      <c r="X233" s="76">
        <v>8</v>
      </c>
      <c r="Y233" s="9">
        <v>1008.32</v>
      </c>
      <c r="Z233" s="3">
        <v>1008.32</v>
      </c>
      <c r="AA233" s="17" t="s">
        <v>2151</v>
      </c>
      <c r="AB233" s="18" t="s">
        <v>2150</v>
      </c>
      <c r="AC233" s="46" cm="1">
        <f t="array" ref="AC233">(SUMPRODUCT((H233:O233/H$9:O$9)^H$7:O$7*H$2:O$2)+SUMPRODUCT((Q233:T233/Q$9:T$9)^Q$7:T$7*Q$2:T$2))*(0.8^(1-G233))*AC$9</f>
        <v>1.8858510235241903</v>
      </c>
      <c r="AD233" s="48" cm="1">
        <f t="array" ref="AD233">(SUMPRODUCT((H233:O233/H$9:O$9)^H$7:O$7*H$3:O$3)+SUMPRODUCT((Q233:T233/Q$9:T$9)^Q$7:T$7*Q$3:T$3))*(0.1^(1-G233))*AD$9</f>
        <v>2.0776250791731625</v>
      </c>
      <c r="AE233" s="48" cm="1">
        <f t="array" ref="AE233">(SUMPRODUCT((H233:O233/H$9:O$9)^H$7:O$7*H$4:O$4)+SUMPRODUCT((Q233:T233/Q$9:T$9)^Q$7:T$7*Q$4:T$4))*AE$9</f>
        <v>1.8571824217748172</v>
      </c>
      <c r="AF233" s="47" cm="1">
        <f t="array" ref="AF233">(SUMPRODUCT((H233:O233/H$9:O$9)^H$7:O$7*H$5:O$5)+SUMPRODUCT((Q233:T233/Q$9:T$9)^Q$7:T$7*Q$5:T$5))*AF$9</f>
        <v>1.8329392021292819</v>
      </c>
      <c r="AG233" s="50" cm="1">
        <f t="array" ref="AG233">SUMPRODUCT(AC233:AF233 * AC$3:AF$3) / SUM(AC$3:AF$3)</f>
        <v>1.980388128457871</v>
      </c>
    </row>
    <row r="234" spans="1:33" x14ac:dyDescent="0.25">
      <c r="A234" s="81" t="s">
        <v>1805</v>
      </c>
      <c r="B234" s="20" t="s">
        <v>1807</v>
      </c>
      <c r="C234" s="4" t="s">
        <v>8853</v>
      </c>
      <c r="D234" s="4" t="str">
        <f t="shared" si="3"/>
        <v>ASUS</v>
      </c>
      <c r="E234" s="4" t="s">
        <v>8855</v>
      </c>
      <c r="F234" s="14" t="s">
        <v>8874</v>
      </c>
      <c r="G234" s="9">
        <v>1</v>
      </c>
      <c r="H234" s="1">
        <v>23.11</v>
      </c>
      <c r="I234" s="1">
        <v>23.11</v>
      </c>
      <c r="J234" s="1">
        <v>0.36</v>
      </c>
      <c r="K234" s="3">
        <v>2250</v>
      </c>
      <c r="L234" s="13">
        <v>2655</v>
      </c>
      <c r="M234" s="49">
        <v>121.7</v>
      </c>
      <c r="N234" s="1">
        <v>344.8</v>
      </c>
      <c r="O234" s="3">
        <v>30</v>
      </c>
      <c r="P234" s="11" t="s">
        <v>2275</v>
      </c>
      <c r="Q234" s="3">
        <v>8</v>
      </c>
      <c r="R234" s="3">
        <v>128</v>
      </c>
      <c r="S234" s="22">
        <v>18</v>
      </c>
      <c r="T234" s="9">
        <v>160</v>
      </c>
      <c r="U234" s="14" t="s">
        <v>446</v>
      </c>
      <c r="V234" s="12">
        <v>4</v>
      </c>
      <c r="W234" s="75">
        <v>16</v>
      </c>
      <c r="X234" s="76">
        <v>8</v>
      </c>
      <c r="Y234" s="9">
        <v>506</v>
      </c>
      <c r="Z234" s="3">
        <v>615</v>
      </c>
      <c r="AA234" s="17" t="s">
        <v>1806</v>
      </c>
      <c r="AB234" s="18" t="s">
        <v>1805</v>
      </c>
      <c r="AC234" s="46" cm="1">
        <f t="array" ref="AC234">(SUMPRODUCT((H234:O234/H$9:O$9)^H$7:O$7*H$2:O$2)+SUMPRODUCT((Q234:T234/Q$9:T$9)^Q$7:T$7*Q$2:T$2))*(0.8^(1-G234))*AC$9</f>
        <v>1.9013811181935352</v>
      </c>
      <c r="AD234" s="48" cm="1">
        <f t="array" ref="AD234">(SUMPRODUCT((H234:O234/H$9:O$9)^H$7:O$7*H$3:O$3)+SUMPRODUCT((Q234:T234/Q$9:T$9)^Q$7:T$7*Q$3:T$3))*(0.1^(1-G234))*AD$9</f>
        <v>2.1239592908017606</v>
      </c>
      <c r="AE234" s="48" cm="1">
        <f t="array" ref="AE234">(SUMPRODUCT((H234:O234/H$9:O$9)^H$7:O$7*H$4:O$4)+SUMPRODUCT((Q234:T234/Q$9:T$9)^Q$7:T$7*Q$4:T$4))*AE$9</f>
        <v>1.8905558385488885</v>
      </c>
      <c r="AF234" s="47" cm="1">
        <f t="array" ref="AF234">(SUMPRODUCT((H234:O234/H$9:O$9)^H$7:O$7*H$5:O$5)+SUMPRODUCT((Q234:T234/Q$9:T$9)^Q$7:T$7*Q$5:T$5))*AF$9</f>
        <v>1.8589655083994447</v>
      </c>
      <c r="AG234" s="50" cm="1">
        <f t="array" ref="AG234">SUMPRODUCT(AC234:AF234 * AC$3:AF$3) / SUM(AC$3:AF$3)</f>
        <v>2.0167635813830178</v>
      </c>
    </row>
    <row r="235" spans="1:33" x14ac:dyDescent="0.25">
      <c r="A235" s="81" t="s">
        <v>1802</v>
      </c>
      <c r="B235" s="20" t="s">
        <v>1804</v>
      </c>
      <c r="C235" s="4" t="s">
        <v>8853</v>
      </c>
      <c r="D235" s="4" t="str">
        <f t="shared" si="3"/>
        <v>ASUS</v>
      </c>
      <c r="E235" s="4" t="s">
        <v>8855</v>
      </c>
      <c r="F235" s="14" t="s">
        <v>8874</v>
      </c>
      <c r="G235" s="9">
        <v>1</v>
      </c>
      <c r="H235" s="1">
        <v>22.33</v>
      </c>
      <c r="I235" s="1">
        <v>22.33</v>
      </c>
      <c r="J235" s="1">
        <v>0.35</v>
      </c>
      <c r="K235" s="3">
        <v>2250</v>
      </c>
      <c r="L235" s="13">
        <v>2565</v>
      </c>
      <c r="M235" s="49">
        <v>121.7</v>
      </c>
      <c r="N235" s="1">
        <v>344.8</v>
      </c>
      <c r="O235" s="3">
        <v>30</v>
      </c>
      <c r="P235" s="11" t="s">
        <v>2275</v>
      </c>
      <c r="Q235" s="3">
        <v>8</v>
      </c>
      <c r="R235" s="3">
        <v>128</v>
      </c>
      <c r="S235" s="22">
        <v>18</v>
      </c>
      <c r="T235" s="9">
        <v>160</v>
      </c>
      <c r="U235" s="14" t="s">
        <v>446</v>
      </c>
      <c r="V235" s="12">
        <v>4</v>
      </c>
      <c r="W235" s="75">
        <v>16</v>
      </c>
      <c r="X235" s="76">
        <v>8</v>
      </c>
      <c r="Y235" s="9">
        <v>1148.31</v>
      </c>
      <c r="Z235" s="3">
        <v>1148.31</v>
      </c>
      <c r="AA235" s="17" t="s">
        <v>1803</v>
      </c>
      <c r="AB235" s="18" t="s">
        <v>1802</v>
      </c>
      <c r="AC235" s="46" cm="1">
        <f t="array" ref="AC235">(SUMPRODUCT((H235:O235/H$9:O$9)^H$7:O$7*H$2:O$2)+SUMPRODUCT((Q235:T235/Q$9:T$9)^Q$7:T$7*Q$2:T$2))*(0.8^(1-G235))*AC$9</f>
        <v>1.8858510235241903</v>
      </c>
      <c r="AD235" s="48" cm="1">
        <f t="array" ref="AD235">(SUMPRODUCT((H235:O235/H$9:O$9)^H$7:O$7*H$3:O$3)+SUMPRODUCT((Q235:T235/Q$9:T$9)^Q$7:T$7*Q$3:T$3))*(0.1^(1-G235))*AD$9</f>
        <v>2.0776250791731625</v>
      </c>
      <c r="AE235" s="48" cm="1">
        <f t="array" ref="AE235">(SUMPRODUCT((H235:O235/H$9:O$9)^H$7:O$7*H$4:O$4)+SUMPRODUCT((Q235:T235/Q$9:T$9)^Q$7:T$7*Q$4:T$4))*AE$9</f>
        <v>1.8571824217748172</v>
      </c>
      <c r="AF235" s="47" cm="1">
        <f t="array" ref="AF235">(SUMPRODUCT((H235:O235/H$9:O$9)^H$7:O$7*H$5:O$5)+SUMPRODUCT((Q235:T235/Q$9:T$9)^Q$7:T$7*Q$5:T$5))*AF$9</f>
        <v>1.8329392021292819</v>
      </c>
      <c r="AG235" s="50" cm="1">
        <f t="array" ref="AG235">SUMPRODUCT(AC235:AF235 * AC$3:AF$3) / SUM(AC$3:AF$3)</f>
        <v>1.980388128457871</v>
      </c>
    </row>
    <row r="236" spans="1:33" x14ac:dyDescent="0.25">
      <c r="A236" s="81" t="s">
        <v>1529</v>
      </c>
      <c r="B236" s="20" t="s">
        <v>1531</v>
      </c>
      <c r="C236" s="4" t="s">
        <v>8853</v>
      </c>
      <c r="D236" s="4" t="str">
        <f t="shared" si="3"/>
        <v>GIGABYTE</v>
      </c>
      <c r="E236" s="4" t="s">
        <v>8855</v>
      </c>
      <c r="F236" s="14" t="s">
        <v>8874</v>
      </c>
      <c r="G236" s="9">
        <v>1</v>
      </c>
      <c r="H236" s="1">
        <v>22.46</v>
      </c>
      <c r="I236" s="1">
        <v>22.46</v>
      </c>
      <c r="J236" s="1">
        <v>0.35</v>
      </c>
      <c r="K236" s="3">
        <v>2250</v>
      </c>
      <c r="L236" s="13">
        <v>2580</v>
      </c>
      <c r="M236" s="49">
        <v>121.7</v>
      </c>
      <c r="N236" s="1">
        <v>344.8</v>
      </c>
      <c r="O236" s="3">
        <v>30</v>
      </c>
      <c r="P236" s="11" t="s">
        <v>2275</v>
      </c>
      <c r="Q236" s="3">
        <v>8</v>
      </c>
      <c r="R236" s="3">
        <v>128</v>
      </c>
      <c r="S236" s="22">
        <v>18</v>
      </c>
      <c r="T236" s="9">
        <v>160</v>
      </c>
      <c r="U236" s="14" t="s">
        <v>446</v>
      </c>
      <c r="V236" s="12">
        <v>4</v>
      </c>
      <c r="W236" s="75">
        <v>16</v>
      </c>
      <c r="X236" s="76">
        <v>8</v>
      </c>
      <c r="Y236" s="9">
        <v>471.95</v>
      </c>
      <c r="Z236" s="3">
        <v>639</v>
      </c>
      <c r="AA236" s="17" t="s">
        <v>1530</v>
      </c>
      <c r="AB236" s="18" t="s">
        <v>1529</v>
      </c>
      <c r="AC236" s="46" cm="1">
        <f t="array" ref="AC236">(SUMPRODUCT((H236:O236/H$9:O$9)^H$7:O$7*H$2:O$2)+SUMPRODUCT((Q236:T236/Q$9:T$9)^Q$7:T$7*Q$2:T$2))*(0.8^(1-G236))*AC$9</f>
        <v>1.8884431028005353</v>
      </c>
      <c r="AD236" s="48" cm="1">
        <f t="array" ref="AD236">(SUMPRODUCT((H236:O236/H$9:O$9)^H$7:O$7*H$3:O$3)+SUMPRODUCT((Q236:T236/Q$9:T$9)^Q$7:T$7*Q$3:T$3))*(0.1^(1-G236))*AD$9</f>
        <v>2.0848812202784388</v>
      </c>
      <c r="AE236" s="48" cm="1">
        <f t="array" ref="AE236">(SUMPRODUCT((H236:O236/H$9:O$9)^H$7:O$7*H$4:O$4)+SUMPRODUCT((Q236:T236/Q$9:T$9)^Q$7:T$7*Q$4:T$4))*AE$9</f>
        <v>1.859391607097844</v>
      </c>
      <c r="AF236" s="47" cm="1">
        <f t="array" ref="AF236">(SUMPRODUCT((H236:O236/H$9:O$9)^H$7:O$7*H$5:O$5)+SUMPRODUCT((Q236:T236/Q$9:T$9)^Q$7:T$7*Q$5:T$5))*AF$9</f>
        <v>1.8372836268675918</v>
      </c>
      <c r="AG236" s="50" cm="1">
        <f t="array" ref="AG236">SUMPRODUCT(AC236:AF236 * AC$3:AF$3) / SUM(AC$3:AF$3)</f>
        <v>1.9858208669991366</v>
      </c>
    </row>
    <row r="237" spans="1:33" x14ac:dyDescent="0.25">
      <c r="A237" s="81" t="s">
        <v>1526</v>
      </c>
      <c r="B237" s="20" t="s">
        <v>1528</v>
      </c>
      <c r="C237" s="4" t="s">
        <v>8853</v>
      </c>
      <c r="D237" s="4" t="str">
        <f t="shared" si="3"/>
        <v>GIGABYTE</v>
      </c>
      <c r="E237" s="4" t="s">
        <v>8855</v>
      </c>
      <c r="F237" s="14" t="s">
        <v>8874</v>
      </c>
      <c r="G237" s="9">
        <v>1</v>
      </c>
      <c r="H237" s="1">
        <v>22.06</v>
      </c>
      <c r="I237" s="1">
        <v>22.06</v>
      </c>
      <c r="J237" s="1">
        <v>0.34</v>
      </c>
      <c r="K237" s="3">
        <v>2250</v>
      </c>
      <c r="L237" s="13">
        <v>2535</v>
      </c>
      <c r="M237" s="49">
        <v>121.7</v>
      </c>
      <c r="N237" s="1">
        <v>344.8</v>
      </c>
      <c r="O237" s="3">
        <v>30</v>
      </c>
      <c r="P237" s="11" t="s">
        <v>2275</v>
      </c>
      <c r="Q237" s="3">
        <v>8</v>
      </c>
      <c r="R237" s="3">
        <v>128</v>
      </c>
      <c r="S237" s="22">
        <v>18</v>
      </c>
      <c r="T237" s="9">
        <v>160</v>
      </c>
      <c r="U237" s="14" t="s">
        <v>446</v>
      </c>
      <c r="V237" s="12">
        <v>4</v>
      </c>
      <c r="W237" s="75">
        <v>16</v>
      </c>
      <c r="X237" s="76">
        <v>8</v>
      </c>
      <c r="Y237" s="9">
        <v>433.2</v>
      </c>
      <c r="Z237" s="3">
        <v>774.49</v>
      </c>
      <c r="AA237" s="17" t="s">
        <v>1527</v>
      </c>
      <c r="AB237" s="18" t="s">
        <v>1526</v>
      </c>
      <c r="AC237" s="46" cm="1">
        <f t="array" ref="AC237">(SUMPRODUCT((H237:O237/H$9:O$9)^H$7:O$7*H$2:O$2)+SUMPRODUCT((Q237:T237/Q$9:T$9)^Q$7:T$7*Q$2:T$2))*(0.8^(1-G237))*AC$9</f>
        <v>1.8806055821842671</v>
      </c>
      <c r="AD237" s="48" cm="1">
        <f t="array" ref="AD237">(SUMPRODUCT((H237:O237/H$9:O$9)^H$7:O$7*H$3:O$3)+SUMPRODUCT((Q237:T237/Q$9:T$9)^Q$7:T$7*Q$3:T$3))*(0.1^(1-G237))*AD$9</f>
        <v>2.0596727630552873</v>
      </c>
      <c r="AE237" s="48" cm="1">
        <f t="array" ref="AE237">(SUMPRODUCT((H237:O237/H$9:O$9)^H$7:O$7*H$4:O$4)+SUMPRODUCT((Q237:T237/Q$9:T$9)^Q$7:T$7*Q$4:T$4))*AE$9</f>
        <v>1.8323372569768224</v>
      </c>
      <c r="AF237" s="47" cm="1">
        <f t="array" ref="AF237">(SUMPRODUCT((H237:O237/H$9:O$9)^H$7:O$7*H$5:O$5)+SUMPRODUCT((Q237:T237/Q$9:T$9)^Q$7:T$7*Q$5:T$5))*AF$9</f>
        <v>1.82396462768933</v>
      </c>
      <c r="AG237" s="50" cm="1">
        <f t="array" ref="AG237">SUMPRODUCT(AC237:AF237 * AC$3:AF$3) / SUM(AC$3:AF$3)</f>
        <v>1.9652840430070728</v>
      </c>
    </row>
    <row r="238" spans="1:33" x14ac:dyDescent="0.25">
      <c r="A238" s="81" t="s">
        <v>1523</v>
      </c>
      <c r="B238" s="20" t="s">
        <v>1525</v>
      </c>
      <c r="C238" s="4" t="s">
        <v>8853</v>
      </c>
      <c r="D238" s="4" t="str">
        <f t="shared" si="3"/>
        <v>GIGABYTE</v>
      </c>
      <c r="E238" s="4" t="s">
        <v>8855</v>
      </c>
      <c r="F238" s="14" t="s">
        <v>8874</v>
      </c>
      <c r="G238" s="9">
        <v>1</v>
      </c>
      <c r="H238" s="1">
        <v>22.2</v>
      </c>
      <c r="I238" s="1">
        <v>22.2</v>
      </c>
      <c r="J238" s="1">
        <v>0.35</v>
      </c>
      <c r="K238" s="3">
        <v>2250</v>
      </c>
      <c r="L238" s="13">
        <v>2550</v>
      </c>
      <c r="M238" s="49">
        <v>121.7</v>
      </c>
      <c r="N238" s="1">
        <v>344.8</v>
      </c>
      <c r="O238" s="3">
        <v>30</v>
      </c>
      <c r="P238" s="11" t="s">
        <v>2275</v>
      </c>
      <c r="Q238" s="3">
        <v>8</v>
      </c>
      <c r="R238" s="3">
        <v>128</v>
      </c>
      <c r="S238" s="22">
        <v>18</v>
      </c>
      <c r="T238" s="9">
        <v>160</v>
      </c>
      <c r="U238" s="14" t="s">
        <v>446</v>
      </c>
      <c r="V238" s="12">
        <v>4</v>
      </c>
      <c r="W238" s="75">
        <v>16</v>
      </c>
      <c r="X238" s="76">
        <v>8</v>
      </c>
      <c r="Y238" s="9">
        <v>441.95</v>
      </c>
      <c r="Z238" s="3">
        <v>536.66</v>
      </c>
      <c r="AA238" s="17" t="s">
        <v>1524</v>
      </c>
      <c r="AB238" s="18" t="s">
        <v>1523</v>
      </c>
      <c r="AC238" s="46" cm="1">
        <f t="array" ref="AC238">(SUMPRODUCT((H238:O238/H$9:O$9)^H$7:O$7*H$2:O$2)+SUMPRODUCT((Q238:T238/Q$9:T$9)^Q$7:T$7*Q$2:T$2))*(0.8^(1-G238))*AC$9</f>
        <v>1.883257429889309</v>
      </c>
      <c r="AD238" s="48" cm="1">
        <f t="array" ref="AD238">(SUMPRODUCT((H238:O238/H$9:O$9)^H$7:O$7*H$3:O$3)+SUMPRODUCT((Q238:T238/Q$9:T$9)^Q$7:T$7*Q$3:T$3))*(0.1^(1-G238))*AD$9</f>
        <v>2.0703635639239644</v>
      </c>
      <c r="AE238" s="48" cm="1">
        <f t="array" ref="AE238">(SUMPRODUCT((H238:O238/H$9:O$9)^H$7:O$7*H$4:O$4)+SUMPRODUCT((Q238:T238/Q$9:T$9)^Q$7:T$7*Q$4:T$4))*AE$9</f>
        <v>1.85497194993405</v>
      </c>
      <c r="AF238" s="47" cm="1">
        <f t="array" ref="AF238">(SUMPRODUCT((H238:O238/H$9:O$9)^H$7:O$7*H$5:O$5)+SUMPRODUCT((Q238:T238/Q$9:T$9)^Q$7:T$7*Q$5:T$5))*AF$9</f>
        <v>1.8285920542124221</v>
      </c>
      <c r="AG238" s="50" cm="1">
        <f t="array" ref="AG238">SUMPRODUCT(AC238:AF238 * AC$3:AF$3) / SUM(AC$3:AF$3)</f>
        <v>1.9749515550784966</v>
      </c>
    </row>
    <row r="239" spans="1:33" x14ac:dyDescent="0.25">
      <c r="A239" s="81" t="s">
        <v>1520</v>
      </c>
      <c r="B239" s="20" t="s">
        <v>1522</v>
      </c>
      <c r="C239" s="4" t="s">
        <v>8853</v>
      </c>
      <c r="D239" s="4" t="str">
        <f t="shared" si="3"/>
        <v>GIGABYTE</v>
      </c>
      <c r="E239" s="4" t="s">
        <v>8855</v>
      </c>
      <c r="F239" s="14" t="s">
        <v>8874</v>
      </c>
      <c r="G239" s="9">
        <v>1</v>
      </c>
      <c r="H239" s="1">
        <v>22.2</v>
      </c>
      <c r="I239" s="1">
        <v>22.2</v>
      </c>
      <c r="J239" s="1">
        <v>0.35</v>
      </c>
      <c r="K239" s="3">
        <v>2250</v>
      </c>
      <c r="L239" s="13">
        <v>2550</v>
      </c>
      <c r="M239" s="49">
        <v>121.7</v>
      </c>
      <c r="N239" s="1">
        <v>344.8</v>
      </c>
      <c r="O239" s="3">
        <v>30</v>
      </c>
      <c r="P239" s="11" t="s">
        <v>2275</v>
      </c>
      <c r="Q239" s="3">
        <v>8</v>
      </c>
      <c r="R239" s="3">
        <v>128</v>
      </c>
      <c r="S239" s="22">
        <v>18</v>
      </c>
      <c r="T239" s="9">
        <v>160</v>
      </c>
      <c r="U239" s="14" t="s">
        <v>446</v>
      </c>
      <c r="V239" s="12">
        <v>4</v>
      </c>
      <c r="W239" s="75">
        <v>16</v>
      </c>
      <c r="X239" s="76">
        <v>8</v>
      </c>
      <c r="Y239" s="9">
        <v>449.94</v>
      </c>
      <c r="Z239" s="3">
        <v>543.74</v>
      </c>
      <c r="AA239" s="17" t="s">
        <v>1521</v>
      </c>
      <c r="AB239" s="18" t="s">
        <v>1520</v>
      </c>
      <c r="AC239" s="46" cm="1">
        <f t="array" ref="AC239">(SUMPRODUCT((H239:O239/H$9:O$9)^H$7:O$7*H$2:O$2)+SUMPRODUCT((Q239:T239/Q$9:T$9)^Q$7:T$7*Q$2:T$2))*(0.8^(1-G239))*AC$9</f>
        <v>1.883257429889309</v>
      </c>
      <c r="AD239" s="48" cm="1">
        <f t="array" ref="AD239">(SUMPRODUCT((H239:O239/H$9:O$9)^H$7:O$7*H$3:O$3)+SUMPRODUCT((Q239:T239/Q$9:T$9)^Q$7:T$7*Q$3:T$3))*(0.1^(1-G239))*AD$9</f>
        <v>2.0703635639239644</v>
      </c>
      <c r="AE239" s="48" cm="1">
        <f t="array" ref="AE239">(SUMPRODUCT((H239:O239/H$9:O$9)^H$7:O$7*H$4:O$4)+SUMPRODUCT((Q239:T239/Q$9:T$9)^Q$7:T$7*Q$4:T$4))*AE$9</f>
        <v>1.85497194993405</v>
      </c>
      <c r="AF239" s="47" cm="1">
        <f t="array" ref="AF239">(SUMPRODUCT((H239:O239/H$9:O$9)^H$7:O$7*H$5:O$5)+SUMPRODUCT((Q239:T239/Q$9:T$9)^Q$7:T$7*Q$5:T$5))*AF$9</f>
        <v>1.8285920542124221</v>
      </c>
      <c r="AG239" s="50" cm="1">
        <f t="array" ref="AG239">SUMPRODUCT(AC239:AF239 * AC$3:AF$3) / SUM(AC$3:AF$3)</f>
        <v>1.9749515550784966</v>
      </c>
    </row>
    <row r="240" spans="1:33" x14ac:dyDescent="0.25">
      <c r="A240" s="81" t="s">
        <v>1517</v>
      </c>
      <c r="B240" s="20" t="s">
        <v>1519</v>
      </c>
      <c r="C240" s="4" t="s">
        <v>8853</v>
      </c>
      <c r="D240" s="4" t="str">
        <f t="shared" si="3"/>
        <v>GIGABYTE</v>
      </c>
      <c r="E240" s="4" t="s">
        <v>8855</v>
      </c>
      <c r="F240" s="14" t="s">
        <v>8874</v>
      </c>
      <c r="G240" s="9">
        <v>1</v>
      </c>
      <c r="H240" s="1">
        <v>23.11</v>
      </c>
      <c r="I240" s="1">
        <v>23.11</v>
      </c>
      <c r="J240" s="1">
        <v>0.36</v>
      </c>
      <c r="K240" s="3">
        <v>2250</v>
      </c>
      <c r="L240" s="13">
        <v>2655</v>
      </c>
      <c r="M240" s="49">
        <v>121.7</v>
      </c>
      <c r="N240" s="1">
        <v>344.8</v>
      </c>
      <c r="O240" s="3">
        <v>30</v>
      </c>
      <c r="P240" s="11" t="s">
        <v>2275</v>
      </c>
      <c r="Q240" s="3">
        <v>8</v>
      </c>
      <c r="R240" s="3">
        <v>128</v>
      </c>
      <c r="S240" s="22">
        <v>18</v>
      </c>
      <c r="T240" s="9">
        <v>160</v>
      </c>
      <c r="U240" s="14" t="s">
        <v>446</v>
      </c>
      <c r="V240" s="12">
        <v>4</v>
      </c>
      <c r="W240" s="75">
        <v>16</v>
      </c>
      <c r="X240" s="76">
        <v>8</v>
      </c>
      <c r="Y240" s="9">
        <v>539.51</v>
      </c>
      <c r="Z240" s="3">
        <v>649.76</v>
      </c>
      <c r="AA240" s="17" t="s">
        <v>1518</v>
      </c>
      <c r="AB240" s="18" t="s">
        <v>1517</v>
      </c>
      <c r="AC240" s="46" cm="1">
        <f t="array" ref="AC240">(SUMPRODUCT((H240:O240/H$9:O$9)^H$7:O$7*H$2:O$2)+SUMPRODUCT((Q240:T240/Q$9:T$9)^Q$7:T$7*Q$2:T$2))*(0.8^(1-G240))*AC$9</f>
        <v>1.9013811181935352</v>
      </c>
      <c r="AD240" s="48" cm="1">
        <f t="array" ref="AD240">(SUMPRODUCT((H240:O240/H$9:O$9)^H$7:O$7*H$3:O$3)+SUMPRODUCT((Q240:T240/Q$9:T$9)^Q$7:T$7*Q$3:T$3))*(0.1^(1-G240))*AD$9</f>
        <v>2.1239592908017606</v>
      </c>
      <c r="AE240" s="48" cm="1">
        <f t="array" ref="AE240">(SUMPRODUCT((H240:O240/H$9:O$9)^H$7:O$7*H$4:O$4)+SUMPRODUCT((Q240:T240/Q$9:T$9)^Q$7:T$7*Q$4:T$4))*AE$9</f>
        <v>1.8905558385488885</v>
      </c>
      <c r="AF240" s="47" cm="1">
        <f t="array" ref="AF240">(SUMPRODUCT((H240:O240/H$9:O$9)^H$7:O$7*H$5:O$5)+SUMPRODUCT((Q240:T240/Q$9:T$9)^Q$7:T$7*Q$5:T$5))*AF$9</f>
        <v>1.8589655083994447</v>
      </c>
      <c r="AG240" s="50" cm="1">
        <f t="array" ref="AG240">SUMPRODUCT(AC240:AF240 * AC$3:AF$3) / SUM(AC$3:AF$3)</f>
        <v>2.0167635813830178</v>
      </c>
    </row>
    <row r="241" spans="1:33" x14ac:dyDescent="0.25">
      <c r="A241" s="81" t="s">
        <v>1511</v>
      </c>
      <c r="B241" s="20" t="s">
        <v>1513</v>
      </c>
      <c r="C241" s="4" t="s">
        <v>8853</v>
      </c>
      <c r="D241" s="4" t="str">
        <f t="shared" si="3"/>
        <v>GIGABYTE</v>
      </c>
      <c r="E241" s="4" t="s">
        <v>8855</v>
      </c>
      <c r="F241" s="14" t="s">
        <v>8874</v>
      </c>
      <c r="G241" s="9">
        <v>1</v>
      </c>
      <c r="H241" s="1">
        <v>22.46</v>
      </c>
      <c r="I241" s="1">
        <v>22.46</v>
      </c>
      <c r="J241" s="1">
        <v>0.35</v>
      </c>
      <c r="K241" s="3">
        <v>2250</v>
      </c>
      <c r="L241" s="13">
        <v>2580</v>
      </c>
      <c r="M241" s="49">
        <v>121.7</v>
      </c>
      <c r="N241" s="1">
        <v>344.8</v>
      </c>
      <c r="O241" s="3">
        <v>30</v>
      </c>
      <c r="P241" s="11" t="s">
        <v>2275</v>
      </c>
      <c r="Q241" s="3">
        <v>8</v>
      </c>
      <c r="R241" s="3">
        <v>128</v>
      </c>
      <c r="S241" s="22">
        <v>18</v>
      </c>
      <c r="T241" s="9">
        <v>160</v>
      </c>
      <c r="U241" s="14" t="s">
        <v>446</v>
      </c>
      <c r="V241" s="12">
        <v>4</v>
      </c>
      <c r="W241" s="75">
        <v>16</v>
      </c>
      <c r="X241" s="76">
        <v>8</v>
      </c>
      <c r="Y241" s="9">
        <v>465.34</v>
      </c>
      <c r="Z241" s="3">
        <v>795.99</v>
      </c>
      <c r="AA241" s="17" t="s">
        <v>1512</v>
      </c>
      <c r="AB241" s="18" t="s">
        <v>1511</v>
      </c>
      <c r="AC241" s="46" cm="1">
        <f t="array" ref="AC241">(SUMPRODUCT((H241:O241/H$9:O$9)^H$7:O$7*H$2:O$2)+SUMPRODUCT((Q241:T241/Q$9:T$9)^Q$7:T$7*Q$2:T$2))*(0.8^(1-G241))*AC$9</f>
        <v>1.8884431028005353</v>
      </c>
      <c r="AD241" s="48" cm="1">
        <f t="array" ref="AD241">(SUMPRODUCT((H241:O241/H$9:O$9)^H$7:O$7*H$3:O$3)+SUMPRODUCT((Q241:T241/Q$9:T$9)^Q$7:T$7*Q$3:T$3))*(0.1^(1-G241))*AD$9</f>
        <v>2.0848812202784388</v>
      </c>
      <c r="AE241" s="48" cm="1">
        <f t="array" ref="AE241">(SUMPRODUCT((H241:O241/H$9:O$9)^H$7:O$7*H$4:O$4)+SUMPRODUCT((Q241:T241/Q$9:T$9)^Q$7:T$7*Q$4:T$4))*AE$9</f>
        <v>1.859391607097844</v>
      </c>
      <c r="AF241" s="47" cm="1">
        <f t="array" ref="AF241">(SUMPRODUCT((H241:O241/H$9:O$9)^H$7:O$7*H$5:O$5)+SUMPRODUCT((Q241:T241/Q$9:T$9)^Q$7:T$7*Q$5:T$5))*AF$9</f>
        <v>1.8372836268675918</v>
      </c>
      <c r="AG241" s="50" cm="1">
        <f t="array" ref="AG241">SUMPRODUCT(AC241:AF241 * AC$3:AF$3) / SUM(AC$3:AF$3)</f>
        <v>1.9858208669991366</v>
      </c>
    </row>
    <row r="242" spans="1:33" x14ac:dyDescent="0.25">
      <c r="A242" s="81" t="s">
        <v>1505</v>
      </c>
      <c r="B242" s="20" t="s">
        <v>1507</v>
      </c>
      <c r="C242" s="4" t="s">
        <v>8853</v>
      </c>
      <c r="D242" s="4" t="str">
        <f t="shared" si="3"/>
        <v>GIGABYTE</v>
      </c>
      <c r="E242" s="4" t="s">
        <v>8855</v>
      </c>
      <c r="F242" s="14" t="s">
        <v>8874</v>
      </c>
      <c r="G242" s="9">
        <v>1</v>
      </c>
      <c r="H242" s="1">
        <v>22.2</v>
      </c>
      <c r="I242" s="1">
        <v>22.2</v>
      </c>
      <c r="J242" s="1">
        <v>0.35</v>
      </c>
      <c r="K242" s="3">
        <v>2250</v>
      </c>
      <c r="L242" s="13">
        <v>2550</v>
      </c>
      <c r="M242" s="49">
        <v>121.7</v>
      </c>
      <c r="N242" s="1">
        <v>344.8</v>
      </c>
      <c r="O242" s="3">
        <v>30</v>
      </c>
      <c r="P242" s="11" t="s">
        <v>2275</v>
      </c>
      <c r="Q242" s="3">
        <v>8</v>
      </c>
      <c r="R242" s="3">
        <v>128</v>
      </c>
      <c r="S242" s="22">
        <v>18</v>
      </c>
      <c r="T242" s="9">
        <v>160</v>
      </c>
      <c r="U242" s="14" t="s">
        <v>446</v>
      </c>
      <c r="V242" s="12">
        <v>4</v>
      </c>
      <c r="W242" s="75">
        <v>16</v>
      </c>
      <c r="X242" s="76">
        <v>8</v>
      </c>
      <c r="Y242" s="9">
        <v>433.84</v>
      </c>
      <c r="Z242" s="3">
        <v>556.17999999999995</v>
      </c>
      <c r="AA242" s="17" t="s">
        <v>1506</v>
      </c>
      <c r="AB242" s="18" t="s">
        <v>1505</v>
      </c>
      <c r="AC242" s="46" cm="1">
        <f t="array" ref="AC242">(SUMPRODUCT((H242:O242/H$9:O$9)^H$7:O$7*H$2:O$2)+SUMPRODUCT((Q242:T242/Q$9:T$9)^Q$7:T$7*Q$2:T$2))*(0.8^(1-G242))*AC$9</f>
        <v>1.883257429889309</v>
      </c>
      <c r="AD242" s="48" cm="1">
        <f t="array" ref="AD242">(SUMPRODUCT((H242:O242/H$9:O$9)^H$7:O$7*H$3:O$3)+SUMPRODUCT((Q242:T242/Q$9:T$9)^Q$7:T$7*Q$3:T$3))*(0.1^(1-G242))*AD$9</f>
        <v>2.0703635639239644</v>
      </c>
      <c r="AE242" s="48" cm="1">
        <f t="array" ref="AE242">(SUMPRODUCT((H242:O242/H$9:O$9)^H$7:O$7*H$4:O$4)+SUMPRODUCT((Q242:T242/Q$9:T$9)^Q$7:T$7*Q$4:T$4))*AE$9</f>
        <v>1.85497194993405</v>
      </c>
      <c r="AF242" s="47" cm="1">
        <f t="array" ref="AF242">(SUMPRODUCT((H242:O242/H$9:O$9)^H$7:O$7*H$5:O$5)+SUMPRODUCT((Q242:T242/Q$9:T$9)^Q$7:T$7*Q$5:T$5))*AF$9</f>
        <v>1.8285920542124221</v>
      </c>
      <c r="AG242" s="50" cm="1">
        <f t="array" ref="AG242">SUMPRODUCT(AC242:AF242 * AC$3:AF$3) / SUM(AC$3:AF$3)</f>
        <v>1.9749515550784966</v>
      </c>
    </row>
    <row r="243" spans="1:33" x14ac:dyDescent="0.25">
      <c r="A243" s="81" t="s">
        <v>1502</v>
      </c>
      <c r="B243" s="20" t="s">
        <v>1504</v>
      </c>
      <c r="C243" s="4" t="s">
        <v>8853</v>
      </c>
      <c r="D243" s="4" t="str">
        <f t="shared" si="3"/>
        <v>GIGABYTE</v>
      </c>
      <c r="E243" s="4" t="s">
        <v>8855</v>
      </c>
      <c r="F243" s="14" t="s">
        <v>8874</v>
      </c>
      <c r="G243" s="9">
        <v>1</v>
      </c>
      <c r="H243" s="1">
        <v>22.2</v>
      </c>
      <c r="I243" s="1">
        <v>22.2</v>
      </c>
      <c r="J243" s="1">
        <v>0.35</v>
      </c>
      <c r="K243" s="3">
        <v>2250</v>
      </c>
      <c r="L243" s="13">
        <v>2550</v>
      </c>
      <c r="M243" s="49">
        <v>121.7</v>
      </c>
      <c r="N243" s="1">
        <v>344.8</v>
      </c>
      <c r="O243" s="3">
        <v>30</v>
      </c>
      <c r="P243" s="11" t="s">
        <v>2275</v>
      </c>
      <c r="Q243" s="3">
        <v>8</v>
      </c>
      <c r="R243" s="3">
        <v>128</v>
      </c>
      <c r="S243" s="22">
        <v>18</v>
      </c>
      <c r="T243" s="9">
        <v>160</v>
      </c>
      <c r="U243" s="14" t="s">
        <v>446</v>
      </c>
      <c r="V243" s="12">
        <v>4</v>
      </c>
      <c r="W243" s="75">
        <v>16</v>
      </c>
      <c r="X243" s="76">
        <v>8</v>
      </c>
      <c r="Y243" s="9">
        <v>431.63</v>
      </c>
      <c r="Z243" s="3">
        <v>570</v>
      </c>
      <c r="AA243" s="17" t="s">
        <v>1503</v>
      </c>
      <c r="AB243" s="18" t="s">
        <v>1502</v>
      </c>
      <c r="AC243" s="46" cm="1">
        <f t="array" ref="AC243">(SUMPRODUCT((H243:O243/H$9:O$9)^H$7:O$7*H$2:O$2)+SUMPRODUCT((Q243:T243/Q$9:T$9)^Q$7:T$7*Q$2:T$2))*(0.8^(1-G243))*AC$9</f>
        <v>1.883257429889309</v>
      </c>
      <c r="AD243" s="48" cm="1">
        <f t="array" ref="AD243">(SUMPRODUCT((H243:O243/H$9:O$9)^H$7:O$7*H$3:O$3)+SUMPRODUCT((Q243:T243/Q$9:T$9)^Q$7:T$7*Q$3:T$3))*(0.1^(1-G243))*AD$9</f>
        <v>2.0703635639239644</v>
      </c>
      <c r="AE243" s="48" cm="1">
        <f t="array" ref="AE243">(SUMPRODUCT((H243:O243/H$9:O$9)^H$7:O$7*H$4:O$4)+SUMPRODUCT((Q243:T243/Q$9:T$9)^Q$7:T$7*Q$4:T$4))*AE$9</f>
        <v>1.85497194993405</v>
      </c>
      <c r="AF243" s="47" cm="1">
        <f t="array" ref="AF243">(SUMPRODUCT((H243:O243/H$9:O$9)^H$7:O$7*H$5:O$5)+SUMPRODUCT((Q243:T243/Q$9:T$9)^Q$7:T$7*Q$5:T$5))*AF$9</f>
        <v>1.8285920542124221</v>
      </c>
      <c r="AG243" s="50" cm="1">
        <f t="array" ref="AG243">SUMPRODUCT(AC243:AF243 * AC$3:AF$3) / SUM(AC$3:AF$3)</f>
        <v>1.9749515550784966</v>
      </c>
    </row>
    <row r="244" spans="1:33" x14ac:dyDescent="0.25">
      <c r="A244" s="81" t="s">
        <v>1265</v>
      </c>
      <c r="B244" s="20" t="s">
        <v>1267</v>
      </c>
      <c r="C244" s="4" t="s">
        <v>8853</v>
      </c>
      <c r="D244" s="4" t="str">
        <f t="shared" si="3"/>
        <v>INNO3D</v>
      </c>
      <c r="E244" s="4" t="s">
        <v>8855</v>
      </c>
      <c r="F244" s="14" t="s">
        <v>8874</v>
      </c>
      <c r="G244" s="9">
        <v>1</v>
      </c>
      <c r="H244" s="1">
        <v>22.59</v>
      </c>
      <c r="I244" s="1">
        <v>22.59</v>
      </c>
      <c r="J244" s="1">
        <v>0.35</v>
      </c>
      <c r="K244" s="3">
        <v>2250</v>
      </c>
      <c r="L244" s="13">
        <v>2595</v>
      </c>
      <c r="M244" s="49">
        <v>121.7</v>
      </c>
      <c r="N244" s="1">
        <v>344.8</v>
      </c>
      <c r="O244" s="3">
        <v>30</v>
      </c>
      <c r="P244" s="11" t="s">
        <v>2275</v>
      </c>
      <c r="Q244" s="3">
        <v>8</v>
      </c>
      <c r="R244" s="3">
        <v>128</v>
      </c>
      <c r="S244" s="22">
        <v>18</v>
      </c>
      <c r="T244" s="9">
        <v>160</v>
      </c>
      <c r="U244" s="14" t="s">
        <v>446</v>
      </c>
      <c r="V244" s="12">
        <v>4</v>
      </c>
      <c r="W244" s="75">
        <v>16</v>
      </c>
      <c r="X244" s="76">
        <v>8</v>
      </c>
      <c r="Y244" s="9">
        <v>484.51</v>
      </c>
      <c r="Z244" s="3">
        <v>620.62</v>
      </c>
      <c r="AA244" s="17" t="s">
        <v>1266</v>
      </c>
      <c r="AB244" s="18" t="s">
        <v>1265</v>
      </c>
      <c r="AC244" s="46" cm="1">
        <f t="array" ref="AC244">(SUMPRODUCT((H244:O244/H$9:O$9)^H$7:O$7*H$2:O$2)+SUMPRODUCT((Q244:T244/Q$9:T$9)^Q$7:T$7*Q$2:T$2))*(0.8^(1-G244))*AC$9</f>
        <v>1.8910336773882861</v>
      </c>
      <c r="AD244" s="48" cm="1">
        <f t="array" ref="AD244">(SUMPRODUCT((H244:O244/H$9:O$9)^H$7:O$7*H$3:O$3)+SUMPRODUCT((Q244:T244/Q$9:T$9)^Q$7:T$7*Q$3:T$3))*(0.1^(1-G244))*AD$9</f>
        <v>2.0921320224453974</v>
      </c>
      <c r="AE244" s="48" cm="1">
        <f t="array" ref="AE244">(SUMPRODUCT((H244:O244/H$9:O$9)^H$7:O$7*H$4:O$4)+SUMPRODUCT((Q244:T244/Q$9:T$9)^Q$7:T$7*Q$4:T$4))*AE$9</f>
        <v>1.8615995140919486</v>
      </c>
      <c r="AF244" s="47" cm="1">
        <f t="array" ref="AF244">(SUMPRODUCT((H244:O244/H$9:O$9)^H$7:O$7*H$5:O$5)+SUMPRODUCT((Q244:T244/Q$9:T$9)^Q$7:T$7*Q$5:T$5))*AF$9</f>
        <v>1.8416253459384304</v>
      </c>
      <c r="AG244" s="50" cm="1">
        <f t="array" ref="AG244">SUMPRODUCT(AC244:AF244 * AC$3:AF$3) / SUM(AC$3:AF$3)</f>
        <v>1.9912497957010009</v>
      </c>
    </row>
    <row r="245" spans="1:33" x14ac:dyDescent="0.25">
      <c r="A245" s="81" t="s">
        <v>1259</v>
      </c>
      <c r="B245" s="20" t="s">
        <v>1261</v>
      </c>
      <c r="C245" s="4" t="s">
        <v>8853</v>
      </c>
      <c r="D245" s="4" t="str">
        <f t="shared" si="3"/>
        <v>INNO3D</v>
      </c>
      <c r="E245" s="4" t="s">
        <v>8855</v>
      </c>
      <c r="F245" s="14" t="s">
        <v>8874</v>
      </c>
      <c r="G245" s="9">
        <v>1</v>
      </c>
      <c r="H245" s="1">
        <v>22.33</v>
      </c>
      <c r="I245" s="1">
        <v>22.33</v>
      </c>
      <c r="J245" s="1">
        <v>0.35</v>
      </c>
      <c r="K245" s="3">
        <v>2250</v>
      </c>
      <c r="L245" s="13">
        <v>2565</v>
      </c>
      <c r="M245" s="49">
        <v>121.7</v>
      </c>
      <c r="N245" s="1">
        <v>344.8</v>
      </c>
      <c r="O245" s="3">
        <v>30</v>
      </c>
      <c r="P245" s="11" t="s">
        <v>2275</v>
      </c>
      <c r="Q245" s="3">
        <v>8</v>
      </c>
      <c r="R245" s="3">
        <v>128</v>
      </c>
      <c r="S245" s="22">
        <v>18</v>
      </c>
      <c r="T245" s="9">
        <v>160</v>
      </c>
      <c r="U245" s="14" t="s">
        <v>446</v>
      </c>
      <c r="V245" s="12">
        <v>4</v>
      </c>
      <c r="W245" s="75">
        <v>16</v>
      </c>
      <c r="X245" s="76">
        <v>8</v>
      </c>
      <c r="Y245" s="9">
        <v>452.57</v>
      </c>
      <c r="Z245" s="3">
        <v>509</v>
      </c>
      <c r="AA245" s="17" t="s">
        <v>1260</v>
      </c>
      <c r="AB245" s="18" t="s">
        <v>1259</v>
      </c>
      <c r="AC245" s="46" cm="1">
        <f t="array" ref="AC245">(SUMPRODUCT((H245:O245/H$9:O$9)^H$7:O$7*H$2:O$2)+SUMPRODUCT((Q245:T245/Q$9:T$9)^Q$7:T$7*Q$2:T$2))*(0.8^(1-G245))*AC$9</f>
        <v>1.8858510235241903</v>
      </c>
      <c r="AD245" s="48" cm="1">
        <f t="array" ref="AD245">(SUMPRODUCT((H245:O245/H$9:O$9)^H$7:O$7*H$3:O$3)+SUMPRODUCT((Q245:T245/Q$9:T$9)^Q$7:T$7*Q$3:T$3))*(0.1^(1-G245))*AD$9</f>
        <v>2.0776250791731625</v>
      </c>
      <c r="AE245" s="48" cm="1">
        <f t="array" ref="AE245">(SUMPRODUCT((H245:O245/H$9:O$9)^H$7:O$7*H$4:O$4)+SUMPRODUCT((Q245:T245/Q$9:T$9)^Q$7:T$7*Q$4:T$4))*AE$9</f>
        <v>1.8571824217748172</v>
      </c>
      <c r="AF245" s="47" cm="1">
        <f t="array" ref="AF245">(SUMPRODUCT((H245:O245/H$9:O$9)^H$7:O$7*H$5:O$5)+SUMPRODUCT((Q245:T245/Q$9:T$9)^Q$7:T$7*Q$5:T$5))*AF$9</f>
        <v>1.8329392021292819</v>
      </c>
      <c r="AG245" s="50" cm="1">
        <f t="array" ref="AG245">SUMPRODUCT(AC245:AF245 * AC$3:AF$3) / SUM(AC$3:AF$3)</f>
        <v>1.980388128457871</v>
      </c>
    </row>
    <row r="246" spans="1:33" x14ac:dyDescent="0.25">
      <c r="A246" s="81" t="s">
        <v>1256</v>
      </c>
      <c r="B246" s="20" t="s">
        <v>1258</v>
      </c>
      <c r="C246" s="4" t="s">
        <v>8853</v>
      </c>
      <c r="D246" s="4" t="str">
        <f t="shared" si="3"/>
        <v>INNO3D</v>
      </c>
      <c r="E246" s="4" t="s">
        <v>8855</v>
      </c>
      <c r="F246" s="14" t="s">
        <v>8874</v>
      </c>
      <c r="G246" s="9">
        <v>1</v>
      </c>
      <c r="H246" s="1">
        <v>22.33</v>
      </c>
      <c r="I246" s="1">
        <v>22.33</v>
      </c>
      <c r="J246" s="1">
        <v>0.35</v>
      </c>
      <c r="K246" s="3">
        <v>2250</v>
      </c>
      <c r="L246" s="13">
        <v>2565</v>
      </c>
      <c r="M246" s="49">
        <v>121.7</v>
      </c>
      <c r="N246" s="1">
        <v>344.8</v>
      </c>
      <c r="O246" s="3">
        <v>30</v>
      </c>
      <c r="P246" s="11" t="s">
        <v>2275</v>
      </c>
      <c r="Q246" s="3">
        <v>8</v>
      </c>
      <c r="R246" s="3">
        <v>128</v>
      </c>
      <c r="S246" s="22">
        <v>18</v>
      </c>
      <c r="T246" s="9">
        <v>160</v>
      </c>
      <c r="U246" s="14" t="s">
        <v>446</v>
      </c>
      <c r="V246" s="12">
        <v>4</v>
      </c>
      <c r="W246" s="75">
        <v>16</v>
      </c>
      <c r="X246" s="76">
        <v>8</v>
      </c>
      <c r="Y246" s="9">
        <v>427</v>
      </c>
      <c r="Z246" s="3">
        <v>496.71</v>
      </c>
      <c r="AA246" s="17" t="s">
        <v>1257</v>
      </c>
      <c r="AB246" s="18" t="s">
        <v>1256</v>
      </c>
      <c r="AC246" s="46" cm="1">
        <f t="array" ref="AC246">(SUMPRODUCT((H246:O246/H$9:O$9)^H$7:O$7*H$2:O$2)+SUMPRODUCT((Q246:T246/Q$9:T$9)^Q$7:T$7*Q$2:T$2))*(0.8^(1-G246))*AC$9</f>
        <v>1.8858510235241903</v>
      </c>
      <c r="AD246" s="48" cm="1">
        <f t="array" ref="AD246">(SUMPRODUCT((H246:O246/H$9:O$9)^H$7:O$7*H$3:O$3)+SUMPRODUCT((Q246:T246/Q$9:T$9)^Q$7:T$7*Q$3:T$3))*(0.1^(1-G246))*AD$9</f>
        <v>2.0776250791731625</v>
      </c>
      <c r="AE246" s="48" cm="1">
        <f t="array" ref="AE246">(SUMPRODUCT((H246:O246/H$9:O$9)^H$7:O$7*H$4:O$4)+SUMPRODUCT((Q246:T246/Q$9:T$9)^Q$7:T$7*Q$4:T$4))*AE$9</f>
        <v>1.8571824217748172</v>
      </c>
      <c r="AF246" s="47" cm="1">
        <f t="array" ref="AF246">(SUMPRODUCT((H246:O246/H$9:O$9)^H$7:O$7*H$5:O$5)+SUMPRODUCT((Q246:T246/Q$9:T$9)^Q$7:T$7*Q$5:T$5))*AF$9</f>
        <v>1.8329392021292819</v>
      </c>
      <c r="AG246" s="50" cm="1">
        <f t="array" ref="AG246">SUMPRODUCT(AC246:AF246 * AC$3:AF$3) / SUM(AC$3:AF$3)</f>
        <v>1.980388128457871</v>
      </c>
    </row>
    <row r="247" spans="1:33" x14ac:dyDescent="0.25">
      <c r="A247" s="81" t="s">
        <v>1250</v>
      </c>
      <c r="B247" s="20" t="s">
        <v>1252</v>
      </c>
      <c r="C247" s="4" t="s">
        <v>8853</v>
      </c>
      <c r="D247" s="4" t="str">
        <f t="shared" si="3"/>
        <v>INNO3D</v>
      </c>
      <c r="E247" s="4" t="s">
        <v>8855</v>
      </c>
      <c r="F247" s="14" t="s">
        <v>8874</v>
      </c>
      <c r="G247" s="9">
        <v>1</v>
      </c>
      <c r="H247" s="1">
        <v>22.06</v>
      </c>
      <c r="I247" s="1">
        <v>22.06</v>
      </c>
      <c r="J247" s="1">
        <v>0.34</v>
      </c>
      <c r="K247" s="3">
        <v>2250</v>
      </c>
      <c r="L247" s="13">
        <v>2535</v>
      </c>
      <c r="M247" s="49">
        <v>121.7</v>
      </c>
      <c r="N247" s="1">
        <v>344.8</v>
      </c>
      <c r="O247" s="3">
        <v>30</v>
      </c>
      <c r="P247" s="11" t="s">
        <v>2275</v>
      </c>
      <c r="Q247" s="3">
        <v>8</v>
      </c>
      <c r="R247" s="3">
        <v>128</v>
      </c>
      <c r="S247" s="22">
        <v>18</v>
      </c>
      <c r="T247" s="9">
        <v>160</v>
      </c>
      <c r="U247" s="14" t="s">
        <v>446</v>
      </c>
      <c r="V247" s="12">
        <v>4</v>
      </c>
      <c r="W247" s="75">
        <v>16</v>
      </c>
      <c r="X247" s="76">
        <v>8</v>
      </c>
      <c r="Y247" s="9">
        <v>422.95</v>
      </c>
      <c r="Z247" s="3">
        <v>565.78</v>
      </c>
      <c r="AA247" s="17" t="s">
        <v>1251</v>
      </c>
      <c r="AB247" s="18" t="s">
        <v>1250</v>
      </c>
      <c r="AC247" s="46" cm="1">
        <f t="array" ref="AC247">(SUMPRODUCT((H247:O247/H$9:O$9)^H$7:O$7*H$2:O$2)+SUMPRODUCT((Q247:T247/Q$9:T$9)^Q$7:T$7*Q$2:T$2))*(0.8^(1-G247))*AC$9</f>
        <v>1.8806055821842671</v>
      </c>
      <c r="AD247" s="48" cm="1">
        <f t="array" ref="AD247">(SUMPRODUCT((H247:O247/H$9:O$9)^H$7:O$7*H$3:O$3)+SUMPRODUCT((Q247:T247/Q$9:T$9)^Q$7:T$7*Q$3:T$3))*(0.1^(1-G247))*AD$9</f>
        <v>2.0596727630552873</v>
      </c>
      <c r="AE247" s="48" cm="1">
        <f t="array" ref="AE247">(SUMPRODUCT((H247:O247/H$9:O$9)^H$7:O$7*H$4:O$4)+SUMPRODUCT((Q247:T247/Q$9:T$9)^Q$7:T$7*Q$4:T$4))*AE$9</f>
        <v>1.8323372569768224</v>
      </c>
      <c r="AF247" s="47" cm="1">
        <f t="array" ref="AF247">(SUMPRODUCT((H247:O247/H$9:O$9)^H$7:O$7*H$5:O$5)+SUMPRODUCT((Q247:T247/Q$9:T$9)^Q$7:T$7*Q$5:T$5))*AF$9</f>
        <v>1.82396462768933</v>
      </c>
      <c r="AG247" s="50" cm="1">
        <f t="array" ref="AG247">SUMPRODUCT(AC247:AF247 * AC$3:AF$3) / SUM(AC$3:AF$3)</f>
        <v>1.9652840430070728</v>
      </c>
    </row>
    <row r="248" spans="1:33" x14ac:dyDescent="0.25">
      <c r="A248" s="81" t="s">
        <v>1247</v>
      </c>
      <c r="B248" s="20" t="s">
        <v>1249</v>
      </c>
      <c r="C248" s="4" t="s">
        <v>8853</v>
      </c>
      <c r="D248" s="4" t="str">
        <f t="shared" si="3"/>
        <v>INNO3D</v>
      </c>
      <c r="E248" s="4" t="s">
        <v>8855</v>
      </c>
      <c r="F248" s="14" t="s">
        <v>8874</v>
      </c>
      <c r="G248" s="9">
        <v>1</v>
      </c>
      <c r="H248" s="1">
        <v>22.33</v>
      </c>
      <c r="I248" s="1">
        <v>22.33</v>
      </c>
      <c r="J248" s="1">
        <v>0.35</v>
      </c>
      <c r="K248" s="3">
        <v>2250</v>
      </c>
      <c r="L248" s="13">
        <v>2565</v>
      </c>
      <c r="M248" s="49">
        <v>121.7</v>
      </c>
      <c r="N248" s="1">
        <v>344.8</v>
      </c>
      <c r="O248" s="3">
        <v>30</v>
      </c>
      <c r="P248" s="11" t="s">
        <v>2275</v>
      </c>
      <c r="Q248" s="3">
        <v>8</v>
      </c>
      <c r="R248" s="3">
        <v>128</v>
      </c>
      <c r="S248" s="22">
        <v>18</v>
      </c>
      <c r="T248" s="9">
        <v>160</v>
      </c>
      <c r="U248" s="14" t="s">
        <v>446</v>
      </c>
      <c r="V248" s="12">
        <v>4</v>
      </c>
      <c r="W248" s="75">
        <v>16</v>
      </c>
      <c r="X248" s="76">
        <v>8</v>
      </c>
      <c r="Y248" s="9">
        <v>445.64</v>
      </c>
      <c r="Z248" s="3">
        <v>858.87</v>
      </c>
      <c r="AA248" s="17" t="s">
        <v>1248</v>
      </c>
      <c r="AB248" s="18" t="s">
        <v>1247</v>
      </c>
      <c r="AC248" s="46" cm="1">
        <f t="array" ref="AC248">(SUMPRODUCT((H248:O248/H$9:O$9)^H$7:O$7*H$2:O$2)+SUMPRODUCT((Q248:T248/Q$9:T$9)^Q$7:T$7*Q$2:T$2))*(0.8^(1-G248))*AC$9</f>
        <v>1.8858510235241903</v>
      </c>
      <c r="AD248" s="48" cm="1">
        <f t="array" ref="AD248">(SUMPRODUCT((H248:O248/H$9:O$9)^H$7:O$7*H$3:O$3)+SUMPRODUCT((Q248:T248/Q$9:T$9)^Q$7:T$7*Q$3:T$3))*(0.1^(1-G248))*AD$9</f>
        <v>2.0776250791731625</v>
      </c>
      <c r="AE248" s="48" cm="1">
        <f t="array" ref="AE248">(SUMPRODUCT((H248:O248/H$9:O$9)^H$7:O$7*H$4:O$4)+SUMPRODUCT((Q248:T248/Q$9:T$9)^Q$7:T$7*Q$4:T$4))*AE$9</f>
        <v>1.8571824217748172</v>
      </c>
      <c r="AF248" s="47" cm="1">
        <f t="array" ref="AF248">(SUMPRODUCT((H248:O248/H$9:O$9)^H$7:O$7*H$5:O$5)+SUMPRODUCT((Q248:T248/Q$9:T$9)^Q$7:T$7*Q$5:T$5))*AF$9</f>
        <v>1.8329392021292819</v>
      </c>
      <c r="AG248" s="50" cm="1">
        <f t="array" ref="AG248">SUMPRODUCT(AC248:AF248 * AC$3:AF$3) / SUM(AC$3:AF$3)</f>
        <v>1.980388128457871</v>
      </c>
    </row>
    <row r="249" spans="1:33" x14ac:dyDescent="0.25">
      <c r="A249" s="81" t="s">
        <v>1062</v>
      </c>
      <c r="B249" s="20" t="s">
        <v>1064</v>
      </c>
      <c r="C249" s="4" t="s">
        <v>8853</v>
      </c>
      <c r="D249" s="4" t="str">
        <f t="shared" si="3"/>
        <v>MSI</v>
      </c>
      <c r="E249" s="4" t="s">
        <v>8855</v>
      </c>
      <c r="F249" s="14" t="s">
        <v>8874</v>
      </c>
      <c r="G249" s="9">
        <v>1</v>
      </c>
      <c r="H249" s="1">
        <v>22.46</v>
      </c>
      <c r="I249" s="1">
        <v>22.46</v>
      </c>
      <c r="J249" s="1">
        <v>0.35</v>
      </c>
      <c r="K249" s="3">
        <v>2250</v>
      </c>
      <c r="L249" s="13">
        <v>2580</v>
      </c>
      <c r="M249" s="49">
        <v>121.7</v>
      </c>
      <c r="N249" s="1">
        <v>344.8</v>
      </c>
      <c r="O249" s="3">
        <v>30</v>
      </c>
      <c r="P249" s="11" t="s">
        <v>2275</v>
      </c>
      <c r="Q249" s="3">
        <v>8</v>
      </c>
      <c r="R249" s="3">
        <v>128</v>
      </c>
      <c r="S249" s="22">
        <v>18</v>
      </c>
      <c r="T249" s="9">
        <v>165</v>
      </c>
      <c r="U249" s="14" t="s">
        <v>446</v>
      </c>
      <c r="V249" s="12">
        <v>4</v>
      </c>
      <c r="W249" s="75">
        <v>16</v>
      </c>
      <c r="X249" s="76">
        <v>8</v>
      </c>
      <c r="Y249" s="9">
        <v>449.9</v>
      </c>
      <c r="Z249" s="3">
        <v>576.38</v>
      </c>
      <c r="AA249" s="17" t="s">
        <v>1063</v>
      </c>
      <c r="AB249" s="18" t="s">
        <v>1062</v>
      </c>
      <c r="AC249" s="46" cm="1">
        <f t="array" ref="AC249">(SUMPRODUCT((H249:O249/H$9:O$9)^H$7:O$7*H$2:O$2)+SUMPRODUCT((Q249:T249/Q$9:T$9)^Q$7:T$7*Q$2:T$2))*(0.8^(1-G249))*AC$9</f>
        <v>1.8879381587761745</v>
      </c>
      <c r="AD249" s="48" cm="1">
        <f t="array" ref="AD249">(SUMPRODUCT((H249:O249/H$9:O$9)^H$7:O$7*H$3:O$3)+SUMPRODUCT((Q249:T249/Q$9:T$9)^Q$7:T$7*Q$3:T$3))*(0.1^(1-G249))*AD$9</f>
        <v>2.0843762762540776</v>
      </c>
      <c r="AE249" s="48" cm="1">
        <f t="array" ref="AE249">(SUMPRODUCT((H249:O249/H$9:O$9)^H$7:O$7*H$4:O$4)+SUMPRODUCT((Q249:T249/Q$9:T$9)^Q$7:T$7*Q$4:T$4))*AE$9</f>
        <v>1.859391607097844</v>
      </c>
      <c r="AF249" s="47" cm="1">
        <f t="array" ref="AF249">(SUMPRODUCT((H249:O249/H$9:O$9)^H$7:O$7*H$5:O$5)+SUMPRODUCT((Q249:T249/Q$9:T$9)^Q$7:T$7*Q$5:T$5))*AF$9</f>
        <v>1.8367786828432309</v>
      </c>
      <c r="AG249" s="50" cm="1">
        <f t="array" ref="AG249">SUMPRODUCT(AC249:AF249 * AC$3:AF$3) / SUM(AC$3:AF$3)</f>
        <v>1.9853720278663713</v>
      </c>
    </row>
    <row r="250" spans="1:33" x14ac:dyDescent="0.25">
      <c r="A250" s="81" t="s">
        <v>1059</v>
      </c>
      <c r="B250" s="20" t="s">
        <v>1061</v>
      </c>
      <c r="C250" s="4" t="s">
        <v>8853</v>
      </c>
      <c r="D250" s="4" t="str">
        <f t="shared" si="3"/>
        <v>MSI</v>
      </c>
      <c r="E250" s="4" t="s">
        <v>8855</v>
      </c>
      <c r="F250" s="14" t="s">
        <v>8874</v>
      </c>
      <c r="G250" s="9">
        <v>1</v>
      </c>
      <c r="H250" s="1">
        <v>22.46</v>
      </c>
      <c r="I250" s="1">
        <v>22.46</v>
      </c>
      <c r="J250" s="1">
        <v>0.35</v>
      </c>
      <c r="K250" s="3">
        <v>2250</v>
      </c>
      <c r="L250" s="13">
        <v>2580</v>
      </c>
      <c r="M250" s="49">
        <v>121.7</v>
      </c>
      <c r="N250" s="1">
        <v>344.8</v>
      </c>
      <c r="O250" s="3">
        <v>30</v>
      </c>
      <c r="P250" s="11" t="s">
        <v>2275</v>
      </c>
      <c r="Q250" s="3">
        <v>8</v>
      </c>
      <c r="R250" s="3">
        <v>128</v>
      </c>
      <c r="S250" s="22">
        <v>18</v>
      </c>
      <c r="T250" s="9">
        <v>165</v>
      </c>
      <c r="U250" s="14" t="s">
        <v>446</v>
      </c>
      <c r="V250" s="12">
        <v>4</v>
      </c>
      <c r="W250" s="75">
        <v>16</v>
      </c>
      <c r="X250" s="76">
        <v>8</v>
      </c>
      <c r="Y250" s="9">
        <v>424.12</v>
      </c>
      <c r="Z250" s="3">
        <v>424.12</v>
      </c>
      <c r="AA250" s="17" t="s">
        <v>1060</v>
      </c>
      <c r="AB250" s="18" t="s">
        <v>1059</v>
      </c>
      <c r="AC250" s="46" cm="1">
        <f t="array" ref="AC250">(SUMPRODUCT((H250:O250/H$9:O$9)^H$7:O$7*H$2:O$2)+SUMPRODUCT((Q250:T250/Q$9:T$9)^Q$7:T$7*Q$2:T$2))*(0.8^(1-G250))*AC$9</f>
        <v>1.8879381587761745</v>
      </c>
      <c r="AD250" s="48" cm="1">
        <f t="array" ref="AD250">(SUMPRODUCT((H250:O250/H$9:O$9)^H$7:O$7*H$3:O$3)+SUMPRODUCT((Q250:T250/Q$9:T$9)^Q$7:T$7*Q$3:T$3))*(0.1^(1-G250))*AD$9</f>
        <v>2.0843762762540776</v>
      </c>
      <c r="AE250" s="48" cm="1">
        <f t="array" ref="AE250">(SUMPRODUCT((H250:O250/H$9:O$9)^H$7:O$7*H$4:O$4)+SUMPRODUCT((Q250:T250/Q$9:T$9)^Q$7:T$7*Q$4:T$4))*AE$9</f>
        <v>1.859391607097844</v>
      </c>
      <c r="AF250" s="47" cm="1">
        <f t="array" ref="AF250">(SUMPRODUCT((H250:O250/H$9:O$9)^H$7:O$7*H$5:O$5)+SUMPRODUCT((Q250:T250/Q$9:T$9)^Q$7:T$7*Q$5:T$5))*AF$9</f>
        <v>1.8367786828432309</v>
      </c>
      <c r="AG250" s="50" cm="1">
        <f t="array" ref="AG250">SUMPRODUCT(AC250:AF250 * AC$3:AF$3) / SUM(AC$3:AF$3)</f>
        <v>1.9853720278663713</v>
      </c>
    </row>
    <row r="251" spans="1:33" x14ac:dyDescent="0.25">
      <c r="A251" s="81" t="s">
        <v>1053</v>
      </c>
      <c r="B251" s="20" t="s">
        <v>1055</v>
      </c>
      <c r="C251" s="4" t="s">
        <v>8853</v>
      </c>
      <c r="D251" s="4" t="str">
        <f t="shared" si="3"/>
        <v>MSI</v>
      </c>
      <c r="E251" s="4" t="s">
        <v>8855</v>
      </c>
      <c r="F251" s="14" t="s">
        <v>8874</v>
      </c>
      <c r="G251" s="9">
        <v>1</v>
      </c>
      <c r="H251" s="1">
        <v>23.11</v>
      </c>
      <c r="I251" s="1">
        <v>23.11</v>
      </c>
      <c r="J251" s="1">
        <v>0.36</v>
      </c>
      <c r="K251" s="3">
        <v>2250</v>
      </c>
      <c r="L251" s="13">
        <v>2655</v>
      </c>
      <c r="M251" s="49">
        <v>121.7</v>
      </c>
      <c r="N251" s="1">
        <v>344.8</v>
      </c>
      <c r="O251" s="3">
        <v>30</v>
      </c>
      <c r="P251" s="11" t="s">
        <v>2275</v>
      </c>
      <c r="Q251" s="3">
        <v>8</v>
      </c>
      <c r="R251" s="3">
        <v>128</v>
      </c>
      <c r="S251" s="22">
        <v>18</v>
      </c>
      <c r="T251" s="9">
        <v>160</v>
      </c>
      <c r="U251" s="14" t="s">
        <v>446</v>
      </c>
      <c r="V251" s="12">
        <v>4</v>
      </c>
      <c r="W251" s="75">
        <v>16</v>
      </c>
      <c r="X251" s="76">
        <v>8</v>
      </c>
      <c r="Y251" s="9">
        <v>522.1</v>
      </c>
      <c r="Z251" s="3">
        <v>697.99</v>
      </c>
      <c r="AA251" s="17" t="s">
        <v>1054</v>
      </c>
      <c r="AB251" s="18" t="s">
        <v>1053</v>
      </c>
      <c r="AC251" s="46" cm="1">
        <f t="array" ref="AC251">(SUMPRODUCT((H251:O251/H$9:O$9)^H$7:O$7*H$2:O$2)+SUMPRODUCT((Q251:T251/Q$9:T$9)^Q$7:T$7*Q$2:T$2))*(0.8^(1-G251))*AC$9</f>
        <v>1.9013811181935352</v>
      </c>
      <c r="AD251" s="48" cm="1">
        <f t="array" ref="AD251">(SUMPRODUCT((H251:O251/H$9:O$9)^H$7:O$7*H$3:O$3)+SUMPRODUCT((Q251:T251/Q$9:T$9)^Q$7:T$7*Q$3:T$3))*(0.1^(1-G251))*AD$9</f>
        <v>2.1239592908017606</v>
      </c>
      <c r="AE251" s="48" cm="1">
        <f t="array" ref="AE251">(SUMPRODUCT((H251:O251/H$9:O$9)^H$7:O$7*H$4:O$4)+SUMPRODUCT((Q251:T251/Q$9:T$9)^Q$7:T$7*Q$4:T$4))*AE$9</f>
        <v>1.8905558385488885</v>
      </c>
      <c r="AF251" s="47" cm="1">
        <f t="array" ref="AF251">(SUMPRODUCT((H251:O251/H$9:O$9)^H$7:O$7*H$5:O$5)+SUMPRODUCT((Q251:T251/Q$9:T$9)^Q$7:T$7*Q$5:T$5))*AF$9</f>
        <v>1.8589655083994447</v>
      </c>
      <c r="AG251" s="50" cm="1">
        <f t="array" ref="AG251">SUMPRODUCT(AC251:AF251 * AC$3:AF$3) / SUM(AC$3:AF$3)</f>
        <v>2.0167635813830178</v>
      </c>
    </row>
    <row r="252" spans="1:33" x14ac:dyDescent="0.25">
      <c r="A252" s="81" t="s">
        <v>1047</v>
      </c>
      <c r="B252" s="20" t="s">
        <v>1049</v>
      </c>
      <c r="C252" s="4" t="s">
        <v>8853</v>
      </c>
      <c r="D252" s="4" t="str">
        <f t="shared" si="3"/>
        <v>MSI</v>
      </c>
      <c r="E252" s="4" t="s">
        <v>8855</v>
      </c>
      <c r="F252" s="14" t="s">
        <v>8874</v>
      </c>
      <c r="G252" s="9">
        <v>1</v>
      </c>
      <c r="H252" s="1">
        <v>23.37</v>
      </c>
      <c r="I252" s="1">
        <v>23.37</v>
      </c>
      <c r="J252" s="1">
        <v>0.37</v>
      </c>
      <c r="K252" s="3">
        <v>2250</v>
      </c>
      <c r="L252" s="13">
        <v>2685</v>
      </c>
      <c r="M252" s="49">
        <v>121.7</v>
      </c>
      <c r="N252" s="1">
        <v>344.8</v>
      </c>
      <c r="O252" s="3">
        <v>30</v>
      </c>
      <c r="P252" s="11" t="s">
        <v>2275</v>
      </c>
      <c r="Q252" s="3">
        <v>8</v>
      </c>
      <c r="R252" s="3">
        <v>128</v>
      </c>
      <c r="S252" s="22">
        <v>18</v>
      </c>
      <c r="T252" s="9">
        <v>160</v>
      </c>
      <c r="U252" s="14" t="s">
        <v>446</v>
      </c>
      <c r="V252" s="12">
        <v>4</v>
      </c>
      <c r="W252" s="75">
        <v>16</v>
      </c>
      <c r="X252" s="76">
        <v>8</v>
      </c>
      <c r="Y252" s="9">
        <v>460.47</v>
      </c>
      <c r="Z252" s="3">
        <v>880.52</v>
      </c>
      <c r="AA252" s="17" t="s">
        <v>1048</v>
      </c>
      <c r="AB252" s="18" t="s">
        <v>1047</v>
      </c>
      <c r="AC252" s="46" cm="1">
        <f t="array" ref="AC252">(SUMPRODUCT((H252:O252/H$9:O$9)^H$7:O$7*H$2:O$2)+SUMPRODUCT((Q252:T252/Q$9:T$9)^Q$7:T$7*Q$2:T$2))*(0.8^(1-G252))*AC$9</f>
        <v>1.9065460534621956</v>
      </c>
      <c r="AD252" s="48" cm="1">
        <f t="array" ref="AD252">(SUMPRODUCT((H252:O252/H$9:O$9)^H$7:O$7*H$3:O$3)+SUMPRODUCT((Q252:T252/Q$9:T$9)^Q$7:T$7*Q$3:T$3))*(0.1^(1-G252))*AD$9</f>
        <v>2.1412642156870181</v>
      </c>
      <c r="AE252" s="48" cm="1">
        <f t="array" ref="AE252">(SUMPRODUCT((H252:O252/H$9:O$9)^H$7:O$7*H$4:O$4)+SUMPRODUCT((Q252:T252/Q$9:T$9)^Q$7:T$7*Q$4:T$4))*AE$9</f>
        <v>1.914983616760269</v>
      </c>
      <c r="AF252" s="47" cm="1">
        <f t="array" ref="AF252">(SUMPRODUCT((H252:O252/H$9:O$9)^H$7:O$7*H$5:O$5)+SUMPRODUCT((Q252:T252/Q$9:T$9)^Q$7:T$7*Q$5:T$5))*AF$9</f>
        <v>1.8676197956237406</v>
      </c>
      <c r="AG252" s="50" cm="1">
        <f t="array" ref="AG252">SUMPRODUCT(AC252:AF252 * AC$3:AF$3) / SUM(AC$3:AF$3)</f>
        <v>2.0313948298693627</v>
      </c>
    </row>
    <row r="253" spans="1:33" x14ac:dyDescent="0.25">
      <c r="A253" s="81" t="s">
        <v>1042</v>
      </c>
      <c r="B253" s="20" t="s">
        <v>1044</v>
      </c>
      <c r="C253" s="4" t="s">
        <v>8853</v>
      </c>
      <c r="D253" s="4" t="str">
        <f t="shared" si="3"/>
        <v>MSI</v>
      </c>
      <c r="E253" s="4" t="s">
        <v>8855</v>
      </c>
      <c r="F253" s="14" t="s">
        <v>8874</v>
      </c>
      <c r="G253" s="9">
        <v>1</v>
      </c>
      <c r="H253" s="1">
        <v>23.37</v>
      </c>
      <c r="I253" s="1">
        <v>23.37</v>
      </c>
      <c r="J253" s="1">
        <v>0.37</v>
      </c>
      <c r="K253" s="3">
        <v>2250</v>
      </c>
      <c r="L253" s="13">
        <v>2685</v>
      </c>
      <c r="M253" s="49">
        <v>121.7</v>
      </c>
      <c r="N253" s="1">
        <v>344.8</v>
      </c>
      <c r="O253" s="3">
        <v>30</v>
      </c>
      <c r="P253" s="11" t="s">
        <v>2275</v>
      </c>
      <c r="Q253" s="3">
        <v>8</v>
      </c>
      <c r="R253" s="3">
        <v>128</v>
      </c>
      <c r="S253" s="22">
        <v>18</v>
      </c>
      <c r="T253" s="9">
        <v>160</v>
      </c>
      <c r="U253" s="14" t="s">
        <v>446</v>
      </c>
      <c r="V253" s="12">
        <v>4</v>
      </c>
      <c r="W253" s="75">
        <v>16</v>
      </c>
      <c r="X253" s="76">
        <v>8</v>
      </c>
      <c r="Y253" s="9">
        <v>993.1</v>
      </c>
      <c r="Z253" s="3">
        <v>993.1</v>
      </c>
      <c r="AA253" s="17" t="s">
        <v>1043</v>
      </c>
      <c r="AB253" s="18" t="s">
        <v>1042</v>
      </c>
      <c r="AC253" s="46" cm="1">
        <f t="array" ref="AC253">(SUMPRODUCT((H253:O253/H$9:O$9)^H$7:O$7*H$2:O$2)+SUMPRODUCT((Q253:T253/Q$9:T$9)^Q$7:T$7*Q$2:T$2))*(0.8^(1-G253))*AC$9</f>
        <v>1.9065460534621956</v>
      </c>
      <c r="AD253" s="48" cm="1">
        <f t="array" ref="AD253">(SUMPRODUCT((H253:O253/H$9:O$9)^H$7:O$7*H$3:O$3)+SUMPRODUCT((Q253:T253/Q$9:T$9)^Q$7:T$7*Q$3:T$3))*(0.1^(1-G253))*AD$9</f>
        <v>2.1412642156870181</v>
      </c>
      <c r="AE253" s="48" cm="1">
        <f t="array" ref="AE253">(SUMPRODUCT((H253:O253/H$9:O$9)^H$7:O$7*H$4:O$4)+SUMPRODUCT((Q253:T253/Q$9:T$9)^Q$7:T$7*Q$4:T$4))*AE$9</f>
        <v>1.914983616760269</v>
      </c>
      <c r="AF253" s="47" cm="1">
        <f t="array" ref="AF253">(SUMPRODUCT((H253:O253/H$9:O$9)^H$7:O$7*H$5:O$5)+SUMPRODUCT((Q253:T253/Q$9:T$9)^Q$7:T$7*Q$5:T$5))*AF$9</f>
        <v>1.8676197956237406</v>
      </c>
      <c r="AG253" s="50" cm="1">
        <f t="array" ref="AG253">SUMPRODUCT(AC253:AF253 * AC$3:AF$3) / SUM(AC$3:AF$3)</f>
        <v>2.0313948298693627</v>
      </c>
    </row>
    <row r="254" spans="1:33" x14ac:dyDescent="0.25">
      <c r="A254" s="81" t="s">
        <v>1036</v>
      </c>
      <c r="B254" s="20" t="s">
        <v>1038</v>
      </c>
      <c r="C254" s="4" t="s">
        <v>8853</v>
      </c>
      <c r="D254" s="4" t="str">
        <f t="shared" si="3"/>
        <v>MSI</v>
      </c>
      <c r="E254" s="4" t="s">
        <v>8855</v>
      </c>
      <c r="F254" s="14" t="s">
        <v>8874</v>
      </c>
      <c r="G254" s="9">
        <v>1</v>
      </c>
      <c r="H254" s="1">
        <v>22.46</v>
      </c>
      <c r="I254" s="1">
        <v>22.46</v>
      </c>
      <c r="J254" s="1">
        <v>0.35</v>
      </c>
      <c r="K254" s="3">
        <v>2250</v>
      </c>
      <c r="L254" s="13">
        <v>2580</v>
      </c>
      <c r="M254" s="49">
        <v>121.7</v>
      </c>
      <c r="N254" s="1">
        <v>344.8</v>
      </c>
      <c r="O254" s="3">
        <v>30</v>
      </c>
      <c r="P254" s="11" t="s">
        <v>2275</v>
      </c>
      <c r="Q254" s="3">
        <v>8</v>
      </c>
      <c r="R254" s="3">
        <v>128</v>
      </c>
      <c r="S254" s="22">
        <v>18</v>
      </c>
      <c r="T254" s="9">
        <v>160</v>
      </c>
      <c r="U254" s="14" t="s">
        <v>446</v>
      </c>
      <c r="V254" s="12">
        <v>4</v>
      </c>
      <c r="W254" s="75">
        <v>16</v>
      </c>
      <c r="X254" s="76">
        <v>8</v>
      </c>
      <c r="Y254" s="9">
        <v>424.12</v>
      </c>
      <c r="Z254" s="3">
        <v>684.65</v>
      </c>
      <c r="AA254" s="17" t="s">
        <v>1037</v>
      </c>
      <c r="AB254" s="18" t="s">
        <v>1036</v>
      </c>
      <c r="AC254" s="46" cm="1">
        <f t="array" ref="AC254">(SUMPRODUCT((H254:O254/H$9:O$9)^H$7:O$7*H$2:O$2)+SUMPRODUCT((Q254:T254/Q$9:T$9)^Q$7:T$7*Q$2:T$2))*(0.8^(1-G254))*AC$9</f>
        <v>1.8884431028005353</v>
      </c>
      <c r="AD254" s="48" cm="1">
        <f t="array" ref="AD254">(SUMPRODUCT((H254:O254/H$9:O$9)^H$7:O$7*H$3:O$3)+SUMPRODUCT((Q254:T254/Q$9:T$9)^Q$7:T$7*Q$3:T$3))*(0.1^(1-G254))*AD$9</f>
        <v>2.0848812202784388</v>
      </c>
      <c r="AE254" s="48" cm="1">
        <f t="array" ref="AE254">(SUMPRODUCT((H254:O254/H$9:O$9)^H$7:O$7*H$4:O$4)+SUMPRODUCT((Q254:T254/Q$9:T$9)^Q$7:T$7*Q$4:T$4))*AE$9</f>
        <v>1.859391607097844</v>
      </c>
      <c r="AF254" s="47" cm="1">
        <f t="array" ref="AF254">(SUMPRODUCT((H254:O254/H$9:O$9)^H$7:O$7*H$5:O$5)+SUMPRODUCT((Q254:T254/Q$9:T$9)^Q$7:T$7*Q$5:T$5))*AF$9</f>
        <v>1.8372836268675918</v>
      </c>
      <c r="AG254" s="50" cm="1">
        <f t="array" ref="AG254">SUMPRODUCT(AC254:AF254 * AC$3:AF$3) / SUM(AC$3:AF$3)</f>
        <v>1.9858208669991366</v>
      </c>
    </row>
    <row r="255" spans="1:33" x14ac:dyDescent="0.25">
      <c r="A255" s="81" t="s">
        <v>1030</v>
      </c>
      <c r="B255" s="20" t="s">
        <v>1032</v>
      </c>
      <c r="C255" s="4" t="s">
        <v>8853</v>
      </c>
      <c r="D255" s="4" t="str">
        <f t="shared" si="3"/>
        <v>MSI</v>
      </c>
      <c r="E255" s="4" t="s">
        <v>8855</v>
      </c>
      <c r="F255" s="14" t="s">
        <v>8874</v>
      </c>
      <c r="G255" s="9">
        <v>1</v>
      </c>
      <c r="H255" s="1">
        <v>22.46</v>
      </c>
      <c r="I255" s="1">
        <v>22.46</v>
      </c>
      <c r="J255" s="1">
        <v>0.35</v>
      </c>
      <c r="K255" s="3">
        <v>2250</v>
      </c>
      <c r="L255" s="13">
        <v>2580</v>
      </c>
      <c r="M255" s="49">
        <v>121.7</v>
      </c>
      <c r="N255" s="1">
        <v>344.8</v>
      </c>
      <c r="O255" s="3">
        <v>30</v>
      </c>
      <c r="P255" s="11" t="s">
        <v>2275</v>
      </c>
      <c r="Q255" s="3">
        <v>8</v>
      </c>
      <c r="R255" s="3">
        <v>128</v>
      </c>
      <c r="S255" s="22">
        <v>18</v>
      </c>
      <c r="T255" s="9">
        <v>160</v>
      </c>
      <c r="U255" s="14" t="s">
        <v>446</v>
      </c>
      <c r="V255" s="12">
        <v>4</v>
      </c>
      <c r="W255" s="75">
        <v>16</v>
      </c>
      <c r="X255" s="76">
        <v>8</v>
      </c>
      <c r="Y255" s="9">
        <v>507.65</v>
      </c>
      <c r="Z255" s="3">
        <v>740.24</v>
      </c>
      <c r="AA255" s="17" t="s">
        <v>1031</v>
      </c>
      <c r="AB255" s="18" t="s">
        <v>1030</v>
      </c>
      <c r="AC255" s="46" cm="1">
        <f t="array" ref="AC255">(SUMPRODUCT((H255:O255/H$9:O$9)^H$7:O$7*H$2:O$2)+SUMPRODUCT((Q255:T255/Q$9:T$9)^Q$7:T$7*Q$2:T$2))*(0.8^(1-G255))*AC$9</f>
        <v>1.8884431028005353</v>
      </c>
      <c r="AD255" s="48" cm="1">
        <f t="array" ref="AD255">(SUMPRODUCT((H255:O255/H$9:O$9)^H$7:O$7*H$3:O$3)+SUMPRODUCT((Q255:T255/Q$9:T$9)^Q$7:T$7*Q$3:T$3))*(0.1^(1-G255))*AD$9</f>
        <v>2.0848812202784388</v>
      </c>
      <c r="AE255" s="48" cm="1">
        <f t="array" ref="AE255">(SUMPRODUCT((H255:O255/H$9:O$9)^H$7:O$7*H$4:O$4)+SUMPRODUCT((Q255:T255/Q$9:T$9)^Q$7:T$7*Q$4:T$4))*AE$9</f>
        <v>1.859391607097844</v>
      </c>
      <c r="AF255" s="47" cm="1">
        <f t="array" ref="AF255">(SUMPRODUCT((H255:O255/H$9:O$9)^H$7:O$7*H$5:O$5)+SUMPRODUCT((Q255:T255/Q$9:T$9)^Q$7:T$7*Q$5:T$5))*AF$9</f>
        <v>1.8372836268675918</v>
      </c>
      <c r="AG255" s="50" cm="1">
        <f t="array" ref="AG255">SUMPRODUCT(AC255:AF255 * AC$3:AF$3) / SUM(AC$3:AF$3)</f>
        <v>1.9858208669991366</v>
      </c>
    </row>
    <row r="256" spans="1:33" x14ac:dyDescent="0.25">
      <c r="A256" s="81" t="s">
        <v>1027</v>
      </c>
      <c r="B256" s="20" t="s">
        <v>1029</v>
      </c>
      <c r="C256" s="4" t="s">
        <v>8853</v>
      </c>
      <c r="D256" s="4" t="str">
        <f t="shared" si="3"/>
        <v>MSI</v>
      </c>
      <c r="E256" s="4" t="s">
        <v>8855</v>
      </c>
      <c r="F256" s="14" t="s">
        <v>8874</v>
      </c>
      <c r="G256" s="9">
        <v>1</v>
      </c>
      <c r="H256" s="1">
        <v>22.46</v>
      </c>
      <c r="I256" s="1">
        <v>22.46</v>
      </c>
      <c r="J256" s="1">
        <v>0.35</v>
      </c>
      <c r="K256" s="3">
        <v>2250</v>
      </c>
      <c r="L256" s="13">
        <v>2580</v>
      </c>
      <c r="M256" s="49">
        <v>121.7</v>
      </c>
      <c r="N256" s="1">
        <v>344.8</v>
      </c>
      <c r="O256" s="3">
        <v>30</v>
      </c>
      <c r="P256" s="11" t="s">
        <v>2275</v>
      </c>
      <c r="Q256" s="3">
        <v>8</v>
      </c>
      <c r="R256" s="3">
        <v>128</v>
      </c>
      <c r="S256" s="22">
        <v>18</v>
      </c>
      <c r="T256" s="9">
        <v>160</v>
      </c>
      <c r="U256" s="14" t="s">
        <v>446</v>
      </c>
      <c r="V256" s="12">
        <v>4</v>
      </c>
      <c r="W256" s="75">
        <v>16</v>
      </c>
      <c r="X256" s="76">
        <v>8</v>
      </c>
      <c r="Y256" s="9">
        <v>460.47</v>
      </c>
      <c r="Z256" s="3">
        <v>786.15</v>
      </c>
      <c r="AA256" s="17" t="s">
        <v>1028</v>
      </c>
      <c r="AB256" s="18" t="s">
        <v>1027</v>
      </c>
      <c r="AC256" s="46" cm="1">
        <f t="array" ref="AC256">(SUMPRODUCT((H256:O256/H$9:O$9)^H$7:O$7*H$2:O$2)+SUMPRODUCT((Q256:T256/Q$9:T$9)^Q$7:T$7*Q$2:T$2))*(0.8^(1-G256))*AC$9</f>
        <v>1.8884431028005353</v>
      </c>
      <c r="AD256" s="48" cm="1">
        <f t="array" ref="AD256">(SUMPRODUCT((H256:O256/H$9:O$9)^H$7:O$7*H$3:O$3)+SUMPRODUCT((Q256:T256/Q$9:T$9)^Q$7:T$7*Q$3:T$3))*(0.1^(1-G256))*AD$9</f>
        <v>2.0848812202784388</v>
      </c>
      <c r="AE256" s="48" cm="1">
        <f t="array" ref="AE256">(SUMPRODUCT((H256:O256/H$9:O$9)^H$7:O$7*H$4:O$4)+SUMPRODUCT((Q256:T256/Q$9:T$9)^Q$7:T$7*Q$4:T$4))*AE$9</f>
        <v>1.859391607097844</v>
      </c>
      <c r="AF256" s="47" cm="1">
        <f t="array" ref="AF256">(SUMPRODUCT((H256:O256/H$9:O$9)^H$7:O$7*H$5:O$5)+SUMPRODUCT((Q256:T256/Q$9:T$9)^Q$7:T$7*Q$5:T$5))*AF$9</f>
        <v>1.8372836268675918</v>
      </c>
      <c r="AG256" s="50" cm="1">
        <f t="array" ref="AG256">SUMPRODUCT(AC256:AF256 * AC$3:AF$3) / SUM(AC$3:AF$3)</f>
        <v>1.9858208669991366</v>
      </c>
    </row>
    <row r="257" spans="1:33" x14ac:dyDescent="0.25">
      <c r="A257" s="81" t="s">
        <v>727</v>
      </c>
      <c r="B257" s="20" t="s">
        <v>729</v>
      </c>
      <c r="C257" s="4" t="s">
        <v>8853</v>
      </c>
      <c r="D257" s="4" t="str">
        <f t="shared" si="3"/>
        <v>Palit</v>
      </c>
      <c r="E257" s="4" t="s">
        <v>8855</v>
      </c>
      <c r="F257" s="14" t="s">
        <v>8874</v>
      </c>
      <c r="G257" s="9">
        <v>1</v>
      </c>
      <c r="H257" s="1">
        <v>23.37</v>
      </c>
      <c r="I257" s="1">
        <v>23.37</v>
      </c>
      <c r="J257" s="1">
        <v>0.37</v>
      </c>
      <c r="K257" s="3">
        <v>2250</v>
      </c>
      <c r="L257" s="13">
        <v>2685</v>
      </c>
      <c r="M257" s="49">
        <v>121.7</v>
      </c>
      <c r="N257" s="1">
        <v>344.8</v>
      </c>
      <c r="O257" s="3">
        <v>30</v>
      </c>
      <c r="P257" s="11" t="s">
        <v>2275</v>
      </c>
      <c r="Q257" s="3">
        <v>8</v>
      </c>
      <c r="R257" s="3">
        <v>128</v>
      </c>
      <c r="S257" s="22">
        <v>18</v>
      </c>
      <c r="T257" s="9">
        <v>160</v>
      </c>
      <c r="U257" s="14" t="s">
        <v>446</v>
      </c>
      <c r="V257" s="12">
        <v>4</v>
      </c>
      <c r="W257" s="75">
        <v>16</v>
      </c>
      <c r="X257" s="76">
        <v>8</v>
      </c>
      <c r="Y257" s="9">
        <v>500.52</v>
      </c>
      <c r="Z257" s="3">
        <v>564.14</v>
      </c>
      <c r="AA257" s="17" t="s">
        <v>728</v>
      </c>
      <c r="AB257" s="18" t="s">
        <v>727</v>
      </c>
      <c r="AC257" s="46" cm="1">
        <f t="array" ref="AC257">(SUMPRODUCT((H257:O257/H$9:O$9)^H$7:O$7*H$2:O$2)+SUMPRODUCT((Q257:T257/Q$9:T$9)^Q$7:T$7*Q$2:T$2))*(0.8^(1-G257))*AC$9</f>
        <v>1.9065460534621956</v>
      </c>
      <c r="AD257" s="48" cm="1">
        <f t="array" ref="AD257">(SUMPRODUCT((H257:O257/H$9:O$9)^H$7:O$7*H$3:O$3)+SUMPRODUCT((Q257:T257/Q$9:T$9)^Q$7:T$7*Q$3:T$3))*(0.1^(1-G257))*AD$9</f>
        <v>2.1412642156870181</v>
      </c>
      <c r="AE257" s="48" cm="1">
        <f t="array" ref="AE257">(SUMPRODUCT((H257:O257/H$9:O$9)^H$7:O$7*H$4:O$4)+SUMPRODUCT((Q257:T257/Q$9:T$9)^Q$7:T$7*Q$4:T$4))*AE$9</f>
        <v>1.914983616760269</v>
      </c>
      <c r="AF257" s="47" cm="1">
        <f t="array" ref="AF257">(SUMPRODUCT((H257:O257/H$9:O$9)^H$7:O$7*H$5:O$5)+SUMPRODUCT((Q257:T257/Q$9:T$9)^Q$7:T$7*Q$5:T$5))*AF$9</f>
        <v>1.8676197956237406</v>
      </c>
      <c r="AG257" s="50" cm="1">
        <f t="array" ref="AG257">SUMPRODUCT(AC257:AF257 * AC$3:AF$3) / SUM(AC$3:AF$3)</f>
        <v>2.0313948298693627</v>
      </c>
    </row>
    <row r="258" spans="1:33" x14ac:dyDescent="0.25">
      <c r="A258" s="81" t="s">
        <v>724</v>
      </c>
      <c r="B258" s="20" t="s">
        <v>726</v>
      </c>
      <c r="C258" s="4" t="s">
        <v>8853</v>
      </c>
      <c r="D258" s="4" t="str">
        <f t="shared" si="3"/>
        <v>Palit</v>
      </c>
      <c r="E258" s="4" t="s">
        <v>8855</v>
      </c>
      <c r="F258" s="14" t="s">
        <v>8874</v>
      </c>
      <c r="G258" s="9">
        <v>1</v>
      </c>
      <c r="H258" s="1">
        <v>21.98</v>
      </c>
      <c r="I258" s="1">
        <v>21.98</v>
      </c>
      <c r="J258" s="1">
        <v>0.34</v>
      </c>
      <c r="K258" s="3">
        <v>2250</v>
      </c>
      <c r="L258" s="13">
        <v>2525</v>
      </c>
      <c r="M258" s="49">
        <v>121.7</v>
      </c>
      <c r="N258" s="1">
        <v>344.8</v>
      </c>
      <c r="O258" s="3">
        <v>30</v>
      </c>
      <c r="P258" s="11" t="s">
        <v>2275</v>
      </c>
      <c r="Q258" s="3">
        <v>8</v>
      </c>
      <c r="R258" s="3">
        <v>128</v>
      </c>
      <c r="S258" s="22">
        <v>18</v>
      </c>
      <c r="T258" s="9">
        <v>160</v>
      </c>
      <c r="U258" s="14" t="s">
        <v>446</v>
      </c>
      <c r="V258" s="12">
        <v>4</v>
      </c>
      <c r="W258" s="75">
        <v>16</v>
      </c>
      <c r="X258" s="76">
        <v>8</v>
      </c>
      <c r="Y258" s="9">
        <v>461.52</v>
      </c>
      <c r="Z258" s="3">
        <v>562</v>
      </c>
      <c r="AA258" s="17" t="s">
        <v>725</v>
      </c>
      <c r="AB258" s="18" t="s">
        <v>724</v>
      </c>
      <c r="AC258" s="46" cm="1">
        <f t="array" ref="AC258">(SUMPRODUCT((H258:O258/H$9:O$9)^H$7:O$7*H$2:O$2)+SUMPRODUCT((Q258:T258/Q$9:T$9)^Q$7:T$7*Q$2:T$2))*(0.8^(1-G258))*AC$9</f>
        <v>1.8789124648161319</v>
      </c>
      <c r="AD258" s="48" cm="1">
        <f t="array" ref="AD258">(SUMPRODUCT((H258:O258/H$9:O$9)^H$7:O$7*H$3:O$3)+SUMPRODUCT((Q258:T258/Q$9:T$9)^Q$7:T$7*Q$3:T$3))*(0.1^(1-G258))*AD$9</f>
        <v>2.0551787888518316</v>
      </c>
      <c r="AE258" s="48" cm="1">
        <f t="array" ref="AE258">(SUMPRODUCT((H258:O258/H$9:O$9)^H$7:O$7*H$4:O$4)+SUMPRODUCT((Q258:T258/Q$9:T$9)^Q$7:T$7*Q$4:T$4))*AE$9</f>
        <v>1.8309754607755653</v>
      </c>
      <c r="AF258" s="47" cm="1">
        <f t="array" ref="AF258">(SUMPRODUCT((H258:O258/H$9:O$9)^H$7:O$7*H$5:O$5)+SUMPRODUCT((Q258:T258/Q$9:T$9)^Q$7:T$7*Q$5:T$5))*AF$9</f>
        <v>1.8212481571547499</v>
      </c>
      <c r="AG258" s="50" cm="1">
        <f t="array" ref="AG258">SUMPRODUCT(AC258:AF258 * AC$3:AF$3) / SUM(AC$3:AF$3)</f>
        <v>1.9619011486656719</v>
      </c>
    </row>
    <row r="259" spans="1:33" x14ac:dyDescent="0.25">
      <c r="A259" s="81" t="s">
        <v>721</v>
      </c>
      <c r="B259" s="20" t="s">
        <v>723</v>
      </c>
      <c r="C259" s="4" t="s">
        <v>8853</v>
      </c>
      <c r="D259" s="4" t="str">
        <f t="shared" si="3"/>
        <v>Palit</v>
      </c>
      <c r="E259" s="4" t="s">
        <v>8855</v>
      </c>
      <c r="F259" s="14" t="s">
        <v>8874</v>
      </c>
      <c r="G259" s="9">
        <v>1</v>
      </c>
      <c r="H259" s="1">
        <v>22.06</v>
      </c>
      <c r="I259" s="1">
        <v>22.06</v>
      </c>
      <c r="J259" s="1">
        <v>0.34</v>
      </c>
      <c r="K259" s="3">
        <v>2250</v>
      </c>
      <c r="L259" s="13">
        <v>2535</v>
      </c>
      <c r="M259" s="49">
        <v>121.7</v>
      </c>
      <c r="N259" s="1">
        <v>344.8</v>
      </c>
      <c r="O259" s="3">
        <v>30</v>
      </c>
      <c r="P259" s="11" t="s">
        <v>2275</v>
      </c>
      <c r="Q259" s="3">
        <v>8</v>
      </c>
      <c r="R259" s="3">
        <v>128</v>
      </c>
      <c r="S259" s="22">
        <v>18</v>
      </c>
      <c r="T259" s="9">
        <v>160</v>
      </c>
      <c r="U259" s="14" t="s">
        <v>446</v>
      </c>
      <c r="V259" s="12">
        <v>4</v>
      </c>
      <c r="W259" s="75">
        <v>16</v>
      </c>
      <c r="X259" s="76">
        <v>8</v>
      </c>
      <c r="Y259" s="9">
        <v>407.9</v>
      </c>
      <c r="Z259" s="3">
        <v>680</v>
      </c>
      <c r="AA259" s="17" t="s">
        <v>722</v>
      </c>
      <c r="AB259" s="18" t="s">
        <v>721</v>
      </c>
      <c r="AC259" s="46" cm="1">
        <f t="array" ref="AC259">(SUMPRODUCT((H259:O259/H$9:O$9)^H$7:O$7*H$2:O$2)+SUMPRODUCT((Q259:T259/Q$9:T$9)^Q$7:T$7*Q$2:T$2))*(0.8^(1-G259))*AC$9</f>
        <v>1.8806055821842671</v>
      </c>
      <c r="AD259" s="48" cm="1">
        <f t="array" ref="AD259">(SUMPRODUCT((H259:O259/H$9:O$9)^H$7:O$7*H$3:O$3)+SUMPRODUCT((Q259:T259/Q$9:T$9)^Q$7:T$7*Q$3:T$3))*(0.1^(1-G259))*AD$9</f>
        <v>2.0596727630552873</v>
      </c>
      <c r="AE259" s="48" cm="1">
        <f t="array" ref="AE259">(SUMPRODUCT((H259:O259/H$9:O$9)^H$7:O$7*H$4:O$4)+SUMPRODUCT((Q259:T259/Q$9:T$9)^Q$7:T$7*Q$4:T$4))*AE$9</f>
        <v>1.8323372569768224</v>
      </c>
      <c r="AF259" s="47" cm="1">
        <f t="array" ref="AF259">(SUMPRODUCT((H259:O259/H$9:O$9)^H$7:O$7*H$5:O$5)+SUMPRODUCT((Q259:T259/Q$9:T$9)^Q$7:T$7*Q$5:T$5))*AF$9</f>
        <v>1.82396462768933</v>
      </c>
      <c r="AG259" s="50" cm="1">
        <f t="array" ref="AG259">SUMPRODUCT(AC259:AF259 * AC$3:AF$3) / SUM(AC$3:AF$3)</f>
        <v>1.9652840430070728</v>
      </c>
    </row>
    <row r="260" spans="1:33" x14ac:dyDescent="0.25">
      <c r="A260" s="81" t="s">
        <v>715</v>
      </c>
      <c r="B260" s="20" t="s">
        <v>717</v>
      </c>
      <c r="C260" s="4" t="s">
        <v>8853</v>
      </c>
      <c r="D260" s="4" t="str">
        <f t="shared" si="3"/>
        <v>Palit</v>
      </c>
      <c r="E260" s="4" t="s">
        <v>8855</v>
      </c>
      <c r="F260" s="14" t="s">
        <v>8874</v>
      </c>
      <c r="G260" s="9">
        <v>1</v>
      </c>
      <c r="H260" s="1">
        <v>22.06</v>
      </c>
      <c r="I260" s="1">
        <v>22.06</v>
      </c>
      <c r="J260" s="1">
        <v>0.34</v>
      </c>
      <c r="K260" s="3">
        <v>2250</v>
      </c>
      <c r="L260" s="13">
        <v>2535</v>
      </c>
      <c r="M260" s="49">
        <v>121.7</v>
      </c>
      <c r="N260" s="1">
        <v>344.8</v>
      </c>
      <c r="O260" s="3">
        <v>30</v>
      </c>
      <c r="P260" s="11" t="s">
        <v>2275</v>
      </c>
      <c r="Q260" s="3">
        <v>8</v>
      </c>
      <c r="R260" s="3">
        <v>128</v>
      </c>
      <c r="S260" s="22">
        <v>18</v>
      </c>
      <c r="T260" s="9">
        <v>160</v>
      </c>
      <c r="U260" s="14" t="s">
        <v>446</v>
      </c>
      <c r="V260" s="12">
        <v>4</v>
      </c>
      <c r="W260" s="75">
        <v>16</v>
      </c>
      <c r="X260" s="76">
        <v>8</v>
      </c>
      <c r="Y260" s="9">
        <v>472.83</v>
      </c>
      <c r="Z260" s="3">
        <v>609.65</v>
      </c>
      <c r="AA260" s="17" t="s">
        <v>716</v>
      </c>
      <c r="AB260" s="18" t="s">
        <v>715</v>
      </c>
      <c r="AC260" s="46" cm="1">
        <f t="array" ref="AC260">(SUMPRODUCT((H260:O260/H$9:O$9)^H$7:O$7*H$2:O$2)+SUMPRODUCT((Q260:T260/Q$9:T$9)^Q$7:T$7*Q$2:T$2))*(0.8^(1-G260))*AC$9</f>
        <v>1.8806055821842671</v>
      </c>
      <c r="AD260" s="48" cm="1">
        <f t="array" ref="AD260">(SUMPRODUCT((H260:O260/H$9:O$9)^H$7:O$7*H$3:O$3)+SUMPRODUCT((Q260:T260/Q$9:T$9)^Q$7:T$7*Q$3:T$3))*(0.1^(1-G260))*AD$9</f>
        <v>2.0596727630552873</v>
      </c>
      <c r="AE260" s="48" cm="1">
        <f t="array" ref="AE260">(SUMPRODUCT((H260:O260/H$9:O$9)^H$7:O$7*H$4:O$4)+SUMPRODUCT((Q260:T260/Q$9:T$9)^Q$7:T$7*Q$4:T$4))*AE$9</f>
        <v>1.8323372569768224</v>
      </c>
      <c r="AF260" s="47" cm="1">
        <f t="array" ref="AF260">(SUMPRODUCT((H260:O260/H$9:O$9)^H$7:O$7*H$5:O$5)+SUMPRODUCT((Q260:T260/Q$9:T$9)^Q$7:T$7*Q$5:T$5))*AF$9</f>
        <v>1.82396462768933</v>
      </c>
      <c r="AG260" s="50" cm="1">
        <f t="array" ref="AG260">SUMPRODUCT(AC260:AF260 * AC$3:AF$3) / SUM(AC$3:AF$3)</f>
        <v>1.9652840430070728</v>
      </c>
    </row>
    <row r="261" spans="1:33" x14ac:dyDescent="0.25">
      <c r="A261" s="81" t="s">
        <v>567</v>
      </c>
      <c r="B261" s="20" t="s">
        <v>569</v>
      </c>
      <c r="C261" s="4" t="s">
        <v>8853</v>
      </c>
      <c r="D261" s="4" t="str">
        <f t="shared" si="3"/>
        <v>Zotac</v>
      </c>
      <c r="E261" s="4" t="s">
        <v>8855</v>
      </c>
      <c r="F261" s="14" t="s">
        <v>8874</v>
      </c>
      <c r="G261" s="9">
        <v>1</v>
      </c>
      <c r="H261" s="1">
        <v>22.2</v>
      </c>
      <c r="I261" s="1">
        <v>22.2</v>
      </c>
      <c r="J261" s="1">
        <v>0.35</v>
      </c>
      <c r="K261" s="3">
        <v>2250</v>
      </c>
      <c r="L261" s="13">
        <v>2550</v>
      </c>
      <c r="M261" s="49">
        <v>121.7</v>
      </c>
      <c r="N261" s="1">
        <v>344.8</v>
      </c>
      <c r="O261" s="3">
        <v>30</v>
      </c>
      <c r="P261" s="11" t="s">
        <v>2275</v>
      </c>
      <c r="Q261" s="3">
        <v>8</v>
      </c>
      <c r="R261" s="3">
        <v>128</v>
      </c>
      <c r="S261" s="22">
        <v>18</v>
      </c>
      <c r="T261" s="9">
        <v>160</v>
      </c>
      <c r="U261" s="14" t="s">
        <v>446</v>
      </c>
      <c r="V261" s="12">
        <v>4</v>
      </c>
      <c r="W261" s="75">
        <v>16</v>
      </c>
      <c r="X261" s="76">
        <v>8</v>
      </c>
      <c r="Y261" s="9">
        <v>570</v>
      </c>
      <c r="Z261" s="3">
        <v>570</v>
      </c>
      <c r="AA261" s="17" t="s">
        <v>568</v>
      </c>
      <c r="AB261" s="18" t="s">
        <v>567</v>
      </c>
      <c r="AC261" s="46" cm="1">
        <f t="array" ref="AC261">(SUMPRODUCT((H261:O261/H$9:O$9)^H$7:O$7*H$2:O$2)+SUMPRODUCT((Q261:T261/Q$9:T$9)^Q$7:T$7*Q$2:T$2))*(0.8^(1-G261))*AC$9</f>
        <v>1.883257429889309</v>
      </c>
      <c r="AD261" s="48" cm="1">
        <f t="array" ref="AD261">(SUMPRODUCT((H261:O261/H$9:O$9)^H$7:O$7*H$3:O$3)+SUMPRODUCT((Q261:T261/Q$9:T$9)^Q$7:T$7*Q$3:T$3))*(0.1^(1-G261))*AD$9</f>
        <v>2.0703635639239644</v>
      </c>
      <c r="AE261" s="48" cm="1">
        <f t="array" ref="AE261">(SUMPRODUCT((H261:O261/H$9:O$9)^H$7:O$7*H$4:O$4)+SUMPRODUCT((Q261:T261/Q$9:T$9)^Q$7:T$7*Q$4:T$4))*AE$9</f>
        <v>1.85497194993405</v>
      </c>
      <c r="AF261" s="47" cm="1">
        <f t="array" ref="AF261">(SUMPRODUCT((H261:O261/H$9:O$9)^H$7:O$7*H$5:O$5)+SUMPRODUCT((Q261:T261/Q$9:T$9)^Q$7:T$7*Q$5:T$5))*AF$9</f>
        <v>1.8285920542124221</v>
      </c>
      <c r="AG261" s="50" cm="1">
        <f t="array" ref="AG261">SUMPRODUCT(AC261:AF261 * AC$3:AF$3) / SUM(AC$3:AF$3)</f>
        <v>1.9749515550784966</v>
      </c>
    </row>
    <row r="262" spans="1:33" x14ac:dyDescent="0.25">
      <c r="A262" s="81" t="s">
        <v>564</v>
      </c>
      <c r="B262" s="20" t="s">
        <v>566</v>
      </c>
      <c r="C262" s="4" t="s">
        <v>8853</v>
      </c>
      <c r="D262" s="4" t="str">
        <f t="shared" si="3"/>
        <v>Zotac</v>
      </c>
      <c r="E262" s="4" t="s">
        <v>8855</v>
      </c>
      <c r="F262" s="14" t="s">
        <v>8874</v>
      </c>
      <c r="G262" s="9">
        <v>1</v>
      </c>
      <c r="H262" s="1">
        <v>22.33</v>
      </c>
      <c r="I262" s="1">
        <v>22.33</v>
      </c>
      <c r="J262" s="1">
        <v>0.35</v>
      </c>
      <c r="K262" s="3">
        <v>2250</v>
      </c>
      <c r="L262" s="13">
        <v>2565</v>
      </c>
      <c r="M262" s="49">
        <v>121.7</v>
      </c>
      <c r="N262" s="1">
        <v>344.8</v>
      </c>
      <c r="O262" s="3">
        <v>30</v>
      </c>
      <c r="P262" s="11" t="s">
        <v>2275</v>
      </c>
      <c r="Q262" s="3">
        <v>8</v>
      </c>
      <c r="R262" s="3">
        <v>128</v>
      </c>
      <c r="S262" s="22">
        <v>18</v>
      </c>
      <c r="T262" s="9">
        <v>160</v>
      </c>
      <c r="U262" s="14" t="s">
        <v>446</v>
      </c>
      <c r="V262" s="12">
        <v>4</v>
      </c>
      <c r="W262" s="75">
        <v>16</v>
      </c>
      <c r="X262" s="76">
        <v>8</v>
      </c>
      <c r="Y262" s="9">
        <v>483.77</v>
      </c>
      <c r="Z262" s="3">
        <v>612.01</v>
      </c>
      <c r="AA262" s="17" t="s">
        <v>565</v>
      </c>
      <c r="AB262" s="18" t="s">
        <v>564</v>
      </c>
      <c r="AC262" s="46" cm="1">
        <f t="array" ref="AC262">(SUMPRODUCT((H262:O262/H$9:O$9)^H$7:O$7*H$2:O$2)+SUMPRODUCT((Q262:T262/Q$9:T$9)^Q$7:T$7*Q$2:T$2))*(0.8^(1-G262))*AC$9</f>
        <v>1.8858510235241903</v>
      </c>
      <c r="AD262" s="48" cm="1">
        <f t="array" ref="AD262">(SUMPRODUCT((H262:O262/H$9:O$9)^H$7:O$7*H$3:O$3)+SUMPRODUCT((Q262:T262/Q$9:T$9)^Q$7:T$7*Q$3:T$3))*(0.1^(1-G262))*AD$9</f>
        <v>2.0776250791731625</v>
      </c>
      <c r="AE262" s="48" cm="1">
        <f t="array" ref="AE262">(SUMPRODUCT((H262:O262/H$9:O$9)^H$7:O$7*H$4:O$4)+SUMPRODUCT((Q262:T262/Q$9:T$9)^Q$7:T$7*Q$4:T$4))*AE$9</f>
        <v>1.8571824217748172</v>
      </c>
      <c r="AF262" s="47" cm="1">
        <f t="array" ref="AF262">(SUMPRODUCT((H262:O262/H$9:O$9)^H$7:O$7*H$5:O$5)+SUMPRODUCT((Q262:T262/Q$9:T$9)^Q$7:T$7*Q$5:T$5))*AF$9</f>
        <v>1.8329392021292819</v>
      </c>
      <c r="AG262" s="50" cm="1">
        <f t="array" ref="AG262">SUMPRODUCT(AC262:AF262 * AC$3:AF$3) / SUM(AC$3:AF$3)</f>
        <v>1.980388128457871</v>
      </c>
    </row>
    <row r="263" spans="1:33" x14ac:dyDescent="0.25">
      <c r="A263" s="81" t="s">
        <v>561</v>
      </c>
      <c r="B263" s="20" t="s">
        <v>563</v>
      </c>
      <c r="C263" s="4" t="s">
        <v>8853</v>
      </c>
      <c r="D263" s="4" t="str">
        <f t="shared" si="3"/>
        <v>Zotac</v>
      </c>
      <c r="E263" s="4" t="s">
        <v>8855</v>
      </c>
      <c r="F263" s="14" t="s">
        <v>8874</v>
      </c>
      <c r="G263" s="9">
        <v>1</v>
      </c>
      <c r="H263" s="1">
        <v>22.2</v>
      </c>
      <c r="I263" s="1">
        <v>22.2</v>
      </c>
      <c r="J263" s="1">
        <v>0.35</v>
      </c>
      <c r="K263" s="3">
        <v>2250</v>
      </c>
      <c r="L263" s="13">
        <v>2550</v>
      </c>
      <c r="M263" s="49">
        <v>121.7</v>
      </c>
      <c r="N263" s="1">
        <v>344.8</v>
      </c>
      <c r="O263" s="3">
        <v>30</v>
      </c>
      <c r="P263" s="11" t="s">
        <v>2275</v>
      </c>
      <c r="Q263" s="3">
        <v>8</v>
      </c>
      <c r="R263" s="3">
        <v>128</v>
      </c>
      <c r="S263" s="22">
        <v>18</v>
      </c>
      <c r="T263" s="9">
        <v>160</v>
      </c>
      <c r="U263" s="14" t="s">
        <v>446</v>
      </c>
      <c r="V263" s="12">
        <v>4</v>
      </c>
      <c r="W263" s="75">
        <v>16</v>
      </c>
      <c r="X263" s="76">
        <v>8</v>
      </c>
      <c r="Y263" s="9">
        <v>439.99</v>
      </c>
      <c r="Z263" s="3">
        <v>554.89</v>
      </c>
      <c r="AA263" s="17" t="s">
        <v>562</v>
      </c>
      <c r="AB263" s="18" t="s">
        <v>561</v>
      </c>
      <c r="AC263" s="46" cm="1">
        <f t="array" ref="AC263">(SUMPRODUCT((H263:O263/H$9:O$9)^H$7:O$7*H$2:O$2)+SUMPRODUCT((Q263:T263/Q$9:T$9)^Q$7:T$7*Q$2:T$2))*(0.8^(1-G263))*AC$9</f>
        <v>1.883257429889309</v>
      </c>
      <c r="AD263" s="48" cm="1">
        <f t="array" ref="AD263">(SUMPRODUCT((H263:O263/H$9:O$9)^H$7:O$7*H$3:O$3)+SUMPRODUCT((Q263:T263/Q$9:T$9)^Q$7:T$7*Q$3:T$3))*(0.1^(1-G263))*AD$9</f>
        <v>2.0703635639239644</v>
      </c>
      <c r="AE263" s="48" cm="1">
        <f t="array" ref="AE263">(SUMPRODUCT((H263:O263/H$9:O$9)^H$7:O$7*H$4:O$4)+SUMPRODUCT((Q263:T263/Q$9:T$9)^Q$7:T$7*Q$4:T$4))*AE$9</f>
        <v>1.85497194993405</v>
      </c>
      <c r="AF263" s="47" cm="1">
        <f t="array" ref="AF263">(SUMPRODUCT((H263:O263/H$9:O$9)^H$7:O$7*H$5:O$5)+SUMPRODUCT((Q263:T263/Q$9:T$9)^Q$7:T$7*Q$5:T$5))*AF$9</f>
        <v>1.8285920542124221</v>
      </c>
      <c r="AG263" s="50" cm="1">
        <f t="array" ref="AG263">SUMPRODUCT(AC263:AF263 * AC$3:AF$3) / SUM(AC$3:AF$3)</f>
        <v>1.9749515550784966</v>
      </c>
    </row>
    <row r="264" spans="1:33" x14ac:dyDescent="0.25">
      <c r="A264" s="81" t="s">
        <v>555</v>
      </c>
      <c r="B264" s="20" t="s">
        <v>557</v>
      </c>
      <c r="C264" s="4" t="s">
        <v>8853</v>
      </c>
      <c r="D264" s="4" t="str">
        <f t="shared" ref="D264:D327" si="4">LEFT(AB264, FIND(" ", AB264 &amp; " ") - 1)</f>
        <v>Zotac</v>
      </c>
      <c r="E264" s="4" t="s">
        <v>8855</v>
      </c>
      <c r="F264" s="14" t="s">
        <v>8874</v>
      </c>
      <c r="G264" s="9">
        <v>1</v>
      </c>
      <c r="H264" s="1">
        <v>22.06</v>
      </c>
      <c r="I264" s="1">
        <v>22.06</v>
      </c>
      <c r="J264" s="1">
        <v>0.34</v>
      </c>
      <c r="K264" s="3">
        <v>2250</v>
      </c>
      <c r="L264" s="13">
        <v>2535</v>
      </c>
      <c r="M264" s="49">
        <v>121.7</v>
      </c>
      <c r="N264" s="1">
        <v>344.8</v>
      </c>
      <c r="O264" s="3">
        <v>30</v>
      </c>
      <c r="P264" s="11" t="s">
        <v>2275</v>
      </c>
      <c r="Q264" s="3">
        <v>8</v>
      </c>
      <c r="R264" s="3">
        <v>128</v>
      </c>
      <c r="S264" s="22">
        <v>18</v>
      </c>
      <c r="T264" s="9">
        <v>160</v>
      </c>
      <c r="U264" s="14" t="s">
        <v>446</v>
      </c>
      <c r="V264" s="12">
        <v>4</v>
      </c>
      <c r="W264" s="75">
        <v>16</v>
      </c>
      <c r="X264" s="76">
        <v>8</v>
      </c>
      <c r="Y264" s="9">
        <v>429.9</v>
      </c>
      <c r="Z264" s="3">
        <v>527.59</v>
      </c>
      <c r="AA264" s="17" t="s">
        <v>556</v>
      </c>
      <c r="AB264" s="18" t="s">
        <v>555</v>
      </c>
      <c r="AC264" s="46" cm="1">
        <f t="array" ref="AC264">(SUMPRODUCT((H264:O264/H$9:O$9)^H$7:O$7*H$2:O$2)+SUMPRODUCT((Q264:T264/Q$9:T$9)^Q$7:T$7*Q$2:T$2))*(0.8^(1-G264))*AC$9</f>
        <v>1.8806055821842671</v>
      </c>
      <c r="AD264" s="48" cm="1">
        <f t="array" ref="AD264">(SUMPRODUCT((H264:O264/H$9:O$9)^H$7:O$7*H$3:O$3)+SUMPRODUCT((Q264:T264/Q$9:T$9)^Q$7:T$7*Q$3:T$3))*(0.1^(1-G264))*AD$9</f>
        <v>2.0596727630552873</v>
      </c>
      <c r="AE264" s="48" cm="1">
        <f t="array" ref="AE264">(SUMPRODUCT((H264:O264/H$9:O$9)^H$7:O$7*H$4:O$4)+SUMPRODUCT((Q264:T264/Q$9:T$9)^Q$7:T$7*Q$4:T$4))*AE$9</f>
        <v>1.8323372569768224</v>
      </c>
      <c r="AF264" s="47" cm="1">
        <f t="array" ref="AF264">(SUMPRODUCT((H264:O264/H$9:O$9)^H$7:O$7*H$5:O$5)+SUMPRODUCT((Q264:T264/Q$9:T$9)^Q$7:T$7*Q$5:T$5))*AF$9</f>
        <v>1.82396462768933</v>
      </c>
      <c r="AG264" s="50" cm="1">
        <f t="array" ref="AG264">SUMPRODUCT(AC264:AF264 * AC$3:AF$3) / SUM(AC$3:AF$3)</f>
        <v>1.9652840430070728</v>
      </c>
    </row>
    <row r="265" spans="1:33" x14ac:dyDescent="0.25">
      <c r="A265" s="81" t="s">
        <v>2180</v>
      </c>
      <c r="B265" s="20" t="s">
        <v>2182</v>
      </c>
      <c r="C265" s="4" t="s">
        <v>8853</v>
      </c>
      <c r="D265" s="4" t="str">
        <f t="shared" si="4"/>
        <v>ASUS</v>
      </c>
      <c r="E265" s="4" t="s">
        <v>8855</v>
      </c>
      <c r="F265" s="14" t="s">
        <v>8875</v>
      </c>
      <c r="G265" s="9">
        <v>1</v>
      </c>
      <c r="H265" s="1">
        <v>22.46</v>
      </c>
      <c r="I265" s="1">
        <v>22.46</v>
      </c>
      <c r="J265" s="1">
        <v>0.35</v>
      </c>
      <c r="K265" s="3">
        <v>2250</v>
      </c>
      <c r="L265" s="13">
        <v>2580</v>
      </c>
      <c r="M265" s="49">
        <v>121.7</v>
      </c>
      <c r="N265" s="1">
        <v>344.8</v>
      </c>
      <c r="O265" s="3">
        <v>30</v>
      </c>
      <c r="P265" s="11" t="s">
        <v>2275</v>
      </c>
      <c r="Q265" s="3">
        <v>16</v>
      </c>
      <c r="R265" s="3">
        <v>128</v>
      </c>
      <c r="S265" s="22">
        <v>18</v>
      </c>
      <c r="T265" s="9">
        <v>165</v>
      </c>
      <c r="U265" s="14" t="s">
        <v>446</v>
      </c>
      <c r="V265" s="12">
        <v>4</v>
      </c>
      <c r="W265" s="75">
        <v>16</v>
      </c>
      <c r="X265" s="76">
        <v>8</v>
      </c>
      <c r="Y265" s="9">
        <v>909.8</v>
      </c>
      <c r="Z265" s="3">
        <v>1215.47</v>
      </c>
      <c r="AA265" s="17" t="s">
        <v>2181</v>
      </c>
      <c r="AB265" s="18" t="s">
        <v>2180</v>
      </c>
      <c r="AC265" s="46" cm="1">
        <f t="array" ref="AC265">(SUMPRODUCT((H265:O265/H$9:O$9)^H$7:O$7*H$2:O$2)+SUMPRODUCT((Q265:T265/Q$9:T$9)^Q$7:T$7*Q$2:T$2))*(0.8^(1-G265))*AC$9</f>
        <v>1.956558172915257</v>
      </c>
      <c r="AD265" s="48" cm="1">
        <f t="array" ref="AD265">(SUMPRODUCT((H265:O265/H$9:O$9)^H$7:O$7*H$3:O$3)+SUMPRODUCT((Q265:T265/Q$9:T$9)^Q$7:T$7*Q$3:T$3))*(0.1^(1-G265))*AD$9</f>
        <v>2.2216163045322426</v>
      </c>
      <c r="AE265" s="48" cm="1">
        <f t="array" ref="AE265">(SUMPRODUCT((H265:O265/H$9:O$9)^H$7:O$7*H$4:O$4)+SUMPRODUCT((Q265:T265/Q$9:T$9)^Q$7:T$7*Q$4:T$4))*AE$9</f>
        <v>1.9623216283064675</v>
      </c>
      <c r="AF265" s="47" cm="1">
        <f t="array" ref="AF265">(SUMPRODUCT((H265:O265/H$9:O$9)^H$7:O$7*H$5:O$5)+SUMPRODUCT((Q265:T265/Q$9:T$9)^Q$7:T$7*Q$5:T$5))*AF$9</f>
        <v>1.9053986969823131</v>
      </c>
      <c r="AG265" s="50" cm="1">
        <f t="array" ref="AG265">SUMPRODUCT(AC265:AF265 * AC$3:AF$3) / SUM(AC$3:AF$3)</f>
        <v>2.0959264950904481</v>
      </c>
    </row>
    <row r="266" spans="1:33" x14ac:dyDescent="0.25">
      <c r="A266" s="81" t="s">
        <v>2177</v>
      </c>
      <c r="B266" s="20" t="s">
        <v>2179</v>
      </c>
      <c r="C266" s="4" t="s">
        <v>8853</v>
      </c>
      <c r="D266" s="4" t="str">
        <f t="shared" si="4"/>
        <v>ASUS</v>
      </c>
      <c r="E266" s="4" t="s">
        <v>8855</v>
      </c>
      <c r="F266" s="14" t="s">
        <v>8875</v>
      </c>
      <c r="G266" s="9">
        <v>1</v>
      </c>
      <c r="H266" s="1">
        <v>22.59</v>
      </c>
      <c r="I266" s="1">
        <v>22.59</v>
      </c>
      <c r="J266" s="1">
        <v>0.35</v>
      </c>
      <c r="K266" s="3">
        <v>2250</v>
      </c>
      <c r="L266" s="13">
        <v>2595</v>
      </c>
      <c r="M266" s="49">
        <v>121.7</v>
      </c>
      <c r="N266" s="1">
        <v>344.8</v>
      </c>
      <c r="O266" s="3">
        <v>30</v>
      </c>
      <c r="P266" s="11" t="s">
        <v>2275</v>
      </c>
      <c r="Q266" s="3">
        <v>16</v>
      </c>
      <c r="R266" s="3">
        <v>128</v>
      </c>
      <c r="S266" s="22">
        <v>18</v>
      </c>
      <c r="T266" s="9">
        <v>165</v>
      </c>
      <c r="U266" s="14" t="s">
        <v>446</v>
      </c>
      <c r="V266" s="12">
        <v>4</v>
      </c>
      <c r="W266" s="75">
        <v>16</v>
      </c>
      <c r="X266" s="76">
        <v>8</v>
      </c>
      <c r="Y266" s="9">
        <v>660.99</v>
      </c>
      <c r="Z266" s="3">
        <v>1048.9000000000001</v>
      </c>
      <c r="AA266" s="17" t="s">
        <v>2178</v>
      </c>
      <c r="AB266" s="18" t="s">
        <v>2177</v>
      </c>
      <c r="AC266" s="46" cm="1">
        <f t="array" ref="AC266">(SUMPRODUCT((H266:O266/H$9:O$9)^H$7:O$7*H$2:O$2)+SUMPRODUCT((Q266:T266/Q$9:T$9)^Q$7:T$7*Q$2:T$2))*(0.8^(1-G266))*AC$9</f>
        <v>1.9591487475030074</v>
      </c>
      <c r="AD266" s="48" cm="1">
        <f t="array" ref="AD266">(SUMPRODUCT((H266:O266/H$9:O$9)^H$7:O$7*H$3:O$3)+SUMPRODUCT((Q266:T266/Q$9:T$9)^Q$7:T$7*Q$3:T$3))*(0.1^(1-G266))*AD$9</f>
        <v>2.2288671066992016</v>
      </c>
      <c r="AE266" s="48" cm="1">
        <f t="array" ref="AE266">(SUMPRODUCT((H266:O266/H$9:O$9)^H$7:O$7*H$4:O$4)+SUMPRODUCT((Q266:T266/Q$9:T$9)^Q$7:T$7*Q$4:T$4))*AE$9</f>
        <v>1.9645295353005723</v>
      </c>
      <c r="AF266" s="47" cm="1">
        <f t="array" ref="AF266">(SUMPRODUCT((H266:O266/H$9:O$9)^H$7:O$7*H$5:O$5)+SUMPRODUCT((Q266:T266/Q$9:T$9)^Q$7:T$7*Q$5:T$5))*AF$9</f>
        <v>1.9097404160531517</v>
      </c>
      <c r="AG266" s="50" cm="1">
        <f t="array" ref="AG266">SUMPRODUCT(AC266:AF266 * AC$3:AF$3) / SUM(AC$3:AF$3)</f>
        <v>2.1013554237923131</v>
      </c>
    </row>
    <row r="267" spans="1:33" x14ac:dyDescent="0.25">
      <c r="A267" s="81" t="s">
        <v>2162</v>
      </c>
      <c r="B267" s="20" t="s">
        <v>2164</v>
      </c>
      <c r="C267" s="4" t="s">
        <v>8853</v>
      </c>
      <c r="D267" s="4" t="str">
        <f t="shared" si="4"/>
        <v>ASUS</v>
      </c>
      <c r="E267" s="4" t="s">
        <v>8855</v>
      </c>
      <c r="F267" s="14" t="s">
        <v>8875</v>
      </c>
      <c r="G267" s="9">
        <v>1</v>
      </c>
      <c r="H267" s="1">
        <v>22.85</v>
      </c>
      <c r="I267" s="1">
        <v>22.85</v>
      </c>
      <c r="J267" s="1">
        <v>0.36</v>
      </c>
      <c r="K267" s="3">
        <v>2250</v>
      </c>
      <c r="L267" s="13">
        <v>2625</v>
      </c>
      <c r="M267" s="49">
        <v>121.7</v>
      </c>
      <c r="N267" s="1">
        <v>344.8</v>
      </c>
      <c r="O267" s="3">
        <v>30</v>
      </c>
      <c r="P267" s="11" t="s">
        <v>2275</v>
      </c>
      <c r="Q267" s="3">
        <v>16</v>
      </c>
      <c r="R267" s="3">
        <v>128</v>
      </c>
      <c r="S267" s="22">
        <v>18</v>
      </c>
      <c r="T267" s="9">
        <v>165</v>
      </c>
      <c r="U267" s="14" t="s">
        <v>446</v>
      </c>
      <c r="V267" s="12">
        <v>4</v>
      </c>
      <c r="W267" s="75">
        <v>16</v>
      </c>
      <c r="X267" s="76">
        <v>8</v>
      </c>
      <c r="Y267" s="9">
        <v>848.28</v>
      </c>
      <c r="Z267" s="3">
        <v>961.16</v>
      </c>
      <c r="AA267" s="17" t="s">
        <v>2163</v>
      </c>
      <c r="AB267" s="18" t="s">
        <v>2162</v>
      </c>
      <c r="AC267" s="46" cm="1">
        <f t="array" ref="AC267">(SUMPRODUCT((H267:O267/H$9:O$9)^H$7:O$7*H$2:O$2)+SUMPRODUCT((Q267:T267/Q$9:T$9)^Q$7:T$7*Q$2:T$2))*(0.8^(1-G267))*AC$9</f>
        <v>1.9643254207085636</v>
      </c>
      <c r="AD267" s="48" cm="1">
        <f t="array" ref="AD267">(SUMPRODUCT((H267:O267/H$9:O$9)^H$7:O$7*H$3:O$3)+SUMPRODUCT((Q267:T267/Q$9:T$9)^Q$7:T$7*Q$3:T$3))*(0.1^(1-G267))*AD$9</f>
        <v>2.2462295928055784</v>
      </c>
      <c r="AE267" s="48" cm="1">
        <f t="array" ref="AE267">(SUMPRODUCT((H267:O267/H$9:O$9)^H$7:O$7*H$4:O$4)+SUMPRODUCT((Q267:T267/Q$9:T$9)^Q$7:T$7*Q$4:T$4))*AE$9</f>
        <v>1.9890788659839072</v>
      </c>
      <c r="AF267" s="47" cm="1">
        <f t="array" ref="AF267">(SUMPRODUCT((H267:O267/H$9:O$9)^H$7:O$7*H$5:O$5)+SUMPRODUCT((Q267:T267/Q$9:T$9)^Q$7:T$7*Q$5:T$5))*AF$9</f>
        <v>1.9184158061764935</v>
      </c>
      <c r="AG267" s="50" cm="1">
        <f t="array" ref="AG267">SUMPRODUCT(AC267:AF267 * AC$3:AF$3) / SUM(AC$3:AF$3)</f>
        <v>2.1160376300377091</v>
      </c>
    </row>
    <row r="268" spans="1:33" x14ac:dyDescent="0.25">
      <c r="A268" s="81" t="s">
        <v>2027</v>
      </c>
      <c r="B268" s="20" t="s">
        <v>2029</v>
      </c>
      <c r="C268" s="4" t="s">
        <v>8853</v>
      </c>
      <c r="D268" s="4" t="str">
        <f t="shared" si="4"/>
        <v>ASUS</v>
      </c>
      <c r="E268" s="4" t="s">
        <v>8855</v>
      </c>
      <c r="F268" s="14" t="s">
        <v>8875</v>
      </c>
      <c r="G268" s="9">
        <v>1</v>
      </c>
      <c r="H268" s="1">
        <v>23.37</v>
      </c>
      <c r="I268" s="1">
        <v>23.37</v>
      </c>
      <c r="J268" s="1">
        <v>0.37</v>
      </c>
      <c r="K268" s="3">
        <v>2250</v>
      </c>
      <c r="L268" s="13">
        <v>2685</v>
      </c>
      <c r="M268" s="49">
        <v>121.7</v>
      </c>
      <c r="N268" s="1">
        <v>344.8</v>
      </c>
      <c r="O268" s="3">
        <v>30</v>
      </c>
      <c r="P268" s="11" t="s">
        <v>2275</v>
      </c>
      <c r="Q268" s="3">
        <v>16</v>
      </c>
      <c r="R268" s="3">
        <v>128</v>
      </c>
      <c r="S268" s="22">
        <v>18</v>
      </c>
      <c r="T268" s="9">
        <v>165</v>
      </c>
      <c r="U268" s="14" t="s">
        <v>446</v>
      </c>
      <c r="V268" s="12">
        <v>4</v>
      </c>
      <c r="W268" s="75">
        <v>16</v>
      </c>
      <c r="X268" s="76">
        <v>8</v>
      </c>
      <c r="Y268" s="9">
        <v>633.23</v>
      </c>
      <c r="Z268" s="3">
        <v>790.85</v>
      </c>
      <c r="AA268" s="17" t="s">
        <v>2028</v>
      </c>
      <c r="AB268" s="18" t="s">
        <v>2027</v>
      </c>
      <c r="AC268" s="46" cm="1">
        <f t="array" ref="AC268">(SUMPRODUCT((H268:O268/H$9:O$9)^H$7:O$7*H$2:O$2)+SUMPRODUCT((Q268:T268/Q$9:T$9)^Q$7:T$7*Q$2:T$2))*(0.8^(1-G268))*AC$9</f>
        <v>1.9746611235769169</v>
      </c>
      <c r="AD268" s="48" cm="1">
        <f t="array" ref="AD268">(SUMPRODUCT((H268:O268/H$9:O$9)^H$7:O$7*H$3:O$3)+SUMPRODUCT((Q268:T268/Q$9:T$9)^Q$7:T$7*Q$3:T$3))*(0.1^(1-G268))*AD$9</f>
        <v>2.2779992999408218</v>
      </c>
      <c r="AE268" s="48" cm="1">
        <f t="array" ref="AE268">(SUMPRODUCT((H268:O268/H$9:O$9)^H$7:O$7*H$4:O$4)+SUMPRODUCT((Q268:T268/Q$9:T$9)^Q$7:T$7*Q$4:T$4))*AE$9</f>
        <v>2.0179136379688929</v>
      </c>
      <c r="AF268" s="47" cm="1">
        <f t="array" ref="AF268">(SUMPRODUCT((H268:O268/H$9:O$9)^H$7:O$7*H$5:O$5)+SUMPRODUCT((Q268:T268/Q$9:T$9)^Q$7:T$7*Q$5:T$5))*AF$9</f>
        <v>1.9357348657384619</v>
      </c>
      <c r="AG268" s="50" cm="1">
        <f t="array" ref="AG268">SUMPRODUCT(AC268:AF268 * AC$3:AF$3) / SUM(AC$3:AF$3)</f>
        <v>2.1415004579606745</v>
      </c>
    </row>
    <row r="269" spans="1:33" x14ac:dyDescent="0.25">
      <c r="A269" s="81" t="s">
        <v>2024</v>
      </c>
      <c r="B269" s="20" t="s">
        <v>2026</v>
      </c>
      <c r="C269" s="4" t="s">
        <v>8853</v>
      </c>
      <c r="D269" s="4" t="str">
        <f t="shared" si="4"/>
        <v>ASUS</v>
      </c>
      <c r="E269" s="4" t="s">
        <v>8855</v>
      </c>
      <c r="F269" s="14" t="s">
        <v>8875</v>
      </c>
      <c r="G269" s="9">
        <v>1</v>
      </c>
      <c r="H269" s="1">
        <v>22.33</v>
      </c>
      <c r="I269" s="1">
        <v>22.33</v>
      </c>
      <c r="J269" s="1">
        <v>0.35</v>
      </c>
      <c r="K269" s="3">
        <v>2250</v>
      </c>
      <c r="L269" s="13">
        <v>2565</v>
      </c>
      <c r="M269" s="49">
        <v>121.7</v>
      </c>
      <c r="N269" s="1">
        <v>344.8</v>
      </c>
      <c r="O269" s="3">
        <v>30</v>
      </c>
      <c r="P269" s="11" t="s">
        <v>2275</v>
      </c>
      <c r="Q269" s="3">
        <v>16</v>
      </c>
      <c r="R269" s="3">
        <v>128</v>
      </c>
      <c r="S269" s="22">
        <v>18</v>
      </c>
      <c r="T269" s="9">
        <v>165</v>
      </c>
      <c r="U269" s="14" t="s">
        <v>446</v>
      </c>
      <c r="V269" s="12">
        <v>4</v>
      </c>
      <c r="W269" s="75">
        <v>16</v>
      </c>
      <c r="X269" s="76">
        <v>8</v>
      </c>
      <c r="Y269" s="9">
        <v>999.99</v>
      </c>
      <c r="Z269" s="3">
        <v>1132.6500000000001</v>
      </c>
      <c r="AA269" s="17" t="s">
        <v>2025</v>
      </c>
      <c r="AB269" s="18" t="s">
        <v>2024</v>
      </c>
      <c r="AC269" s="46" cm="1">
        <f t="array" ref="AC269">(SUMPRODUCT((H269:O269/H$9:O$9)^H$7:O$7*H$2:O$2)+SUMPRODUCT((Q269:T269/Q$9:T$9)^Q$7:T$7*Q$2:T$2))*(0.8^(1-G269))*AC$9</f>
        <v>1.953966093638912</v>
      </c>
      <c r="AD269" s="48" cm="1">
        <f t="array" ref="AD269">(SUMPRODUCT((H269:O269/H$9:O$9)^H$7:O$7*H$3:O$3)+SUMPRODUCT((Q269:T269/Q$9:T$9)^Q$7:T$7*Q$3:T$3))*(0.1^(1-G269))*AD$9</f>
        <v>2.2143601634269663</v>
      </c>
      <c r="AE269" s="48" cm="1">
        <f t="array" ref="AE269">(SUMPRODUCT((H269:O269/H$9:O$9)^H$7:O$7*H$4:O$4)+SUMPRODUCT((Q269:T269/Q$9:T$9)^Q$7:T$7*Q$4:T$4))*AE$9</f>
        <v>1.9601124429834409</v>
      </c>
      <c r="AF269" s="47" cm="1">
        <f t="array" ref="AF269">(SUMPRODUCT((H269:O269/H$9:O$9)^H$7:O$7*H$5:O$5)+SUMPRODUCT((Q269:T269/Q$9:T$9)^Q$7:T$7*Q$5:T$5))*AF$9</f>
        <v>1.9010542722440031</v>
      </c>
      <c r="AG269" s="50" cm="1">
        <f t="array" ref="AG269">SUMPRODUCT(AC269:AF269 * AC$3:AF$3) / SUM(AC$3:AF$3)</f>
        <v>2.0904937565491828</v>
      </c>
    </row>
    <row r="270" spans="1:33" x14ac:dyDescent="0.25">
      <c r="A270" s="81" t="s">
        <v>1532</v>
      </c>
      <c r="B270" s="20" t="s">
        <v>1534</v>
      </c>
      <c r="C270" s="4" t="s">
        <v>8853</v>
      </c>
      <c r="D270" s="4" t="str">
        <f t="shared" si="4"/>
        <v>GIGABYTE</v>
      </c>
      <c r="E270" s="4" t="s">
        <v>8855</v>
      </c>
      <c r="F270" s="14" t="s">
        <v>8875</v>
      </c>
      <c r="G270" s="9">
        <v>1</v>
      </c>
      <c r="H270" s="1">
        <v>22.59</v>
      </c>
      <c r="I270" s="1">
        <v>22.59</v>
      </c>
      <c r="J270" s="1">
        <v>0.35</v>
      </c>
      <c r="K270" s="3">
        <v>2250</v>
      </c>
      <c r="L270" s="13">
        <v>2595</v>
      </c>
      <c r="M270" s="49">
        <v>121.7</v>
      </c>
      <c r="N270" s="1">
        <v>344.8</v>
      </c>
      <c r="O270" s="3">
        <v>30</v>
      </c>
      <c r="P270" s="11" t="s">
        <v>2275</v>
      </c>
      <c r="Q270" s="3">
        <v>16</v>
      </c>
      <c r="R270" s="3">
        <v>128</v>
      </c>
      <c r="S270" s="22">
        <v>18</v>
      </c>
      <c r="T270" s="9">
        <v>165</v>
      </c>
      <c r="U270" s="14" t="s">
        <v>446</v>
      </c>
      <c r="V270" s="12">
        <v>4</v>
      </c>
      <c r="W270" s="75">
        <v>16</v>
      </c>
      <c r="X270" s="76">
        <v>8</v>
      </c>
      <c r="Y270" s="9">
        <v>616.02</v>
      </c>
      <c r="Z270" s="3">
        <v>1119.73</v>
      </c>
      <c r="AA270" s="17" t="s">
        <v>1533</v>
      </c>
      <c r="AB270" s="18" t="s">
        <v>1532</v>
      </c>
      <c r="AC270" s="46" cm="1">
        <f t="array" ref="AC270">(SUMPRODUCT((H270:O270/H$9:O$9)^H$7:O$7*H$2:O$2)+SUMPRODUCT((Q270:T270/Q$9:T$9)^Q$7:T$7*Q$2:T$2))*(0.8^(1-G270))*AC$9</f>
        <v>1.9591487475030074</v>
      </c>
      <c r="AD270" s="48" cm="1">
        <f t="array" ref="AD270">(SUMPRODUCT((H270:O270/H$9:O$9)^H$7:O$7*H$3:O$3)+SUMPRODUCT((Q270:T270/Q$9:T$9)^Q$7:T$7*Q$3:T$3))*(0.1^(1-G270))*AD$9</f>
        <v>2.2288671066992016</v>
      </c>
      <c r="AE270" s="48" cm="1">
        <f t="array" ref="AE270">(SUMPRODUCT((H270:O270/H$9:O$9)^H$7:O$7*H$4:O$4)+SUMPRODUCT((Q270:T270/Q$9:T$9)^Q$7:T$7*Q$4:T$4))*AE$9</f>
        <v>1.9645295353005723</v>
      </c>
      <c r="AF270" s="47" cm="1">
        <f t="array" ref="AF270">(SUMPRODUCT((H270:O270/H$9:O$9)^H$7:O$7*H$5:O$5)+SUMPRODUCT((Q270:T270/Q$9:T$9)^Q$7:T$7*Q$5:T$5))*AF$9</f>
        <v>1.9097404160531517</v>
      </c>
      <c r="AG270" s="50" cm="1">
        <f t="array" ref="AG270">SUMPRODUCT(AC270:AF270 * AC$3:AF$3) / SUM(AC$3:AF$3)</f>
        <v>2.1013554237923131</v>
      </c>
    </row>
    <row r="271" spans="1:33" x14ac:dyDescent="0.25">
      <c r="A271" s="81" t="s">
        <v>1514</v>
      </c>
      <c r="B271" s="20" t="s">
        <v>1516</v>
      </c>
      <c r="C271" s="4" t="s">
        <v>8853</v>
      </c>
      <c r="D271" s="4" t="str">
        <f t="shared" si="4"/>
        <v>GIGABYTE</v>
      </c>
      <c r="E271" s="4" t="s">
        <v>8855</v>
      </c>
      <c r="F271" s="14" t="s">
        <v>8875</v>
      </c>
      <c r="G271" s="9">
        <v>1</v>
      </c>
      <c r="H271" s="1">
        <v>22.59</v>
      </c>
      <c r="I271" s="1">
        <v>22.59</v>
      </c>
      <c r="J271" s="1">
        <v>0.35</v>
      </c>
      <c r="K271" s="3">
        <v>2250</v>
      </c>
      <c r="L271" s="13">
        <v>2595</v>
      </c>
      <c r="M271" s="49">
        <v>121.7</v>
      </c>
      <c r="N271" s="1">
        <v>344.8</v>
      </c>
      <c r="O271" s="3">
        <v>30</v>
      </c>
      <c r="P271" s="11" t="s">
        <v>2275</v>
      </c>
      <c r="Q271" s="3">
        <v>16</v>
      </c>
      <c r="R271" s="3">
        <v>128</v>
      </c>
      <c r="S271" s="22">
        <v>18</v>
      </c>
      <c r="T271" s="9">
        <v>165</v>
      </c>
      <c r="U271" s="14" t="s">
        <v>446</v>
      </c>
      <c r="V271" s="12">
        <v>4</v>
      </c>
      <c r="W271" s="75">
        <v>16</v>
      </c>
      <c r="X271" s="76">
        <v>8</v>
      </c>
      <c r="Y271" s="9">
        <v>605.72</v>
      </c>
      <c r="Z271" s="3">
        <v>736</v>
      </c>
      <c r="AA271" s="17" t="s">
        <v>1515</v>
      </c>
      <c r="AB271" s="18" t="s">
        <v>1514</v>
      </c>
      <c r="AC271" s="46" cm="1">
        <f t="array" ref="AC271">(SUMPRODUCT((H271:O271/H$9:O$9)^H$7:O$7*H$2:O$2)+SUMPRODUCT((Q271:T271/Q$9:T$9)^Q$7:T$7*Q$2:T$2))*(0.8^(1-G271))*AC$9</f>
        <v>1.9591487475030074</v>
      </c>
      <c r="AD271" s="48" cm="1">
        <f t="array" ref="AD271">(SUMPRODUCT((H271:O271/H$9:O$9)^H$7:O$7*H$3:O$3)+SUMPRODUCT((Q271:T271/Q$9:T$9)^Q$7:T$7*Q$3:T$3))*(0.1^(1-G271))*AD$9</f>
        <v>2.2288671066992016</v>
      </c>
      <c r="AE271" s="48" cm="1">
        <f t="array" ref="AE271">(SUMPRODUCT((H271:O271/H$9:O$9)^H$7:O$7*H$4:O$4)+SUMPRODUCT((Q271:T271/Q$9:T$9)^Q$7:T$7*Q$4:T$4))*AE$9</f>
        <v>1.9645295353005723</v>
      </c>
      <c r="AF271" s="47" cm="1">
        <f t="array" ref="AF271">(SUMPRODUCT((H271:O271/H$9:O$9)^H$7:O$7*H$5:O$5)+SUMPRODUCT((Q271:T271/Q$9:T$9)^Q$7:T$7*Q$5:T$5))*AF$9</f>
        <v>1.9097404160531517</v>
      </c>
      <c r="AG271" s="50" cm="1">
        <f t="array" ref="AG271">SUMPRODUCT(AC271:AF271 * AC$3:AF$3) / SUM(AC$3:AF$3)</f>
        <v>2.1013554237923131</v>
      </c>
    </row>
    <row r="272" spans="1:33" x14ac:dyDescent="0.25">
      <c r="A272" s="81" t="s">
        <v>1508</v>
      </c>
      <c r="B272" s="20" t="s">
        <v>1510</v>
      </c>
      <c r="C272" s="4" t="s">
        <v>8853</v>
      </c>
      <c r="D272" s="4" t="str">
        <f t="shared" si="4"/>
        <v>GIGABYTE</v>
      </c>
      <c r="E272" s="4" t="s">
        <v>8855</v>
      </c>
      <c r="F272" s="14" t="s">
        <v>8875</v>
      </c>
      <c r="G272" s="9">
        <v>1</v>
      </c>
      <c r="H272" s="1">
        <v>22.33</v>
      </c>
      <c r="I272" s="1">
        <v>22.33</v>
      </c>
      <c r="J272" s="1">
        <v>0.35</v>
      </c>
      <c r="K272" s="3">
        <v>2250</v>
      </c>
      <c r="L272" s="13">
        <v>2565</v>
      </c>
      <c r="M272" s="49">
        <v>121.7</v>
      </c>
      <c r="N272" s="1">
        <v>344.8</v>
      </c>
      <c r="O272" s="3">
        <v>30</v>
      </c>
      <c r="P272" s="11" t="s">
        <v>2275</v>
      </c>
      <c r="Q272" s="3">
        <v>16</v>
      </c>
      <c r="R272" s="3">
        <v>128</v>
      </c>
      <c r="S272" s="22">
        <v>18</v>
      </c>
      <c r="T272" s="9">
        <v>165</v>
      </c>
      <c r="U272" s="14" t="s">
        <v>446</v>
      </c>
      <c r="V272" s="12">
        <v>4</v>
      </c>
      <c r="W272" s="75">
        <v>16</v>
      </c>
      <c r="X272" s="76">
        <v>8</v>
      </c>
      <c r="Y272" s="9">
        <v>626.01</v>
      </c>
      <c r="Z272" s="3">
        <v>898.01</v>
      </c>
      <c r="AA272" s="17" t="s">
        <v>1509</v>
      </c>
      <c r="AB272" s="18" t="s">
        <v>1508</v>
      </c>
      <c r="AC272" s="46" cm="1">
        <f t="array" ref="AC272">(SUMPRODUCT((H272:O272/H$9:O$9)^H$7:O$7*H$2:O$2)+SUMPRODUCT((Q272:T272/Q$9:T$9)^Q$7:T$7*Q$2:T$2))*(0.8^(1-G272))*AC$9</f>
        <v>1.953966093638912</v>
      </c>
      <c r="AD272" s="48" cm="1">
        <f t="array" ref="AD272">(SUMPRODUCT((H272:O272/H$9:O$9)^H$7:O$7*H$3:O$3)+SUMPRODUCT((Q272:T272/Q$9:T$9)^Q$7:T$7*Q$3:T$3))*(0.1^(1-G272))*AD$9</f>
        <v>2.2143601634269663</v>
      </c>
      <c r="AE272" s="48" cm="1">
        <f t="array" ref="AE272">(SUMPRODUCT((H272:O272/H$9:O$9)^H$7:O$7*H$4:O$4)+SUMPRODUCT((Q272:T272/Q$9:T$9)^Q$7:T$7*Q$4:T$4))*AE$9</f>
        <v>1.9601124429834409</v>
      </c>
      <c r="AF272" s="47" cm="1">
        <f t="array" ref="AF272">(SUMPRODUCT((H272:O272/H$9:O$9)^H$7:O$7*H$5:O$5)+SUMPRODUCT((Q272:T272/Q$9:T$9)^Q$7:T$7*Q$5:T$5))*AF$9</f>
        <v>1.9010542722440031</v>
      </c>
      <c r="AG272" s="50" cm="1">
        <f t="array" ref="AG272">SUMPRODUCT(AC272:AF272 * AC$3:AF$3) / SUM(AC$3:AF$3)</f>
        <v>2.0904937565491828</v>
      </c>
    </row>
    <row r="273" spans="1:33" x14ac:dyDescent="0.25">
      <c r="A273" s="81" t="s">
        <v>1262</v>
      </c>
      <c r="B273" s="20" t="s">
        <v>1264</v>
      </c>
      <c r="C273" s="4" t="s">
        <v>8853</v>
      </c>
      <c r="D273" s="4" t="str">
        <f t="shared" si="4"/>
        <v>INNO3D</v>
      </c>
      <c r="E273" s="4" t="s">
        <v>8855</v>
      </c>
      <c r="F273" s="14" t="s">
        <v>8875</v>
      </c>
      <c r="G273" s="9">
        <v>1</v>
      </c>
      <c r="H273" s="1">
        <v>22.33</v>
      </c>
      <c r="I273" s="1">
        <v>22.33</v>
      </c>
      <c r="J273" s="1">
        <v>0.35</v>
      </c>
      <c r="K273" s="3">
        <v>2250</v>
      </c>
      <c r="L273" s="13">
        <v>2565</v>
      </c>
      <c r="M273" s="49">
        <v>121.7</v>
      </c>
      <c r="N273" s="1">
        <v>344.8</v>
      </c>
      <c r="O273" s="3">
        <v>30</v>
      </c>
      <c r="P273" s="11" t="s">
        <v>2275</v>
      </c>
      <c r="Q273" s="3">
        <v>16</v>
      </c>
      <c r="R273" s="3">
        <v>128</v>
      </c>
      <c r="S273" s="22">
        <v>18</v>
      </c>
      <c r="T273" s="9">
        <v>165</v>
      </c>
      <c r="U273" s="14" t="s">
        <v>446</v>
      </c>
      <c r="V273" s="12">
        <v>4</v>
      </c>
      <c r="W273" s="75">
        <v>16</v>
      </c>
      <c r="X273" s="76">
        <v>8</v>
      </c>
      <c r="Y273" s="9">
        <v>802.19</v>
      </c>
      <c r="Z273" s="3">
        <v>802.19</v>
      </c>
      <c r="AA273" s="17" t="s">
        <v>1263</v>
      </c>
      <c r="AB273" s="18" t="s">
        <v>1262</v>
      </c>
      <c r="AC273" s="46" cm="1">
        <f t="array" ref="AC273">(SUMPRODUCT((H273:O273/H$9:O$9)^H$7:O$7*H$2:O$2)+SUMPRODUCT((Q273:T273/Q$9:T$9)^Q$7:T$7*Q$2:T$2))*(0.8^(1-G273))*AC$9</f>
        <v>1.953966093638912</v>
      </c>
      <c r="AD273" s="48" cm="1">
        <f t="array" ref="AD273">(SUMPRODUCT((H273:O273/H$9:O$9)^H$7:O$7*H$3:O$3)+SUMPRODUCT((Q273:T273/Q$9:T$9)^Q$7:T$7*Q$3:T$3))*(0.1^(1-G273))*AD$9</f>
        <v>2.2143601634269663</v>
      </c>
      <c r="AE273" s="48" cm="1">
        <f t="array" ref="AE273">(SUMPRODUCT((H273:O273/H$9:O$9)^H$7:O$7*H$4:O$4)+SUMPRODUCT((Q273:T273/Q$9:T$9)^Q$7:T$7*Q$4:T$4))*AE$9</f>
        <v>1.9601124429834409</v>
      </c>
      <c r="AF273" s="47" cm="1">
        <f t="array" ref="AF273">(SUMPRODUCT((H273:O273/H$9:O$9)^H$7:O$7*H$5:O$5)+SUMPRODUCT((Q273:T273/Q$9:T$9)^Q$7:T$7*Q$5:T$5))*AF$9</f>
        <v>1.9010542722440031</v>
      </c>
      <c r="AG273" s="50" cm="1">
        <f t="array" ref="AG273">SUMPRODUCT(AC273:AF273 * AC$3:AF$3) / SUM(AC$3:AF$3)</f>
        <v>2.0904937565491828</v>
      </c>
    </row>
    <row r="274" spans="1:33" x14ac:dyDescent="0.25">
      <c r="A274" s="81" t="s">
        <v>1253</v>
      </c>
      <c r="B274" s="20" t="s">
        <v>1255</v>
      </c>
      <c r="C274" s="4" t="s">
        <v>8853</v>
      </c>
      <c r="D274" s="4" t="str">
        <f t="shared" si="4"/>
        <v>INNO3D</v>
      </c>
      <c r="E274" s="4" t="s">
        <v>8855</v>
      </c>
      <c r="F274" s="14" t="s">
        <v>8875</v>
      </c>
      <c r="G274" s="9">
        <v>1</v>
      </c>
      <c r="H274" s="1">
        <v>22.06</v>
      </c>
      <c r="I274" s="1">
        <v>22.06</v>
      </c>
      <c r="J274" s="1">
        <v>0.34</v>
      </c>
      <c r="K274" s="3">
        <v>2250</v>
      </c>
      <c r="L274" s="13">
        <v>2535</v>
      </c>
      <c r="M274" s="49">
        <v>121.7</v>
      </c>
      <c r="N274" s="1">
        <v>344.8</v>
      </c>
      <c r="O274" s="3">
        <v>30</v>
      </c>
      <c r="P274" s="11" t="s">
        <v>2275</v>
      </c>
      <c r="Q274" s="3">
        <v>16</v>
      </c>
      <c r="R274" s="3">
        <v>128</v>
      </c>
      <c r="S274" s="22">
        <v>18</v>
      </c>
      <c r="T274" s="9">
        <v>165</v>
      </c>
      <c r="U274" s="14" t="s">
        <v>446</v>
      </c>
      <c r="V274" s="12">
        <v>4</v>
      </c>
      <c r="W274" s="75">
        <v>16</v>
      </c>
      <c r="X274" s="76">
        <v>8</v>
      </c>
      <c r="Y274" s="9">
        <v>616.29999999999995</v>
      </c>
      <c r="Z274" s="3">
        <v>940.52</v>
      </c>
      <c r="AA274" s="17" t="s">
        <v>1254</v>
      </c>
      <c r="AB274" s="18" t="s">
        <v>1253</v>
      </c>
      <c r="AC274" s="46" cm="1">
        <f t="array" ref="AC274">(SUMPRODUCT((H274:O274/H$9:O$9)^H$7:O$7*H$2:O$2)+SUMPRODUCT((Q274:T274/Q$9:T$9)^Q$7:T$7*Q$2:T$2))*(0.8^(1-G274))*AC$9</f>
        <v>1.9487206522989884</v>
      </c>
      <c r="AD274" s="48" cm="1">
        <f t="array" ref="AD274">(SUMPRODUCT((H274:O274/H$9:O$9)^H$7:O$7*H$3:O$3)+SUMPRODUCT((Q274:T274/Q$9:T$9)^Q$7:T$7*Q$3:T$3))*(0.1^(1-G274))*AD$9</f>
        <v>2.1964078473090911</v>
      </c>
      <c r="AE274" s="48" cm="1">
        <f t="array" ref="AE274">(SUMPRODUCT((H274:O274/H$9:O$9)^H$7:O$7*H$4:O$4)+SUMPRODUCT((Q274:T274/Q$9:T$9)^Q$7:T$7*Q$4:T$4))*AE$9</f>
        <v>1.9352672781854461</v>
      </c>
      <c r="AF274" s="47" cm="1">
        <f t="array" ref="AF274">(SUMPRODUCT((H274:O274/H$9:O$9)^H$7:O$7*H$5:O$5)+SUMPRODUCT((Q274:T274/Q$9:T$9)^Q$7:T$7*Q$5:T$5))*AF$9</f>
        <v>1.8920796978040517</v>
      </c>
      <c r="AG274" s="50" cm="1">
        <f t="array" ref="AG274">SUMPRODUCT(AC274:AF274 * AC$3:AF$3) / SUM(AC$3:AF$3)</f>
        <v>2.0753896710983848</v>
      </c>
    </row>
    <row r="275" spans="1:33" x14ac:dyDescent="0.25">
      <c r="A275" s="81" t="s">
        <v>1056</v>
      </c>
      <c r="B275" s="20" t="s">
        <v>1058</v>
      </c>
      <c r="C275" s="4" t="s">
        <v>8853</v>
      </c>
      <c r="D275" s="4" t="str">
        <f t="shared" si="4"/>
        <v>MSI</v>
      </c>
      <c r="E275" s="4" t="s">
        <v>8855</v>
      </c>
      <c r="F275" s="14" t="s">
        <v>8875</v>
      </c>
      <c r="G275" s="9">
        <v>1</v>
      </c>
      <c r="H275" s="1">
        <v>23.11</v>
      </c>
      <c r="I275" s="1">
        <v>23.11</v>
      </c>
      <c r="J275" s="1">
        <v>0.36</v>
      </c>
      <c r="K275" s="3">
        <v>2250</v>
      </c>
      <c r="L275" s="13">
        <v>2655</v>
      </c>
      <c r="M275" s="49">
        <v>121.7</v>
      </c>
      <c r="N275" s="1">
        <v>344.8</v>
      </c>
      <c r="O275" s="3">
        <v>30</v>
      </c>
      <c r="P275" s="11" t="s">
        <v>2275</v>
      </c>
      <c r="Q275" s="3">
        <v>16</v>
      </c>
      <c r="R275" s="3">
        <v>128</v>
      </c>
      <c r="S275" s="22">
        <v>18</v>
      </c>
      <c r="T275" s="9">
        <v>165</v>
      </c>
      <c r="U275" s="14" t="s">
        <v>446</v>
      </c>
      <c r="V275" s="12">
        <v>4</v>
      </c>
      <c r="W275" s="75">
        <v>16</v>
      </c>
      <c r="X275" s="76">
        <v>8</v>
      </c>
      <c r="Y275" s="9">
        <v>864.74</v>
      </c>
      <c r="Z275" s="3">
        <v>1069.18</v>
      </c>
      <c r="AA275" s="17" t="s">
        <v>1057</v>
      </c>
      <c r="AB275" s="18" t="s">
        <v>1056</v>
      </c>
      <c r="AC275" s="46" cm="1">
        <f t="array" ref="AC275">(SUMPRODUCT((H275:O275/H$9:O$9)^H$7:O$7*H$2:O$2)+SUMPRODUCT((Q275:T275/Q$9:T$9)^Q$7:T$7*Q$2:T$2))*(0.8^(1-G275))*AC$9</f>
        <v>1.9694961883082565</v>
      </c>
      <c r="AD275" s="48" cm="1">
        <f t="array" ref="AD275">(SUMPRODUCT((H275:O275/H$9:O$9)^H$7:O$7*H$3:O$3)+SUMPRODUCT((Q275:T275/Q$9:T$9)^Q$7:T$7*Q$3:T$3))*(0.1^(1-G275))*AD$9</f>
        <v>2.2606943750555644</v>
      </c>
      <c r="AE275" s="48" cm="1">
        <f t="array" ref="AE275">(SUMPRODUCT((H275:O275/H$9:O$9)^H$7:O$7*H$4:O$4)+SUMPRODUCT((Q275:T275/Q$9:T$9)^Q$7:T$7*Q$4:T$4))*AE$9</f>
        <v>1.9934858597575122</v>
      </c>
      <c r="AF275" s="47" cm="1">
        <f t="array" ref="AF275">(SUMPRODUCT((H275:O275/H$9:O$9)^H$7:O$7*H$5:O$5)+SUMPRODUCT((Q275:T275/Q$9:T$9)^Q$7:T$7*Q$5:T$5))*AF$9</f>
        <v>1.927080578514166</v>
      </c>
      <c r="AG275" s="50" cm="1">
        <f t="array" ref="AG275">SUMPRODUCT(AC275:AF275 * AC$3:AF$3) / SUM(AC$3:AF$3)</f>
        <v>2.1268692094743296</v>
      </c>
    </row>
    <row r="276" spans="1:33" x14ac:dyDescent="0.25">
      <c r="A276" s="81" t="s">
        <v>1050</v>
      </c>
      <c r="B276" s="20" t="s">
        <v>1052</v>
      </c>
      <c r="C276" s="4" t="s">
        <v>8853</v>
      </c>
      <c r="D276" s="4" t="str">
        <f t="shared" si="4"/>
        <v>MSI</v>
      </c>
      <c r="E276" s="4" t="s">
        <v>8855</v>
      </c>
      <c r="F276" s="14" t="s">
        <v>8875</v>
      </c>
      <c r="G276" s="9">
        <v>1</v>
      </c>
      <c r="H276" s="1">
        <v>23.37</v>
      </c>
      <c r="I276" s="1">
        <v>23.37</v>
      </c>
      <c r="J276" s="1">
        <v>0.37</v>
      </c>
      <c r="K276" s="3">
        <v>2250</v>
      </c>
      <c r="L276" s="13">
        <v>2685</v>
      </c>
      <c r="M276" s="49">
        <v>121.7</v>
      </c>
      <c r="N276" s="1">
        <v>344.8</v>
      </c>
      <c r="O276" s="3">
        <v>30</v>
      </c>
      <c r="P276" s="11" t="s">
        <v>2275</v>
      </c>
      <c r="Q276" s="3">
        <v>16</v>
      </c>
      <c r="R276" s="3">
        <v>128</v>
      </c>
      <c r="S276" s="22">
        <v>18</v>
      </c>
      <c r="T276" s="9">
        <v>165</v>
      </c>
      <c r="U276" s="14" t="s">
        <v>446</v>
      </c>
      <c r="V276" s="12">
        <v>4</v>
      </c>
      <c r="W276" s="75">
        <v>16</v>
      </c>
      <c r="X276" s="76">
        <v>8</v>
      </c>
      <c r="Y276" s="9">
        <v>608.9</v>
      </c>
      <c r="Z276" s="3">
        <v>853</v>
      </c>
      <c r="AA276" s="17" t="s">
        <v>1051</v>
      </c>
      <c r="AB276" s="18" t="s">
        <v>1050</v>
      </c>
      <c r="AC276" s="46" cm="1">
        <f t="array" ref="AC276">(SUMPRODUCT((H276:O276/H$9:O$9)^H$7:O$7*H$2:O$2)+SUMPRODUCT((Q276:T276/Q$9:T$9)^Q$7:T$7*Q$2:T$2))*(0.8^(1-G276))*AC$9</f>
        <v>1.9746611235769169</v>
      </c>
      <c r="AD276" s="48" cm="1">
        <f t="array" ref="AD276">(SUMPRODUCT((H276:O276/H$9:O$9)^H$7:O$7*H$3:O$3)+SUMPRODUCT((Q276:T276/Q$9:T$9)^Q$7:T$7*Q$3:T$3))*(0.1^(1-G276))*AD$9</f>
        <v>2.2779992999408218</v>
      </c>
      <c r="AE276" s="48" cm="1">
        <f t="array" ref="AE276">(SUMPRODUCT((H276:O276/H$9:O$9)^H$7:O$7*H$4:O$4)+SUMPRODUCT((Q276:T276/Q$9:T$9)^Q$7:T$7*Q$4:T$4))*AE$9</f>
        <v>2.0179136379688929</v>
      </c>
      <c r="AF276" s="47" cm="1">
        <f t="array" ref="AF276">(SUMPRODUCT((H276:O276/H$9:O$9)^H$7:O$7*H$5:O$5)+SUMPRODUCT((Q276:T276/Q$9:T$9)^Q$7:T$7*Q$5:T$5))*AF$9</f>
        <v>1.9357348657384619</v>
      </c>
      <c r="AG276" s="50" cm="1">
        <f t="array" ref="AG276">SUMPRODUCT(AC276:AF276 * AC$3:AF$3) / SUM(AC$3:AF$3)</f>
        <v>2.1415004579606745</v>
      </c>
    </row>
    <row r="277" spans="1:33" x14ac:dyDescent="0.25">
      <c r="A277" s="81" t="s">
        <v>1045</v>
      </c>
      <c r="B277" s="20" t="s">
        <v>450</v>
      </c>
      <c r="C277" s="4" t="s">
        <v>8853</v>
      </c>
      <c r="D277" s="4" t="str">
        <f t="shared" si="4"/>
        <v>MSI</v>
      </c>
      <c r="E277" s="4" t="s">
        <v>8855</v>
      </c>
      <c r="F277" s="14" t="s">
        <v>8875</v>
      </c>
      <c r="G277" s="9">
        <v>1</v>
      </c>
      <c r="H277" s="1">
        <v>23.37</v>
      </c>
      <c r="I277" s="1">
        <v>23.37</v>
      </c>
      <c r="J277" s="1">
        <v>0.37</v>
      </c>
      <c r="K277" s="3">
        <v>2250</v>
      </c>
      <c r="L277" s="13">
        <v>2685</v>
      </c>
      <c r="M277" s="49">
        <v>121.7</v>
      </c>
      <c r="N277" s="1">
        <v>344.8</v>
      </c>
      <c r="O277" s="3">
        <v>30</v>
      </c>
      <c r="P277" s="11" t="s">
        <v>2275</v>
      </c>
      <c r="Q277" s="3">
        <v>16</v>
      </c>
      <c r="R277" s="3">
        <v>128</v>
      </c>
      <c r="S277" s="22">
        <v>18</v>
      </c>
      <c r="T277" s="9">
        <v>165</v>
      </c>
      <c r="U277" s="14" t="s">
        <v>446</v>
      </c>
      <c r="V277" s="12">
        <v>4</v>
      </c>
      <c r="W277" s="75">
        <v>16</v>
      </c>
      <c r="X277" s="76">
        <v>8</v>
      </c>
      <c r="Y277" s="9">
        <v>610.5</v>
      </c>
      <c r="Z277" s="3">
        <v>969.42</v>
      </c>
      <c r="AA277" s="17" t="s">
        <v>1046</v>
      </c>
      <c r="AB277" s="18" t="s">
        <v>1045</v>
      </c>
      <c r="AC277" s="46" cm="1">
        <f t="array" ref="AC277">(SUMPRODUCT((H277:O277/H$9:O$9)^H$7:O$7*H$2:O$2)+SUMPRODUCT((Q277:T277/Q$9:T$9)^Q$7:T$7*Q$2:T$2))*(0.8^(1-G277))*AC$9</f>
        <v>1.9746611235769169</v>
      </c>
      <c r="AD277" s="48" cm="1">
        <f t="array" ref="AD277">(SUMPRODUCT((H277:O277/H$9:O$9)^H$7:O$7*H$3:O$3)+SUMPRODUCT((Q277:T277/Q$9:T$9)^Q$7:T$7*Q$3:T$3))*(0.1^(1-G277))*AD$9</f>
        <v>2.2779992999408218</v>
      </c>
      <c r="AE277" s="48" cm="1">
        <f t="array" ref="AE277">(SUMPRODUCT((H277:O277/H$9:O$9)^H$7:O$7*H$4:O$4)+SUMPRODUCT((Q277:T277/Q$9:T$9)^Q$7:T$7*Q$4:T$4))*AE$9</f>
        <v>2.0179136379688929</v>
      </c>
      <c r="AF277" s="47" cm="1">
        <f t="array" ref="AF277">(SUMPRODUCT((H277:O277/H$9:O$9)^H$7:O$7*H$5:O$5)+SUMPRODUCT((Q277:T277/Q$9:T$9)^Q$7:T$7*Q$5:T$5))*AF$9</f>
        <v>1.9357348657384619</v>
      </c>
      <c r="AG277" s="50" cm="1">
        <f t="array" ref="AG277">SUMPRODUCT(AC277:AF277 * AC$3:AF$3) / SUM(AC$3:AF$3)</f>
        <v>2.1415004579606745</v>
      </c>
    </row>
    <row r="278" spans="1:33" x14ac:dyDescent="0.25">
      <c r="A278" s="81" t="s">
        <v>1039</v>
      </c>
      <c r="B278" s="20" t="s">
        <v>1041</v>
      </c>
      <c r="C278" s="4" t="s">
        <v>8853</v>
      </c>
      <c r="D278" s="4" t="str">
        <f t="shared" si="4"/>
        <v>MSI</v>
      </c>
      <c r="E278" s="4" t="s">
        <v>8855</v>
      </c>
      <c r="F278" s="14" t="s">
        <v>8875</v>
      </c>
      <c r="G278" s="9">
        <v>1</v>
      </c>
      <c r="H278" s="1">
        <v>22.85</v>
      </c>
      <c r="I278" s="1">
        <v>22.85</v>
      </c>
      <c r="J278" s="1">
        <v>0.36</v>
      </c>
      <c r="K278" s="3">
        <v>2250</v>
      </c>
      <c r="L278" s="13">
        <v>2625</v>
      </c>
      <c r="M278" s="49">
        <v>121.7</v>
      </c>
      <c r="N278" s="1">
        <v>344.8</v>
      </c>
      <c r="O278" s="3">
        <v>30</v>
      </c>
      <c r="P278" s="11" t="s">
        <v>2275</v>
      </c>
      <c r="Q278" s="3">
        <v>16</v>
      </c>
      <c r="R278" s="3">
        <v>128</v>
      </c>
      <c r="S278" s="22">
        <v>18</v>
      </c>
      <c r="T278" s="9">
        <v>165</v>
      </c>
      <c r="U278" s="14" t="s">
        <v>446</v>
      </c>
      <c r="V278" s="12">
        <v>4</v>
      </c>
      <c r="W278" s="75">
        <v>16</v>
      </c>
      <c r="X278" s="76">
        <v>8</v>
      </c>
      <c r="Y278" s="9">
        <v>579</v>
      </c>
      <c r="Z278" s="3">
        <v>981.31</v>
      </c>
      <c r="AA278" s="17" t="s">
        <v>1040</v>
      </c>
      <c r="AB278" s="18" t="s">
        <v>1039</v>
      </c>
      <c r="AC278" s="46" cm="1">
        <f t="array" ref="AC278">(SUMPRODUCT((H278:O278/H$9:O$9)^H$7:O$7*H$2:O$2)+SUMPRODUCT((Q278:T278/Q$9:T$9)^Q$7:T$7*Q$2:T$2))*(0.8^(1-G278))*AC$9</f>
        <v>1.9643254207085636</v>
      </c>
      <c r="AD278" s="48" cm="1">
        <f t="array" ref="AD278">(SUMPRODUCT((H278:O278/H$9:O$9)^H$7:O$7*H$3:O$3)+SUMPRODUCT((Q278:T278/Q$9:T$9)^Q$7:T$7*Q$3:T$3))*(0.1^(1-G278))*AD$9</f>
        <v>2.2462295928055784</v>
      </c>
      <c r="AE278" s="48" cm="1">
        <f t="array" ref="AE278">(SUMPRODUCT((H278:O278/H$9:O$9)^H$7:O$7*H$4:O$4)+SUMPRODUCT((Q278:T278/Q$9:T$9)^Q$7:T$7*Q$4:T$4))*AE$9</f>
        <v>1.9890788659839072</v>
      </c>
      <c r="AF278" s="47" cm="1">
        <f t="array" ref="AF278">(SUMPRODUCT((H278:O278/H$9:O$9)^H$7:O$7*H$5:O$5)+SUMPRODUCT((Q278:T278/Q$9:T$9)^Q$7:T$7*Q$5:T$5))*AF$9</f>
        <v>1.9184158061764935</v>
      </c>
      <c r="AG278" s="50" cm="1">
        <f t="array" ref="AG278">SUMPRODUCT(AC278:AF278 * AC$3:AF$3) / SUM(AC$3:AF$3)</f>
        <v>2.1160376300377091</v>
      </c>
    </row>
    <row r="279" spans="1:33" x14ac:dyDescent="0.25">
      <c r="A279" s="81" t="s">
        <v>1033</v>
      </c>
      <c r="B279" s="20" t="s">
        <v>1035</v>
      </c>
      <c r="C279" s="4" t="s">
        <v>8853</v>
      </c>
      <c r="D279" s="4" t="str">
        <f t="shared" si="4"/>
        <v>MSI</v>
      </c>
      <c r="E279" s="4" t="s">
        <v>8855</v>
      </c>
      <c r="F279" s="14" t="s">
        <v>8875</v>
      </c>
      <c r="G279" s="9">
        <v>1</v>
      </c>
      <c r="H279" s="1">
        <v>22.85</v>
      </c>
      <c r="I279" s="1">
        <v>22.85</v>
      </c>
      <c r="J279" s="1">
        <v>0.36</v>
      </c>
      <c r="K279" s="3">
        <v>2250</v>
      </c>
      <c r="L279" s="13">
        <v>2625</v>
      </c>
      <c r="M279" s="49">
        <v>121.7</v>
      </c>
      <c r="N279" s="1">
        <v>344.8</v>
      </c>
      <c r="O279" s="3">
        <v>30</v>
      </c>
      <c r="P279" s="11" t="s">
        <v>2275</v>
      </c>
      <c r="Q279" s="3">
        <v>16</v>
      </c>
      <c r="R279" s="3">
        <v>128</v>
      </c>
      <c r="S279" s="22">
        <v>18</v>
      </c>
      <c r="T279" s="9">
        <v>165</v>
      </c>
      <c r="U279" s="14" t="s">
        <v>446</v>
      </c>
      <c r="V279" s="12">
        <v>4</v>
      </c>
      <c r="W279" s="75">
        <v>16</v>
      </c>
      <c r="X279" s="76">
        <v>8</v>
      </c>
      <c r="Y279" s="9">
        <v>542.9</v>
      </c>
      <c r="Z279" s="3">
        <v>1050.49</v>
      </c>
      <c r="AA279" s="17" t="s">
        <v>1034</v>
      </c>
      <c r="AB279" s="18" t="s">
        <v>1033</v>
      </c>
      <c r="AC279" s="46" cm="1">
        <f t="array" ref="AC279">(SUMPRODUCT((H279:O279/H$9:O$9)^H$7:O$7*H$2:O$2)+SUMPRODUCT((Q279:T279/Q$9:T$9)^Q$7:T$7*Q$2:T$2))*(0.8^(1-G279))*AC$9</f>
        <v>1.9643254207085636</v>
      </c>
      <c r="AD279" s="48" cm="1">
        <f t="array" ref="AD279">(SUMPRODUCT((H279:O279/H$9:O$9)^H$7:O$7*H$3:O$3)+SUMPRODUCT((Q279:T279/Q$9:T$9)^Q$7:T$7*Q$3:T$3))*(0.1^(1-G279))*AD$9</f>
        <v>2.2462295928055784</v>
      </c>
      <c r="AE279" s="48" cm="1">
        <f t="array" ref="AE279">(SUMPRODUCT((H279:O279/H$9:O$9)^H$7:O$7*H$4:O$4)+SUMPRODUCT((Q279:T279/Q$9:T$9)^Q$7:T$7*Q$4:T$4))*AE$9</f>
        <v>1.9890788659839072</v>
      </c>
      <c r="AF279" s="47" cm="1">
        <f t="array" ref="AF279">(SUMPRODUCT((H279:O279/H$9:O$9)^H$7:O$7*H$5:O$5)+SUMPRODUCT((Q279:T279/Q$9:T$9)^Q$7:T$7*Q$5:T$5))*AF$9</f>
        <v>1.9184158061764935</v>
      </c>
      <c r="AG279" s="50" cm="1">
        <f t="array" ref="AG279">SUMPRODUCT(AC279:AF279 * AC$3:AF$3) / SUM(AC$3:AF$3)</f>
        <v>2.1160376300377091</v>
      </c>
    </row>
    <row r="280" spans="1:33" x14ac:dyDescent="0.25">
      <c r="A280" s="81" t="s">
        <v>718</v>
      </c>
      <c r="B280" s="20" t="s">
        <v>720</v>
      </c>
      <c r="C280" s="4" t="s">
        <v>8853</v>
      </c>
      <c r="D280" s="4" t="str">
        <f t="shared" si="4"/>
        <v>Palit</v>
      </c>
      <c r="E280" s="4" t="s">
        <v>8855</v>
      </c>
      <c r="F280" s="14" t="s">
        <v>8875</v>
      </c>
      <c r="G280" s="9">
        <v>1</v>
      </c>
      <c r="H280" s="1">
        <v>22.06</v>
      </c>
      <c r="I280" s="1">
        <v>22.06</v>
      </c>
      <c r="J280" s="1">
        <v>0.34</v>
      </c>
      <c r="K280" s="3">
        <v>2250</v>
      </c>
      <c r="L280" s="13">
        <v>2535</v>
      </c>
      <c r="M280" s="49">
        <v>121.7</v>
      </c>
      <c r="N280" s="1">
        <v>344.8</v>
      </c>
      <c r="O280" s="3">
        <v>30</v>
      </c>
      <c r="P280" s="11" t="s">
        <v>2275</v>
      </c>
      <c r="Q280" s="3">
        <v>16</v>
      </c>
      <c r="R280" s="3">
        <v>128</v>
      </c>
      <c r="S280" s="22">
        <v>18</v>
      </c>
      <c r="T280" s="9">
        <v>165</v>
      </c>
      <c r="U280" s="14" t="s">
        <v>446</v>
      </c>
      <c r="V280" s="12">
        <v>4</v>
      </c>
      <c r="W280" s="75">
        <v>16</v>
      </c>
      <c r="X280" s="76">
        <v>8</v>
      </c>
      <c r="Y280" s="9">
        <v>567.98</v>
      </c>
      <c r="Z280" s="3">
        <v>753.99</v>
      </c>
      <c r="AA280" s="17" t="s">
        <v>719</v>
      </c>
      <c r="AB280" s="18" t="s">
        <v>718</v>
      </c>
      <c r="AC280" s="46" cm="1">
        <f t="array" ref="AC280">(SUMPRODUCT((H280:O280/H$9:O$9)^H$7:O$7*H$2:O$2)+SUMPRODUCT((Q280:T280/Q$9:T$9)^Q$7:T$7*Q$2:T$2))*(0.8^(1-G280))*AC$9</f>
        <v>1.9487206522989884</v>
      </c>
      <c r="AD280" s="48" cm="1">
        <f t="array" ref="AD280">(SUMPRODUCT((H280:O280/H$9:O$9)^H$7:O$7*H$3:O$3)+SUMPRODUCT((Q280:T280/Q$9:T$9)^Q$7:T$7*Q$3:T$3))*(0.1^(1-G280))*AD$9</f>
        <v>2.1964078473090911</v>
      </c>
      <c r="AE280" s="48" cm="1">
        <f t="array" ref="AE280">(SUMPRODUCT((H280:O280/H$9:O$9)^H$7:O$7*H$4:O$4)+SUMPRODUCT((Q280:T280/Q$9:T$9)^Q$7:T$7*Q$4:T$4))*AE$9</f>
        <v>1.9352672781854461</v>
      </c>
      <c r="AF280" s="47" cm="1">
        <f t="array" ref="AF280">(SUMPRODUCT((H280:O280/H$9:O$9)^H$7:O$7*H$5:O$5)+SUMPRODUCT((Q280:T280/Q$9:T$9)^Q$7:T$7*Q$5:T$5))*AF$9</f>
        <v>1.8920796978040517</v>
      </c>
      <c r="AG280" s="50" cm="1">
        <f t="array" ref="AG280">SUMPRODUCT(AC280:AF280 * AC$3:AF$3) / SUM(AC$3:AF$3)</f>
        <v>2.0753896710983848</v>
      </c>
    </row>
    <row r="281" spans="1:33" x14ac:dyDescent="0.25">
      <c r="A281" s="81" t="s">
        <v>558</v>
      </c>
      <c r="B281" s="20" t="s">
        <v>560</v>
      </c>
      <c r="C281" s="4" t="s">
        <v>8853</v>
      </c>
      <c r="D281" s="4" t="str">
        <f t="shared" si="4"/>
        <v>Zotac</v>
      </c>
      <c r="E281" s="4" t="s">
        <v>8855</v>
      </c>
      <c r="F281" s="14" t="s">
        <v>8875</v>
      </c>
      <c r="G281" s="9">
        <v>1</v>
      </c>
      <c r="H281" s="1">
        <v>22.06</v>
      </c>
      <c r="I281" s="1">
        <v>22.06</v>
      </c>
      <c r="J281" s="1">
        <v>0.34</v>
      </c>
      <c r="K281" s="3">
        <v>2250</v>
      </c>
      <c r="L281" s="13">
        <v>2535</v>
      </c>
      <c r="M281" s="49">
        <v>121.7</v>
      </c>
      <c r="N281" s="1">
        <v>344.8</v>
      </c>
      <c r="O281" s="3">
        <v>30</v>
      </c>
      <c r="P281" s="11" t="s">
        <v>2275</v>
      </c>
      <c r="Q281" s="3">
        <v>16</v>
      </c>
      <c r="R281" s="3">
        <v>128</v>
      </c>
      <c r="S281" s="22">
        <v>18</v>
      </c>
      <c r="T281" s="9">
        <v>165</v>
      </c>
      <c r="U281" s="14" t="s">
        <v>446</v>
      </c>
      <c r="V281" s="12">
        <v>4</v>
      </c>
      <c r="W281" s="75">
        <v>16</v>
      </c>
      <c r="X281" s="76">
        <v>8</v>
      </c>
      <c r="Y281" s="9">
        <v>579.54</v>
      </c>
      <c r="Z281" s="3">
        <v>994.08</v>
      </c>
      <c r="AA281" s="17" t="s">
        <v>559</v>
      </c>
      <c r="AB281" s="18" t="s">
        <v>558</v>
      </c>
      <c r="AC281" s="46" cm="1">
        <f t="array" ref="AC281">(SUMPRODUCT((H281:O281/H$9:O$9)^H$7:O$7*H$2:O$2)+SUMPRODUCT((Q281:T281/Q$9:T$9)^Q$7:T$7*Q$2:T$2))*(0.8^(1-G281))*AC$9</f>
        <v>1.9487206522989884</v>
      </c>
      <c r="AD281" s="48" cm="1">
        <f t="array" ref="AD281">(SUMPRODUCT((H281:O281/H$9:O$9)^H$7:O$7*H$3:O$3)+SUMPRODUCT((Q281:T281/Q$9:T$9)^Q$7:T$7*Q$3:T$3))*(0.1^(1-G281))*AD$9</f>
        <v>2.1964078473090911</v>
      </c>
      <c r="AE281" s="48" cm="1">
        <f t="array" ref="AE281">(SUMPRODUCT((H281:O281/H$9:O$9)^H$7:O$7*H$4:O$4)+SUMPRODUCT((Q281:T281/Q$9:T$9)^Q$7:T$7*Q$4:T$4))*AE$9</f>
        <v>1.9352672781854461</v>
      </c>
      <c r="AF281" s="47" cm="1">
        <f t="array" ref="AF281">(SUMPRODUCT((H281:O281/H$9:O$9)^H$7:O$7*H$5:O$5)+SUMPRODUCT((Q281:T281/Q$9:T$9)^Q$7:T$7*Q$5:T$5))*AF$9</f>
        <v>1.8920796978040517</v>
      </c>
      <c r="AG281" s="50" cm="1">
        <f t="array" ref="AG281">SUMPRODUCT(AC281:AF281 * AC$3:AF$3) / SUM(AC$3:AF$3)</f>
        <v>2.0753896710983848</v>
      </c>
    </row>
    <row r="282" spans="1:33" x14ac:dyDescent="0.25">
      <c r="A282" s="81" t="s">
        <v>447</v>
      </c>
      <c r="B282" s="20" t="s">
        <v>449</v>
      </c>
      <c r="C282" s="4" t="s">
        <v>8853</v>
      </c>
      <c r="D282" s="4" t="str">
        <f t="shared" si="4"/>
        <v>Zotac</v>
      </c>
      <c r="E282" s="4" t="s">
        <v>8855</v>
      </c>
      <c r="F282" s="14" t="s">
        <v>8875</v>
      </c>
      <c r="G282" s="9">
        <v>1</v>
      </c>
      <c r="H282" s="1">
        <v>22.59</v>
      </c>
      <c r="I282" s="1">
        <v>22.59</v>
      </c>
      <c r="J282" s="1">
        <v>0.35</v>
      </c>
      <c r="K282" s="3">
        <v>2250</v>
      </c>
      <c r="L282" s="13">
        <v>2595</v>
      </c>
      <c r="M282" s="49">
        <v>121.7</v>
      </c>
      <c r="N282" s="1">
        <v>344.8</v>
      </c>
      <c r="O282" s="3">
        <v>30</v>
      </c>
      <c r="P282" s="11" t="s">
        <v>2275</v>
      </c>
      <c r="Q282" s="3">
        <v>16</v>
      </c>
      <c r="R282" s="3">
        <v>128</v>
      </c>
      <c r="S282" s="22">
        <v>18</v>
      </c>
      <c r="T282" s="9">
        <v>165</v>
      </c>
      <c r="U282" s="14" t="s">
        <v>446</v>
      </c>
      <c r="V282" s="12">
        <v>4</v>
      </c>
      <c r="W282" s="75">
        <v>16</v>
      </c>
      <c r="X282" s="76">
        <v>8</v>
      </c>
      <c r="Y282" s="9">
        <v>927.52</v>
      </c>
      <c r="Z282" s="3">
        <v>927.52</v>
      </c>
      <c r="AA282" s="17" t="s">
        <v>448</v>
      </c>
      <c r="AB282" s="18" t="s">
        <v>447</v>
      </c>
      <c r="AC282" s="46" cm="1">
        <f t="array" ref="AC282">(SUMPRODUCT((H282:O282/H$9:O$9)^H$7:O$7*H$2:O$2)+SUMPRODUCT((Q282:T282/Q$9:T$9)^Q$7:T$7*Q$2:T$2))*(0.8^(1-G282))*AC$9</f>
        <v>1.9591487475030074</v>
      </c>
      <c r="AD282" s="48" cm="1">
        <f t="array" ref="AD282">(SUMPRODUCT((H282:O282/H$9:O$9)^H$7:O$7*H$3:O$3)+SUMPRODUCT((Q282:T282/Q$9:T$9)^Q$7:T$7*Q$3:T$3))*(0.1^(1-G282))*AD$9</f>
        <v>2.2288671066992016</v>
      </c>
      <c r="AE282" s="48" cm="1">
        <f t="array" ref="AE282">(SUMPRODUCT((H282:O282/H$9:O$9)^H$7:O$7*H$4:O$4)+SUMPRODUCT((Q282:T282/Q$9:T$9)^Q$7:T$7*Q$4:T$4))*AE$9</f>
        <v>1.9645295353005723</v>
      </c>
      <c r="AF282" s="47" cm="1">
        <f t="array" ref="AF282">(SUMPRODUCT((H282:O282/H$9:O$9)^H$7:O$7*H$5:O$5)+SUMPRODUCT((Q282:T282/Q$9:T$9)^Q$7:T$7*Q$5:T$5))*AF$9</f>
        <v>1.9097404160531517</v>
      </c>
      <c r="AG282" s="50" cm="1">
        <f t="array" ref="AG282">SUMPRODUCT(AC282:AF282 * AC$3:AF$3) / SUM(AC$3:AF$3)</f>
        <v>2.1013554237923131</v>
      </c>
    </row>
    <row r="283" spans="1:33" x14ac:dyDescent="0.25">
      <c r="A283" s="81" t="s">
        <v>443</v>
      </c>
      <c r="B283" s="20" t="s">
        <v>445</v>
      </c>
      <c r="C283" s="4" t="s">
        <v>8853</v>
      </c>
      <c r="D283" s="4" t="str">
        <f t="shared" si="4"/>
        <v>Zotac</v>
      </c>
      <c r="E283" s="4" t="s">
        <v>8855</v>
      </c>
      <c r="F283" s="14" t="s">
        <v>8875</v>
      </c>
      <c r="G283" s="9">
        <v>1</v>
      </c>
      <c r="H283" s="1">
        <v>22.59</v>
      </c>
      <c r="I283" s="1">
        <v>22.59</v>
      </c>
      <c r="J283" s="1">
        <v>0.35</v>
      </c>
      <c r="K283" s="3">
        <v>2250</v>
      </c>
      <c r="L283" s="13">
        <v>2595</v>
      </c>
      <c r="M283" s="49">
        <v>121.7</v>
      </c>
      <c r="N283" s="1">
        <v>344.8</v>
      </c>
      <c r="O283" s="3">
        <v>30</v>
      </c>
      <c r="P283" s="11" t="s">
        <v>2275</v>
      </c>
      <c r="Q283" s="3">
        <v>16</v>
      </c>
      <c r="R283" s="3">
        <v>128</v>
      </c>
      <c r="S283" s="22">
        <v>18</v>
      </c>
      <c r="T283" s="9">
        <v>165</v>
      </c>
      <c r="U283" s="14" t="s">
        <v>446</v>
      </c>
      <c r="V283" s="12">
        <v>4</v>
      </c>
      <c r="W283" s="75">
        <v>16</v>
      </c>
      <c r="X283" s="76">
        <v>8</v>
      </c>
      <c r="Y283" s="9">
        <v>609</v>
      </c>
      <c r="Z283" s="3">
        <v>1046.53</v>
      </c>
      <c r="AA283" s="17" t="s">
        <v>444</v>
      </c>
      <c r="AB283" s="18" t="s">
        <v>443</v>
      </c>
      <c r="AC283" s="46" cm="1">
        <f t="array" ref="AC283">(SUMPRODUCT((H283:O283/H$9:O$9)^H$7:O$7*H$2:O$2)+SUMPRODUCT((Q283:T283/Q$9:T$9)^Q$7:T$7*Q$2:T$2))*(0.8^(1-G283))*AC$9</f>
        <v>1.9591487475030074</v>
      </c>
      <c r="AD283" s="48" cm="1">
        <f t="array" ref="AD283">(SUMPRODUCT((H283:O283/H$9:O$9)^H$7:O$7*H$3:O$3)+SUMPRODUCT((Q283:T283/Q$9:T$9)^Q$7:T$7*Q$3:T$3))*(0.1^(1-G283))*AD$9</f>
        <v>2.2288671066992016</v>
      </c>
      <c r="AE283" s="48" cm="1">
        <f t="array" ref="AE283">(SUMPRODUCT((H283:O283/H$9:O$9)^H$7:O$7*H$4:O$4)+SUMPRODUCT((Q283:T283/Q$9:T$9)^Q$7:T$7*Q$4:T$4))*AE$9</f>
        <v>1.9645295353005723</v>
      </c>
      <c r="AF283" s="47" cm="1">
        <f t="array" ref="AF283">(SUMPRODUCT((H283:O283/H$9:O$9)^H$7:O$7*H$5:O$5)+SUMPRODUCT((Q283:T283/Q$9:T$9)^Q$7:T$7*Q$5:T$5))*AF$9</f>
        <v>1.9097404160531517</v>
      </c>
      <c r="AG283" s="50" cm="1">
        <f t="array" ref="AG283">SUMPRODUCT(AC283:AF283 * AC$3:AF$3) / SUM(AC$3:AF$3)</f>
        <v>2.1013554237923131</v>
      </c>
    </row>
    <row r="284" spans="1:33" x14ac:dyDescent="0.25">
      <c r="A284" s="81" t="s">
        <v>2138</v>
      </c>
      <c r="B284" s="20" t="s">
        <v>2140</v>
      </c>
      <c r="C284" s="4" t="s">
        <v>8853</v>
      </c>
      <c r="D284" s="4" t="str">
        <f t="shared" si="4"/>
        <v>ASUS</v>
      </c>
      <c r="E284" s="4" t="s">
        <v>8855</v>
      </c>
      <c r="F284" s="14" t="s">
        <v>8876</v>
      </c>
      <c r="G284" s="9">
        <v>1</v>
      </c>
      <c r="H284" s="1">
        <v>30.03</v>
      </c>
      <c r="I284" s="1">
        <v>30.03</v>
      </c>
      <c r="J284" s="1">
        <v>0.47</v>
      </c>
      <c r="K284" s="3">
        <v>2500</v>
      </c>
      <c r="L284" s="13">
        <v>2550</v>
      </c>
      <c r="M284" s="49">
        <v>122.9</v>
      </c>
      <c r="N284" s="1">
        <v>353.3</v>
      </c>
      <c r="O284" s="3">
        <v>46</v>
      </c>
      <c r="P284" s="11" t="s">
        <v>2275</v>
      </c>
      <c r="Q284" s="3">
        <v>12</v>
      </c>
      <c r="R284" s="3">
        <v>192</v>
      </c>
      <c r="S284" s="22">
        <v>20</v>
      </c>
      <c r="T284" s="9">
        <v>200</v>
      </c>
      <c r="U284" s="14" t="s">
        <v>446</v>
      </c>
      <c r="V284" s="12">
        <v>4</v>
      </c>
      <c r="W284" s="75">
        <v>16</v>
      </c>
      <c r="X284" s="76">
        <v>16</v>
      </c>
      <c r="Y284" s="9">
        <v>629.85</v>
      </c>
      <c r="Z284" s="3">
        <v>1133.99</v>
      </c>
      <c r="AA284" s="17" t="s">
        <v>2139</v>
      </c>
      <c r="AB284" s="18" t="s">
        <v>2138</v>
      </c>
      <c r="AC284" s="46" cm="1">
        <f t="array" ref="AC284">(SUMPRODUCT((H284:O284/H$9:O$9)^H$7:O$7*H$2:O$2)+SUMPRODUCT((Q284:T284/Q$9:T$9)^Q$7:T$7*Q$2:T$2))*(0.8^(1-G284))*AC$9</f>
        <v>2.0999299751233567</v>
      </c>
      <c r="AD284" s="48" cm="1">
        <f t="array" ref="AD284">(SUMPRODUCT((H284:O284/H$9:O$9)^H$7:O$7*H$3:O$3)+SUMPRODUCT((Q284:T284/Q$9:T$9)^Q$7:T$7*Q$3:T$3))*(0.1^(1-G284))*AD$9</f>
        <v>2.6356620263426587</v>
      </c>
      <c r="AE284" s="48" cm="1">
        <f t="array" ref="AE284">(SUMPRODUCT((H284:O284/H$9:O$9)^H$7:O$7*H$4:O$4)+SUMPRODUCT((Q284:T284/Q$9:T$9)^Q$7:T$7*Q$4:T$4))*AE$9</f>
        <v>2.3587131545382278</v>
      </c>
      <c r="AF284" s="47" cm="1">
        <f t="array" ref="AF284">(SUMPRODUCT((H284:O284/H$9:O$9)^H$7:O$7*H$5:O$5)+SUMPRODUCT((Q284:T284/Q$9:T$9)^Q$7:T$7*Q$5:T$5))*AF$9</f>
        <v>2.2037026148018133</v>
      </c>
      <c r="AG284" s="50" cm="1">
        <f t="array" ref="AG284">SUMPRODUCT(AC284:AF284 * AC$3:AF$3) / SUM(AC$3:AF$3)</f>
        <v>2.4436080190154752</v>
      </c>
    </row>
    <row r="285" spans="1:33" x14ac:dyDescent="0.25">
      <c r="A285" s="81" t="s">
        <v>2141</v>
      </c>
      <c r="B285" s="20" t="s">
        <v>2143</v>
      </c>
      <c r="C285" s="4" t="s">
        <v>8853</v>
      </c>
      <c r="D285" s="4" t="str">
        <f t="shared" si="4"/>
        <v>ASUS</v>
      </c>
      <c r="E285" s="4" t="s">
        <v>8855</v>
      </c>
      <c r="F285" s="14" t="s">
        <v>8876</v>
      </c>
      <c r="G285" s="9">
        <v>1</v>
      </c>
      <c r="H285" s="1">
        <v>30.03</v>
      </c>
      <c r="I285" s="1">
        <v>30.03</v>
      </c>
      <c r="J285" s="1">
        <v>0.47</v>
      </c>
      <c r="K285" s="3">
        <v>1313</v>
      </c>
      <c r="L285" s="13">
        <v>2550</v>
      </c>
      <c r="M285" s="49">
        <v>122.9</v>
      </c>
      <c r="N285" s="1">
        <v>353.3</v>
      </c>
      <c r="O285" s="3">
        <v>46</v>
      </c>
      <c r="P285" s="11" t="s">
        <v>2276</v>
      </c>
      <c r="Q285" s="3">
        <v>12</v>
      </c>
      <c r="R285" s="3">
        <v>192</v>
      </c>
      <c r="S285" s="22">
        <v>21</v>
      </c>
      <c r="T285" s="9">
        <v>200</v>
      </c>
      <c r="U285" s="14" t="s">
        <v>446</v>
      </c>
      <c r="V285" s="12">
        <v>4</v>
      </c>
      <c r="W285" s="75">
        <v>16</v>
      </c>
      <c r="X285" s="76">
        <v>16</v>
      </c>
      <c r="Y285" s="9">
        <v>672.8</v>
      </c>
      <c r="Z285" s="3">
        <v>1179.5</v>
      </c>
      <c r="AA285" s="17" t="s">
        <v>2142</v>
      </c>
      <c r="AB285" s="18" t="s">
        <v>2141</v>
      </c>
      <c r="AC285" s="46" cm="1">
        <f t="array" ref="AC285">(SUMPRODUCT((H285:O285/H$9:O$9)^H$7:O$7*H$2:O$2)+SUMPRODUCT((Q285:T285/Q$9:T$9)^Q$7:T$7*Q$2:T$2))*(0.8^(1-G285))*AC$9</f>
        <v>2.0142704903049569</v>
      </c>
      <c r="AD285" s="48" cm="1">
        <f t="array" ref="AD285">(SUMPRODUCT((H285:O285/H$9:O$9)^H$7:O$7*H$3:O$3)+SUMPRODUCT((Q285:T285/Q$9:T$9)^Q$7:T$7*Q$3:T$3))*(0.1^(1-G285))*AD$9</f>
        <v>2.607991326449882</v>
      </c>
      <c r="AE285" s="48" cm="1">
        <f t="array" ref="AE285">(SUMPRODUCT((H285:O285/H$9:O$9)^H$7:O$7*H$4:O$4)+SUMPRODUCT((Q285:T285/Q$9:T$9)^Q$7:T$7*Q$4:T$4))*AE$9</f>
        <v>2.3336898397855208</v>
      </c>
      <c r="AF285" s="47" cm="1">
        <f t="array" ref="AF285">(SUMPRODUCT((H285:O285/H$9:O$9)^H$7:O$7*H$5:O$5)+SUMPRODUCT((Q285:T285/Q$9:T$9)^Q$7:T$7*Q$5:T$5))*AF$9</f>
        <v>2.1483612150162599</v>
      </c>
      <c r="AG285" s="50" cm="1">
        <f t="array" ref="AG285">SUMPRODUCT(AC285:AF285 * AC$3:AF$3) / SUM(AC$3:AF$3)</f>
        <v>2.4019548922240839</v>
      </c>
    </row>
    <row r="286" spans="1:33" x14ac:dyDescent="0.25">
      <c r="A286" s="81" t="s">
        <v>2135</v>
      </c>
      <c r="B286" s="20" t="s">
        <v>2137</v>
      </c>
      <c r="C286" s="4" t="s">
        <v>8853</v>
      </c>
      <c r="D286" s="4" t="str">
        <f t="shared" si="4"/>
        <v>ASUS</v>
      </c>
      <c r="E286" s="4" t="s">
        <v>8855</v>
      </c>
      <c r="F286" s="14" t="s">
        <v>8876</v>
      </c>
      <c r="G286" s="9">
        <v>1</v>
      </c>
      <c r="H286" s="1">
        <v>30.03</v>
      </c>
      <c r="I286" s="1">
        <v>30.03</v>
      </c>
      <c r="J286" s="1">
        <v>0.47</v>
      </c>
      <c r="K286" s="3">
        <v>1313</v>
      </c>
      <c r="L286" s="13">
        <v>2550</v>
      </c>
      <c r="M286" s="49">
        <v>122.9</v>
      </c>
      <c r="N286" s="1">
        <v>353.3</v>
      </c>
      <c r="O286" s="3">
        <v>46</v>
      </c>
      <c r="P286" s="11" t="s">
        <v>2276</v>
      </c>
      <c r="Q286" s="3">
        <v>12</v>
      </c>
      <c r="R286" s="3">
        <v>192</v>
      </c>
      <c r="S286" s="22">
        <v>21</v>
      </c>
      <c r="T286" s="9">
        <v>200</v>
      </c>
      <c r="U286" s="14" t="s">
        <v>446</v>
      </c>
      <c r="V286" s="12">
        <v>4</v>
      </c>
      <c r="W286" s="75">
        <v>16</v>
      </c>
      <c r="X286" s="76">
        <v>16</v>
      </c>
      <c r="Y286" s="9">
        <v>775.52</v>
      </c>
      <c r="Z286" s="3">
        <v>1087.99</v>
      </c>
      <c r="AA286" s="17" t="s">
        <v>2136</v>
      </c>
      <c r="AB286" s="18" t="s">
        <v>2135</v>
      </c>
      <c r="AC286" s="46" cm="1">
        <f t="array" ref="AC286">(SUMPRODUCT((H286:O286/H$9:O$9)^H$7:O$7*H$2:O$2)+SUMPRODUCT((Q286:T286/Q$9:T$9)^Q$7:T$7*Q$2:T$2))*(0.8^(1-G286))*AC$9</f>
        <v>2.0142704903049569</v>
      </c>
      <c r="AD286" s="48" cm="1">
        <f t="array" ref="AD286">(SUMPRODUCT((H286:O286/H$9:O$9)^H$7:O$7*H$3:O$3)+SUMPRODUCT((Q286:T286/Q$9:T$9)^Q$7:T$7*Q$3:T$3))*(0.1^(1-G286))*AD$9</f>
        <v>2.607991326449882</v>
      </c>
      <c r="AE286" s="48" cm="1">
        <f t="array" ref="AE286">(SUMPRODUCT((H286:O286/H$9:O$9)^H$7:O$7*H$4:O$4)+SUMPRODUCT((Q286:T286/Q$9:T$9)^Q$7:T$7*Q$4:T$4))*AE$9</f>
        <v>2.3336898397855208</v>
      </c>
      <c r="AF286" s="47" cm="1">
        <f t="array" ref="AF286">(SUMPRODUCT((H286:O286/H$9:O$9)^H$7:O$7*H$5:O$5)+SUMPRODUCT((Q286:T286/Q$9:T$9)^Q$7:T$7*Q$5:T$5))*AF$9</f>
        <v>2.1483612150162599</v>
      </c>
      <c r="AG286" s="50" cm="1">
        <f t="array" ref="AG286">SUMPRODUCT(AC286:AF286 * AC$3:AF$3) / SUM(AC$3:AF$3)</f>
        <v>2.4019548922240839</v>
      </c>
    </row>
    <row r="287" spans="1:33" x14ac:dyDescent="0.25">
      <c r="A287" s="81" t="s">
        <v>2132</v>
      </c>
      <c r="B287" s="20" t="s">
        <v>2134</v>
      </c>
      <c r="C287" s="4" t="s">
        <v>8853</v>
      </c>
      <c r="D287" s="4" t="str">
        <f t="shared" si="4"/>
        <v>ASUS</v>
      </c>
      <c r="E287" s="4" t="s">
        <v>8855</v>
      </c>
      <c r="F287" s="14" t="s">
        <v>8876</v>
      </c>
      <c r="G287" s="9">
        <v>1</v>
      </c>
      <c r="H287" s="1">
        <v>30.03</v>
      </c>
      <c r="I287" s="1">
        <v>30.03</v>
      </c>
      <c r="J287" s="1">
        <v>0.47</v>
      </c>
      <c r="K287" s="3">
        <v>1313</v>
      </c>
      <c r="L287" s="13">
        <v>2550</v>
      </c>
      <c r="M287" s="49">
        <v>122.9</v>
      </c>
      <c r="N287" s="1">
        <v>353.3</v>
      </c>
      <c r="O287" s="3">
        <v>46</v>
      </c>
      <c r="P287" s="11" t="s">
        <v>2276</v>
      </c>
      <c r="Q287" s="3">
        <v>12</v>
      </c>
      <c r="R287" s="3">
        <v>192</v>
      </c>
      <c r="S287" s="22">
        <v>21</v>
      </c>
      <c r="T287" s="9">
        <v>200</v>
      </c>
      <c r="U287" s="14" t="s">
        <v>446</v>
      </c>
      <c r="V287" s="12">
        <v>4</v>
      </c>
      <c r="W287" s="75">
        <v>16</v>
      </c>
      <c r="X287" s="76">
        <v>16</v>
      </c>
      <c r="Y287" s="9">
        <v>1045.33</v>
      </c>
      <c r="Z287" s="3">
        <v>1417.74</v>
      </c>
      <c r="AA287" s="17" t="s">
        <v>2133</v>
      </c>
      <c r="AB287" s="18" t="s">
        <v>2132</v>
      </c>
      <c r="AC287" s="46" cm="1">
        <f t="array" ref="AC287">(SUMPRODUCT((H287:O287/H$9:O$9)^H$7:O$7*H$2:O$2)+SUMPRODUCT((Q287:T287/Q$9:T$9)^Q$7:T$7*Q$2:T$2))*(0.8^(1-G287))*AC$9</f>
        <v>2.0142704903049569</v>
      </c>
      <c r="AD287" s="48" cm="1">
        <f t="array" ref="AD287">(SUMPRODUCT((H287:O287/H$9:O$9)^H$7:O$7*H$3:O$3)+SUMPRODUCT((Q287:T287/Q$9:T$9)^Q$7:T$7*Q$3:T$3))*(0.1^(1-G287))*AD$9</f>
        <v>2.607991326449882</v>
      </c>
      <c r="AE287" s="48" cm="1">
        <f t="array" ref="AE287">(SUMPRODUCT((H287:O287/H$9:O$9)^H$7:O$7*H$4:O$4)+SUMPRODUCT((Q287:T287/Q$9:T$9)^Q$7:T$7*Q$4:T$4))*AE$9</f>
        <v>2.3336898397855208</v>
      </c>
      <c r="AF287" s="47" cm="1">
        <f t="array" ref="AF287">(SUMPRODUCT((H287:O287/H$9:O$9)^H$7:O$7*H$5:O$5)+SUMPRODUCT((Q287:T287/Q$9:T$9)^Q$7:T$7*Q$5:T$5))*AF$9</f>
        <v>2.1483612150162599</v>
      </c>
      <c r="AG287" s="50" cm="1">
        <f t="array" ref="AG287">SUMPRODUCT(AC287:AF287 * AC$3:AF$3) / SUM(AC$3:AF$3)</f>
        <v>2.4019548922240839</v>
      </c>
    </row>
    <row r="288" spans="1:33" x14ac:dyDescent="0.25">
      <c r="A288" s="81" t="s">
        <v>2108</v>
      </c>
      <c r="B288" s="20" t="s">
        <v>2110</v>
      </c>
      <c r="C288" s="4" t="s">
        <v>8853</v>
      </c>
      <c r="D288" s="4" t="str">
        <f t="shared" si="4"/>
        <v>ASUS</v>
      </c>
      <c r="E288" s="4" t="s">
        <v>8855</v>
      </c>
      <c r="F288" s="14" t="s">
        <v>8876</v>
      </c>
      <c r="G288" s="9">
        <v>1</v>
      </c>
      <c r="H288" s="1">
        <v>30.03</v>
      </c>
      <c r="I288" s="1">
        <v>30.03</v>
      </c>
      <c r="J288" s="1">
        <v>0.47</v>
      </c>
      <c r="K288" s="3">
        <v>1313</v>
      </c>
      <c r="L288" s="13">
        <v>2550</v>
      </c>
      <c r="M288" s="49">
        <v>122.9</v>
      </c>
      <c r="N288" s="1">
        <v>353.3</v>
      </c>
      <c r="O288" s="3">
        <v>46</v>
      </c>
      <c r="P288" s="11" t="s">
        <v>2276</v>
      </c>
      <c r="Q288" s="3">
        <v>12</v>
      </c>
      <c r="R288" s="3">
        <v>192</v>
      </c>
      <c r="S288" s="22">
        <v>21</v>
      </c>
      <c r="T288" s="9">
        <v>200</v>
      </c>
      <c r="U288" s="14" t="s">
        <v>446</v>
      </c>
      <c r="V288" s="12">
        <v>4</v>
      </c>
      <c r="W288" s="75">
        <v>16</v>
      </c>
      <c r="X288" s="76">
        <v>16</v>
      </c>
      <c r="Y288" s="9">
        <v>1009.63</v>
      </c>
      <c r="Z288" s="3">
        <v>1260.44</v>
      </c>
      <c r="AA288" s="17" t="s">
        <v>2109</v>
      </c>
      <c r="AB288" s="18" t="s">
        <v>2108</v>
      </c>
      <c r="AC288" s="46" cm="1">
        <f t="array" ref="AC288">(SUMPRODUCT((H288:O288/H$9:O$9)^H$7:O$7*H$2:O$2)+SUMPRODUCT((Q288:T288/Q$9:T$9)^Q$7:T$7*Q$2:T$2))*(0.8^(1-G288))*AC$9</f>
        <v>2.0142704903049569</v>
      </c>
      <c r="AD288" s="48" cm="1">
        <f t="array" ref="AD288">(SUMPRODUCT((H288:O288/H$9:O$9)^H$7:O$7*H$3:O$3)+SUMPRODUCT((Q288:T288/Q$9:T$9)^Q$7:T$7*Q$3:T$3))*(0.1^(1-G288))*AD$9</f>
        <v>2.607991326449882</v>
      </c>
      <c r="AE288" s="48" cm="1">
        <f t="array" ref="AE288">(SUMPRODUCT((H288:O288/H$9:O$9)^H$7:O$7*H$4:O$4)+SUMPRODUCT((Q288:T288/Q$9:T$9)^Q$7:T$7*Q$4:T$4))*AE$9</f>
        <v>2.3336898397855208</v>
      </c>
      <c r="AF288" s="47" cm="1">
        <f t="array" ref="AF288">(SUMPRODUCT((H288:O288/H$9:O$9)^H$7:O$7*H$5:O$5)+SUMPRODUCT((Q288:T288/Q$9:T$9)^Q$7:T$7*Q$5:T$5))*AF$9</f>
        <v>2.1483612150162599</v>
      </c>
      <c r="AG288" s="50" cm="1">
        <f t="array" ref="AG288">SUMPRODUCT(AC288:AF288 * AC$3:AF$3) / SUM(AC$3:AF$3)</f>
        <v>2.4019548922240839</v>
      </c>
    </row>
    <row r="289" spans="1:33" x14ac:dyDescent="0.25">
      <c r="A289" s="81" t="s">
        <v>2105</v>
      </c>
      <c r="B289" s="20" t="s">
        <v>2107</v>
      </c>
      <c r="C289" s="4" t="s">
        <v>8853</v>
      </c>
      <c r="D289" s="4" t="str">
        <f t="shared" si="4"/>
        <v>ASUS</v>
      </c>
      <c r="E289" s="4" t="s">
        <v>8855</v>
      </c>
      <c r="F289" s="14" t="s">
        <v>8876</v>
      </c>
      <c r="G289" s="9">
        <v>1</v>
      </c>
      <c r="H289" s="1">
        <v>29.5</v>
      </c>
      <c r="I289" s="1">
        <v>29.5</v>
      </c>
      <c r="J289" s="1">
        <v>0.46</v>
      </c>
      <c r="K289" s="3">
        <v>1313</v>
      </c>
      <c r="L289" s="13">
        <v>2505</v>
      </c>
      <c r="M289" s="49">
        <v>122.9</v>
      </c>
      <c r="N289" s="1">
        <v>353.3</v>
      </c>
      <c r="O289" s="3">
        <v>46</v>
      </c>
      <c r="P289" s="11" t="s">
        <v>2276</v>
      </c>
      <c r="Q289" s="3">
        <v>12</v>
      </c>
      <c r="R289" s="3">
        <v>192</v>
      </c>
      <c r="S289" s="22">
        <v>21</v>
      </c>
      <c r="T289" s="9">
        <v>200</v>
      </c>
      <c r="U289" s="14" t="s">
        <v>446</v>
      </c>
      <c r="V289" s="12">
        <v>4</v>
      </c>
      <c r="W289" s="75">
        <v>16</v>
      </c>
      <c r="X289" s="76">
        <v>16</v>
      </c>
      <c r="Y289" s="9">
        <v>1076.44</v>
      </c>
      <c r="Z289" s="3">
        <v>1198.05</v>
      </c>
      <c r="AA289" s="17" t="s">
        <v>2106</v>
      </c>
      <c r="AB289" s="18" t="s">
        <v>2105</v>
      </c>
      <c r="AC289" s="46" cm="1">
        <f t="array" ref="AC289">(SUMPRODUCT((H289:O289/H$9:O$9)^H$7:O$7*H$2:O$2)+SUMPRODUCT((Q289:T289/Q$9:T$9)^Q$7:T$7*Q$2:T$2))*(0.8^(1-G289))*AC$9</f>
        <v>2.0057755758828404</v>
      </c>
      <c r="AD289" s="48" cm="1">
        <f t="array" ref="AD289">(SUMPRODUCT((H289:O289/H$9:O$9)^H$7:O$7*H$3:O$3)+SUMPRODUCT((Q289:T289/Q$9:T$9)^Q$7:T$7*Q$3:T$3))*(0.1^(1-G289))*AD$9</f>
        <v>2.5770884953250683</v>
      </c>
      <c r="AE289" s="48" cm="1">
        <f t="array" ref="AE289">(SUMPRODUCT((H289:O289/H$9:O$9)^H$7:O$7*H$4:O$4)+SUMPRODUCT((Q289:T289/Q$9:T$9)^Q$7:T$7*Q$4:T$4))*AE$9</f>
        <v>2.30585678863204</v>
      </c>
      <c r="AF289" s="47" cm="1">
        <f t="array" ref="AF289">(SUMPRODUCT((H289:O289/H$9:O$9)^H$7:O$7*H$5:O$5)+SUMPRODUCT((Q289:T289/Q$9:T$9)^Q$7:T$7*Q$5:T$5))*AF$9</f>
        <v>2.1318934055462146</v>
      </c>
      <c r="AG289" s="50" cm="1">
        <f t="array" ref="AG289">SUMPRODUCT(AC289:AF289 * AC$3:AF$3) / SUM(AC$3:AF$3)</f>
        <v>2.3775336374889959</v>
      </c>
    </row>
    <row r="290" spans="1:33" x14ac:dyDescent="0.25">
      <c r="A290" s="81" t="s">
        <v>2102</v>
      </c>
      <c r="B290" s="20" t="s">
        <v>2104</v>
      </c>
      <c r="C290" s="4" t="s">
        <v>8853</v>
      </c>
      <c r="D290" s="4" t="str">
        <f t="shared" si="4"/>
        <v>ASUS</v>
      </c>
      <c r="E290" s="4" t="s">
        <v>8855</v>
      </c>
      <c r="F290" s="14" t="s">
        <v>8876</v>
      </c>
      <c r="G290" s="9">
        <v>1</v>
      </c>
      <c r="H290" s="1">
        <v>29.5</v>
      </c>
      <c r="I290" s="1">
        <v>29.5</v>
      </c>
      <c r="J290" s="1">
        <v>0.46</v>
      </c>
      <c r="K290" s="3">
        <v>1313</v>
      </c>
      <c r="L290" s="13">
        <v>2505</v>
      </c>
      <c r="M290" s="49">
        <v>122.9</v>
      </c>
      <c r="N290" s="1">
        <v>353.3</v>
      </c>
      <c r="O290" s="3">
        <v>46</v>
      </c>
      <c r="P290" s="11" t="s">
        <v>2276</v>
      </c>
      <c r="Q290" s="3">
        <v>12</v>
      </c>
      <c r="R290" s="3">
        <v>192</v>
      </c>
      <c r="S290" s="22">
        <v>21</v>
      </c>
      <c r="T290" s="9">
        <v>200</v>
      </c>
      <c r="U290" s="14" t="s">
        <v>446</v>
      </c>
      <c r="V290" s="12">
        <v>4</v>
      </c>
      <c r="W290" s="75">
        <v>16</v>
      </c>
      <c r="X290" s="76">
        <v>16</v>
      </c>
      <c r="Y290" s="9">
        <v>1036.1199999999999</v>
      </c>
      <c r="Z290" s="3">
        <v>1398.76</v>
      </c>
      <c r="AA290" s="17" t="s">
        <v>2103</v>
      </c>
      <c r="AB290" s="18" t="s">
        <v>2102</v>
      </c>
      <c r="AC290" s="46" cm="1">
        <f t="array" ref="AC290">(SUMPRODUCT((H290:O290/H$9:O$9)^H$7:O$7*H$2:O$2)+SUMPRODUCT((Q290:T290/Q$9:T$9)^Q$7:T$7*Q$2:T$2))*(0.8^(1-G290))*AC$9</f>
        <v>2.0057755758828404</v>
      </c>
      <c r="AD290" s="48" cm="1">
        <f t="array" ref="AD290">(SUMPRODUCT((H290:O290/H$9:O$9)^H$7:O$7*H$3:O$3)+SUMPRODUCT((Q290:T290/Q$9:T$9)^Q$7:T$7*Q$3:T$3))*(0.1^(1-G290))*AD$9</f>
        <v>2.5770884953250683</v>
      </c>
      <c r="AE290" s="48" cm="1">
        <f t="array" ref="AE290">(SUMPRODUCT((H290:O290/H$9:O$9)^H$7:O$7*H$4:O$4)+SUMPRODUCT((Q290:T290/Q$9:T$9)^Q$7:T$7*Q$4:T$4))*AE$9</f>
        <v>2.30585678863204</v>
      </c>
      <c r="AF290" s="47" cm="1">
        <f t="array" ref="AF290">(SUMPRODUCT((H290:O290/H$9:O$9)^H$7:O$7*H$5:O$5)+SUMPRODUCT((Q290:T290/Q$9:T$9)^Q$7:T$7*Q$5:T$5))*AF$9</f>
        <v>2.1318934055462146</v>
      </c>
      <c r="AG290" s="50" cm="1">
        <f t="array" ref="AG290">SUMPRODUCT(AC290:AF290 * AC$3:AF$3) / SUM(AC$3:AF$3)</f>
        <v>2.3775336374889959</v>
      </c>
    </row>
    <row r="291" spans="1:33" x14ac:dyDescent="0.25">
      <c r="A291" s="81" t="s">
        <v>2045</v>
      </c>
      <c r="B291" s="20" t="s">
        <v>2047</v>
      </c>
      <c r="C291" s="4" t="s">
        <v>8853</v>
      </c>
      <c r="D291" s="4" t="str">
        <f t="shared" si="4"/>
        <v>ASUS</v>
      </c>
      <c r="E291" s="4" t="s">
        <v>8855</v>
      </c>
      <c r="F291" s="14" t="s">
        <v>8876</v>
      </c>
      <c r="G291" s="9">
        <v>1</v>
      </c>
      <c r="H291" s="1">
        <v>30.03</v>
      </c>
      <c r="I291" s="1">
        <v>30.03</v>
      </c>
      <c r="J291" s="1">
        <v>0.47</v>
      </c>
      <c r="K291" s="3">
        <v>1313</v>
      </c>
      <c r="L291" s="13">
        <v>2550</v>
      </c>
      <c r="M291" s="49">
        <v>122.9</v>
      </c>
      <c r="N291" s="1">
        <v>353.3</v>
      </c>
      <c r="O291" s="3">
        <v>46</v>
      </c>
      <c r="P291" s="11" t="s">
        <v>2276</v>
      </c>
      <c r="Q291" s="3">
        <v>12</v>
      </c>
      <c r="R291" s="3">
        <v>192</v>
      </c>
      <c r="S291" s="22">
        <v>21</v>
      </c>
      <c r="T291" s="9">
        <v>200</v>
      </c>
      <c r="U291" s="14" t="s">
        <v>446</v>
      </c>
      <c r="V291" s="12">
        <v>4</v>
      </c>
      <c r="W291" s="75">
        <v>16</v>
      </c>
      <c r="X291" s="76">
        <v>16</v>
      </c>
      <c r="Y291" s="9">
        <v>999.99</v>
      </c>
      <c r="Z291" s="3">
        <v>1113.94</v>
      </c>
      <c r="AA291" s="17" t="s">
        <v>2046</v>
      </c>
      <c r="AB291" s="18" t="s">
        <v>2045</v>
      </c>
      <c r="AC291" s="46" cm="1">
        <f t="array" ref="AC291">(SUMPRODUCT((H291:O291/H$9:O$9)^H$7:O$7*H$2:O$2)+SUMPRODUCT((Q291:T291/Q$9:T$9)^Q$7:T$7*Q$2:T$2))*(0.8^(1-G291))*AC$9</f>
        <v>2.0142704903049569</v>
      </c>
      <c r="AD291" s="48" cm="1">
        <f t="array" ref="AD291">(SUMPRODUCT((H291:O291/H$9:O$9)^H$7:O$7*H$3:O$3)+SUMPRODUCT((Q291:T291/Q$9:T$9)^Q$7:T$7*Q$3:T$3))*(0.1^(1-G291))*AD$9</f>
        <v>2.607991326449882</v>
      </c>
      <c r="AE291" s="48" cm="1">
        <f t="array" ref="AE291">(SUMPRODUCT((H291:O291/H$9:O$9)^H$7:O$7*H$4:O$4)+SUMPRODUCT((Q291:T291/Q$9:T$9)^Q$7:T$7*Q$4:T$4))*AE$9</f>
        <v>2.3336898397855208</v>
      </c>
      <c r="AF291" s="47" cm="1">
        <f t="array" ref="AF291">(SUMPRODUCT((H291:O291/H$9:O$9)^H$7:O$7*H$5:O$5)+SUMPRODUCT((Q291:T291/Q$9:T$9)^Q$7:T$7*Q$5:T$5))*AF$9</f>
        <v>2.1483612150162599</v>
      </c>
      <c r="AG291" s="50" cm="1">
        <f t="array" ref="AG291">SUMPRODUCT(AC291:AF291 * AC$3:AF$3) / SUM(AC$3:AF$3)</f>
        <v>2.4019548922240839</v>
      </c>
    </row>
    <row r="292" spans="1:33" x14ac:dyDescent="0.25">
      <c r="A292" s="81" t="s">
        <v>2018</v>
      </c>
      <c r="B292" s="20" t="s">
        <v>2020</v>
      </c>
      <c r="C292" s="4" t="s">
        <v>8853</v>
      </c>
      <c r="D292" s="4" t="str">
        <f t="shared" si="4"/>
        <v>ASUS</v>
      </c>
      <c r="E292" s="4" t="s">
        <v>8855</v>
      </c>
      <c r="F292" s="14" t="s">
        <v>8876</v>
      </c>
      <c r="G292" s="9">
        <v>1</v>
      </c>
      <c r="H292" s="1">
        <v>30.21</v>
      </c>
      <c r="I292" s="1">
        <v>30.21</v>
      </c>
      <c r="J292" s="1">
        <v>0.47</v>
      </c>
      <c r="K292" s="3">
        <v>1313</v>
      </c>
      <c r="L292" s="13">
        <v>2565</v>
      </c>
      <c r="M292" s="49">
        <v>122.9</v>
      </c>
      <c r="N292" s="1">
        <v>353.3</v>
      </c>
      <c r="O292" s="3">
        <v>46</v>
      </c>
      <c r="P292" s="11" t="s">
        <v>2276</v>
      </c>
      <c r="Q292" s="3">
        <v>12</v>
      </c>
      <c r="R292" s="3">
        <v>192</v>
      </c>
      <c r="S292" s="22">
        <v>21</v>
      </c>
      <c r="T292" s="9">
        <v>200</v>
      </c>
      <c r="U292" s="14" t="s">
        <v>446</v>
      </c>
      <c r="V292" s="12">
        <v>4</v>
      </c>
      <c r="W292" s="75">
        <v>16</v>
      </c>
      <c r="X292" s="76">
        <v>16</v>
      </c>
      <c r="Y292" s="9">
        <v>695</v>
      </c>
      <c r="Z292" s="3">
        <v>1250.1400000000001</v>
      </c>
      <c r="AA292" s="17" t="s">
        <v>2019</v>
      </c>
      <c r="AB292" s="18" t="s">
        <v>2018</v>
      </c>
      <c r="AC292" s="46" cm="1">
        <f t="array" ref="AC292">(SUMPRODUCT((H292:O292/H$9:O$9)^H$7:O$7*H$2:O$2)+SUMPRODUCT((Q292:T292/Q$9:T$9)^Q$7:T$7*Q$2:T$2))*(0.8^(1-G292))*AC$9</f>
        <v>2.0171171106171384</v>
      </c>
      <c r="AD292" s="48" cm="1">
        <f t="array" ref="AD292">(SUMPRODUCT((H292:O292/H$9:O$9)^H$7:O$7*H$3:O$3)+SUMPRODUCT((Q292:T292/Q$9:T$9)^Q$7:T$7*Q$3:T$3))*(0.1^(1-G292))*AD$9</f>
        <v>2.6175395087014368</v>
      </c>
      <c r="AE292" s="48" cm="1">
        <f t="array" ref="AE292">(SUMPRODUCT((H292:O292/H$9:O$9)^H$7:O$7*H$4:O$4)+SUMPRODUCT((Q292:T292/Q$9:T$9)^Q$7:T$7*Q$4:T$4))*AE$9</f>
        <v>2.3366593916581886</v>
      </c>
      <c r="AF292" s="47" cm="1">
        <f t="array" ref="AF292">(SUMPRODUCT((H292:O292/H$9:O$9)^H$7:O$7*H$5:O$5)+SUMPRODUCT((Q292:T292/Q$9:T$9)^Q$7:T$7*Q$5:T$5))*AF$9</f>
        <v>2.1539328963578455</v>
      </c>
      <c r="AG292" s="50" cm="1">
        <f t="array" ref="AG292">SUMPRODUCT(AC292:AF292 * AC$3:AF$3) / SUM(AC$3:AF$3)</f>
        <v>2.4089924384030943</v>
      </c>
    </row>
    <row r="293" spans="1:33" x14ac:dyDescent="0.25">
      <c r="A293" s="81" t="s">
        <v>2000</v>
      </c>
      <c r="B293" s="20" t="s">
        <v>2002</v>
      </c>
      <c r="C293" s="4" t="s">
        <v>8853</v>
      </c>
      <c r="D293" s="4" t="str">
        <f t="shared" si="4"/>
        <v>ASUS</v>
      </c>
      <c r="E293" s="4" t="s">
        <v>8855</v>
      </c>
      <c r="F293" s="14" t="s">
        <v>8876</v>
      </c>
      <c r="G293" s="9">
        <v>1</v>
      </c>
      <c r="H293" s="1">
        <v>29.5</v>
      </c>
      <c r="I293" s="1">
        <v>29.5</v>
      </c>
      <c r="J293" s="1">
        <v>0.46</v>
      </c>
      <c r="K293" s="3">
        <v>1313</v>
      </c>
      <c r="L293" s="13">
        <v>2505</v>
      </c>
      <c r="M293" s="49">
        <v>122.9</v>
      </c>
      <c r="N293" s="1">
        <v>353.3</v>
      </c>
      <c r="O293" s="3">
        <v>46</v>
      </c>
      <c r="P293" s="11" t="s">
        <v>2276</v>
      </c>
      <c r="Q293" s="3">
        <v>12</v>
      </c>
      <c r="R293" s="3">
        <v>192</v>
      </c>
      <c r="S293" s="22">
        <v>21</v>
      </c>
      <c r="T293" s="9">
        <v>200</v>
      </c>
      <c r="U293" s="14" t="s">
        <v>446</v>
      </c>
      <c r="V293" s="12">
        <v>4</v>
      </c>
      <c r="W293" s="75">
        <v>16</v>
      </c>
      <c r="X293" s="76">
        <v>16</v>
      </c>
      <c r="Y293" s="9">
        <v>735</v>
      </c>
      <c r="Z293" s="3">
        <v>874.91</v>
      </c>
      <c r="AA293" s="17" t="s">
        <v>2001</v>
      </c>
      <c r="AB293" s="18" t="s">
        <v>2000</v>
      </c>
      <c r="AC293" s="46" cm="1">
        <f t="array" ref="AC293">(SUMPRODUCT((H293:O293/H$9:O$9)^H$7:O$7*H$2:O$2)+SUMPRODUCT((Q293:T293/Q$9:T$9)^Q$7:T$7*Q$2:T$2))*(0.8^(1-G293))*AC$9</f>
        <v>2.0057755758828404</v>
      </c>
      <c r="AD293" s="48" cm="1">
        <f t="array" ref="AD293">(SUMPRODUCT((H293:O293/H$9:O$9)^H$7:O$7*H$3:O$3)+SUMPRODUCT((Q293:T293/Q$9:T$9)^Q$7:T$7*Q$3:T$3))*(0.1^(1-G293))*AD$9</f>
        <v>2.5770884953250683</v>
      </c>
      <c r="AE293" s="48" cm="1">
        <f t="array" ref="AE293">(SUMPRODUCT((H293:O293/H$9:O$9)^H$7:O$7*H$4:O$4)+SUMPRODUCT((Q293:T293/Q$9:T$9)^Q$7:T$7*Q$4:T$4))*AE$9</f>
        <v>2.30585678863204</v>
      </c>
      <c r="AF293" s="47" cm="1">
        <f t="array" ref="AF293">(SUMPRODUCT((H293:O293/H$9:O$9)^H$7:O$7*H$5:O$5)+SUMPRODUCT((Q293:T293/Q$9:T$9)^Q$7:T$7*Q$5:T$5))*AF$9</f>
        <v>2.1318934055462146</v>
      </c>
      <c r="AG293" s="50" cm="1">
        <f t="array" ref="AG293">SUMPRODUCT(AC293:AF293 * AC$3:AF$3) / SUM(AC$3:AF$3)</f>
        <v>2.3775336374889959</v>
      </c>
    </row>
    <row r="294" spans="1:33" x14ac:dyDescent="0.25">
      <c r="A294" s="81" t="s">
        <v>1925</v>
      </c>
      <c r="B294" s="20" t="s">
        <v>1927</v>
      </c>
      <c r="C294" s="4" t="s">
        <v>8853</v>
      </c>
      <c r="D294" s="4" t="str">
        <f t="shared" si="4"/>
        <v>ASUS</v>
      </c>
      <c r="E294" s="4" t="s">
        <v>8855</v>
      </c>
      <c r="F294" s="14" t="s">
        <v>8876</v>
      </c>
      <c r="G294" s="9">
        <v>1</v>
      </c>
      <c r="H294" s="1">
        <v>31.09</v>
      </c>
      <c r="I294" s="1">
        <v>31.09</v>
      </c>
      <c r="J294" s="1">
        <v>0.49</v>
      </c>
      <c r="K294" s="3">
        <v>1313</v>
      </c>
      <c r="L294" s="13">
        <v>2640</v>
      </c>
      <c r="M294" s="49">
        <v>122.9</v>
      </c>
      <c r="N294" s="1">
        <v>353.3</v>
      </c>
      <c r="O294" s="3">
        <v>46</v>
      </c>
      <c r="P294" s="11" t="s">
        <v>2276</v>
      </c>
      <c r="Q294" s="3">
        <v>12</v>
      </c>
      <c r="R294" s="3">
        <v>192</v>
      </c>
      <c r="S294" s="22">
        <v>21</v>
      </c>
      <c r="T294" s="9">
        <v>200</v>
      </c>
      <c r="U294" s="14" t="s">
        <v>527</v>
      </c>
      <c r="V294" s="12">
        <v>4</v>
      </c>
      <c r="W294" s="75">
        <v>16</v>
      </c>
      <c r="X294" s="76">
        <v>16</v>
      </c>
      <c r="Y294" s="9">
        <v>1399</v>
      </c>
      <c r="Z294" s="3">
        <v>1593.11</v>
      </c>
      <c r="AA294" s="17" t="s">
        <v>1926</v>
      </c>
      <c r="AB294" s="18" t="s">
        <v>1925</v>
      </c>
      <c r="AC294" s="46" cm="1">
        <f t="array" ref="AC294">(SUMPRODUCT((H294:O294/H$9:O$9)^H$7:O$7*H$2:O$2)+SUMPRODUCT((Q294:T294/Q$9:T$9)^Q$7:T$7*Q$2:T$2))*(0.8^(1-G294))*AC$9</f>
        <v>2.0312156670948518</v>
      </c>
      <c r="AD294" s="48" cm="1">
        <f t="array" ref="AD294">(SUMPRODUCT((H294:O294/H$9:O$9)^H$7:O$7*H$3:O$3)+SUMPRODUCT((Q294:T294/Q$9:T$9)^Q$7:T$7*Q$3:T$3))*(0.1^(1-G294))*AD$9</f>
        <v>2.6695740734835609</v>
      </c>
      <c r="AE294" s="48" cm="1">
        <f t="array" ref="AE294">(SUMPRODUCT((H294:O294/H$9:O$9)^H$7:O$7*H$4:O$4)+SUMPRODUCT((Q294:T294/Q$9:T$9)^Q$7:T$7*Q$4:T$4))*AE$9</f>
        <v>2.3890688819656516</v>
      </c>
      <c r="AF294" s="47" cm="1">
        <f t="array" ref="AF294">(SUMPRODUCT((H294:O294/H$9:O$9)^H$7:O$7*H$5:O$5)+SUMPRODUCT((Q294:T294/Q$9:T$9)^Q$7:T$7*Q$5:T$5))*AF$9</f>
        <v>2.1812035418532574</v>
      </c>
      <c r="AG294" s="50" cm="1">
        <f t="array" ref="AG294">SUMPRODUCT(AC294:AF294 * AC$3:AF$3) / SUM(AC$3:AF$3)</f>
        <v>2.450618673645069</v>
      </c>
    </row>
    <row r="295" spans="1:33" x14ac:dyDescent="0.25">
      <c r="A295" s="81" t="s">
        <v>1799</v>
      </c>
      <c r="B295" s="20" t="s">
        <v>1801</v>
      </c>
      <c r="C295" s="4" t="s">
        <v>8853</v>
      </c>
      <c r="D295" s="4" t="str">
        <f t="shared" si="4"/>
        <v>ASUS</v>
      </c>
      <c r="E295" s="4" t="s">
        <v>8855</v>
      </c>
      <c r="F295" s="14" t="s">
        <v>8876</v>
      </c>
      <c r="G295" s="9">
        <v>1</v>
      </c>
      <c r="H295" s="1">
        <v>30.38</v>
      </c>
      <c r="I295" s="1">
        <v>30.38</v>
      </c>
      <c r="J295" s="1">
        <v>0.47</v>
      </c>
      <c r="K295" s="3">
        <v>1313</v>
      </c>
      <c r="L295" s="13">
        <v>2580</v>
      </c>
      <c r="M295" s="49">
        <v>122.9</v>
      </c>
      <c r="N295" s="1">
        <v>353.3</v>
      </c>
      <c r="O295" s="3">
        <v>46</v>
      </c>
      <c r="P295" s="11" t="s">
        <v>2276</v>
      </c>
      <c r="Q295" s="3">
        <v>12</v>
      </c>
      <c r="R295" s="3">
        <v>192</v>
      </c>
      <c r="S295" s="22">
        <v>21</v>
      </c>
      <c r="T295" s="9">
        <v>200</v>
      </c>
      <c r="U295" s="14" t="s">
        <v>446</v>
      </c>
      <c r="V295" s="12">
        <v>4</v>
      </c>
      <c r="W295" s="75">
        <v>16</v>
      </c>
      <c r="X295" s="76">
        <v>16</v>
      </c>
      <c r="Y295" s="9">
        <v>794.99</v>
      </c>
      <c r="Z295" s="3">
        <v>1078.82</v>
      </c>
      <c r="AA295" s="17" t="s">
        <v>1800</v>
      </c>
      <c r="AB295" s="18" t="s">
        <v>1799</v>
      </c>
      <c r="AC295" s="46" cm="1">
        <f t="array" ref="AC295">(SUMPRODUCT((H295:O295/H$9:O$9)^H$7:O$7*H$2:O$2)+SUMPRODUCT((Q295:T295/Q$9:T$9)^Q$7:T$7*Q$2:T$2))*(0.8^(1-G295))*AC$9</f>
        <v>2.0199071122575409</v>
      </c>
      <c r="AD295" s="48" cm="1">
        <f t="array" ref="AD295">(SUMPRODUCT((H295:O295/H$9:O$9)^H$7:O$7*H$3:O$3)+SUMPRODUCT((Q295:T295/Q$9:T$9)^Q$7:T$7*Q$3:T$3))*(0.1^(1-G295))*AD$9</f>
        <v>2.6265712039423192</v>
      </c>
      <c r="AE295" s="48" cm="1">
        <f t="array" ref="AE295">(SUMPRODUCT((H295:O295/H$9:O$9)^H$7:O$7*H$4:O$4)+SUMPRODUCT((Q295:T295/Q$9:T$9)^Q$7:T$7*Q$4:T$4))*AE$9</f>
        <v>2.3394623440733873</v>
      </c>
      <c r="AF295" s="47" cm="1">
        <f t="array" ref="AF295">(SUMPRODUCT((H295:O295/H$9:O$9)^H$7:O$7*H$5:O$5)+SUMPRODUCT((Q295:T295/Q$9:T$9)^Q$7:T$7*Q$5:T$5))*AF$9</f>
        <v>2.1592329879989478</v>
      </c>
      <c r="AG295" s="50" cm="1">
        <f t="array" ref="AG295">SUMPRODUCT(AC295:AF295 * AC$3:AF$3) / SUM(AC$3:AF$3)</f>
        <v>2.4156698349077463</v>
      </c>
    </row>
    <row r="296" spans="1:33" x14ac:dyDescent="0.25">
      <c r="A296" s="81" t="s">
        <v>1767</v>
      </c>
      <c r="B296" s="20" t="s">
        <v>1769</v>
      </c>
      <c r="C296" s="4" t="s">
        <v>8853</v>
      </c>
      <c r="D296" s="4" t="str">
        <f t="shared" si="4"/>
        <v>ASUS</v>
      </c>
      <c r="E296" s="4" t="s">
        <v>8855</v>
      </c>
      <c r="F296" s="14" t="s">
        <v>8876</v>
      </c>
      <c r="G296" s="9">
        <v>1</v>
      </c>
      <c r="H296" s="1">
        <v>29.5</v>
      </c>
      <c r="I296" s="1">
        <v>29.5</v>
      </c>
      <c r="J296" s="1">
        <v>0.46</v>
      </c>
      <c r="K296" s="3">
        <v>1313</v>
      </c>
      <c r="L296" s="13">
        <v>2505</v>
      </c>
      <c r="M296" s="49">
        <v>122.9</v>
      </c>
      <c r="N296" s="1">
        <v>353.3</v>
      </c>
      <c r="O296" s="3">
        <v>46</v>
      </c>
      <c r="P296" s="11" t="s">
        <v>2276</v>
      </c>
      <c r="Q296" s="3">
        <v>12</v>
      </c>
      <c r="R296" s="3">
        <v>192</v>
      </c>
      <c r="S296" s="22">
        <v>21</v>
      </c>
      <c r="T296" s="9">
        <v>200</v>
      </c>
      <c r="U296" s="14" t="s">
        <v>446</v>
      </c>
      <c r="V296" s="12">
        <v>4</v>
      </c>
      <c r="W296" s="75">
        <v>16</v>
      </c>
      <c r="X296" s="76">
        <v>16</v>
      </c>
      <c r="Y296" s="9">
        <v>1079.5</v>
      </c>
      <c r="Z296" s="3">
        <v>1317.5</v>
      </c>
      <c r="AA296" s="17" t="s">
        <v>1768</v>
      </c>
      <c r="AB296" s="18" t="s">
        <v>1767</v>
      </c>
      <c r="AC296" s="46" cm="1">
        <f t="array" ref="AC296">(SUMPRODUCT((H296:O296/H$9:O$9)^H$7:O$7*H$2:O$2)+SUMPRODUCT((Q296:T296/Q$9:T$9)^Q$7:T$7*Q$2:T$2))*(0.8^(1-G296))*AC$9</f>
        <v>2.0057755758828404</v>
      </c>
      <c r="AD296" s="48" cm="1">
        <f t="array" ref="AD296">(SUMPRODUCT((H296:O296/H$9:O$9)^H$7:O$7*H$3:O$3)+SUMPRODUCT((Q296:T296/Q$9:T$9)^Q$7:T$7*Q$3:T$3))*(0.1^(1-G296))*AD$9</f>
        <v>2.5770884953250683</v>
      </c>
      <c r="AE296" s="48" cm="1">
        <f t="array" ref="AE296">(SUMPRODUCT((H296:O296/H$9:O$9)^H$7:O$7*H$4:O$4)+SUMPRODUCT((Q296:T296/Q$9:T$9)^Q$7:T$7*Q$4:T$4))*AE$9</f>
        <v>2.30585678863204</v>
      </c>
      <c r="AF296" s="47" cm="1">
        <f t="array" ref="AF296">(SUMPRODUCT((H296:O296/H$9:O$9)^H$7:O$7*H$5:O$5)+SUMPRODUCT((Q296:T296/Q$9:T$9)^Q$7:T$7*Q$5:T$5))*AF$9</f>
        <v>2.1318934055462146</v>
      </c>
      <c r="AG296" s="50" cm="1">
        <f t="array" ref="AG296">SUMPRODUCT(AC296:AF296 * AC$3:AF$3) / SUM(AC$3:AF$3)</f>
        <v>2.3775336374889959</v>
      </c>
    </row>
    <row r="297" spans="1:33" x14ac:dyDescent="0.25">
      <c r="A297" s="81" t="s">
        <v>1698</v>
      </c>
      <c r="B297" s="20" t="s">
        <v>1700</v>
      </c>
      <c r="C297" s="4" t="s">
        <v>8853</v>
      </c>
      <c r="D297" s="4" t="str">
        <f t="shared" si="4"/>
        <v>ASUS</v>
      </c>
      <c r="E297" s="4" t="s">
        <v>8855</v>
      </c>
      <c r="F297" s="14" t="s">
        <v>8876</v>
      </c>
      <c r="G297" s="9">
        <v>1</v>
      </c>
      <c r="H297" s="1">
        <v>29.15</v>
      </c>
      <c r="I297" s="1">
        <v>29.15</v>
      </c>
      <c r="J297" s="1">
        <v>0.46</v>
      </c>
      <c r="K297" s="3">
        <v>1313</v>
      </c>
      <c r="L297" s="13">
        <v>2475</v>
      </c>
      <c r="M297" s="49">
        <v>122.9</v>
      </c>
      <c r="N297" s="1">
        <v>353.3</v>
      </c>
      <c r="O297" s="3">
        <v>46</v>
      </c>
      <c r="P297" s="11" t="s">
        <v>2276</v>
      </c>
      <c r="Q297" s="3">
        <v>12</v>
      </c>
      <c r="R297" s="3">
        <v>192</v>
      </c>
      <c r="S297" s="22">
        <v>21</v>
      </c>
      <c r="T297" s="9">
        <v>200</v>
      </c>
      <c r="U297" s="14" t="s">
        <v>446</v>
      </c>
      <c r="V297" s="12">
        <v>4</v>
      </c>
      <c r="W297" s="75">
        <v>16</v>
      </c>
      <c r="X297" s="76">
        <v>16</v>
      </c>
      <c r="Y297" s="9">
        <v>1354.19</v>
      </c>
      <c r="Z297" s="3">
        <v>1354.19</v>
      </c>
      <c r="AA297" s="17" t="s">
        <v>1699</v>
      </c>
      <c r="AB297" s="18" t="s">
        <v>1698</v>
      </c>
      <c r="AC297" s="46" cm="1">
        <f t="array" ref="AC297">(SUMPRODUCT((H297:O297/H$9:O$9)^H$7:O$7*H$2:O$2)+SUMPRODUCT((Q297:T297/Q$9:T$9)^Q$7:T$7*Q$2:T$2))*(0.8^(1-G297))*AC$9</f>
        <v>2.0001222227381219</v>
      </c>
      <c r="AD297" s="48" cm="1">
        <f t="array" ref="AD297">(SUMPRODUCT((H297:O297/H$9:O$9)^H$7:O$7*H$3:O$3)+SUMPRODUCT((Q297:T297/Q$9:T$9)^Q$7:T$7*Q$3:T$3))*(0.1^(1-G297))*AD$9</f>
        <v>2.5584385451812044</v>
      </c>
      <c r="AE297" s="48" cm="1">
        <f t="array" ref="AE297">(SUMPRODUCT((H297:O297/H$9:O$9)^H$7:O$7*H$4:O$4)+SUMPRODUCT((Q297:T297/Q$9:T$9)^Q$7:T$7*Q$4:T$4))*AE$9</f>
        <v>2.3000671912612094</v>
      </c>
      <c r="AF297" s="47" cm="1">
        <f t="array" ref="AF297">(SUMPRODUCT((H297:O297/H$9:O$9)^H$7:O$7*H$5:O$5)+SUMPRODUCT((Q297:T297/Q$9:T$9)^Q$7:T$7*Q$5:T$5))*AF$9</f>
        <v>2.120986915858019</v>
      </c>
      <c r="AG297" s="50" cm="1">
        <f t="array" ref="AG297">SUMPRODUCT(AC297:AF297 * AC$3:AF$3) / SUM(AC$3:AF$3)</f>
        <v>2.3637692916734938</v>
      </c>
    </row>
    <row r="298" spans="1:33" x14ac:dyDescent="0.25">
      <c r="A298" s="81" t="s">
        <v>1676</v>
      </c>
      <c r="B298" s="20" t="s">
        <v>1678</v>
      </c>
      <c r="C298" s="4" t="s">
        <v>8853</v>
      </c>
      <c r="D298" s="4" t="str">
        <f t="shared" si="4"/>
        <v>GIGABYTE</v>
      </c>
      <c r="E298" s="4" t="s">
        <v>8855</v>
      </c>
      <c r="F298" s="14" t="s">
        <v>8876</v>
      </c>
      <c r="G298" s="9">
        <v>1</v>
      </c>
      <c r="H298" s="1">
        <v>30.56</v>
      </c>
      <c r="I298" s="1">
        <v>30.56</v>
      </c>
      <c r="J298" s="1">
        <v>0.48</v>
      </c>
      <c r="K298" s="3">
        <v>1313</v>
      </c>
      <c r="L298" s="13">
        <v>2595</v>
      </c>
      <c r="M298" s="49">
        <v>122.9</v>
      </c>
      <c r="N298" s="1">
        <v>353.3</v>
      </c>
      <c r="O298" s="3">
        <v>46</v>
      </c>
      <c r="P298" s="11" t="s">
        <v>2276</v>
      </c>
      <c r="Q298" s="3">
        <v>12</v>
      </c>
      <c r="R298" s="3">
        <v>192</v>
      </c>
      <c r="S298" s="22">
        <v>21</v>
      </c>
      <c r="T298" s="9">
        <v>200</v>
      </c>
      <c r="U298" s="14" t="s">
        <v>527</v>
      </c>
      <c r="V298" s="12">
        <v>4</v>
      </c>
      <c r="W298" s="75">
        <v>16</v>
      </c>
      <c r="X298" s="76">
        <v>16</v>
      </c>
      <c r="Y298" s="9">
        <v>994.33</v>
      </c>
      <c r="Z298" s="3">
        <v>1029.19</v>
      </c>
      <c r="AA298" s="17" t="s">
        <v>1677</v>
      </c>
      <c r="AB298" s="18" t="s">
        <v>1676</v>
      </c>
      <c r="AC298" s="46" cm="1">
        <f t="array" ref="AC298">(SUMPRODUCT((H298:O298/H$9:O$9)^H$7:O$7*H$2:O$2)+SUMPRODUCT((Q298:T298/Q$9:T$9)^Q$7:T$7*Q$2:T$2))*(0.8^(1-G298))*AC$9</f>
        <v>2.0227504255348956</v>
      </c>
      <c r="AD298" s="48" cm="1">
        <f t="array" ref="AD298">(SUMPRODUCT((H298:O298/H$9:O$9)^H$7:O$7*H$3:O$3)+SUMPRODUCT((Q298:T298/Q$9:T$9)^Q$7:T$7*Q$3:T$3))*(0.1^(1-G298))*AD$9</f>
        <v>2.6388193427591311</v>
      </c>
      <c r="AE298" s="48" cm="1">
        <f t="array" ref="AE298">(SUMPRODUCT((H298:O298/H$9:O$9)^H$7:O$7*H$4:O$4)+SUMPRODUCT((Q298:T298/Q$9:T$9)^Q$7:T$7*Q$4:T$4))*AE$9</f>
        <v>2.361426432266466</v>
      </c>
      <c r="AF298" s="47" cm="1">
        <f t="array" ref="AF298">(SUMPRODUCT((H298:O298/H$9:O$9)^H$7:O$7*H$5:O$5)+SUMPRODUCT((Q298:T298/Q$9:T$9)^Q$7:T$7*Q$5:T$5))*AF$9</f>
        <v>2.1647977263070102</v>
      </c>
      <c r="AG298" s="50" cm="1">
        <f t="array" ref="AG298">SUMPRODUCT(AC298:AF298 * AC$3:AF$3) / SUM(AC$3:AF$3)</f>
        <v>2.4263161526472197</v>
      </c>
    </row>
    <row r="299" spans="1:33" x14ac:dyDescent="0.25">
      <c r="A299" s="81" t="s">
        <v>1496</v>
      </c>
      <c r="B299" s="20" t="s">
        <v>1498</v>
      </c>
      <c r="C299" s="4" t="s">
        <v>8853</v>
      </c>
      <c r="D299" s="4" t="str">
        <f t="shared" si="4"/>
        <v>GIGABYTE</v>
      </c>
      <c r="E299" s="4" t="s">
        <v>8855</v>
      </c>
      <c r="F299" s="14" t="s">
        <v>8876</v>
      </c>
      <c r="G299" s="9">
        <v>1</v>
      </c>
      <c r="H299" s="1">
        <v>30.21</v>
      </c>
      <c r="I299" s="1">
        <v>30.21</v>
      </c>
      <c r="J299" s="1">
        <v>0.47</v>
      </c>
      <c r="K299" s="3">
        <v>1313</v>
      </c>
      <c r="L299" s="13">
        <v>2565</v>
      </c>
      <c r="M299" s="49">
        <v>122.9</v>
      </c>
      <c r="N299" s="1">
        <v>353.3</v>
      </c>
      <c r="O299" s="3">
        <v>46</v>
      </c>
      <c r="P299" s="11" t="s">
        <v>2276</v>
      </c>
      <c r="Q299" s="3">
        <v>12</v>
      </c>
      <c r="R299" s="3">
        <v>192</v>
      </c>
      <c r="S299" s="22">
        <v>21</v>
      </c>
      <c r="T299" s="9">
        <v>200</v>
      </c>
      <c r="U299" s="14" t="s">
        <v>446</v>
      </c>
      <c r="V299" s="12">
        <v>4</v>
      </c>
      <c r="W299" s="75">
        <v>16</v>
      </c>
      <c r="X299" s="76">
        <v>16</v>
      </c>
      <c r="Y299" s="9">
        <v>1269.54</v>
      </c>
      <c r="Z299" s="3">
        <v>1269.54</v>
      </c>
      <c r="AA299" s="17" t="s">
        <v>1497</v>
      </c>
      <c r="AB299" s="18" t="s">
        <v>1496</v>
      </c>
      <c r="AC299" s="46" cm="1">
        <f t="array" ref="AC299">(SUMPRODUCT((H299:O299/H$9:O$9)^H$7:O$7*H$2:O$2)+SUMPRODUCT((Q299:T299/Q$9:T$9)^Q$7:T$7*Q$2:T$2))*(0.8^(1-G299))*AC$9</f>
        <v>2.0171171106171384</v>
      </c>
      <c r="AD299" s="48" cm="1">
        <f t="array" ref="AD299">(SUMPRODUCT((H299:O299/H$9:O$9)^H$7:O$7*H$3:O$3)+SUMPRODUCT((Q299:T299/Q$9:T$9)^Q$7:T$7*Q$3:T$3))*(0.1^(1-G299))*AD$9</f>
        <v>2.6175395087014368</v>
      </c>
      <c r="AE299" s="48" cm="1">
        <f t="array" ref="AE299">(SUMPRODUCT((H299:O299/H$9:O$9)^H$7:O$7*H$4:O$4)+SUMPRODUCT((Q299:T299/Q$9:T$9)^Q$7:T$7*Q$4:T$4))*AE$9</f>
        <v>2.3366593916581886</v>
      </c>
      <c r="AF299" s="47" cm="1">
        <f t="array" ref="AF299">(SUMPRODUCT((H299:O299/H$9:O$9)^H$7:O$7*H$5:O$5)+SUMPRODUCT((Q299:T299/Q$9:T$9)^Q$7:T$7*Q$5:T$5))*AF$9</f>
        <v>2.1539328963578455</v>
      </c>
      <c r="AG299" s="50" cm="1">
        <f t="array" ref="AG299">SUMPRODUCT(AC299:AF299 * AC$3:AF$3) / SUM(AC$3:AF$3)</f>
        <v>2.4089924384030943</v>
      </c>
    </row>
    <row r="300" spans="1:33" x14ac:dyDescent="0.25">
      <c r="A300" s="81" t="s">
        <v>1493</v>
      </c>
      <c r="B300" s="20" t="s">
        <v>1495</v>
      </c>
      <c r="C300" s="4" t="s">
        <v>8853</v>
      </c>
      <c r="D300" s="4" t="str">
        <f t="shared" si="4"/>
        <v>GIGABYTE</v>
      </c>
      <c r="E300" s="4" t="s">
        <v>8855</v>
      </c>
      <c r="F300" s="14" t="s">
        <v>8876</v>
      </c>
      <c r="G300" s="9">
        <v>1</v>
      </c>
      <c r="H300" s="1">
        <v>29.5</v>
      </c>
      <c r="I300" s="1">
        <v>29.5</v>
      </c>
      <c r="J300" s="1">
        <v>0.46</v>
      </c>
      <c r="K300" s="3">
        <v>1313</v>
      </c>
      <c r="L300" s="13">
        <v>2505</v>
      </c>
      <c r="M300" s="49">
        <v>122.9</v>
      </c>
      <c r="N300" s="1">
        <v>353.3</v>
      </c>
      <c r="O300" s="3">
        <v>46</v>
      </c>
      <c r="P300" s="11" t="s">
        <v>2276</v>
      </c>
      <c r="Q300" s="3">
        <v>12</v>
      </c>
      <c r="R300" s="3">
        <v>192</v>
      </c>
      <c r="S300" s="22">
        <v>21</v>
      </c>
      <c r="T300" s="9">
        <v>200</v>
      </c>
      <c r="U300" s="14" t="s">
        <v>446</v>
      </c>
      <c r="V300" s="12">
        <v>4</v>
      </c>
      <c r="W300" s="75">
        <v>16</v>
      </c>
      <c r="X300" s="76">
        <v>16</v>
      </c>
      <c r="Y300" s="9">
        <v>1173.29</v>
      </c>
      <c r="Z300" s="3">
        <v>1173.29</v>
      </c>
      <c r="AA300" s="17" t="s">
        <v>1494</v>
      </c>
      <c r="AB300" s="18" t="s">
        <v>1493</v>
      </c>
      <c r="AC300" s="46" cm="1">
        <f t="array" ref="AC300">(SUMPRODUCT((H300:O300/H$9:O$9)^H$7:O$7*H$2:O$2)+SUMPRODUCT((Q300:T300/Q$9:T$9)^Q$7:T$7*Q$2:T$2))*(0.8^(1-G300))*AC$9</f>
        <v>2.0057755758828404</v>
      </c>
      <c r="AD300" s="48" cm="1">
        <f t="array" ref="AD300">(SUMPRODUCT((H300:O300/H$9:O$9)^H$7:O$7*H$3:O$3)+SUMPRODUCT((Q300:T300/Q$9:T$9)^Q$7:T$7*Q$3:T$3))*(0.1^(1-G300))*AD$9</f>
        <v>2.5770884953250683</v>
      </c>
      <c r="AE300" s="48" cm="1">
        <f t="array" ref="AE300">(SUMPRODUCT((H300:O300/H$9:O$9)^H$7:O$7*H$4:O$4)+SUMPRODUCT((Q300:T300/Q$9:T$9)^Q$7:T$7*Q$4:T$4))*AE$9</f>
        <v>2.30585678863204</v>
      </c>
      <c r="AF300" s="47" cm="1">
        <f t="array" ref="AF300">(SUMPRODUCT((H300:O300/H$9:O$9)^H$7:O$7*H$5:O$5)+SUMPRODUCT((Q300:T300/Q$9:T$9)^Q$7:T$7*Q$5:T$5))*AF$9</f>
        <v>2.1318934055462146</v>
      </c>
      <c r="AG300" s="50" cm="1">
        <f t="array" ref="AG300">SUMPRODUCT(AC300:AF300 * AC$3:AF$3) / SUM(AC$3:AF$3)</f>
        <v>2.3775336374889959</v>
      </c>
    </row>
    <row r="301" spans="1:33" x14ac:dyDescent="0.25">
      <c r="A301" s="81" t="s">
        <v>1490</v>
      </c>
      <c r="B301" s="20" t="s">
        <v>1492</v>
      </c>
      <c r="C301" s="4" t="s">
        <v>8853</v>
      </c>
      <c r="D301" s="4" t="str">
        <f t="shared" si="4"/>
        <v>GIGABYTE</v>
      </c>
      <c r="E301" s="4" t="s">
        <v>8855</v>
      </c>
      <c r="F301" s="14" t="s">
        <v>8876</v>
      </c>
      <c r="G301" s="9">
        <v>1</v>
      </c>
      <c r="H301" s="1">
        <v>29.5</v>
      </c>
      <c r="I301" s="1">
        <v>29.5</v>
      </c>
      <c r="J301" s="1">
        <v>0.46</v>
      </c>
      <c r="K301" s="3">
        <v>1313</v>
      </c>
      <c r="L301" s="13">
        <v>2505</v>
      </c>
      <c r="M301" s="49">
        <v>122.9</v>
      </c>
      <c r="N301" s="1">
        <v>353.3</v>
      </c>
      <c r="O301" s="3">
        <v>46</v>
      </c>
      <c r="P301" s="11" t="s">
        <v>2276</v>
      </c>
      <c r="Q301" s="3">
        <v>12</v>
      </c>
      <c r="R301" s="3">
        <v>192</v>
      </c>
      <c r="S301" s="22">
        <v>21</v>
      </c>
      <c r="T301" s="9">
        <v>200</v>
      </c>
      <c r="U301" s="14" t="s">
        <v>446</v>
      </c>
      <c r="V301" s="12">
        <v>4</v>
      </c>
      <c r="W301" s="75">
        <v>16</v>
      </c>
      <c r="X301" s="76">
        <v>16</v>
      </c>
      <c r="Y301" s="9">
        <v>739</v>
      </c>
      <c r="Z301" s="3">
        <v>1235.92</v>
      </c>
      <c r="AA301" s="17" t="s">
        <v>1491</v>
      </c>
      <c r="AB301" s="18" t="s">
        <v>1490</v>
      </c>
      <c r="AC301" s="46" cm="1">
        <f t="array" ref="AC301">(SUMPRODUCT((H301:O301/H$9:O$9)^H$7:O$7*H$2:O$2)+SUMPRODUCT((Q301:T301/Q$9:T$9)^Q$7:T$7*Q$2:T$2))*(0.8^(1-G301))*AC$9</f>
        <v>2.0057755758828404</v>
      </c>
      <c r="AD301" s="48" cm="1">
        <f t="array" ref="AD301">(SUMPRODUCT((H301:O301/H$9:O$9)^H$7:O$7*H$3:O$3)+SUMPRODUCT((Q301:T301/Q$9:T$9)^Q$7:T$7*Q$3:T$3))*(0.1^(1-G301))*AD$9</f>
        <v>2.5770884953250683</v>
      </c>
      <c r="AE301" s="48" cm="1">
        <f t="array" ref="AE301">(SUMPRODUCT((H301:O301/H$9:O$9)^H$7:O$7*H$4:O$4)+SUMPRODUCT((Q301:T301/Q$9:T$9)^Q$7:T$7*Q$4:T$4))*AE$9</f>
        <v>2.30585678863204</v>
      </c>
      <c r="AF301" s="47" cm="1">
        <f t="array" ref="AF301">(SUMPRODUCT((H301:O301/H$9:O$9)^H$7:O$7*H$5:O$5)+SUMPRODUCT((Q301:T301/Q$9:T$9)^Q$7:T$7*Q$5:T$5))*AF$9</f>
        <v>2.1318934055462146</v>
      </c>
      <c r="AG301" s="50" cm="1">
        <f t="array" ref="AG301">SUMPRODUCT(AC301:AF301 * AC$3:AF$3) / SUM(AC$3:AF$3)</f>
        <v>2.3775336374889959</v>
      </c>
    </row>
    <row r="302" spans="1:33" x14ac:dyDescent="0.25">
      <c r="A302" s="81" t="s">
        <v>1487</v>
      </c>
      <c r="B302" s="20" t="s">
        <v>1489</v>
      </c>
      <c r="C302" s="4" t="s">
        <v>8853</v>
      </c>
      <c r="D302" s="4" t="str">
        <f t="shared" si="4"/>
        <v>GIGABYTE</v>
      </c>
      <c r="E302" s="4" t="s">
        <v>8855</v>
      </c>
      <c r="F302" s="14" t="s">
        <v>8876</v>
      </c>
      <c r="G302" s="9">
        <v>1</v>
      </c>
      <c r="H302" s="1">
        <v>30.21</v>
      </c>
      <c r="I302" s="1">
        <v>30.21</v>
      </c>
      <c r="J302" s="1">
        <v>0.47</v>
      </c>
      <c r="K302" s="3">
        <v>1313</v>
      </c>
      <c r="L302" s="13">
        <v>2565</v>
      </c>
      <c r="M302" s="49">
        <v>122.9</v>
      </c>
      <c r="N302" s="1">
        <v>353.3</v>
      </c>
      <c r="O302" s="3">
        <v>46</v>
      </c>
      <c r="P302" s="11" t="s">
        <v>2276</v>
      </c>
      <c r="Q302" s="3">
        <v>12</v>
      </c>
      <c r="R302" s="3">
        <v>192</v>
      </c>
      <c r="S302" s="22">
        <v>21</v>
      </c>
      <c r="T302" s="9">
        <v>200</v>
      </c>
      <c r="U302" s="14" t="s">
        <v>446</v>
      </c>
      <c r="V302" s="12">
        <v>4</v>
      </c>
      <c r="W302" s="75">
        <v>16</v>
      </c>
      <c r="X302" s="76">
        <v>16</v>
      </c>
      <c r="Y302" s="9">
        <v>1049.99</v>
      </c>
      <c r="Z302" s="3">
        <v>1176.24</v>
      </c>
      <c r="AA302" s="17" t="s">
        <v>1488</v>
      </c>
      <c r="AB302" s="18" t="s">
        <v>1487</v>
      </c>
      <c r="AC302" s="46" cm="1">
        <f t="array" ref="AC302">(SUMPRODUCT((H302:O302/H$9:O$9)^H$7:O$7*H$2:O$2)+SUMPRODUCT((Q302:T302/Q$9:T$9)^Q$7:T$7*Q$2:T$2))*(0.8^(1-G302))*AC$9</f>
        <v>2.0171171106171384</v>
      </c>
      <c r="AD302" s="48" cm="1">
        <f t="array" ref="AD302">(SUMPRODUCT((H302:O302/H$9:O$9)^H$7:O$7*H$3:O$3)+SUMPRODUCT((Q302:T302/Q$9:T$9)^Q$7:T$7*Q$3:T$3))*(0.1^(1-G302))*AD$9</f>
        <v>2.6175395087014368</v>
      </c>
      <c r="AE302" s="48" cm="1">
        <f t="array" ref="AE302">(SUMPRODUCT((H302:O302/H$9:O$9)^H$7:O$7*H$4:O$4)+SUMPRODUCT((Q302:T302/Q$9:T$9)^Q$7:T$7*Q$4:T$4))*AE$9</f>
        <v>2.3366593916581886</v>
      </c>
      <c r="AF302" s="47" cm="1">
        <f t="array" ref="AF302">(SUMPRODUCT((H302:O302/H$9:O$9)^H$7:O$7*H$5:O$5)+SUMPRODUCT((Q302:T302/Q$9:T$9)^Q$7:T$7*Q$5:T$5))*AF$9</f>
        <v>2.1539328963578455</v>
      </c>
      <c r="AG302" s="50" cm="1">
        <f t="array" ref="AG302">SUMPRODUCT(AC302:AF302 * AC$3:AF$3) / SUM(AC$3:AF$3)</f>
        <v>2.4089924384030943</v>
      </c>
    </row>
    <row r="303" spans="1:33" x14ac:dyDescent="0.25">
      <c r="A303" s="81" t="s">
        <v>1442</v>
      </c>
      <c r="B303" s="20" t="s">
        <v>1444</v>
      </c>
      <c r="C303" s="4" t="s">
        <v>8853</v>
      </c>
      <c r="D303" s="4" t="str">
        <f t="shared" si="4"/>
        <v>GIGABYTE</v>
      </c>
      <c r="E303" s="4" t="s">
        <v>8855</v>
      </c>
      <c r="F303" s="14" t="s">
        <v>8876</v>
      </c>
      <c r="G303" s="9">
        <v>1</v>
      </c>
      <c r="H303" s="1">
        <v>29.32</v>
      </c>
      <c r="I303" s="1">
        <v>29.32</v>
      </c>
      <c r="J303" s="1">
        <v>0.46</v>
      </c>
      <c r="K303" s="3">
        <v>1313</v>
      </c>
      <c r="L303" s="13">
        <v>2490</v>
      </c>
      <c r="M303" s="49">
        <v>122.9</v>
      </c>
      <c r="N303" s="1">
        <v>353.3</v>
      </c>
      <c r="O303" s="3">
        <v>46</v>
      </c>
      <c r="P303" s="11" t="s">
        <v>2276</v>
      </c>
      <c r="Q303" s="3">
        <v>12</v>
      </c>
      <c r="R303" s="3">
        <v>192</v>
      </c>
      <c r="S303" s="22">
        <v>21</v>
      </c>
      <c r="T303" s="9">
        <v>200</v>
      </c>
      <c r="U303" s="14" t="s">
        <v>446</v>
      </c>
      <c r="V303" s="12">
        <v>4</v>
      </c>
      <c r="W303" s="75">
        <v>16</v>
      </c>
      <c r="X303" s="76">
        <v>16</v>
      </c>
      <c r="Y303" s="9">
        <v>639</v>
      </c>
      <c r="Z303" s="3">
        <v>1098.67</v>
      </c>
      <c r="AA303" s="17" t="s">
        <v>1443</v>
      </c>
      <c r="AB303" s="18" t="s">
        <v>1442</v>
      </c>
      <c r="AC303" s="46" cm="1">
        <f t="array" ref="AC303">(SUMPRODUCT((H303:O303/H$9:O$9)^H$7:O$7*H$2:O$2)+SUMPRODUCT((Q303:T303/Q$9:T$9)^Q$7:T$7*Q$2:T$2))*(0.8^(1-G303))*AC$9</f>
        <v>2.002922178270532</v>
      </c>
      <c r="AD303" s="48" cm="1">
        <f t="array" ref="AD303">(SUMPRODUCT((H303:O303/H$9:O$9)^H$7:O$7*H$3:O$3)+SUMPRODUCT((Q303:T303/Q$9:T$9)^Q$7:T$7*Q$3:T$3))*(0.1^(1-G303))*AD$9</f>
        <v>2.5675112716207895</v>
      </c>
      <c r="AE303" s="48" cm="1">
        <f t="array" ref="AE303">(SUMPRODUCT((H303:O303/H$9:O$9)^H$7:O$7*H$4:O$4)+SUMPRODUCT((Q303:T303/Q$9:T$9)^Q$7:T$7*Q$4:T$4))*AE$9</f>
        <v>2.3028801445176406</v>
      </c>
      <c r="AF303" s="47" cm="1">
        <f t="array" ref="AF303">(SUMPRODUCT((H303:O303/H$9:O$9)^H$7:O$7*H$5:O$5)+SUMPRODUCT((Q303:T303/Q$9:T$9)^Q$7:T$7*Q$5:T$5))*AF$9</f>
        <v>2.126307385513416</v>
      </c>
      <c r="AG303" s="50" cm="1">
        <f t="array" ref="AG303">SUMPRODUCT(AC303:AF303 * AC$3:AF$3) / SUM(AC$3:AF$3)</f>
        <v>2.3704756498108344</v>
      </c>
    </row>
    <row r="304" spans="1:33" x14ac:dyDescent="0.25">
      <c r="A304" s="81" t="s">
        <v>1439</v>
      </c>
      <c r="B304" s="20" t="s">
        <v>1441</v>
      </c>
      <c r="C304" s="4" t="s">
        <v>8853</v>
      </c>
      <c r="D304" s="4" t="str">
        <f t="shared" si="4"/>
        <v>GIGABYTE</v>
      </c>
      <c r="E304" s="4" t="s">
        <v>8855</v>
      </c>
      <c r="F304" s="14" t="s">
        <v>8876</v>
      </c>
      <c r="G304" s="9">
        <v>1</v>
      </c>
      <c r="H304" s="1">
        <v>29.32</v>
      </c>
      <c r="I304" s="1">
        <v>29.32</v>
      </c>
      <c r="J304" s="1">
        <v>0.46</v>
      </c>
      <c r="K304" s="3">
        <v>2500</v>
      </c>
      <c r="L304" s="13">
        <v>2490</v>
      </c>
      <c r="M304" s="49">
        <v>122.9</v>
      </c>
      <c r="N304" s="1">
        <v>353.3</v>
      </c>
      <c r="O304" s="3">
        <v>46</v>
      </c>
      <c r="P304" s="11" t="s">
        <v>2275</v>
      </c>
      <c r="Q304" s="3">
        <v>12</v>
      </c>
      <c r="R304" s="3">
        <v>192</v>
      </c>
      <c r="S304" s="22">
        <v>20</v>
      </c>
      <c r="T304" s="9">
        <v>200</v>
      </c>
      <c r="U304" s="14" t="s">
        <v>446</v>
      </c>
      <c r="V304" s="12">
        <v>4</v>
      </c>
      <c r="W304" s="75">
        <v>16</v>
      </c>
      <c r="X304" s="76">
        <v>16</v>
      </c>
      <c r="Y304" s="9">
        <v>618.48</v>
      </c>
      <c r="Z304" s="3">
        <v>986.99</v>
      </c>
      <c r="AA304" s="17" t="s">
        <v>1440</v>
      </c>
      <c r="AB304" s="18" t="s">
        <v>1439</v>
      </c>
      <c r="AC304" s="46" cm="1">
        <f t="array" ref="AC304">(SUMPRODUCT((H304:O304/H$9:O$9)^H$7:O$7*H$2:O$2)+SUMPRODUCT((Q304:T304/Q$9:T$9)^Q$7:T$7*Q$2:T$2))*(0.8^(1-G304))*AC$9</f>
        <v>2.0885816630889318</v>
      </c>
      <c r="AD304" s="48" cm="1">
        <f t="array" ref="AD304">(SUMPRODUCT((H304:O304/H$9:O$9)^H$7:O$7*H$3:O$3)+SUMPRODUCT((Q304:T304/Q$9:T$9)^Q$7:T$7*Q$3:T$3))*(0.1^(1-G304))*AD$9</f>
        <v>2.5951819715135667</v>
      </c>
      <c r="AE304" s="48" cm="1">
        <f t="array" ref="AE304">(SUMPRODUCT((H304:O304/H$9:O$9)^H$7:O$7*H$4:O$4)+SUMPRODUCT((Q304:T304/Q$9:T$9)^Q$7:T$7*Q$4:T$4))*AE$9</f>
        <v>2.3279034592703476</v>
      </c>
      <c r="AF304" s="47" cm="1">
        <f t="array" ref="AF304">(SUMPRODUCT((H304:O304/H$9:O$9)^H$7:O$7*H$5:O$5)+SUMPRODUCT((Q304:T304/Q$9:T$9)^Q$7:T$7*Q$5:T$5))*AF$9</f>
        <v>2.1816487852989694</v>
      </c>
      <c r="AG304" s="50" cm="1">
        <f t="array" ref="AG304">SUMPRODUCT(AC304:AF304 * AC$3:AF$3) / SUM(AC$3:AF$3)</f>
        <v>2.4121287766022257</v>
      </c>
    </row>
    <row r="305" spans="1:33" x14ac:dyDescent="0.25">
      <c r="A305" s="81" t="s">
        <v>1436</v>
      </c>
      <c r="B305" s="20" t="s">
        <v>1438</v>
      </c>
      <c r="C305" s="4" t="s">
        <v>8853</v>
      </c>
      <c r="D305" s="4" t="str">
        <f t="shared" si="4"/>
        <v>GIGABYTE</v>
      </c>
      <c r="E305" s="4" t="s">
        <v>8855</v>
      </c>
      <c r="F305" s="14" t="s">
        <v>8876</v>
      </c>
      <c r="G305" s="9">
        <v>1</v>
      </c>
      <c r="H305" s="1">
        <v>29.32</v>
      </c>
      <c r="I305" s="1">
        <v>29.32</v>
      </c>
      <c r="J305" s="1">
        <v>0.46</v>
      </c>
      <c r="K305" s="3">
        <v>1313</v>
      </c>
      <c r="L305" s="13">
        <v>2490</v>
      </c>
      <c r="M305" s="49">
        <v>122.9</v>
      </c>
      <c r="N305" s="1">
        <v>353.3</v>
      </c>
      <c r="O305" s="3">
        <v>46</v>
      </c>
      <c r="P305" s="11" t="s">
        <v>2276</v>
      </c>
      <c r="Q305" s="3">
        <v>12</v>
      </c>
      <c r="R305" s="3">
        <v>192</v>
      </c>
      <c r="S305" s="22">
        <v>21</v>
      </c>
      <c r="T305" s="9">
        <v>200</v>
      </c>
      <c r="U305" s="14" t="s">
        <v>446</v>
      </c>
      <c r="V305" s="12">
        <v>4</v>
      </c>
      <c r="W305" s="75">
        <v>16</v>
      </c>
      <c r="X305" s="76">
        <v>16</v>
      </c>
      <c r="Y305" s="9">
        <v>617.9</v>
      </c>
      <c r="Z305" s="3">
        <v>1062.49</v>
      </c>
      <c r="AA305" s="17" t="s">
        <v>1437</v>
      </c>
      <c r="AB305" s="18" t="s">
        <v>1436</v>
      </c>
      <c r="AC305" s="46" cm="1">
        <f t="array" ref="AC305">(SUMPRODUCT((H305:O305/H$9:O$9)^H$7:O$7*H$2:O$2)+SUMPRODUCT((Q305:T305/Q$9:T$9)^Q$7:T$7*Q$2:T$2))*(0.8^(1-G305))*AC$9</f>
        <v>2.002922178270532</v>
      </c>
      <c r="AD305" s="48" cm="1">
        <f t="array" ref="AD305">(SUMPRODUCT((H305:O305/H$9:O$9)^H$7:O$7*H$3:O$3)+SUMPRODUCT((Q305:T305/Q$9:T$9)^Q$7:T$7*Q$3:T$3))*(0.1^(1-G305))*AD$9</f>
        <v>2.5675112716207895</v>
      </c>
      <c r="AE305" s="48" cm="1">
        <f t="array" ref="AE305">(SUMPRODUCT((H305:O305/H$9:O$9)^H$7:O$7*H$4:O$4)+SUMPRODUCT((Q305:T305/Q$9:T$9)^Q$7:T$7*Q$4:T$4))*AE$9</f>
        <v>2.3028801445176406</v>
      </c>
      <c r="AF305" s="47" cm="1">
        <f t="array" ref="AF305">(SUMPRODUCT((H305:O305/H$9:O$9)^H$7:O$7*H$5:O$5)+SUMPRODUCT((Q305:T305/Q$9:T$9)^Q$7:T$7*Q$5:T$5))*AF$9</f>
        <v>2.126307385513416</v>
      </c>
      <c r="AG305" s="50" cm="1">
        <f t="array" ref="AG305">SUMPRODUCT(AC305:AF305 * AC$3:AF$3) / SUM(AC$3:AF$3)</f>
        <v>2.3704756498108344</v>
      </c>
    </row>
    <row r="306" spans="1:33" x14ac:dyDescent="0.25">
      <c r="A306" s="81" t="s">
        <v>1433</v>
      </c>
      <c r="B306" s="20" t="s">
        <v>1435</v>
      </c>
      <c r="C306" s="4" t="s">
        <v>8853</v>
      </c>
      <c r="D306" s="4" t="str">
        <f t="shared" si="4"/>
        <v>GIGABYTE</v>
      </c>
      <c r="E306" s="4" t="s">
        <v>8855</v>
      </c>
      <c r="F306" s="14" t="s">
        <v>8876</v>
      </c>
      <c r="G306" s="9">
        <v>1</v>
      </c>
      <c r="H306" s="1">
        <v>29.32</v>
      </c>
      <c r="I306" s="1">
        <v>29.32</v>
      </c>
      <c r="J306" s="1">
        <v>0.46</v>
      </c>
      <c r="K306" s="3">
        <v>2500</v>
      </c>
      <c r="L306" s="13">
        <v>2490</v>
      </c>
      <c r="M306" s="49">
        <v>122.9</v>
      </c>
      <c r="N306" s="1">
        <v>353.3</v>
      </c>
      <c r="O306" s="3">
        <v>46</v>
      </c>
      <c r="P306" s="11" t="s">
        <v>2275</v>
      </c>
      <c r="Q306" s="3">
        <v>12</v>
      </c>
      <c r="R306" s="3">
        <v>192</v>
      </c>
      <c r="S306" s="22">
        <v>20</v>
      </c>
      <c r="T306" s="9">
        <v>200</v>
      </c>
      <c r="U306" s="14" t="s">
        <v>446</v>
      </c>
      <c r="V306" s="12">
        <v>4</v>
      </c>
      <c r="W306" s="75">
        <v>16</v>
      </c>
      <c r="X306" s="76">
        <v>16</v>
      </c>
      <c r="Y306" s="9">
        <v>747.99</v>
      </c>
      <c r="Z306" s="3">
        <v>986.99</v>
      </c>
      <c r="AA306" s="17" t="s">
        <v>1434</v>
      </c>
      <c r="AB306" s="18" t="s">
        <v>1433</v>
      </c>
      <c r="AC306" s="46" cm="1">
        <f t="array" ref="AC306">(SUMPRODUCT((H306:O306/H$9:O$9)^H$7:O$7*H$2:O$2)+SUMPRODUCT((Q306:T306/Q$9:T$9)^Q$7:T$7*Q$2:T$2))*(0.8^(1-G306))*AC$9</f>
        <v>2.0885816630889318</v>
      </c>
      <c r="AD306" s="48" cm="1">
        <f t="array" ref="AD306">(SUMPRODUCT((H306:O306/H$9:O$9)^H$7:O$7*H$3:O$3)+SUMPRODUCT((Q306:T306/Q$9:T$9)^Q$7:T$7*Q$3:T$3))*(0.1^(1-G306))*AD$9</f>
        <v>2.5951819715135667</v>
      </c>
      <c r="AE306" s="48" cm="1">
        <f t="array" ref="AE306">(SUMPRODUCT((H306:O306/H$9:O$9)^H$7:O$7*H$4:O$4)+SUMPRODUCT((Q306:T306/Q$9:T$9)^Q$7:T$7*Q$4:T$4))*AE$9</f>
        <v>2.3279034592703476</v>
      </c>
      <c r="AF306" s="47" cm="1">
        <f t="array" ref="AF306">(SUMPRODUCT((H306:O306/H$9:O$9)^H$7:O$7*H$5:O$5)+SUMPRODUCT((Q306:T306/Q$9:T$9)^Q$7:T$7*Q$5:T$5))*AF$9</f>
        <v>2.1816487852989694</v>
      </c>
      <c r="AG306" s="50" cm="1">
        <f t="array" ref="AG306">SUMPRODUCT(AC306:AF306 * AC$3:AF$3) / SUM(AC$3:AF$3)</f>
        <v>2.4121287766022257</v>
      </c>
    </row>
    <row r="307" spans="1:33" x14ac:dyDescent="0.25">
      <c r="A307" s="81" t="s">
        <v>1203</v>
      </c>
      <c r="B307" s="20" t="s">
        <v>1205</v>
      </c>
      <c r="C307" s="4" t="s">
        <v>8853</v>
      </c>
      <c r="D307" s="4" t="str">
        <f t="shared" si="4"/>
        <v>INNO3D</v>
      </c>
      <c r="E307" s="4" t="s">
        <v>8855</v>
      </c>
      <c r="F307" s="14" t="s">
        <v>8876</v>
      </c>
      <c r="G307" s="9">
        <v>1</v>
      </c>
      <c r="H307" s="1">
        <v>29.5</v>
      </c>
      <c r="I307" s="1">
        <v>29.5</v>
      </c>
      <c r="J307" s="1">
        <v>0.46</v>
      </c>
      <c r="K307" s="3">
        <v>1313</v>
      </c>
      <c r="L307" s="13">
        <v>2505</v>
      </c>
      <c r="M307" s="49">
        <v>122.9</v>
      </c>
      <c r="N307" s="1">
        <v>353.3</v>
      </c>
      <c r="O307" s="3">
        <v>46</v>
      </c>
      <c r="P307" s="11" t="s">
        <v>2276</v>
      </c>
      <c r="Q307" s="3">
        <v>12</v>
      </c>
      <c r="R307" s="3">
        <v>192</v>
      </c>
      <c r="S307" s="22">
        <v>21</v>
      </c>
      <c r="T307" s="9">
        <v>200</v>
      </c>
      <c r="U307" s="14" t="s">
        <v>446</v>
      </c>
      <c r="V307" s="12">
        <v>4</v>
      </c>
      <c r="W307" s="75">
        <v>16</v>
      </c>
      <c r="X307" s="76">
        <v>16</v>
      </c>
      <c r="Y307" s="9">
        <v>761.1</v>
      </c>
      <c r="Z307" s="3">
        <v>1256.3699999999999</v>
      </c>
      <c r="AA307" s="17" t="s">
        <v>1204</v>
      </c>
      <c r="AB307" s="18" t="s">
        <v>1203</v>
      </c>
      <c r="AC307" s="46" cm="1">
        <f t="array" ref="AC307">(SUMPRODUCT((H307:O307/H$9:O$9)^H$7:O$7*H$2:O$2)+SUMPRODUCT((Q307:T307/Q$9:T$9)^Q$7:T$7*Q$2:T$2))*(0.8^(1-G307))*AC$9</f>
        <v>2.0057755758828404</v>
      </c>
      <c r="AD307" s="48" cm="1">
        <f t="array" ref="AD307">(SUMPRODUCT((H307:O307/H$9:O$9)^H$7:O$7*H$3:O$3)+SUMPRODUCT((Q307:T307/Q$9:T$9)^Q$7:T$7*Q$3:T$3))*(0.1^(1-G307))*AD$9</f>
        <v>2.5770884953250683</v>
      </c>
      <c r="AE307" s="48" cm="1">
        <f t="array" ref="AE307">(SUMPRODUCT((H307:O307/H$9:O$9)^H$7:O$7*H$4:O$4)+SUMPRODUCT((Q307:T307/Q$9:T$9)^Q$7:T$7*Q$4:T$4))*AE$9</f>
        <v>2.30585678863204</v>
      </c>
      <c r="AF307" s="47" cm="1">
        <f t="array" ref="AF307">(SUMPRODUCT((H307:O307/H$9:O$9)^H$7:O$7*H$5:O$5)+SUMPRODUCT((Q307:T307/Q$9:T$9)^Q$7:T$7*Q$5:T$5))*AF$9</f>
        <v>2.1318934055462146</v>
      </c>
      <c r="AG307" s="50" cm="1">
        <f t="array" ref="AG307">SUMPRODUCT(AC307:AF307 * AC$3:AF$3) / SUM(AC$3:AF$3)</f>
        <v>2.3775336374889959</v>
      </c>
    </row>
    <row r="308" spans="1:33" x14ac:dyDescent="0.25">
      <c r="A308" s="81" t="s">
        <v>1200</v>
      </c>
      <c r="B308" s="20" t="s">
        <v>1202</v>
      </c>
      <c r="C308" s="4" t="s">
        <v>8853</v>
      </c>
      <c r="D308" s="4" t="str">
        <f t="shared" si="4"/>
        <v>INNO3D</v>
      </c>
      <c r="E308" s="4" t="s">
        <v>8855</v>
      </c>
      <c r="F308" s="14" t="s">
        <v>8876</v>
      </c>
      <c r="G308" s="9">
        <v>1</v>
      </c>
      <c r="H308" s="1">
        <v>29.5</v>
      </c>
      <c r="I308" s="1">
        <v>29.5</v>
      </c>
      <c r="J308" s="1">
        <v>0.46</v>
      </c>
      <c r="K308" s="3">
        <v>1313</v>
      </c>
      <c r="L308" s="13">
        <v>2505</v>
      </c>
      <c r="M308" s="49">
        <v>122.9</v>
      </c>
      <c r="N308" s="1">
        <v>353.3</v>
      </c>
      <c r="O308" s="3">
        <v>46</v>
      </c>
      <c r="P308" s="11" t="s">
        <v>2276</v>
      </c>
      <c r="Q308" s="3">
        <v>12</v>
      </c>
      <c r="R308" s="3">
        <v>192</v>
      </c>
      <c r="S308" s="22">
        <v>21</v>
      </c>
      <c r="T308" s="9">
        <v>200</v>
      </c>
      <c r="U308" s="14" t="s">
        <v>446</v>
      </c>
      <c r="V308" s="12">
        <v>4</v>
      </c>
      <c r="W308" s="75">
        <v>16</v>
      </c>
      <c r="X308" s="76">
        <v>16</v>
      </c>
      <c r="Y308" s="9">
        <v>999.21</v>
      </c>
      <c r="Z308" s="3">
        <v>1218.29</v>
      </c>
      <c r="AA308" s="17" t="s">
        <v>1201</v>
      </c>
      <c r="AB308" s="18" t="s">
        <v>1200</v>
      </c>
      <c r="AC308" s="46" cm="1">
        <f t="array" ref="AC308">(SUMPRODUCT((H308:O308/H$9:O$9)^H$7:O$7*H$2:O$2)+SUMPRODUCT((Q308:T308/Q$9:T$9)^Q$7:T$7*Q$2:T$2))*(0.8^(1-G308))*AC$9</f>
        <v>2.0057755758828404</v>
      </c>
      <c r="AD308" s="48" cm="1">
        <f t="array" ref="AD308">(SUMPRODUCT((H308:O308/H$9:O$9)^H$7:O$7*H$3:O$3)+SUMPRODUCT((Q308:T308/Q$9:T$9)^Q$7:T$7*Q$3:T$3))*(0.1^(1-G308))*AD$9</f>
        <v>2.5770884953250683</v>
      </c>
      <c r="AE308" s="48" cm="1">
        <f t="array" ref="AE308">(SUMPRODUCT((H308:O308/H$9:O$9)^H$7:O$7*H$4:O$4)+SUMPRODUCT((Q308:T308/Q$9:T$9)^Q$7:T$7*Q$4:T$4))*AE$9</f>
        <v>2.30585678863204</v>
      </c>
      <c r="AF308" s="47" cm="1">
        <f t="array" ref="AF308">(SUMPRODUCT((H308:O308/H$9:O$9)^H$7:O$7*H$5:O$5)+SUMPRODUCT((Q308:T308/Q$9:T$9)^Q$7:T$7*Q$5:T$5))*AF$9</f>
        <v>2.1318934055462146</v>
      </c>
      <c r="AG308" s="50" cm="1">
        <f t="array" ref="AG308">SUMPRODUCT(AC308:AF308 * AC$3:AF$3) / SUM(AC$3:AF$3)</f>
        <v>2.3775336374889959</v>
      </c>
    </row>
    <row r="309" spans="1:33" x14ac:dyDescent="0.25">
      <c r="A309" s="81" t="s">
        <v>1197</v>
      </c>
      <c r="B309" s="20" t="s">
        <v>1199</v>
      </c>
      <c r="C309" s="4" t="s">
        <v>8853</v>
      </c>
      <c r="D309" s="4" t="str">
        <f t="shared" si="4"/>
        <v>INNO3D</v>
      </c>
      <c r="E309" s="4" t="s">
        <v>8855</v>
      </c>
      <c r="F309" s="14" t="s">
        <v>8876</v>
      </c>
      <c r="G309" s="9">
        <v>1</v>
      </c>
      <c r="H309" s="1">
        <v>29.5</v>
      </c>
      <c r="I309" s="1">
        <v>29.5</v>
      </c>
      <c r="J309" s="1">
        <v>0.46</v>
      </c>
      <c r="K309" s="3">
        <v>2500</v>
      </c>
      <c r="L309" s="13">
        <v>2505</v>
      </c>
      <c r="M309" s="49">
        <v>122.9</v>
      </c>
      <c r="N309" s="1">
        <v>353.3</v>
      </c>
      <c r="O309" s="3">
        <v>46</v>
      </c>
      <c r="P309" s="11" t="s">
        <v>2275</v>
      </c>
      <c r="Q309" s="3">
        <v>12</v>
      </c>
      <c r="R309" s="3">
        <v>192</v>
      </c>
      <c r="S309" s="22">
        <v>20</v>
      </c>
      <c r="T309" s="9">
        <v>200</v>
      </c>
      <c r="U309" s="14" t="s">
        <v>446</v>
      </c>
      <c r="V309" s="12">
        <v>4</v>
      </c>
      <c r="W309" s="75">
        <v>16</v>
      </c>
      <c r="X309" s="76">
        <v>16</v>
      </c>
      <c r="Y309" s="9">
        <v>663.22</v>
      </c>
      <c r="Z309" s="3">
        <v>962.99</v>
      </c>
      <c r="AA309" s="17" t="s">
        <v>1198</v>
      </c>
      <c r="AB309" s="18" t="s">
        <v>1197</v>
      </c>
      <c r="AC309" s="46" cm="1">
        <f t="array" ref="AC309">(SUMPRODUCT((H309:O309/H$9:O$9)^H$7:O$7*H$2:O$2)+SUMPRODUCT((Q309:T309/Q$9:T$9)^Q$7:T$7*Q$2:T$2))*(0.8^(1-G309))*AC$9</f>
        <v>2.0914350607012402</v>
      </c>
      <c r="AD309" s="48" cm="1">
        <f t="array" ref="AD309">(SUMPRODUCT((H309:O309/H$9:O$9)^H$7:O$7*H$3:O$3)+SUMPRODUCT((Q309:T309/Q$9:T$9)^Q$7:T$7*Q$3:T$3))*(0.1^(1-G309))*AD$9</f>
        <v>2.604759195217845</v>
      </c>
      <c r="AE309" s="48" cm="1">
        <f t="array" ref="AE309">(SUMPRODUCT((H309:O309/H$9:O$9)^H$7:O$7*H$4:O$4)+SUMPRODUCT((Q309:T309/Q$9:T$9)^Q$7:T$7*Q$4:T$4))*AE$9</f>
        <v>2.3308801033847466</v>
      </c>
      <c r="AF309" s="47" cm="1">
        <f t="array" ref="AF309">(SUMPRODUCT((H309:O309/H$9:O$9)^H$7:O$7*H$5:O$5)+SUMPRODUCT((Q309:T309/Q$9:T$9)^Q$7:T$7*Q$5:T$5))*AF$9</f>
        <v>2.1872348053317681</v>
      </c>
      <c r="AG309" s="50" cm="1">
        <f t="array" ref="AG309">SUMPRODUCT(AC309:AF309 * AC$3:AF$3) / SUM(AC$3:AF$3)</f>
        <v>2.4191867642803868</v>
      </c>
    </row>
    <row r="310" spans="1:33" x14ac:dyDescent="0.25">
      <c r="A310" s="81" t="s">
        <v>1194</v>
      </c>
      <c r="B310" s="20" t="s">
        <v>1196</v>
      </c>
      <c r="C310" s="4" t="s">
        <v>8853</v>
      </c>
      <c r="D310" s="4" t="str">
        <f t="shared" si="4"/>
        <v>INNO3D</v>
      </c>
      <c r="E310" s="4" t="s">
        <v>8855</v>
      </c>
      <c r="F310" s="14" t="s">
        <v>8876</v>
      </c>
      <c r="G310" s="9">
        <v>1</v>
      </c>
      <c r="H310" s="1">
        <v>29.15</v>
      </c>
      <c r="I310" s="1">
        <v>29.15</v>
      </c>
      <c r="J310" s="1">
        <v>0.46</v>
      </c>
      <c r="K310" s="3">
        <v>1313</v>
      </c>
      <c r="L310" s="13">
        <v>2475</v>
      </c>
      <c r="M310" s="49">
        <v>122.9</v>
      </c>
      <c r="N310" s="1">
        <v>353.3</v>
      </c>
      <c r="O310" s="3">
        <v>46</v>
      </c>
      <c r="P310" s="11" t="s">
        <v>2276</v>
      </c>
      <c r="Q310" s="3">
        <v>12</v>
      </c>
      <c r="R310" s="3">
        <v>192</v>
      </c>
      <c r="S310" s="22">
        <v>21</v>
      </c>
      <c r="T310" s="9">
        <v>200</v>
      </c>
      <c r="U310" s="14" t="s">
        <v>446</v>
      </c>
      <c r="V310" s="12">
        <v>4</v>
      </c>
      <c r="W310" s="75">
        <v>16</v>
      </c>
      <c r="X310" s="76">
        <v>16</v>
      </c>
      <c r="Y310" s="9">
        <v>644.5</v>
      </c>
      <c r="Z310" s="3">
        <v>1135.8699999999999</v>
      </c>
      <c r="AA310" s="17" t="s">
        <v>1195</v>
      </c>
      <c r="AB310" s="18" t="s">
        <v>1194</v>
      </c>
      <c r="AC310" s="46" cm="1">
        <f t="array" ref="AC310">(SUMPRODUCT((H310:O310/H$9:O$9)^H$7:O$7*H$2:O$2)+SUMPRODUCT((Q310:T310/Q$9:T$9)^Q$7:T$7*Q$2:T$2))*(0.8^(1-G310))*AC$9</f>
        <v>2.0001222227381219</v>
      </c>
      <c r="AD310" s="48" cm="1">
        <f t="array" ref="AD310">(SUMPRODUCT((H310:O310/H$9:O$9)^H$7:O$7*H$3:O$3)+SUMPRODUCT((Q310:T310/Q$9:T$9)^Q$7:T$7*Q$3:T$3))*(0.1^(1-G310))*AD$9</f>
        <v>2.5584385451812044</v>
      </c>
      <c r="AE310" s="48" cm="1">
        <f t="array" ref="AE310">(SUMPRODUCT((H310:O310/H$9:O$9)^H$7:O$7*H$4:O$4)+SUMPRODUCT((Q310:T310/Q$9:T$9)^Q$7:T$7*Q$4:T$4))*AE$9</f>
        <v>2.3000671912612094</v>
      </c>
      <c r="AF310" s="47" cm="1">
        <f t="array" ref="AF310">(SUMPRODUCT((H310:O310/H$9:O$9)^H$7:O$7*H$5:O$5)+SUMPRODUCT((Q310:T310/Q$9:T$9)^Q$7:T$7*Q$5:T$5))*AF$9</f>
        <v>2.120986915858019</v>
      </c>
      <c r="AG310" s="50" cm="1">
        <f t="array" ref="AG310">SUMPRODUCT(AC310:AF310 * AC$3:AF$3) / SUM(AC$3:AF$3)</f>
        <v>2.3637692916734938</v>
      </c>
    </row>
    <row r="311" spans="1:33" x14ac:dyDescent="0.25">
      <c r="A311" s="81" t="s">
        <v>1191</v>
      </c>
      <c r="B311" s="20" t="s">
        <v>1193</v>
      </c>
      <c r="C311" s="4" t="s">
        <v>8853</v>
      </c>
      <c r="D311" s="4" t="str">
        <f t="shared" si="4"/>
        <v>INNO3D</v>
      </c>
      <c r="E311" s="4" t="s">
        <v>8855</v>
      </c>
      <c r="F311" s="14" t="s">
        <v>8876</v>
      </c>
      <c r="G311" s="9">
        <v>1</v>
      </c>
      <c r="H311" s="1">
        <v>29.5</v>
      </c>
      <c r="I311" s="1">
        <v>29.5</v>
      </c>
      <c r="J311" s="1">
        <v>0.46</v>
      </c>
      <c r="K311" s="3">
        <v>1313</v>
      </c>
      <c r="L311" s="13">
        <v>2505</v>
      </c>
      <c r="M311" s="49">
        <v>122.9</v>
      </c>
      <c r="N311" s="1">
        <v>353.3</v>
      </c>
      <c r="O311" s="3">
        <v>46</v>
      </c>
      <c r="P311" s="11" t="s">
        <v>2276</v>
      </c>
      <c r="Q311" s="3">
        <v>12</v>
      </c>
      <c r="R311" s="3">
        <v>192</v>
      </c>
      <c r="S311" s="22">
        <v>21</v>
      </c>
      <c r="T311" s="9">
        <v>200</v>
      </c>
      <c r="U311" s="14" t="s">
        <v>446</v>
      </c>
      <c r="V311" s="12">
        <v>4</v>
      </c>
      <c r="W311" s="75">
        <v>16</v>
      </c>
      <c r="X311" s="76">
        <v>16</v>
      </c>
      <c r="Y311" s="9">
        <v>690.2</v>
      </c>
      <c r="Z311" s="3">
        <v>1031</v>
      </c>
      <c r="AA311" s="17" t="s">
        <v>1192</v>
      </c>
      <c r="AB311" s="18" t="s">
        <v>1191</v>
      </c>
      <c r="AC311" s="46" cm="1">
        <f t="array" ref="AC311">(SUMPRODUCT((H311:O311/H$9:O$9)^H$7:O$7*H$2:O$2)+SUMPRODUCT((Q311:T311/Q$9:T$9)^Q$7:T$7*Q$2:T$2))*(0.8^(1-G311))*AC$9</f>
        <v>2.0057755758828404</v>
      </c>
      <c r="AD311" s="48" cm="1">
        <f t="array" ref="AD311">(SUMPRODUCT((H311:O311/H$9:O$9)^H$7:O$7*H$3:O$3)+SUMPRODUCT((Q311:T311/Q$9:T$9)^Q$7:T$7*Q$3:T$3))*(0.1^(1-G311))*AD$9</f>
        <v>2.5770884953250683</v>
      </c>
      <c r="AE311" s="48" cm="1">
        <f t="array" ref="AE311">(SUMPRODUCT((H311:O311/H$9:O$9)^H$7:O$7*H$4:O$4)+SUMPRODUCT((Q311:T311/Q$9:T$9)^Q$7:T$7*Q$4:T$4))*AE$9</f>
        <v>2.30585678863204</v>
      </c>
      <c r="AF311" s="47" cm="1">
        <f t="array" ref="AF311">(SUMPRODUCT((H311:O311/H$9:O$9)^H$7:O$7*H$5:O$5)+SUMPRODUCT((Q311:T311/Q$9:T$9)^Q$7:T$7*Q$5:T$5))*AF$9</f>
        <v>2.1318934055462146</v>
      </c>
      <c r="AG311" s="50" cm="1">
        <f t="array" ref="AG311">SUMPRODUCT(AC311:AF311 * AC$3:AF$3) / SUM(AC$3:AF$3)</f>
        <v>2.3775336374889959</v>
      </c>
    </row>
    <row r="312" spans="1:33" x14ac:dyDescent="0.25">
      <c r="A312" s="81" t="s">
        <v>1018</v>
      </c>
      <c r="B312" s="20" t="s">
        <v>1020</v>
      </c>
      <c r="C312" s="4" t="s">
        <v>8853</v>
      </c>
      <c r="D312" s="4" t="str">
        <f t="shared" si="4"/>
        <v>MSI</v>
      </c>
      <c r="E312" s="4" t="s">
        <v>8855</v>
      </c>
      <c r="F312" s="14" t="s">
        <v>8876</v>
      </c>
      <c r="G312" s="9">
        <v>1</v>
      </c>
      <c r="H312" s="1">
        <v>30.91</v>
      </c>
      <c r="I312" s="1">
        <v>30.91</v>
      </c>
      <c r="J312" s="1">
        <v>0.48</v>
      </c>
      <c r="K312" s="3">
        <v>1313</v>
      </c>
      <c r="L312" s="13">
        <v>2625</v>
      </c>
      <c r="M312" s="49">
        <v>122.9</v>
      </c>
      <c r="N312" s="1">
        <v>353.3</v>
      </c>
      <c r="O312" s="3">
        <v>46</v>
      </c>
      <c r="P312" s="11" t="s">
        <v>2276</v>
      </c>
      <c r="Q312" s="3">
        <v>12</v>
      </c>
      <c r="R312" s="3">
        <v>192</v>
      </c>
      <c r="S312" s="22">
        <v>21</v>
      </c>
      <c r="T312" s="9">
        <v>215</v>
      </c>
      <c r="U312" s="14" t="s">
        <v>527</v>
      </c>
      <c r="V312" s="12">
        <v>4</v>
      </c>
      <c r="W312" s="75">
        <v>16</v>
      </c>
      <c r="X312" s="76">
        <v>16</v>
      </c>
      <c r="Y312" s="9">
        <v>851.16</v>
      </c>
      <c r="Z312" s="3">
        <v>1102.43</v>
      </c>
      <c r="AA312" s="17" t="s">
        <v>1019</v>
      </c>
      <c r="AB312" s="18" t="s">
        <v>1018</v>
      </c>
      <c r="AC312" s="46" cm="1">
        <f t="array" ref="AC312">(SUMPRODUCT((H312:O312/H$9:O$9)^H$7:O$7*H$2:O$2)+SUMPRODUCT((Q312:T312/Q$9:T$9)^Q$7:T$7*Q$2:T$2))*(0.8^(1-G312))*AC$9</f>
        <v>2.0273267234635948</v>
      </c>
      <c r="AD312" s="48" cm="1">
        <f t="array" ref="AD312">(SUMPRODUCT((H312:O312/H$9:O$9)^H$7:O$7*H$3:O$3)+SUMPRODUCT((Q312:T312/Q$9:T$9)^Q$7:T$7*Q$3:T$3))*(0.1^(1-G312))*AD$9</f>
        <v>2.6563075997628482</v>
      </c>
      <c r="AE312" s="48" cm="1">
        <f t="array" ref="AE312">(SUMPRODUCT((H312:O312/H$9:O$9)^H$7:O$7*H$4:O$4)+SUMPRODUCT((Q312:T312/Q$9:T$9)^Q$7:T$7*Q$4:T$4))*AE$9</f>
        <v>2.3671889041225667</v>
      </c>
      <c r="AF312" s="47" cm="1">
        <f t="array" ref="AF312">(SUMPRODUCT((H312:O312/H$9:O$9)^H$7:O$7*H$5:O$5)+SUMPRODUCT((Q312:T312/Q$9:T$9)^Q$7:T$7*Q$5:T$5))*AF$9</f>
        <v>2.1745986093289607</v>
      </c>
      <c r="AG312" s="50" cm="1">
        <f t="array" ref="AG312">SUMPRODUCT(AC312:AF312 * AC$3:AF$3) / SUM(AC$3:AF$3)</f>
        <v>2.4390683224584047</v>
      </c>
    </row>
    <row r="313" spans="1:33" x14ac:dyDescent="0.25">
      <c r="A313" s="81" t="s">
        <v>1015</v>
      </c>
      <c r="B313" s="20" t="s">
        <v>1017</v>
      </c>
      <c r="C313" s="4" t="s">
        <v>8853</v>
      </c>
      <c r="D313" s="4" t="str">
        <f t="shared" si="4"/>
        <v>MSI</v>
      </c>
      <c r="E313" s="4" t="s">
        <v>8855</v>
      </c>
      <c r="F313" s="14" t="s">
        <v>8876</v>
      </c>
      <c r="G313" s="9">
        <v>1</v>
      </c>
      <c r="H313" s="1">
        <v>30.91</v>
      </c>
      <c r="I313" s="1">
        <v>30.91</v>
      </c>
      <c r="J313" s="1">
        <v>0.48</v>
      </c>
      <c r="K313" s="3">
        <v>1313</v>
      </c>
      <c r="L313" s="13">
        <v>2625</v>
      </c>
      <c r="M313" s="49">
        <v>122.9</v>
      </c>
      <c r="N313" s="1">
        <v>353.3</v>
      </c>
      <c r="O313" s="3">
        <v>46</v>
      </c>
      <c r="P313" s="11" t="s">
        <v>2276</v>
      </c>
      <c r="Q313" s="3">
        <v>12</v>
      </c>
      <c r="R313" s="3">
        <v>192</v>
      </c>
      <c r="S313" s="22">
        <v>21</v>
      </c>
      <c r="T313" s="9">
        <v>215</v>
      </c>
      <c r="U313" s="14" t="s">
        <v>527</v>
      </c>
      <c r="V313" s="12">
        <v>4</v>
      </c>
      <c r="W313" s="75">
        <v>16</v>
      </c>
      <c r="X313" s="76">
        <v>16</v>
      </c>
      <c r="Y313" s="9">
        <v>1245.48</v>
      </c>
      <c r="Z313" s="3">
        <v>1245.48</v>
      </c>
      <c r="AA313" s="17" t="s">
        <v>1016</v>
      </c>
      <c r="AB313" s="18" t="s">
        <v>1015</v>
      </c>
      <c r="AC313" s="46" cm="1">
        <f t="array" ref="AC313">(SUMPRODUCT((H313:O313/H$9:O$9)^H$7:O$7*H$2:O$2)+SUMPRODUCT((Q313:T313/Q$9:T$9)^Q$7:T$7*Q$2:T$2))*(0.8^(1-G313))*AC$9</f>
        <v>2.0273267234635948</v>
      </c>
      <c r="AD313" s="48" cm="1">
        <f t="array" ref="AD313">(SUMPRODUCT((H313:O313/H$9:O$9)^H$7:O$7*H$3:O$3)+SUMPRODUCT((Q313:T313/Q$9:T$9)^Q$7:T$7*Q$3:T$3))*(0.1^(1-G313))*AD$9</f>
        <v>2.6563075997628482</v>
      </c>
      <c r="AE313" s="48" cm="1">
        <f t="array" ref="AE313">(SUMPRODUCT((H313:O313/H$9:O$9)^H$7:O$7*H$4:O$4)+SUMPRODUCT((Q313:T313/Q$9:T$9)^Q$7:T$7*Q$4:T$4))*AE$9</f>
        <v>2.3671889041225667</v>
      </c>
      <c r="AF313" s="47" cm="1">
        <f t="array" ref="AF313">(SUMPRODUCT((H313:O313/H$9:O$9)^H$7:O$7*H$5:O$5)+SUMPRODUCT((Q313:T313/Q$9:T$9)^Q$7:T$7*Q$5:T$5))*AF$9</f>
        <v>2.1745986093289607</v>
      </c>
      <c r="AG313" s="50" cm="1">
        <f t="array" ref="AG313">SUMPRODUCT(AC313:AF313 * AC$3:AF$3) / SUM(AC$3:AF$3)</f>
        <v>2.4390683224584047</v>
      </c>
    </row>
    <row r="314" spans="1:33" x14ac:dyDescent="0.25">
      <c r="A314" s="81" t="s">
        <v>1012</v>
      </c>
      <c r="B314" s="20" t="s">
        <v>1014</v>
      </c>
      <c r="C314" s="4" t="s">
        <v>8853</v>
      </c>
      <c r="D314" s="4" t="str">
        <f t="shared" si="4"/>
        <v>MSI</v>
      </c>
      <c r="E314" s="4" t="s">
        <v>8855</v>
      </c>
      <c r="F314" s="14" t="s">
        <v>8876</v>
      </c>
      <c r="G314" s="9">
        <v>1</v>
      </c>
      <c r="H314" s="1">
        <v>30.91</v>
      </c>
      <c r="I314" s="1">
        <v>30.91</v>
      </c>
      <c r="J314" s="1">
        <v>0.48</v>
      </c>
      <c r="K314" s="3">
        <v>1313</v>
      </c>
      <c r="L314" s="13">
        <v>2625</v>
      </c>
      <c r="M314" s="49">
        <v>122.9</v>
      </c>
      <c r="N314" s="1">
        <v>353.3</v>
      </c>
      <c r="O314" s="3">
        <v>46</v>
      </c>
      <c r="P314" s="11" t="s">
        <v>2276</v>
      </c>
      <c r="Q314" s="3">
        <v>12</v>
      </c>
      <c r="R314" s="3">
        <v>192</v>
      </c>
      <c r="S314" s="22">
        <v>21</v>
      </c>
      <c r="T314" s="9">
        <v>215</v>
      </c>
      <c r="U314" s="14" t="s">
        <v>527</v>
      </c>
      <c r="V314" s="12">
        <v>4</v>
      </c>
      <c r="W314" s="75">
        <v>16</v>
      </c>
      <c r="X314" s="76">
        <v>16</v>
      </c>
      <c r="Y314" s="9">
        <v>1231.18</v>
      </c>
      <c r="Z314" s="3">
        <v>1231.18</v>
      </c>
      <c r="AA314" s="17" t="s">
        <v>1013</v>
      </c>
      <c r="AB314" s="18" t="s">
        <v>1012</v>
      </c>
      <c r="AC314" s="46" cm="1">
        <f t="array" ref="AC314">(SUMPRODUCT((H314:O314/H$9:O$9)^H$7:O$7*H$2:O$2)+SUMPRODUCT((Q314:T314/Q$9:T$9)^Q$7:T$7*Q$2:T$2))*(0.8^(1-G314))*AC$9</f>
        <v>2.0273267234635948</v>
      </c>
      <c r="AD314" s="48" cm="1">
        <f t="array" ref="AD314">(SUMPRODUCT((H314:O314/H$9:O$9)^H$7:O$7*H$3:O$3)+SUMPRODUCT((Q314:T314/Q$9:T$9)^Q$7:T$7*Q$3:T$3))*(0.1^(1-G314))*AD$9</f>
        <v>2.6563075997628482</v>
      </c>
      <c r="AE314" s="48" cm="1">
        <f t="array" ref="AE314">(SUMPRODUCT((H314:O314/H$9:O$9)^H$7:O$7*H$4:O$4)+SUMPRODUCT((Q314:T314/Q$9:T$9)^Q$7:T$7*Q$4:T$4))*AE$9</f>
        <v>2.3671889041225667</v>
      </c>
      <c r="AF314" s="47" cm="1">
        <f t="array" ref="AF314">(SUMPRODUCT((H314:O314/H$9:O$9)^H$7:O$7*H$5:O$5)+SUMPRODUCT((Q314:T314/Q$9:T$9)^Q$7:T$7*Q$5:T$5))*AF$9</f>
        <v>2.1745986093289607</v>
      </c>
      <c r="AG314" s="50" cm="1">
        <f t="array" ref="AG314">SUMPRODUCT(AC314:AF314 * AC$3:AF$3) / SUM(AC$3:AF$3)</f>
        <v>2.4390683224584047</v>
      </c>
    </row>
    <row r="315" spans="1:33" x14ac:dyDescent="0.25">
      <c r="A315" s="81" t="s">
        <v>959</v>
      </c>
      <c r="B315" s="20" t="s">
        <v>961</v>
      </c>
      <c r="C315" s="4" t="s">
        <v>8853</v>
      </c>
      <c r="D315" s="4" t="str">
        <f t="shared" si="4"/>
        <v>MSI</v>
      </c>
      <c r="E315" s="4" t="s">
        <v>8855</v>
      </c>
      <c r="F315" s="14" t="s">
        <v>8876</v>
      </c>
      <c r="G315" s="9">
        <v>1</v>
      </c>
      <c r="H315" s="1">
        <v>29.68</v>
      </c>
      <c r="I315" s="1">
        <v>29.68</v>
      </c>
      <c r="J315" s="1">
        <v>0.46</v>
      </c>
      <c r="K315" s="3">
        <v>1313</v>
      </c>
      <c r="L315" s="13">
        <v>2520</v>
      </c>
      <c r="M315" s="49">
        <v>122.9</v>
      </c>
      <c r="N315" s="1">
        <v>353.3</v>
      </c>
      <c r="O315" s="3">
        <v>46</v>
      </c>
      <c r="P315" s="11" t="s">
        <v>2276</v>
      </c>
      <c r="Q315" s="3">
        <v>12</v>
      </c>
      <c r="R315" s="3">
        <v>192</v>
      </c>
      <c r="S315" s="22">
        <v>21</v>
      </c>
      <c r="T315" s="9">
        <v>200</v>
      </c>
      <c r="U315" s="14" t="s">
        <v>446</v>
      </c>
      <c r="V315" s="12">
        <v>4</v>
      </c>
      <c r="W315" s="75">
        <v>16</v>
      </c>
      <c r="X315" s="76">
        <v>16</v>
      </c>
      <c r="Y315" s="9">
        <v>737.5</v>
      </c>
      <c r="Z315" s="3">
        <v>1139.6600000000001</v>
      </c>
      <c r="AA315" s="17" t="s">
        <v>960</v>
      </c>
      <c r="AB315" s="18" t="s">
        <v>959</v>
      </c>
      <c r="AC315" s="46" cm="1">
        <f t="array" ref="AC315">(SUMPRODUCT((H315:O315/H$9:O$9)^H$7:O$7*H$2:O$2)+SUMPRODUCT((Q315:T315/Q$9:T$9)^Q$7:T$7*Q$2:T$2))*(0.8^(1-G315))*AC$9</f>
        <v>2.0086272541025694</v>
      </c>
      <c r="AD315" s="48" cm="1">
        <f t="array" ref="AD315">(SUMPRODUCT((H315:O315/H$9:O$9)^H$7:O$7*H$3:O$3)+SUMPRODUCT((Q315:T315/Q$9:T$9)^Q$7:T$7*Q$3:T$3))*(0.1^(1-G315))*AD$9</f>
        <v>2.5866582850167466</v>
      </c>
      <c r="AE315" s="48" cm="1">
        <f t="array" ref="AE315">(SUMPRODUCT((H315:O315/H$9:O$9)^H$7:O$7*H$4:O$4)+SUMPRODUCT((Q315:T315/Q$9:T$9)^Q$7:T$7*Q$4:T$4))*AE$9</f>
        <v>2.3088316170311867</v>
      </c>
      <c r="AF315" s="47" cm="1">
        <f t="array" ref="AF315">(SUMPRODUCT((H315:O315/H$9:O$9)^H$7:O$7*H$5:O$5)+SUMPRODUCT((Q315:T315/Q$9:T$9)^Q$7:T$7*Q$5:T$5))*AF$9</f>
        <v>2.1374757605923289</v>
      </c>
      <c r="AG315" s="50" cm="1">
        <f t="array" ref="AG315">SUMPRODUCT(AC315:AF315 * AC$3:AF$3) / SUM(AC$3:AF$3)</f>
        <v>2.3845863960174736</v>
      </c>
    </row>
    <row r="316" spans="1:33" x14ac:dyDescent="0.25">
      <c r="A316" s="81" t="s">
        <v>956</v>
      </c>
      <c r="B316" s="20" t="s">
        <v>958</v>
      </c>
      <c r="C316" s="4" t="s">
        <v>8853</v>
      </c>
      <c r="D316" s="4" t="str">
        <f t="shared" si="4"/>
        <v>MSI</v>
      </c>
      <c r="E316" s="4" t="s">
        <v>8855</v>
      </c>
      <c r="F316" s="14" t="s">
        <v>8876</v>
      </c>
      <c r="G316" s="9">
        <v>1</v>
      </c>
      <c r="H316" s="1">
        <v>29.68</v>
      </c>
      <c r="I316" s="1">
        <v>29.68</v>
      </c>
      <c r="J316" s="1">
        <v>0.46</v>
      </c>
      <c r="K316" s="3">
        <v>1313</v>
      </c>
      <c r="L316" s="13">
        <v>2520</v>
      </c>
      <c r="M316" s="49">
        <v>122.9</v>
      </c>
      <c r="N316" s="1">
        <v>353.3</v>
      </c>
      <c r="O316" s="3">
        <v>46</v>
      </c>
      <c r="P316" s="11" t="s">
        <v>2276</v>
      </c>
      <c r="Q316" s="3">
        <v>12</v>
      </c>
      <c r="R316" s="3">
        <v>192</v>
      </c>
      <c r="S316" s="22">
        <v>21</v>
      </c>
      <c r="T316" s="9">
        <v>200</v>
      </c>
      <c r="U316" s="14" t="s">
        <v>446</v>
      </c>
      <c r="V316" s="12">
        <v>4</v>
      </c>
      <c r="W316" s="75">
        <v>16</v>
      </c>
      <c r="X316" s="76">
        <v>16</v>
      </c>
      <c r="Y316" s="9">
        <v>614.66</v>
      </c>
      <c r="Z316" s="3">
        <v>839.18</v>
      </c>
      <c r="AA316" s="17" t="s">
        <v>957</v>
      </c>
      <c r="AB316" s="18" t="s">
        <v>956</v>
      </c>
      <c r="AC316" s="46" cm="1">
        <f t="array" ref="AC316">(SUMPRODUCT((H316:O316/H$9:O$9)^H$7:O$7*H$2:O$2)+SUMPRODUCT((Q316:T316/Q$9:T$9)^Q$7:T$7*Q$2:T$2))*(0.8^(1-G316))*AC$9</f>
        <v>2.0086272541025694</v>
      </c>
      <c r="AD316" s="48" cm="1">
        <f t="array" ref="AD316">(SUMPRODUCT((H316:O316/H$9:O$9)^H$7:O$7*H$3:O$3)+SUMPRODUCT((Q316:T316/Q$9:T$9)^Q$7:T$7*Q$3:T$3))*(0.1^(1-G316))*AD$9</f>
        <v>2.5866582850167466</v>
      </c>
      <c r="AE316" s="48" cm="1">
        <f t="array" ref="AE316">(SUMPRODUCT((H316:O316/H$9:O$9)^H$7:O$7*H$4:O$4)+SUMPRODUCT((Q316:T316/Q$9:T$9)^Q$7:T$7*Q$4:T$4))*AE$9</f>
        <v>2.3088316170311867</v>
      </c>
      <c r="AF316" s="47" cm="1">
        <f t="array" ref="AF316">(SUMPRODUCT((H316:O316/H$9:O$9)^H$7:O$7*H$5:O$5)+SUMPRODUCT((Q316:T316/Q$9:T$9)^Q$7:T$7*Q$5:T$5))*AF$9</f>
        <v>2.1374757605923289</v>
      </c>
      <c r="AG316" s="50" cm="1">
        <f t="array" ref="AG316">SUMPRODUCT(AC316:AF316 * AC$3:AF$3) / SUM(AC$3:AF$3)</f>
        <v>2.3845863960174736</v>
      </c>
    </row>
    <row r="317" spans="1:33" x14ac:dyDescent="0.25">
      <c r="A317" s="81" t="s">
        <v>953</v>
      </c>
      <c r="B317" s="20" t="s">
        <v>955</v>
      </c>
      <c r="C317" s="4" t="s">
        <v>8853</v>
      </c>
      <c r="D317" s="4" t="str">
        <f t="shared" si="4"/>
        <v>MSI</v>
      </c>
      <c r="E317" s="4" t="s">
        <v>8855</v>
      </c>
      <c r="F317" s="14" t="s">
        <v>8876</v>
      </c>
      <c r="G317" s="9">
        <v>1</v>
      </c>
      <c r="H317" s="1">
        <v>29.68</v>
      </c>
      <c r="I317" s="1">
        <v>29.68</v>
      </c>
      <c r="J317" s="1">
        <v>0.46</v>
      </c>
      <c r="K317" s="3">
        <v>2500</v>
      </c>
      <c r="L317" s="13">
        <v>2520</v>
      </c>
      <c r="M317" s="49">
        <v>122.9</v>
      </c>
      <c r="N317" s="1">
        <v>353.3</v>
      </c>
      <c r="O317" s="3">
        <v>46</v>
      </c>
      <c r="P317" s="11" t="s">
        <v>2275</v>
      </c>
      <c r="Q317" s="3">
        <v>12</v>
      </c>
      <c r="R317" s="3">
        <v>192</v>
      </c>
      <c r="S317" s="22">
        <v>20</v>
      </c>
      <c r="T317" s="9">
        <v>200</v>
      </c>
      <c r="U317" s="14" t="s">
        <v>446</v>
      </c>
      <c r="V317" s="12">
        <v>4</v>
      </c>
      <c r="W317" s="75">
        <v>16</v>
      </c>
      <c r="X317" s="76">
        <v>16</v>
      </c>
      <c r="Y317" s="9">
        <v>686.05</v>
      </c>
      <c r="Z317" s="3">
        <v>1032.6099999999999</v>
      </c>
      <c r="AA317" s="17" t="s">
        <v>954</v>
      </c>
      <c r="AB317" s="18" t="s">
        <v>953</v>
      </c>
      <c r="AC317" s="46" cm="1">
        <f t="array" ref="AC317">(SUMPRODUCT((H317:O317/H$9:O$9)^H$7:O$7*H$2:O$2)+SUMPRODUCT((Q317:T317/Q$9:T$9)^Q$7:T$7*Q$2:T$2))*(0.8^(1-G317))*AC$9</f>
        <v>2.0942867389209692</v>
      </c>
      <c r="AD317" s="48" cm="1">
        <f t="array" ref="AD317">(SUMPRODUCT((H317:O317/H$9:O$9)^H$7:O$7*H$3:O$3)+SUMPRODUCT((Q317:T317/Q$9:T$9)^Q$7:T$7*Q$3:T$3))*(0.1^(1-G317))*AD$9</f>
        <v>2.6143289849095233</v>
      </c>
      <c r="AE317" s="48" cm="1">
        <f t="array" ref="AE317">(SUMPRODUCT((H317:O317/H$9:O$9)^H$7:O$7*H$4:O$4)+SUMPRODUCT((Q317:T317/Q$9:T$9)^Q$7:T$7*Q$4:T$4))*AE$9</f>
        <v>2.3338549317838932</v>
      </c>
      <c r="AF317" s="47" cm="1">
        <f t="array" ref="AF317">(SUMPRODUCT((H317:O317/H$9:O$9)^H$7:O$7*H$5:O$5)+SUMPRODUCT((Q317:T317/Q$9:T$9)^Q$7:T$7*Q$5:T$5))*AF$9</f>
        <v>2.1928171603778823</v>
      </c>
      <c r="AG317" s="50" cm="1">
        <f t="array" ref="AG317">SUMPRODUCT(AC317:AF317 * AC$3:AF$3) / SUM(AC$3:AF$3)</f>
        <v>2.4262395228088653</v>
      </c>
    </row>
    <row r="318" spans="1:33" x14ac:dyDescent="0.25">
      <c r="A318" s="81" t="s">
        <v>950</v>
      </c>
      <c r="B318" s="20" t="s">
        <v>952</v>
      </c>
      <c r="C318" s="4" t="s">
        <v>8853</v>
      </c>
      <c r="D318" s="4" t="str">
        <f t="shared" si="4"/>
        <v>MSI</v>
      </c>
      <c r="E318" s="4" t="s">
        <v>8855</v>
      </c>
      <c r="F318" s="14" t="s">
        <v>8876</v>
      </c>
      <c r="G318" s="9">
        <v>1</v>
      </c>
      <c r="H318" s="1">
        <v>29.68</v>
      </c>
      <c r="I318" s="1">
        <v>29.68</v>
      </c>
      <c r="J318" s="1">
        <v>0.46</v>
      </c>
      <c r="K318" s="3">
        <v>1313</v>
      </c>
      <c r="L318" s="13">
        <v>2520</v>
      </c>
      <c r="M318" s="49">
        <v>122.9</v>
      </c>
      <c r="N318" s="1">
        <v>353.3</v>
      </c>
      <c r="O318" s="3">
        <v>46</v>
      </c>
      <c r="P318" s="11" t="s">
        <v>2276</v>
      </c>
      <c r="Q318" s="3">
        <v>12</v>
      </c>
      <c r="R318" s="3">
        <v>192</v>
      </c>
      <c r="S318" s="22">
        <v>21</v>
      </c>
      <c r="T318" s="9">
        <v>200</v>
      </c>
      <c r="U318" s="14" t="s">
        <v>446</v>
      </c>
      <c r="V318" s="12">
        <v>4</v>
      </c>
      <c r="W318" s="75">
        <v>16</v>
      </c>
      <c r="X318" s="76">
        <v>16</v>
      </c>
      <c r="Y318" s="9">
        <v>1099.92</v>
      </c>
      <c r="Z318" s="3">
        <v>1099.92</v>
      </c>
      <c r="AA318" s="17" t="s">
        <v>951</v>
      </c>
      <c r="AB318" s="18" t="s">
        <v>950</v>
      </c>
      <c r="AC318" s="46" cm="1">
        <f t="array" ref="AC318">(SUMPRODUCT((H318:O318/H$9:O$9)^H$7:O$7*H$2:O$2)+SUMPRODUCT((Q318:T318/Q$9:T$9)^Q$7:T$7*Q$2:T$2))*(0.8^(1-G318))*AC$9</f>
        <v>2.0086272541025694</v>
      </c>
      <c r="AD318" s="48" cm="1">
        <f t="array" ref="AD318">(SUMPRODUCT((H318:O318/H$9:O$9)^H$7:O$7*H$3:O$3)+SUMPRODUCT((Q318:T318/Q$9:T$9)^Q$7:T$7*Q$3:T$3))*(0.1^(1-G318))*AD$9</f>
        <v>2.5866582850167466</v>
      </c>
      <c r="AE318" s="48" cm="1">
        <f t="array" ref="AE318">(SUMPRODUCT((H318:O318/H$9:O$9)^H$7:O$7*H$4:O$4)+SUMPRODUCT((Q318:T318/Q$9:T$9)^Q$7:T$7*Q$4:T$4))*AE$9</f>
        <v>2.3088316170311867</v>
      </c>
      <c r="AF318" s="47" cm="1">
        <f t="array" ref="AF318">(SUMPRODUCT((H318:O318/H$9:O$9)^H$7:O$7*H$5:O$5)+SUMPRODUCT((Q318:T318/Q$9:T$9)^Q$7:T$7*Q$5:T$5))*AF$9</f>
        <v>2.1374757605923289</v>
      </c>
      <c r="AG318" s="50" cm="1">
        <f t="array" ref="AG318">SUMPRODUCT(AC318:AF318 * AC$3:AF$3) / SUM(AC$3:AF$3)</f>
        <v>2.3845863960174736</v>
      </c>
    </row>
    <row r="319" spans="1:33" x14ac:dyDescent="0.25">
      <c r="A319" s="81" t="s">
        <v>947</v>
      </c>
      <c r="B319" s="20" t="s">
        <v>949</v>
      </c>
      <c r="C319" s="4" t="s">
        <v>8853</v>
      </c>
      <c r="D319" s="4" t="str">
        <f t="shared" si="4"/>
        <v>MSI</v>
      </c>
      <c r="E319" s="4" t="s">
        <v>8855</v>
      </c>
      <c r="F319" s="14" t="s">
        <v>8876</v>
      </c>
      <c r="G319" s="9">
        <v>1</v>
      </c>
      <c r="H319" s="1">
        <v>29.68</v>
      </c>
      <c r="I319" s="1">
        <v>29.68</v>
      </c>
      <c r="J319" s="1">
        <v>0.46</v>
      </c>
      <c r="K319" s="3">
        <v>1313</v>
      </c>
      <c r="L319" s="13">
        <v>2520</v>
      </c>
      <c r="M319" s="49">
        <v>122.9</v>
      </c>
      <c r="N319" s="1">
        <v>353.3</v>
      </c>
      <c r="O319" s="3">
        <v>46</v>
      </c>
      <c r="P319" s="11" t="s">
        <v>2276</v>
      </c>
      <c r="Q319" s="3">
        <v>12</v>
      </c>
      <c r="R319" s="3">
        <v>192</v>
      </c>
      <c r="S319" s="22">
        <v>21</v>
      </c>
      <c r="T319" s="9">
        <v>200</v>
      </c>
      <c r="U319" s="14" t="s">
        <v>446</v>
      </c>
      <c r="V319" s="12">
        <v>4</v>
      </c>
      <c r="W319" s="75">
        <v>16</v>
      </c>
      <c r="X319" s="76">
        <v>16</v>
      </c>
      <c r="Y319" s="9">
        <v>780</v>
      </c>
      <c r="Z319" s="3">
        <v>1069.71</v>
      </c>
      <c r="AA319" s="17" t="s">
        <v>948</v>
      </c>
      <c r="AB319" s="18" t="s">
        <v>947</v>
      </c>
      <c r="AC319" s="46" cm="1">
        <f t="array" ref="AC319">(SUMPRODUCT((H319:O319/H$9:O$9)^H$7:O$7*H$2:O$2)+SUMPRODUCT((Q319:T319/Q$9:T$9)^Q$7:T$7*Q$2:T$2))*(0.8^(1-G319))*AC$9</f>
        <v>2.0086272541025694</v>
      </c>
      <c r="AD319" s="48" cm="1">
        <f t="array" ref="AD319">(SUMPRODUCT((H319:O319/H$9:O$9)^H$7:O$7*H$3:O$3)+SUMPRODUCT((Q319:T319/Q$9:T$9)^Q$7:T$7*Q$3:T$3))*(0.1^(1-G319))*AD$9</f>
        <v>2.5866582850167466</v>
      </c>
      <c r="AE319" s="48" cm="1">
        <f t="array" ref="AE319">(SUMPRODUCT((H319:O319/H$9:O$9)^H$7:O$7*H$4:O$4)+SUMPRODUCT((Q319:T319/Q$9:T$9)^Q$7:T$7*Q$4:T$4))*AE$9</f>
        <v>2.3088316170311867</v>
      </c>
      <c r="AF319" s="47" cm="1">
        <f t="array" ref="AF319">(SUMPRODUCT((H319:O319/H$9:O$9)^H$7:O$7*H$5:O$5)+SUMPRODUCT((Q319:T319/Q$9:T$9)^Q$7:T$7*Q$5:T$5))*AF$9</f>
        <v>2.1374757605923289</v>
      </c>
      <c r="AG319" s="50" cm="1">
        <f t="array" ref="AG319">SUMPRODUCT(AC319:AF319 * AC$3:AF$3) / SUM(AC$3:AF$3)</f>
        <v>2.3845863960174736</v>
      </c>
    </row>
    <row r="320" spans="1:33" x14ac:dyDescent="0.25">
      <c r="A320" s="81" t="s">
        <v>944</v>
      </c>
      <c r="B320" s="20" t="s">
        <v>946</v>
      </c>
      <c r="C320" s="4" t="s">
        <v>8853</v>
      </c>
      <c r="D320" s="4" t="str">
        <f t="shared" si="4"/>
        <v>MSI</v>
      </c>
      <c r="E320" s="4" t="s">
        <v>8855</v>
      </c>
      <c r="F320" s="14" t="s">
        <v>8876</v>
      </c>
      <c r="G320" s="9">
        <v>1</v>
      </c>
      <c r="H320" s="1">
        <v>29.68</v>
      </c>
      <c r="I320" s="1">
        <v>29.68</v>
      </c>
      <c r="J320" s="1">
        <v>0.46</v>
      </c>
      <c r="K320" s="3">
        <v>2500</v>
      </c>
      <c r="L320" s="13">
        <v>2520</v>
      </c>
      <c r="M320" s="49">
        <v>122.9</v>
      </c>
      <c r="N320" s="1">
        <v>353.3</v>
      </c>
      <c r="O320" s="3">
        <v>46</v>
      </c>
      <c r="P320" s="11" t="s">
        <v>2275</v>
      </c>
      <c r="Q320" s="3">
        <v>12</v>
      </c>
      <c r="R320" s="3">
        <v>192</v>
      </c>
      <c r="S320" s="22">
        <v>20</v>
      </c>
      <c r="T320" s="9">
        <v>200</v>
      </c>
      <c r="U320" s="14" t="s">
        <v>446</v>
      </c>
      <c r="V320" s="12">
        <v>4</v>
      </c>
      <c r="W320" s="75">
        <v>16</v>
      </c>
      <c r="X320" s="76">
        <v>16</v>
      </c>
      <c r="Y320" s="9">
        <v>663.79</v>
      </c>
      <c r="Z320" s="3">
        <v>791</v>
      </c>
      <c r="AA320" s="17" t="s">
        <v>945</v>
      </c>
      <c r="AB320" s="18" t="s">
        <v>944</v>
      </c>
      <c r="AC320" s="46" cm="1">
        <f t="array" ref="AC320">(SUMPRODUCT((H320:O320/H$9:O$9)^H$7:O$7*H$2:O$2)+SUMPRODUCT((Q320:T320/Q$9:T$9)^Q$7:T$7*Q$2:T$2))*(0.8^(1-G320))*AC$9</f>
        <v>2.0942867389209692</v>
      </c>
      <c r="AD320" s="48" cm="1">
        <f t="array" ref="AD320">(SUMPRODUCT((H320:O320/H$9:O$9)^H$7:O$7*H$3:O$3)+SUMPRODUCT((Q320:T320/Q$9:T$9)^Q$7:T$7*Q$3:T$3))*(0.1^(1-G320))*AD$9</f>
        <v>2.6143289849095233</v>
      </c>
      <c r="AE320" s="48" cm="1">
        <f t="array" ref="AE320">(SUMPRODUCT((H320:O320/H$9:O$9)^H$7:O$7*H$4:O$4)+SUMPRODUCT((Q320:T320/Q$9:T$9)^Q$7:T$7*Q$4:T$4))*AE$9</f>
        <v>2.3338549317838932</v>
      </c>
      <c r="AF320" s="47" cm="1">
        <f t="array" ref="AF320">(SUMPRODUCT((H320:O320/H$9:O$9)^H$7:O$7*H$5:O$5)+SUMPRODUCT((Q320:T320/Q$9:T$9)^Q$7:T$7*Q$5:T$5))*AF$9</f>
        <v>2.1928171603778823</v>
      </c>
      <c r="AG320" s="50" cm="1">
        <f t="array" ref="AG320">SUMPRODUCT(AC320:AF320 * AC$3:AF$3) / SUM(AC$3:AF$3)</f>
        <v>2.4262395228088653</v>
      </c>
    </row>
    <row r="321" spans="1:33" x14ac:dyDescent="0.25">
      <c r="A321" s="81" t="s">
        <v>712</v>
      </c>
      <c r="B321" s="20" t="s">
        <v>714</v>
      </c>
      <c r="C321" s="4" t="s">
        <v>8853</v>
      </c>
      <c r="D321" s="4" t="str">
        <f t="shared" si="4"/>
        <v>Palit</v>
      </c>
      <c r="E321" s="4" t="s">
        <v>8855</v>
      </c>
      <c r="F321" s="14" t="s">
        <v>8876</v>
      </c>
      <c r="G321" s="9">
        <v>1</v>
      </c>
      <c r="H321" s="1">
        <v>30.03</v>
      </c>
      <c r="I321" s="1">
        <v>30.03</v>
      </c>
      <c r="J321" s="1">
        <v>0.47</v>
      </c>
      <c r="K321" s="3">
        <v>1313</v>
      </c>
      <c r="L321" s="13">
        <v>2550</v>
      </c>
      <c r="M321" s="49">
        <v>122.9</v>
      </c>
      <c r="N321" s="1">
        <v>353.3</v>
      </c>
      <c r="O321" s="3">
        <v>46</v>
      </c>
      <c r="P321" s="11" t="s">
        <v>2276</v>
      </c>
      <c r="Q321" s="3">
        <v>12</v>
      </c>
      <c r="R321" s="3">
        <v>192</v>
      </c>
      <c r="S321" s="22">
        <v>21</v>
      </c>
      <c r="T321" s="9">
        <v>200</v>
      </c>
      <c r="U321" s="14" t="s">
        <v>446</v>
      </c>
      <c r="V321" s="12">
        <v>4</v>
      </c>
      <c r="W321" s="75">
        <v>16</v>
      </c>
      <c r="X321" s="76">
        <v>16</v>
      </c>
      <c r="Y321" s="9">
        <v>1153.55</v>
      </c>
      <c r="Z321" s="3">
        <v>1153.55</v>
      </c>
      <c r="AA321" s="17" t="s">
        <v>713</v>
      </c>
      <c r="AB321" s="18" t="s">
        <v>712</v>
      </c>
      <c r="AC321" s="46" cm="1">
        <f t="array" ref="AC321">(SUMPRODUCT((H321:O321/H$9:O$9)^H$7:O$7*H$2:O$2)+SUMPRODUCT((Q321:T321/Q$9:T$9)^Q$7:T$7*Q$2:T$2))*(0.8^(1-G321))*AC$9</f>
        <v>2.0142704903049569</v>
      </c>
      <c r="AD321" s="48" cm="1">
        <f t="array" ref="AD321">(SUMPRODUCT((H321:O321/H$9:O$9)^H$7:O$7*H$3:O$3)+SUMPRODUCT((Q321:T321/Q$9:T$9)^Q$7:T$7*Q$3:T$3))*(0.1^(1-G321))*AD$9</f>
        <v>2.607991326449882</v>
      </c>
      <c r="AE321" s="48" cm="1">
        <f t="array" ref="AE321">(SUMPRODUCT((H321:O321/H$9:O$9)^H$7:O$7*H$4:O$4)+SUMPRODUCT((Q321:T321/Q$9:T$9)^Q$7:T$7*Q$4:T$4))*AE$9</f>
        <v>2.3336898397855208</v>
      </c>
      <c r="AF321" s="47" cm="1">
        <f t="array" ref="AF321">(SUMPRODUCT((H321:O321/H$9:O$9)^H$7:O$7*H$5:O$5)+SUMPRODUCT((Q321:T321/Q$9:T$9)^Q$7:T$7*Q$5:T$5))*AF$9</f>
        <v>2.1483612150162599</v>
      </c>
      <c r="AG321" s="50" cm="1">
        <f t="array" ref="AG321">SUMPRODUCT(AC321:AF321 * AC$3:AF$3) / SUM(AC$3:AF$3)</f>
        <v>2.4019548922240839</v>
      </c>
    </row>
    <row r="322" spans="1:33" x14ac:dyDescent="0.25">
      <c r="A322" s="81" t="s">
        <v>709</v>
      </c>
      <c r="B322" s="20" t="s">
        <v>711</v>
      </c>
      <c r="C322" s="4" t="s">
        <v>8853</v>
      </c>
      <c r="D322" s="4" t="str">
        <f t="shared" si="4"/>
        <v>Palit</v>
      </c>
      <c r="E322" s="4" t="s">
        <v>8855</v>
      </c>
      <c r="F322" s="14" t="s">
        <v>8876</v>
      </c>
      <c r="G322" s="9">
        <v>1</v>
      </c>
      <c r="H322" s="1">
        <v>29.5</v>
      </c>
      <c r="I322" s="1">
        <v>29.5</v>
      </c>
      <c r="J322" s="1">
        <v>0.46</v>
      </c>
      <c r="K322" s="3">
        <v>2500</v>
      </c>
      <c r="L322" s="13">
        <v>2505</v>
      </c>
      <c r="M322" s="49">
        <v>122.9</v>
      </c>
      <c r="N322" s="1">
        <v>353.3</v>
      </c>
      <c r="O322" s="3">
        <v>46</v>
      </c>
      <c r="P322" s="11" t="s">
        <v>2275</v>
      </c>
      <c r="Q322" s="3">
        <v>12</v>
      </c>
      <c r="R322" s="3">
        <v>192</v>
      </c>
      <c r="S322" s="22">
        <v>20</v>
      </c>
      <c r="T322" s="9">
        <v>200</v>
      </c>
      <c r="U322" s="14" t="s">
        <v>446</v>
      </c>
      <c r="V322" s="12">
        <v>4</v>
      </c>
      <c r="W322" s="75">
        <v>16</v>
      </c>
      <c r="X322" s="76">
        <v>16</v>
      </c>
      <c r="Y322" s="9">
        <v>639</v>
      </c>
      <c r="Z322" s="3">
        <v>1014.88</v>
      </c>
      <c r="AA322" s="17" t="s">
        <v>710</v>
      </c>
      <c r="AB322" s="18" t="s">
        <v>709</v>
      </c>
      <c r="AC322" s="46" cm="1">
        <f t="array" ref="AC322">(SUMPRODUCT((H322:O322/H$9:O$9)^H$7:O$7*H$2:O$2)+SUMPRODUCT((Q322:T322/Q$9:T$9)^Q$7:T$7*Q$2:T$2))*(0.8^(1-G322))*AC$9</f>
        <v>2.0914350607012402</v>
      </c>
      <c r="AD322" s="48" cm="1">
        <f t="array" ref="AD322">(SUMPRODUCT((H322:O322/H$9:O$9)^H$7:O$7*H$3:O$3)+SUMPRODUCT((Q322:T322/Q$9:T$9)^Q$7:T$7*Q$3:T$3))*(0.1^(1-G322))*AD$9</f>
        <v>2.604759195217845</v>
      </c>
      <c r="AE322" s="48" cm="1">
        <f t="array" ref="AE322">(SUMPRODUCT((H322:O322/H$9:O$9)^H$7:O$7*H$4:O$4)+SUMPRODUCT((Q322:T322/Q$9:T$9)^Q$7:T$7*Q$4:T$4))*AE$9</f>
        <v>2.3308801033847466</v>
      </c>
      <c r="AF322" s="47" cm="1">
        <f t="array" ref="AF322">(SUMPRODUCT((H322:O322/H$9:O$9)^H$7:O$7*H$5:O$5)+SUMPRODUCT((Q322:T322/Q$9:T$9)^Q$7:T$7*Q$5:T$5))*AF$9</f>
        <v>2.1872348053317681</v>
      </c>
      <c r="AG322" s="50" cm="1">
        <f t="array" ref="AG322">SUMPRODUCT(AC322:AF322 * AC$3:AF$3) / SUM(AC$3:AF$3)</f>
        <v>2.4191867642803868</v>
      </c>
    </row>
    <row r="323" spans="1:33" x14ac:dyDescent="0.25">
      <c r="A323" s="81" t="s">
        <v>706</v>
      </c>
      <c r="B323" s="20" t="s">
        <v>708</v>
      </c>
      <c r="C323" s="4" t="s">
        <v>8853</v>
      </c>
      <c r="D323" s="4" t="str">
        <f t="shared" si="4"/>
        <v>Palit</v>
      </c>
      <c r="E323" s="4" t="s">
        <v>8855</v>
      </c>
      <c r="F323" s="14" t="s">
        <v>8876</v>
      </c>
      <c r="G323" s="9">
        <v>1</v>
      </c>
      <c r="H323" s="1">
        <v>29.15</v>
      </c>
      <c r="I323" s="1">
        <v>29.15</v>
      </c>
      <c r="J323" s="1">
        <v>0.46</v>
      </c>
      <c r="K323" s="3">
        <v>1313</v>
      </c>
      <c r="L323" s="13">
        <v>2475</v>
      </c>
      <c r="M323" s="49">
        <v>122.9</v>
      </c>
      <c r="N323" s="1">
        <v>353.3</v>
      </c>
      <c r="O323" s="3">
        <v>46</v>
      </c>
      <c r="P323" s="11" t="s">
        <v>2276</v>
      </c>
      <c r="Q323" s="3">
        <v>12</v>
      </c>
      <c r="R323" s="3">
        <v>192</v>
      </c>
      <c r="S323" s="22">
        <v>21</v>
      </c>
      <c r="T323" s="9">
        <v>200</v>
      </c>
      <c r="U323" s="14" t="s">
        <v>446</v>
      </c>
      <c r="V323" s="12">
        <v>4</v>
      </c>
      <c r="W323" s="75">
        <v>16</v>
      </c>
      <c r="X323" s="76">
        <v>16</v>
      </c>
      <c r="Y323" s="9">
        <v>731.45</v>
      </c>
      <c r="Z323" s="3">
        <v>1214.3499999999999</v>
      </c>
      <c r="AA323" s="17" t="s">
        <v>707</v>
      </c>
      <c r="AB323" s="18" t="s">
        <v>706</v>
      </c>
      <c r="AC323" s="46" cm="1">
        <f t="array" ref="AC323">(SUMPRODUCT((H323:O323/H$9:O$9)^H$7:O$7*H$2:O$2)+SUMPRODUCT((Q323:T323/Q$9:T$9)^Q$7:T$7*Q$2:T$2))*(0.8^(1-G323))*AC$9</f>
        <v>2.0001222227381219</v>
      </c>
      <c r="AD323" s="48" cm="1">
        <f t="array" ref="AD323">(SUMPRODUCT((H323:O323/H$9:O$9)^H$7:O$7*H$3:O$3)+SUMPRODUCT((Q323:T323/Q$9:T$9)^Q$7:T$7*Q$3:T$3))*(0.1^(1-G323))*AD$9</f>
        <v>2.5584385451812044</v>
      </c>
      <c r="AE323" s="48" cm="1">
        <f t="array" ref="AE323">(SUMPRODUCT((H323:O323/H$9:O$9)^H$7:O$7*H$4:O$4)+SUMPRODUCT((Q323:T323/Q$9:T$9)^Q$7:T$7*Q$4:T$4))*AE$9</f>
        <v>2.3000671912612094</v>
      </c>
      <c r="AF323" s="47" cm="1">
        <f t="array" ref="AF323">(SUMPRODUCT((H323:O323/H$9:O$9)^H$7:O$7*H$5:O$5)+SUMPRODUCT((Q323:T323/Q$9:T$9)^Q$7:T$7*Q$5:T$5))*AF$9</f>
        <v>2.120986915858019</v>
      </c>
      <c r="AG323" s="50" cm="1">
        <f t="array" ref="AG323">SUMPRODUCT(AC323:AF323 * AC$3:AF$3) / SUM(AC$3:AF$3)</f>
        <v>2.3637692916734938</v>
      </c>
    </row>
    <row r="324" spans="1:33" x14ac:dyDescent="0.25">
      <c r="A324" s="81" t="s">
        <v>703</v>
      </c>
      <c r="B324" s="20" t="s">
        <v>705</v>
      </c>
      <c r="C324" s="4" t="s">
        <v>8853</v>
      </c>
      <c r="D324" s="4" t="str">
        <f t="shared" si="4"/>
        <v>Palit</v>
      </c>
      <c r="E324" s="4" t="s">
        <v>8855</v>
      </c>
      <c r="F324" s="14" t="s">
        <v>8876</v>
      </c>
      <c r="G324" s="9">
        <v>1</v>
      </c>
      <c r="H324" s="1">
        <v>30.56</v>
      </c>
      <c r="I324" s="1">
        <v>30.56</v>
      </c>
      <c r="J324" s="1">
        <v>0.48</v>
      </c>
      <c r="K324" s="3">
        <v>1313</v>
      </c>
      <c r="L324" s="13">
        <v>2595</v>
      </c>
      <c r="M324" s="49">
        <v>122.9</v>
      </c>
      <c r="N324" s="1">
        <v>353.3</v>
      </c>
      <c r="O324" s="3">
        <v>46</v>
      </c>
      <c r="P324" s="11" t="s">
        <v>2276</v>
      </c>
      <c r="Q324" s="3">
        <v>12</v>
      </c>
      <c r="R324" s="3">
        <v>192</v>
      </c>
      <c r="S324" s="22">
        <v>21</v>
      </c>
      <c r="T324" s="9">
        <v>200</v>
      </c>
      <c r="U324" s="14" t="s">
        <v>527</v>
      </c>
      <c r="V324" s="12">
        <v>4</v>
      </c>
      <c r="W324" s="75">
        <v>16</v>
      </c>
      <c r="X324" s="76">
        <v>16</v>
      </c>
      <c r="Y324" s="9">
        <v>1256.2</v>
      </c>
      <c r="Z324" s="3">
        <v>1256.2</v>
      </c>
      <c r="AA324" s="17" t="s">
        <v>704</v>
      </c>
      <c r="AB324" s="18" t="s">
        <v>703</v>
      </c>
      <c r="AC324" s="46" cm="1">
        <f t="array" ref="AC324">(SUMPRODUCT((H324:O324/H$9:O$9)^H$7:O$7*H$2:O$2)+SUMPRODUCT((Q324:T324/Q$9:T$9)^Q$7:T$7*Q$2:T$2))*(0.8^(1-G324))*AC$9</f>
        <v>2.0227504255348956</v>
      </c>
      <c r="AD324" s="48" cm="1">
        <f t="array" ref="AD324">(SUMPRODUCT((H324:O324/H$9:O$9)^H$7:O$7*H$3:O$3)+SUMPRODUCT((Q324:T324/Q$9:T$9)^Q$7:T$7*Q$3:T$3))*(0.1^(1-G324))*AD$9</f>
        <v>2.6388193427591311</v>
      </c>
      <c r="AE324" s="48" cm="1">
        <f t="array" ref="AE324">(SUMPRODUCT((H324:O324/H$9:O$9)^H$7:O$7*H$4:O$4)+SUMPRODUCT((Q324:T324/Q$9:T$9)^Q$7:T$7*Q$4:T$4))*AE$9</f>
        <v>2.361426432266466</v>
      </c>
      <c r="AF324" s="47" cm="1">
        <f t="array" ref="AF324">(SUMPRODUCT((H324:O324/H$9:O$9)^H$7:O$7*H$5:O$5)+SUMPRODUCT((Q324:T324/Q$9:T$9)^Q$7:T$7*Q$5:T$5))*AF$9</f>
        <v>2.1647977263070102</v>
      </c>
      <c r="AG324" s="50" cm="1">
        <f t="array" ref="AG324">SUMPRODUCT(AC324:AF324 * AC$3:AF$3) / SUM(AC$3:AF$3)</f>
        <v>2.4263161526472197</v>
      </c>
    </row>
    <row r="325" spans="1:33" x14ac:dyDescent="0.25">
      <c r="A325" s="81" t="s">
        <v>667</v>
      </c>
      <c r="B325" s="20" t="s">
        <v>669</v>
      </c>
      <c r="C325" s="4" t="s">
        <v>8853</v>
      </c>
      <c r="D325" s="4" t="str">
        <f t="shared" si="4"/>
        <v>Palit</v>
      </c>
      <c r="E325" s="4" t="s">
        <v>8855</v>
      </c>
      <c r="F325" s="14" t="s">
        <v>8876</v>
      </c>
      <c r="G325" s="9">
        <v>1</v>
      </c>
      <c r="H325" s="1">
        <v>29.5</v>
      </c>
      <c r="I325" s="1">
        <v>29.5</v>
      </c>
      <c r="J325" s="1">
        <v>0.46</v>
      </c>
      <c r="K325" s="3">
        <v>2500</v>
      </c>
      <c r="L325" s="13">
        <v>2505</v>
      </c>
      <c r="M325" s="49">
        <v>122.9</v>
      </c>
      <c r="N325" s="1">
        <v>353.3</v>
      </c>
      <c r="O325" s="3">
        <v>46</v>
      </c>
      <c r="P325" s="11" t="s">
        <v>2275</v>
      </c>
      <c r="Q325" s="3">
        <v>12</v>
      </c>
      <c r="R325" s="3">
        <v>192</v>
      </c>
      <c r="S325" s="22">
        <v>20</v>
      </c>
      <c r="T325" s="9">
        <v>200</v>
      </c>
      <c r="U325" s="14" t="s">
        <v>446</v>
      </c>
      <c r="V325" s="12">
        <v>4</v>
      </c>
      <c r="W325" s="75">
        <v>16</v>
      </c>
      <c r="X325" s="76">
        <v>16</v>
      </c>
      <c r="Y325" s="9">
        <v>1033.22</v>
      </c>
      <c r="Z325" s="3">
        <v>1033.22</v>
      </c>
      <c r="AA325" s="17" t="s">
        <v>668</v>
      </c>
      <c r="AB325" s="18" t="s">
        <v>667</v>
      </c>
      <c r="AC325" s="46" cm="1">
        <f t="array" ref="AC325">(SUMPRODUCT((H325:O325/H$9:O$9)^H$7:O$7*H$2:O$2)+SUMPRODUCT((Q325:T325/Q$9:T$9)^Q$7:T$7*Q$2:T$2))*(0.8^(1-G325))*AC$9</f>
        <v>2.0914350607012402</v>
      </c>
      <c r="AD325" s="48" cm="1">
        <f t="array" ref="AD325">(SUMPRODUCT((H325:O325/H$9:O$9)^H$7:O$7*H$3:O$3)+SUMPRODUCT((Q325:T325/Q$9:T$9)^Q$7:T$7*Q$3:T$3))*(0.1^(1-G325))*AD$9</f>
        <v>2.604759195217845</v>
      </c>
      <c r="AE325" s="48" cm="1">
        <f t="array" ref="AE325">(SUMPRODUCT((H325:O325/H$9:O$9)^H$7:O$7*H$4:O$4)+SUMPRODUCT((Q325:T325/Q$9:T$9)^Q$7:T$7*Q$4:T$4))*AE$9</f>
        <v>2.3308801033847466</v>
      </c>
      <c r="AF325" s="47" cm="1">
        <f t="array" ref="AF325">(SUMPRODUCT((H325:O325/H$9:O$9)^H$7:O$7*H$5:O$5)+SUMPRODUCT((Q325:T325/Q$9:T$9)^Q$7:T$7*Q$5:T$5))*AF$9</f>
        <v>2.1872348053317681</v>
      </c>
      <c r="AG325" s="50" cm="1">
        <f t="array" ref="AG325">SUMPRODUCT(AC325:AF325 * AC$3:AF$3) / SUM(AC$3:AF$3)</f>
        <v>2.4191867642803868</v>
      </c>
    </row>
    <row r="326" spans="1:33" x14ac:dyDescent="0.25">
      <c r="A326" s="81" t="s">
        <v>540</v>
      </c>
      <c r="B326" s="20" t="s">
        <v>542</v>
      </c>
      <c r="C326" s="4" t="s">
        <v>8853</v>
      </c>
      <c r="D326" s="4" t="str">
        <f t="shared" si="4"/>
        <v>Zotac</v>
      </c>
      <c r="E326" s="4" t="s">
        <v>8855</v>
      </c>
      <c r="F326" s="14" t="s">
        <v>8876</v>
      </c>
      <c r="G326" s="9">
        <v>1</v>
      </c>
      <c r="H326" s="1">
        <v>29.85</v>
      </c>
      <c r="I326" s="1">
        <v>29.85</v>
      </c>
      <c r="J326" s="1">
        <v>0.47</v>
      </c>
      <c r="K326" s="3">
        <v>1313</v>
      </c>
      <c r="L326" s="13">
        <v>2535</v>
      </c>
      <c r="M326" s="49">
        <v>122.9</v>
      </c>
      <c r="N326" s="1">
        <v>353.3</v>
      </c>
      <c r="O326" s="3">
        <v>46</v>
      </c>
      <c r="P326" s="11" t="s">
        <v>2276</v>
      </c>
      <c r="Q326" s="3">
        <v>12</v>
      </c>
      <c r="R326" s="3">
        <v>192</v>
      </c>
      <c r="S326" s="22">
        <v>21</v>
      </c>
      <c r="T326" s="9">
        <v>200</v>
      </c>
      <c r="U326" s="14" t="s">
        <v>527</v>
      </c>
      <c r="V326" s="12">
        <v>4</v>
      </c>
      <c r="W326" s="75">
        <v>16</v>
      </c>
      <c r="X326" s="76">
        <v>16</v>
      </c>
      <c r="Y326" s="9">
        <v>827.66</v>
      </c>
      <c r="Z326" s="3">
        <v>827.66</v>
      </c>
      <c r="AA326" s="17" t="s">
        <v>541</v>
      </c>
      <c r="AB326" s="18" t="s">
        <v>540</v>
      </c>
      <c r="AC326" s="46" cm="1">
        <f t="array" ref="AC326">(SUMPRODUCT((H326:O326/H$9:O$9)^H$7:O$7*H$2:O$2)+SUMPRODUCT((Q326:T326/Q$9:T$9)^Q$7:T$7*Q$2:T$2))*(0.8^(1-G326))*AC$9</f>
        <v>2.0114221839487478</v>
      </c>
      <c r="AD326" s="48" cm="1">
        <f t="array" ref="AD326">(SUMPRODUCT((H326:O326/H$9:O$9)^H$7:O$7*H$3:O$3)+SUMPRODUCT((Q326:T326/Q$9:T$9)^Q$7:T$7*Q$3:T$3))*(0.1^(1-G326))*AD$9</f>
        <v>2.5984358585627412</v>
      </c>
      <c r="AE326" s="48" cm="1">
        <f t="array" ref="AE326">(SUMPRODUCT((H326:O326/H$9:O$9)^H$7:O$7*H$4:O$4)+SUMPRODUCT((Q326:T326/Q$9:T$9)^Q$7:T$7*Q$4:T$4))*AE$9</f>
        <v>2.3307185074169245</v>
      </c>
      <c r="AF326" s="47" cm="1">
        <f t="array" ref="AF326">(SUMPRODUCT((H326:O326/H$9:O$9)^H$7:O$7*H$5:O$5)+SUMPRODUCT((Q326:T326/Q$9:T$9)^Q$7:T$7*Q$5:T$5))*AF$9</f>
        <v>2.1427859404732921</v>
      </c>
      <c r="AG326" s="50" cm="1">
        <f t="array" ref="AG326">SUMPRODUCT(AC326:AF326 * AC$3:AF$3) / SUM(AC$3:AF$3)</f>
        <v>2.3949122207626323</v>
      </c>
    </row>
    <row r="327" spans="1:33" x14ac:dyDescent="0.25">
      <c r="A327" s="81" t="s">
        <v>537</v>
      </c>
      <c r="B327" s="20" t="s">
        <v>539</v>
      </c>
      <c r="C327" s="4" t="s">
        <v>8853</v>
      </c>
      <c r="D327" s="4" t="str">
        <f t="shared" si="4"/>
        <v>Zotac</v>
      </c>
      <c r="E327" s="4" t="s">
        <v>8855</v>
      </c>
      <c r="F327" s="14" t="s">
        <v>8876</v>
      </c>
      <c r="G327" s="9">
        <v>1</v>
      </c>
      <c r="H327" s="1">
        <v>29.85</v>
      </c>
      <c r="I327" s="1">
        <v>29.85</v>
      </c>
      <c r="J327" s="1">
        <v>0.47</v>
      </c>
      <c r="K327" s="3">
        <v>1313</v>
      </c>
      <c r="L327" s="13">
        <v>2535</v>
      </c>
      <c r="M327" s="49">
        <v>122.9</v>
      </c>
      <c r="N327" s="1">
        <v>353.3</v>
      </c>
      <c r="O327" s="3">
        <v>46</v>
      </c>
      <c r="P327" s="11" t="s">
        <v>2276</v>
      </c>
      <c r="Q327" s="3">
        <v>12</v>
      </c>
      <c r="R327" s="3">
        <v>192</v>
      </c>
      <c r="S327" s="22">
        <v>21</v>
      </c>
      <c r="T327" s="9">
        <v>200</v>
      </c>
      <c r="U327" s="14" t="s">
        <v>527</v>
      </c>
      <c r="V327" s="12">
        <v>4</v>
      </c>
      <c r="W327" s="75">
        <v>16</v>
      </c>
      <c r="X327" s="76">
        <v>16</v>
      </c>
      <c r="Y327" s="9">
        <v>794.92</v>
      </c>
      <c r="Z327" s="3">
        <v>1185.1300000000001</v>
      </c>
      <c r="AA327" s="17" t="s">
        <v>538</v>
      </c>
      <c r="AB327" s="18" t="s">
        <v>537</v>
      </c>
      <c r="AC327" s="46" cm="1">
        <f t="array" ref="AC327">(SUMPRODUCT((H327:O327/H$9:O$9)^H$7:O$7*H$2:O$2)+SUMPRODUCT((Q327:T327/Q$9:T$9)^Q$7:T$7*Q$2:T$2))*(0.8^(1-G327))*AC$9</f>
        <v>2.0114221839487478</v>
      </c>
      <c r="AD327" s="48" cm="1">
        <f t="array" ref="AD327">(SUMPRODUCT((H327:O327/H$9:O$9)^H$7:O$7*H$3:O$3)+SUMPRODUCT((Q327:T327/Q$9:T$9)^Q$7:T$7*Q$3:T$3))*(0.1^(1-G327))*AD$9</f>
        <v>2.5984358585627412</v>
      </c>
      <c r="AE327" s="48" cm="1">
        <f t="array" ref="AE327">(SUMPRODUCT((H327:O327/H$9:O$9)^H$7:O$7*H$4:O$4)+SUMPRODUCT((Q327:T327/Q$9:T$9)^Q$7:T$7*Q$4:T$4))*AE$9</f>
        <v>2.3307185074169245</v>
      </c>
      <c r="AF327" s="47" cm="1">
        <f t="array" ref="AF327">(SUMPRODUCT((H327:O327/H$9:O$9)^H$7:O$7*H$5:O$5)+SUMPRODUCT((Q327:T327/Q$9:T$9)^Q$7:T$7*Q$5:T$5))*AF$9</f>
        <v>2.1427859404732921</v>
      </c>
      <c r="AG327" s="50" cm="1">
        <f t="array" ref="AG327">SUMPRODUCT(AC327:AF327 * AC$3:AF$3) / SUM(AC$3:AF$3)</f>
        <v>2.3949122207626323</v>
      </c>
    </row>
    <row r="328" spans="1:33" x14ac:dyDescent="0.25">
      <c r="A328" s="81" t="s">
        <v>497</v>
      </c>
      <c r="B328" s="20" t="s">
        <v>499</v>
      </c>
      <c r="C328" s="4" t="s">
        <v>8853</v>
      </c>
      <c r="D328" s="4" t="str">
        <f t="shared" ref="D328:D391" si="5">LEFT(AB328, FIND(" ", AB328 &amp; " ") - 1)</f>
        <v>Zotac</v>
      </c>
      <c r="E328" s="4" t="s">
        <v>8855</v>
      </c>
      <c r="F328" s="14" t="s">
        <v>8876</v>
      </c>
      <c r="G328" s="9">
        <v>1</v>
      </c>
      <c r="H328" s="1">
        <v>29.32</v>
      </c>
      <c r="I328" s="1">
        <v>29.32</v>
      </c>
      <c r="J328" s="1">
        <v>0.46</v>
      </c>
      <c r="K328" s="3">
        <v>2500</v>
      </c>
      <c r="L328" s="13">
        <v>2490</v>
      </c>
      <c r="M328" s="49">
        <v>122.9</v>
      </c>
      <c r="N328" s="1">
        <v>353.3</v>
      </c>
      <c r="O328" s="3">
        <v>46</v>
      </c>
      <c r="P328" s="11" t="s">
        <v>2275</v>
      </c>
      <c r="Q328" s="3">
        <v>12</v>
      </c>
      <c r="R328" s="3">
        <v>192</v>
      </c>
      <c r="S328" s="22">
        <v>20</v>
      </c>
      <c r="T328" s="9">
        <v>200</v>
      </c>
      <c r="U328" s="14" t="s">
        <v>446</v>
      </c>
      <c r="V328" s="12">
        <v>4</v>
      </c>
      <c r="W328" s="75">
        <v>16</v>
      </c>
      <c r="X328" s="76">
        <v>16</v>
      </c>
      <c r="Y328" s="9">
        <v>716.34</v>
      </c>
      <c r="Z328" s="3">
        <v>1014.99</v>
      </c>
      <c r="AA328" s="17" t="s">
        <v>498</v>
      </c>
      <c r="AB328" s="18" t="s">
        <v>497</v>
      </c>
      <c r="AC328" s="46" cm="1">
        <f t="array" ref="AC328">(SUMPRODUCT((H328:O328/H$9:O$9)^H$7:O$7*H$2:O$2)+SUMPRODUCT((Q328:T328/Q$9:T$9)^Q$7:T$7*Q$2:T$2))*(0.8^(1-G328))*AC$9</f>
        <v>2.0885816630889318</v>
      </c>
      <c r="AD328" s="48" cm="1">
        <f t="array" ref="AD328">(SUMPRODUCT((H328:O328/H$9:O$9)^H$7:O$7*H$3:O$3)+SUMPRODUCT((Q328:T328/Q$9:T$9)^Q$7:T$7*Q$3:T$3))*(0.1^(1-G328))*AD$9</f>
        <v>2.5951819715135667</v>
      </c>
      <c r="AE328" s="48" cm="1">
        <f t="array" ref="AE328">(SUMPRODUCT((H328:O328/H$9:O$9)^H$7:O$7*H$4:O$4)+SUMPRODUCT((Q328:T328/Q$9:T$9)^Q$7:T$7*Q$4:T$4))*AE$9</f>
        <v>2.3279034592703476</v>
      </c>
      <c r="AF328" s="47" cm="1">
        <f t="array" ref="AF328">(SUMPRODUCT((H328:O328/H$9:O$9)^H$7:O$7*H$5:O$5)+SUMPRODUCT((Q328:T328/Q$9:T$9)^Q$7:T$7*Q$5:T$5))*AF$9</f>
        <v>2.1816487852989694</v>
      </c>
      <c r="AG328" s="50" cm="1">
        <f t="array" ref="AG328">SUMPRODUCT(AC328:AF328 * AC$3:AF$3) / SUM(AC$3:AF$3)</f>
        <v>2.4121287766022257</v>
      </c>
    </row>
    <row r="329" spans="1:33" x14ac:dyDescent="0.25">
      <c r="A329" s="81" t="s">
        <v>494</v>
      </c>
      <c r="B329" s="20" t="s">
        <v>496</v>
      </c>
      <c r="C329" s="4" t="s">
        <v>8853</v>
      </c>
      <c r="D329" s="4" t="str">
        <f t="shared" si="5"/>
        <v>Zotac</v>
      </c>
      <c r="E329" s="4" t="s">
        <v>8855</v>
      </c>
      <c r="F329" s="14" t="s">
        <v>8876</v>
      </c>
      <c r="G329" s="9">
        <v>1</v>
      </c>
      <c r="H329" s="1">
        <v>29.32</v>
      </c>
      <c r="I329" s="1">
        <v>29.32</v>
      </c>
      <c r="J329" s="1">
        <v>0.46</v>
      </c>
      <c r="K329" s="3">
        <v>2500</v>
      </c>
      <c r="L329" s="13">
        <v>2490</v>
      </c>
      <c r="M329" s="49">
        <v>122.9</v>
      </c>
      <c r="N329" s="1">
        <v>353.3</v>
      </c>
      <c r="O329" s="3">
        <v>46</v>
      </c>
      <c r="P329" s="11" t="s">
        <v>2275</v>
      </c>
      <c r="Q329" s="3">
        <v>12</v>
      </c>
      <c r="R329" s="3">
        <v>192</v>
      </c>
      <c r="S329" s="22">
        <v>20</v>
      </c>
      <c r="T329" s="9">
        <v>200</v>
      </c>
      <c r="U329" s="14" t="s">
        <v>446</v>
      </c>
      <c r="V329" s="12">
        <v>4</v>
      </c>
      <c r="W329" s="75">
        <v>16</v>
      </c>
      <c r="X329" s="76">
        <v>16</v>
      </c>
      <c r="Y329" s="9">
        <v>642.54999999999995</v>
      </c>
      <c r="Z329" s="3">
        <v>1031.99</v>
      </c>
      <c r="AA329" s="17" t="s">
        <v>495</v>
      </c>
      <c r="AB329" s="18" t="s">
        <v>494</v>
      </c>
      <c r="AC329" s="46" cm="1">
        <f t="array" ref="AC329">(SUMPRODUCT((H329:O329/H$9:O$9)^H$7:O$7*H$2:O$2)+SUMPRODUCT((Q329:T329/Q$9:T$9)^Q$7:T$7*Q$2:T$2))*(0.8^(1-G329))*AC$9</f>
        <v>2.0885816630889318</v>
      </c>
      <c r="AD329" s="48" cm="1">
        <f t="array" ref="AD329">(SUMPRODUCT((H329:O329/H$9:O$9)^H$7:O$7*H$3:O$3)+SUMPRODUCT((Q329:T329/Q$9:T$9)^Q$7:T$7*Q$3:T$3))*(0.1^(1-G329))*AD$9</f>
        <v>2.5951819715135667</v>
      </c>
      <c r="AE329" s="48" cm="1">
        <f t="array" ref="AE329">(SUMPRODUCT((H329:O329/H$9:O$9)^H$7:O$7*H$4:O$4)+SUMPRODUCT((Q329:T329/Q$9:T$9)^Q$7:T$7*Q$4:T$4))*AE$9</f>
        <v>2.3279034592703476</v>
      </c>
      <c r="AF329" s="47" cm="1">
        <f t="array" ref="AF329">(SUMPRODUCT((H329:O329/H$9:O$9)^H$7:O$7*H$5:O$5)+SUMPRODUCT((Q329:T329/Q$9:T$9)^Q$7:T$7*Q$5:T$5))*AF$9</f>
        <v>2.1816487852989694</v>
      </c>
      <c r="AG329" s="50" cm="1">
        <f t="array" ref="AG329">SUMPRODUCT(AC329:AF329 * AC$3:AF$3) / SUM(AC$3:AF$3)</f>
        <v>2.4121287766022257</v>
      </c>
    </row>
    <row r="330" spans="1:33" x14ac:dyDescent="0.25">
      <c r="A330" s="81" t="s">
        <v>491</v>
      </c>
      <c r="B330" s="20" t="s">
        <v>493</v>
      </c>
      <c r="C330" s="4" t="s">
        <v>8853</v>
      </c>
      <c r="D330" s="4" t="str">
        <f t="shared" si="5"/>
        <v>Zotac</v>
      </c>
      <c r="E330" s="4" t="s">
        <v>8855</v>
      </c>
      <c r="F330" s="14" t="s">
        <v>8876</v>
      </c>
      <c r="G330" s="9">
        <v>1</v>
      </c>
      <c r="H330" s="1">
        <v>29.32</v>
      </c>
      <c r="I330" s="1">
        <v>29.32</v>
      </c>
      <c r="J330" s="1">
        <v>0.46</v>
      </c>
      <c r="K330" s="3">
        <v>1313</v>
      </c>
      <c r="L330" s="13">
        <v>2490</v>
      </c>
      <c r="M330" s="49">
        <v>122.9</v>
      </c>
      <c r="N330" s="1">
        <v>353.3</v>
      </c>
      <c r="O330" s="3">
        <v>46</v>
      </c>
      <c r="P330" s="11" t="s">
        <v>2276</v>
      </c>
      <c r="Q330" s="3">
        <v>12</v>
      </c>
      <c r="R330" s="3">
        <v>192</v>
      </c>
      <c r="S330" s="22">
        <v>21</v>
      </c>
      <c r="T330" s="9">
        <v>200</v>
      </c>
      <c r="U330" s="14" t="s">
        <v>446</v>
      </c>
      <c r="V330" s="12">
        <v>4</v>
      </c>
      <c r="W330" s="75">
        <v>16</v>
      </c>
      <c r="X330" s="76">
        <v>16</v>
      </c>
      <c r="Y330" s="9">
        <v>666.43</v>
      </c>
      <c r="Z330" s="3">
        <v>1222.03</v>
      </c>
      <c r="AA330" s="17" t="s">
        <v>492</v>
      </c>
      <c r="AB330" s="18" t="s">
        <v>491</v>
      </c>
      <c r="AC330" s="46" cm="1">
        <f t="array" ref="AC330">(SUMPRODUCT((H330:O330/H$9:O$9)^H$7:O$7*H$2:O$2)+SUMPRODUCT((Q330:T330/Q$9:T$9)^Q$7:T$7*Q$2:T$2))*(0.8^(1-G330))*AC$9</f>
        <v>2.002922178270532</v>
      </c>
      <c r="AD330" s="48" cm="1">
        <f t="array" ref="AD330">(SUMPRODUCT((H330:O330/H$9:O$9)^H$7:O$7*H$3:O$3)+SUMPRODUCT((Q330:T330/Q$9:T$9)^Q$7:T$7*Q$3:T$3))*(0.1^(1-G330))*AD$9</f>
        <v>2.5675112716207895</v>
      </c>
      <c r="AE330" s="48" cm="1">
        <f t="array" ref="AE330">(SUMPRODUCT((H330:O330/H$9:O$9)^H$7:O$7*H$4:O$4)+SUMPRODUCT((Q330:T330/Q$9:T$9)^Q$7:T$7*Q$4:T$4))*AE$9</f>
        <v>2.3028801445176406</v>
      </c>
      <c r="AF330" s="47" cm="1">
        <f t="array" ref="AF330">(SUMPRODUCT((H330:O330/H$9:O$9)^H$7:O$7*H$5:O$5)+SUMPRODUCT((Q330:T330/Q$9:T$9)^Q$7:T$7*Q$5:T$5))*AF$9</f>
        <v>2.126307385513416</v>
      </c>
      <c r="AG330" s="50" cm="1">
        <f t="array" ref="AG330">SUMPRODUCT(AC330:AF330 * AC$3:AF$3) / SUM(AC$3:AF$3)</f>
        <v>2.3704756498108344</v>
      </c>
    </row>
    <row r="331" spans="1:33" x14ac:dyDescent="0.25">
      <c r="A331" s="81" t="s">
        <v>488</v>
      </c>
      <c r="B331" s="20" t="s">
        <v>490</v>
      </c>
      <c r="C331" s="4" t="s">
        <v>8853</v>
      </c>
      <c r="D331" s="4" t="str">
        <f t="shared" si="5"/>
        <v>Zotac</v>
      </c>
      <c r="E331" s="4" t="s">
        <v>8855</v>
      </c>
      <c r="F331" s="14" t="s">
        <v>8876</v>
      </c>
      <c r="G331" s="9">
        <v>1</v>
      </c>
      <c r="H331" s="1">
        <v>29.15</v>
      </c>
      <c r="I331" s="1">
        <v>29.15</v>
      </c>
      <c r="J331" s="1">
        <v>0.46</v>
      </c>
      <c r="K331" s="3">
        <v>2500</v>
      </c>
      <c r="L331" s="13">
        <v>2475</v>
      </c>
      <c r="M331" s="49">
        <v>122.9</v>
      </c>
      <c r="N331" s="1">
        <v>353.3</v>
      </c>
      <c r="O331" s="3">
        <v>46</v>
      </c>
      <c r="P331" s="11" t="s">
        <v>2275</v>
      </c>
      <c r="Q331" s="3">
        <v>12</v>
      </c>
      <c r="R331" s="3">
        <v>192</v>
      </c>
      <c r="S331" s="22">
        <v>20</v>
      </c>
      <c r="T331" s="9">
        <v>200</v>
      </c>
      <c r="U331" s="14" t="s">
        <v>446</v>
      </c>
      <c r="V331" s="12">
        <v>4</v>
      </c>
      <c r="W331" s="75">
        <v>16</v>
      </c>
      <c r="X331" s="76">
        <v>16</v>
      </c>
      <c r="Y331" s="9">
        <v>638.55999999999995</v>
      </c>
      <c r="Z331" s="3">
        <v>1432.18</v>
      </c>
      <c r="AA331" s="17" t="s">
        <v>489</v>
      </c>
      <c r="AB331" s="18" t="s">
        <v>488</v>
      </c>
      <c r="AC331" s="46" cm="1">
        <f t="array" ref="AC331">(SUMPRODUCT((H331:O331/H$9:O$9)^H$7:O$7*H$2:O$2)+SUMPRODUCT((Q331:T331/Q$9:T$9)^Q$7:T$7*Q$2:T$2))*(0.8^(1-G331))*AC$9</f>
        <v>2.0857817075565217</v>
      </c>
      <c r="AD331" s="48" cm="1">
        <f t="array" ref="AD331">(SUMPRODUCT((H331:O331/H$9:O$9)^H$7:O$7*H$3:O$3)+SUMPRODUCT((Q331:T331/Q$9:T$9)^Q$7:T$7*Q$3:T$3))*(0.1^(1-G331))*AD$9</f>
        <v>2.5861092450739811</v>
      </c>
      <c r="AE331" s="48" cm="1">
        <f t="array" ref="AE331">(SUMPRODUCT((H331:O331/H$9:O$9)^H$7:O$7*H$4:O$4)+SUMPRODUCT((Q331:T331/Q$9:T$9)^Q$7:T$7*Q$4:T$4))*AE$9</f>
        <v>2.3250905060139164</v>
      </c>
      <c r="AF331" s="47" cm="1">
        <f t="array" ref="AF331">(SUMPRODUCT((H331:O331/H$9:O$9)^H$7:O$7*H$5:O$5)+SUMPRODUCT((Q331:T331/Q$9:T$9)^Q$7:T$7*Q$5:T$5))*AF$9</f>
        <v>2.1763283156435724</v>
      </c>
      <c r="AG331" s="50" cm="1">
        <f t="array" ref="AG331">SUMPRODUCT(AC331:AF331 * AC$3:AF$3) / SUM(AC$3:AF$3)</f>
        <v>2.4054224184648851</v>
      </c>
    </row>
    <row r="332" spans="1:33" x14ac:dyDescent="0.25">
      <c r="A332" s="81" t="s">
        <v>485</v>
      </c>
      <c r="B332" s="20" t="s">
        <v>487</v>
      </c>
      <c r="C332" s="4" t="s">
        <v>8853</v>
      </c>
      <c r="D332" s="4" t="str">
        <f t="shared" si="5"/>
        <v>Zotac</v>
      </c>
      <c r="E332" s="4" t="s">
        <v>8855</v>
      </c>
      <c r="F332" s="14" t="s">
        <v>8876</v>
      </c>
      <c r="G332" s="9">
        <v>1</v>
      </c>
      <c r="H332" s="1">
        <v>29.15</v>
      </c>
      <c r="I332" s="1">
        <v>29.15</v>
      </c>
      <c r="J332" s="1">
        <v>0.46</v>
      </c>
      <c r="K332" s="3">
        <v>1313</v>
      </c>
      <c r="L332" s="13">
        <v>2475</v>
      </c>
      <c r="M332" s="49">
        <v>122.9</v>
      </c>
      <c r="N332" s="1">
        <v>353.3</v>
      </c>
      <c r="O332" s="3">
        <v>46</v>
      </c>
      <c r="P332" s="11" t="s">
        <v>2276</v>
      </c>
      <c r="Q332" s="3">
        <v>12</v>
      </c>
      <c r="R332" s="3">
        <v>192</v>
      </c>
      <c r="S332" s="22">
        <v>21</v>
      </c>
      <c r="T332" s="9">
        <v>200</v>
      </c>
      <c r="U332" s="14" t="s">
        <v>446</v>
      </c>
      <c r="V332" s="12">
        <v>4</v>
      </c>
      <c r="W332" s="75">
        <v>16</v>
      </c>
      <c r="X332" s="76">
        <v>16</v>
      </c>
      <c r="Y332" s="9">
        <v>646</v>
      </c>
      <c r="Z332" s="3">
        <v>1233.44</v>
      </c>
      <c r="AA332" s="17" t="s">
        <v>486</v>
      </c>
      <c r="AB332" s="18" t="s">
        <v>485</v>
      </c>
      <c r="AC332" s="46" cm="1">
        <f t="array" ref="AC332">(SUMPRODUCT((H332:O332/H$9:O$9)^H$7:O$7*H$2:O$2)+SUMPRODUCT((Q332:T332/Q$9:T$9)^Q$7:T$7*Q$2:T$2))*(0.8^(1-G332))*AC$9</f>
        <v>2.0001222227381219</v>
      </c>
      <c r="AD332" s="48" cm="1">
        <f t="array" ref="AD332">(SUMPRODUCT((H332:O332/H$9:O$9)^H$7:O$7*H$3:O$3)+SUMPRODUCT((Q332:T332/Q$9:T$9)^Q$7:T$7*Q$3:T$3))*(0.1^(1-G332))*AD$9</f>
        <v>2.5584385451812044</v>
      </c>
      <c r="AE332" s="48" cm="1">
        <f t="array" ref="AE332">(SUMPRODUCT((H332:O332/H$9:O$9)^H$7:O$7*H$4:O$4)+SUMPRODUCT((Q332:T332/Q$9:T$9)^Q$7:T$7*Q$4:T$4))*AE$9</f>
        <v>2.3000671912612094</v>
      </c>
      <c r="AF332" s="47" cm="1">
        <f t="array" ref="AF332">(SUMPRODUCT((H332:O332/H$9:O$9)^H$7:O$7*H$5:O$5)+SUMPRODUCT((Q332:T332/Q$9:T$9)^Q$7:T$7*Q$5:T$5))*AF$9</f>
        <v>2.120986915858019</v>
      </c>
      <c r="AG332" s="50" cm="1">
        <f t="array" ref="AG332">SUMPRODUCT(AC332:AF332 * AC$3:AF$3) / SUM(AC$3:AF$3)</f>
        <v>2.3637692916734938</v>
      </c>
    </row>
    <row r="333" spans="1:33" x14ac:dyDescent="0.25">
      <c r="A333" s="81" t="s">
        <v>2129</v>
      </c>
      <c r="B333" s="20" t="s">
        <v>2131</v>
      </c>
      <c r="C333" s="4" t="s">
        <v>8853</v>
      </c>
      <c r="D333" s="4" t="str">
        <f t="shared" si="5"/>
        <v>ASUS</v>
      </c>
      <c r="E333" s="4" t="s">
        <v>8855</v>
      </c>
      <c r="F333" s="14" t="s">
        <v>8877</v>
      </c>
      <c r="G333" s="9">
        <v>1</v>
      </c>
      <c r="H333" s="1">
        <v>36.56</v>
      </c>
      <c r="I333" s="1">
        <v>36.56</v>
      </c>
      <c r="J333" s="1">
        <v>0.56999999999999995</v>
      </c>
      <c r="K333" s="3">
        <v>1313</v>
      </c>
      <c r="L333" s="13">
        <v>2550</v>
      </c>
      <c r="M333" s="49">
        <v>158.4</v>
      </c>
      <c r="N333" s="1">
        <v>443.5</v>
      </c>
      <c r="O333" s="3">
        <v>46</v>
      </c>
      <c r="P333" s="11" t="s">
        <v>2276</v>
      </c>
      <c r="Q333" s="3">
        <v>12</v>
      </c>
      <c r="R333" s="3">
        <v>192</v>
      </c>
      <c r="S333" s="22">
        <v>21</v>
      </c>
      <c r="T333" s="9">
        <v>220</v>
      </c>
      <c r="U333" s="14" t="s">
        <v>527</v>
      </c>
      <c r="V333" s="12">
        <v>4</v>
      </c>
      <c r="W333" s="75">
        <v>16</v>
      </c>
      <c r="X333" s="76">
        <v>16</v>
      </c>
      <c r="Y333" s="9">
        <v>747.1</v>
      </c>
      <c r="Z333" s="3">
        <v>1285.43</v>
      </c>
      <c r="AA333" s="17" t="s">
        <v>2130</v>
      </c>
      <c r="AB333" s="18" t="s">
        <v>2129</v>
      </c>
      <c r="AC333" s="46" cm="1">
        <f t="array" ref="AC333">(SUMPRODUCT((H333:O333/H$9:O$9)^H$7:O$7*H$2:O$2)+SUMPRODUCT((Q333:T333/Q$9:T$9)^Q$7:T$7*Q$2:T$2))*(0.8^(1-G333))*AC$9</f>
        <v>2.2010013369038552</v>
      </c>
      <c r="AD333" s="48" cm="1">
        <f t="array" ref="AD333">(SUMPRODUCT((H333:O333/H$9:O$9)^H$7:O$7*H$3:O$3)+SUMPRODUCT((Q333:T333/Q$9:T$9)^Q$7:T$7*Q$3:T$3))*(0.1^(1-G333))*AD$9</f>
        <v>2.9620129203308272</v>
      </c>
      <c r="AE333" s="48" cm="1">
        <f t="array" ref="AE333">(SUMPRODUCT((H333:O333/H$9:O$9)^H$7:O$7*H$4:O$4)+SUMPRODUCT((Q333:T333/Q$9:T$9)^Q$7:T$7*Q$4:T$4))*AE$9</f>
        <v>2.6270030116080911</v>
      </c>
      <c r="AF333" s="47" cm="1">
        <f t="array" ref="AF333">(SUMPRODUCT((H333:O333/H$9:O$9)^H$7:O$7*H$5:O$5)+SUMPRODUCT((Q333:T333/Q$9:T$9)^Q$7:T$7*Q$5:T$5))*AF$9</f>
        <v>2.3965746153592318</v>
      </c>
      <c r="AG333" s="50" cm="1">
        <f t="array" ref="AG333">SUMPRODUCT(AC333:AF333 * AC$3:AF$3) / SUM(AC$3:AF$3)</f>
        <v>2.703714615739651</v>
      </c>
    </row>
    <row r="334" spans="1:33" x14ac:dyDescent="0.25">
      <c r="A334" s="81" t="s">
        <v>2126</v>
      </c>
      <c r="B334" s="20" t="s">
        <v>2128</v>
      </c>
      <c r="C334" s="4" t="s">
        <v>8853</v>
      </c>
      <c r="D334" s="4" t="str">
        <f t="shared" si="5"/>
        <v>ASUS</v>
      </c>
      <c r="E334" s="4" t="s">
        <v>8855</v>
      </c>
      <c r="F334" s="14" t="s">
        <v>8877</v>
      </c>
      <c r="G334" s="9">
        <v>1</v>
      </c>
      <c r="H334" s="1">
        <v>36.56</v>
      </c>
      <c r="I334" s="1">
        <v>36.56</v>
      </c>
      <c r="J334" s="1">
        <v>0.56999999999999995</v>
      </c>
      <c r="K334" s="3">
        <v>1313</v>
      </c>
      <c r="L334" s="13">
        <v>2550</v>
      </c>
      <c r="M334" s="49">
        <v>158.4</v>
      </c>
      <c r="N334" s="1">
        <v>443.5</v>
      </c>
      <c r="O334" s="3">
        <v>46</v>
      </c>
      <c r="P334" s="11" t="s">
        <v>2276</v>
      </c>
      <c r="Q334" s="3">
        <v>12</v>
      </c>
      <c r="R334" s="3">
        <v>192</v>
      </c>
      <c r="S334" s="22">
        <v>21</v>
      </c>
      <c r="T334" s="9">
        <v>220</v>
      </c>
      <c r="U334" s="14" t="s">
        <v>527</v>
      </c>
      <c r="V334" s="12">
        <v>4</v>
      </c>
      <c r="W334" s="75">
        <v>16</v>
      </c>
      <c r="X334" s="76">
        <v>16</v>
      </c>
      <c r="Y334" s="9">
        <v>1194.22</v>
      </c>
      <c r="Z334" s="3">
        <v>1194.22</v>
      </c>
      <c r="AA334" s="17" t="s">
        <v>2127</v>
      </c>
      <c r="AB334" s="18" t="s">
        <v>2126</v>
      </c>
      <c r="AC334" s="46" cm="1">
        <f t="array" ref="AC334">(SUMPRODUCT((H334:O334/H$9:O$9)^H$7:O$7*H$2:O$2)+SUMPRODUCT((Q334:T334/Q$9:T$9)^Q$7:T$7*Q$2:T$2))*(0.8^(1-G334))*AC$9</f>
        <v>2.2010013369038552</v>
      </c>
      <c r="AD334" s="48" cm="1">
        <f t="array" ref="AD334">(SUMPRODUCT((H334:O334/H$9:O$9)^H$7:O$7*H$3:O$3)+SUMPRODUCT((Q334:T334/Q$9:T$9)^Q$7:T$7*Q$3:T$3))*(0.1^(1-G334))*AD$9</f>
        <v>2.9620129203308272</v>
      </c>
      <c r="AE334" s="48" cm="1">
        <f t="array" ref="AE334">(SUMPRODUCT((H334:O334/H$9:O$9)^H$7:O$7*H$4:O$4)+SUMPRODUCT((Q334:T334/Q$9:T$9)^Q$7:T$7*Q$4:T$4))*AE$9</f>
        <v>2.6270030116080911</v>
      </c>
      <c r="AF334" s="47" cm="1">
        <f t="array" ref="AF334">(SUMPRODUCT((H334:O334/H$9:O$9)^H$7:O$7*H$5:O$5)+SUMPRODUCT((Q334:T334/Q$9:T$9)^Q$7:T$7*Q$5:T$5))*AF$9</f>
        <v>2.3965746153592318</v>
      </c>
      <c r="AG334" s="50" cm="1">
        <f t="array" ref="AG334">SUMPRODUCT(AC334:AF334 * AC$3:AF$3) / SUM(AC$3:AF$3)</f>
        <v>2.703714615739651</v>
      </c>
    </row>
    <row r="335" spans="1:33" x14ac:dyDescent="0.25">
      <c r="A335" s="81" t="s">
        <v>2123</v>
      </c>
      <c r="B335" s="20" t="s">
        <v>2125</v>
      </c>
      <c r="C335" s="4" t="s">
        <v>8853</v>
      </c>
      <c r="D335" s="4" t="str">
        <f t="shared" si="5"/>
        <v>ASUS</v>
      </c>
      <c r="E335" s="4" t="s">
        <v>8855</v>
      </c>
      <c r="F335" s="14" t="s">
        <v>8877</v>
      </c>
      <c r="G335" s="9">
        <v>1</v>
      </c>
      <c r="H335" s="1">
        <v>35.909999999999997</v>
      </c>
      <c r="I335" s="1">
        <v>35.909999999999997</v>
      </c>
      <c r="J335" s="1">
        <v>0.56000000000000005</v>
      </c>
      <c r="K335" s="3">
        <v>1313</v>
      </c>
      <c r="L335" s="13">
        <v>2505</v>
      </c>
      <c r="M335" s="49">
        <v>158.4</v>
      </c>
      <c r="N335" s="1">
        <v>443.5</v>
      </c>
      <c r="O335" s="3">
        <v>46</v>
      </c>
      <c r="P335" s="11" t="s">
        <v>2276</v>
      </c>
      <c r="Q335" s="3">
        <v>12</v>
      </c>
      <c r="R335" s="3">
        <v>192</v>
      </c>
      <c r="S335" s="22">
        <v>21</v>
      </c>
      <c r="T335" s="9">
        <v>220</v>
      </c>
      <c r="U335" s="14" t="s">
        <v>527</v>
      </c>
      <c r="V335" s="12">
        <v>4</v>
      </c>
      <c r="W335" s="75">
        <v>16</v>
      </c>
      <c r="X335" s="76">
        <v>16</v>
      </c>
      <c r="Y335" s="9">
        <v>769.99</v>
      </c>
      <c r="Z335" s="3">
        <v>1337.56</v>
      </c>
      <c r="AA335" s="17" t="s">
        <v>2124</v>
      </c>
      <c r="AB335" s="18" t="s">
        <v>2123</v>
      </c>
      <c r="AC335" s="46" cm="1">
        <f t="array" ref="AC335">(SUMPRODUCT((H335:O335/H$9:O$9)^H$7:O$7*H$2:O$2)+SUMPRODUCT((Q335:T335/Q$9:T$9)^Q$7:T$7*Q$2:T$2))*(0.8^(1-G335))*AC$9</f>
        <v>2.1919154409202921</v>
      </c>
      <c r="AD335" s="48" cm="1">
        <f t="array" ref="AD335">(SUMPRODUCT((H335:O335/H$9:O$9)^H$7:O$7*H$3:O$3)+SUMPRODUCT((Q335:T335/Q$9:T$9)^Q$7:T$7*Q$3:T$3))*(0.1^(1-G335))*AD$9</f>
        <v>2.9259145532453892</v>
      </c>
      <c r="AE335" s="48" cm="1">
        <f t="array" ref="AE335">(SUMPRODUCT((H335:O335/H$9:O$9)^H$7:O$7*H$4:O$4)+SUMPRODUCT((Q335:T335/Q$9:T$9)^Q$7:T$7*Q$4:T$4))*AE$9</f>
        <v>2.5981260240301007</v>
      </c>
      <c r="AF335" s="47" cm="1">
        <f t="array" ref="AF335">(SUMPRODUCT((H335:O335/H$9:O$9)^H$7:O$7*H$5:O$5)+SUMPRODUCT((Q335:T335/Q$9:T$9)^Q$7:T$7*Q$5:T$5))*AF$9</f>
        <v>2.3772535873514076</v>
      </c>
      <c r="AG335" s="50" cm="1">
        <f t="array" ref="AG335">SUMPRODUCT(AC335:AF335 * AC$3:AF$3) / SUM(AC$3:AF$3)</f>
        <v>2.675716925851622</v>
      </c>
    </row>
    <row r="336" spans="1:33" x14ac:dyDescent="0.25">
      <c r="A336" s="81" t="s">
        <v>2120</v>
      </c>
      <c r="B336" s="20" t="s">
        <v>2122</v>
      </c>
      <c r="C336" s="4" t="s">
        <v>8853</v>
      </c>
      <c r="D336" s="4" t="str">
        <f t="shared" si="5"/>
        <v>ASUS</v>
      </c>
      <c r="E336" s="4" t="s">
        <v>8855</v>
      </c>
      <c r="F336" s="14" t="s">
        <v>8877</v>
      </c>
      <c r="G336" s="9">
        <v>1</v>
      </c>
      <c r="H336" s="1">
        <v>36.56</v>
      </c>
      <c r="I336" s="1">
        <v>36.56</v>
      </c>
      <c r="J336" s="1">
        <v>0.56999999999999995</v>
      </c>
      <c r="K336" s="3">
        <v>1313</v>
      </c>
      <c r="L336" s="13">
        <v>2550</v>
      </c>
      <c r="M336" s="49">
        <v>158.4</v>
      </c>
      <c r="N336" s="1">
        <v>443.5</v>
      </c>
      <c r="O336" s="3">
        <v>46</v>
      </c>
      <c r="P336" s="11" t="s">
        <v>2276</v>
      </c>
      <c r="Q336" s="3">
        <v>12</v>
      </c>
      <c r="R336" s="3">
        <v>192</v>
      </c>
      <c r="S336" s="22">
        <v>21</v>
      </c>
      <c r="T336" s="9">
        <v>220</v>
      </c>
      <c r="U336" s="14" t="s">
        <v>527</v>
      </c>
      <c r="V336" s="12">
        <v>4</v>
      </c>
      <c r="W336" s="75">
        <v>16</v>
      </c>
      <c r="X336" s="76">
        <v>16</v>
      </c>
      <c r="Y336" s="9">
        <v>1191.53</v>
      </c>
      <c r="Z336" s="3">
        <v>1360.82</v>
      </c>
      <c r="AA336" s="17" t="s">
        <v>2121</v>
      </c>
      <c r="AB336" s="18" t="s">
        <v>2120</v>
      </c>
      <c r="AC336" s="46" cm="1">
        <f t="array" ref="AC336">(SUMPRODUCT((H336:O336/H$9:O$9)^H$7:O$7*H$2:O$2)+SUMPRODUCT((Q336:T336/Q$9:T$9)^Q$7:T$7*Q$2:T$2))*(0.8^(1-G336))*AC$9</f>
        <v>2.2010013369038552</v>
      </c>
      <c r="AD336" s="48" cm="1">
        <f t="array" ref="AD336">(SUMPRODUCT((H336:O336/H$9:O$9)^H$7:O$7*H$3:O$3)+SUMPRODUCT((Q336:T336/Q$9:T$9)^Q$7:T$7*Q$3:T$3))*(0.1^(1-G336))*AD$9</f>
        <v>2.9620129203308272</v>
      </c>
      <c r="AE336" s="48" cm="1">
        <f t="array" ref="AE336">(SUMPRODUCT((H336:O336/H$9:O$9)^H$7:O$7*H$4:O$4)+SUMPRODUCT((Q336:T336/Q$9:T$9)^Q$7:T$7*Q$4:T$4))*AE$9</f>
        <v>2.6270030116080911</v>
      </c>
      <c r="AF336" s="47" cm="1">
        <f t="array" ref="AF336">(SUMPRODUCT((H336:O336/H$9:O$9)^H$7:O$7*H$5:O$5)+SUMPRODUCT((Q336:T336/Q$9:T$9)^Q$7:T$7*Q$5:T$5))*AF$9</f>
        <v>2.3965746153592318</v>
      </c>
      <c r="AG336" s="50" cm="1">
        <f t="array" ref="AG336">SUMPRODUCT(AC336:AF336 * AC$3:AF$3) / SUM(AC$3:AF$3)</f>
        <v>2.703714615739651</v>
      </c>
    </row>
    <row r="337" spans="1:33" x14ac:dyDescent="0.25">
      <c r="A337" s="81" t="s">
        <v>2117</v>
      </c>
      <c r="B337" s="20" t="s">
        <v>2119</v>
      </c>
      <c r="C337" s="4" t="s">
        <v>8853</v>
      </c>
      <c r="D337" s="4" t="str">
        <f t="shared" si="5"/>
        <v>ASUS</v>
      </c>
      <c r="E337" s="4" t="s">
        <v>8855</v>
      </c>
      <c r="F337" s="14" t="s">
        <v>8877</v>
      </c>
      <c r="G337" s="9">
        <v>1</v>
      </c>
      <c r="H337" s="1">
        <v>36.56</v>
      </c>
      <c r="I337" s="1">
        <v>36.56</v>
      </c>
      <c r="J337" s="1">
        <v>0.56999999999999995</v>
      </c>
      <c r="K337" s="3">
        <v>1313</v>
      </c>
      <c r="L337" s="13">
        <v>2550</v>
      </c>
      <c r="M337" s="49">
        <v>158.4</v>
      </c>
      <c r="N337" s="1">
        <v>443.5</v>
      </c>
      <c r="O337" s="3">
        <v>46</v>
      </c>
      <c r="P337" s="11" t="s">
        <v>2276</v>
      </c>
      <c r="Q337" s="3">
        <v>12</v>
      </c>
      <c r="R337" s="3">
        <v>192</v>
      </c>
      <c r="S337" s="22">
        <v>21</v>
      </c>
      <c r="T337" s="9">
        <v>220</v>
      </c>
      <c r="U337" s="14" t="s">
        <v>527</v>
      </c>
      <c r="V337" s="12">
        <v>4</v>
      </c>
      <c r="W337" s="75">
        <v>16</v>
      </c>
      <c r="X337" s="76">
        <v>16</v>
      </c>
      <c r="Y337" s="9">
        <v>1412.95</v>
      </c>
      <c r="Z337" s="3">
        <v>1499</v>
      </c>
      <c r="AA337" s="17" t="s">
        <v>2118</v>
      </c>
      <c r="AB337" s="18" t="s">
        <v>2117</v>
      </c>
      <c r="AC337" s="46" cm="1">
        <f t="array" ref="AC337">(SUMPRODUCT((H337:O337/H$9:O$9)^H$7:O$7*H$2:O$2)+SUMPRODUCT((Q337:T337/Q$9:T$9)^Q$7:T$7*Q$2:T$2))*(0.8^(1-G337))*AC$9</f>
        <v>2.2010013369038552</v>
      </c>
      <c r="AD337" s="48" cm="1">
        <f t="array" ref="AD337">(SUMPRODUCT((H337:O337/H$9:O$9)^H$7:O$7*H$3:O$3)+SUMPRODUCT((Q337:T337/Q$9:T$9)^Q$7:T$7*Q$3:T$3))*(0.1^(1-G337))*AD$9</f>
        <v>2.9620129203308272</v>
      </c>
      <c r="AE337" s="48" cm="1">
        <f t="array" ref="AE337">(SUMPRODUCT((H337:O337/H$9:O$9)^H$7:O$7*H$4:O$4)+SUMPRODUCT((Q337:T337/Q$9:T$9)^Q$7:T$7*Q$4:T$4))*AE$9</f>
        <v>2.6270030116080911</v>
      </c>
      <c r="AF337" s="47" cm="1">
        <f t="array" ref="AF337">(SUMPRODUCT((H337:O337/H$9:O$9)^H$7:O$7*H$5:O$5)+SUMPRODUCT((Q337:T337/Q$9:T$9)^Q$7:T$7*Q$5:T$5))*AF$9</f>
        <v>2.3965746153592318</v>
      </c>
      <c r="AG337" s="50" cm="1">
        <f t="array" ref="AG337">SUMPRODUCT(AC337:AF337 * AC$3:AF$3) / SUM(AC$3:AF$3)</f>
        <v>2.703714615739651</v>
      </c>
    </row>
    <row r="338" spans="1:33" x14ac:dyDescent="0.25">
      <c r="A338" s="81" t="s">
        <v>2114</v>
      </c>
      <c r="B338" s="20" t="s">
        <v>2116</v>
      </c>
      <c r="C338" s="4" t="s">
        <v>8853</v>
      </c>
      <c r="D338" s="4" t="str">
        <f t="shared" si="5"/>
        <v>ASUS</v>
      </c>
      <c r="E338" s="4" t="s">
        <v>8855</v>
      </c>
      <c r="F338" s="14" t="s">
        <v>8877</v>
      </c>
      <c r="G338" s="9">
        <v>1</v>
      </c>
      <c r="H338" s="1">
        <v>35.909999999999997</v>
      </c>
      <c r="I338" s="1">
        <v>35.909999999999997</v>
      </c>
      <c r="J338" s="1">
        <v>0.56000000000000005</v>
      </c>
      <c r="K338" s="3">
        <v>1313</v>
      </c>
      <c r="L338" s="13">
        <v>2505</v>
      </c>
      <c r="M338" s="49">
        <v>158.4</v>
      </c>
      <c r="N338" s="1">
        <v>443.5</v>
      </c>
      <c r="O338" s="3">
        <v>46</v>
      </c>
      <c r="P338" s="11" t="s">
        <v>2276</v>
      </c>
      <c r="Q338" s="3">
        <v>12</v>
      </c>
      <c r="R338" s="3">
        <v>192</v>
      </c>
      <c r="S338" s="22">
        <v>21</v>
      </c>
      <c r="T338" s="9">
        <v>220</v>
      </c>
      <c r="U338" s="14" t="s">
        <v>527</v>
      </c>
      <c r="V338" s="12">
        <v>4</v>
      </c>
      <c r="W338" s="75">
        <v>16</v>
      </c>
      <c r="X338" s="76">
        <v>16</v>
      </c>
      <c r="Y338" s="9">
        <v>1104.92</v>
      </c>
      <c r="Z338" s="3">
        <v>1721.44</v>
      </c>
      <c r="AA338" s="17" t="s">
        <v>2115</v>
      </c>
      <c r="AB338" s="18" t="s">
        <v>2114</v>
      </c>
      <c r="AC338" s="46" cm="1">
        <f t="array" ref="AC338">(SUMPRODUCT((H338:O338/H$9:O$9)^H$7:O$7*H$2:O$2)+SUMPRODUCT((Q338:T338/Q$9:T$9)^Q$7:T$7*Q$2:T$2))*(0.8^(1-G338))*AC$9</f>
        <v>2.1919154409202921</v>
      </c>
      <c r="AD338" s="48" cm="1">
        <f t="array" ref="AD338">(SUMPRODUCT((H338:O338/H$9:O$9)^H$7:O$7*H$3:O$3)+SUMPRODUCT((Q338:T338/Q$9:T$9)^Q$7:T$7*Q$3:T$3))*(0.1^(1-G338))*AD$9</f>
        <v>2.9259145532453892</v>
      </c>
      <c r="AE338" s="48" cm="1">
        <f t="array" ref="AE338">(SUMPRODUCT((H338:O338/H$9:O$9)^H$7:O$7*H$4:O$4)+SUMPRODUCT((Q338:T338/Q$9:T$9)^Q$7:T$7*Q$4:T$4))*AE$9</f>
        <v>2.5981260240301007</v>
      </c>
      <c r="AF338" s="47" cm="1">
        <f t="array" ref="AF338">(SUMPRODUCT((H338:O338/H$9:O$9)^H$7:O$7*H$5:O$5)+SUMPRODUCT((Q338:T338/Q$9:T$9)^Q$7:T$7*Q$5:T$5))*AF$9</f>
        <v>2.3772535873514076</v>
      </c>
      <c r="AG338" s="50" cm="1">
        <f t="array" ref="AG338">SUMPRODUCT(AC338:AF338 * AC$3:AF$3) / SUM(AC$3:AF$3)</f>
        <v>2.675716925851622</v>
      </c>
    </row>
    <row r="339" spans="1:33" x14ac:dyDescent="0.25">
      <c r="A339" s="81" t="s">
        <v>2042</v>
      </c>
      <c r="B339" s="20" t="s">
        <v>2044</v>
      </c>
      <c r="C339" s="4" t="s">
        <v>8853</v>
      </c>
      <c r="D339" s="4" t="str">
        <f t="shared" si="5"/>
        <v>ASUS</v>
      </c>
      <c r="E339" s="4" t="s">
        <v>8855</v>
      </c>
      <c r="F339" s="14" t="s">
        <v>8877</v>
      </c>
      <c r="G339" s="9">
        <v>1</v>
      </c>
      <c r="H339" s="1">
        <v>36.56</v>
      </c>
      <c r="I339" s="1">
        <v>36.56</v>
      </c>
      <c r="J339" s="1">
        <v>0.56999999999999995</v>
      </c>
      <c r="K339" s="3">
        <v>1313</v>
      </c>
      <c r="L339" s="13">
        <v>2550</v>
      </c>
      <c r="M339" s="49">
        <v>158.4</v>
      </c>
      <c r="N339" s="1">
        <v>443.5</v>
      </c>
      <c r="O339" s="3">
        <v>46</v>
      </c>
      <c r="P339" s="11" t="s">
        <v>2276</v>
      </c>
      <c r="Q339" s="3">
        <v>12</v>
      </c>
      <c r="R339" s="3">
        <v>192</v>
      </c>
      <c r="S339" s="22">
        <v>21</v>
      </c>
      <c r="T339" s="9">
        <v>220</v>
      </c>
      <c r="U339" s="14" t="s">
        <v>1795</v>
      </c>
      <c r="V339" s="12">
        <v>4</v>
      </c>
      <c r="W339" s="75">
        <v>16</v>
      </c>
      <c r="X339" s="76">
        <v>16</v>
      </c>
      <c r="Y339" s="9">
        <v>790.4</v>
      </c>
      <c r="Z339" s="3">
        <v>1216.75</v>
      </c>
      <c r="AA339" s="17" t="s">
        <v>2043</v>
      </c>
      <c r="AB339" s="18" t="s">
        <v>2042</v>
      </c>
      <c r="AC339" s="46" cm="1">
        <f t="array" ref="AC339">(SUMPRODUCT((H339:O339/H$9:O$9)^H$7:O$7*H$2:O$2)+SUMPRODUCT((Q339:T339/Q$9:T$9)^Q$7:T$7*Q$2:T$2))*(0.8^(1-G339))*AC$9</f>
        <v>2.2010013369038552</v>
      </c>
      <c r="AD339" s="48" cm="1">
        <f t="array" ref="AD339">(SUMPRODUCT((H339:O339/H$9:O$9)^H$7:O$7*H$3:O$3)+SUMPRODUCT((Q339:T339/Q$9:T$9)^Q$7:T$7*Q$3:T$3))*(0.1^(1-G339))*AD$9</f>
        <v>2.9620129203308272</v>
      </c>
      <c r="AE339" s="48" cm="1">
        <f t="array" ref="AE339">(SUMPRODUCT((H339:O339/H$9:O$9)^H$7:O$7*H$4:O$4)+SUMPRODUCT((Q339:T339/Q$9:T$9)^Q$7:T$7*Q$4:T$4))*AE$9</f>
        <v>2.6270030116080911</v>
      </c>
      <c r="AF339" s="47" cm="1">
        <f t="array" ref="AF339">(SUMPRODUCT((H339:O339/H$9:O$9)^H$7:O$7*H$5:O$5)+SUMPRODUCT((Q339:T339/Q$9:T$9)^Q$7:T$7*Q$5:T$5))*AF$9</f>
        <v>2.3965746153592318</v>
      </c>
      <c r="AG339" s="50" cm="1">
        <f t="array" ref="AG339">SUMPRODUCT(AC339:AF339 * AC$3:AF$3) / SUM(AC$3:AF$3)</f>
        <v>2.703714615739651</v>
      </c>
    </row>
    <row r="340" spans="1:33" x14ac:dyDescent="0.25">
      <c r="A340" s="81" t="s">
        <v>2015</v>
      </c>
      <c r="B340" s="20" t="s">
        <v>2017</v>
      </c>
      <c r="C340" s="4" t="s">
        <v>8853</v>
      </c>
      <c r="D340" s="4" t="str">
        <f t="shared" si="5"/>
        <v>ASUS</v>
      </c>
      <c r="E340" s="4" t="s">
        <v>8855</v>
      </c>
      <c r="F340" s="14" t="s">
        <v>8877</v>
      </c>
      <c r="G340" s="9">
        <v>1</v>
      </c>
      <c r="H340" s="1">
        <v>36.770000000000003</v>
      </c>
      <c r="I340" s="1">
        <v>36.770000000000003</v>
      </c>
      <c r="J340" s="1">
        <v>0.56999999999999995</v>
      </c>
      <c r="K340" s="3">
        <v>1313</v>
      </c>
      <c r="L340" s="13">
        <v>2565</v>
      </c>
      <c r="M340" s="49">
        <v>158.4</v>
      </c>
      <c r="N340" s="1">
        <v>443.5</v>
      </c>
      <c r="O340" s="3">
        <v>46</v>
      </c>
      <c r="P340" s="11" t="s">
        <v>2276</v>
      </c>
      <c r="Q340" s="3">
        <v>12</v>
      </c>
      <c r="R340" s="3">
        <v>192</v>
      </c>
      <c r="S340" s="22">
        <v>21</v>
      </c>
      <c r="T340" s="9">
        <v>220</v>
      </c>
      <c r="U340" s="14" t="s">
        <v>527</v>
      </c>
      <c r="V340" s="12">
        <v>4</v>
      </c>
      <c r="W340" s="75">
        <v>16</v>
      </c>
      <c r="X340" s="76">
        <v>16</v>
      </c>
      <c r="Y340" s="9">
        <v>822.53</v>
      </c>
      <c r="Z340" s="3">
        <v>1496.31</v>
      </c>
      <c r="AA340" s="17" t="s">
        <v>2016</v>
      </c>
      <c r="AB340" s="18" t="s">
        <v>2015</v>
      </c>
      <c r="AC340" s="46" cm="1">
        <f t="array" ref="AC340">(SUMPRODUCT((H340:O340/H$9:O$9)^H$7:O$7*H$2:O$2)+SUMPRODUCT((Q340:T340/Q$9:T$9)^Q$7:T$7*Q$2:T$2))*(0.8^(1-G340))*AC$9</f>
        <v>2.2039904463933491</v>
      </c>
      <c r="AD340" s="48" cm="1">
        <f t="array" ref="AD340">(SUMPRODUCT((H340:O340/H$9:O$9)^H$7:O$7*H$3:O$3)+SUMPRODUCT((Q340:T340/Q$9:T$9)^Q$7:T$7*Q$3:T$3))*(0.1^(1-G340))*AD$9</f>
        <v>2.9728237161352227</v>
      </c>
      <c r="AE340" s="48" cm="1">
        <f t="array" ref="AE340">(SUMPRODUCT((H340:O340/H$9:O$9)^H$7:O$7*H$4:O$4)+SUMPRODUCT((Q340:T340/Q$9:T$9)^Q$7:T$7*Q$4:T$4))*AE$9</f>
        <v>2.6304000310126963</v>
      </c>
      <c r="AF340" s="47" cm="1">
        <f t="array" ref="AF340">(SUMPRODUCT((H340:O340/H$9:O$9)^H$7:O$7*H$5:O$5)+SUMPRODUCT((Q340:T340/Q$9:T$9)^Q$7:T$7*Q$5:T$5))*AF$9</f>
        <v>2.4028316962173326</v>
      </c>
      <c r="AG340" s="50" cm="1">
        <f t="array" ref="AG340">SUMPRODUCT(AC340:AF340 * AC$3:AF$3) / SUM(AC$3:AF$3)</f>
        <v>2.7116390917338702</v>
      </c>
    </row>
    <row r="341" spans="1:33" x14ac:dyDescent="0.25">
      <c r="A341" s="81" t="s">
        <v>2012</v>
      </c>
      <c r="B341" s="20" t="s">
        <v>2014</v>
      </c>
      <c r="C341" s="4" t="s">
        <v>8853</v>
      </c>
      <c r="D341" s="4" t="str">
        <f t="shared" si="5"/>
        <v>ASUS</v>
      </c>
      <c r="E341" s="4" t="s">
        <v>8855</v>
      </c>
      <c r="F341" s="14" t="s">
        <v>8877</v>
      </c>
      <c r="G341" s="9">
        <v>1</v>
      </c>
      <c r="H341" s="1">
        <v>35.909999999999997</v>
      </c>
      <c r="I341" s="1">
        <v>35.909999999999997</v>
      </c>
      <c r="J341" s="1">
        <v>0.56000000000000005</v>
      </c>
      <c r="K341" s="3">
        <v>1313</v>
      </c>
      <c r="L341" s="13">
        <v>2505</v>
      </c>
      <c r="M341" s="49">
        <v>158.4</v>
      </c>
      <c r="N341" s="1">
        <v>443.5</v>
      </c>
      <c r="O341" s="3">
        <v>46</v>
      </c>
      <c r="P341" s="11" t="s">
        <v>2276</v>
      </c>
      <c r="Q341" s="3">
        <v>12</v>
      </c>
      <c r="R341" s="3">
        <v>192</v>
      </c>
      <c r="S341" s="22">
        <v>21</v>
      </c>
      <c r="T341" s="9">
        <v>220</v>
      </c>
      <c r="U341" s="14" t="s">
        <v>527</v>
      </c>
      <c r="V341" s="12">
        <v>4</v>
      </c>
      <c r="W341" s="75">
        <v>16</v>
      </c>
      <c r="X341" s="76">
        <v>16</v>
      </c>
      <c r="Y341" s="9">
        <v>1459.18</v>
      </c>
      <c r="Z341" s="3">
        <v>1459.18</v>
      </c>
      <c r="AA341" s="17" t="s">
        <v>2013</v>
      </c>
      <c r="AB341" s="18" t="s">
        <v>2012</v>
      </c>
      <c r="AC341" s="46" cm="1">
        <f t="array" ref="AC341">(SUMPRODUCT((H341:O341/H$9:O$9)^H$7:O$7*H$2:O$2)+SUMPRODUCT((Q341:T341/Q$9:T$9)^Q$7:T$7*Q$2:T$2))*(0.8^(1-G341))*AC$9</f>
        <v>2.1919154409202921</v>
      </c>
      <c r="AD341" s="48" cm="1">
        <f t="array" ref="AD341">(SUMPRODUCT((H341:O341/H$9:O$9)^H$7:O$7*H$3:O$3)+SUMPRODUCT((Q341:T341/Q$9:T$9)^Q$7:T$7*Q$3:T$3))*(0.1^(1-G341))*AD$9</f>
        <v>2.9259145532453892</v>
      </c>
      <c r="AE341" s="48" cm="1">
        <f t="array" ref="AE341">(SUMPRODUCT((H341:O341/H$9:O$9)^H$7:O$7*H$4:O$4)+SUMPRODUCT((Q341:T341/Q$9:T$9)^Q$7:T$7*Q$4:T$4))*AE$9</f>
        <v>2.5981260240301007</v>
      </c>
      <c r="AF341" s="47" cm="1">
        <f t="array" ref="AF341">(SUMPRODUCT((H341:O341/H$9:O$9)^H$7:O$7*H$5:O$5)+SUMPRODUCT((Q341:T341/Q$9:T$9)^Q$7:T$7*Q$5:T$5))*AF$9</f>
        <v>2.3772535873514076</v>
      </c>
      <c r="AG341" s="50" cm="1">
        <f t="array" ref="AG341">SUMPRODUCT(AC341:AF341 * AC$3:AF$3) / SUM(AC$3:AF$3)</f>
        <v>2.675716925851622</v>
      </c>
    </row>
    <row r="342" spans="1:33" x14ac:dyDescent="0.25">
      <c r="A342" s="81" t="s">
        <v>1922</v>
      </c>
      <c r="B342" s="20" t="s">
        <v>1924</v>
      </c>
      <c r="C342" s="4" t="s">
        <v>8853</v>
      </c>
      <c r="D342" s="4" t="str">
        <f t="shared" si="5"/>
        <v>ASUS</v>
      </c>
      <c r="E342" s="4" t="s">
        <v>8855</v>
      </c>
      <c r="F342" s="14" t="s">
        <v>8877</v>
      </c>
      <c r="G342" s="9">
        <v>1</v>
      </c>
      <c r="H342" s="1">
        <v>38.28</v>
      </c>
      <c r="I342" s="1">
        <v>38.28</v>
      </c>
      <c r="J342" s="1">
        <v>0.6</v>
      </c>
      <c r="K342" s="3">
        <v>1313</v>
      </c>
      <c r="L342" s="13">
        <v>2670</v>
      </c>
      <c r="M342" s="49">
        <v>158.4</v>
      </c>
      <c r="N342" s="1">
        <v>443.5</v>
      </c>
      <c r="O342" s="3">
        <v>46</v>
      </c>
      <c r="P342" s="11" t="s">
        <v>2276</v>
      </c>
      <c r="Q342" s="3">
        <v>12</v>
      </c>
      <c r="R342" s="3">
        <v>192</v>
      </c>
      <c r="S342" s="22">
        <v>21</v>
      </c>
      <c r="T342" s="9">
        <v>220</v>
      </c>
      <c r="U342" s="14" t="s">
        <v>527</v>
      </c>
      <c r="V342" s="12">
        <v>4</v>
      </c>
      <c r="W342" s="75">
        <v>16</v>
      </c>
      <c r="X342" s="76">
        <v>16</v>
      </c>
      <c r="Y342" s="9">
        <v>911</v>
      </c>
      <c r="Z342" s="3">
        <v>1137</v>
      </c>
      <c r="AA342" s="17" t="s">
        <v>1923</v>
      </c>
      <c r="AB342" s="18" t="s">
        <v>1922</v>
      </c>
      <c r="AC342" s="46" cm="1">
        <f t="array" ref="AC342">(SUMPRODUCT((H342:O342/H$9:O$9)^H$7:O$7*H$2:O$2)+SUMPRODUCT((Q342:T342/Q$9:T$9)^Q$7:T$7*Q$2:T$2))*(0.8^(1-G342))*AC$9</f>
        <v>2.2250810886641088</v>
      </c>
      <c r="AD342" s="48" cm="1">
        <f t="array" ref="AD342">(SUMPRODUCT((H342:O342/H$9:O$9)^H$7:O$7*H$3:O$3)+SUMPRODUCT((Q342:T342/Q$9:T$9)^Q$7:T$7*Q$3:T$3))*(0.1^(1-G342))*AD$9</f>
        <v>3.0580694479930979</v>
      </c>
      <c r="AE342" s="48" cm="1">
        <f t="array" ref="AE342">(SUMPRODUCT((H342:O342/H$9:O$9)^H$7:O$7*H$4:O$4)+SUMPRODUCT((Q342:T342/Q$9:T$9)^Q$7:T$7*Q$4:T$4))*AE$9</f>
        <v>2.7094393655361513</v>
      </c>
      <c r="AF342" s="47" cm="1">
        <f t="array" ref="AF342">(SUMPRODUCT((H342:O342/H$9:O$9)^H$7:O$7*H$5:O$5)+SUMPRODUCT((Q342:T342/Q$9:T$9)^Q$7:T$7*Q$5:T$5))*AF$9</f>
        <v>2.4475699209807997</v>
      </c>
      <c r="AG342" s="50" cm="1">
        <f t="array" ref="AG342">SUMPRODUCT(AC342:AF342 * AC$3:AF$3) / SUM(AC$3:AF$3)</f>
        <v>2.7787514577743337</v>
      </c>
    </row>
    <row r="343" spans="1:33" x14ac:dyDescent="0.25">
      <c r="A343" s="81" t="s">
        <v>1919</v>
      </c>
      <c r="B343" s="20" t="s">
        <v>1921</v>
      </c>
      <c r="C343" s="4" t="s">
        <v>8853</v>
      </c>
      <c r="D343" s="4" t="str">
        <f t="shared" si="5"/>
        <v>ASUS</v>
      </c>
      <c r="E343" s="4" t="s">
        <v>8855</v>
      </c>
      <c r="F343" s="14" t="s">
        <v>8877</v>
      </c>
      <c r="G343" s="9">
        <v>1</v>
      </c>
      <c r="H343" s="1">
        <v>35.909999999999997</v>
      </c>
      <c r="I343" s="1">
        <v>35.909999999999997</v>
      </c>
      <c r="J343" s="1">
        <v>0.56000000000000005</v>
      </c>
      <c r="K343" s="3">
        <v>1313</v>
      </c>
      <c r="L343" s="13">
        <v>2505</v>
      </c>
      <c r="M343" s="49">
        <v>158.4</v>
      </c>
      <c r="N343" s="1">
        <v>443.5</v>
      </c>
      <c r="O343" s="3">
        <v>46</v>
      </c>
      <c r="P343" s="11" t="s">
        <v>2276</v>
      </c>
      <c r="Q343" s="3">
        <v>12</v>
      </c>
      <c r="R343" s="3">
        <v>192</v>
      </c>
      <c r="S343" s="22">
        <v>21</v>
      </c>
      <c r="T343" s="9">
        <v>220</v>
      </c>
      <c r="U343" s="14" t="s">
        <v>527</v>
      </c>
      <c r="V343" s="12">
        <v>4</v>
      </c>
      <c r="W343" s="75">
        <v>16</v>
      </c>
      <c r="X343" s="76">
        <v>16</v>
      </c>
      <c r="Y343" s="9">
        <v>955</v>
      </c>
      <c r="Z343" s="3">
        <v>1670.61</v>
      </c>
      <c r="AA343" s="17" t="s">
        <v>1920</v>
      </c>
      <c r="AB343" s="18" t="s">
        <v>1919</v>
      </c>
      <c r="AC343" s="46" cm="1">
        <f t="array" ref="AC343">(SUMPRODUCT((H343:O343/H$9:O$9)^H$7:O$7*H$2:O$2)+SUMPRODUCT((Q343:T343/Q$9:T$9)^Q$7:T$7*Q$2:T$2))*(0.8^(1-G343))*AC$9</f>
        <v>2.1919154409202921</v>
      </c>
      <c r="AD343" s="48" cm="1">
        <f t="array" ref="AD343">(SUMPRODUCT((H343:O343/H$9:O$9)^H$7:O$7*H$3:O$3)+SUMPRODUCT((Q343:T343/Q$9:T$9)^Q$7:T$7*Q$3:T$3))*(0.1^(1-G343))*AD$9</f>
        <v>2.9259145532453892</v>
      </c>
      <c r="AE343" s="48" cm="1">
        <f t="array" ref="AE343">(SUMPRODUCT((H343:O343/H$9:O$9)^H$7:O$7*H$4:O$4)+SUMPRODUCT((Q343:T343/Q$9:T$9)^Q$7:T$7*Q$4:T$4))*AE$9</f>
        <v>2.5981260240301007</v>
      </c>
      <c r="AF343" s="47" cm="1">
        <f t="array" ref="AF343">(SUMPRODUCT((H343:O343/H$9:O$9)^H$7:O$7*H$5:O$5)+SUMPRODUCT((Q343:T343/Q$9:T$9)^Q$7:T$7*Q$5:T$5))*AF$9</f>
        <v>2.3772535873514076</v>
      </c>
      <c r="AG343" s="50" cm="1">
        <f t="array" ref="AG343">SUMPRODUCT(AC343:AF343 * AC$3:AF$3) / SUM(AC$3:AF$3)</f>
        <v>2.675716925851622</v>
      </c>
    </row>
    <row r="344" spans="1:33" x14ac:dyDescent="0.25">
      <c r="A344" s="81" t="s">
        <v>1796</v>
      </c>
      <c r="B344" s="20" t="s">
        <v>1798</v>
      </c>
      <c r="C344" s="4" t="s">
        <v>8853</v>
      </c>
      <c r="D344" s="4" t="str">
        <f t="shared" si="5"/>
        <v>ASUS</v>
      </c>
      <c r="E344" s="4" t="s">
        <v>8855</v>
      </c>
      <c r="F344" s="14" t="s">
        <v>8877</v>
      </c>
      <c r="G344" s="9">
        <v>1</v>
      </c>
      <c r="H344" s="1">
        <v>37.200000000000003</v>
      </c>
      <c r="I344" s="1">
        <v>37.200000000000003</v>
      </c>
      <c r="J344" s="1">
        <v>0.57999999999999996</v>
      </c>
      <c r="K344" s="3">
        <v>1313</v>
      </c>
      <c r="L344" s="13">
        <v>2595</v>
      </c>
      <c r="M344" s="49">
        <v>158.4</v>
      </c>
      <c r="N344" s="1">
        <v>443.5</v>
      </c>
      <c r="O344" s="3">
        <v>46</v>
      </c>
      <c r="P344" s="11" t="s">
        <v>2276</v>
      </c>
      <c r="Q344" s="3">
        <v>12</v>
      </c>
      <c r="R344" s="3">
        <v>192</v>
      </c>
      <c r="S344" s="22">
        <v>21</v>
      </c>
      <c r="T344" s="9">
        <v>220</v>
      </c>
      <c r="U344" s="14" t="s">
        <v>1795</v>
      </c>
      <c r="V344" s="12">
        <v>4</v>
      </c>
      <c r="W344" s="75">
        <v>16</v>
      </c>
      <c r="X344" s="76">
        <v>16</v>
      </c>
      <c r="Y344" s="9">
        <v>917.58</v>
      </c>
      <c r="Z344" s="3">
        <v>1615.87</v>
      </c>
      <c r="AA344" s="17" t="s">
        <v>1797</v>
      </c>
      <c r="AB344" s="18" t="s">
        <v>1796</v>
      </c>
      <c r="AC344" s="46" cm="1">
        <f t="array" ref="AC344">(SUMPRODUCT((H344:O344/H$9:O$9)^H$7:O$7*H$2:O$2)+SUMPRODUCT((Q344:T344/Q$9:T$9)^Q$7:T$7*Q$2:T$2))*(0.8^(1-G344))*AC$9</f>
        <v>2.2100173238415031</v>
      </c>
      <c r="AD344" s="48" cm="1">
        <f t="array" ref="AD344">(SUMPRODUCT((H344:O344/H$9:O$9)^H$7:O$7*H$3:O$3)+SUMPRODUCT((Q344:T344/Q$9:T$9)^Q$7:T$7*Q$3:T$3))*(0.1^(1-G344))*AD$9</f>
        <v>2.9975302108502349</v>
      </c>
      <c r="AE344" s="48" cm="1">
        <f t="array" ref="AE344">(SUMPRODUCT((H344:O344/H$9:O$9)^H$7:O$7*H$4:O$4)+SUMPRODUCT((Q344:T344/Q$9:T$9)^Q$7:T$7*Q$4:T$4))*AE$9</f>
        <v>2.6556354956620054</v>
      </c>
      <c r="AF344" s="47" cm="1">
        <f t="array" ref="AF344">(SUMPRODUCT((H344:O344/H$9:O$9)^H$7:O$7*H$5:O$5)+SUMPRODUCT((Q344:T344/Q$9:T$9)^Q$7:T$7*Q$5:T$5))*AF$9</f>
        <v>2.4155964700333286</v>
      </c>
      <c r="AG344" s="50" cm="1">
        <f t="array" ref="AG344">SUMPRODUCT(AC344:AF344 * AC$3:AF$3) / SUM(AC$3:AF$3)</f>
        <v>2.7313008045250471</v>
      </c>
    </row>
    <row r="345" spans="1:33" x14ac:dyDescent="0.25">
      <c r="A345" s="81" t="s">
        <v>1792</v>
      </c>
      <c r="B345" s="20" t="s">
        <v>1794</v>
      </c>
      <c r="C345" s="4" t="s">
        <v>8853</v>
      </c>
      <c r="D345" s="4" t="str">
        <f t="shared" si="5"/>
        <v>ASUS</v>
      </c>
      <c r="E345" s="4" t="s">
        <v>8855</v>
      </c>
      <c r="F345" s="14" t="s">
        <v>8877</v>
      </c>
      <c r="G345" s="9">
        <v>1</v>
      </c>
      <c r="H345" s="1">
        <v>35.909999999999997</v>
      </c>
      <c r="I345" s="1">
        <v>35.909999999999997</v>
      </c>
      <c r="J345" s="1">
        <v>0.56000000000000005</v>
      </c>
      <c r="K345" s="3">
        <v>1313</v>
      </c>
      <c r="L345" s="13">
        <v>2505</v>
      </c>
      <c r="M345" s="49">
        <v>158.4</v>
      </c>
      <c r="N345" s="1">
        <v>443.5</v>
      </c>
      <c r="O345" s="3">
        <v>46</v>
      </c>
      <c r="P345" s="11" t="s">
        <v>2276</v>
      </c>
      <c r="Q345" s="3">
        <v>12</v>
      </c>
      <c r="R345" s="3">
        <v>192</v>
      </c>
      <c r="S345" s="22">
        <v>21</v>
      </c>
      <c r="T345" s="9">
        <v>220</v>
      </c>
      <c r="U345" s="14" t="s">
        <v>1795</v>
      </c>
      <c r="V345" s="12">
        <v>4</v>
      </c>
      <c r="W345" s="75">
        <v>16</v>
      </c>
      <c r="X345" s="76">
        <v>16</v>
      </c>
      <c r="Y345" s="9">
        <v>1322.43</v>
      </c>
      <c r="Z345" s="3">
        <v>1322.43</v>
      </c>
      <c r="AA345" s="17" t="s">
        <v>1793</v>
      </c>
      <c r="AB345" s="18" t="s">
        <v>1792</v>
      </c>
      <c r="AC345" s="46" cm="1">
        <f t="array" ref="AC345">(SUMPRODUCT((H345:O345/H$9:O$9)^H$7:O$7*H$2:O$2)+SUMPRODUCT((Q345:T345/Q$9:T$9)^Q$7:T$7*Q$2:T$2))*(0.8^(1-G345))*AC$9</f>
        <v>2.1919154409202921</v>
      </c>
      <c r="AD345" s="48" cm="1">
        <f t="array" ref="AD345">(SUMPRODUCT((H345:O345/H$9:O$9)^H$7:O$7*H$3:O$3)+SUMPRODUCT((Q345:T345/Q$9:T$9)^Q$7:T$7*Q$3:T$3))*(0.1^(1-G345))*AD$9</f>
        <v>2.9259145532453892</v>
      </c>
      <c r="AE345" s="48" cm="1">
        <f t="array" ref="AE345">(SUMPRODUCT((H345:O345/H$9:O$9)^H$7:O$7*H$4:O$4)+SUMPRODUCT((Q345:T345/Q$9:T$9)^Q$7:T$7*Q$4:T$4))*AE$9</f>
        <v>2.5981260240301007</v>
      </c>
      <c r="AF345" s="47" cm="1">
        <f t="array" ref="AF345">(SUMPRODUCT((H345:O345/H$9:O$9)^H$7:O$7*H$5:O$5)+SUMPRODUCT((Q345:T345/Q$9:T$9)^Q$7:T$7*Q$5:T$5))*AF$9</f>
        <v>2.3772535873514076</v>
      </c>
      <c r="AG345" s="50" cm="1">
        <f t="array" ref="AG345">SUMPRODUCT(AC345:AF345 * AC$3:AF$3) / SUM(AC$3:AF$3)</f>
        <v>2.675716925851622</v>
      </c>
    </row>
    <row r="346" spans="1:33" x14ac:dyDescent="0.25">
      <c r="A346" s="81" t="s">
        <v>1673</v>
      </c>
      <c r="B346" s="20" t="s">
        <v>1675</v>
      </c>
      <c r="C346" s="4" t="s">
        <v>8853</v>
      </c>
      <c r="D346" s="4" t="str">
        <f t="shared" si="5"/>
        <v>GIGABYTE</v>
      </c>
      <c r="E346" s="4" t="s">
        <v>8855</v>
      </c>
      <c r="F346" s="14" t="s">
        <v>8877</v>
      </c>
      <c r="G346" s="9">
        <v>1</v>
      </c>
      <c r="H346" s="1">
        <v>38.06</v>
      </c>
      <c r="I346" s="1">
        <v>38.06</v>
      </c>
      <c r="J346" s="1">
        <v>0.59</v>
      </c>
      <c r="K346" s="3">
        <v>1313</v>
      </c>
      <c r="L346" s="13">
        <v>2655</v>
      </c>
      <c r="M346" s="49">
        <v>158.4</v>
      </c>
      <c r="N346" s="1">
        <v>443.5</v>
      </c>
      <c r="O346" s="3">
        <v>46</v>
      </c>
      <c r="P346" s="11" t="s">
        <v>2276</v>
      </c>
      <c r="Q346" s="3">
        <v>12</v>
      </c>
      <c r="R346" s="3">
        <v>192</v>
      </c>
      <c r="S346" s="22">
        <v>21</v>
      </c>
      <c r="T346" s="9">
        <v>220</v>
      </c>
      <c r="U346" s="14" t="s">
        <v>527</v>
      </c>
      <c r="V346" s="12">
        <v>4</v>
      </c>
      <c r="W346" s="75">
        <v>16</v>
      </c>
      <c r="X346" s="76">
        <v>16</v>
      </c>
      <c r="Y346" s="9">
        <v>1495.31</v>
      </c>
      <c r="Z346" s="3">
        <v>1495.31</v>
      </c>
      <c r="AA346" s="17" t="s">
        <v>1674</v>
      </c>
      <c r="AB346" s="18" t="s">
        <v>1673</v>
      </c>
      <c r="AC346" s="46" cm="1">
        <f t="array" ref="AC346">(SUMPRODUCT((H346:O346/H$9:O$9)^H$7:O$7*H$2:O$2)+SUMPRODUCT((Q346:T346/Q$9:T$9)^Q$7:T$7*Q$2:T$2))*(0.8^(1-G346))*AC$9</f>
        <v>2.2220502764283037</v>
      </c>
      <c r="AD346" s="48" cm="1">
        <f t="array" ref="AD346">(SUMPRODUCT((H346:O346/H$9:O$9)^H$7:O$7*H$3:O$3)+SUMPRODUCT((Q346:T346/Q$9:T$9)^Q$7:T$7*Q$3:T$3))*(0.1^(1-G346))*AD$9</f>
        <v>3.0442248840763</v>
      </c>
      <c r="AE346" s="48" cm="1">
        <f t="array" ref="AE346">(SUMPRODUCT((H346:O346/H$9:O$9)^H$7:O$7*H$4:O$4)+SUMPRODUCT((Q346:T346/Q$9:T$9)^Q$7:T$7*Q$4:T$4))*AE$9</f>
        <v>2.6877337886449029</v>
      </c>
      <c r="AF346" s="47" cm="1">
        <f t="array" ref="AF346">(SUMPRODUCT((H346:O346/H$9:O$9)^H$7:O$7*H$5:O$5)+SUMPRODUCT((Q346:T346/Q$9:T$9)^Q$7:T$7*Q$5:T$5))*AF$9</f>
        <v>2.4410784908353866</v>
      </c>
      <c r="AG346" s="50" cm="1">
        <f t="array" ref="AG346">SUMPRODUCT(AC346:AF346 * AC$3:AF$3) / SUM(AC$3:AF$3)</f>
        <v>2.7670612622135486</v>
      </c>
    </row>
    <row r="347" spans="1:33" x14ac:dyDescent="0.25">
      <c r="A347" s="81" t="s">
        <v>1484</v>
      </c>
      <c r="B347" s="20" t="s">
        <v>1486</v>
      </c>
      <c r="C347" s="4" t="s">
        <v>8853</v>
      </c>
      <c r="D347" s="4" t="str">
        <f t="shared" si="5"/>
        <v>GIGABYTE</v>
      </c>
      <c r="E347" s="4" t="s">
        <v>8855</v>
      </c>
      <c r="F347" s="14" t="s">
        <v>8877</v>
      </c>
      <c r="G347" s="9">
        <v>1</v>
      </c>
      <c r="H347" s="1">
        <v>36.770000000000003</v>
      </c>
      <c r="I347" s="1">
        <v>36.770000000000003</v>
      </c>
      <c r="J347" s="1">
        <v>0.56999999999999995</v>
      </c>
      <c r="K347" s="3">
        <v>1313</v>
      </c>
      <c r="L347" s="13">
        <v>2565</v>
      </c>
      <c r="M347" s="49">
        <v>158.4</v>
      </c>
      <c r="N347" s="1">
        <v>443.5</v>
      </c>
      <c r="O347" s="3">
        <v>46</v>
      </c>
      <c r="P347" s="11" t="s">
        <v>2276</v>
      </c>
      <c r="Q347" s="3">
        <v>12</v>
      </c>
      <c r="R347" s="3">
        <v>192</v>
      </c>
      <c r="S347" s="22">
        <v>21</v>
      </c>
      <c r="T347" s="9">
        <v>220</v>
      </c>
      <c r="U347" s="14" t="s">
        <v>527</v>
      </c>
      <c r="V347" s="12">
        <v>4</v>
      </c>
      <c r="W347" s="75">
        <v>16</v>
      </c>
      <c r="X347" s="76">
        <v>16</v>
      </c>
      <c r="Y347" s="9">
        <v>1456.87</v>
      </c>
      <c r="Z347" s="3">
        <v>1456.87</v>
      </c>
      <c r="AA347" s="17" t="s">
        <v>1485</v>
      </c>
      <c r="AB347" s="18" t="s">
        <v>1484</v>
      </c>
      <c r="AC347" s="46" cm="1">
        <f t="array" ref="AC347">(SUMPRODUCT((H347:O347/H$9:O$9)^H$7:O$7*H$2:O$2)+SUMPRODUCT((Q347:T347/Q$9:T$9)^Q$7:T$7*Q$2:T$2))*(0.8^(1-G347))*AC$9</f>
        <v>2.2039904463933491</v>
      </c>
      <c r="AD347" s="48" cm="1">
        <f t="array" ref="AD347">(SUMPRODUCT((H347:O347/H$9:O$9)^H$7:O$7*H$3:O$3)+SUMPRODUCT((Q347:T347/Q$9:T$9)^Q$7:T$7*Q$3:T$3))*(0.1^(1-G347))*AD$9</f>
        <v>2.9728237161352227</v>
      </c>
      <c r="AE347" s="48" cm="1">
        <f t="array" ref="AE347">(SUMPRODUCT((H347:O347/H$9:O$9)^H$7:O$7*H$4:O$4)+SUMPRODUCT((Q347:T347/Q$9:T$9)^Q$7:T$7*Q$4:T$4))*AE$9</f>
        <v>2.6304000310126963</v>
      </c>
      <c r="AF347" s="47" cm="1">
        <f t="array" ref="AF347">(SUMPRODUCT((H347:O347/H$9:O$9)^H$7:O$7*H$5:O$5)+SUMPRODUCT((Q347:T347/Q$9:T$9)^Q$7:T$7*Q$5:T$5))*AF$9</f>
        <v>2.4028316962173326</v>
      </c>
      <c r="AG347" s="50" cm="1">
        <f t="array" ref="AG347">SUMPRODUCT(AC347:AF347 * AC$3:AF$3) / SUM(AC$3:AF$3)</f>
        <v>2.7116390917338702</v>
      </c>
    </row>
    <row r="348" spans="1:33" x14ac:dyDescent="0.25">
      <c r="A348" s="81" t="s">
        <v>1481</v>
      </c>
      <c r="B348" s="20" t="s">
        <v>1483</v>
      </c>
      <c r="C348" s="4" t="s">
        <v>8853</v>
      </c>
      <c r="D348" s="4" t="str">
        <f t="shared" si="5"/>
        <v>GIGABYTE</v>
      </c>
      <c r="E348" s="4" t="s">
        <v>8855</v>
      </c>
      <c r="F348" s="14" t="s">
        <v>8877</v>
      </c>
      <c r="G348" s="9">
        <v>1</v>
      </c>
      <c r="H348" s="1">
        <v>36.340000000000003</v>
      </c>
      <c r="I348" s="1">
        <v>36.340000000000003</v>
      </c>
      <c r="J348" s="1">
        <v>0.56999999999999995</v>
      </c>
      <c r="K348" s="3">
        <v>1313</v>
      </c>
      <c r="L348" s="13">
        <v>2535</v>
      </c>
      <c r="M348" s="49">
        <v>158.4</v>
      </c>
      <c r="N348" s="1">
        <v>443.5</v>
      </c>
      <c r="O348" s="3">
        <v>46</v>
      </c>
      <c r="P348" s="11" t="s">
        <v>2276</v>
      </c>
      <c r="Q348" s="3">
        <v>12</v>
      </c>
      <c r="R348" s="3">
        <v>192</v>
      </c>
      <c r="S348" s="22">
        <v>21</v>
      </c>
      <c r="T348" s="9">
        <v>220</v>
      </c>
      <c r="U348" s="14" t="s">
        <v>527</v>
      </c>
      <c r="V348" s="12">
        <v>4</v>
      </c>
      <c r="W348" s="75">
        <v>16</v>
      </c>
      <c r="X348" s="76">
        <v>16</v>
      </c>
      <c r="Y348" s="9">
        <v>936.19</v>
      </c>
      <c r="Z348" s="3">
        <v>1337.31</v>
      </c>
      <c r="AA348" s="17" t="s">
        <v>1482</v>
      </c>
      <c r="AB348" s="18" t="s">
        <v>1481</v>
      </c>
      <c r="AC348" s="46" cm="1">
        <f t="array" ref="AC348">(SUMPRODUCT((H348:O348/H$9:O$9)^H$7:O$7*H$2:O$2)+SUMPRODUCT((Q348:T348/Q$9:T$9)^Q$7:T$7*Q$2:T$2))*(0.8^(1-G348))*AC$9</f>
        <v>2.1979565160418444</v>
      </c>
      <c r="AD348" s="48" cm="1">
        <f t="array" ref="AD348">(SUMPRODUCT((H348:O348/H$9:O$9)^H$7:O$7*H$3:O$3)+SUMPRODUCT((Q348:T348/Q$9:T$9)^Q$7:T$7*Q$3:T$3))*(0.1^(1-G348))*AD$9</f>
        <v>2.9506965336332325</v>
      </c>
      <c r="AE348" s="48" cm="1">
        <f t="array" ref="AE348">(SUMPRODUCT((H348:O348/H$9:O$9)^H$7:O$7*H$4:O$4)+SUMPRODUCT((Q348:T348/Q$9:T$9)^Q$7:T$7*Q$4:T$4))*AE$9</f>
        <v>2.6234421357220894</v>
      </c>
      <c r="AF348" s="47" cm="1">
        <f t="array" ref="AF348">(SUMPRODUCT((H348:O348/H$9:O$9)^H$7:O$7*H$5:O$5)+SUMPRODUCT((Q348:T348/Q$9:T$9)^Q$7:T$7*Q$5:T$5))*AF$9</f>
        <v>2.3900508059951822</v>
      </c>
      <c r="AG348" s="50" cm="1">
        <f t="array" ref="AG348">SUMPRODUCT(AC348:AF348 * AC$3:AF$3) / SUM(AC$3:AF$3)</f>
        <v>2.6954373096604218</v>
      </c>
    </row>
    <row r="349" spans="1:33" x14ac:dyDescent="0.25">
      <c r="A349" s="81" t="s">
        <v>1478</v>
      </c>
      <c r="B349" s="20" t="s">
        <v>1480</v>
      </c>
      <c r="C349" s="4" t="s">
        <v>8853</v>
      </c>
      <c r="D349" s="4" t="str">
        <f t="shared" si="5"/>
        <v>GIGABYTE</v>
      </c>
      <c r="E349" s="4" t="s">
        <v>8855</v>
      </c>
      <c r="F349" s="14" t="s">
        <v>8877</v>
      </c>
      <c r="G349" s="9">
        <v>1</v>
      </c>
      <c r="H349" s="1">
        <v>36.340000000000003</v>
      </c>
      <c r="I349" s="1">
        <v>36.340000000000003</v>
      </c>
      <c r="J349" s="1">
        <v>0.56999999999999995</v>
      </c>
      <c r="K349" s="3">
        <v>1313</v>
      </c>
      <c r="L349" s="13">
        <v>2535</v>
      </c>
      <c r="M349" s="49">
        <v>158.4</v>
      </c>
      <c r="N349" s="1">
        <v>443.5</v>
      </c>
      <c r="O349" s="3">
        <v>46</v>
      </c>
      <c r="P349" s="11" t="s">
        <v>2276</v>
      </c>
      <c r="Q349" s="3">
        <v>12</v>
      </c>
      <c r="R349" s="3">
        <v>192</v>
      </c>
      <c r="S349" s="22">
        <v>21</v>
      </c>
      <c r="T349" s="9">
        <v>220</v>
      </c>
      <c r="U349" s="14" t="s">
        <v>527</v>
      </c>
      <c r="V349" s="12">
        <v>4</v>
      </c>
      <c r="W349" s="75">
        <v>16</v>
      </c>
      <c r="X349" s="76">
        <v>16</v>
      </c>
      <c r="Y349" s="9">
        <v>1408.11</v>
      </c>
      <c r="Z349" s="3">
        <v>1408.11</v>
      </c>
      <c r="AA349" s="17" t="s">
        <v>1479</v>
      </c>
      <c r="AB349" s="18" t="s">
        <v>1478</v>
      </c>
      <c r="AC349" s="46" cm="1">
        <f t="array" ref="AC349">(SUMPRODUCT((H349:O349/H$9:O$9)^H$7:O$7*H$2:O$2)+SUMPRODUCT((Q349:T349/Q$9:T$9)^Q$7:T$7*Q$2:T$2))*(0.8^(1-G349))*AC$9</f>
        <v>2.1979565160418444</v>
      </c>
      <c r="AD349" s="48" cm="1">
        <f t="array" ref="AD349">(SUMPRODUCT((H349:O349/H$9:O$9)^H$7:O$7*H$3:O$3)+SUMPRODUCT((Q349:T349/Q$9:T$9)^Q$7:T$7*Q$3:T$3))*(0.1^(1-G349))*AD$9</f>
        <v>2.9506965336332325</v>
      </c>
      <c r="AE349" s="48" cm="1">
        <f t="array" ref="AE349">(SUMPRODUCT((H349:O349/H$9:O$9)^H$7:O$7*H$4:O$4)+SUMPRODUCT((Q349:T349/Q$9:T$9)^Q$7:T$7*Q$4:T$4))*AE$9</f>
        <v>2.6234421357220894</v>
      </c>
      <c r="AF349" s="47" cm="1">
        <f t="array" ref="AF349">(SUMPRODUCT((H349:O349/H$9:O$9)^H$7:O$7*H$5:O$5)+SUMPRODUCT((Q349:T349/Q$9:T$9)^Q$7:T$7*Q$5:T$5))*AF$9</f>
        <v>2.3900508059951822</v>
      </c>
      <c r="AG349" s="50" cm="1">
        <f t="array" ref="AG349">SUMPRODUCT(AC349:AF349 * AC$3:AF$3) / SUM(AC$3:AF$3)</f>
        <v>2.6954373096604218</v>
      </c>
    </row>
    <row r="350" spans="1:33" x14ac:dyDescent="0.25">
      <c r="A350" s="81" t="s">
        <v>1475</v>
      </c>
      <c r="B350" s="20" t="s">
        <v>1477</v>
      </c>
      <c r="C350" s="4" t="s">
        <v>8853</v>
      </c>
      <c r="D350" s="4" t="str">
        <f t="shared" si="5"/>
        <v>GIGABYTE</v>
      </c>
      <c r="E350" s="4" t="s">
        <v>8855</v>
      </c>
      <c r="F350" s="14" t="s">
        <v>8877</v>
      </c>
      <c r="G350" s="9">
        <v>1</v>
      </c>
      <c r="H350" s="1">
        <v>36.770000000000003</v>
      </c>
      <c r="I350" s="1">
        <v>36.770000000000003</v>
      </c>
      <c r="J350" s="1">
        <v>0.56999999999999995</v>
      </c>
      <c r="K350" s="3">
        <v>1313</v>
      </c>
      <c r="L350" s="13">
        <v>2565</v>
      </c>
      <c r="M350" s="49">
        <v>158.4</v>
      </c>
      <c r="N350" s="1">
        <v>443.5</v>
      </c>
      <c r="O350" s="3">
        <v>46</v>
      </c>
      <c r="P350" s="11" t="s">
        <v>2276</v>
      </c>
      <c r="Q350" s="3">
        <v>12</v>
      </c>
      <c r="R350" s="3">
        <v>192</v>
      </c>
      <c r="S350" s="22">
        <v>21</v>
      </c>
      <c r="T350" s="9">
        <v>220</v>
      </c>
      <c r="U350" s="14" t="s">
        <v>527</v>
      </c>
      <c r="V350" s="12">
        <v>4</v>
      </c>
      <c r="W350" s="75">
        <v>16</v>
      </c>
      <c r="X350" s="76">
        <v>16</v>
      </c>
      <c r="Y350" s="9">
        <v>908.69</v>
      </c>
      <c r="Z350" s="3">
        <v>1351.21</v>
      </c>
      <c r="AA350" s="17" t="s">
        <v>1476</v>
      </c>
      <c r="AB350" s="18" t="s">
        <v>1475</v>
      </c>
      <c r="AC350" s="46" cm="1">
        <f t="array" ref="AC350">(SUMPRODUCT((H350:O350/H$9:O$9)^H$7:O$7*H$2:O$2)+SUMPRODUCT((Q350:T350/Q$9:T$9)^Q$7:T$7*Q$2:T$2))*(0.8^(1-G350))*AC$9</f>
        <v>2.2039904463933491</v>
      </c>
      <c r="AD350" s="48" cm="1">
        <f t="array" ref="AD350">(SUMPRODUCT((H350:O350/H$9:O$9)^H$7:O$7*H$3:O$3)+SUMPRODUCT((Q350:T350/Q$9:T$9)^Q$7:T$7*Q$3:T$3))*(0.1^(1-G350))*AD$9</f>
        <v>2.9728237161352227</v>
      </c>
      <c r="AE350" s="48" cm="1">
        <f t="array" ref="AE350">(SUMPRODUCT((H350:O350/H$9:O$9)^H$7:O$7*H$4:O$4)+SUMPRODUCT((Q350:T350/Q$9:T$9)^Q$7:T$7*Q$4:T$4))*AE$9</f>
        <v>2.6304000310126963</v>
      </c>
      <c r="AF350" s="47" cm="1">
        <f t="array" ref="AF350">(SUMPRODUCT((H350:O350/H$9:O$9)^H$7:O$7*H$5:O$5)+SUMPRODUCT((Q350:T350/Q$9:T$9)^Q$7:T$7*Q$5:T$5))*AF$9</f>
        <v>2.4028316962173326</v>
      </c>
      <c r="AG350" s="50" cm="1">
        <f t="array" ref="AG350">SUMPRODUCT(AC350:AF350 * AC$3:AF$3) / SUM(AC$3:AF$3)</f>
        <v>2.7116390917338702</v>
      </c>
    </row>
    <row r="351" spans="1:33" x14ac:dyDescent="0.25">
      <c r="A351" s="81" t="s">
        <v>1472</v>
      </c>
      <c r="B351" s="20" t="s">
        <v>1474</v>
      </c>
      <c r="C351" s="4" t="s">
        <v>8853</v>
      </c>
      <c r="D351" s="4" t="str">
        <f t="shared" si="5"/>
        <v>GIGABYTE</v>
      </c>
      <c r="E351" s="4" t="s">
        <v>8855</v>
      </c>
      <c r="F351" s="14" t="s">
        <v>8877</v>
      </c>
      <c r="G351" s="9">
        <v>1</v>
      </c>
      <c r="H351" s="1">
        <v>35.909999999999997</v>
      </c>
      <c r="I351" s="1">
        <v>35.909999999999997</v>
      </c>
      <c r="J351" s="1">
        <v>0.56000000000000005</v>
      </c>
      <c r="K351" s="3">
        <v>1313</v>
      </c>
      <c r="L351" s="13">
        <v>2505</v>
      </c>
      <c r="M351" s="49">
        <v>158.4</v>
      </c>
      <c r="N351" s="1">
        <v>443.5</v>
      </c>
      <c r="O351" s="3">
        <v>46</v>
      </c>
      <c r="P351" s="11" t="s">
        <v>2276</v>
      </c>
      <c r="Q351" s="3">
        <v>12</v>
      </c>
      <c r="R351" s="3">
        <v>192</v>
      </c>
      <c r="S351" s="22">
        <v>21</v>
      </c>
      <c r="T351" s="9">
        <v>220</v>
      </c>
      <c r="U351" s="14" t="s">
        <v>527</v>
      </c>
      <c r="V351" s="12">
        <v>4</v>
      </c>
      <c r="W351" s="75">
        <v>16</v>
      </c>
      <c r="X351" s="76">
        <v>16</v>
      </c>
      <c r="Y351" s="9">
        <v>770.08</v>
      </c>
      <c r="Z351" s="3">
        <v>1350.56</v>
      </c>
      <c r="AA351" s="17" t="s">
        <v>1473</v>
      </c>
      <c r="AB351" s="18" t="s">
        <v>1472</v>
      </c>
      <c r="AC351" s="46" cm="1">
        <f t="array" ref="AC351">(SUMPRODUCT((H351:O351/H$9:O$9)^H$7:O$7*H$2:O$2)+SUMPRODUCT((Q351:T351/Q$9:T$9)^Q$7:T$7*Q$2:T$2))*(0.8^(1-G351))*AC$9</f>
        <v>2.1919154409202921</v>
      </c>
      <c r="AD351" s="48" cm="1">
        <f t="array" ref="AD351">(SUMPRODUCT((H351:O351/H$9:O$9)^H$7:O$7*H$3:O$3)+SUMPRODUCT((Q351:T351/Q$9:T$9)^Q$7:T$7*Q$3:T$3))*(0.1^(1-G351))*AD$9</f>
        <v>2.9259145532453892</v>
      </c>
      <c r="AE351" s="48" cm="1">
        <f t="array" ref="AE351">(SUMPRODUCT((H351:O351/H$9:O$9)^H$7:O$7*H$4:O$4)+SUMPRODUCT((Q351:T351/Q$9:T$9)^Q$7:T$7*Q$4:T$4))*AE$9</f>
        <v>2.5981260240301007</v>
      </c>
      <c r="AF351" s="47" cm="1">
        <f t="array" ref="AF351">(SUMPRODUCT((H351:O351/H$9:O$9)^H$7:O$7*H$5:O$5)+SUMPRODUCT((Q351:T351/Q$9:T$9)^Q$7:T$7*Q$5:T$5))*AF$9</f>
        <v>2.3772535873514076</v>
      </c>
      <c r="AG351" s="50" cm="1">
        <f t="array" ref="AG351">SUMPRODUCT(AC351:AF351 * AC$3:AF$3) / SUM(AC$3:AF$3)</f>
        <v>2.675716925851622</v>
      </c>
    </row>
    <row r="352" spans="1:33" x14ac:dyDescent="0.25">
      <c r="A352" s="81" t="s">
        <v>1233</v>
      </c>
      <c r="B352" s="20" t="s">
        <v>1235</v>
      </c>
      <c r="C352" s="4" t="s">
        <v>8853</v>
      </c>
      <c r="D352" s="4" t="str">
        <f t="shared" si="5"/>
        <v>INNO3D</v>
      </c>
      <c r="E352" s="4" t="s">
        <v>8855</v>
      </c>
      <c r="F352" s="14" t="s">
        <v>8877</v>
      </c>
      <c r="G352" s="9">
        <v>1</v>
      </c>
      <c r="H352" s="1">
        <v>35.909999999999997</v>
      </c>
      <c r="I352" s="1">
        <v>35.909999999999997</v>
      </c>
      <c r="J352" s="1">
        <v>0.56000000000000005</v>
      </c>
      <c r="K352" s="3">
        <v>1313</v>
      </c>
      <c r="L352" s="13">
        <v>2505</v>
      </c>
      <c r="M352" s="49">
        <v>158.4</v>
      </c>
      <c r="N352" s="1">
        <v>443.5</v>
      </c>
      <c r="O352" s="3">
        <v>46</v>
      </c>
      <c r="P352" s="11" t="s">
        <v>2276</v>
      </c>
      <c r="Q352" s="3">
        <v>12</v>
      </c>
      <c r="R352" s="3">
        <v>192</v>
      </c>
      <c r="S352" s="22">
        <v>21</v>
      </c>
      <c r="T352" s="9">
        <v>220</v>
      </c>
      <c r="U352" s="14" t="s">
        <v>527</v>
      </c>
      <c r="V352" s="12">
        <v>4</v>
      </c>
      <c r="W352" s="75">
        <v>16</v>
      </c>
      <c r="X352" s="76">
        <v>16</v>
      </c>
      <c r="Y352" s="9">
        <v>1318.8</v>
      </c>
      <c r="Z352" s="3">
        <v>1318.8</v>
      </c>
      <c r="AA352" s="17" t="s">
        <v>1234</v>
      </c>
      <c r="AB352" s="18" t="s">
        <v>1233</v>
      </c>
      <c r="AC352" s="46" cm="1">
        <f t="array" ref="AC352">(SUMPRODUCT((H352:O352/H$9:O$9)^H$7:O$7*H$2:O$2)+SUMPRODUCT((Q352:T352/Q$9:T$9)^Q$7:T$7*Q$2:T$2))*(0.8^(1-G352))*AC$9</f>
        <v>2.1919154409202921</v>
      </c>
      <c r="AD352" s="48" cm="1">
        <f t="array" ref="AD352">(SUMPRODUCT((H352:O352/H$9:O$9)^H$7:O$7*H$3:O$3)+SUMPRODUCT((Q352:T352/Q$9:T$9)^Q$7:T$7*Q$3:T$3))*(0.1^(1-G352))*AD$9</f>
        <v>2.9259145532453892</v>
      </c>
      <c r="AE352" s="48" cm="1">
        <f t="array" ref="AE352">(SUMPRODUCT((H352:O352/H$9:O$9)^H$7:O$7*H$4:O$4)+SUMPRODUCT((Q352:T352/Q$9:T$9)^Q$7:T$7*Q$4:T$4))*AE$9</f>
        <v>2.5981260240301007</v>
      </c>
      <c r="AF352" s="47" cm="1">
        <f t="array" ref="AF352">(SUMPRODUCT((H352:O352/H$9:O$9)^H$7:O$7*H$5:O$5)+SUMPRODUCT((Q352:T352/Q$9:T$9)^Q$7:T$7*Q$5:T$5))*AF$9</f>
        <v>2.3772535873514076</v>
      </c>
      <c r="AG352" s="50" cm="1">
        <f t="array" ref="AG352">SUMPRODUCT(AC352:AF352 * AC$3:AF$3) / SUM(AC$3:AF$3)</f>
        <v>2.675716925851622</v>
      </c>
    </row>
    <row r="353" spans="1:33" x14ac:dyDescent="0.25">
      <c r="A353" s="81" t="s">
        <v>1230</v>
      </c>
      <c r="B353" s="20" t="s">
        <v>1232</v>
      </c>
      <c r="C353" s="4" t="s">
        <v>8853</v>
      </c>
      <c r="D353" s="4" t="str">
        <f t="shared" si="5"/>
        <v>INNO3D</v>
      </c>
      <c r="E353" s="4" t="s">
        <v>8855</v>
      </c>
      <c r="F353" s="14" t="s">
        <v>8877</v>
      </c>
      <c r="G353" s="9">
        <v>1</v>
      </c>
      <c r="H353" s="1">
        <v>35.909999999999997</v>
      </c>
      <c r="I353" s="1">
        <v>35.909999999999997</v>
      </c>
      <c r="J353" s="1">
        <v>0.56000000000000005</v>
      </c>
      <c r="K353" s="3">
        <v>1313</v>
      </c>
      <c r="L353" s="13">
        <v>2505</v>
      </c>
      <c r="M353" s="49">
        <v>158.4</v>
      </c>
      <c r="N353" s="1">
        <v>443.5</v>
      </c>
      <c r="O353" s="3">
        <v>46</v>
      </c>
      <c r="P353" s="11" t="s">
        <v>2276</v>
      </c>
      <c r="Q353" s="3">
        <v>12</v>
      </c>
      <c r="R353" s="3">
        <v>192</v>
      </c>
      <c r="S353" s="22">
        <v>21</v>
      </c>
      <c r="T353" s="9">
        <v>220</v>
      </c>
      <c r="U353" s="14" t="s">
        <v>527</v>
      </c>
      <c r="V353" s="12">
        <v>4</v>
      </c>
      <c r="W353" s="75">
        <v>16</v>
      </c>
      <c r="X353" s="76">
        <v>16</v>
      </c>
      <c r="Y353" s="9">
        <v>822.76</v>
      </c>
      <c r="Z353" s="3">
        <v>843.78</v>
      </c>
      <c r="AA353" s="17" t="s">
        <v>1231</v>
      </c>
      <c r="AB353" s="18" t="s">
        <v>1230</v>
      </c>
      <c r="AC353" s="46" cm="1">
        <f t="array" ref="AC353">(SUMPRODUCT((H353:O353/H$9:O$9)^H$7:O$7*H$2:O$2)+SUMPRODUCT((Q353:T353/Q$9:T$9)^Q$7:T$7*Q$2:T$2))*(0.8^(1-G353))*AC$9</f>
        <v>2.1919154409202921</v>
      </c>
      <c r="AD353" s="48" cm="1">
        <f t="array" ref="AD353">(SUMPRODUCT((H353:O353/H$9:O$9)^H$7:O$7*H$3:O$3)+SUMPRODUCT((Q353:T353/Q$9:T$9)^Q$7:T$7*Q$3:T$3))*(0.1^(1-G353))*AD$9</f>
        <v>2.9259145532453892</v>
      </c>
      <c r="AE353" s="48" cm="1">
        <f t="array" ref="AE353">(SUMPRODUCT((H353:O353/H$9:O$9)^H$7:O$7*H$4:O$4)+SUMPRODUCT((Q353:T353/Q$9:T$9)^Q$7:T$7*Q$4:T$4))*AE$9</f>
        <v>2.5981260240301007</v>
      </c>
      <c r="AF353" s="47" cm="1">
        <f t="array" ref="AF353">(SUMPRODUCT((H353:O353/H$9:O$9)^H$7:O$7*H$5:O$5)+SUMPRODUCT((Q353:T353/Q$9:T$9)^Q$7:T$7*Q$5:T$5))*AF$9</f>
        <v>2.3772535873514076</v>
      </c>
      <c r="AG353" s="50" cm="1">
        <f t="array" ref="AG353">SUMPRODUCT(AC353:AF353 * AC$3:AF$3) / SUM(AC$3:AF$3)</f>
        <v>2.675716925851622</v>
      </c>
    </row>
    <row r="354" spans="1:33" x14ac:dyDescent="0.25">
      <c r="A354" s="81" t="s">
        <v>1227</v>
      </c>
      <c r="B354" s="20" t="s">
        <v>1229</v>
      </c>
      <c r="C354" s="4" t="s">
        <v>8853</v>
      </c>
      <c r="D354" s="4" t="str">
        <f t="shared" si="5"/>
        <v>INNO3D</v>
      </c>
      <c r="E354" s="4" t="s">
        <v>8855</v>
      </c>
      <c r="F354" s="14" t="s">
        <v>8877</v>
      </c>
      <c r="G354" s="9">
        <v>1</v>
      </c>
      <c r="H354" s="1">
        <v>35.479999999999997</v>
      </c>
      <c r="I354" s="1">
        <v>35.479999999999997</v>
      </c>
      <c r="J354" s="1">
        <v>0.55000000000000004</v>
      </c>
      <c r="K354" s="3">
        <v>1313</v>
      </c>
      <c r="L354" s="13">
        <v>2475</v>
      </c>
      <c r="M354" s="49">
        <v>158.4</v>
      </c>
      <c r="N354" s="1">
        <v>443.5</v>
      </c>
      <c r="O354" s="3">
        <v>46</v>
      </c>
      <c r="P354" s="11" t="s">
        <v>2276</v>
      </c>
      <c r="Q354" s="3">
        <v>12</v>
      </c>
      <c r="R354" s="3">
        <v>192</v>
      </c>
      <c r="S354" s="22">
        <v>21</v>
      </c>
      <c r="T354" s="9">
        <v>220</v>
      </c>
      <c r="U354" s="14" t="s">
        <v>527</v>
      </c>
      <c r="V354" s="12">
        <v>4</v>
      </c>
      <c r="W354" s="75">
        <v>16</v>
      </c>
      <c r="X354" s="76">
        <v>16</v>
      </c>
      <c r="Y354" s="9">
        <v>755</v>
      </c>
      <c r="Z354" s="3">
        <v>1410.04</v>
      </c>
      <c r="AA354" s="17" t="s">
        <v>1228</v>
      </c>
      <c r="AB354" s="18" t="s">
        <v>1227</v>
      </c>
      <c r="AC354" s="46" cm="1">
        <f t="array" ref="AC354">(SUMPRODUCT((H354:O354/H$9:O$9)^H$7:O$7*H$2:O$2)+SUMPRODUCT((Q354:T354/Q$9:T$9)^Q$7:T$7*Q$2:T$2))*(0.8^(1-G354))*AC$9</f>
        <v>2.1858671268501544</v>
      </c>
      <c r="AD354" s="48" cm="1">
        <f t="array" ref="AD354">(SUMPRODUCT((H354:O354/H$9:O$9)^H$7:O$7*H$3:O$3)+SUMPRODUCT((Q354:T354/Q$9:T$9)^Q$7:T$7*Q$3:T$3))*(0.1^(1-G354))*AD$9</f>
        <v>2.901089368080696</v>
      </c>
      <c r="AE354" s="48" cm="1">
        <f t="array" ref="AE354">(SUMPRODUCT((H354:O354/H$9:O$9)^H$7:O$7*H$4:O$4)+SUMPRODUCT((Q354:T354/Q$9:T$9)^Q$7:T$7*Q$4:T$4))*AE$9</f>
        <v>2.5727359089696362</v>
      </c>
      <c r="AF354" s="47" cm="1">
        <f t="array" ref="AF354">(SUMPRODUCT((H354:O354/H$9:O$9)^H$7:O$7*H$5:O$5)+SUMPRODUCT((Q354:T354/Q$9:T$9)^Q$7:T$7*Q$5:T$5))*AF$9</f>
        <v>2.3644398229062804</v>
      </c>
      <c r="AG354" s="50" cm="1">
        <f t="array" ref="AG354">SUMPRODUCT(AC354:AF354 * AC$3:AF$3) / SUM(AC$3:AF$3)</f>
        <v>2.6559603526675297</v>
      </c>
    </row>
    <row r="355" spans="1:33" x14ac:dyDescent="0.25">
      <c r="A355" s="81" t="s">
        <v>1224</v>
      </c>
      <c r="B355" s="20" t="s">
        <v>1226</v>
      </c>
      <c r="C355" s="4" t="s">
        <v>8853</v>
      </c>
      <c r="D355" s="4" t="str">
        <f t="shared" si="5"/>
        <v>INNO3D</v>
      </c>
      <c r="E355" s="4" t="s">
        <v>8855</v>
      </c>
      <c r="F355" s="14" t="s">
        <v>8877</v>
      </c>
      <c r="G355" s="9">
        <v>1</v>
      </c>
      <c r="H355" s="1">
        <v>35.909999999999997</v>
      </c>
      <c r="I355" s="1">
        <v>35.909999999999997</v>
      </c>
      <c r="J355" s="1">
        <v>0.56000000000000005</v>
      </c>
      <c r="K355" s="3">
        <v>1313</v>
      </c>
      <c r="L355" s="13">
        <v>2505</v>
      </c>
      <c r="M355" s="49">
        <v>158.4</v>
      </c>
      <c r="N355" s="1">
        <v>443.5</v>
      </c>
      <c r="O355" s="3">
        <v>46</v>
      </c>
      <c r="P355" s="11" t="s">
        <v>2276</v>
      </c>
      <c r="Q355" s="3">
        <v>12</v>
      </c>
      <c r="R355" s="3">
        <v>192</v>
      </c>
      <c r="S355" s="22">
        <v>21</v>
      </c>
      <c r="T355" s="9">
        <v>220</v>
      </c>
      <c r="U355" s="14" t="s">
        <v>527</v>
      </c>
      <c r="V355" s="12">
        <v>4</v>
      </c>
      <c r="W355" s="75">
        <v>16</v>
      </c>
      <c r="X355" s="76">
        <v>16</v>
      </c>
      <c r="Y355" s="9">
        <v>1208.82</v>
      </c>
      <c r="Z355" s="3">
        <v>1512.91</v>
      </c>
      <c r="AA355" s="17" t="s">
        <v>1225</v>
      </c>
      <c r="AB355" s="18" t="s">
        <v>1224</v>
      </c>
      <c r="AC355" s="46" cm="1">
        <f t="array" ref="AC355">(SUMPRODUCT((H355:O355/H$9:O$9)^H$7:O$7*H$2:O$2)+SUMPRODUCT((Q355:T355/Q$9:T$9)^Q$7:T$7*Q$2:T$2))*(0.8^(1-G355))*AC$9</f>
        <v>2.1919154409202921</v>
      </c>
      <c r="AD355" s="48" cm="1">
        <f t="array" ref="AD355">(SUMPRODUCT((H355:O355/H$9:O$9)^H$7:O$7*H$3:O$3)+SUMPRODUCT((Q355:T355/Q$9:T$9)^Q$7:T$7*Q$3:T$3))*(0.1^(1-G355))*AD$9</f>
        <v>2.9259145532453892</v>
      </c>
      <c r="AE355" s="48" cm="1">
        <f t="array" ref="AE355">(SUMPRODUCT((H355:O355/H$9:O$9)^H$7:O$7*H$4:O$4)+SUMPRODUCT((Q355:T355/Q$9:T$9)^Q$7:T$7*Q$4:T$4))*AE$9</f>
        <v>2.5981260240301007</v>
      </c>
      <c r="AF355" s="47" cm="1">
        <f t="array" ref="AF355">(SUMPRODUCT((H355:O355/H$9:O$9)^H$7:O$7*H$5:O$5)+SUMPRODUCT((Q355:T355/Q$9:T$9)^Q$7:T$7*Q$5:T$5))*AF$9</f>
        <v>2.3772535873514076</v>
      </c>
      <c r="AG355" s="50" cm="1">
        <f t="array" ref="AG355">SUMPRODUCT(AC355:AF355 * AC$3:AF$3) / SUM(AC$3:AF$3)</f>
        <v>2.675716925851622</v>
      </c>
    </row>
    <row r="356" spans="1:33" x14ac:dyDescent="0.25">
      <c r="A356" s="81" t="s">
        <v>1009</v>
      </c>
      <c r="B356" s="20" t="s">
        <v>1011</v>
      </c>
      <c r="C356" s="4" t="s">
        <v>8853</v>
      </c>
      <c r="D356" s="4" t="str">
        <f t="shared" si="5"/>
        <v>MSI</v>
      </c>
      <c r="E356" s="4" t="s">
        <v>8855</v>
      </c>
      <c r="F356" s="14" t="s">
        <v>8877</v>
      </c>
      <c r="G356" s="9">
        <v>1</v>
      </c>
      <c r="H356" s="1">
        <v>38.06</v>
      </c>
      <c r="I356" s="1">
        <v>38.06</v>
      </c>
      <c r="J356" s="1">
        <v>0.59</v>
      </c>
      <c r="K356" s="3">
        <v>1313</v>
      </c>
      <c r="L356" s="13">
        <v>2655</v>
      </c>
      <c r="M356" s="49">
        <v>158.4</v>
      </c>
      <c r="N356" s="1">
        <v>443.5</v>
      </c>
      <c r="O356" s="3">
        <v>46</v>
      </c>
      <c r="P356" s="11" t="s">
        <v>2276</v>
      </c>
      <c r="Q356" s="3">
        <v>12</v>
      </c>
      <c r="R356" s="3">
        <v>192</v>
      </c>
      <c r="S356" s="22">
        <v>21</v>
      </c>
      <c r="T356" s="9">
        <v>245</v>
      </c>
      <c r="U356" s="14" t="s">
        <v>527</v>
      </c>
      <c r="V356" s="12">
        <v>4</v>
      </c>
      <c r="W356" s="75">
        <v>16</v>
      </c>
      <c r="X356" s="76">
        <v>16</v>
      </c>
      <c r="Y356" s="9">
        <v>1329.67</v>
      </c>
      <c r="Z356" s="3">
        <v>1473.63</v>
      </c>
      <c r="AA356" s="17" t="s">
        <v>1010</v>
      </c>
      <c r="AB356" s="18" t="s">
        <v>1009</v>
      </c>
      <c r="AC356" s="46" cm="1">
        <f t="array" ref="AC356">(SUMPRODUCT((H356:O356/H$9:O$9)^H$7:O$7*H$2:O$2)+SUMPRODUCT((Q356:T356/Q$9:T$9)^Q$7:T$7*Q$2:T$2))*(0.8^(1-G356))*AC$9</f>
        <v>2.2205725968786574</v>
      </c>
      <c r="AD356" s="48" cm="1">
        <f t="array" ref="AD356">(SUMPRODUCT((H356:O356/H$9:O$9)^H$7:O$7*H$3:O$3)+SUMPRODUCT((Q356:T356/Q$9:T$9)^Q$7:T$7*Q$3:T$3))*(0.1^(1-G356))*AD$9</f>
        <v>3.0427472045266541</v>
      </c>
      <c r="AE356" s="48" cm="1">
        <f t="array" ref="AE356">(SUMPRODUCT((H356:O356/H$9:O$9)^H$7:O$7*H$4:O$4)+SUMPRODUCT((Q356:T356/Q$9:T$9)^Q$7:T$7*Q$4:T$4))*AE$9</f>
        <v>2.6877337886449029</v>
      </c>
      <c r="AF356" s="47" cm="1">
        <f t="array" ref="AF356">(SUMPRODUCT((H356:O356/H$9:O$9)^H$7:O$7*H$5:O$5)+SUMPRODUCT((Q356:T356/Q$9:T$9)^Q$7:T$7*Q$5:T$5))*AF$9</f>
        <v>2.4396008112857408</v>
      </c>
      <c r="AG356" s="50" cm="1">
        <f t="array" ref="AG356">SUMPRODUCT(AC356:AF356 * AC$3:AF$3) / SUM(AC$3:AF$3)</f>
        <v>2.7657477692805301</v>
      </c>
    </row>
    <row r="357" spans="1:33" x14ac:dyDescent="0.25">
      <c r="A357" s="81" t="s">
        <v>1006</v>
      </c>
      <c r="B357" s="20" t="s">
        <v>1008</v>
      </c>
      <c r="C357" s="4" t="s">
        <v>8853</v>
      </c>
      <c r="D357" s="4" t="str">
        <f t="shared" si="5"/>
        <v>MSI</v>
      </c>
      <c r="E357" s="4" t="s">
        <v>8855</v>
      </c>
      <c r="F357" s="14" t="s">
        <v>8877</v>
      </c>
      <c r="G357" s="9">
        <v>1</v>
      </c>
      <c r="H357" s="1">
        <v>38.06</v>
      </c>
      <c r="I357" s="1">
        <v>38.06</v>
      </c>
      <c r="J357" s="1">
        <v>0.59</v>
      </c>
      <c r="K357" s="3">
        <v>1313</v>
      </c>
      <c r="L357" s="13">
        <v>2655</v>
      </c>
      <c r="M357" s="49">
        <v>158.4</v>
      </c>
      <c r="N357" s="1">
        <v>443.5</v>
      </c>
      <c r="O357" s="3">
        <v>46</v>
      </c>
      <c r="P357" s="11" t="s">
        <v>2276</v>
      </c>
      <c r="Q357" s="3">
        <v>12</v>
      </c>
      <c r="R357" s="3">
        <v>192</v>
      </c>
      <c r="S357" s="22">
        <v>21</v>
      </c>
      <c r="T357" s="9">
        <v>245</v>
      </c>
      <c r="U357" s="14" t="s">
        <v>527</v>
      </c>
      <c r="V357" s="12">
        <v>4</v>
      </c>
      <c r="W357" s="75">
        <v>16</v>
      </c>
      <c r="X357" s="76">
        <v>16</v>
      </c>
      <c r="Y357" s="9">
        <v>1468.96</v>
      </c>
      <c r="Z357" s="3">
        <v>1468.96</v>
      </c>
      <c r="AA357" s="17" t="s">
        <v>1007</v>
      </c>
      <c r="AB357" s="18" t="s">
        <v>1006</v>
      </c>
      <c r="AC357" s="46" cm="1">
        <f t="array" ref="AC357">(SUMPRODUCT((H357:O357/H$9:O$9)^H$7:O$7*H$2:O$2)+SUMPRODUCT((Q357:T357/Q$9:T$9)^Q$7:T$7*Q$2:T$2))*(0.8^(1-G357))*AC$9</f>
        <v>2.2205725968786574</v>
      </c>
      <c r="AD357" s="48" cm="1">
        <f t="array" ref="AD357">(SUMPRODUCT((H357:O357/H$9:O$9)^H$7:O$7*H$3:O$3)+SUMPRODUCT((Q357:T357/Q$9:T$9)^Q$7:T$7*Q$3:T$3))*(0.1^(1-G357))*AD$9</f>
        <v>3.0427472045266541</v>
      </c>
      <c r="AE357" s="48" cm="1">
        <f t="array" ref="AE357">(SUMPRODUCT((H357:O357/H$9:O$9)^H$7:O$7*H$4:O$4)+SUMPRODUCT((Q357:T357/Q$9:T$9)^Q$7:T$7*Q$4:T$4))*AE$9</f>
        <v>2.6877337886449029</v>
      </c>
      <c r="AF357" s="47" cm="1">
        <f t="array" ref="AF357">(SUMPRODUCT((H357:O357/H$9:O$9)^H$7:O$7*H$5:O$5)+SUMPRODUCT((Q357:T357/Q$9:T$9)^Q$7:T$7*Q$5:T$5))*AF$9</f>
        <v>2.4396008112857408</v>
      </c>
      <c r="AG357" s="50" cm="1">
        <f t="array" ref="AG357">SUMPRODUCT(AC357:AF357 * AC$3:AF$3) / SUM(AC$3:AF$3)</f>
        <v>2.7657477692805301</v>
      </c>
    </row>
    <row r="358" spans="1:33" x14ac:dyDescent="0.25">
      <c r="A358" s="81" t="s">
        <v>1003</v>
      </c>
      <c r="B358" s="20" t="s">
        <v>1005</v>
      </c>
      <c r="C358" s="4" t="s">
        <v>8853</v>
      </c>
      <c r="D358" s="4" t="str">
        <f t="shared" si="5"/>
        <v>MSI</v>
      </c>
      <c r="E358" s="4" t="s">
        <v>8855</v>
      </c>
      <c r="F358" s="14" t="s">
        <v>8877</v>
      </c>
      <c r="G358" s="9">
        <v>1</v>
      </c>
      <c r="H358" s="1">
        <v>36.130000000000003</v>
      </c>
      <c r="I358" s="1">
        <v>36.130000000000003</v>
      </c>
      <c r="J358" s="1">
        <v>0.56000000000000005</v>
      </c>
      <c r="K358" s="3">
        <v>1313</v>
      </c>
      <c r="L358" s="13">
        <v>2520</v>
      </c>
      <c r="M358" s="49">
        <v>158.4</v>
      </c>
      <c r="N358" s="1">
        <v>443.5</v>
      </c>
      <c r="O358" s="3">
        <v>46</v>
      </c>
      <c r="P358" s="11" t="s">
        <v>2276</v>
      </c>
      <c r="Q358" s="3">
        <v>12</v>
      </c>
      <c r="R358" s="3">
        <v>192</v>
      </c>
      <c r="S358" s="22">
        <v>21</v>
      </c>
      <c r="T358" s="9">
        <v>220</v>
      </c>
      <c r="U358" s="14" t="s">
        <v>527</v>
      </c>
      <c r="V358" s="12">
        <v>4</v>
      </c>
      <c r="W358" s="75">
        <v>16</v>
      </c>
      <c r="X358" s="76">
        <v>16</v>
      </c>
      <c r="Y358" s="9">
        <v>1079.33</v>
      </c>
      <c r="Z358" s="3">
        <v>1330.98</v>
      </c>
      <c r="AA358" s="17" t="s">
        <v>1004</v>
      </c>
      <c r="AB358" s="18" t="s">
        <v>1003</v>
      </c>
      <c r="AC358" s="46" cm="1">
        <f t="array" ref="AC358">(SUMPRODUCT((H358:O358/H$9:O$9)^H$7:O$7*H$2:O$2)+SUMPRODUCT((Q358:T358/Q$9:T$9)^Q$7:T$7*Q$2:T$2))*(0.8^(1-G358))*AC$9</f>
        <v>2.1949638777210851</v>
      </c>
      <c r="AD358" s="48" cm="1">
        <f t="array" ref="AD358">(SUMPRODUCT((H358:O358/H$9:O$9)^H$7:O$7*H$3:O$3)+SUMPRODUCT((Q358:T358/Q$9:T$9)^Q$7:T$7*Q$3:T$3))*(0.1^(1-G358))*AD$9</f>
        <v>2.9372480598290971</v>
      </c>
      <c r="AE358" s="48" cm="1">
        <f t="array" ref="AE358">(SUMPRODUCT((H358:O358/H$9:O$9)^H$7:O$7*H$4:O$4)+SUMPRODUCT((Q358:T358/Q$9:T$9)^Q$7:T$7*Q$4:T$4))*AE$9</f>
        <v>2.6016911281724404</v>
      </c>
      <c r="AF358" s="47" cm="1">
        <f t="array" ref="AF358">(SUMPRODUCT((H358:O358/H$9:O$9)^H$7:O$7*H$5:O$5)+SUMPRODUCT((Q358:T358/Q$9:T$9)^Q$7:T$7*Q$5:T$5))*AF$9</f>
        <v>2.3837857571497412</v>
      </c>
      <c r="AG358" s="50" cm="1">
        <f t="array" ref="AG358">SUMPRODUCT(AC358:AF358 * AC$3:AF$3) / SUM(AC$3:AF$3)</f>
        <v>2.6840062088471295</v>
      </c>
    </row>
    <row r="359" spans="1:33" x14ac:dyDescent="0.25">
      <c r="A359" s="81" t="s">
        <v>1000</v>
      </c>
      <c r="B359" s="20" t="s">
        <v>1002</v>
      </c>
      <c r="C359" s="4" t="s">
        <v>8853</v>
      </c>
      <c r="D359" s="4" t="str">
        <f t="shared" si="5"/>
        <v>MSI</v>
      </c>
      <c r="E359" s="4" t="s">
        <v>8855</v>
      </c>
      <c r="F359" s="14" t="s">
        <v>8877</v>
      </c>
      <c r="G359" s="9">
        <v>1</v>
      </c>
      <c r="H359" s="1">
        <v>36.130000000000003</v>
      </c>
      <c r="I359" s="1">
        <v>36.130000000000003</v>
      </c>
      <c r="J359" s="1">
        <v>0.56000000000000005</v>
      </c>
      <c r="K359" s="3">
        <v>1313</v>
      </c>
      <c r="L359" s="13">
        <v>2520</v>
      </c>
      <c r="M359" s="49">
        <v>158.4</v>
      </c>
      <c r="N359" s="1">
        <v>443.5</v>
      </c>
      <c r="O359" s="3">
        <v>46</v>
      </c>
      <c r="P359" s="11" t="s">
        <v>2276</v>
      </c>
      <c r="Q359" s="3">
        <v>12</v>
      </c>
      <c r="R359" s="3">
        <v>192</v>
      </c>
      <c r="S359" s="22">
        <v>21</v>
      </c>
      <c r="T359" s="9">
        <v>220</v>
      </c>
      <c r="U359" s="14" t="s">
        <v>527</v>
      </c>
      <c r="V359" s="12">
        <v>4</v>
      </c>
      <c r="W359" s="75">
        <v>16</v>
      </c>
      <c r="X359" s="76">
        <v>16</v>
      </c>
      <c r="Y359" s="9">
        <v>1341.54</v>
      </c>
      <c r="Z359" s="3">
        <v>1341.54</v>
      </c>
      <c r="AA359" s="17" t="s">
        <v>1001</v>
      </c>
      <c r="AB359" s="18" t="s">
        <v>1000</v>
      </c>
      <c r="AC359" s="46" cm="1">
        <f t="array" ref="AC359">(SUMPRODUCT((H359:O359/H$9:O$9)^H$7:O$7*H$2:O$2)+SUMPRODUCT((Q359:T359/Q$9:T$9)^Q$7:T$7*Q$2:T$2))*(0.8^(1-G359))*AC$9</f>
        <v>2.1949638777210851</v>
      </c>
      <c r="AD359" s="48" cm="1">
        <f t="array" ref="AD359">(SUMPRODUCT((H359:O359/H$9:O$9)^H$7:O$7*H$3:O$3)+SUMPRODUCT((Q359:T359/Q$9:T$9)^Q$7:T$7*Q$3:T$3))*(0.1^(1-G359))*AD$9</f>
        <v>2.9372480598290971</v>
      </c>
      <c r="AE359" s="48" cm="1">
        <f t="array" ref="AE359">(SUMPRODUCT((H359:O359/H$9:O$9)^H$7:O$7*H$4:O$4)+SUMPRODUCT((Q359:T359/Q$9:T$9)^Q$7:T$7*Q$4:T$4))*AE$9</f>
        <v>2.6016911281724404</v>
      </c>
      <c r="AF359" s="47" cm="1">
        <f t="array" ref="AF359">(SUMPRODUCT((H359:O359/H$9:O$9)^H$7:O$7*H$5:O$5)+SUMPRODUCT((Q359:T359/Q$9:T$9)^Q$7:T$7*Q$5:T$5))*AF$9</f>
        <v>2.3837857571497412</v>
      </c>
      <c r="AG359" s="50" cm="1">
        <f t="array" ref="AG359">SUMPRODUCT(AC359:AF359 * AC$3:AF$3) / SUM(AC$3:AF$3)</f>
        <v>2.6840062088471295</v>
      </c>
    </row>
    <row r="360" spans="1:33" x14ac:dyDescent="0.25">
      <c r="A360" s="81" t="s">
        <v>998</v>
      </c>
      <c r="B360" s="20" t="s">
        <v>450</v>
      </c>
      <c r="C360" s="4" t="s">
        <v>8853</v>
      </c>
      <c r="D360" s="4" t="str">
        <f t="shared" si="5"/>
        <v>MSI</v>
      </c>
      <c r="E360" s="4" t="s">
        <v>8855</v>
      </c>
      <c r="F360" s="14" t="s">
        <v>8877</v>
      </c>
      <c r="G360" s="9">
        <v>1</v>
      </c>
      <c r="H360" s="1">
        <v>36.130000000000003</v>
      </c>
      <c r="I360" s="1">
        <v>36.130000000000003</v>
      </c>
      <c r="J360" s="1">
        <v>0.56000000000000005</v>
      </c>
      <c r="K360" s="3">
        <v>1313</v>
      </c>
      <c r="L360" s="13">
        <v>2520</v>
      </c>
      <c r="M360" s="49">
        <v>158.4</v>
      </c>
      <c r="N360" s="1">
        <v>443.5</v>
      </c>
      <c r="O360" s="3">
        <v>46</v>
      </c>
      <c r="P360" s="11" t="s">
        <v>2276</v>
      </c>
      <c r="Q360" s="3">
        <v>12</v>
      </c>
      <c r="R360" s="3">
        <v>192</v>
      </c>
      <c r="S360" s="22">
        <v>21</v>
      </c>
      <c r="T360" s="9">
        <v>220</v>
      </c>
      <c r="U360" s="14" t="s">
        <v>527</v>
      </c>
      <c r="V360" s="12">
        <v>4</v>
      </c>
      <c r="W360" s="75">
        <v>16</v>
      </c>
      <c r="X360" s="76">
        <v>16</v>
      </c>
      <c r="Y360" s="9">
        <v>833.87</v>
      </c>
      <c r="Z360" s="3">
        <v>1199</v>
      </c>
      <c r="AA360" s="17" t="s">
        <v>999</v>
      </c>
      <c r="AB360" s="18" t="s">
        <v>998</v>
      </c>
      <c r="AC360" s="46" cm="1">
        <f t="array" ref="AC360">(SUMPRODUCT((H360:O360/H$9:O$9)^H$7:O$7*H$2:O$2)+SUMPRODUCT((Q360:T360/Q$9:T$9)^Q$7:T$7*Q$2:T$2))*(0.8^(1-G360))*AC$9</f>
        <v>2.1949638777210851</v>
      </c>
      <c r="AD360" s="48" cm="1">
        <f t="array" ref="AD360">(SUMPRODUCT((H360:O360/H$9:O$9)^H$7:O$7*H$3:O$3)+SUMPRODUCT((Q360:T360/Q$9:T$9)^Q$7:T$7*Q$3:T$3))*(0.1^(1-G360))*AD$9</f>
        <v>2.9372480598290971</v>
      </c>
      <c r="AE360" s="48" cm="1">
        <f t="array" ref="AE360">(SUMPRODUCT((H360:O360/H$9:O$9)^H$7:O$7*H$4:O$4)+SUMPRODUCT((Q360:T360/Q$9:T$9)^Q$7:T$7*Q$4:T$4))*AE$9</f>
        <v>2.6016911281724404</v>
      </c>
      <c r="AF360" s="47" cm="1">
        <f t="array" ref="AF360">(SUMPRODUCT((H360:O360/H$9:O$9)^H$7:O$7*H$5:O$5)+SUMPRODUCT((Q360:T360/Q$9:T$9)^Q$7:T$7*Q$5:T$5))*AF$9</f>
        <v>2.3837857571497412</v>
      </c>
      <c r="AG360" s="50" cm="1">
        <f t="array" ref="AG360">SUMPRODUCT(AC360:AF360 * AC$3:AF$3) / SUM(AC$3:AF$3)</f>
        <v>2.6840062088471295</v>
      </c>
    </row>
    <row r="361" spans="1:33" x14ac:dyDescent="0.25">
      <c r="A361" s="81" t="s">
        <v>700</v>
      </c>
      <c r="B361" s="20" t="s">
        <v>702</v>
      </c>
      <c r="C361" s="4" t="s">
        <v>8853</v>
      </c>
      <c r="D361" s="4" t="str">
        <f t="shared" si="5"/>
        <v>Palit</v>
      </c>
      <c r="E361" s="4" t="s">
        <v>8855</v>
      </c>
      <c r="F361" s="14" t="s">
        <v>8877</v>
      </c>
      <c r="G361" s="9">
        <v>1</v>
      </c>
      <c r="H361" s="1">
        <v>36.56</v>
      </c>
      <c r="I361" s="1">
        <v>36.56</v>
      </c>
      <c r="J361" s="1">
        <v>0.56999999999999995</v>
      </c>
      <c r="K361" s="3">
        <v>1313</v>
      </c>
      <c r="L361" s="13">
        <v>2550</v>
      </c>
      <c r="M361" s="49">
        <v>158.4</v>
      </c>
      <c r="N361" s="1">
        <v>443.5</v>
      </c>
      <c r="O361" s="3">
        <v>46</v>
      </c>
      <c r="P361" s="11" t="s">
        <v>2276</v>
      </c>
      <c r="Q361" s="3">
        <v>12</v>
      </c>
      <c r="R361" s="3">
        <v>192</v>
      </c>
      <c r="S361" s="22">
        <v>21</v>
      </c>
      <c r="T361" s="9">
        <v>220</v>
      </c>
      <c r="U361" s="14" t="s">
        <v>527</v>
      </c>
      <c r="V361" s="12">
        <v>4</v>
      </c>
      <c r="W361" s="75">
        <v>16</v>
      </c>
      <c r="X361" s="76">
        <v>16</v>
      </c>
      <c r="Y361" s="9">
        <v>1283.7</v>
      </c>
      <c r="Z361" s="3">
        <v>1283.7</v>
      </c>
      <c r="AA361" s="17" t="s">
        <v>701</v>
      </c>
      <c r="AB361" s="18" t="s">
        <v>700</v>
      </c>
      <c r="AC361" s="46" cm="1">
        <f t="array" ref="AC361">(SUMPRODUCT((H361:O361/H$9:O$9)^H$7:O$7*H$2:O$2)+SUMPRODUCT((Q361:T361/Q$9:T$9)^Q$7:T$7*Q$2:T$2))*(0.8^(1-G361))*AC$9</f>
        <v>2.2010013369038552</v>
      </c>
      <c r="AD361" s="48" cm="1">
        <f t="array" ref="AD361">(SUMPRODUCT((H361:O361/H$9:O$9)^H$7:O$7*H$3:O$3)+SUMPRODUCT((Q361:T361/Q$9:T$9)^Q$7:T$7*Q$3:T$3))*(0.1^(1-G361))*AD$9</f>
        <v>2.9620129203308272</v>
      </c>
      <c r="AE361" s="48" cm="1">
        <f t="array" ref="AE361">(SUMPRODUCT((H361:O361/H$9:O$9)^H$7:O$7*H$4:O$4)+SUMPRODUCT((Q361:T361/Q$9:T$9)^Q$7:T$7*Q$4:T$4))*AE$9</f>
        <v>2.6270030116080911</v>
      </c>
      <c r="AF361" s="47" cm="1">
        <f t="array" ref="AF361">(SUMPRODUCT((H361:O361/H$9:O$9)^H$7:O$7*H$5:O$5)+SUMPRODUCT((Q361:T361/Q$9:T$9)^Q$7:T$7*Q$5:T$5))*AF$9</f>
        <v>2.3965746153592318</v>
      </c>
      <c r="AG361" s="50" cm="1">
        <f t="array" ref="AG361">SUMPRODUCT(AC361:AF361 * AC$3:AF$3) / SUM(AC$3:AF$3)</f>
        <v>2.703714615739651</v>
      </c>
    </row>
    <row r="362" spans="1:33" x14ac:dyDescent="0.25">
      <c r="A362" s="81" t="s">
        <v>697</v>
      </c>
      <c r="B362" s="20" t="s">
        <v>699</v>
      </c>
      <c r="C362" s="4" t="s">
        <v>8853</v>
      </c>
      <c r="D362" s="4" t="str">
        <f t="shared" si="5"/>
        <v>Palit</v>
      </c>
      <c r="E362" s="4" t="s">
        <v>8855</v>
      </c>
      <c r="F362" s="14" t="s">
        <v>8877</v>
      </c>
      <c r="G362" s="9">
        <v>1</v>
      </c>
      <c r="H362" s="1">
        <v>35.479999999999997</v>
      </c>
      <c r="I362" s="1">
        <v>35.479999999999997</v>
      </c>
      <c r="J362" s="1">
        <v>0.55000000000000004</v>
      </c>
      <c r="K362" s="3">
        <v>1313</v>
      </c>
      <c r="L362" s="13">
        <v>2475</v>
      </c>
      <c r="M362" s="49">
        <v>158.4</v>
      </c>
      <c r="N362" s="1">
        <v>443.5</v>
      </c>
      <c r="O362" s="3">
        <v>46</v>
      </c>
      <c r="P362" s="11" t="s">
        <v>2276</v>
      </c>
      <c r="Q362" s="3">
        <v>12</v>
      </c>
      <c r="R362" s="3">
        <v>192</v>
      </c>
      <c r="S362" s="22">
        <v>21</v>
      </c>
      <c r="T362" s="9">
        <v>220</v>
      </c>
      <c r="U362" s="14" t="s">
        <v>527</v>
      </c>
      <c r="V362" s="12">
        <v>4</v>
      </c>
      <c r="W362" s="75">
        <v>16</v>
      </c>
      <c r="X362" s="76">
        <v>16</v>
      </c>
      <c r="Y362" s="9">
        <v>788.78</v>
      </c>
      <c r="Z362" s="3">
        <v>1276.46</v>
      </c>
      <c r="AA362" s="17" t="s">
        <v>698</v>
      </c>
      <c r="AB362" s="18" t="s">
        <v>697</v>
      </c>
      <c r="AC362" s="46" cm="1">
        <f t="array" ref="AC362">(SUMPRODUCT((H362:O362/H$9:O$9)^H$7:O$7*H$2:O$2)+SUMPRODUCT((Q362:T362/Q$9:T$9)^Q$7:T$7*Q$2:T$2))*(0.8^(1-G362))*AC$9</f>
        <v>2.1858671268501544</v>
      </c>
      <c r="AD362" s="48" cm="1">
        <f t="array" ref="AD362">(SUMPRODUCT((H362:O362/H$9:O$9)^H$7:O$7*H$3:O$3)+SUMPRODUCT((Q362:T362/Q$9:T$9)^Q$7:T$7*Q$3:T$3))*(0.1^(1-G362))*AD$9</f>
        <v>2.901089368080696</v>
      </c>
      <c r="AE362" s="48" cm="1">
        <f t="array" ref="AE362">(SUMPRODUCT((H362:O362/H$9:O$9)^H$7:O$7*H$4:O$4)+SUMPRODUCT((Q362:T362/Q$9:T$9)^Q$7:T$7*Q$4:T$4))*AE$9</f>
        <v>2.5727359089696362</v>
      </c>
      <c r="AF362" s="47" cm="1">
        <f t="array" ref="AF362">(SUMPRODUCT((H362:O362/H$9:O$9)^H$7:O$7*H$5:O$5)+SUMPRODUCT((Q362:T362/Q$9:T$9)^Q$7:T$7*Q$5:T$5))*AF$9</f>
        <v>2.3644398229062804</v>
      </c>
      <c r="AG362" s="50" cm="1">
        <f t="array" ref="AG362">SUMPRODUCT(AC362:AF362 * AC$3:AF$3) / SUM(AC$3:AF$3)</f>
        <v>2.6559603526675297</v>
      </c>
    </row>
    <row r="363" spans="1:33" x14ac:dyDescent="0.25">
      <c r="A363" s="81" t="s">
        <v>694</v>
      </c>
      <c r="B363" s="20" t="s">
        <v>696</v>
      </c>
      <c r="C363" s="4" t="s">
        <v>8853</v>
      </c>
      <c r="D363" s="4" t="str">
        <f t="shared" si="5"/>
        <v>Palit</v>
      </c>
      <c r="E363" s="4" t="s">
        <v>8855</v>
      </c>
      <c r="F363" s="14" t="s">
        <v>8877</v>
      </c>
      <c r="G363" s="9">
        <v>1</v>
      </c>
      <c r="H363" s="1">
        <v>37.85</v>
      </c>
      <c r="I363" s="1">
        <v>37.85</v>
      </c>
      <c r="J363" s="1">
        <v>0.59</v>
      </c>
      <c r="K363" s="3">
        <v>1313</v>
      </c>
      <c r="L363" s="13">
        <v>2640</v>
      </c>
      <c r="M363" s="49">
        <v>158.4</v>
      </c>
      <c r="N363" s="1">
        <v>443.5</v>
      </c>
      <c r="O363" s="3">
        <v>46</v>
      </c>
      <c r="P363" s="11" t="s">
        <v>2276</v>
      </c>
      <c r="Q363" s="3">
        <v>12</v>
      </c>
      <c r="R363" s="3">
        <v>192</v>
      </c>
      <c r="S363" s="22">
        <v>21</v>
      </c>
      <c r="T363" s="9">
        <v>220</v>
      </c>
      <c r="U363" s="14" t="s">
        <v>527</v>
      </c>
      <c r="V363" s="12">
        <v>4</v>
      </c>
      <c r="W363" s="75">
        <v>16</v>
      </c>
      <c r="X363" s="76">
        <v>16</v>
      </c>
      <c r="Y363" s="9">
        <v>903.84</v>
      </c>
      <c r="Z363" s="3">
        <v>903.84</v>
      </c>
      <c r="AA363" s="17" t="s">
        <v>695</v>
      </c>
      <c r="AB363" s="18" t="s">
        <v>694</v>
      </c>
      <c r="AC363" s="46" cm="1">
        <f t="array" ref="AC363">(SUMPRODUCT((H363:O363/H$9:O$9)^H$7:O$7*H$2:O$2)+SUMPRODUCT((Q363:T363/Q$9:T$9)^Q$7:T$7*Q$2:T$2))*(0.8^(1-G363))*AC$9</f>
        <v>2.2190714863366892</v>
      </c>
      <c r="AD363" s="48" cm="1">
        <f t="array" ref="AD363">(SUMPRODUCT((H363:O363/H$9:O$9)^H$7:O$7*H$3:O$3)+SUMPRODUCT((Q363:T363/Q$9:T$9)^Q$7:T$7*Q$3:T$3))*(0.1^(1-G363))*AD$9</f>
        <v>3.0334615804179799</v>
      </c>
      <c r="AE363" s="48" cm="1">
        <f t="array" ref="AE363">(SUMPRODUCT((H363:O363/H$9:O$9)^H$7:O$7*H$4:O$4)+SUMPRODUCT((Q363:T363/Q$9:T$9)^Q$7:T$7*Q$4:T$4))*AE$9</f>
        <v>2.6843484954152572</v>
      </c>
      <c r="AF363" s="47" cm="1">
        <f t="array" ref="AF363">(SUMPRODUCT((H363:O363/H$9:O$9)^H$7:O$7*H$5:O$5)+SUMPRODUCT((Q363:T363/Q$9:T$9)^Q$7:T$7*Q$5:T$5))*AF$9</f>
        <v>2.434844704998314</v>
      </c>
      <c r="AG363" s="50" cm="1">
        <f t="array" ref="AG363">SUMPRODUCT(AC363:AF363 * AC$3:AF$3) / SUM(AC$3:AF$3)</f>
        <v>2.7591700760564071</v>
      </c>
    </row>
    <row r="364" spans="1:33" x14ac:dyDescent="0.25">
      <c r="A364" s="81" t="s">
        <v>534</v>
      </c>
      <c r="B364" s="20" t="s">
        <v>536</v>
      </c>
      <c r="C364" s="4" t="s">
        <v>8853</v>
      </c>
      <c r="D364" s="4" t="str">
        <f t="shared" si="5"/>
        <v>Zotac</v>
      </c>
      <c r="E364" s="4" t="s">
        <v>8855</v>
      </c>
      <c r="F364" s="14" t="s">
        <v>8877</v>
      </c>
      <c r="G364" s="9">
        <v>1</v>
      </c>
      <c r="H364" s="1">
        <v>35.909999999999997</v>
      </c>
      <c r="I364" s="1">
        <v>35.909999999999997</v>
      </c>
      <c r="J364" s="1">
        <v>0.56000000000000005</v>
      </c>
      <c r="K364" s="3">
        <v>1313</v>
      </c>
      <c r="L364" s="13">
        <v>2505</v>
      </c>
      <c r="M364" s="49">
        <v>158.4</v>
      </c>
      <c r="N364" s="1">
        <v>443.5</v>
      </c>
      <c r="O364" s="3">
        <v>46</v>
      </c>
      <c r="P364" s="11" t="s">
        <v>2276</v>
      </c>
      <c r="Q364" s="3">
        <v>12</v>
      </c>
      <c r="R364" s="3">
        <v>192</v>
      </c>
      <c r="S364" s="22">
        <v>21</v>
      </c>
      <c r="T364" s="9">
        <v>220</v>
      </c>
      <c r="U364" s="14" t="s">
        <v>527</v>
      </c>
      <c r="V364" s="12">
        <v>4</v>
      </c>
      <c r="W364" s="75">
        <v>16</v>
      </c>
      <c r="X364" s="76">
        <v>16</v>
      </c>
      <c r="Y364" s="9">
        <v>846.2</v>
      </c>
      <c r="Z364" s="3">
        <v>907.63</v>
      </c>
      <c r="AA364" s="17" t="s">
        <v>535</v>
      </c>
      <c r="AB364" s="18" t="s">
        <v>534</v>
      </c>
      <c r="AC364" s="46" cm="1">
        <f t="array" ref="AC364">(SUMPRODUCT((H364:O364/H$9:O$9)^H$7:O$7*H$2:O$2)+SUMPRODUCT((Q364:T364/Q$9:T$9)^Q$7:T$7*Q$2:T$2))*(0.8^(1-G364))*AC$9</f>
        <v>2.1919154409202921</v>
      </c>
      <c r="AD364" s="48" cm="1">
        <f t="array" ref="AD364">(SUMPRODUCT((H364:O364/H$9:O$9)^H$7:O$7*H$3:O$3)+SUMPRODUCT((Q364:T364/Q$9:T$9)^Q$7:T$7*Q$3:T$3))*(0.1^(1-G364))*AD$9</f>
        <v>2.9259145532453892</v>
      </c>
      <c r="AE364" s="48" cm="1">
        <f t="array" ref="AE364">(SUMPRODUCT((H364:O364/H$9:O$9)^H$7:O$7*H$4:O$4)+SUMPRODUCT((Q364:T364/Q$9:T$9)^Q$7:T$7*Q$4:T$4))*AE$9</f>
        <v>2.5981260240301007</v>
      </c>
      <c r="AF364" s="47" cm="1">
        <f t="array" ref="AF364">(SUMPRODUCT((H364:O364/H$9:O$9)^H$7:O$7*H$5:O$5)+SUMPRODUCT((Q364:T364/Q$9:T$9)^Q$7:T$7*Q$5:T$5))*AF$9</f>
        <v>2.3772535873514076</v>
      </c>
      <c r="AG364" s="50" cm="1">
        <f t="array" ref="AG364">SUMPRODUCT(AC364:AF364 * AC$3:AF$3) / SUM(AC$3:AF$3)</f>
        <v>2.675716925851622</v>
      </c>
    </row>
    <row r="365" spans="1:33" x14ac:dyDescent="0.25">
      <c r="A365" s="81" t="s">
        <v>531</v>
      </c>
      <c r="B365" s="20" t="s">
        <v>533</v>
      </c>
      <c r="C365" s="4" t="s">
        <v>8853</v>
      </c>
      <c r="D365" s="4" t="str">
        <f t="shared" si="5"/>
        <v>Zotac</v>
      </c>
      <c r="E365" s="4" t="s">
        <v>8855</v>
      </c>
      <c r="F365" s="14" t="s">
        <v>8877</v>
      </c>
      <c r="G365" s="9">
        <v>1</v>
      </c>
      <c r="H365" s="1">
        <v>35.700000000000003</v>
      </c>
      <c r="I365" s="1">
        <v>35.700000000000003</v>
      </c>
      <c r="J365" s="1">
        <v>0.56000000000000005</v>
      </c>
      <c r="K365" s="3">
        <v>1313</v>
      </c>
      <c r="L365" s="13">
        <v>2490</v>
      </c>
      <c r="M365" s="49">
        <v>158.4</v>
      </c>
      <c r="N365" s="1">
        <v>443.5</v>
      </c>
      <c r="O365" s="3">
        <v>46</v>
      </c>
      <c r="P365" s="11" t="s">
        <v>2276</v>
      </c>
      <c r="Q365" s="3">
        <v>12</v>
      </c>
      <c r="R365" s="3">
        <v>192</v>
      </c>
      <c r="S365" s="22">
        <v>21</v>
      </c>
      <c r="T365" s="9">
        <v>220</v>
      </c>
      <c r="U365" s="14" t="s">
        <v>527</v>
      </c>
      <c r="V365" s="12">
        <v>4</v>
      </c>
      <c r="W365" s="75">
        <v>16</v>
      </c>
      <c r="X365" s="76">
        <v>16</v>
      </c>
      <c r="Y365" s="9">
        <v>692</v>
      </c>
      <c r="Z365" s="3">
        <v>819.15</v>
      </c>
      <c r="AA365" s="17" t="s">
        <v>532</v>
      </c>
      <c r="AB365" s="18" t="s">
        <v>531</v>
      </c>
      <c r="AC365" s="46" cm="1">
        <f t="array" ref="AC365">(SUMPRODUCT((H365:O365/H$9:O$9)^H$7:O$7*H$2:O$2)+SUMPRODUCT((Q365:T365/Q$9:T$9)^Q$7:T$7*Q$2:T$2))*(0.8^(1-G365))*AC$9</f>
        <v>2.1889192273940932</v>
      </c>
      <c r="AD365" s="48" cm="1">
        <f t="array" ref="AD365">(SUMPRODUCT((H365:O365/H$9:O$9)^H$7:O$7*H$3:O$3)+SUMPRODUCT((Q365:T365/Q$9:T$9)^Q$7:T$7*Q$3:T$3))*(0.1^(1-G365))*AD$9</f>
        <v>2.9150710325228975</v>
      </c>
      <c r="AE365" s="48" cm="1">
        <f t="array" ref="AE365">(SUMPRODUCT((H365:O365/H$9:O$9)^H$7:O$7*H$4:O$4)+SUMPRODUCT((Q365:T365/Q$9:T$9)^Q$7:T$7*Q$4:T$4))*AE$9</f>
        <v>2.5947209321740297</v>
      </c>
      <c r="AF365" s="47" cm="1">
        <f t="array" ref="AF365">(SUMPRODUCT((H365:O365/H$9:O$9)^H$7:O$7*H$5:O$5)+SUMPRODUCT((Q365:T365/Q$9:T$9)^Q$7:T$7*Q$5:T$5))*AF$9</f>
        <v>2.3709804647692714</v>
      </c>
      <c r="AG365" s="50" cm="1">
        <f t="array" ref="AG365">SUMPRODUCT(AC365:AF365 * AC$3:AF$3) / SUM(AC$3:AF$3)</f>
        <v>2.6677695147815075</v>
      </c>
    </row>
    <row r="366" spans="1:33" x14ac:dyDescent="0.25">
      <c r="A366" s="81" t="s">
        <v>528</v>
      </c>
      <c r="B366" s="20" t="s">
        <v>530</v>
      </c>
      <c r="C366" s="4" t="s">
        <v>8853</v>
      </c>
      <c r="D366" s="4" t="str">
        <f t="shared" si="5"/>
        <v>Zotac</v>
      </c>
      <c r="E366" s="4" t="s">
        <v>8855</v>
      </c>
      <c r="F366" s="14" t="s">
        <v>8877</v>
      </c>
      <c r="G366" s="9">
        <v>1</v>
      </c>
      <c r="H366" s="1">
        <v>35.700000000000003</v>
      </c>
      <c r="I366" s="1">
        <v>35.700000000000003</v>
      </c>
      <c r="J366" s="1">
        <v>0.56000000000000005</v>
      </c>
      <c r="K366" s="3">
        <v>1313</v>
      </c>
      <c r="L366" s="13">
        <v>2490</v>
      </c>
      <c r="M366" s="49">
        <v>158.4</v>
      </c>
      <c r="N366" s="1">
        <v>443.5</v>
      </c>
      <c r="O366" s="3">
        <v>46</v>
      </c>
      <c r="P366" s="11" t="s">
        <v>2276</v>
      </c>
      <c r="Q366" s="3">
        <v>12</v>
      </c>
      <c r="R366" s="3">
        <v>192</v>
      </c>
      <c r="S366" s="22">
        <v>21</v>
      </c>
      <c r="T366" s="9">
        <v>220</v>
      </c>
      <c r="U366" s="14" t="s">
        <v>527</v>
      </c>
      <c r="V366" s="12">
        <v>4</v>
      </c>
      <c r="W366" s="75">
        <v>16</v>
      </c>
      <c r="X366" s="76">
        <v>16</v>
      </c>
      <c r="Y366" s="9">
        <v>748.62</v>
      </c>
      <c r="Z366" s="3">
        <v>1279.0999999999999</v>
      </c>
      <c r="AA366" s="17" t="s">
        <v>529</v>
      </c>
      <c r="AB366" s="18" t="s">
        <v>528</v>
      </c>
      <c r="AC366" s="46" cm="1">
        <f t="array" ref="AC366">(SUMPRODUCT((H366:O366/H$9:O$9)^H$7:O$7*H$2:O$2)+SUMPRODUCT((Q366:T366/Q$9:T$9)^Q$7:T$7*Q$2:T$2))*(0.8^(1-G366))*AC$9</f>
        <v>2.1889192273940932</v>
      </c>
      <c r="AD366" s="48" cm="1">
        <f t="array" ref="AD366">(SUMPRODUCT((H366:O366/H$9:O$9)^H$7:O$7*H$3:O$3)+SUMPRODUCT((Q366:T366/Q$9:T$9)^Q$7:T$7*Q$3:T$3))*(0.1^(1-G366))*AD$9</f>
        <v>2.9150710325228975</v>
      </c>
      <c r="AE366" s="48" cm="1">
        <f t="array" ref="AE366">(SUMPRODUCT((H366:O366/H$9:O$9)^H$7:O$7*H$4:O$4)+SUMPRODUCT((Q366:T366/Q$9:T$9)^Q$7:T$7*Q$4:T$4))*AE$9</f>
        <v>2.5947209321740297</v>
      </c>
      <c r="AF366" s="47" cm="1">
        <f t="array" ref="AF366">(SUMPRODUCT((H366:O366/H$9:O$9)^H$7:O$7*H$5:O$5)+SUMPRODUCT((Q366:T366/Q$9:T$9)^Q$7:T$7*Q$5:T$5))*AF$9</f>
        <v>2.3709804647692714</v>
      </c>
      <c r="AG366" s="50" cm="1">
        <f t="array" ref="AG366">SUMPRODUCT(AC366:AF366 * AC$3:AF$3) / SUM(AC$3:AF$3)</f>
        <v>2.6677695147815075</v>
      </c>
    </row>
    <row r="367" spans="1:33" x14ac:dyDescent="0.25">
      <c r="A367" s="81" t="s">
        <v>524</v>
      </c>
      <c r="B367" s="20" t="s">
        <v>526</v>
      </c>
      <c r="C367" s="4" t="s">
        <v>8853</v>
      </c>
      <c r="D367" s="4" t="str">
        <f t="shared" si="5"/>
        <v>Zotac</v>
      </c>
      <c r="E367" s="4" t="s">
        <v>8855</v>
      </c>
      <c r="F367" s="14" t="s">
        <v>8877</v>
      </c>
      <c r="G367" s="9">
        <v>1</v>
      </c>
      <c r="H367" s="1">
        <v>35.479999999999997</v>
      </c>
      <c r="I367" s="1">
        <v>35.479999999999997</v>
      </c>
      <c r="J367" s="1">
        <v>0.55000000000000004</v>
      </c>
      <c r="K367" s="3">
        <v>1313</v>
      </c>
      <c r="L367" s="13">
        <v>2475</v>
      </c>
      <c r="M367" s="49">
        <v>158.4</v>
      </c>
      <c r="N367" s="1">
        <v>443.5</v>
      </c>
      <c r="O367" s="3">
        <v>46</v>
      </c>
      <c r="P367" s="11" t="s">
        <v>2276</v>
      </c>
      <c r="Q367" s="3">
        <v>12</v>
      </c>
      <c r="R367" s="3">
        <v>192</v>
      </c>
      <c r="S367" s="22">
        <v>21</v>
      </c>
      <c r="T367" s="9">
        <v>220</v>
      </c>
      <c r="U367" s="14" t="s">
        <v>527</v>
      </c>
      <c r="V367" s="12">
        <v>4</v>
      </c>
      <c r="W367" s="75">
        <v>16</v>
      </c>
      <c r="X367" s="76">
        <v>16</v>
      </c>
      <c r="Y367" s="9">
        <v>753.66</v>
      </c>
      <c r="Z367" s="3">
        <v>1196.98</v>
      </c>
      <c r="AA367" s="17" t="s">
        <v>525</v>
      </c>
      <c r="AB367" s="18" t="s">
        <v>524</v>
      </c>
      <c r="AC367" s="46" cm="1">
        <f t="array" ref="AC367">(SUMPRODUCT((H367:O367/H$9:O$9)^H$7:O$7*H$2:O$2)+SUMPRODUCT((Q367:T367/Q$9:T$9)^Q$7:T$7*Q$2:T$2))*(0.8^(1-G367))*AC$9</f>
        <v>2.1858671268501544</v>
      </c>
      <c r="AD367" s="48" cm="1">
        <f t="array" ref="AD367">(SUMPRODUCT((H367:O367/H$9:O$9)^H$7:O$7*H$3:O$3)+SUMPRODUCT((Q367:T367/Q$9:T$9)^Q$7:T$7*Q$3:T$3))*(0.1^(1-G367))*AD$9</f>
        <v>2.901089368080696</v>
      </c>
      <c r="AE367" s="48" cm="1">
        <f t="array" ref="AE367">(SUMPRODUCT((H367:O367/H$9:O$9)^H$7:O$7*H$4:O$4)+SUMPRODUCT((Q367:T367/Q$9:T$9)^Q$7:T$7*Q$4:T$4))*AE$9</f>
        <v>2.5727359089696362</v>
      </c>
      <c r="AF367" s="47" cm="1">
        <f t="array" ref="AF367">(SUMPRODUCT((H367:O367/H$9:O$9)^H$7:O$7*H$5:O$5)+SUMPRODUCT((Q367:T367/Q$9:T$9)^Q$7:T$7*Q$5:T$5))*AF$9</f>
        <v>2.3644398229062804</v>
      </c>
      <c r="AG367" s="50" cm="1">
        <f t="array" ref="AG367">SUMPRODUCT(AC367:AF367 * AC$3:AF$3) / SUM(AC$3:AF$3)</f>
        <v>2.6559603526675297</v>
      </c>
    </row>
    <row r="368" spans="1:33" x14ac:dyDescent="0.25">
      <c r="A368" s="81" t="s">
        <v>2009</v>
      </c>
      <c r="B368" s="20" t="s">
        <v>2011</v>
      </c>
      <c r="C368" s="4" t="s">
        <v>8853</v>
      </c>
      <c r="D368" s="4" t="str">
        <f t="shared" si="5"/>
        <v>ASUS</v>
      </c>
      <c r="E368" s="4" t="s">
        <v>8855</v>
      </c>
      <c r="F368" s="14" t="s">
        <v>8878</v>
      </c>
      <c r="G368" s="9">
        <v>1</v>
      </c>
      <c r="H368" s="1">
        <v>40.549999999999997</v>
      </c>
      <c r="I368" s="1">
        <v>40.549999999999997</v>
      </c>
      <c r="J368" s="1">
        <v>0.63</v>
      </c>
      <c r="K368" s="3">
        <v>1313</v>
      </c>
      <c r="L368" s="13">
        <v>2640</v>
      </c>
      <c r="M368" s="49">
        <v>184.8</v>
      </c>
      <c r="N368" s="1">
        <v>554.4</v>
      </c>
      <c r="O368" s="3">
        <v>60</v>
      </c>
      <c r="P368" s="11" t="s">
        <v>2276</v>
      </c>
      <c r="Q368" s="3">
        <v>12</v>
      </c>
      <c r="R368" s="3">
        <v>192</v>
      </c>
      <c r="S368" s="22">
        <v>21</v>
      </c>
      <c r="T368" s="9">
        <v>285</v>
      </c>
      <c r="U368" s="14" t="s">
        <v>527</v>
      </c>
      <c r="V368" s="12">
        <v>4</v>
      </c>
      <c r="W368" s="75">
        <v>16</v>
      </c>
      <c r="X368" s="76">
        <v>16</v>
      </c>
      <c r="Y368" s="9">
        <v>1643.34</v>
      </c>
      <c r="Z368" s="3">
        <v>1744.83</v>
      </c>
      <c r="AA368" s="17" t="s">
        <v>2010</v>
      </c>
      <c r="AB368" s="18" t="s">
        <v>2009</v>
      </c>
      <c r="AC368" s="46" cm="1">
        <f t="array" ref="AC368">(SUMPRODUCT((H368:O368/H$9:O$9)^H$7:O$7*H$2:O$2)+SUMPRODUCT((Q368:T368/Q$9:T$9)^Q$7:T$7*Q$2:T$2))*(0.8^(1-G368))*AC$9</f>
        <v>2.4234756599669587</v>
      </c>
      <c r="AD368" s="48" cm="1">
        <f t="array" ref="AD368">(SUMPRODUCT((H368:O368/H$9:O$9)^H$7:O$7*H$3:O$3)+SUMPRODUCT((Q368:T368/Q$9:T$9)^Q$7:T$7*Q$3:T$3))*(0.1^(1-G368))*AD$9</f>
        <v>3.1734431095527946</v>
      </c>
      <c r="AE368" s="48" cm="1">
        <f t="array" ref="AE368">(SUMPRODUCT((H368:O368/H$9:O$9)^H$7:O$7*H$4:O$4)+SUMPRODUCT((Q368:T368/Q$9:T$9)^Q$7:T$7*Q$4:T$4))*AE$9</f>
        <v>2.8000207770789665</v>
      </c>
      <c r="AF368" s="47" cm="1">
        <f t="array" ref="AF368">(SUMPRODUCT((H368:O368/H$9:O$9)^H$7:O$7*H$5:O$5)+SUMPRODUCT((Q368:T368/Q$9:T$9)^Q$7:T$7*Q$5:T$5))*AF$9</f>
        <v>2.6215477172276738</v>
      </c>
      <c r="AG368" s="50" cm="1">
        <f t="array" ref="AG368">SUMPRODUCT(AC368:AF368 * AC$3:AF$3) / SUM(AC$3:AF$3)</f>
        <v>2.9149745989594318</v>
      </c>
    </row>
    <row r="369" spans="1:33" x14ac:dyDescent="0.25">
      <c r="A369" s="81" t="s">
        <v>2003</v>
      </c>
      <c r="B369" s="20" t="s">
        <v>2005</v>
      </c>
      <c r="C369" s="4" t="s">
        <v>8853</v>
      </c>
      <c r="D369" s="4" t="str">
        <f t="shared" si="5"/>
        <v>ASUS</v>
      </c>
      <c r="E369" s="4" t="s">
        <v>8855</v>
      </c>
      <c r="F369" s="14" t="s">
        <v>8878</v>
      </c>
      <c r="G369" s="9">
        <v>1</v>
      </c>
      <c r="H369" s="1">
        <v>40.549999999999997</v>
      </c>
      <c r="I369" s="1">
        <v>40.549999999999997</v>
      </c>
      <c r="J369" s="1">
        <v>0.63</v>
      </c>
      <c r="K369" s="3">
        <v>1313</v>
      </c>
      <c r="L369" s="13">
        <v>2640</v>
      </c>
      <c r="M369" s="49">
        <v>184.8</v>
      </c>
      <c r="N369" s="1">
        <v>554.4</v>
      </c>
      <c r="O369" s="3">
        <v>60</v>
      </c>
      <c r="P369" s="11" t="s">
        <v>2276</v>
      </c>
      <c r="Q369" s="3">
        <v>12</v>
      </c>
      <c r="R369" s="3">
        <v>192</v>
      </c>
      <c r="S369" s="22">
        <v>21</v>
      </c>
      <c r="T369" s="9">
        <v>285</v>
      </c>
      <c r="U369" s="14" t="s">
        <v>527</v>
      </c>
      <c r="V369" s="12">
        <v>4</v>
      </c>
      <c r="W369" s="75">
        <v>16</v>
      </c>
      <c r="X369" s="76">
        <v>16</v>
      </c>
      <c r="Y369" s="9">
        <v>1616.31</v>
      </c>
      <c r="Z369" s="3">
        <v>1616.31</v>
      </c>
      <c r="AA369" s="17" t="s">
        <v>2004</v>
      </c>
      <c r="AB369" s="18" t="s">
        <v>2003</v>
      </c>
      <c r="AC369" s="46" cm="1">
        <f t="array" ref="AC369">(SUMPRODUCT((H369:O369/H$9:O$9)^H$7:O$7*H$2:O$2)+SUMPRODUCT((Q369:T369/Q$9:T$9)^Q$7:T$7*Q$2:T$2))*(0.8^(1-G369))*AC$9</f>
        <v>2.4234756599669587</v>
      </c>
      <c r="AD369" s="48" cm="1">
        <f t="array" ref="AD369">(SUMPRODUCT((H369:O369/H$9:O$9)^H$7:O$7*H$3:O$3)+SUMPRODUCT((Q369:T369/Q$9:T$9)^Q$7:T$7*Q$3:T$3))*(0.1^(1-G369))*AD$9</f>
        <v>3.1734431095527946</v>
      </c>
      <c r="AE369" s="48" cm="1">
        <f t="array" ref="AE369">(SUMPRODUCT((H369:O369/H$9:O$9)^H$7:O$7*H$4:O$4)+SUMPRODUCT((Q369:T369/Q$9:T$9)^Q$7:T$7*Q$4:T$4))*AE$9</f>
        <v>2.8000207770789665</v>
      </c>
      <c r="AF369" s="47" cm="1">
        <f t="array" ref="AF369">(SUMPRODUCT((H369:O369/H$9:O$9)^H$7:O$7*H$5:O$5)+SUMPRODUCT((Q369:T369/Q$9:T$9)^Q$7:T$7*Q$5:T$5))*AF$9</f>
        <v>2.6215477172276738</v>
      </c>
      <c r="AG369" s="50" cm="1">
        <f t="array" ref="AG369">SUMPRODUCT(AC369:AF369 * AC$3:AF$3) / SUM(AC$3:AF$3)</f>
        <v>2.9149745989594318</v>
      </c>
    </row>
    <row r="370" spans="1:33" x14ac:dyDescent="0.25">
      <c r="A370" s="81" t="s">
        <v>1916</v>
      </c>
      <c r="B370" s="20" t="s">
        <v>1918</v>
      </c>
      <c r="C370" s="4" t="s">
        <v>8853</v>
      </c>
      <c r="D370" s="4" t="str">
        <f t="shared" si="5"/>
        <v>ASUS</v>
      </c>
      <c r="E370" s="4" t="s">
        <v>8855</v>
      </c>
      <c r="F370" s="14" t="s">
        <v>8878</v>
      </c>
      <c r="G370" s="9">
        <v>1</v>
      </c>
      <c r="H370" s="1">
        <v>42.85</v>
      </c>
      <c r="I370" s="1">
        <v>42.85</v>
      </c>
      <c r="J370" s="1">
        <v>0.67</v>
      </c>
      <c r="K370" s="3">
        <v>1313</v>
      </c>
      <c r="L370" s="13">
        <v>2790</v>
      </c>
      <c r="M370" s="49">
        <v>184.8</v>
      </c>
      <c r="N370" s="1">
        <v>554.4</v>
      </c>
      <c r="O370" s="3">
        <v>60</v>
      </c>
      <c r="P370" s="11" t="s">
        <v>2276</v>
      </c>
      <c r="Q370" s="3">
        <v>12</v>
      </c>
      <c r="R370" s="3">
        <v>192</v>
      </c>
      <c r="S370" s="22">
        <v>21</v>
      </c>
      <c r="T370" s="9">
        <v>285</v>
      </c>
      <c r="U370" s="14" t="s">
        <v>471</v>
      </c>
      <c r="V370" s="12">
        <v>4</v>
      </c>
      <c r="W370" s="75">
        <v>16</v>
      </c>
      <c r="X370" s="76">
        <v>16</v>
      </c>
      <c r="Y370" s="9">
        <v>1990.3</v>
      </c>
      <c r="Z370" s="3">
        <v>2343.79</v>
      </c>
      <c r="AA370" s="17" t="s">
        <v>1917</v>
      </c>
      <c r="AB370" s="18" t="s">
        <v>1916</v>
      </c>
      <c r="AC370" s="46" cm="1">
        <f t="array" ref="AC370">(SUMPRODUCT((H370:O370/H$9:O$9)^H$7:O$7*H$2:O$2)+SUMPRODUCT((Q370:T370/Q$9:T$9)^Q$7:T$7*Q$2:T$2))*(0.8^(1-G370))*AC$9</f>
        <v>2.4541764027761248</v>
      </c>
      <c r="AD370" s="48" cm="1">
        <f t="array" ref="AD370">(SUMPRODUCT((H370:O370/H$9:O$9)^H$7:O$7*H$3:O$3)+SUMPRODUCT((Q370:T370/Q$9:T$9)^Q$7:T$7*Q$3:T$3))*(0.1^(1-G370))*AD$9</f>
        <v>3.2997979340568748</v>
      </c>
      <c r="AE370" s="48" cm="1">
        <f t="array" ref="AE370">(SUMPRODUCT((H370:O370/H$9:O$9)^H$7:O$7*H$4:O$4)+SUMPRODUCT((Q370:T370/Q$9:T$9)^Q$7:T$7*Q$4:T$4))*AE$9</f>
        <v>2.9081246559696083</v>
      </c>
      <c r="AF370" s="47" cm="1">
        <f t="array" ref="AF370">(SUMPRODUCT((H370:O370/H$9:O$9)^H$7:O$7*H$5:O$5)+SUMPRODUCT((Q370:T370/Q$9:T$9)^Q$7:T$7*Q$5:T$5))*AF$9</f>
        <v>2.6884865782008651</v>
      </c>
      <c r="AG370" s="50" cm="1">
        <f t="array" ref="AG370">SUMPRODUCT(AC370:AF370 * AC$3:AF$3) / SUM(AC$3:AF$3)</f>
        <v>3.0134565330799408</v>
      </c>
    </row>
    <row r="371" spans="1:33" x14ac:dyDescent="0.25">
      <c r="A371" s="81" t="s">
        <v>1907</v>
      </c>
      <c r="B371" s="20" t="s">
        <v>1909</v>
      </c>
      <c r="C371" s="4" t="s">
        <v>8853</v>
      </c>
      <c r="D371" s="4" t="str">
        <f t="shared" si="5"/>
        <v>ASUS</v>
      </c>
      <c r="E371" s="4" t="s">
        <v>8855</v>
      </c>
      <c r="F371" s="14" t="s">
        <v>8878</v>
      </c>
      <c r="G371" s="9">
        <v>1</v>
      </c>
      <c r="H371" s="1">
        <v>40.549999999999997</v>
      </c>
      <c r="I371" s="1">
        <v>40.549999999999997</v>
      </c>
      <c r="J371" s="1">
        <v>0.63</v>
      </c>
      <c r="K371" s="3">
        <v>1313</v>
      </c>
      <c r="L371" s="13">
        <v>2640</v>
      </c>
      <c r="M371" s="49">
        <v>184.8</v>
      </c>
      <c r="N371" s="1">
        <v>554.4</v>
      </c>
      <c r="O371" s="3">
        <v>60</v>
      </c>
      <c r="P371" s="11" t="s">
        <v>2276</v>
      </c>
      <c r="Q371" s="3">
        <v>12</v>
      </c>
      <c r="R371" s="3">
        <v>192</v>
      </c>
      <c r="S371" s="22">
        <v>21</v>
      </c>
      <c r="T371" s="9">
        <v>285</v>
      </c>
      <c r="U371" s="14" t="s">
        <v>471</v>
      </c>
      <c r="V371" s="12">
        <v>4</v>
      </c>
      <c r="W371" s="75">
        <v>16</v>
      </c>
      <c r="X371" s="76">
        <v>16</v>
      </c>
      <c r="Y371" s="9">
        <v>1698.49</v>
      </c>
      <c r="Z371" s="3">
        <v>1901.24</v>
      </c>
      <c r="AA371" s="17" t="s">
        <v>1908</v>
      </c>
      <c r="AB371" s="18" t="s">
        <v>1907</v>
      </c>
      <c r="AC371" s="46" cm="1">
        <f t="array" ref="AC371">(SUMPRODUCT((H371:O371/H$9:O$9)^H$7:O$7*H$2:O$2)+SUMPRODUCT((Q371:T371/Q$9:T$9)^Q$7:T$7*Q$2:T$2))*(0.8^(1-G371))*AC$9</f>
        <v>2.4234756599669587</v>
      </c>
      <c r="AD371" s="48" cm="1">
        <f t="array" ref="AD371">(SUMPRODUCT((H371:O371/H$9:O$9)^H$7:O$7*H$3:O$3)+SUMPRODUCT((Q371:T371/Q$9:T$9)^Q$7:T$7*Q$3:T$3))*(0.1^(1-G371))*AD$9</f>
        <v>3.1734431095527946</v>
      </c>
      <c r="AE371" s="48" cm="1">
        <f t="array" ref="AE371">(SUMPRODUCT((H371:O371/H$9:O$9)^H$7:O$7*H$4:O$4)+SUMPRODUCT((Q371:T371/Q$9:T$9)^Q$7:T$7*Q$4:T$4))*AE$9</f>
        <v>2.8000207770789665</v>
      </c>
      <c r="AF371" s="47" cm="1">
        <f t="array" ref="AF371">(SUMPRODUCT((H371:O371/H$9:O$9)^H$7:O$7*H$5:O$5)+SUMPRODUCT((Q371:T371/Q$9:T$9)^Q$7:T$7*Q$5:T$5))*AF$9</f>
        <v>2.6215477172276738</v>
      </c>
      <c r="AG371" s="50" cm="1">
        <f t="array" ref="AG371">SUMPRODUCT(AC371:AF371 * AC$3:AF$3) / SUM(AC$3:AF$3)</f>
        <v>2.9149745989594318</v>
      </c>
    </row>
    <row r="372" spans="1:33" x14ac:dyDescent="0.25">
      <c r="A372" s="81" t="s">
        <v>1789</v>
      </c>
      <c r="B372" s="20" t="s">
        <v>1791</v>
      </c>
      <c r="C372" s="4" t="s">
        <v>8853</v>
      </c>
      <c r="D372" s="4" t="str">
        <f t="shared" si="5"/>
        <v>ASUS</v>
      </c>
      <c r="E372" s="4" t="s">
        <v>8855</v>
      </c>
      <c r="F372" s="14" t="s">
        <v>8878</v>
      </c>
      <c r="G372" s="9">
        <v>1</v>
      </c>
      <c r="H372" s="1">
        <v>42.39</v>
      </c>
      <c r="I372" s="1">
        <v>42.39</v>
      </c>
      <c r="J372" s="1">
        <v>0.66</v>
      </c>
      <c r="K372" s="3">
        <v>1313</v>
      </c>
      <c r="L372" s="13">
        <v>2760</v>
      </c>
      <c r="M372" s="49">
        <v>184.8</v>
      </c>
      <c r="N372" s="1">
        <v>554.4</v>
      </c>
      <c r="O372" s="3">
        <v>60</v>
      </c>
      <c r="P372" s="11" t="s">
        <v>2276</v>
      </c>
      <c r="Q372" s="3">
        <v>12</v>
      </c>
      <c r="R372" s="3">
        <v>192</v>
      </c>
      <c r="S372" s="22">
        <v>21</v>
      </c>
      <c r="T372" s="9">
        <v>285</v>
      </c>
      <c r="U372" s="14" t="s">
        <v>527</v>
      </c>
      <c r="V372" s="12">
        <v>4</v>
      </c>
      <c r="W372" s="75">
        <v>16</v>
      </c>
      <c r="X372" s="76">
        <v>16</v>
      </c>
      <c r="Y372" s="9">
        <v>1152.0899999999999</v>
      </c>
      <c r="Z372" s="3">
        <v>2053.0700000000002</v>
      </c>
      <c r="AA372" s="17" t="s">
        <v>1790</v>
      </c>
      <c r="AB372" s="18" t="s">
        <v>1789</v>
      </c>
      <c r="AC372" s="46" cm="1">
        <f t="array" ref="AC372">(SUMPRODUCT((H372:O372/H$9:O$9)^H$7:O$7*H$2:O$2)+SUMPRODUCT((Q372:T372/Q$9:T$9)^Q$7:T$7*Q$2:T$2))*(0.8^(1-G372))*AC$9</f>
        <v>2.4480497346540502</v>
      </c>
      <c r="AD372" s="48" cm="1">
        <f t="array" ref="AD372">(SUMPRODUCT((H372:O372/H$9:O$9)^H$7:O$7*H$3:O$3)+SUMPRODUCT((Q372:T372/Q$9:T$9)^Q$7:T$7*Q$3:T$3))*(0.1^(1-G372))*AD$9</f>
        <v>3.2740937228847935</v>
      </c>
      <c r="AE372" s="48" cm="1">
        <f t="array" ref="AE372">(SUMPRODUCT((H372:O372/H$9:O$9)^H$7:O$7*H$4:O$4)+SUMPRODUCT((Q372:T372/Q$9:T$9)^Q$7:T$7*Q$4:T$4))*AE$9</f>
        <v>2.8830331770289455</v>
      </c>
      <c r="AF372" s="47" cm="1">
        <f t="array" ref="AF372">(SUMPRODUCT((H372:O372/H$9:O$9)^H$7:O$7*H$5:O$5)+SUMPRODUCT((Q372:T372/Q$9:T$9)^Q$7:T$7*Q$5:T$5))*AF$9</f>
        <v>2.6751304932666273</v>
      </c>
      <c r="AG372" s="50" cm="1">
        <f t="array" ref="AG372">SUMPRODUCT(AC372:AF372 * AC$3:AF$3) / SUM(AC$3:AF$3)</f>
        <v>2.9931413481482148</v>
      </c>
    </row>
    <row r="373" spans="1:33" x14ac:dyDescent="0.25">
      <c r="A373" s="81" t="s">
        <v>1786</v>
      </c>
      <c r="B373" s="20" t="s">
        <v>1788</v>
      </c>
      <c r="C373" s="4" t="s">
        <v>8853</v>
      </c>
      <c r="D373" s="4" t="str">
        <f t="shared" si="5"/>
        <v>ASUS</v>
      </c>
      <c r="E373" s="4" t="s">
        <v>8855</v>
      </c>
      <c r="F373" s="14" t="s">
        <v>8878</v>
      </c>
      <c r="G373" s="9">
        <v>1</v>
      </c>
      <c r="H373" s="1">
        <v>42.39</v>
      </c>
      <c r="I373" s="1">
        <v>42.39</v>
      </c>
      <c r="J373" s="1">
        <v>0.66</v>
      </c>
      <c r="K373" s="3">
        <v>1313</v>
      </c>
      <c r="L373" s="13">
        <v>2760</v>
      </c>
      <c r="M373" s="49">
        <v>184.8</v>
      </c>
      <c r="N373" s="1">
        <v>554.4</v>
      </c>
      <c r="O373" s="3">
        <v>60</v>
      </c>
      <c r="P373" s="11" t="s">
        <v>2276</v>
      </c>
      <c r="Q373" s="3">
        <v>12</v>
      </c>
      <c r="R373" s="3">
        <v>192</v>
      </c>
      <c r="S373" s="22">
        <v>21</v>
      </c>
      <c r="T373" s="9">
        <v>285</v>
      </c>
      <c r="U373" s="14" t="s">
        <v>527</v>
      </c>
      <c r="V373" s="12">
        <v>4</v>
      </c>
      <c r="W373" s="75">
        <v>16</v>
      </c>
      <c r="X373" s="76">
        <v>16</v>
      </c>
      <c r="Y373" s="9">
        <v>1673.97</v>
      </c>
      <c r="Z373" s="3">
        <v>1673.97</v>
      </c>
      <c r="AA373" s="17" t="s">
        <v>1787</v>
      </c>
      <c r="AB373" s="18" t="s">
        <v>1786</v>
      </c>
      <c r="AC373" s="46" cm="1">
        <f t="array" ref="AC373">(SUMPRODUCT((H373:O373/H$9:O$9)^H$7:O$7*H$2:O$2)+SUMPRODUCT((Q373:T373/Q$9:T$9)^Q$7:T$7*Q$2:T$2))*(0.8^(1-G373))*AC$9</f>
        <v>2.4480497346540502</v>
      </c>
      <c r="AD373" s="48" cm="1">
        <f t="array" ref="AD373">(SUMPRODUCT((H373:O373/H$9:O$9)^H$7:O$7*H$3:O$3)+SUMPRODUCT((Q373:T373/Q$9:T$9)^Q$7:T$7*Q$3:T$3))*(0.1^(1-G373))*AD$9</f>
        <v>3.2740937228847935</v>
      </c>
      <c r="AE373" s="48" cm="1">
        <f t="array" ref="AE373">(SUMPRODUCT((H373:O373/H$9:O$9)^H$7:O$7*H$4:O$4)+SUMPRODUCT((Q373:T373/Q$9:T$9)^Q$7:T$7*Q$4:T$4))*AE$9</f>
        <v>2.8830331770289455</v>
      </c>
      <c r="AF373" s="47" cm="1">
        <f t="array" ref="AF373">(SUMPRODUCT((H373:O373/H$9:O$9)^H$7:O$7*H$5:O$5)+SUMPRODUCT((Q373:T373/Q$9:T$9)^Q$7:T$7*Q$5:T$5))*AF$9</f>
        <v>2.6751304932666273</v>
      </c>
      <c r="AG373" s="50" cm="1">
        <f t="array" ref="AG373">SUMPRODUCT(AC373:AF373 * AC$3:AF$3) / SUM(AC$3:AF$3)</f>
        <v>2.9931413481482148</v>
      </c>
    </row>
    <row r="374" spans="1:33" x14ac:dyDescent="0.25">
      <c r="A374" s="81" t="s">
        <v>1770</v>
      </c>
      <c r="B374" s="20" t="s">
        <v>1772</v>
      </c>
      <c r="C374" s="4" t="s">
        <v>8853</v>
      </c>
      <c r="D374" s="4" t="str">
        <f t="shared" si="5"/>
        <v>ASUS</v>
      </c>
      <c r="E374" s="4" t="s">
        <v>8855</v>
      </c>
      <c r="F374" s="14" t="s">
        <v>8878</v>
      </c>
      <c r="G374" s="9">
        <v>1</v>
      </c>
      <c r="H374" s="1">
        <v>40.549999999999997</v>
      </c>
      <c r="I374" s="1">
        <v>40.549999999999997</v>
      </c>
      <c r="J374" s="1">
        <v>0.63</v>
      </c>
      <c r="K374" s="3">
        <v>1313</v>
      </c>
      <c r="L374" s="13">
        <v>2640</v>
      </c>
      <c r="M374" s="49">
        <v>184.8</v>
      </c>
      <c r="N374" s="1">
        <v>554.4</v>
      </c>
      <c r="O374" s="3">
        <v>60</v>
      </c>
      <c r="P374" s="11" t="s">
        <v>2276</v>
      </c>
      <c r="Q374" s="3">
        <v>12</v>
      </c>
      <c r="R374" s="3">
        <v>192</v>
      </c>
      <c r="S374" s="22">
        <v>21</v>
      </c>
      <c r="T374" s="9">
        <v>285</v>
      </c>
      <c r="U374" s="14" t="s">
        <v>527</v>
      </c>
      <c r="V374" s="12">
        <v>4</v>
      </c>
      <c r="W374" s="75">
        <v>16</v>
      </c>
      <c r="X374" s="76">
        <v>16</v>
      </c>
      <c r="Y374" s="9">
        <v>1198.51</v>
      </c>
      <c r="Z374" s="3">
        <v>2334.9899999999998</v>
      </c>
      <c r="AA374" s="17" t="s">
        <v>1771</v>
      </c>
      <c r="AB374" s="18" t="s">
        <v>1770</v>
      </c>
      <c r="AC374" s="46" cm="1">
        <f t="array" ref="AC374">(SUMPRODUCT((H374:O374/H$9:O$9)^H$7:O$7*H$2:O$2)+SUMPRODUCT((Q374:T374/Q$9:T$9)^Q$7:T$7*Q$2:T$2))*(0.8^(1-G374))*AC$9</f>
        <v>2.4234756599669587</v>
      </c>
      <c r="AD374" s="48" cm="1">
        <f t="array" ref="AD374">(SUMPRODUCT((H374:O374/H$9:O$9)^H$7:O$7*H$3:O$3)+SUMPRODUCT((Q374:T374/Q$9:T$9)^Q$7:T$7*Q$3:T$3))*(0.1^(1-G374))*AD$9</f>
        <v>3.1734431095527946</v>
      </c>
      <c r="AE374" s="48" cm="1">
        <f t="array" ref="AE374">(SUMPRODUCT((H374:O374/H$9:O$9)^H$7:O$7*H$4:O$4)+SUMPRODUCT((Q374:T374/Q$9:T$9)^Q$7:T$7*Q$4:T$4))*AE$9</f>
        <v>2.8000207770789665</v>
      </c>
      <c r="AF374" s="47" cm="1">
        <f t="array" ref="AF374">(SUMPRODUCT((H374:O374/H$9:O$9)^H$7:O$7*H$5:O$5)+SUMPRODUCT((Q374:T374/Q$9:T$9)^Q$7:T$7*Q$5:T$5))*AF$9</f>
        <v>2.6215477172276738</v>
      </c>
      <c r="AG374" s="50" cm="1">
        <f t="array" ref="AG374">SUMPRODUCT(AC374:AF374 * AC$3:AF$3) / SUM(AC$3:AF$3)</f>
        <v>2.9149745989594318</v>
      </c>
    </row>
    <row r="375" spans="1:33" x14ac:dyDescent="0.25">
      <c r="A375" s="81" t="s">
        <v>1670</v>
      </c>
      <c r="B375" s="20" t="s">
        <v>1672</v>
      </c>
      <c r="C375" s="4" t="s">
        <v>8853</v>
      </c>
      <c r="D375" s="4" t="str">
        <f t="shared" si="5"/>
        <v>GIGABYTE</v>
      </c>
      <c r="E375" s="4" t="s">
        <v>8855</v>
      </c>
      <c r="F375" s="14" t="s">
        <v>8878</v>
      </c>
      <c r="G375" s="9">
        <v>1</v>
      </c>
      <c r="H375" s="1">
        <v>40.78</v>
      </c>
      <c r="I375" s="1">
        <v>40.78</v>
      </c>
      <c r="J375" s="1">
        <v>0.64</v>
      </c>
      <c r="K375" s="3">
        <v>1313</v>
      </c>
      <c r="L375" s="13">
        <v>2655</v>
      </c>
      <c r="M375" s="49">
        <v>184.8</v>
      </c>
      <c r="N375" s="1">
        <v>554.4</v>
      </c>
      <c r="O375" s="3">
        <v>60</v>
      </c>
      <c r="P375" s="11" t="s">
        <v>2276</v>
      </c>
      <c r="Q375" s="3">
        <v>12</v>
      </c>
      <c r="R375" s="3">
        <v>192</v>
      </c>
      <c r="S375" s="22">
        <v>21</v>
      </c>
      <c r="T375" s="9">
        <v>285</v>
      </c>
      <c r="U375" s="14" t="s">
        <v>471</v>
      </c>
      <c r="V375" s="12">
        <v>4</v>
      </c>
      <c r="W375" s="75">
        <v>16</v>
      </c>
      <c r="X375" s="76">
        <v>16</v>
      </c>
      <c r="Y375" s="9">
        <v>1289</v>
      </c>
      <c r="Z375" s="3">
        <v>2043.2</v>
      </c>
      <c r="AA375" s="17" t="s">
        <v>1671</v>
      </c>
      <c r="AB375" s="18" t="s">
        <v>1670</v>
      </c>
      <c r="AC375" s="46" cm="1">
        <f t="array" ref="AC375">(SUMPRODUCT((H375:O375/H$9:O$9)^H$7:O$7*H$2:O$2)+SUMPRODUCT((Q375:T375/Q$9:T$9)^Q$7:T$7*Q$2:T$2))*(0.8^(1-G375))*AC$9</f>
        <v>2.4265534254397156</v>
      </c>
      <c r="AD375" s="48" cm="1">
        <f t="array" ref="AD375">(SUMPRODUCT((H375:O375/H$9:O$9)^H$7:O$7*H$3:O$3)+SUMPRODUCT((Q375:T375/Q$9:T$9)^Q$7:T$7*Q$3:T$3))*(0.1^(1-G375))*AD$9</f>
        <v>3.1876568925782585</v>
      </c>
      <c r="AE375" s="48" cm="1">
        <f t="array" ref="AE375">(SUMPRODUCT((H375:O375/H$9:O$9)^H$7:O$7*H$4:O$4)+SUMPRODUCT((Q375:T375/Q$9:T$9)^Q$7:T$7*Q$4:T$4))*AE$9</f>
        <v>2.8216292780873369</v>
      </c>
      <c r="AF375" s="47" cm="1">
        <f t="array" ref="AF375">(SUMPRODUCT((H375:O375/H$9:O$9)^H$7:O$7*H$5:O$5)+SUMPRODUCT((Q375:T375/Q$9:T$9)^Q$7:T$7*Q$5:T$5))*AF$9</f>
        <v>2.6282596846669999</v>
      </c>
      <c r="AG375" s="50" cm="1">
        <f t="array" ref="AG375">SUMPRODUCT(AC375:AF375 * AC$3:AF$3) / SUM(AC$3:AF$3)</f>
        <v>2.9269037117931891</v>
      </c>
    </row>
    <row r="376" spans="1:33" x14ac:dyDescent="0.25">
      <c r="A376" s="81" t="s">
        <v>1469</v>
      </c>
      <c r="B376" s="20" t="s">
        <v>1471</v>
      </c>
      <c r="C376" s="4" t="s">
        <v>8853</v>
      </c>
      <c r="D376" s="4" t="str">
        <f t="shared" si="5"/>
        <v>GIGABYTE</v>
      </c>
      <c r="E376" s="4" t="s">
        <v>8855</v>
      </c>
      <c r="F376" s="14" t="s">
        <v>8878</v>
      </c>
      <c r="G376" s="9">
        <v>1</v>
      </c>
      <c r="H376" s="1">
        <v>40.549999999999997</v>
      </c>
      <c r="I376" s="1">
        <v>40.549999999999997</v>
      </c>
      <c r="J376" s="1">
        <v>0.63</v>
      </c>
      <c r="K376" s="3">
        <v>1313</v>
      </c>
      <c r="L376" s="13">
        <v>2640</v>
      </c>
      <c r="M376" s="49">
        <v>184.8</v>
      </c>
      <c r="N376" s="1">
        <v>554.4</v>
      </c>
      <c r="O376" s="3">
        <v>60</v>
      </c>
      <c r="P376" s="11" t="s">
        <v>2276</v>
      </c>
      <c r="Q376" s="3">
        <v>12</v>
      </c>
      <c r="R376" s="3">
        <v>192</v>
      </c>
      <c r="S376" s="22">
        <v>21</v>
      </c>
      <c r="T376" s="9">
        <v>285</v>
      </c>
      <c r="U376" s="14" t="s">
        <v>527</v>
      </c>
      <c r="V376" s="12">
        <v>4</v>
      </c>
      <c r="W376" s="75">
        <v>16</v>
      </c>
      <c r="X376" s="76">
        <v>16</v>
      </c>
      <c r="Y376" s="9">
        <v>1512.9</v>
      </c>
      <c r="Z376" s="3">
        <v>1512.9</v>
      </c>
      <c r="AA376" s="17" t="s">
        <v>1470</v>
      </c>
      <c r="AB376" s="18" t="s">
        <v>1469</v>
      </c>
      <c r="AC376" s="46" cm="1">
        <f t="array" ref="AC376">(SUMPRODUCT((H376:O376/H$9:O$9)^H$7:O$7*H$2:O$2)+SUMPRODUCT((Q376:T376/Q$9:T$9)^Q$7:T$7*Q$2:T$2))*(0.8^(1-G376))*AC$9</f>
        <v>2.4234756599669587</v>
      </c>
      <c r="AD376" s="48" cm="1">
        <f t="array" ref="AD376">(SUMPRODUCT((H376:O376/H$9:O$9)^H$7:O$7*H$3:O$3)+SUMPRODUCT((Q376:T376/Q$9:T$9)^Q$7:T$7*Q$3:T$3))*(0.1^(1-G376))*AD$9</f>
        <v>3.1734431095527946</v>
      </c>
      <c r="AE376" s="48" cm="1">
        <f t="array" ref="AE376">(SUMPRODUCT((H376:O376/H$9:O$9)^H$7:O$7*H$4:O$4)+SUMPRODUCT((Q376:T376/Q$9:T$9)^Q$7:T$7*Q$4:T$4))*AE$9</f>
        <v>2.8000207770789665</v>
      </c>
      <c r="AF376" s="47" cm="1">
        <f t="array" ref="AF376">(SUMPRODUCT((H376:O376/H$9:O$9)^H$7:O$7*H$5:O$5)+SUMPRODUCT((Q376:T376/Q$9:T$9)^Q$7:T$7*Q$5:T$5))*AF$9</f>
        <v>2.6215477172276738</v>
      </c>
      <c r="AG376" s="50" cm="1">
        <f t="array" ref="AG376">SUMPRODUCT(AC376:AF376 * AC$3:AF$3) / SUM(AC$3:AF$3)</f>
        <v>2.9149745989594318</v>
      </c>
    </row>
    <row r="377" spans="1:33" x14ac:dyDescent="0.25">
      <c r="A377" s="81" t="s">
        <v>1466</v>
      </c>
      <c r="B377" s="20" t="s">
        <v>1468</v>
      </c>
      <c r="C377" s="4" t="s">
        <v>8853</v>
      </c>
      <c r="D377" s="4" t="str">
        <f t="shared" si="5"/>
        <v>GIGABYTE</v>
      </c>
      <c r="E377" s="4" t="s">
        <v>8855</v>
      </c>
      <c r="F377" s="14" t="s">
        <v>8878</v>
      </c>
      <c r="G377" s="9">
        <v>1</v>
      </c>
      <c r="H377" s="1">
        <v>40.32</v>
      </c>
      <c r="I377" s="1">
        <v>40.32</v>
      </c>
      <c r="J377" s="1">
        <v>0.63</v>
      </c>
      <c r="K377" s="3">
        <v>1313</v>
      </c>
      <c r="L377" s="13">
        <v>2625</v>
      </c>
      <c r="M377" s="49">
        <v>184.8</v>
      </c>
      <c r="N377" s="1">
        <v>554.4</v>
      </c>
      <c r="O377" s="3">
        <v>60</v>
      </c>
      <c r="P377" s="11" t="s">
        <v>2276</v>
      </c>
      <c r="Q377" s="3">
        <v>12</v>
      </c>
      <c r="R377" s="3">
        <v>192</v>
      </c>
      <c r="S377" s="22">
        <v>21</v>
      </c>
      <c r="T377" s="9">
        <v>285</v>
      </c>
      <c r="U377" s="14" t="s">
        <v>527</v>
      </c>
      <c r="V377" s="12">
        <v>4</v>
      </c>
      <c r="W377" s="75">
        <v>16</v>
      </c>
      <c r="X377" s="76">
        <v>16</v>
      </c>
      <c r="Y377" s="9">
        <v>1117.32</v>
      </c>
      <c r="Z377" s="3">
        <v>1900.1</v>
      </c>
      <c r="AA377" s="17" t="s">
        <v>1467</v>
      </c>
      <c r="AB377" s="18" t="s">
        <v>1466</v>
      </c>
      <c r="AC377" s="46" cm="1">
        <f t="array" ref="AC377">(SUMPRODUCT((H377:O377/H$9:O$9)^H$7:O$7*H$2:O$2)+SUMPRODUCT((Q377:T377/Q$9:T$9)^Q$7:T$7*Q$2:T$2))*(0.8^(1-G377))*AC$9</f>
        <v>2.4203961464616248</v>
      </c>
      <c r="AD377" s="48" cm="1">
        <f t="array" ref="AD377">(SUMPRODUCT((H377:O377/H$9:O$9)^H$7:O$7*H$3:O$3)+SUMPRODUCT((Q377:T377/Q$9:T$9)^Q$7:T$7*Q$3:T$3))*(0.1^(1-G377))*AD$9</f>
        <v>3.1617818033682008</v>
      </c>
      <c r="AE377" s="48" cm="1">
        <f t="array" ref="AE377">(SUMPRODUCT((H377:O377/H$9:O$9)^H$7:O$7*H$4:O$4)+SUMPRODUCT((Q377:T377/Q$9:T$9)^Q$7:T$7*Q$4:T$4))*AE$9</f>
        <v>2.796336468543239</v>
      </c>
      <c r="AF377" s="47" cm="1">
        <f t="array" ref="AF377">(SUMPRODUCT((H377:O377/H$9:O$9)^H$7:O$7*H$5:O$5)+SUMPRODUCT((Q377:T377/Q$9:T$9)^Q$7:T$7*Q$5:T$5))*AF$9</f>
        <v>2.6148316394707334</v>
      </c>
      <c r="AG377" s="50" cm="1">
        <f t="array" ref="AG377">SUMPRODUCT(AC377:AF377 * AC$3:AF$3) / SUM(AC$3:AF$3)</f>
        <v>2.9064541293647532</v>
      </c>
    </row>
    <row r="378" spans="1:33" x14ac:dyDescent="0.25">
      <c r="A378" s="81" t="s">
        <v>1463</v>
      </c>
      <c r="B378" s="20" t="s">
        <v>1465</v>
      </c>
      <c r="C378" s="4" t="s">
        <v>8853</v>
      </c>
      <c r="D378" s="4" t="str">
        <f t="shared" si="5"/>
        <v>GIGABYTE</v>
      </c>
      <c r="E378" s="4" t="s">
        <v>8855</v>
      </c>
      <c r="F378" s="14" t="s">
        <v>8878</v>
      </c>
      <c r="G378" s="9">
        <v>1</v>
      </c>
      <c r="H378" s="1">
        <v>40.549999999999997</v>
      </c>
      <c r="I378" s="1">
        <v>40.549999999999997</v>
      </c>
      <c r="J378" s="1">
        <v>0.63</v>
      </c>
      <c r="K378" s="3">
        <v>1313</v>
      </c>
      <c r="L378" s="13">
        <v>2640</v>
      </c>
      <c r="M378" s="49">
        <v>184.8</v>
      </c>
      <c r="N378" s="1">
        <v>554.4</v>
      </c>
      <c r="O378" s="3">
        <v>60</v>
      </c>
      <c r="P378" s="11" t="s">
        <v>2276</v>
      </c>
      <c r="Q378" s="3">
        <v>12</v>
      </c>
      <c r="R378" s="3">
        <v>192</v>
      </c>
      <c r="S378" s="22">
        <v>21</v>
      </c>
      <c r="T378" s="9">
        <v>285</v>
      </c>
      <c r="U378" s="14" t="s">
        <v>527</v>
      </c>
      <c r="V378" s="12">
        <v>4</v>
      </c>
      <c r="W378" s="75">
        <v>16</v>
      </c>
      <c r="X378" s="76">
        <v>16</v>
      </c>
      <c r="Y378" s="9">
        <v>1148.6199999999999</v>
      </c>
      <c r="Z378" s="3">
        <v>2477.08</v>
      </c>
      <c r="AA378" s="17" t="s">
        <v>1464</v>
      </c>
      <c r="AB378" s="18" t="s">
        <v>1463</v>
      </c>
      <c r="AC378" s="46" cm="1">
        <f t="array" ref="AC378">(SUMPRODUCT((H378:O378/H$9:O$9)^H$7:O$7*H$2:O$2)+SUMPRODUCT((Q378:T378/Q$9:T$9)^Q$7:T$7*Q$2:T$2))*(0.8^(1-G378))*AC$9</f>
        <v>2.4234756599669587</v>
      </c>
      <c r="AD378" s="48" cm="1">
        <f t="array" ref="AD378">(SUMPRODUCT((H378:O378/H$9:O$9)^H$7:O$7*H$3:O$3)+SUMPRODUCT((Q378:T378/Q$9:T$9)^Q$7:T$7*Q$3:T$3))*(0.1^(1-G378))*AD$9</f>
        <v>3.1734431095527946</v>
      </c>
      <c r="AE378" s="48" cm="1">
        <f t="array" ref="AE378">(SUMPRODUCT((H378:O378/H$9:O$9)^H$7:O$7*H$4:O$4)+SUMPRODUCT((Q378:T378/Q$9:T$9)^Q$7:T$7*Q$4:T$4))*AE$9</f>
        <v>2.8000207770789665</v>
      </c>
      <c r="AF378" s="47" cm="1">
        <f t="array" ref="AF378">(SUMPRODUCT((H378:O378/H$9:O$9)^H$7:O$7*H$5:O$5)+SUMPRODUCT((Q378:T378/Q$9:T$9)^Q$7:T$7*Q$5:T$5))*AF$9</f>
        <v>2.6215477172276738</v>
      </c>
      <c r="AG378" s="50" cm="1">
        <f t="array" ref="AG378">SUMPRODUCT(AC378:AF378 * AC$3:AF$3) / SUM(AC$3:AF$3)</f>
        <v>2.9149745989594318</v>
      </c>
    </row>
    <row r="379" spans="1:33" x14ac:dyDescent="0.25">
      <c r="A379" s="81" t="s">
        <v>1445</v>
      </c>
      <c r="B379" s="20" t="s">
        <v>1447</v>
      </c>
      <c r="C379" s="4" t="s">
        <v>8853</v>
      </c>
      <c r="D379" s="4" t="str">
        <f t="shared" si="5"/>
        <v>GIGABYTE</v>
      </c>
      <c r="E379" s="4" t="s">
        <v>8855</v>
      </c>
      <c r="F379" s="14" t="s">
        <v>8878</v>
      </c>
      <c r="G379" s="9">
        <v>1</v>
      </c>
      <c r="H379" s="1">
        <v>40.32</v>
      </c>
      <c r="I379" s="1">
        <v>40.32</v>
      </c>
      <c r="J379" s="1">
        <v>0.63</v>
      </c>
      <c r="K379" s="3">
        <v>1313</v>
      </c>
      <c r="L379" s="13">
        <v>2625</v>
      </c>
      <c r="M379" s="49">
        <v>184.8</v>
      </c>
      <c r="N379" s="1">
        <v>554.4</v>
      </c>
      <c r="O379" s="3">
        <v>60</v>
      </c>
      <c r="P379" s="11" t="s">
        <v>2276</v>
      </c>
      <c r="Q379" s="3">
        <v>12</v>
      </c>
      <c r="R379" s="3">
        <v>192</v>
      </c>
      <c r="S379" s="22">
        <v>21</v>
      </c>
      <c r="T379" s="9">
        <v>285</v>
      </c>
      <c r="U379" s="14" t="s">
        <v>527</v>
      </c>
      <c r="V379" s="12">
        <v>4</v>
      </c>
      <c r="W379" s="75">
        <v>16</v>
      </c>
      <c r="X379" s="76">
        <v>16</v>
      </c>
      <c r="Y379" s="9">
        <v>1665.09</v>
      </c>
      <c r="Z379" s="3">
        <v>1665.09</v>
      </c>
      <c r="AA379" s="17" t="s">
        <v>1446</v>
      </c>
      <c r="AB379" s="18" t="s">
        <v>1445</v>
      </c>
      <c r="AC379" s="46" cm="1">
        <f t="array" ref="AC379">(SUMPRODUCT((H379:O379/H$9:O$9)^H$7:O$7*H$2:O$2)+SUMPRODUCT((Q379:T379/Q$9:T$9)^Q$7:T$7*Q$2:T$2))*(0.8^(1-G379))*AC$9</f>
        <v>2.4203961464616248</v>
      </c>
      <c r="AD379" s="48" cm="1">
        <f t="array" ref="AD379">(SUMPRODUCT((H379:O379/H$9:O$9)^H$7:O$7*H$3:O$3)+SUMPRODUCT((Q379:T379/Q$9:T$9)^Q$7:T$7*Q$3:T$3))*(0.1^(1-G379))*AD$9</f>
        <v>3.1617818033682008</v>
      </c>
      <c r="AE379" s="48" cm="1">
        <f t="array" ref="AE379">(SUMPRODUCT((H379:O379/H$9:O$9)^H$7:O$7*H$4:O$4)+SUMPRODUCT((Q379:T379/Q$9:T$9)^Q$7:T$7*Q$4:T$4))*AE$9</f>
        <v>2.796336468543239</v>
      </c>
      <c r="AF379" s="47" cm="1">
        <f t="array" ref="AF379">(SUMPRODUCT((H379:O379/H$9:O$9)^H$7:O$7*H$5:O$5)+SUMPRODUCT((Q379:T379/Q$9:T$9)^Q$7:T$7*Q$5:T$5))*AF$9</f>
        <v>2.6148316394707334</v>
      </c>
      <c r="AG379" s="50" cm="1">
        <f t="array" ref="AG379">SUMPRODUCT(AC379:AF379 * AC$3:AF$3) / SUM(AC$3:AF$3)</f>
        <v>2.9064541293647532</v>
      </c>
    </row>
    <row r="380" spans="1:33" x14ac:dyDescent="0.25">
      <c r="A380" s="81" t="s">
        <v>1209</v>
      </c>
      <c r="B380" s="20" t="s">
        <v>1211</v>
      </c>
      <c r="C380" s="4" t="s">
        <v>8853</v>
      </c>
      <c r="D380" s="4" t="str">
        <f t="shared" si="5"/>
        <v>INNO3D</v>
      </c>
      <c r="E380" s="4" t="s">
        <v>8855</v>
      </c>
      <c r="F380" s="14" t="s">
        <v>8878</v>
      </c>
      <c r="G380" s="9">
        <v>1</v>
      </c>
      <c r="H380" s="1">
        <v>40.549999999999997</v>
      </c>
      <c r="I380" s="1">
        <v>40.549999999999997</v>
      </c>
      <c r="J380" s="1">
        <v>0.63</v>
      </c>
      <c r="K380" s="3">
        <v>1313</v>
      </c>
      <c r="L380" s="13">
        <v>2640</v>
      </c>
      <c r="M380" s="49">
        <v>184.8</v>
      </c>
      <c r="N380" s="1">
        <v>554.4</v>
      </c>
      <c r="O380" s="3">
        <v>60</v>
      </c>
      <c r="P380" s="11" t="s">
        <v>2276</v>
      </c>
      <c r="Q380" s="3">
        <v>12</v>
      </c>
      <c r="R380" s="3">
        <v>192</v>
      </c>
      <c r="S380" s="22">
        <v>21</v>
      </c>
      <c r="T380" s="9">
        <v>285</v>
      </c>
      <c r="U380" s="14" t="s">
        <v>527</v>
      </c>
      <c r="V380" s="12">
        <v>4</v>
      </c>
      <c r="W380" s="75">
        <v>16</v>
      </c>
      <c r="X380" s="76">
        <v>16</v>
      </c>
      <c r="Y380" s="9">
        <v>1126.3399999999999</v>
      </c>
      <c r="Z380" s="3">
        <v>1970.73</v>
      </c>
      <c r="AA380" s="17" t="s">
        <v>1210</v>
      </c>
      <c r="AB380" s="18" t="s">
        <v>1209</v>
      </c>
      <c r="AC380" s="46" cm="1">
        <f t="array" ref="AC380">(SUMPRODUCT((H380:O380/H$9:O$9)^H$7:O$7*H$2:O$2)+SUMPRODUCT((Q380:T380/Q$9:T$9)^Q$7:T$7*Q$2:T$2))*(0.8^(1-G380))*AC$9</f>
        <v>2.4234756599669587</v>
      </c>
      <c r="AD380" s="48" cm="1">
        <f t="array" ref="AD380">(SUMPRODUCT((H380:O380/H$9:O$9)^H$7:O$7*H$3:O$3)+SUMPRODUCT((Q380:T380/Q$9:T$9)^Q$7:T$7*Q$3:T$3))*(0.1^(1-G380))*AD$9</f>
        <v>3.1734431095527946</v>
      </c>
      <c r="AE380" s="48" cm="1">
        <f t="array" ref="AE380">(SUMPRODUCT((H380:O380/H$9:O$9)^H$7:O$7*H$4:O$4)+SUMPRODUCT((Q380:T380/Q$9:T$9)^Q$7:T$7*Q$4:T$4))*AE$9</f>
        <v>2.8000207770789665</v>
      </c>
      <c r="AF380" s="47" cm="1">
        <f t="array" ref="AF380">(SUMPRODUCT((H380:O380/H$9:O$9)^H$7:O$7*H$5:O$5)+SUMPRODUCT((Q380:T380/Q$9:T$9)^Q$7:T$7*Q$5:T$5))*AF$9</f>
        <v>2.6215477172276738</v>
      </c>
      <c r="AG380" s="50" cm="1">
        <f t="array" ref="AG380">SUMPRODUCT(AC380:AF380 * AC$3:AF$3) / SUM(AC$3:AF$3)</f>
        <v>2.9149745989594318</v>
      </c>
    </row>
    <row r="381" spans="1:33" x14ac:dyDescent="0.25">
      <c r="A381" s="81" t="s">
        <v>1206</v>
      </c>
      <c r="B381" s="20" t="s">
        <v>1208</v>
      </c>
      <c r="C381" s="4" t="s">
        <v>8853</v>
      </c>
      <c r="D381" s="4" t="str">
        <f t="shared" si="5"/>
        <v>INNO3D</v>
      </c>
      <c r="E381" s="4" t="s">
        <v>8855</v>
      </c>
      <c r="F381" s="14" t="s">
        <v>8878</v>
      </c>
      <c r="G381" s="9">
        <v>1</v>
      </c>
      <c r="H381" s="1">
        <v>40.090000000000003</v>
      </c>
      <c r="I381" s="1">
        <v>40.090000000000003</v>
      </c>
      <c r="J381" s="1">
        <v>0.63</v>
      </c>
      <c r="K381" s="3">
        <v>1313</v>
      </c>
      <c r="L381" s="13">
        <v>2610</v>
      </c>
      <c r="M381" s="49">
        <v>184.8</v>
      </c>
      <c r="N381" s="1">
        <v>554.4</v>
      </c>
      <c r="O381" s="3">
        <v>60</v>
      </c>
      <c r="P381" s="11" t="s">
        <v>2276</v>
      </c>
      <c r="Q381" s="3">
        <v>12</v>
      </c>
      <c r="R381" s="3">
        <v>192</v>
      </c>
      <c r="S381" s="22">
        <v>21</v>
      </c>
      <c r="T381" s="9">
        <v>285</v>
      </c>
      <c r="U381" s="14" t="s">
        <v>527</v>
      </c>
      <c r="V381" s="12">
        <v>4</v>
      </c>
      <c r="W381" s="75">
        <v>16</v>
      </c>
      <c r="X381" s="76">
        <v>16</v>
      </c>
      <c r="Y381" s="9">
        <v>1460.22</v>
      </c>
      <c r="Z381" s="3">
        <v>1460.22</v>
      </c>
      <c r="AA381" s="17" t="s">
        <v>1207</v>
      </c>
      <c r="AB381" s="18" t="s">
        <v>1206</v>
      </c>
      <c r="AC381" s="46" cm="1">
        <f t="array" ref="AC381">(SUMPRODUCT((H381:O381/H$9:O$9)^H$7:O$7*H$2:O$2)+SUMPRODUCT((Q381:T381/Q$9:T$9)^Q$7:T$7*Q$2:T$2))*(0.8^(1-G381))*AC$9</f>
        <v>2.4173148739404255</v>
      </c>
      <c r="AD381" s="48" cm="1">
        <f t="array" ref="AD381">(SUMPRODUCT((H381:O381/H$9:O$9)^H$7:O$7*H$3:O$3)+SUMPRODUCT((Q381:T381/Q$9:T$9)^Q$7:T$7*Q$3:T$3))*(0.1^(1-G381))*AD$9</f>
        <v>3.1501120222401329</v>
      </c>
      <c r="AE381" s="48" cm="1">
        <f t="array" ref="AE381">(SUMPRODUCT((H381:O381/H$9:O$9)^H$7:O$7*H$4:O$4)+SUMPRODUCT((Q381:T381/Q$9:T$9)^Q$7:T$7*Q$4:T$4))*AE$9</f>
        <v>2.7926500577318953</v>
      </c>
      <c r="AF381" s="47" cm="1">
        <f t="array" ref="AF381">(SUMPRODUCT((H381:O381/H$9:O$9)^H$7:O$7*H$5:O$5)+SUMPRODUCT((Q381:T381/Q$9:T$9)^Q$7:T$7*Q$5:T$5))*AF$9</f>
        <v>2.608111425333731</v>
      </c>
      <c r="AG381" s="50" cm="1">
        <f t="array" ref="AG381">SUMPRODUCT(AC381:AF381 * AC$3:AF$3) / SUM(AC$3:AF$3)</f>
        <v>2.8979277353159771</v>
      </c>
    </row>
    <row r="382" spans="1:33" x14ac:dyDescent="0.25">
      <c r="A382" s="81" t="s">
        <v>995</v>
      </c>
      <c r="B382" s="20" t="s">
        <v>997</v>
      </c>
      <c r="C382" s="4" t="s">
        <v>8853</v>
      </c>
      <c r="D382" s="4" t="str">
        <f t="shared" si="5"/>
        <v>MSI</v>
      </c>
      <c r="E382" s="4" t="s">
        <v>8855</v>
      </c>
      <c r="F382" s="14" t="s">
        <v>8878</v>
      </c>
      <c r="G382" s="9">
        <v>1</v>
      </c>
      <c r="H382" s="1">
        <v>42.16</v>
      </c>
      <c r="I382" s="1">
        <v>42.16</v>
      </c>
      <c r="J382" s="1">
        <v>0.66</v>
      </c>
      <c r="K382" s="3">
        <v>1313</v>
      </c>
      <c r="L382" s="13">
        <v>2745</v>
      </c>
      <c r="M382" s="49">
        <v>184.8</v>
      </c>
      <c r="N382" s="1">
        <v>554.4</v>
      </c>
      <c r="O382" s="3">
        <v>60</v>
      </c>
      <c r="P382" s="11" t="s">
        <v>2276</v>
      </c>
      <c r="Q382" s="3">
        <v>12</v>
      </c>
      <c r="R382" s="3">
        <v>192</v>
      </c>
      <c r="S382" s="22">
        <v>21</v>
      </c>
      <c r="T382" s="9">
        <v>285</v>
      </c>
      <c r="U382" s="14" t="s">
        <v>527</v>
      </c>
      <c r="V382" s="12">
        <v>4</v>
      </c>
      <c r="W382" s="75">
        <v>16</v>
      </c>
      <c r="X382" s="76">
        <v>16</v>
      </c>
      <c r="Y382" s="9">
        <v>1303.99</v>
      </c>
      <c r="Z382" s="3">
        <v>1726.47</v>
      </c>
      <c r="AA382" s="17" t="s">
        <v>996</v>
      </c>
      <c r="AB382" s="18" t="s">
        <v>995</v>
      </c>
      <c r="AC382" s="46" cm="1">
        <f t="array" ref="AC382">(SUMPRODUCT((H382:O382/H$9:O$9)^H$7:O$7*H$2:O$2)+SUMPRODUCT((Q382:T382/Q$9:T$9)^Q$7:T$7*Q$2:T$2))*(0.8^(1-G382))*AC$9</f>
        <v>2.4449839085339149</v>
      </c>
      <c r="AD382" s="48" cm="1">
        <f t="array" ref="AD382">(SUMPRODUCT((H382:O382/H$9:O$9)^H$7:O$7*H$3:O$3)+SUMPRODUCT((Q382:T382/Q$9:T$9)^Q$7:T$7*Q$3:T$3))*(0.1^(1-G382))*AD$9</f>
        <v>3.2624983111053552</v>
      </c>
      <c r="AE382" s="48" cm="1">
        <f t="array" ref="AE382">(SUMPRODUCT((H382:O382/H$9:O$9)^H$7:O$7*H$4:O$4)+SUMPRODUCT((Q382:T382/Q$9:T$9)^Q$7:T$7*Q$4:T$4))*AE$9</f>
        <v>2.8793652273416841</v>
      </c>
      <c r="AF382" s="47" cm="1">
        <f t="array" ref="AF382">(SUMPRODUCT((H382:O382/H$9:O$9)^H$7:O$7*H$5:O$5)+SUMPRODUCT((Q382:T382/Q$9:T$9)^Q$7:T$7*Q$5:T$5))*AF$9</f>
        <v>2.6684465937019355</v>
      </c>
      <c r="AG382" s="50" cm="1">
        <f t="array" ref="AG382">SUMPRODUCT(AC382:AF382 * AC$3:AF$3) / SUM(AC$3:AF$3)</f>
        <v>2.9846669484691373</v>
      </c>
    </row>
    <row r="383" spans="1:33" x14ac:dyDescent="0.25">
      <c r="A383" s="81" t="s">
        <v>992</v>
      </c>
      <c r="B383" s="20" t="s">
        <v>994</v>
      </c>
      <c r="C383" s="4" t="s">
        <v>8853</v>
      </c>
      <c r="D383" s="4" t="str">
        <f t="shared" si="5"/>
        <v>MSI</v>
      </c>
      <c r="E383" s="4" t="s">
        <v>8855</v>
      </c>
      <c r="F383" s="14" t="s">
        <v>8878</v>
      </c>
      <c r="G383" s="9">
        <v>1</v>
      </c>
      <c r="H383" s="1">
        <v>42.16</v>
      </c>
      <c r="I383" s="1">
        <v>42.16</v>
      </c>
      <c r="J383" s="1">
        <v>0.66</v>
      </c>
      <c r="K383" s="3">
        <v>1313</v>
      </c>
      <c r="L383" s="13">
        <v>2745</v>
      </c>
      <c r="M383" s="49">
        <v>184.8</v>
      </c>
      <c r="N383" s="1">
        <v>554.4</v>
      </c>
      <c r="O383" s="3">
        <v>60</v>
      </c>
      <c r="P383" s="11" t="s">
        <v>2276</v>
      </c>
      <c r="Q383" s="3">
        <v>12</v>
      </c>
      <c r="R383" s="3">
        <v>192</v>
      </c>
      <c r="S383" s="22">
        <v>21</v>
      </c>
      <c r="T383" s="9">
        <v>285</v>
      </c>
      <c r="U383" s="14" t="s">
        <v>527</v>
      </c>
      <c r="V383" s="12">
        <v>4</v>
      </c>
      <c r="W383" s="75">
        <v>16</v>
      </c>
      <c r="X383" s="76">
        <v>16</v>
      </c>
      <c r="Y383" s="9">
        <v>1742.56</v>
      </c>
      <c r="Z383" s="3">
        <v>1742.56</v>
      </c>
      <c r="AA383" s="17" t="s">
        <v>993</v>
      </c>
      <c r="AB383" s="18" t="s">
        <v>992</v>
      </c>
      <c r="AC383" s="46" cm="1">
        <f t="array" ref="AC383">(SUMPRODUCT((H383:O383/H$9:O$9)^H$7:O$7*H$2:O$2)+SUMPRODUCT((Q383:T383/Q$9:T$9)^Q$7:T$7*Q$2:T$2))*(0.8^(1-G383))*AC$9</f>
        <v>2.4449839085339149</v>
      </c>
      <c r="AD383" s="48" cm="1">
        <f t="array" ref="AD383">(SUMPRODUCT((H383:O383/H$9:O$9)^H$7:O$7*H$3:O$3)+SUMPRODUCT((Q383:T383/Q$9:T$9)^Q$7:T$7*Q$3:T$3))*(0.1^(1-G383))*AD$9</f>
        <v>3.2624983111053552</v>
      </c>
      <c r="AE383" s="48" cm="1">
        <f t="array" ref="AE383">(SUMPRODUCT((H383:O383/H$9:O$9)^H$7:O$7*H$4:O$4)+SUMPRODUCT((Q383:T383/Q$9:T$9)^Q$7:T$7*Q$4:T$4))*AE$9</f>
        <v>2.8793652273416841</v>
      </c>
      <c r="AF383" s="47" cm="1">
        <f t="array" ref="AF383">(SUMPRODUCT((H383:O383/H$9:O$9)^H$7:O$7*H$5:O$5)+SUMPRODUCT((Q383:T383/Q$9:T$9)^Q$7:T$7*Q$5:T$5))*AF$9</f>
        <v>2.6684465937019355</v>
      </c>
      <c r="AG383" s="50" cm="1">
        <f t="array" ref="AG383">SUMPRODUCT(AC383:AF383 * AC$3:AF$3) / SUM(AC$3:AF$3)</f>
        <v>2.9846669484691373</v>
      </c>
    </row>
    <row r="384" spans="1:33" x14ac:dyDescent="0.25">
      <c r="A384" s="81" t="s">
        <v>989</v>
      </c>
      <c r="B384" s="20" t="s">
        <v>991</v>
      </c>
      <c r="C384" s="4" t="s">
        <v>8853</v>
      </c>
      <c r="D384" s="4" t="str">
        <f t="shared" si="5"/>
        <v>MSI</v>
      </c>
      <c r="E384" s="4" t="s">
        <v>8855</v>
      </c>
      <c r="F384" s="14" t="s">
        <v>8878</v>
      </c>
      <c r="G384" s="9">
        <v>1</v>
      </c>
      <c r="H384" s="1">
        <v>42.39</v>
      </c>
      <c r="I384" s="1">
        <v>42.39</v>
      </c>
      <c r="J384" s="1">
        <v>0.66</v>
      </c>
      <c r="K384" s="3">
        <v>1313</v>
      </c>
      <c r="L384" s="13">
        <v>2760</v>
      </c>
      <c r="M384" s="49">
        <v>184.8</v>
      </c>
      <c r="N384" s="1">
        <v>554.4</v>
      </c>
      <c r="O384" s="3">
        <v>60</v>
      </c>
      <c r="P384" s="11" t="s">
        <v>2276</v>
      </c>
      <c r="Q384" s="3">
        <v>12</v>
      </c>
      <c r="R384" s="3">
        <v>192</v>
      </c>
      <c r="S384" s="22">
        <v>21</v>
      </c>
      <c r="T384" s="9">
        <v>285</v>
      </c>
      <c r="U384" s="14" t="s">
        <v>527</v>
      </c>
      <c r="V384" s="12">
        <v>4</v>
      </c>
      <c r="W384" s="75">
        <v>16</v>
      </c>
      <c r="X384" s="76">
        <v>16</v>
      </c>
      <c r="Y384" s="9">
        <v>1878.28</v>
      </c>
      <c r="Z384" s="3">
        <v>1878.28</v>
      </c>
      <c r="AA384" s="17" t="s">
        <v>990</v>
      </c>
      <c r="AB384" s="18" t="s">
        <v>989</v>
      </c>
      <c r="AC384" s="46" cm="1">
        <f t="array" ref="AC384">(SUMPRODUCT((H384:O384/H$9:O$9)^H$7:O$7*H$2:O$2)+SUMPRODUCT((Q384:T384/Q$9:T$9)^Q$7:T$7*Q$2:T$2))*(0.8^(1-G384))*AC$9</f>
        <v>2.4480497346540502</v>
      </c>
      <c r="AD384" s="48" cm="1">
        <f t="array" ref="AD384">(SUMPRODUCT((H384:O384/H$9:O$9)^H$7:O$7*H$3:O$3)+SUMPRODUCT((Q384:T384/Q$9:T$9)^Q$7:T$7*Q$3:T$3))*(0.1^(1-G384))*AD$9</f>
        <v>3.2740937228847935</v>
      </c>
      <c r="AE384" s="48" cm="1">
        <f t="array" ref="AE384">(SUMPRODUCT((H384:O384/H$9:O$9)^H$7:O$7*H$4:O$4)+SUMPRODUCT((Q384:T384/Q$9:T$9)^Q$7:T$7*Q$4:T$4))*AE$9</f>
        <v>2.8830331770289455</v>
      </c>
      <c r="AF384" s="47" cm="1">
        <f t="array" ref="AF384">(SUMPRODUCT((H384:O384/H$9:O$9)^H$7:O$7*H$5:O$5)+SUMPRODUCT((Q384:T384/Q$9:T$9)^Q$7:T$7*Q$5:T$5))*AF$9</f>
        <v>2.6751304932666273</v>
      </c>
      <c r="AG384" s="50" cm="1">
        <f t="array" ref="AG384">SUMPRODUCT(AC384:AF384 * AC$3:AF$3) / SUM(AC$3:AF$3)</f>
        <v>2.9931413481482148</v>
      </c>
    </row>
    <row r="385" spans="1:33" x14ac:dyDescent="0.25">
      <c r="A385" s="81" t="s">
        <v>968</v>
      </c>
      <c r="B385" s="20" t="s">
        <v>970</v>
      </c>
      <c r="C385" s="4" t="s">
        <v>8853</v>
      </c>
      <c r="D385" s="4" t="str">
        <f t="shared" si="5"/>
        <v>MSI</v>
      </c>
      <c r="E385" s="4" t="s">
        <v>8855</v>
      </c>
      <c r="F385" s="14" t="s">
        <v>8878</v>
      </c>
      <c r="G385" s="9">
        <v>1</v>
      </c>
      <c r="H385" s="1">
        <v>40.78</v>
      </c>
      <c r="I385" s="1">
        <v>40.78</v>
      </c>
      <c r="J385" s="1">
        <v>0.64</v>
      </c>
      <c r="K385" s="3">
        <v>1313</v>
      </c>
      <c r="L385" s="13">
        <v>2655</v>
      </c>
      <c r="M385" s="49">
        <v>184.8</v>
      </c>
      <c r="N385" s="1">
        <v>554.4</v>
      </c>
      <c r="O385" s="3">
        <v>60</v>
      </c>
      <c r="P385" s="11" t="s">
        <v>2276</v>
      </c>
      <c r="Q385" s="3">
        <v>12</v>
      </c>
      <c r="R385" s="3">
        <v>192</v>
      </c>
      <c r="S385" s="22">
        <v>21</v>
      </c>
      <c r="T385" s="9">
        <v>285</v>
      </c>
      <c r="U385" s="14" t="s">
        <v>527</v>
      </c>
      <c r="V385" s="12">
        <v>4</v>
      </c>
      <c r="W385" s="75">
        <v>16</v>
      </c>
      <c r="X385" s="76">
        <v>16</v>
      </c>
      <c r="Y385" s="9">
        <v>1229.6300000000001</v>
      </c>
      <c r="Z385" s="3">
        <v>1229.6300000000001</v>
      </c>
      <c r="AA385" s="17" t="s">
        <v>969</v>
      </c>
      <c r="AB385" s="18" t="s">
        <v>968</v>
      </c>
      <c r="AC385" s="46" cm="1">
        <f t="array" ref="AC385">(SUMPRODUCT((H385:O385/H$9:O$9)^H$7:O$7*H$2:O$2)+SUMPRODUCT((Q385:T385/Q$9:T$9)^Q$7:T$7*Q$2:T$2))*(0.8^(1-G385))*AC$9</f>
        <v>2.4265534254397156</v>
      </c>
      <c r="AD385" s="48" cm="1">
        <f t="array" ref="AD385">(SUMPRODUCT((H385:O385/H$9:O$9)^H$7:O$7*H$3:O$3)+SUMPRODUCT((Q385:T385/Q$9:T$9)^Q$7:T$7*Q$3:T$3))*(0.1^(1-G385))*AD$9</f>
        <v>3.1876568925782585</v>
      </c>
      <c r="AE385" s="48" cm="1">
        <f t="array" ref="AE385">(SUMPRODUCT((H385:O385/H$9:O$9)^H$7:O$7*H$4:O$4)+SUMPRODUCT((Q385:T385/Q$9:T$9)^Q$7:T$7*Q$4:T$4))*AE$9</f>
        <v>2.8216292780873369</v>
      </c>
      <c r="AF385" s="47" cm="1">
        <f t="array" ref="AF385">(SUMPRODUCT((H385:O385/H$9:O$9)^H$7:O$7*H$5:O$5)+SUMPRODUCT((Q385:T385/Q$9:T$9)^Q$7:T$7*Q$5:T$5))*AF$9</f>
        <v>2.6282596846669999</v>
      </c>
      <c r="AG385" s="50" cm="1">
        <f t="array" ref="AG385">SUMPRODUCT(AC385:AF385 * AC$3:AF$3) / SUM(AC$3:AF$3)</f>
        <v>2.9269037117931891</v>
      </c>
    </row>
    <row r="386" spans="1:33" x14ac:dyDescent="0.25">
      <c r="A386" s="81" t="s">
        <v>965</v>
      </c>
      <c r="B386" s="20" t="s">
        <v>967</v>
      </c>
      <c r="C386" s="4" t="s">
        <v>8853</v>
      </c>
      <c r="D386" s="4" t="str">
        <f t="shared" si="5"/>
        <v>MSI</v>
      </c>
      <c r="E386" s="4" t="s">
        <v>8855</v>
      </c>
      <c r="F386" s="14" t="s">
        <v>8878</v>
      </c>
      <c r="G386" s="9">
        <v>1</v>
      </c>
      <c r="H386" s="1">
        <v>40.78</v>
      </c>
      <c r="I386" s="1">
        <v>40.78</v>
      </c>
      <c r="J386" s="1">
        <v>0.64</v>
      </c>
      <c r="K386" s="3">
        <v>1313</v>
      </c>
      <c r="L386" s="13">
        <v>2655</v>
      </c>
      <c r="M386" s="49">
        <v>184.8</v>
      </c>
      <c r="N386" s="1">
        <v>554.4</v>
      </c>
      <c r="O386" s="3">
        <v>60</v>
      </c>
      <c r="P386" s="11" t="s">
        <v>2276</v>
      </c>
      <c r="Q386" s="3">
        <v>12</v>
      </c>
      <c r="R386" s="3">
        <v>192</v>
      </c>
      <c r="S386" s="22">
        <v>21</v>
      </c>
      <c r="T386" s="9">
        <v>285</v>
      </c>
      <c r="U386" s="14" t="s">
        <v>527</v>
      </c>
      <c r="V386" s="12">
        <v>4</v>
      </c>
      <c r="W386" s="75">
        <v>16</v>
      </c>
      <c r="X386" s="76">
        <v>16</v>
      </c>
      <c r="Y386" s="9">
        <v>1361.11</v>
      </c>
      <c r="Z386" s="3">
        <v>1361.11</v>
      </c>
      <c r="AA386" s="17" t="s">
        <v>966</v>
      </c>
      <c r="AB386" s="18" t="s">
        <v>965</v>
      </c>
      <c r="AC386" s="46" cm="1">
        <f t="array" ref="AC386">(SUMPRODUCT((H386:O386/H$9:O$9)^H$7:O$7*H$2:O$2)+SUMPRODUCT((Q386:T386/Q$9:T$9)^Q$7:T$7*Q$2:T$2))*(0.8^(1-G386))*AC$9</f>
        <v>2.4265534254397156</v>
      </c>
      <c r="AD386" s="48" cm="1">
        <f t="array" ref="AD386">(SUMPRODUCT((H386:O386/H$9:O$9)^H$7:O$7*H$3:O$3)+SUMPRODUCT((Q386:T386/Q$9:T$9)^Q$7:T$7*Q$3:T$3))*(0.1^(1-G386))*AD$9</f>
        <v>3.1876568925782585</v>
      </c>
      <c r="AE386" s="48" cm="1">
        <f t="array" ref="AE386">(SUMPRODUCT((H386:O386/H$9:O$9)^H$7:O$7*H$4:O$4)+SUMPRODUCT((Q386:T386/Q$9:T$9)^Q$7:T$7*Q$4:T$4))*AE$9</f>
        <v>2.8216292780873369</v>
      </c>
      <c r="AF386" s="47" cm="1">
        <f t="array" ref="AF386">(SUMPRODUCT((H386:O386/H$9:O$9)^H$7:O$7*H$5:O$5)+SUMPRODUCT((Q386:T386/Q$9:T$9)^Q$7:T$7*Q$5:T$5))*AF$9</f>
        <v>2.6282596846669999</v>
      </c>
      <c r="AG386" s="50" cm="1">
        <f t="array" ref="AG386">SUMPRODUCT(AC386:AF386 * AC$3:AF$3) / SUM(AC$3:AF$3)</f>
        <v>2.9269037117931891</v>
      </c>
    </row>
    <row r="387" spans="1:33" x14ac:dyDescent="0.25">
      <c r="A387" s="81" t="s">
        <v>962</v>
      </c>
      <c r="B387" s="20" t="s">
        <v>964</v>
      </c>
      <c r="C387" s="4" t="s">
        <v>8853</v>
      </c>
      <c r="D387" s="4" t="str">
        <f t="shared" si="5"/>
        <v>MSI</v>
      </c>
      <c r="E387" s="4" t="s">
        <v>8855</v>
      </c>
      <c r="F387" s="14" t="s">
        <v>8878</v>
      </c>
      <c r="G387" s="9">
        <v>1</v>
      </c>
      <c r="H387" s="1">
        <v>40.78</v>
      </c>
      <c r="I387" s="1">
        <v>40.78</v>
      </c>
      <c r="J387" s="1">
        <v>0.64</v>
      </c>
      <c r="K387" s="3">
        <v>1313</v>
      </c>
      <c r="L387" s="13">
        <v>2655</v>
      </c>
      <c r="M387" s="49">
        <v>184.8</v>
      </c>
      <c r="N387" s="1">
        <v>554.4</v>
      </c>
      <c r="O387" s="3">
        <v>60</v>
      </c>
      <c r="P387" s="11" t="s">
        <v>2276</v>
      </c>
      <c r="Q387" s="3">
        <v>12</v>
      </c>
      <c r="R387" s="3">
        <v>192</v>
      </c>
      <c r="S387" s="22">
        <v>21</v>
      </c>
      <c r="T387" s="9">
        <v>285</v>
      </c>
      <c r="U387" s="14" t="s">
        <v>527</v>
      </c>
      <c r="V387" s="12">
        <v>4</v>
      </c>
      <c r="W387" s="75">
        <v>16</v>
      </c>
      <c r="X387" s="76">
        <v>16</v>
      </c>
      <c r="Y387" s="9">
        <v>1472.68</v>
      </c>
      <c r="Z387" s="3">
        <v>1472.68</v>
      </c>
      <c r="AA387" s="17" t="s">
        <v>963</v>
      </c>
      <c r="AB387" s="18" t="s">
        <v>962</v>
      </c>
      <c r="AC387" s="46" cm="1">
        <f t="array" ref="AC387">(SUMPRODUCT((H387:O387/H$9:O$9)^H$7:O$7*H$2:O$2)+SUMPRODUCT((Q387:T387/Q$9:T$9)^Q$7:T$7*Q$2:T$2))*(0.8^(1-G387))*AC$9</f>
        <v>2.4265534254397156</v>
      </c>
      <c r="AD387" s="48" cm="1">
        <f t="array" ref="AD387">(SUMPRODUCT((H387:O387/H$9:O$9)^H$7:O$7*H$3:O$3)+SUMPRODUCT((Q387:T387/Q$9:T$9)^Q$7:T$7*Q$3:T$3))*(0.1^(1-G387))*AD$9</f>
        <v>3.1876568925782585</v>
      </c>
      <c r="AE387" s="48" cm="1">
        <f t="array" ref="AE387">(SUMPRODUCT((H387:O387/H$9:O$9)^H$7:O$7*H$4:O$4)+SUMPRODUCT((Q387:T387/Q$9:T$9)^Q$7:T$7*Q$4:T$4))*AE$9</f>
        <v>2.8216292780873369</v>
      </c>
      <c r="AF387" s="47" cm="1">
        <f t="array" ref="AF387">(SUMPRODUCT((H387:O387/H$9:O$9)^H$7:O$7*H$5:O$5)+SUMPRODUCT((Q387:T387/Q$9:T$9)^Q$7:T$7*Q$5:T$5))*AF$9</f>
        <v>2.6282596846669999</v>
      </c>
      <c r="AG387" s="50" cm="1">
        <f t="array" ref="AG387">SUMPRODUCT(AC387:AF387 * AC$3:AF$3) / SUM(AC$3:AF$3)</f>
        <v>2.9269037117931891</v>
      </c>
    </row>
    <row r="388" spans="1:33" x14ac:dyDescent="0.25">
      <c r="A388" s="81" t="s">
        <v>691</v>
      </c>
      <c r="B388" s="20" t="s">
        <v>693</v>
      </c>
      <c r="C388" s="4" t="s">
        <v>8853</v>
      </c>
      <c r="D388" s="4" t="str">
        <f t="shared" si="5"/>
        <v>Palit</v>
      </c>
      <c r="E388" s="4" t="s">
        <v>8855</v>
      </c>
      <c r="F388" s="14" t="s">
        <v>8878</v>
      </c>
      <c r="G388" s="9">
        <v>1</v>
      </c>
      <c r="H388" s="1">
        <v>40.090000000000003</v>
      </c>
      <c r="I388" s="1">
        <v>40.090000000000003</v>
      </c>
      <c r="J388" s="1">
        <v>0.63</v>
      </c>
      <c r="K388" s="3">
        <v>1313</v>
      </c>
      <c r="L388" s="13">
        <v>2610</v>
      </c>
      <c r="M388" s="49">
        <v>184.8</v>
      </c>
      <c r="N388" s="1">
        <v>554.4</v>
      </c>
      <c r="O388" s="3">
        <v>60</v>
      </c>
      <c r="P388" s="11" t="s">
        <v>2276</v>
      </c>
      <c r="Q388" s="3">
        <v>12</v>
      </c>
      <c r="R388" s="3">
        <v>192</v>
      </c>
      <c r="S388" s="22">
        <v>21</v>
      </c>
      <c r="T388" s="9">
        <v>285</v>
      </c>
      <c r="U388" s="14" t="s">
        <v>527</v>
      </c>
      <c r="V388" s="12">
        <v>4</v>
      </c>
      <c r="W388" s="75">
        <v>16</v>
      </c>
      <c r="X388" s="76">
        <v>16</v>
      </c>
      <c r="Y388" s="9">
        <v>889</v>
      </c>
      <c r="Z388" s="3">
        <v>899</v>
      </c>
      <c r="AA388" s="17" t="s">
        <v>692</v>
      </c>
      <c r="AB388" s="18" t="s">
        <v>691</v>
      </c>
      <c r="AC388" s="46" cm="1">
        <f t="array" ref="AC388">(SUMPRODUCT((H388:O388/H$9:O$9)^H$7:O$7*H$2:O$2)+SUMPRODUCT((Q388:T388/Q$9:T$9)^Q$7:T$7*Q$2:T$2))*(0.8^(1-G388))*AC$9</f>
        <v>2.4173148739404255</v>
      </c>
      <c r="AD388" s="48" cm="1">
        <f t="array" ref="AD388">(SUMPRODUCT((H388:O388/H$9:O$9)^H$7:O$7*H$3:O$3)+SUMPRODUCT((Q388:T388/Q$9:T$9)^Q$7:T$7*Q$3:T$3))*(0.1^(1-G388))*AD$9</f>
        <v>3.1501120222401329</v>
      </c>
      <c r="AE388" s="48" cm="1">
        <f t="array" ref="AE388">(SUMPRODUCT((H388:O388/H$9:O$9)^H$7:O$7*H$4:O$4)+SUMPRODUCT((Q388:T388/Q$9:T$9)^Q$7:T$7*Q$4:T$4))*AE$9</f>
        <v>2.7926500577318953</v>
      </c>
      <c r="AF388" s="47" cm="1">
        <f t="array" ref="AF388">(SUMPRODUCT((H388:O388/H$9:O$9)^H$7:O$7*H$5:O$5)+SUMPRODUCT((Q388:T388/Q$9:T$9)^Q$7:T$7*Q$5:T$5))*AF$9</f>
        <v>2.608111425333731</v>
      </c>
      <c r="AG388" s="50" cm="1">
        <f t="array" ref="AG388">SUMPRODUCT(AC388:AF388 * AC$3:AF$3) / SUM(AC$3:AF$3)</f>
        <v>2.8979277353159771</v>
      </c>
    </row>
    <row r="389" spans="1:33" x14ac:dyDescent="0.25">
      <c r="A389" s="81" t="s">
        <v>688</v>
      </c>
      <c r="B389" s="20" t="s">
        <v>690</v>
      </c>
      <c r="C389" s="4" t="s">
        <v>8853</v>
      </c>
      <c r="D389" s="4" t="str">
        <f t="shared" si="5"/>
        <v>Palit</v>
      </c>
      <c r="E389" s="4" t="s">
        <v>8855</v>
      </c>
      <c r="F389" s="14" t="s">
        <v>8878</v>
      </c>
      <c r="G389" s="9">
        <v>1</v>
      </c>
      <c r="H389" s="1">
        <v>40.090000000000003</v>
      </c>
      <c r="I389" s="1">
        <v>40.090000000000003</v>
      </c>
      <c r="J389" s="1">
        <v>0.63</v>
      </c>
      <c r="K389" s="3">
        <v>1313</v>
      </c>
      <c r="L389" s="13">
        <v>2610</v>
      </c>
      <c r="M389" s="49">
        <v>184.8</v>
      </c>
      <c r="N389" s="1">
        <v>554.4</v>
      </c>
      <c r="O389" s="3">
        <v>60</v>
      </c>
      <c r="P389" s="11" t="s">
        <v>2276</v>
      </c>
      <c r="Q389" s="3">
        <v>12</v>
      </c>
      <c r="R389" s="3">
        <v>192</v>
      </c>
      <c r="S389" s="22">
        <v>21</v>
      </c>
      <c r="T389" s="9">
        <v>285</v>
      </c>
      <c r="U389" s="14" t="s">
        <v>527</v>
      </c>
      <c r="V389" s="12">
        <v>4</v>
      </c>
      <c r="W389" s="75">
        <v>16</v>
      </c>
      <c r="X389" s="76">
        <v>16</v>
      </c>
      <c r="Y389" s="9">
        <v>1549.98</v>
      </c>
      <c r="Z389" s="3">
        <v>1565.11</v>
      </c>
      <c r="AA389" s="17" t="s">
        <v>689</v>
      </c>
      <c r="AB389" s="18" t="s">
        <v>688</v>
      </c>
      <c r="AC389" s="46" cm="1">
        <f t="array" ref="AC389">(SUMPRODUCT((H389:O389/H$9:O$9)^H$7:O$7*H$2:O$2)+SUMPRODUCT((Q389:T389/Q$9:T$9)^Q$7:T$7*Q$2:T$2))*(0.8^(1-G389))*AC$9</f>
        <v>2.4173148739404255</v>
      </c>
      <c r="AD389" s="48" cm="1">
        <f t="array" ref="AD389">(SUMPRODUCT((H389:O389/H$9:O$9)^H$7:O$7*H$3:O$3)+SUMPRODUCT((Q389:T389/Q$9:T$9)^Q$7:T$7*Q$3:T$3))*(0.1^(1-G389))*AD$9</f>
        <v>3.1501120222401329</v>
      </c>
      <c r="AE389" s="48" cm="1">
        <f t="array" ref="AE389">(SUMPRODUCT((H389:O389/H$9:O$9)^H$7:O$7*H$4:O$4)+SUMPRODUCT((Q389:T389/Q$9:T$9)^Q$7:T$7*Q$4:T$4))*AE$9</f>
        <v>2.7926500577318953</v>
      </c>
      <c r="AF389" s="47" cm="1">
        <f t="array" ref="AF389">(SUMPRODUCT((H389:O389/H$9:O$9)^H$7:O$7*H$5:O$5)+SUMPRODUCT((Q389:T389/Q$9:T$9)^Q$7:T$7*Q$5:T$5))*AF$9</f>
        <v>2.608111425333731</v>
      </c>
      <c r="AG389" s="50" cm="1">
        <f t="array" ref="AG389">SUMPRODUCT(AC389:AF389 * AC$3:AF$3) / SUM(AC$3:AF$3)</f>
        <v>2.8979277353159771</v>
      </c>
    </row>
    <row r="390" spans="1:33" x14ac:dyDescent="0.25">
      <c r="A390" s="81" t="s">
        <v>685</v>
      </c>
      <c r="B390" s="20" t="s">
        <v>687</v>
      </c>
      <c r="C390" s="4" t="s">
        <v>8853</v>
      </c>
      <c r="D390" s="4" t="str">
        <f t="shared" si="5"/>
        <v>Palit</v>
      </c>
      <c r="E390" s="4" t="s">
        <v>8855</v>
      </c>
      <c r="F390" s="14" t="s">
        <v>8878</v>
      </c>
      <c r="G390" s="9">
        <v>1</v>
      </c>
      <c r="H390" s="1">
        <v>42.39</v>
      </c>
      <c r="I390" s="1">
        <v>42.39</v>
      </c>
      <c r="J390" s="1">
        <v>0.66</v>
      </c>
      <c r="K390" s="3">
        <v>1313</v>
      </c>
      <c r="L390" s="13">
        <v>2760</v>
      </c>
      <c r="M390" s="49">
        <v>184.8</v>
      </c>
      <c r="N390" s="1">
        <v>554.4</v>
      </c>
      <c r="O390" s="3">
        <v>60</v>
      </c>
      <c r="P390" s="11" t="s">
        <v>2276</v>
      </c>
      <c r="Q390" s="3">
        <v>12</v>
      </c>
      <c r="R390" s="3">
        <v>192</v>
      </c>
      <c r="S390" s="22">
        <v>21</v>
      </c>
      <c r="T390" s="9">
        <v>285</v>
      </c>
      <c r="U390" s="14" t="s">
        <v>527</v>
      </c>
      <c r="V390" s="12">
        <v>4</v>
      </c>
      <c r="W390" s="75">
        <v>16</v>
      </c>
      <c r="X390" s="76">
        <v>16</v>
      </c>
      <c r="Y390" s="9">
        <v>1130.08</v>
      </c>
      <c r="Z390" s="3">
        <v>1130.08</v>
      </c>
      <c r="AA390" s="17" t="s">
        <v>686</v>
      </c>
      <c r="AB390" s="18" t="s">
        <v>685</v>
      </c>
      <c r="AC390" s="46" cm="1">
        <f t="array" ref="AC390">(SUMPRODUCT((H390:O390/H$9:O$9)^H$7:O$7*H$2:O$2)+SUMPRODUCT((Q390:T390/Q$9:T$9)^Q$7:T$7*Q$2:T$2))*(0.8^(1-G390))*AC$9</f>
        <v>2.4480497346540502</v>
      </c>
      <c r="AD390" s="48" cm="1">
        <f t="array" ref="AD390">(SUMPRODUCT((H390:O390/H$9:O$9)^H$7:O$7*H$3:O$3)+SUMPRODUCT((Q390:T390/Q$9:T$9)^Q$7:T$7*Q$3:T$3))*(0.1^(1-G390))*AD$9</f>
        <v>3.2740937228847935</v>
      </c>
      <c r="AE390" s="48" cm="1">
        <f t="array" ref="AE390">(SUMPRODUCT((H390:O390/H$9:O$9)^H$7:O$7*H$4:O$4)+SUMPRODUCT((Q390:T390/Q$9:T$9)^Q$7:T$7*Q$4:T$4))*AE$9</f>
        <v>2.8830331770289455</v>
      </c>
      <c r="AF390" s="47" cm="1">
        <f t="array" ref="AF390">(SUMPRODUCT((H390:O390/H$9:O$9)^H$7:O$7*H$5:O$5)+SUMPRODUCT((Q390:T390/Q$9:T$9)^Q$7:T$7*Q$5:T$5))*AF$9</f>
        <v>2.6751304932666273</v>
      </c>
      <c r="AG390" s="50" cm="1">
        <f t="array" ref="AG390">SUMPRODUCT(AC390:AF390 * AC$3:AF$3) / SUM(AC$3:AF$3)</f>
        <v>2.9931413481482148</v>
      </c>
    </row>
    <row r="391" spans="1:33" x14ac:dyDescent="0.25">
      <c r="A391" s="81" t="s">
        <v>682</v>
      </c>
      <c r="B391" s="20" t="s">
        <v>684</v>
      </c>
      <c r="C391" s="4" t="s">
        <v>8853</v>
      </c>
      <c r="D391" s="4" t="str">
        <f t="shared" si="5"/>
        <v>Palit</v>
      </c>
      <c r="E391" s="4" t="s">
        <v>8855</v>
      </c>
      <c r="F391" s="14" t="s">
        <v>8878</v>
      </c>
      <c r="G391" s="9">
        <v>1</v>
      </c>
      <c r="H391" s="1">
        <v>40.090000000000003</v>
      </c>
      <c r="I391" s="1">
        <v>40.090000000000003</v>
      </c>
      <c r="J391" s="1">
        <v>0.63</v>
      </c>
      <c r="K391" s="3">
        <v>1313</v>
      </c>
      <c r="L391" s="13">
        <v>2610</v>
      </c>
      <c r="M391" s="49">
        <v>184.8</v>
      </c>
      <c r="N391" s="1">
        <v>554.4</v>
      </c>
      <c r="O391" s="3">
        <v>60</v>
      </c>
      <c r="P391" s="11" t="s">
        <v>2276</v>
      </c>
      <c r="Q391" s="3">
        <v>12</v>
      </c>
      <c r="R391" s="3">
        <v>192</v>
      </c>
      <c r="S391" s="22">
        <v>21</v>
      </c>
      <c r="T391" s="9">
        <v>285</v>
      </c>
      <c r="U391" s="14" t="s">
        <v>527</v>
      </c>
      <c r="V391" s="12">
        <v>4</v>
      </c>
      <c r="W391" s="75">
        <v>16</v>
      </c>
      <c r="X391" s="76">
        <v>16</v>
      </c>
      <c r="Y391" s="9">
        <v>998.5</v>
      </c>
      <c r="Z391" s="3">
        <v>1038.96</v>
      </c>
      <c r="AA391" s="17" t="s">
        <v>683</v>
      </c>
      <c r="AB391" s="18" t="s">
        <v>682</v>
      </c>
      <c r="AC391" s="46" cm="1">
        <f t="array" ref="AC391">(SUMPRODUCT((H391:O391/H$9:O$9)^H$7:O$7*H$2:O$2)+SUMPRODUCT((Q391:T391/Q$9:T$9)^Q$7:T$7*Q$2:T$2))*(0.8^(1-G391))*AC$9</f>
        <v>2.4173148739404255</v>
      </c>
      <c r="AD391" s="48" cm="1">
        <f t="array" ref="AD391">(SUMPRODUCT((H391:O391/H$9:O$9)^H$7:O$7*H$3:O$3)+SUMPRODUCT((Q391:T391/Q$9:T$9)^Q$7:T$7*Q$3:T$3))*(0.1^(1-G391))*AD$9</f>
        <v>3.1501120222401329</v>
      </c>
      <c r="AE391" s="48" cm="1">
        <f t="array" ref="AE391">(SUMPRODUCT((H391:O391/H$9:O$9)^H$7:O$7*H$4:O$4)+SUMPRODUCT((Q391:T391/Q$9:T$9)^Q$7:T$7*Q$4:T$4))*AE$9</f>
        <v>2.7926500577318953</v>
      </c>
      <c r="AF391" s="47" cm="1">
        <f t="array" ref="AF391">(SUMPRODUCT((H391:O391/H$9:O$9)^H$7:O$7*H$5:O$5)+SUMPRODUCT((Q391:T391/Q$9:T$9)^Q$7:T$7*Q$5:T$5))*AF$9</f>
        <v>2.608111425333731</v>
      </c>
      <c r="AG391" s="50" cm="1">
        <f t="array" ref="AG391">SUMPRODUCT(AC391:AF391 * AC$3:AF$3) / SUM(AC$3:AF$3)</f>
        <v>2.8979277353159771</v>
      </c>
    </row>
    <row r="392" spans="1:33" x14ac:dyDescent="0.25">
      <c r="A392" s="81" t="s">
        <v>521</v>
      </c>
      <c r="B392" s="20" t="s">
        <v>523</v>
      </c>
      <c r="C392" s="4" t="s">
        <v>8853</v>
      </c>
      <c r="D392" s="4" t="str">
        <f t="shared" ref="D392:D455" si="6">LEFT(AB392, FIND(" ", AB392 &amp; " ") - 1)</f>
        <v>Zotac</v>
      </c>
      <c r="E392" s="4" t="s">
        <v>8855</v>
      </c>
      <c r="F392" s="14" t="s">
        <v>8878</v>
      </c>
      <c r="G392" s="9">
        <v>1</v>
      </c>
      <c r="H392" s="1">
        <v>41.01</v>
      </c>
      <c r="I392" s="1">
        <v>41.01</v>
      </c>
      <c r="J392" s="1">
        <v>0.64</v>
      </c>
      <c r="K392" s="3">
        <v>1313</v>
      </c>
      <c r="L392" s="13">
        <v>2670</v>
      </c>
      <c r="M392" s="49">
        <v>184.8</v>
      </c>
      <c r="N392" s="1">
        <v>554.4</v>
      </c>
      <c r="O392" s="3">
        <v>60</v>
      </c>
      <c r="P392" s="11" t="s">
        <v>2276</v>
      </c>
      <c r="Q392" s="3">
        <v>12</v>
      </c>
      <c r="R392" s="3">
        <v>192</v>
      </c>
      <c r="S392" s="22">
        <v>21</v>
      </c>
      <c r="T392" s="9">
        <v>285</v>
      </c>
      <c r="U392" s="14" t="s">
        <v>471</v>
      </c>
      <c r="V392" s="12">
        <v>4</v>
      </c>
      <c r="W392" s="75">
        <v>16</v>
      </c>
      <c r="X392" s="76">
        <v>16</v>
      </c>
      <c r="Y392" s="9">
        <v>1149.92</v>
      </c>
      <c r="Z392" s="3">
        <v>1591.77</v>
      </c>
      <c r="AA392" s="17" t="s">
        <v>522</v>
      </c>
      <c r="AB392" s="18" t="s">
        <v>521</v>
      </c>
      <c r="AC392" s="46" cm="1">
        <f t="array" ref="AC392">(SUMPRODUCT((H392:O392/H$9:O$9)^H$7:O$7*H$2:O$2)+SUMPRODUCT((Q392:T392/Q$9:T$9)^Q$7:T$7*Q$2:T$2))*(0.8^(1-G392))*AC$9</f>
        <v>2.4296294537329977</v>
      </c>
      <c r="AD392" s="48" cm="1">
        <f t="array" ref="AD392">(SUMPRODUCT((H392:O392/H$9:O$9)^H$7:O$7*H$3:O$3)+SUMPRODUCT((Q392:T392/Q$9:T$9)^Q$7:T$7*Q$3:T$3))*(0.1^(1-G392))*AD$9</f>
        <v>3.1993014114452918</v>
      </c>
      <c r="AE392" s="48" cm="1">
        <f t="array" ref="AE392">(SUMPRODUCT((H392:O392/H$9:O$9)^H$7:O$7*H$4:O$4)+SUMPRODUCT((Q392:T392/Q$9:T$9)^Q$7:T$7*Q$4:T$4))*AE$9</f>
        <v>2.8253094212554486</v>
      </c>
      <c r="AF392" s="47" cm="1">
        <f t="array" ref="AF392">(SUMPRODUCT((H392:O392/H$9:O$9)^H$7:O$7*H$5:O$5)+SUMPRODUCT((Q392:T392/Q$9:T$9)^Q$7:T$7*Q$5:T$5))*AF$9</f>
        <v>2.6349675675408415</v>
      </c>
      <c r="AG392" s="50" cm="1">
        <f t="array" ref="AG392">SUMPRODUCT(AC392:AF392 * AC$3:AF$3) / SUM(AC$3:AF$3)</f>
        <v>2.935412445599185</v>
      </c>
    </row>
    <row r="393" spans="1:33" x14ac:dyDescent="0.25">
      <c r="A393" s="81" t="s">
        <v>518</v>
      </c>
      <c r="B393" s="20" t="s">
        <v>520</v>
      </c>
      <c r="C393" s="4" t="s">
        <v>8853</v>
      </c>
      <c r="D393" s="4" t="str">
        <f t="shared" si="6"/>
        <v>Zotac</v>
      </c>
      <c r="E393" s="4" t="s">
        <v>8855</v>
      </c>
      <c r="F393" s="14" t="s">
        <v>8878</v>
      </c>
      <c r="G393" s="9">
        <v>1</v>
      </c>
      <c r="H393" s="1">
        <v>41.47</v>
      </c>
      <c r="I393" s="1">
        <v>41.47</v>
      </c>
      <c r="J393" s="1">
        <v>0.65</v>
      </c>
      <c r="K393" s="3">
        <v>1313</v>
      </c>
      <c r="L393" s="13">
        <v>2700</v>
      </c>
      <c r="M393" s="49">
        <v>184.8</v>
      </c>
      <c r="N393" s="1">
        <v>554.4</v>
      </c>
      <c r="O393" s="3">
        <v>60</v>
      </c>
      <c r="P393" s="11" t="s">
        <v>2276</v>
      </c>
      <c r="Q393" s="3">
        <v>12</v>
      </c>
      <c r="R393" s="3">
        <v>192</v>
      </c>
      <c r="S393" s="22">
        <v>21</v>
      </c>
      <c r="T393" s="9">
        <v>285</v>
      </c>
      <c r="U393" s="14" t="s">
        <v>471</v>
      </c>
      <c r="V393" s="12">
        <v>4</v>
      </c>
      <c r="W393" s="75">
        <v>16</v>
      </c>
      <c r="X393" s="76">
        <v>16</v>
      </c>
      <c r="Y393" s="9">
        <v>1111.5</v>
      </c>
      <c r="Z393" s="3">
        <v>1884.8</v>
      </c>
      <c r="AA393" s="17" t="s">
        <v>519</v>
      </c>
      <c r="AB393" s="18" t="s">
        <v>518</v>
      </c>
      <c r="AC393" s="46" cm="1">
        <f t="array" ref="AC393">(SUMPRODUCT((H393:O393/H$9:O$9)^H$7:O$7*H$2:O$2)+SUMPRODUCT((Q393:T393/Q$9:T$9)^Q$7:T$7*Q$2:T$2))*(0.8^(1-G393))*AC$9</f>
        <v>2.4357763415561533</v>
      </c>
      <c r="AD393" s="48" cm="1">
        <f t="array" ref="AD393">(SUMPRODUCT((H393:O393/H$9:O$9)^H$7:O$7*H$3:O$3)+SUMPRODUCT((Q393:T393/Q$9:T$9)^Q$7:T$7*Q$3:T$3))*(0.1^(1-G393))*AD$9</f>
        <v>3.225118467351928</v>
      </c>
      <c r="AE393" s="48" cm="1">
        <f t="array" ref="AE393">(SUMPRODUCT((H393:O393/H$9:O$9)^H$7:O$7*H$4:O$4)+SUMPRODUCT((Q393:T393/Q$9:T$9)^Q$7:T$7*Q$4:T$4))*AE$9</f>
        <v>2.8505338769922739</v>
      </c>
      <c r="AF393" s="47" cm="1">
        <f t="array" ref="AF393">(SUMPRODUCT((H393:O393/H$9:O$9)^H$7:O$7*H$5:O$5)+SUMPRODUCT((Q393:T393/Q$9:T$9)^Q$7:T$7*Q$5:T$5))*AF$9</f>
        <v>2.6483711810813593</v>
      </c>
      <c r="AG393" s="50" cm="1">
        <f t="array" ref="AG393">SUMPRODUCT(AC393:AF393 * AC$3:AF$3) / SUM(AC$3:AF$3)</f>
        <v>2.9558163886342421</v>
      </c>
    </row>
    <row r="394" spans="1:33" x14ac:dyDescent="0.25">
      <c r="A394" s="81" t="s">
        <v>500</v>
      </c>
      <c r="B394" s="20" t="s">
        <v>502</v>
      </c>
      <c r="C394" s="4" t="s">
        <v>8853</v>
      </c>
      <c r="D394" s="4" t="str">
        <f t="shared" si="6"/>
        <v>Zotac</v>
      </c>
      <c r="E394" s="4" t="s">
        <v>8855</v>
      </c>
      <c r="F394" s="14" t="s">
        <v>8878</v>
      </c>
      <c r="G394" s="9">
        <v>1</v>
      </c>
      <c r="H394" s="1">
        <v>40.32</v>
      </c>
      <c r="I394" s="1">
        <v>40.32</v>
      </c>
      <c r="J394" s="1">
        <v>0.63</v>
      </c>
      <c r="K394" s="3">
        <v>1313</v>
      </c>
      <c r="L394" s="13">
        <v>2625</v>
      </c>
      <c r="M394" s="49">
        <v>184.8</v>
      </c>
      <c r="N394" s="1">
        <v>554.4</v>
      </c>
      <c r="O394" s="3">
        <v>60</v>
      </c>
      <c r="P394" s="11" t="s">
        <v>2276</v>
      </c>
      <c r="Q394" s="3">
        <v>12</v>
      </c>
      <c r="R394" s="3">
        <v>192</v>
      </c>
      <c r="S394" s="22">
        <v>21</v>
      </c>
      <c r="T394" s="9">
        <v>285</v>
      </c>
      <c r="U394" s="14" t="s">
        <v>471</v>
      </c>
      <c r="V394" s="12">
        <v>4</v>
      </c>
      <c r="W394" s="75">
        <v>16</v>
      </c>
      <c r="X394" s="76">
        <v>16</v>
      </c>
      <c r="Y394" s="9">
        <v>1048.01</v>
      </c>
      <c r="Z394" s="3">
        <v>1076.81</v>
      </c>
      <c r="AA394" s="17" t="s">
        <v>501</v>
      </c>
      <c r="AB394" s="18" t="s">
        <v>500</v>
      </c>
      <c r="AC394" s="46" cm="1">
        <f t="array" ref="AC394">(SUMPRODUCT((H394:O394/H$9:O$9)^H$7:O$7*H$2:O$2)+SUMPRODUCT((Q394:T394/Q$9:T$9)^Q$7:T$7*Q$2:T$2))*(0.8^(1-G394))*AC$9</f>
        <v>2.4203961464616248</v>
      </c>
      <c r="AD394" s="48" cm="1">
        <f t="array" ref="AD394">(SUMPRODUCT((H394:O394/H$9:O$9)^H$7:O$7*H$3:O$3)+SUMPRODUCT((Q394:T394/Q$9:T$9)^Q$7:T$7*Q$3:T$3))*(0.1^(1-G394))*AD$9</f>
        <v>3.1617818033682008</v>
      </c>
      <c r="AE394" s="48" cm="1">
        <f t="array" ref="AE394">(SUMPRODUCT((H394:O394/H$9:O$9)^H$7:O$7*H$4:O$4)+SUMPRODUCT((Q394:T394/Q$9:T$9)^Q$7:T$7*Q$4:T$4))*AE$9</f>
        <v>2.796336468543239</v>
      </c>
      <c r="AF394" s="47" cm="1">
        <f t="array" ref="AF394">(SUMPRODUCT((H394:O394/H$9:O$9)^H$7:O$7*H$5:O$5)+SUMPRODUCT((Q394:T394/Q$9:T$9)^Q$7:T$7*Q$5:T$5))*AF$9</f>
        <v>2.6148316394707334</v>
      </c>
      <c r="AG394" s="50" cm="1">
        <f t="array" ref="AG394">SUMPRODUCT(AC394:AF394 * AC$3:AF$3) / SUM(AC$3:AF$3)</f>
        <v>2.9064541293647532</v>
      </c>
    </row>
    <row r="395" spans="1:33" x14ac:dyDescent="0.25">
      <c r="A395" s="81" t="s">
        <v>2111</v>
      </c>
      <c r="B395" s="20" t="s">
        <v>2113</v>
      </c>
      <c r="C395" s="4" t="s">
        <v>8853</v>
      </c>
      <c r="D395" s="4" t="str">
        <f t="shared" si="6"/>
        <v>ASUS</v>
      </c>
      <c r="E395" s="4" t="s">
        <v>8855</v>
      </c>
      <c r="F395" s="14" t="s">
        <v>8879</v>
      </c>
      <c r="G395" s="9">
        <v>1</v>
      </c>
      <c r="H395" s="1">
        <v>44.86</v>
      </c>
      <c r="I395" s="1">
        <v>44.86</v>
      </c>
      <c r="J395" s="1">
        <v>0.7</v>
      </c>
      <c r="K395" s="3">
        <v>1313</v>
      </c>
      <c r="L395" s="13">
        <v>2655</v>
      </c>
      <c r="M395" s="49">
        <v>224.6</v>
      </c>
      <c r="N395" s="1">
        <v>617.79999999999995</v>
      </c>
      <c r="O395" s="3">
        <v>60</v>
      </c>
      <c r="P395" s="11" t="s">
        <v>2276</v>
      </c>
      <c r="Q395" s="3">
        <v>16</v>
      </c>
      <c r="R395" s="3">
        <v>256</v>
      </c>
      <c r="S395" s="22">
        <v>21</v>
      </c>
      <c r="T395" s="9">
        <v>285</v>
      </c>
      <c r="U395" s="14" t="s">
        <v>527</v>
      </c>
      <c r="V395" s="12">
        <v>4</v>
      </c>
      <c r="W395" s="75">
        <v>16</v>
      </c>
      <c r="X395" s="76">
        <v>16</v>
      </c>
      <c r="Y395" s="9">
        <v>1178.6400000000001</v>
      </c>
      <c r="Z395" s="3">
        <v>1771.58</v>
      </c>
      <c r="AA395" s="17" t="s">
        <v>2112</v>
      </c>
      <c r="AB395" s="18" t="s">
        <v>2111</v>
      </c>
      <c r="AC395" s="46" cm="1">
        <f t="array" ref="AC395">(SUMPRODUCT((H395:O395/H$9:O$9)^H$7:O$7*H$2:O$2)+SUMPRODUCT((Q395:T395/Q$9:T$9)^Q$7:T$7*Q$2:T$2))*(0.8^(1-G395))*AC$9</f>
        <v>2.6510658820998483</v>
      </c>
      <c r="AD395" s="48" cm="1">
        <f t="array" ref="AD395">(SUMPRODUCT((H395:O395/H$9:O$9)^H$7:O$7*H$3:O$3)+SUMPRODUCT((Q395:T395/Q$9:T$9)^Q$7:T$7*Q$3:T$3))*(0.1^(1-G395))*AD$9</f>
        <v>3.5067257038903201</v>
      </c>
      <c r="AE395" s="48" cm="1">
        <f t="array" ref="AE395">(SUMPRODUCT((H395:O395/H$9:O$9)^H$7:O$7*H$4:O$4)+SUMPRODUCT((Q395:T395/Q$9:T$9)^Q$7:T$7*Q$4:T$4))*AE$9</f>
        <v>3.1021785770180359</v>
      </c>
      <c r="AF395" s="47" cm="1">
        <f t="array" ref="AF395">(SUMPRODUCT((H395:O395/H$9:O$9)^H$7:O$7*H$5:O$5)+SUMPRODUCT((Q395:T395/Q$9:T$9)^Q$7:T$7*Q$5:T$5))*AF$9</f>
        <v>2.871412689650771</v>
      </c>
      <c r="AG395" s="50" cm="1">
        <f t="array" ref="AG395">SUMPRODUCT(AC395:AF395 * AC$3:AF$3) / SUM(AC$3:AF$3)</f>
        <v>3.2132805504550626</v>
      </c>
    </row>
    <row r="396" spans="1:33" x14ac:dyDescent="0.25">
      <c r="A396" s="81" t="s">
        <v>2006</v>
      </c>
      <c r="B396" s="20" t="s">
        <v>2008</v>
      </c>
      <c r="C396" s="4" t="s">
        <v>8853</v>
      </c>
      <c r="D396" s="4" t="str">
        <f t="shared" si="6"/>
        <v>ASUS</v>
      </c>
      <c r="E396" s="4" t="s">
        <v>8855</v>
      </c>
      <c r="F396" s="14" t="s">
        <v>8879</v>
      </c>
      <c r="G396" s="9">
        <v>1</v>
      </c>
      <c r="H396" s="1">
        <v>45.11</v>
      </c>
      <c r="I396" s="1">
        <v>45.11</v>
      </c>
      <c r="J396" s="1">
        <v>0.7</v>
      </c>
      <c r="K396" s="3">
        <v>1313</v>
      </c>
      <c r="L396" s="13">
        <v>2670</v>
      </c>
      <c r="M396" s="49">
        <v>224.6</v>
      </c>
      <c r="N396" s="1">
        <v>617.79999999999995</v>
      </c>
      <c r="O396" s="3">
        <v>60</v>
      </c>
      <c r="P396" s="11" t="s">
        <v>2276</v>
      </c>
      <c r="Q396" s="3">
        <v>16</v>
      </c>
      <c r="R396" s="3">
        <v>256</v>
      </c>
      <c r="S396" s="22">
        <v>21</v>
      </c>
      <c r="T396" s="9">
        <v>285</v>
      </c>
      <c r="U396" s="14" t="s">
        <v>527</v>
      </c>
      <c r="V396" s="12">
        <v>4</v>
      </c>
      <c r="W396" s="75">
        <v>16</v>
      </c>
      <c r="X396" s="76">
        <v>16</v>
      </c>
      <c r="Y396" s="9">
        <v>1604.29</v>
      </c>
      <c r="Z396" s="3">
        <v>1604.29</v>
      </c>
      <c r="AA396" s="17" t="s">
        <v>2007</v>
      </c>
      <c r="AB396" s="18" t="s">
        <v>2006</v>
      </c>
      <c r="AC396" s="46" cm="1">
        <f t="array" ref="AC396">(SUMPRODUCT((H396:O396/H$9:O$9)^H$7:O$7*H$2:O$2)+SUMPRODUCT((Q396:T396/Q$9:T$9)^Q$7:T$7*Q$2:T$2))*(0.8^(1-G396))*AC$9</f>
        <v>2.6542359315893345</v>
      </c>
      <c r="AD396" s="48" cm="1">
        <f t="array" ref="AD396">(SUMPRODUCT((H396:O396/H$9:O$9)^H$7:O$7*H$3:O$3)+SUMPRODUCT((Q396:T396/Q$9:T$9)^Q$7:T$7*Q$3:T$3))*(0.1^(1-G396))*AD$9</f>
        <v>3.5192017680296983</v>
      </c>
      <c r="AE396" s="48" cm="1">
        <f t="array" ref="AE396">(SUMPRODUCT((H396:O396/H$9:O$9)^H$7:O$7*H$4:O$4)+SUMPRODUCT((Q396:T396/Q$9:T$9)^Q$7:T$7*Q$4:T$4))*AE$9</f>
        <v>3.1061407837747583</v>
      </c>
      <c r="AF396" s="47" cm="1">
        <f t="array" ref="AF396">(SUMPRODUCT((H396:O396/H$9:O$9)^H$7:O$7*H$5:O$5)+SUMPRODUCT((Q396:T396/Q$9:T$9)^Q$7:T$7*Q$5:T$5))*AF$9</f>
        <v>2.8785725673906817</v>
      </c>
      <c r="AG396" s="50" cm="1">
        <f t="array" ref="AG396">SUMPRODUCT(AC396:AF396 * AC$3:AF$3) / SUM(AC$3:AF$3)</f>
        <v>3.2223735969325862</v>
      </c>
    </row>
    <row r="397" spans="1:33" x14ac:dyDescent="0.25">
      <c r="A397" s="81" t="s">
        <v>1913</v>
      </c>
      <c r="B397" s="20" t="s">
        <v>1915</v>
      </c>
      <c r="C397" s="4" t="s">
        <v>8853</v>
      </c>
      <c r="D397" s="4" t="str">
        <f t="shared" si="6"/>
        <v>ASUS</v>
      </c>
      <c r="E397" s="4" t="s">
        <v>8855</v>
      </c>
      <c r="F397" s="14" t="s">
        <v>8879</v>
      </c>
      <c r="G397" s="9">
        <v>1</v>
      </c>
      <c r="H397" s="1">
        <v>45.62</v>
      </c>
      <c r="I397" s="1">
        <v>45.62</v>
      </c>
      <c r="J397" s="1">
        <v>0.71</v>
      </c>
      <c r="K397" s="3">
        <v>1313</v>
      </c>
      <c r="L397" s="13">
        <v>2700</v>
      </c>
      <c r="M397" s="49">
        <v>224.6</v>
      </c>
      <c r="N397" s="1">
        <v>617.79999999999995</v>
      </c>
      <c r="O397" s="3">
        <v>60</v>
      </c>
      <c r="P397" s="11" t="s">
        <v>2276</v>
      </c>
      <c r="Q397" s="3">
        <v>16</v>
      </c>
      <c r="R397" s="3">
        <v>256</v>
      </c>
      <c r="S397" s="22">
        <v>21</v>
      </c>
      <c r="T397" s="9">
        <v>285</v>
      </c>
      <c r="U397" s="14" t="s">
        <v>471</v>
      </c>
      <c r="V397" s="12">
        <v>4</v>
      </c>
      <c r="W397" s="75">
        <v>16</v>
      </c>
      <c r="X397" s="76">
        <v>16</v>
      </c>
      <c r="Y397" s="9">
        <v>1999</v>
      </c>
      <c r="Z397" s="3">
        <v>2218.1799999999998</v>
      </c>
      <c r="AA397" s="17" t="s">
        <v>1914</v>
      </c>
      <c r="AB397" s="18" t="s">
        <v>1913</v>
      </c>
      <c r="AC397" s="46" cm="1">
        <f t="array" ref="AC397">(SUMPRODUCT((H397:O397/H$9:O$9)^H$7:O$7*H$2:O$2)+SUMPRODUCT((Q397:T397/Q$9:T$9)^Q$7:T$7*Q$2:T$2))*(0.8^(1-G397))*AC$9</f>
        <v>2.6606234861542073</v>
      </c>
      <c r="AD397" s="48" cm="1">
        <f t="array" ref="AD397">(SUMPRODUCT((H397:O397/H$9:O$9)^H$7:O$7*H$3:O$3)+SUMPRODUCT((Q397:T397/Q$9:T$9)^Q$7:T$7*Q$3:T$3))*(0.1^(1-G397))*AD$9</f>
        <v>3.5471188153049296</v>
      </c>
      <c r="AE397" s="48" cm="1">
        <f t="array" ref="AE397">(SUMPRODUCT((H397:O397/H$9:O$9)^H$7:O$7*H$4:O$4)+SUMPRODUCT((Q397:T397/Q$9:T$9)^Q$7:T$7*Q$4:T$4))*AE$9</f>
        <v>3.1317721393596867</v>
      </c>
      <c r="AF397" s="47" cm="1">
        <f t="array" ref="AF397">(SUMPRODUCT((H397:O397/H$9:O$9)^H$7:O$7*H$5:O$5)+SUMPRODUCT((Q397:T397/Q$9:T$9)^Q$7:T$7*Q$5:T$5))*AF$9</f>
        <v>2.893135904354954</v>
      </c>
      <c r="AG397" s="50" cm="1">
        <f t="array" ref="AG397">SUMPRODUCT(AC397:AF397 * AC$3:AF$3) / SUM(AC$3:AF$3)</f>
        <v>3.2442228112942306</v>
      </c>
    </row>
    <row r="398" spans="1:33" x14ac:dyDescent="0.25">
      <c r="A398" s="81" t="s">
        <v>1910</v>
      </c>
      <c r="B398" s="20" t="s">
        <v>1912</v>
      </c>
      <c r="C398" s="4" t="s">
        <v>8853</v>
      </c>
      <c r="D398" s="4" t="str">
        <f t="shared" si="6"/>
        <v>ASUS</v>
      </c>
      <c r="E398" s="4" t="s">
        <v>8855</v>
      </c>
      <c r="F398" s="14" t="s">
        <v>8879</v>
      </c>
      <c r="G398" s="9">
        <v>1</v>
      </c>
      <c r="H398" s="1">
        <v>44.61</v>
      </c>
      <c r="I398" s="1">
        <v>44.61</v>
      </c>
      <c r="J398" s="1">
        <v>0.7</v>
      </c>
      <c r="K398" s="3">
        <v>1313</v>
      </c>
      <c r="L398" s="13">
        <v>2640</v>
      </c>
      <c r="M398" s="49">
        <v>224.6</v>
      </c>
      <c r="N398" s="1">
        <v>617.79999999999995</v>
      </c>
      <c r="O398" s="3">
        <v>60</v>
      </c>
      <c r="P398" s="11" t="s">
        <v>2276</v>
      </c>
      <c r="Q398" s="3">
        <v>16</v>
      </c>
      <c r="R398" s="3">
        <v>256</v>
      </c>
      <c r="S398" s="22">
        <v>21</v>
      </c>
      <c r="T398" s="9">
        <v>285</v>
      </c>
      <c r="U398" s="14" t="s">
        <v>471</v>
      </c>
      <c r="V398" s="12">
        <v>4</v>
      </c>
      <c r="W398" s="75">
        <v>16</v>
      </c>
      <c r="X398" s="76">
        <v>16</v>
      </c>
      <c r="Y398" s="9">
        <v>2199</v>
      </c>
      <c r="Z398" s="3">
        <v>2199</v>
      </c>
      <c r="AA398" s="17" t="s">
        <v>1911</v>
      </c>
      <c r="AB398" s="18" t="s">
        <v>1910</v>
      </c>
      <c r="AC398" s="46" cm="1">
        <f t="array" ref="AC398">(SUMPRODUCT((H398:O398/H$9:O$9)^H$7:O$7*H$2:O$2)+SUMPRODUCT((Q398:T398/Q$9:T$9)^Q$7:T$7*Q$2:T$2))*(0.8^(1-G398))*AC$9</f>
        <v>2.6478940512582074</v>
      </c>
      <c r="AD398" s="48" cm="1">
        <f t="array" ref="AD398">(SUMPRODUCT((H398:O398/H$9:O$9)^H$7:O$7*H$3:O$3)+SUMPRODUCT((Q398:T398/Q$9:T$9)^Q$7:T$7*Q$3:T$3))*(0.1^(1-G398))*AD$9</f>
        <v>3.4942407795539623</v>
      </c>
      <c r="AE398" s="48" cm="1">
        <f t="array" ref="AE398">(SUMPRODUCT((H398:O398/H$9:O$9)^H$7:O$7*H$4:O$4)+SUMPRODUCT((Q398:T398/Q$9:T$9)^Q$7:T$7*Q$4:T$4))*AE$9</f>
        <v>3.0982141615383108</v>
      </c>
      <c r="AF398" s="47" cm="1">
        <f t="array" ref="AF398">(SUMPRODUCT((H398:O398/H$9:O$9)^H$7:O$7*H$5:O$5)+SUMPRODUCT((Q398:T398/Q$9:T$9)^Q$7:T$7*Q$5:T$5))*AF$9</f>
        <v>2.8642484978672704</v>
      </c>
      <c r="AG398" s="50" cm="1">
        <f t="array" ref="AG398">SUMPRODUCT(AC398:AF398 * AC$3:AF$3) / SUM(AC$3:AF$3)</f>
        <v>3.2041813203329266</v>
      </c>
    </row>
    <row r="399" spans="1:33" x14ac:dyDescent="0.25">
      <c r="A399" s="81" t="s">
        <v>1782</v>
      </c>
      <c r="B399" s="20" t="s">
        <v>1784</v>
      </c>
      <c r="C399" s="4" t="s">
        <v>8853</v>
      </c>
      <c r="D399" s="4" t="str">
        <f t="shared" si="6"/>
        <v>ASUS</v>
      </c>
      <c r="E399" s="4" t="s">
        <v>8855</v>
      </c>
      <c r="F399" s="14" t="s">
        <v>8879</v>
      </c>
      <c r="G399" s="9">
        <v>1</v>
      </c>
      <c r="H399" s="1">
        <v>45.11</v>
      </c>
      <c r="I399" s="1">
        <v>45.11</v>
      </c>
      <c r="J399" s="1">
        <v>0.7</v>
      </c>
      <c r="K399" s="3">
        <v>1313</v>
      </c>
      <c r="L399" s="13">
        <v>2670</v>
      </c>
      <c r="M399" s="49">
        <v>224.6</v>
      </c>
      <c r="N399" s="1">
        <v>617.79999999999995</v>
      </c>
      <c r="O399" s="3">
        <v>60</v>
      </c>
      <c r="P399" s="11" t="s">
        <v>2276</v>
      </c>
      <c r="Q399" s="3">
        <v>16</v>
      </c>
      <c r="R399" s="3">
        <v>256</v>
      </c>
      <c r="S399" s="22">
        <v>21</v>
      </c>
      <c r="T399" s="9">
        <v>285</v>
      </c>
      <c r="U399" s="14" t="s">
        <v>1785</v>
      </c>
      <c r="V399" s="12">
        <v>4</v>
      </c>
      <c r="W399" s="75">
        <v>16</v>
      </c>
      <c r="X399" s="76">
        <v>16</v>
      </c>
      <c r="Y399" s="9">
        <v>2003.7</v>
      </c>
      <c r="Z399" s="3">
        <v>2003.7</v>
      </c>
      <c r="AA399" s="17" t="s">
        <v>1783</v>
      </c>
      <c r="AB399" s="18" t="s">
        <v>1782</v>
      </c>
      <c r="AC399" s="46" cm="1">
        <f t="array" ref="AC399">(SUMPRODUCT((H399:O399/H$9:O$9)^H$7:O$7*H$2:O$2)+SUMPRODUCT((Q399:T399/Q$9:T$9)^Q$7:T$7*Q$2:T$2))*(0.8^(1-G399))*AC$9</f>
        <v>2.6542359315893345</v>
      </c>
      <c r="AD399" s="48" cm="1">
        <f t="array" ref="AD399">(SUMPRODUCT((H399:O399/H$9:O$9)^H$7:O$7*H$3:O$3)+SUMPRODUCT((Q399:T399/Q$9:T$9)^Q$7:T$7*Q$3:T$3))*(0.1^(1-G399))*AD$9</f>
        <v>3.5192017680296983</v>
      </c>
      <c r="AE399" s="48" cm="1">
        <f t="array" ref="AE399">(SUMPRODUCT((H399:O399/H$9:O$9)^H$7:O$7*H$4:O$4)+SUMPRODUCT((Q399:T399/Q$9:T$9)^Q$7:T$7*Q$4:T$4))*AE$9</f>
        <v>3.1061407837747583</v>
      </c>
      <c r="AF399" s="47" cm="1">
        <f t="array" ref="AF399">(SUMPRODUCT((H399:O399/H$9:O$9)^H$7:O$7*H$5:O$5)+SUMPRODUCT((Q399:T399/Q$9:T$9)^Q$7:T$7*Q$5:T$5))*AF$9</f>
        <v>2.8785725673906817</v>
      </c>
      <c r="AG399" s="50" cm="1">
        <f t="array" ref="AG399">SUMPRODUCT(AC399:AF399 * AC$3:AF$3) / SUM(AC$3:AF$3)</f>
        <v>3.2223735969325862</v>
      </c>
    </row>
    <row r="400" spans="1:33" x14ac:dyDescent="0.25">
      <c r="A400" s="81" t="s">
        <v>1779</v>
      </c>
      <c r="B400" s="20" t="s">
        <v>1781</v>
      </c>
      <c r="C400" s="4" t="s">
        <v>8853</v>
      </c>
      <c r="D400" s="4" t="str">
        <f t="shared" si="6"/>
        <v>ASUS</v>
      </c>
      <c r="E400" s="4" t="s">
        <v>8855</v>
      </c>
      <c r="F400" s="14" t="s">
        <v>8879</v>
      </c>
      <c r="G400" s="9">
        <v>1</v>
      </c>
      <c r="H400" s="1">
        <v>45.11</v>
      </c>
      <c r="I400" s="1">
        <v>45.11</v>
      </c>
      <c r="J400" s="1">
        <v>0.7</v>
      </c>
      <c r="K400" s="3">
        <v>1313</v>
      </c>
      <c r="L400" s="13">
        <v>2670</v>
      </c>
      <c r="M400" s="49">
        <v>224.6</v>
      </c>
      <c r="N400" s="1">
        <v>617.79999999999995</v>
      </c>
      <c r="O400" s="3">
        <v>60</v>
      </c>
      <c r="P400" s="11" t="s">
        <v>2276</v>
      </c>
      <c r="Q400" s="3">
        <v>16</v>
      </c>
      <c r="R400" s="3">
        <v>256</v>
      </c>
      <c r="S400" s="22">
        <v>21</v>
      </c>
      <c r="T400" s="9">
        <v>285</v>
      </c>
      <c r="U400" s="14" t="s">
        <v>527</v>
      </c>
      <c r="V400" s="12">
        <v>4</v>
      </c>
      <c r="W400" s="75">
        <v>16</v>
      </c>
      <c r="X400" s="76">
        <v>16</v>
      </c>
      <c r="Y400" s="9">
        <v>1988.74</v>
      </c>
      <c r="Z400" s="3">
        <v>1988.74</v>
      </c>
      <c r="AA400" s="17" t="s">
        <v>1780</v>
      </c>
      <c r="AB400" s="18" t="s">
        <v>1779</v>
      </c>
      <c r="AC400" s="46" cm="1">
        <f t="array" ref="AC400">(SUMPRODUCT((H400:O400/H$9:O$9)^H$7:O$7*H$2:O$2)+SUMPRODUCT((Q400:T400/Q$9:T$9)^Q$7:T$7*Q$2:T$2))*(0.8^(1-G400))*AC$9</f>
        <v>2.6542359315893345</v>
      </c>
      <c r="AD400" s="48" cm="1">
        <f t="array" ref="AD400">(SUMPRODUCT((H400:O400/H$9:O$9)^H$7:O$7*H$3:O$3)+SUMPRODUCT((Q400:T400/Q$9:T$9)^Q$7:T$7*Q$3:T$3))*(0.1^(1-G400))*AD$9</f>
        <v>3.5192017680296983</v>
      </c>
      <c r="AE400" s="48" cm="1">
        <f t="array" ref="AE400">(SUMPRODUCT((H400:O400/H$9:O$9)^H$7:O$7*H$4:O$4)+SUMPRODUCT((Q400:T400/Q$9:T$9)^Q$7:T$7*Q$4:T$4))*AE$9</f>
        <v>3.1061407837747583</v>
      </c>
      <c r="AF400" s="47" cm="1">
        <f t="array" ref="AF400">(SUMPRODUCT((H400:O400/H$9:O$9)^H$7:O$7*H$5:O$5)+SUMPRODUCT((Q400:T400/Q$9:T$9)^Q$7:T$7*Q$5:T$5))*AF$9</f>
        <v>2.8785725673906817</v>
      </c>
      <c r="AG400" s="50" cm="1">
        <f t="array" ref="AG400">SUMPRODUCT(AC400:AF400 * AC$3:AF$3) / SUM(AC$3:AF$3)</f>
        <v>3.2223735969325862</v>
      </c>
    </row>
    <row r="401" spans="1:33" x14ac:dyDescent="0.25">
      <c r="A401" s="81" t="s">
        <v>1776</v>
      </c>
      <c r="B401" s="20" t="s">
        <v>1778</v>
      </c>
      <c r="C401" s="4" t="s">
        <v>8853</v>
      </c>
      <c r="D401" s="4" t="str">
        <f t="shared" si="6"/>
        <v>ASUS</v>
      </c>
      <c r="E401" s="4" t="s">
        <v>8855</v>
      </c>
      <c r="F401" s="14" t="s">
        <v>8879</v>
      </c>
      <c r="G401" s="9">
        <v>1</v>
      </c>
      <c r="H401" s="1">
        <v>45.11</v>
      </c>
      <c r="I401" s="1">
        <v>45.11</v>
      </c>
      <c r="J401" s="1">
        <v>0.7</v>
      </c>
      <c r="K401" s="3">
        <v>1313</v>
      </c>
      <c r="L401" s="13">
        <v>2670</v>
      </c>
      <c r="M401" s="49">
        <v>224.6</v>
      </c>
      <c r="N401" s="1">
        <v>617.79999999999995</v>
      </c>
      <c r="O401" s="3">
        <v>60</v>
      </c>
      <c r="P401" s="11" t="s">
        <v>2276</v>
      </c>
      <c r="Q401" s="3">
        <v>16</v>
      </c>
      <c r="R401" s="3">
        <v>256</v>
      </c>
      <c r="S401" s="22">
        <v>21</v>
      </c>
      <c r="T401" s="9">
        <v>285</v>
      </c>
      <c r="U401" s="14" t="s">
        <v>527</v>
      </c>
      <c r="V401" s="12">
        <v>4</v>
      </c>
      <c r="W401" s="75">
        <v>16</v>
      </c>
      <c r="X401" s="76">
        <v>16</v>
      </c>
      <c r="Y401" s="9">
        <v>1662.6</v>
      </c>
      <c r="Z401" s="3">
        <v>1949.34</v>
      </c>
      <c r="AA401" s="17" t="s">
        <v>1777</v>
      </c>
      <c r="AB401" s="18" t="s">
        <v>1776</v>
      </c>
      <c r="AC401" s="46" cm="1">
        <f t="array" ref="AC401">(SUMPRODUCT((H401:O401/H$9:O$9)^H$7:O$7*H$2:O$2)+SUMPRODUCT((Q401:T401/Q$9:T$9)^Q$7:T$7*Q$2:T$2))*(0.8^(1-G401))*AC$9</f>
        <v>2.6542359315893345</v>
      </c>
      <c r="AD401" s="48" cm="1">
        <f t="array" ref="AD401">(SUMPRODUCT((H401:O401/H$9:O$9)^H$7:O$7*H$3:O$3)+SUMPRODUCT((Q401:T401/Q$9:T$9)^Q$7:T$7*Q$3:T$3))*(0.1^(1-G401))*AD$9</f>
        <v>3.5192017680296983</v>
      </c>
      <c r="AE401" s="48" cm="1">
        <f t="array" ref="AE401">(SUMPRODUCT((H401:O401/H$9:O$9)^H$7:O$7*H$4:O$4)+SUMPRODUCT((Q401:T401/Q$9:T$9)^Q$7:T$7*Q$4:T$4))*AE$9</f>
        <v>3.1061407837747583</v>
      </c>
      <c r="AF401" s="47" cm="1">
        <f t="array" ref="AF401">(SUMPRODUCT((H401:O401/H$9:O$9)^H$7:O$7*H$5:O$5)+SUMPRODUCT((Q401:T401/Q$9:T$9)^Q$7:T$7*Q$5:T$5))*AF$9</f>
        <v>2.8785725673906817</v>
      </c>
      <c r="AG401" s="50" cm="1">
        <f t="array" ref="AG401">SUMPRODUCT(AC401:AF401 * AC$3:AF$3) / SUM(AC$3:AF$3)</f>
        <v>3.2223735969325862</v>
      </c>
    </row>
    <row r="402" spans="1:33" x14ac:dyDescent="0.25">
      <c r="A402" s="81" t="s">
        <v>1773</v>
      </c>
      <c r="B402" s="20" t="s">
        <v>1775</v>
      </c>
      <c r="C402" s="4" t="s">
        <v>8853</v>
      </c>
      <c r="D402" s="4" t="str">
        <f t="shared" si="6"/>
        <v>ASUS</v>
      </c>
      <c r="E402" s="4" t="s">
        <v>8855</v>
      </c>
      <c r="F402" s="14" t="s">
        <v>8879</v>
      </c>
      <c r="G402" s="9">
        <v>1</v>
      </c>
      <c r="H402" s="1">
        <v>44.61</v>
      </c>
      <c r="I402" s="1">
        <v>44.61</v>
      </c>
      <c r="J402" s="1">
        <v>0.7</v>
      </c>
      <c r="K402" s="3">
        <v>1313</v>
      </c>
      <c r="L402" s="13">
        <v>2640</v>
      </c>
      <c r="M402" s="49">
        <v>224.6</v>
      </c>
      <c r="N402" s="1">
        <v>617.79999999999995</v>
      </c>
      <c r="O402" s="3">
        <v>60</v>
      </c>
      <c r="P402" s="11" t="s">
        <v>2276</v>
      </c>
      <c r="Q402" s="3">
        <v>16</v>
      </c>
      <c r="R402" s="3">
        <v>256</v>
      </c>
      <c r="S402" s="22">
        <v>21</v>
      </c>
      <c r="T402" s="9">
        <v>285</v>
      </c>
      <c r="U402" s="14" t="s">
        <v>527</v>
      </c>
      <c r="V402" s="12">
        <v>4</v>
      </c>
      <c r="W402" s="75">
        <v>16</v>
      </c>
      <c r="X402" s="76">
        <v>16</v>
      </c>
      <c r="Y402" s="9">
        <v>1643.92</v>
      </c>
      <c r="Z402" s="3">
        <v>1921.55</v>
      </c>
      <c r="AA402" s="17" t="s">
        <v>1774</v>
      </c>
      <c r="AB402" s="18" t="s">
        <v>1773</v>
      </c>
      <c r="AC402" s="46" cm="1">
        <f t="array" ref="AC402">(SUMPRODUCT((H402:O402/H$9:O$9)^H$7:O$7*H$2:O$2)+SUMPRODUCT((Q402:T402/Q$9:T$9)^Q$7:T$7*Q$2:T$2))*(0.8^(1-G402))*AC$9</f>
        <v>2.6478940512582074</v>
      </c>
      <c r="AD402" s="48" cm="1">
        <f t="array" ref="AD402">(SUMPRODUCT((H402:O402/H$9:O$9)^H$7:O$7*H$3:O$3)+SUMPRODUCT((Q402:T402/Q$9:T$9)^Q$7:T$7*Q$3:T$3))*(0.1^(1-G402))*AD$9</f>
        <v>3.4942407795539623</v>
      </c>
      <c r="AE402" s="48" cm="1">
        <f t="array" ref="AE402">(SUMPRODUCT((H402:O402/H$9:O$9)^H$7:O$7*H$4:O$4)+SUMPRODUCT((Q402:T402/Q$9:T$9)^Q$7:T$7*Q$4:T$4))*AE$9</f>
        <v>3.0982141615383108</v>
      </c>
      <c r="AF402" s="47" cm="1">
        <f t="array" ref="AF402">(SUMPRODUCT((H402:O402/H$9:O$9)^H$7:O$7*H$5:O$5)+SUMPRODUCT((Q402:T402/Q$9:T$9)^Q$7:T$7*Q$5:T$5))*AF$9</f>
        <v>2.8642484978672704</v>
      </c>
      <c r="AG402" s="50" cm="1">
        <f t="array" ref="AG402">SUMPRODUCT(AC402:AF402 * AC$3:AF$3) / SUM(AC$3:AF$3)</f>
        <v>3.2041813203329266</v>
      </c>
    </row>
    <row r="403" spans="1:33" x14ac:dyDescent="0.25">
      <c r="A403" s="81" t="s">
        <v>1460</v>
      </c>
      <c r="B403" s="20" t="s">
        <v>1462</v>
      </c>
      <c r="C403" s="4" t="s">
        <v>8853</v>
      </c>
      <c r="D403" s="4" t="str">
        <f t="shared" si="6"/>
        <v>GIGABYTE</v>
      </c>
      <c r="E403" s="4" t="s">
        <v>8855</v>
      </c>
      <c r="F403" s="14" t="s">
        <v>8879</v>
      </c>
      <c r="G403" s="9">
        <v>1</v>
      </c>
      <c r="H403" s="1">
        <v>44.86</v>
      </c>
      <c r="I403" s="1">
        <v>44.86</v>
      </c>
      <c r="J403" s="1">
        <v>0.7</v>
      </c>
      <c r="K403" s="3">
        <v>1313</v>
      </c>
      <c r="L403" s="13">
        <v>2655</v>
      </c>
      <c r="M403" s="49">
        <v>224.6</v>
      </c>
      <c r="N403" s="1">
        <v>617.79999999999995</v>
      </c>
      <c r="O403" s="3">
        <v>60</v>
      </c>
      <c r="P403" s="11" t="s">
        <v>2276</v>
      </c>
      <c r="Q403" s="3">
        <v>16</v>
      </c>
      <c r="R403" s="3">
        <v>256</v>
      </c>
      <c r="S403" s="22">
        <v>21</v>
      </c>
      <c r="T403" s="9">
        <v>285</v>
      </c>
      <c r="U403" s="14" t="s">
        <v>471</v>
      </c>
      <c r="V403" s="12">
        <v>4</v>
      </c>
      <c r="W403" s="75">
        <v>16</v>
      </c>
      <c r="X403" s="76">
        <v>16</v>
      </c>
      <c r="Y403" s="9">
        <v>1908.39</v>
      </c>
      <c r="Z403" s="3">
        <v>1908.39</v>
      </c>
      <c r="AA403" s="17" t="s">
        <v>1461</v>
      </c>
      <c r="AB403" s="18" t="s">
        <v>1460</v>
      </c>
      <c r="AC403" s="46" cm="1">
        <f t="array" ref="AC403">(SUMPRODUCT((H403:O403/H$9:O$9)^H$7:O$7*H$2:O$2)+SUMPRODUCT((Q403:T403/Q$9:T$9)^Q$7:T$7*Q$2:T$2))*(0.8^(1-G403))*AC$9</f>
        <v>2.6510658820998483</v>
      </c>
      <c r="AD403" s="48" cm="1">
        <f t="array" ref="AD403">(SUMPRODUCT((H403:O403/H$9:O$9)^H$7:O$7*H$3:O$3)+SUMPRODUCT((Q403:T403/Q$9:T$9)^Q$7:T$7*Q$3:T$3))*(0.1^(1-G403))*AD$9</f>
        <v>3.5067257038903201</v>
      </c>
      <c r="AE403" s="48" cm="1">
        <f t="array" ref="AE403">(SUMPRODUCT((H403:O403/H$9:O$9)^H$7:O$7*H$4:O$4)+SUMPRODUCT((Q403:T403/Q$9:T$9)^Q$7:T$7*Q$4:T$4))*AE$9</f>
        <v>3.1021785770180359</v>
      </c>
      <c r="AF403" s="47" cm="1">
        <f t="array" ref="AF403">(SUMPRODUCT((H403:O403/H$9:O$9)^H$7:O$7*H$5:O$5)+SUMPRODUCT((Q403:T403/Q$9:T$9)^Q$7:T$7*Q$5:T$5))*AF$9</f>
        <v>2.871412689650771</v>
      </c>
      <c r="AG403" s="50" cm="1">
        <f t="array" ref="AG403">SUMPRODUCT(AC403:AF403 * AC$3:AF$3) / SUM(AC$3:AF$3)</f>
        <v>3.2132805504550626</v>
      </c>
    </row>
    <row r="404" spans="1:33" x14ac:dyDescent="0.25">
      <c r="A404" s="81" t="s">
        <v>1457</v>
      </c>
      <c r="B404" s="20" t="s">
        <v>1459</v>
      </c>
      <c r="C404" s="4" t="s">
        <v>8853</v>
      </c>
      <c r="D404" s="4" t="str">
        <f t="shared" si="6"/>
        <v>GIGABYTE</v>
      </c>
      <c r="E404" s="4" t="s">
        <v>8855</v>
      </c>
      <c r="F404" s="14" t="s">
        <v>8879</v>
      </c>
      <c r="G404" s="9">
        <v>1</v>
      </c>
      <c r="H404" s="1">
        <v>44.61</v>
      </c>
      <c r="I404" s="1">
        <v>44.61</v>
      </c>
      <c r="J404" s="1">
        <v>0.7</v>
      </c>
      <c r="K404" s="3">
        <v>1313</v>
      </c>
      <c r="L404" s="13">
        <v>2640</v>
      </c>
      <c r="M404" s="49">
        <v>224.6</v>
      </c>
      <c r="N404" s="1">
        <v>617.79999999999995</v>
      </c>
      <c r="O404" s="3">
        <v>60</v>
      </c>
      <c r="P404" s="11" t="s">
        <v>2276</v>
      </c>
      <c r="Q404" s="3">
        <v>16</v>
      </c>
      <c r="R404" s="3">
        <v>256</v>
      </c>
      <c r="S404" s="22">
        <v>21</v>
      </c>
      <c r="T404" s="9">
        <v>285</v>
      </c>
      <c r="U404" s="14" t="s">
        <v>527</v>
      </c>
      <c r="V404" s="12">
        <v>4</v>
      </c>
      <c r="W404" s="75">
        <v>16</v>
      </c>
      <c r="X404" s="76">
        <v>16</v>
      </c>
      <c r="Y404" s="9">
        <v>1189.95</v>
      </c>
      <c r="Z404" s="3">
        <v>1796.22</v>
      </c>
      <c r="AA404" s="17" t="s">
        <v>1458</v>
      </c>
      <c r="AB404" s="18" t="s">
        <v>1457</v>
      </c>
      <c r="AC404" s="46" cm="1">
        <f t="array" ref="AC404">(SUMPRODUCT((H404:O404/H$9:O$9)^H$7:O$7*H$2:O$2)+SUMPRODUCT((Q404:T404/Q$9:T$9)^Q$7:T$7*Q$2:T$2))*(0.8^(1-G404))*AC$9</f>
        <v>2.6478940512582074</v>
      </c>
      <c r="AD404" s="48" cm="1">
        <f t="array" ref="AD404">(SUMPRODUCT((H404:O404/H$9:O$9)^H$7:O$7*H$3:O$3)+SUMPRODUCT((Q404:T404/Q$9:T$9)^Q$7:T$7*Q$3:T$3))*(0.1^(1-G404))*AD$9</f>
        <v>3.4942407795539623</v>
      </c>
      <c r="AE404" s="48" cm="1">
        <f t="array" ref="AE404">(SUMPRODUCT((H404:O404/H$9:O$9)^H$7:O$7*H$4:O$4)+SUMPRODUCT((Q404:T404/Q$9:T$9)^Q$7:T$7*Q$4:T$4))*AE$9</f>
        <v>3.0982141615383108</v>
      </c>
      <c r="AF404" s="47" cm="1">
        <f t="array" ref="AF404">(SUMPRODUCT((H404:O404/H$9:O$9)^H$7:O$7*H$5:O$5)+SUMPRODUCT((Q404:T404/Q$9:T$9)^Q$7:T$7*Q$5:T$5))*AF$9</f>
        <v>2.8642484978672704</v>
      </c>
      <c r="AG404" s="50" cm="1">
        <f t="array" ref="AG404">SUMPRODUCT(AC404:AF404 * AC$3:AF$3) / SUM(AC$3:AF$3)</f>
        <v>3.2041813203329266</v>
      </c>
    </row>
    <row r="405" spans="1:33" x14ac:dyDescent="0.25">
      <c r="A405" s="81" t="s">
        <v>1454</v>
      </c>
      <c r="B405" s="20" t="s">
        <v>1456</v>
      </c>
      <c r="C405" s="4" t="s">
        <v>8853</v>
      </c>
      <c r="D405" s="4" t="str">
        <f t="shared" si="6"/>
        <v>GIGABYTE</v>
      </c>
      <c r="E405" s="4" t="s">
        <v>8855</v>
      </c>
      <c r="F405" s="14" t="s">
        <v>8879</v>
      </c>
      <c r="G405" s="9">
        <v>1</v>
      </c>
      <c r="H405" s="1">
        <v>44.61</v>
      </c>
      <c r="I405" s="1">
        <v>44.61</v>
      </c>
      <c r="J405" s="1">
        <v>0.7</v>
      </c>
      <c r="K405" s="3">
        <v>1313</v>
      </c>
      <c r="L405" s="13">
        <v>2640</v>
      </c>
      <c r="M405" s="49">
        <v>224.6</v>
      </c>
      <c r="N405" s="1">
        <v>617.79999999999995</v>
      </c>
      <c r="O405" s="3">
        <v>60</v>
      </c>
      <c r="P405" s="11" t="s">
        <v>2276</v>
      </c>
      <c r="Q405" s="3">
        <v>16</v>
      </c>
      <c r="R405" s="3">
        <v>256</v>
      </c>
      <c r="S405" s="22">
        <v>21</v>
      </c>
      <c r="T405" s="9">
        <v>285</v>
      </c>
      <c r="U405" s="14" t="s">
        <v>527</v>
      </c>
      <c r="V405" s="12">
        <v>4</v>
      </c>
      <c r="W405" s="75">
        <v>16</v>
      </c>
      <c r="X405" s="76">
        <v>16</v>
      </c>
      <c r="Y405" s="9">
        <v>1854.79</v>
      </c>
      <c r="Z405" s="3">
        <v>1854.79</v>
      </c>
      <c r="AA405" s="17" t="s">
        <v>1455</v>
      </c>
      <c r="AB405" s="18" t="s">
        <v>1454</v>
      </c>
      <c r="AC405" s="46" cm="1">
        <f t="array" ref="AC405">(SUMPRODUCT((H405:O405/H$9:O$9)^H$7:O$7*H$2:O$2)+SUMPRODUCT((Q405:T405/Q$9:T$9)^Q$7:T$7*Q$2:T$2))*(0.8^(1-G405))*AC$9</f>
        <v>2.6478940512582074</v>
      </c>
      <c r="AD405" s="48" cm="1">
        <f t="array" ref="AD405">(SUMPRODUCT((H405:O405/H$9:O$9)^H$7:O$7*H$3:O$3)+SUMPRODUCT((Q405:T405/Q$9:T$9)^Q$7:T$7*Q$3:T$3))*(0.1^(1-G405))*AD$9</f>
        <v>3.4942407795539623</v>
      </c>
      <c r="AE405" s="48" cm="1">
        <f t="array" ref="AE405">(SUMPRODUCT((H405:O405/H$9:O$9)^H$7:O$7*H$4:O$4)+SUMPRODUCT((Q405:T405/Q$9:T$9)^Q$7:T$7*Q$4:T$4))*AE$9</f>
        <v>3.0982141615383108</v>
      </c>
      <c r="AF405" s="47" cm="1">
        <f t="array" ref="AF405">(SUMPRODUCT((H405:O405/H$9:O$9)^H$7:O$7*H$5:O$5)+SUMPRODUCT((Q405:T405/Q$9:T$9)^Q$7:T$7*Q$5:T$5))*AF$9</f>
        <v>2.8642484978672704</v>
      </c>
      <c r="AG405" s="50" cm="1">
        <f t="array" ref="AG405">SUMPRODUCT(AC405:AF405 * AC$3:AF$3) / SUM(AC$3:AF$3)</f>
        <v>3.2041813203329266</v>
      </c>
    </row>
    <row r="406" spans="1:33" x14ac:dyDescent="0.25">
      <c r="A406" s="81" t="s">
        <v>1451</v>
      </c>
      <c r="B406" s="20" t="s">
        <v>1453</v>
      </c>
      <c r="C406" s="4" t="s">
        <v>8853</v>
      </c>
      <c r="D406" s="4" t="str">
        <f t="shared" si="6"/>
        <v>GIGABYTE</v>
      </c>
      <c r="E406" s="4" t="s">
        <v>8855</v>
      </c>
      <c r="F406" s="14" t="s">
        <v>8879</v>
      </c>
      <c r="G406" s="9">
        <v>1</v>
      </c>
      <c r="H406" s="1">
        <v>44.86</v>
      </c>
      <c r="I406" s="1">
        <v>44.86</v>
      </c>
      <c r="J406" s="1">
        <v>0.7</v>
      </c>
      <c r="K406" s="3">
        <v>1313</v>
      </c>
      <c r="L406" s="13">
        <v>2655</v>
      </c>
      <c r="M406" s="49">
        <v>224.6</v>
      </c>
      <c r="N406" s="1">
        <v>617.79999999999995</v>
      </c>
      <c r="O406" s="3">
        <v>60</v>
      </c>
      <c r="P406" s="11" t="s">
        <v>2276</v>
      </c>
      <c r="Q406" s="3">
        <v>16</v>
      </c>
      <c r="R406" s="3">
        <v>256</v>
      </c>
      <c r="S406" s="22">
        <v>21</v>
      </c>
      <c r="T406" s="9">
        <v>285</v>
      </c>
      <c r="U406" s="14" t="s">
        <v>471</v>
      </c>
      <c r="V406" s="12">
        <v>4</v>
      </c>
      <c r="W406" s="75">
        <v>16</v>
      </c>
      <c r="X406" s="76">
        <v>16</v>
      </c>
      <c r="Y406" s="9">
        <v>1121.9000000000001</v>
      </c>
      <c r="Z406" s="3">
        <v>1869.92</v>
      </c>
      <c r="AA406" s="17" t="s">
        <v>1452</v>
      </c>
      <c r="AB406" s="18" t="s">
        <v>1451</v>
      </c>
      <c r="AC406" s="46" cm="1">
        <f t="array" ref="AC406">(SUMPRODUCT((H406:O406/H$9:O$9)^H$7:O$7*H$2:O$2)+SUMPRODUCT((Q406:T406/Q$9:T$9)^Q$7:T$7*Q$2:T$2))*(0.8^(1-G406))*AC$9</f>
        <v>2.6510658820998483</v>
      </c>
      <c r="AD406" s="48" cm="1">
        <f t="array" ref="AD406">(SUMPRODUCT((H406:O406/H$9:O$9)^H$7:O$7*H$3:O$3)+SUMPRODUCT((Q406:T406/Q$9:T$9)^Q$7:T$7*Q$3:T$3))*(0.1^(1-G406))*AD$9</f>
        <v>3.5067257038903201</v>
      </c>
      <c r="AE406" s="48" cm="1">
        <f t="array" ref="AE406">(SUMPRODUCT((H406:O406/H$9:O$9)^H$7:O$7*H$4:O$4)+SUMPRODUCT((Q406:T406/Q$9:T$9)^Q$7:T$7*Q$4:T$4))*AE$9</f>
        <v>3.1021785770180359</v>
      </c>
      <c r="AF406" s="47" cm="1">
        <f t="array" ref="AF406">(SUMPRODUCT((H406:O406/H$9:O$9)^H$7:O$7*H$5:O$5)+SUMPRODUCT((Q406:T406/Q$9:T$9)^Q$7:T$7*Q$5:T$5))*AF$9</f>
        <v>2.871412689650771</v>
      </c>
      <c r="AG406" s="50" cm="1">
        <f t="array" ref="AG406">SUMPRODUCT(AC406:AF406 * AC$3:AF$3) / SUM(AC$3:AF$3)</f>
        <v>3.2132805504550626</v>
      </c>
    </row>
    <row r="407" spans="1:33" x14ac:dyDescent="0.25">
      <c r="A407" s="81" t="s">
        <v>1448</v>
      </c>
      <c r="B407" s="20" t="s">
        <v>1450</v>
      </c>
      <c r="C407" s="4" t="s">
        <v>8853</v>
      </c>
      <c r="D407" s="4" t="str">
        <f t="shared" si="6"/>
        <v>GIGABYTE</v>
      </c>
      <c r="E407" s="4" t="s">
        <v>8855</v>
      </c>
      <c r="F407" s="14" t="s">
        <v>8879</v>
      </c>
      <c r="G407" s="9">
        <v>1</v>
      </c>
      <c r="H407" s="1">
        <v>44.35</v>
      </c>
      <c r="I407" s="1">
        <v>44.35</v>
      </c>
      <c r="J407" s="1">
        <v>0.69</v>
      </c>
      <c r="K407" s="3">
        <v>1313</v>
      </c>
      <c r="L407" s="13">
        <v>2625</v>
      </c>
      <c r="M407" s="49">
        <v>224.6</v>
      </c>
      <c r="N407" s="1">
        <v>617.79999999999995</v>
      </c>
      <c r="O407" s="3">
        <v>60</v>
      </c>
      <c r="P407" s="11" t="s">
        <v>2276</v>
      </c>
      <c r="Q407" s="3">
        <v>16</v>
      </c>
      <c r="R407" s="3">
        <v>256</v>
      </c>
      <c r="S407" s="22">
        <v>21</v>
      </c>
      <c r="T407" s="9">
        <v>285</v>
      </c>
      <c r="U407" s="14" t="s">
        <v>471</v>
      </c>
      <c r="V407" s="12">
        <v>4</v>
      </c>
      <c r="W407" s="75">
        <v>16</v>
      </c>
      <c r="X407" s="76">
        <v>16</v>
      </c>
      <c r="Y407" s="9">
        <v>1603.98</v>
      </c>
      <c r="Z407" s="3">
        <v>1741.35</v>
      </c>
      <c r="AA407" s="17" t="s">
        <v>1449</v>
      </c>
      <c r="AB407" s="18" t="s">
        <v>1448</v>
      </c>
      <c r="AC407" s="46" cm="1">
        <f t="array" ref="AC407">(SUMPRODUCT((H407:O407/H$9:O$9)^H$7:O$7*H$2:O$2)+SUMPRODUCT((Q407:T407/Q$9:T$9)^Q$7:T$7*Q$2:T$2))*(0.8^(1-G407))*AC$9</f>
        <v>2.6446675240133053</v>
      </c>
      <c r="AD407" s="48" cm="1">
        <f t="array" ref="AD407">(SUMPRODUCT((H407:O407/H$9:O$9)^H$7:O$7*H$3:O$3)+SUMPRODUCT((Q407:T407/Q$9:T$9)^Q$7:T$7*Q$3:T$3))*(0.1^(1-G407))*AD$9</f>
        <v>3.4787467462567343</v>
      </c>
      <c r="AE407" s="48" cm="1">
        <f t="array" ref="AE407">(SUMPRODUCT((H407:O407/H$9:O$9)^H$7:O$7*H$4:O$4)+SUMPRODUCT((Q407:T407/Q$9:T$9)^Q$7:T$7*Q$4:T$4))*AE$9</f>
        <v>3.07648333376412</v>
      </c>
      <c r="AF407" s="47" cm="1">
        <f t="array" ref="AF407">(SUMPRODUCT((H407:O407/H$9:O$9)^H$7:O$7*H$5:O$5)+SUMPRODUCT((Q407:T407/Q$9:T$9)^Q$7:T$7*Q$5:T$5))*AF$9</f>
        <v>2.8568227645077529</v>
      </c>
      <c r="AG407" s="50" cm="1">
        <f t="array" ref="AG407">SUMPRODUCT(AC407:AF407 * AC$3:AF$3) / SUM(AC$3:AF$3)</f>
        <v>3.1913836108699312</v>
      </c>
    </row>
    <row r="408" spans="1:33" x14ac:dyDescent="0.25">
      <c r="A408" s="81" t="s">
        <v>1221</v>
      </c>
      <c r="B408" s="20" t="s">
        <v>1223</v>
      </c>
      <c r="C408" s="4" t="s">
        <v>8853</v>
      </c>
      <c r="D408" s="4" t="str">
        <f t="shared" si="6"/>
        <v>INNO3D</v>
      </c>
      <c r="E408" s="4" t="s">
        <v>8855</v>
      </c>
      <c r="F408" s="14" t="s">
        <v>8879</v>
      </c>
      <c r="G408" s="9">
        <v>1</v>
      </c>
      <c r="H408" s="1">
        <v>45.11</v>
      </c>
      <c r="I408" s="1">
        <v>45.11</v>
      </c>
      <c r="J408" s="1">
        <v>0.7</v>
      </c>
      <c r="K408" s="3">
        <v>1313</v>
      </c>
      <c r="L408" s="13">
        <v>2670</v>
      </c>
      <c r="M408" s="49">
        <v>224.6</v>
      </c>
      <c r="N408" s="1">
        <v>617.79999999999995</v>
      </c>
      <c r="O408" s="3">
        <v>60</v>
      </c>
      <c r="P408" s="11" t="s">
        <v>2276</v>
      </c>
      <c r="Q408" s="3">
        <v>16</v>
      </c>
      <c r="R408" s="3">
        <v>256</v>
      </c>
      <c r="S408" s="22">
        <v>21</v>
      </c>
      <c r="T408" s="9">
        <v>285</v>
      </c>
      <c r="U408" s="14" t="s">
        <v>471</v>
      </c>
      <c r="V408" s="12">
        <v>4</v>
      </c>
      <c r="W408" s="75">
        <v>16</v>
      </c>
      <c r="X408" s="76">
        <v>16</v>
      </c>
      <c r="Y408" s="9">
        <v>1030.46</v>
      </c>
      <c r="Z408" s="3">
        <v>1030.46</v>
      </c>
      <c r="AA408" s="17" t="s">
        <v>1222</v>
      </c>
      <c r="AB408" s="18" t="s">
        <v>1221</v>
      </c>
      <c r="AC408" s="46" cm="1">
        <f t="array" ref="AC408">(SUMPRODUCT((H408:O408/H$9:O$9)^H$7:O$7*H$2:O$2)+SUMPRODUCT((Q408:T408/Q$9:T$9)^Q$7:T$7*Q$2:T$2))*(0.8^(1-G408))*AC$9</f>
        <v>2.6542359315893345</v>
      </c>
      <c r="AD408" s="48" cm="1">
        <f t="array" ref="AD408">(SUMPRODUCT((H408:O408/H$9:O$9)^H$7:O$7*H$3:O$3)+SUMPRODUCT((Q408:T408/Q$9:T$9)^Q$7:T$7*Q$3:T$3))*(0.1^(1-G408))*AD$9</f>
        <v>3.5192017680296983</v>
      </c>
      <c r="AE408" s="48" cm="1">
        <f t="array" ref="AE408">(SUMPRODUCT((H408:O408/H$9:O$9)^H$7:O$7*H$4:O$4)+SUMPRODUCT((Q408:T408/Q$9:T$9)^Q$7:T$7*Q$4:T$4))*AE$9</f>
        <v>3.1061407837747583</v>
      </c>
      <c r="AF408" s="47" cm="1">
        <f t="array" ref="AF408">(SUMPRODUCT((H408:O408/H$9:O$9)^H$7:O$7*H$5:O$5)+SUMPRODUCT((Q408:T408/Q$9:T$9)^Q$7:T$7*Q$5:T$5))*AF$9</f>
        <v>2.8785725673906817</v>
      </c>
      <c r="AG408" s="50" cm="1">
        <f t="array" ref="AG408">SUMPRODUCT(AC408:AF408 * AC$3:AF$3) / SUM(AC$3:AF$3)</f>
        <v>3.2223735969325862</v>
      </c>
    </row>
    <row r="409" spans="1:33" x14ac:dyDescent="0.25">
      <c r="A409" s="81" t="s">
        <v>1218</v>
      </c>
      <c r="B409" s="20" t="s">
        <v>1220</v>
      </c>
      <c r="C409" s="4" t="s">
        <v>8853</v>
      </c>
      <c r="D409" s="4" t="str">
        <f t="shared" si="6"/>
        <v>INNO3D</v>
      </c>
      <c r="E409" s="4" t="s">
        <v>8855</v>
      </c>
      <c r="F409" s="14" t="s">
        <v>8879</v>
      </c>
      <c r="G409" s="9">
        <v>1</v>
      </c>
      <c r="H409" s="1">
        <v>44.61</v>
      </c>
      <c r="I409" s="1">
        <v>44.61</v>
      </c>
      <c r="J409" s="1">
        <v>0.7</v>
      </c>
      <c r="K409" s="3">
        <v>1313</v>
      </c>
      <c r="L409" s="13">
        <v>2640</v>
      </c>
      <c r="M409" s="49">
        <v>224.6</v>
      </c>
      <c r="N409" s="1">
        <v>617.79999999999995</v>
      </c>
      <c r="O409" s="3">
        <v>60</v>
      </c>
      <c r="P409" s="11" t="s">
        <v>2276</v>
      </c>
      <c r="Q409" s="3">
        <v>16</v>
      </c>
      <c r="R409" s="3">
        <v>256</v>
      </c>
      <c r="S409" s="22">
        <v>21</v>
      </c>
      <c r="T409" s="9">
        <v>285</v>
      </c>
      <c r="U409" s="14" t="s">
        <v>527</v>
      </c>
      <c r="V409" s="12">
        <v>4</v>
      </c>
      <c r="W409" s="75">
        <v>16</v>
      </c>
      <c r="X409" s="76">
        <v>16</v>
      </c>
      <c r="Y409" s="9">
        <v>1739</v>
      </c>
      <c r="Z409" s="3">
        <v>1739</v>
      </c>
      <c r="AA409" s="17" t="s">
        <v>1219</v>
      </c>
      <c r="AB409" s="18" t="s">
        <v>1218</v>
      </c>
      <c r="AC409" s="46" cm="1">
        <f t="array" ref="AC409">(SUMPRODUCT((H409:O409/H$9:O$9)^H$7:O$7*H$2:O$2)+SUMPRODUCT((Q409:T409/Q$9:T$9)^Q$7:T$7*Q$2:T$2))*(0.8^(1-G409))*AC$9</f>
        <v>2.6478940512582074</v>
      </c>
      <c r="AD409" s="48" cm="1">
        <f t="array" ref="AD409">(SUMPRODUCT((H409:O409/H$9:O$9)^H$7:O$7*H$3:O$3)+SUMPRODUCT((Q409:T409/Q$9:T$9)^Q$7:T$7*Q$3:T$3))*(0.1^(1-G409))*AD$9</f>
        <v>3.4942407795539623</v>
      </c>
      <c r="AE409" s="48" cm="1">
        <f t="array" ref="AE409">(SUMPRODUCT((H409:O409/H$9:O$9)^H$7:O$7*H$4:O$4)+SUMPRODUCT((Q409:T409/Q$9:T$9)^Q$7:T$7*Q$4:T$4))*AE$9</f>
        <v>3.0982141615383108</v>
      </c>
      <c r="AF409" s="47" cm="1">
        <f t="array" ref="AF409">(SUMPRODUCT((H409:O409/H$9:O$9)^H$7:O$7*H$5:O$5)+SUMPRODUCT((Q409:T409/Q$9:T$9)^Q$7:T$7*Q$5:T$5))*AF$9</f>
        <v>2.8642484978672704</v>
      </c>
      <c r="AG409" s="50" cm="1">
        <f t="array" ref="AG409">SUMPRODUCT(AC409:AF409 * AC$3:AF$3) / SUM(AC$3:AF$3)</f>
        <v>3.2041813203329266</v>
      </c>
    </row>
    <row r="410" spans="1:33" x14ac:dyDescent="0.25">
      <c r="A410" s="81" t="s">
        <v>1215</v>
      </c>
      <c r="B410" s="20" t="s">
        <v>1217</v>
      </c>
      <c r="C410" s="4" t="s">
        <v>8853</v>
      </c>
      <c r="D410" s="4" t="str">
        <f t="shared" si="6"/>
        <v>INNO3D</v>
      </c>
      <c r="E410" s="4" t="s">
        <v>8855</v>
      </c>
      <c r="F410" s="14" t="s">
        <v>8879</v>
      </c>
      <c r="G410" s="9">
        <v>1</v>
      </c>
      <c r="H410" s="1">
        <v>44.1</v>
      </c>
      <c r="I410" s="1">
        <v>44.1</v>
      </c>
      <c r="J410" s="1">
        <v>0.69</v>
      </c>
      <c r="K410" s="3">
        <v>1313</v>
      </c>
      <c r="L410" s="13">
        <v>2610</v>
      </c>
      <c r="M410" s="49">
        <v>224.6</v>
      </c>
      <c r="N410" s="1">
        <v>617.79999999999995</v>
      </c>
      <c r="O410" s="3">
        <v>60</v>
      </c>
      <c r="P410" s="11" t="s">
        <v>2276</v>
      </c>
      <c r="Q410" s="3">
        <v>16</v>
      </c>
      <c r="R410" s="3">
        <v>256</v>
      </c>
      <c r="S410" s="22">
        <v>21</v>
      </c>
      <c r="T410" s="9">
        <v>285</v>
      </c>
      <c r="U410" s="14" t="s">
        <v>527</v>
      </c>
      <c r="V410" s="12">
        <v>4</v>
      </c>
      <c r="W410" s="75">
        <v>16</v>
      </c>
      <c r="X410" s="76">
        <v>16</v>
      </c>
      <c r="Y410" s="9">
        <v>1709.91</v>
      </c>
      <c r="Z410" s="3">
        <v>1709.91</v>
      </c>
      <c r="AA410" s="17" t="s">
        <v>1216</v>
      </c>
      <c r="AB410" s="18" t="s">
        <v>1215</v>
      </c>
      <c r="AC410" s="46" cm="1">
        <f t="array" ref="AC410">(SUMPRODUCT((H410:O410/H$9:O$9)^H$7:O$7*H$2:O$2)+SUMPRODUCT((Q410:T410/Q$9:T$9)^Q$7:T$7*Q$2:T$2))*(0.8^(1-G410))*AC$9</f>
        <v>2.6414920672025515</v>
      </c>
      <c r="AD410" s="48" cm="1">
        <f t="array" ref="AD410">(SUMPRODUCT((H410:O410/H$9:O$9)^H$7:O$7*H$3:O$3)+SUMPRODUCT((Q410:T410/Q$9:T$9)^Q$7:T$7*Q$3:T$3))*(0.1^(1-G410))*AD$9</f>
        <v>3.4662435804421983</v>
      </c>
      <c r="AE410" s="48" cm="1">
        <f t="array" ref="AE410">(SUMPRODUCT((H410:O410/H$9:O$9)^H$7:O$7*H$4:O$4)+SUMPRODUCT((Q410:T410/Q$9:T$9)^Q$7:T$7*Q$4:T$4))*AE$9</f>
        <v>3.0725143700841113</v>
      </c>
      <c r="AF410" s="47" cm="1">
        <f t="array" ref="AF410">(SUMPRODUCT((H410:O410/H$9:O$9)^H$7:O$7*H$5:O$5)+SUMPRODUCT((Q410:T410/Q$9:T$9)^Q$7:T$7*Q$5:T$5))*AF$9</f>
        <v>2.8496497052911569</v>
      </c>
      <c r="AG410" s="50" cm="1">
        <f t="array" ref="AG410">SUMPRODUCT(AC410:AF410 * AC$3:AF$3) / SUM(AC$3:AF$3)</f>
        <v>3.1822716590039626</v>
      </c>
    </row>
    <row r="411" spans="1:33" x14ac:dyDescent="0.25">
      <c r="A411" s="81" t="s">
        <v>1212</v>
      </c>
      <c r="B411" s="20" t="s">
        <v>1214</v>
      </c>
      <c r="C411" s="4" t="s">
        <v>8853</v>
      </c>
      <c r="D411" s="4" t="str">
        <f t="shared" si="6"/>
        <v>INNO3D</v>
      </c>
      <c r="E411" s="4" t="s">
        <v>8855</v>
      </c>
      <c r="F411" s="14" t="s">
        <v>8879</v>
      </c>
      <c r="G411" s="9">
        <v>1</v>
      </c>
      <c r="H411" s="1">
        <v>44.61</v>
      </c>
      <c r="I411" s="1">
        <v>44.61</v>
      </c>
      <c r="J411" s="1">
        <v>0.7</v>
      </c>
      <c r="K411" s="3">
        <v>1313</v>
      </c>
      <c r="L411" s="13">
        <v>2640</v>
      </c>
      <c r="M411" s="49">
        <v>224.6</v>
      </c>
      <c r="N411" s="1">
        <v>617.79999999999995</v>
      </c>
      <c r="O411" s="3">
        <v>60</v>
      </c>
      <c r="P411" s="11" t="s">
        <v>2276</v>
      </c>
      <c r="Q411" s="3">
        <v>16</v>
      </c>
      <c r="R411" s="3">
        <v>256</v>
      </c>
      <c r="S411" s="22">
        <v>21</v>
      </c>
      <c r="T411" s="9">
        <v>285</v>
      </c>
      <c r="U411" s="14" t="s">
        <v>527</v>
      </c>
      <c r="V411" s="12">
        <v>4</v>
      </c>
      <c r="W411" s="75">
        <v>16</v>
      </c>
      <c r="X411" s="76">
        <v>16</v>
      </c>
      <c r="Y411" s="9">
        <v>1842.24</v>
      </c>
      <c r="Z411" s="3">
        <v>1842.24</v>
      </c>
      <c r="AA411" s="17" t="s">
        <v>1213</v>
      </c>
      <c r="AB411" s="18" t="s">
        <v>1212</v>
      </c>
      <c r="AC411" s="46" cm="1">
        <f t="array" ref="AC411">(SUMPRODUCT((H411:O411/H$9:O$9)^H$7:O$7*H$2:O$2)+SUMPRODUCT((Q411:T411/Q$9:T$9)^Q$7:T$7*Q$2:T$2))*(0.8^(1-G411))*AC$9</f>
        <v>2.6478940512582074</v>
      </c>
      <c r="AD411" s="48" cm="1">
        <f t="array" ref="AD411">(SUMPRODUCT((H411:O411/H$9:O$9)^H$7:O$7*H$3:O$3)+SUMPRODUCT((Q411:T411/Q$9:T$9)^Q$7:T$7*Q$3:T$3))*(0.1^(1-G411))*AD$9</f>
        <v>3.4942407795539623</v>
      </c>
      <c r="AE411" s="48" cm="1">
        <f t="array" ref="AE411">(SUMPRODUCT((H411:O411/H$9:O$9)^H$7:O$7*H$4:O$4)+SUMPRODUCT((Q411:T411/Q$9:T$9)^Q$7:T$7*Q$4:T$4))*AE$9</f>
        <v>3.0982141615383108</v>
      </c>
      <c r="AF411" s="47" cm="1">
        <f t="array" ref="AF411">(SUMPRODUCT((H411:O411/H$9:O$9)^H$7:O$7*H$5:O$5)+SUMPRODUCT((Q411:T411/Q$9:T$9)^Q$7:T$7*Q$5:T$5))*AF$9</f>
        <v>2.8642484978672704</v>
      </c>
      <c r="AG411" s="50" cm="1">
        <f t="array" ref="AG411">SUMPRODUCT(AC411:AF411 * AC$3:AF$3) / SUM(AC$3:AF$3)</f>
        <v>3.2041813203329266</v>
      </c>
    </row>
    <row r="412" spans="1:33" x14ac:dyDescent="0.25">
      <c r="A412" s="81" t="s">
        <v>986</v>
      </c>
      <c r="B412" s="20" t="s">
        <v>988</v>
      </c>
      <c r="C412" s="4" t="s">
        <v>8853</v>
      </c>
      <c r="D412" s="4" t="str">
        <f t="shared" si="6"/>
        <v>MSI</v>
      </c>
      <c r="E412" s="4" t="s">
        <v>8855</v>
      </c>
      <c r="F412" s="14" t="s">
        <v>8879</v>
      </c>
      <c r="G412" s="9">
        <v>1</v>
      </c>
      <c r="H412" s="1">
        <v>45.37</v>
      </c>
      <c r="I412" s="1">
        <v>45.37</v>
      </c>
      <c r="J412" s="1">
        <v>0.71</v>
      </c>
      <c r="K412" s="3">
        <v>1313</v>
      </c>
      <c r="L412" s="13">
        <v>2685</v>
      </c>
      <c r="M412" s="49">
        <v>224.6</v>
      </c>
      <c r="N412" s="1">
        <v>617.79999999999995</v>
      </c>
      <c r="O412" s="3">
        <v>60</v>
      </c>
      <c r="P412" s="11" t="s">
        <v>2276</v>
      </c>
      <c r="Q412" s="3">
        <v>16</v>
      </c>
      <c r="R412" s="3">
        <v>256</v>
      </c>
      <c r="S412" s="22">
        <v>21</v>
      </c>
      <c r="T412" s="9">
        <v>285</v>
      </c>
      <c r="U412" s="14" t="s">
        <v>471</v>
      </c>
      <c r="V412" s="12">
        <v>4</v>
      </c>
      <c r="W412" s="75">
        <v>16</v>
      </c>
      <c r="X412" s="76">
        <v>16</v>
      </c>
      <c r="Y412" s="9">
        <v>1749.68</v>
      </c>
      <c r="Z412" s="3">
        <v>2040.38</v>
      </c>
      <c r="AA412" s="17" t="s">
        <v>987</v>
      </c>
      <c r="AB412" s="18" t="s">
        <v>986</v>
      </c>
      <c r="AC412" s="46" cm="1">
        <f t="array" ref="AC412">(SUMPRODUCT((H412:O412/H$9:O$9)^H$7:O$7*H$2:O$2)+SUMPRODUCT((Q412:T412/Q$9:T$9)^Q$7:T$7*Q$2:T$2))*(0.8^(1-G412))*AC$9</f>
        <v>2.6574569956662426</v>
      </c>
      <c r="AD412" s="48" cm="1">
        <f t="array" ref="AD412">(SUMPRODUCT((H412:O412/H$9:O$9)^H$7:O$7*H$3:O$3)+SUMPRODUCT((Q412:T412/Q$9:T$9)^Q$7:T$7*Q$3:T$3))*(0.1^(1-G412))*AD$9</f>
        <v>3.5346606460569041</v>
      </c>
      <c r="AE412" s="48" cm="1">
        <f t="array" ref="AE412">(SUMPRODUCT((H412:O412/H$9:O$9)^H$7:O$7*H$4:O$4)+SUMPRODUCT((Q412:T412/Q$9:T$9)^Q$7:T$7*Q$4:T$4))*AE$9</f>
        <v>3.1278143968246668</v>
      </c>
      <c r="AF412" s="47" cm="1">
        <f t="array" ref="AF412">(SUMPRODUCT((H412:O412/H$9:O$9)^H$7:O$7*H$5:O$5)+SUMPRODUCT((Q412:T412/Q$9:T$9)^Q$7:T$7*Q$5:T$5))*AF$9</f>
        <v>2.8859847286833982</v>
      </c>
      <c r="AG412" s="50" cm="1">
        <f t="array" ref="AG412">SUMPRODUCT(AC412:AF412 * AC$3:AF$3) / SUM(AC$3:AF$3)</f>
        <v>3.2351422459592944</v>
      </c>
    </row>
    <row r="413" spans="1:33" x14ac:dyDescent="0.25">
      <c r="A413" s="81" t="s">
        <v>983</v>
      </c>
      <c r="B413" s="20" t="s">
        <v>985</v>
      </c>
      <c r="C413" s="4" t="s">
        <v>8853</v>
      </c>
      <c r="D413" s="4" t="str">
        <f t="shared" si="6"/>
        <v>MSI</v>
      </c>
      <c r="E413" s="4" t="s">
        <v>8855</v>
      </c>
      <c r="F413" s="14" t="s">
        <v>8879</v>
      </c>
      <c r="G413" s="9">
        <v>1</v>
      </c>
      <c r="H413" s="1">
        <v>45.37</v>
      </c>
      <c r="I413" s="1">
        <v>45.37</v>
      </c>
      <c r="J413" s="1">
        <v>0.71</v>
      </c>
      <c r="K413" s="3">
        <v>1313</v>
      </c>
      <c r="L413" s="13">
        <v>2685</v>
      </c>
      <c r="M413" s="49">
        <v>224.6</v>
      </c>
      <c r="N413" s="1">
        <v>617.79999999999995</v>
      </c>
      <c r="O413" s="3">
        <v>60</v>
      </c>
      <c r="P413" s="11" t="s">
        <v>2276</v>
      </c>
      <c r="Q413" s="3">
        <v>16</v>
      </c>
      <c r="R413" s="3">
        <v>256</v>
      </c>
      <c r="S413" s="22">
        <v>21</v>
      </c>
      <c r="T413" s="9">
        <v>285</v>
      </c>
      <c r="U413" s="14" t="s">
        <v>527</v>
      </c>
      <c r="V413" s="12">
        <v>4</v>
      </c>
      <c r="W413" s="75">
        <v>16</v>
      </c>
      <c r="X413" s="76">
        <v>16</v>
      </c>
      <c r="Y413" s="9">
        <v>1898.7</v>
      </c>
      <c r="Z413" s="3">
        <v>1898.7</v>
      </c>
      <c r="AA413" s="17" t="s">
        <v>984</v>
      </c>
      <c r="AB413" s="18" t="s">
        <v>983</v>
      </c>
      <c r="AC413" s="46" cm="1">
        <f t="array" ref="AC413">(SUMPRODUCT((H413:O413/H$9:O$9)^H$7:O$7*H$2:O$2)+SUMPRODUCT((Q413:T413/Q$9:T$9)^Q$7:T$7*Q$2:T$2))*(0.8^(1-G413))*AC$9</f>
        <v>2.6574569956662426</v>
      </c>
      <c r="AD413" s="48" cm="1">
        <f t="array" ref="AD413">(SUMPRODUCT((H413:O413/H$9:O$9)^H$7:O$7*H$3:O$3)+SUMPRODUCT((Q413:T413/Q$9:T$9)^Q$7:T$7*Q$3:T$3))*(0.1^(1-G413))*AD$9</f>
        <v>3.5346606460569041</v>
      </c>
      <c r="AE413" s="48" cm="1">
        <f t="array" ref="AE413">(SUMPRODUCT((H413:O413/H$9:O$9)^H$7:O$7*H$4:O$4)+SUMPRODUCT((Q413:T413/Q$9:T$9)^Q$7:T$7*Q$4:T$4))*AE$9</f>
        <v>3.1278143968246668</v>
      </c>
      <c r="AF413" s="47" cm="1">
        <f t="array" ref="AF413">(SUMPRODUCT((H413:O413/H$9:O$9)^H$7:O$7*H$5:O$5)+SUMPRODUCT((Q413:T413/Q$9:T$9)^Q$7:T$7*Q$5:T$5))*AF$9</f>
        <v>2.8859847286833982</v>
      </c>
      <c r="AG413" s="50" cm="1">
        <f t="array" ref="AG413">SUMPRODUCT(AC413:AF413 * AC$3:AF$3) / SUM(AC$3:AF$3)</f>
        <v>3.2351422459592944</v>
      </c>
    </row>
    <row r="414" spans="1:33" x14ac:dyDescent="0.25">
      <c r="A414" s="81" t="s">
        <v>980</v>
      </c>
      <c r="B414" s="20" t="s">
        <v>982</v>
      </c>
      <c r="C414" s="4" t="s">
        <v>8853</v>
      </c>
      <c r="D414" s="4" t="str">
        <f t="shared" si="6"/>
        <v>MSI</v>
      </c>
      <c r="E414" s="4" t="s">
        <v>8855</v>
      </c>
      <c r="F414" s="14" t="s">
        <v>8879</v>
      </c>
      <c r="G414" s="9">
        <v>1</v>
      </c>
      <c r="H414" s="1">
        <v>45.37</v>
      </c>
      <c r="I414" s="1">
        <v>45.37</v>
      </c>
      <c r="J414" s="1">
        <v>0.71</v>
      </c>
      <c r="K414" s="3">
        <v>1313</v>
      </c>
      <c r="L414" s="13">
        <v>2685</v>
      </c>
      <c r="M414" s="49">
        <v>224.6</v>
      </c>
      <c r="N414" s="1">
        <v>617.79999999999995</v>
      </c>
      <c r="O414" s="3">
        <v>60</v>
      </c>
      <c r="P414" s="11" t="s">
        <v>2276</v>
      </c>
      <c r="Q414" s="3">
        <v>16</v>
      </c>
      <c r="R414" s="3">
        <v>256</v>
      </c>
      <c r="S414" s="22">
        <v>21</v>
      </c>
      <c r="T414" s="9">
        <v>285</v>
      </c>
      <c r="U414" s="14" t="s">
        <v>527</v>
      </c>
      <c r="V414" s="12">
        <v>4</v>
      </c>
      <c r="W414" s="75">
        <v>16</v>
      </c>
      <c r="X414" s="76">
        <v>16</v>
      </c>
      <c r="Y414" s="9">
        <v>1857.88</v>
      </c>
      <c r="Z414" s="3">
        <v>1857.88</v>
      </c>
      <c r="AA414" s="17" t="s">
        <v>981</v>
      </c>
      <c r="AB414" s="18" t="s">
        <v>980</v>
      </c>
      <c r="AC414" s="46" cm="1">
        <f t="array" ref="AC414">(SUMPRODUCT((H414:O414/H$9:O$9)^H$7:O$7*H$2:O$2)+SUMPRODUCT((Q414:T414/Q$9:T$9)^Q$7:T$7*Q$2:T$2))*(0.8^(1-G414))*AC$9</f>
        <v>2.6574569956662426</v>
      </c>
      <c r="AD414" s="48" cm="1">
        <f t="array" ref="AD414">(SUMPRODUCT((H414:O414/H$9:O$9)^H$7:O$7*H$3:O$3)+SUMPRODUCT((Q414:T414/Q$9:T$9)^Q$7:T$7*Q$3:T$3))*(0.1^(1-G414))*AD$9</f>
        <v>3.5346606460569041</v>
      </c>
      <c r="AE414" s="48" cm="1">
        <f t="array" ref="AE414">(SUMPRODUCT((H414:O414/H$9:O$9)^H$7:O$7*H$4:O$4)+SUMPRODUCT((Q414:T414/Q$9:T$9)^Q$7:T$7*Q$4:T$4))*AE$9</f>
        <v>3.1278143968246668</v>
      </c>
      <c r="AF414" s="47" cm="1">
        <f t="array" ref="AF414">(SUMPRODUCT((H414:O414/H$9:O$9)^H$7:O$7*H$5:O$5)+SUMPRODUCT((Q414:T414/Q$9:T$9)^Q$7:T$7*Q$5:T$5))*AF$9</f>
        <v>2.8859847286833982</v>
      </c>
      <c r="AG414" s="50" cm="1">
        <f t="array" ref="AG414">SUMPRODUCT(AC414:AF414 * AC$3:AF$3) / SUM(AC$3:AF$3)</f>
        <v>3.2351422459592944</v>
      </c>
    </row>
    <row r="415" spans="1:33" x14ac:dyDescent="0.25">
      <c r="A415" s="81" t="s">
        <v>977</v>
      </c>
      <c r="B415" s="20" t="s">
        <v>979</v>
      </c>
      <c r="C415" s="4" t="s">
        <v>8853</v>
      </c>
      <c r="D415" s="4" t="str">
        <f t="shared" si="6"/>
        <v>MSI</v>
      </c>
      <c r="E415" s="4" t="s">
        <v>8855</v>
      </c>
      <c r="F415" s="14" t="s">
        <v>8879</v>
      </c>
      <c r="G415" s="9">
        <v>1</v>
      </c>
      <c r="H415" s="1">
        <v>44.86</v>
      </c>
      <c r="I415" s="1">
        <v>44.86</v>
      </c>
      <c r="J415" s="1">
        <v>0.7</v>
      </c>
      <c r="K415" s="3">
        <v>1313</v>
      </c>
      <c r="L415" s="13">
        <v>2655</v>
      </c>
      <c r="M415" s="49">
        <v>224.6</v>
      </c>
      <c r="N415" s="1">
        <v>617.79999999999995</v>
      </c>
      <c r="O415" s="3">
        <v>60</v>
      </c>
      <c r="P415" s="11" t="s">
        <v>2276</v>
      </c>
      <c r="Q415" s="3">
        <v>16</v>
      </c>
      <c r="R415" s="3">
        <v>256</v>
      </c>
      <c r="S415" s="22">
        <v>21</v>
      </c>
      <c r="T415" s="9">
        <v>285</v>
      </c>
      <c r="U415" s="14" t="s">
        <v>527</v>
      </c>
      <c r="V415" s="12">
        <v>4</v>
      </c>
      <c r="W415" s="75">
        <v>16</v>
      </c>
      <c r="X415" s="76">
        <v>16</v>
      </c>
      <c r="Y415" s="9">
        <v>1219.69</v>
      </c>
      <c r="Z415" s="3">
        <v>1916.2</v>
      </c>
      <c r="AA415" s="17" t="s">
        <v>978</v>
      </c>
      <c r="AB415" s="18" t="s">
        <v>977</v>
      </c>
      <c r="AC415" s="46" cm="1">
        <f t="array" ref="AC415">(SUMPRODUCT((H415:O415/H$9:O$9)^H$7:O$7*H$2:O$2)+SUMPRODUCT((Q415:T415/Q$9:T$9)^Q$7:T$7*Q$2:T$2))*(0.8^(1-G415))*AC$9</f>
        <v>2.6510658820998483</v>
      </c>
      <c r="AD415" s="48" cm="1">
        <f t="array" ref="AD415">(SUMPRODUCT((H415:O415/H$9:O$9)^H$7:O$7*H$3:O$3)+SUMPRODUCT((Q415:T415/Q$9:T$9)^Q$7:T$7*Q$3:T$3))*(0.1^(1-G415))*AD$9</f>
        <v>3.5067257038903201</v>
      </c>
      <c r="AE415" s="48" cm="1">
        <f t="array" ref="AE415">(SUMPRODUCT((H415:O415/H$9:O$9)^H$7:O$7*H$4:O$4)+SUMPRODUCT((Q415:T415/Q$9:T$9)^Q$7:T$7*Q$4:T$4))*AE$9</f>
        <v>3.1021785770180359</v>
      </c>
      <c r="AF415" s="47" cm="1">
        <f t="array" ref="AF415">(SUMPRODUCT((H415:O415/H$9:O$9)^H$7:O$7*H$5:O$5)+SUMPRODUCT((Q415:T415/Q$9:T$9)^Q$7:T$7*Q$5:T$5))*AF$9</f>
        <v>2.871412689650771</v>
      </c>
      <c r="AG415" s="50" cm="1">
        <f t="array" ref="AG415">SUMPRODUCT(AC415:AF415 * AC$3:AF$3) / SUM(AC$3:AF$3)</f>
        <v>3.2132805504550626</v>
      </c>
    </row>
    <row r="416" spans="1:33" x14ac:dyDescent="0.25">
      <c r="A416" s="81" t="s">
        <v>974</v>
      </c>
      <c r="B416" s="20" t="s">
        <v>976</v>
      </c>
      <c r="C416" s="4" t="s">
        <v>8853</v>
      </c>
      <c r="D416" s="4" t="str">
        <f t="shared" si="6"/>
        <v>MSI</v>
      </c>
      <c r="E416" s="4" t="s">
        <v>8855</v>
      </c>
      <c r="F416" s="14" t="s">
        <v>8879</v>
      </c>
      <c r="G416" s="9">
        <v>1</v>
      </c>
      <c r="H416" s="1">
        <v>44.86</v>
      </c>
      <c r="I416" s="1">
        <v>44.86</v>
      </c>
      <c r="J416" s="1">
        <v>0.7</v>
      </c>
      <c r="K416" s="3">
        <v>1313</v>
      </c>
      <c r="L416" s="13">
        <v>2655</v>
      </c>
      <c r="M416" s="49">
        <v>224.6</v>
      </c>
      <c r="N416" s="1">
        <v>617.79999999999995</v>
      </c>
      <c r="O416" s="3">
        <v>60</v>
      </c>
      <c r="P416" s="11" t="s">
        <v>2276</v>
      </c>
      <c r="Q416" s="3">
        <v>16</v>
      </c>
      <c r="R416" s="3">
        <v>256</v>
      </c>
      <c r="S416" s="22">
        <v>21</v>
      </c>
      <c r="T416" s="9">
        <v>285</v>
      </c>
      <c r="U416" s="14" t="s">
        <v>527</v>
      </c>
      <c r="V416" s="12">
        <v>4</v>
      </c>
      <c r="W416" s="75">
        <v>16</v>
      </c>
      <c r="X416" s="76">
        <v>16</v>
      </c>
      <c r="Y416" s="9">
        <v>1230.8</v>
      </c>
      <c r="Z416" s="3">
        <v>1562.3</v>
      </c>
      <c r="AA416" s="17" t="s">
        <v>975</v>
      </c>
      <c r="AB416" s="18" t="s">
        <v>974</v>
      </c>
      <c r="AC416" s="46" cm="1">
        <f t="array" ref="AC416">(SUMPRODUCT((H416:O416/H$9:O$9)^H$7:O$7*H$2:O$2)+SUMPRODUCT((Q416:T416/Q$9:T$9)^Q$7:T$7*Q$2:T$2))*(0.8^(1-G416))*AC$9</f>
        <v>2.6510658820998483</v>
      </c>
      <c r="AD416" s="48" cm="1">
        <f t="array" ref="AD416">(SUMPRODUCT((H416:O416/H$9:O$9)^H$7:O$7*H$3:O$3)+SUMPRODUCT((Q416:T416/Q$9:T$9)^Q$7:T$7*Q$3:T$3))*(0.1^(1-G416))*AD$9</f>
        <v>3.5067257038903201</v>
      </c>
      <c r="AE416" s="48" cm="1">
        <f t="array" ref="AE416">(SUMPRODUCT((H416:O416/H$9:O$9)^H$7:O$7*H$4:O$4)+SUMPRODUCT((Q416:T416/Q$9:T$9)^Q$7:T$7*Q$4:T$4))*AE$9</f>
        <v>3.1021785770180359</v>
      </c>
      <c r="AF416" s="47" cm="1">
        <f t="array" ref="AF416">(SUMPRODUCT((H416:O416/H$9:O$9)^H$7:O$7*H$5:O$5)+SUMPRODUCT((Q416:T416/Q$9:T$9)^Q$7:T$7*Q$5:T$5))*AF$9</f>
        <v>2.871412689650771</v>
      </c>
      <c r="AG416" s="50" cm="1">
        <f t="array" ref="AG416">SUMPRODUCT(AC416:AF416 * AC$3:AF$3) / SUM(AC$3:AF$3)</f>
        <v>3.2132805504550626</v>
      </c>
    </row>
    <row r="417" spans="1:33" x14ac:dyDescent="0.25">
      <c r="A417" s="81" t="s">
        <v>971</v>
      </c>
      <c r="B417" s="20" t="s">
        <v>973</v>
      </c>
      <c r="C417" s="4" t="s">
        <v>8853</v>
      </c>
      <c r="D417" s="4" t="str">
        <f t="shared" si="6"/>
        <v>MSI</v>
      </c>
      <c r="E417" s="4" t="s">
        <v>8855</v>
      </c>
      <c r="F417" s="14" t="s">
        <v>8879</v>
      </c>
      <c r="G417" s="9">
        <v>1</v>
      </c>
      <c r="H417" s="1">
        <v>44.86</v>
      </c>
      <c r="I417" s="1">
        <v>44.86</v>
      </c>
      <c r="J417" s="1">
        <v>0.7</v>
      </c>
      <c r="K417" s="3">
        <v>1313</v>
      </c>
      <c r="L417" s="13">
        <v>2655</v>
      </c>
      <c r="M417" s="49">
        <v>224.6</v>
      </c>
      <c r="N417" s="1">
        <v>617.79999999999995</v>
      </c>
      <c r="O417" s="3">
        <v>60</v>
      </c>
      <c r="P417" s="11" t="s">
        <v>2276</v>
      </c>
      <c r="Q417" s="3">
        <v>16</v>
      </c>
      <c r="R417" s="3">
        <v>256</v>
      </c>
      <c r="S417" s="22">
        <v>21</v>
      </c>
      <c r="T417" s="9">
        <v>285</v>
      </c>
      <c r="U417" s="14" t="s">
        <v>527</v>
      </c>
      <c r="V417" s="12">
        <v>4</v>
      </c>
      <c r="W417" s="75">
        <v>16</v>
      </c>
      <c r="X417" s="76">
        <v>16</v>
      </c>
      <c r="Y417" s="9">
        <v>1801.82</v>
      </c>
      <c r="Z417" s="3">
        <v>1801.82</v>
      </c>
      <c r="AA417" s="17" t="s">
        <v>972</v>
      </c>
      <c r="AB417" s="18" t="s">
        <v>971</v>
      </c>
      <c r="AC417" s="46" cm="1">
        <f t="array" ref="AC417">(SUMPRODUCT((H417:O417/H$9:O$9)^H$7:O$7*H$2:O$2)+SUMPRODUCT((Q417:T417/Q$9:T$9)^Q$7:T$7*Q$2:T$2))*(0.8^(1-G417))*AC$9</f>
        <v>2.6510658820998483</v>
      </c>
      <c r="AD417" s="48" cm="1">
        <f t="array" ref="AD417">(SUMPRODUCT((H417:O417/H$9:O$9)^H$7:O$7*H$3:O$3)+SUMPRODUCT((Q417:T417/Q$9:T$9)^Q$7:T$7*Q$3:T$3))*(0.1^(1-G417))*AD$9</f>
        <v>3.5067257038903201</v>
      </c>
      <c r="AE417" s="48" cm="1">
        <f t="array" ref="AE417">(SUMPRODUCT((H417:O417/H$9:O$9)^H$7:O$7*H$4:O$4)+SUMPRODUCT((Q417:T417/Q$9:T$9)^Q$7:T$7*Q$4:T$4))*AE$9</f>
        <v>3.1021785770180359</v>
      </c>
      <c r="AF417" s="47" cm="1">
        <f t="array" ref="AF417">(SUMPRODUCT((H417:O417/H$9:O$9)^H$7:O$7*H$5:O$5)+SUMPRODUCT((Q417:T417/Q$9:T$9)^Q$7:T$7*Q$5:T$5))*AF$9</f>
        <v>2.871412689650771</v>
      </c>
      <c r="AG417" s="50" cm="1">
        <f t="array" ref="AG417">SUMPRODUCT(AC417:AF417 * AC$3:AF$3) / SUM(AC$3:AF$3)</f>
        <v>3.2132805504550626</v>
      </c>
    </row>
    <row r="418" spans="1:33" x14ac:dyDescent="0.25">
      <c r="A418" s="81" t="s">
        <v>679</v>
      </c>
      <c r="B418" s="20" t="s">
        <v>681</v>
      </c>
      <c r="C418" s="4" t="s">
        <v>8853</v>
      </c>
      <c r="D418" s="4" t="str">
        <f t="shared" si="6"/>
        <v>Palit</v>
      </c>
      <c r="E418" s="4" t="s">
        <v>8855</v>
      </c>
      <c r="F418" s="14" t="s">
        <v>8879</v>
      </c>
      <c r="G418" s="9">
        <v>1</v>
      </c>
      <c r="H418" s="1">
        <v>44.61</v>
      </c>
      <c r="I418" s="1">
        <v>44.61</v>
      </c>
      <c r="J418" s="1">
        <v>0.7</v>
      </c>
      <c r="K418" s="3">
        <v>1313</v>
      </c>
      <c r="L418" s="13">
        <v>2640</v>
      </c>
      <c r="M418" s="49">
        <v>224.6</v>
      </c>
      <c r="N418" s="1">
        <v>617.79999999999995</v>
      </c>
      <c r="O418" s="3">
        <v>60</v>
      </c>
      <c r="P418" s="11" t="s">
        <v>2276</v>
      </c>
      <c r="Q418" s="3">
        <v>16</v>
      </c>
      <c r="R418" s="3">
        <v>256</v>
      </c>
      <c r="S418" s="22">
        <v>21</v>
      </c>
      <c r="T418" s="9">
        <v>285</v>
      </c>
      <c r="U418" s="14" t="s">
        <v>527</v>
      </c>
      <c r="V418" s="12">
        <v>4</v>
      </c>
      <c r="W418" s="75">
        <v>16</v>
      </c>
      <c r="X418" s="76">
        <v>16</v>
      </c>
      <c r="Y418" s="9">
        <v>1160.68</v>
      </c>
      <c r="Z418" s="3">
        <v>1257</v>
      </c>
      <c r="AA418" s="17" t="s">
        <v>680</v>
      </c>
      <c r="AB418" s="18" t="s">
        <v>679</v>
      </c>
      <c r="AC418" s="46" cm="1">
        <f t="array" ref="AC418">(SUMPRODUCT((H418:O418/H$9:O$9)^H$7:O$7*H$2:O$2)+SUMPRODUCT((Q418:T418/Q$9:T$9)^Q$7:T$7*Q$2:T$2))*(0.8^(1-G418))*AC$9</f>
        <v>2.6478940512582074</v>
      </c>
      <c r="AD418" s="48" cm="1">
        <f t="array" ref="AD418">(SUMPRODUCT((H418:O418/H$9:O$9)^H$7:O$7*H$3:O$3)+SUMPRODUCT((Q418:T418/Q$9:T$9)^Q$7:T$7*Q$3:T$3))*(0.1^(1-G418))*AD$9</f>
        <v>3.4942407795539623</v>
      </c>
      <c r="AE418" s="48" cm="1">
        <f t="array" ref="AE418">(SUMPRODUCT((H418:O418/H$9:O$9)^H$7:O$7*H$4:O$4)+SUMPRODUCT((Q418:T418/Q$9:T$9)^Q$7:T$7*Q$4:T$4))*AE$9</f>
        <v>3.0982141615383108</v>
      </c>
      <c r="AF418" s="47" cm="1">
        <f t="array" ref="AF418">(SUMPRODUCT((H418:O418/H$9:O$9)^H$7:O$7*H$5:O$5)+SUMPRODUCT((Q418:T418/Q$9:T$9)^Q$7:T$7*Q$5:T$5))*AF$9</f>
        <v>2.8642484978672704</v>
      </c>
      <c r="AG418" s="50" cm="1">
        <f t="array" ref="AG418">SUMPRODUCT(AC418:AF418 * AC$3:AF$3) / SUM(AC$3:AF$3)</f>
        <v>3.2041813203329266</v>
      </c>
    </row>
    <row r="419" spans="1:33" x14ac:dyDescent="0.25">
      <c r="A419" s="81" t="s">
        <v>676</v>
      </c>
      <c r="B419" s="20" t="s">
        <v>678</v>
      </c>
      <c r="C419" s="4" t="s">
        <v>8853</v>
      </c>
      <c r="D419" s="4" t="str">
        <f t="shared" si="6"/>
        <v>Palit</v>
      </c>
      <c r="E419" s="4" t="s">
        <v>8855</v>
      </c>
      <c r="F419" s="14" t="s">
        <v>8879</v>
      </c>
      <c r="G419" s="9">
        <v>1</v>
      </c>
      <c r="H419" s="1">
        <v>44.61</v>
      </c>
      <c r="I419" s="1">
        <v>44.61</v>
      </c>
      <c r="J419" s="1">
        <v>0.7</v>
      </c>
      <c r="K419" s="3">
        <v>1313</v>
      </c>
      <c r="L419" s="13">
        <v>2640</v>
      </c>
      <c r="M419" s="49">
        <v>224.6</v>
      </c>
      <c r="N419" s="1">
        <v>617.79999999999995</v>
      </c>
      <c r="O419" s="3">
        <v>60</v>
      </c>
      <c r="P419" s="11" t="s">
        <v>2276</v>
      </c>
      <c r="Q419" s="3">
        <v>16</v>
      </c>
      <c r="R419" s="3">
        <v>256</v>
      </c>
      <c r="S419" s="22">
        <v>21</v>
      </c>
      <c r="T419" s="9">
        <v>285</v>
      </c>
      <c r="U419" s="14" t="s">
        <v>527</v>
      </c>
      <c r="V419" s="12">
        <v>4</v>
      </c>
      <c r="W419" s="75">
        <v>16</v>
      </c>
      <c r="X419" s="76">
        <v>16</v>
      </c>
      <c r="Y419" s="9">
        <v>1710.21</v>
      </c>
      <c r="Z419" s="3">
        <v>1710.21</v>
      </c>
      <c r="AA419" s="17" t="s">
        <v>677</v>
      </c>
      <c r="AB419" s="18" t="s">
        <v>676</v>
      </c>
      <c r="AC419" s="46" cm="1">
        <f t="array" ref="AC419">(SUMPRODUCT((H419:O419/H$9:O$9)^H$7:O$7*H$2:O$2)+SUMPRODUCT((Q419:T419/Q$9:T$9)^Q$7:T$7*Q$2:T$2))*(0.8^(1-G419))*AC$9</f>
        <v>2.6478940512582074</v>
      </c>
      <c r="AD419" s="48" cm="1">
        <f t="array" ref="AD419">(SUMPRODUCT((H419:O419/H$9:O$9)^H$7:O$7*H$3:O$3)+SUMPRODUCT((Q419:T419/Q$9:T$9)^Q$7:T$7*Q$3:T$3))*(0.1^(1-G419))*AD$9</f>
        <v>3.4942407795539623</v>
      </c>
      <c r="AE419" s="48" cm="1">
        <f t="array" ref="AE419">(SUMPRODUCT((H419:O419/H$9:O$9)^H$7:O$7*H$4:O$4)+SUMPRODUCT((Q419:T419/Q$9:T$9)^Q$7:T$7*Q$4:T$4))*AE$9</f>
        <v>3.0982141615383108</v>
      </c>
      <c r="AF419" s="47" cm="1">
        <f t="array" ref="AF419">(SUMPRODUCT((H419:O419/H$9:O$9)^H$7:O$7*H$5:O$5)+SUMPRODUCT((Q419:T419/Q$9:T$9)^Q$7:T$7*Q$5:T$5))*AF$9</f>
        <v>2.8642484978672704</v>
      </c>
      <c r="AG419" s="50" cm="1">
        <f t="array" ref="AG419">SUMPRODUCT(AC419:AF419 * AC$3:AF$3) / SUM(AC$3:AF$3)</f>
        <v>3.2041813203329266</v>
      </c>
    </row>
    <row r="420" spans="1:33" x14ac:dyDescent="0.25">
      <c r="A420" s="81" t="s">
        <v>673</v>
      </c>
      <c r="B420" s="20" t="s">
        <v>675</v>
      </c>
      <c r="C420" s="4" t="s">
        <v>8853</v>
      </c>
      <c r="D420" s="4" t="str">
        <f t="shared" si="6"/>
        <v>Palit</v>
      </c>
      <c r="E420" s="4" t="s">
        <v>8855</v>
      </c>
      <c r="F420" s="14" t="s">
        <v>8879</v>
      </c>
      <c r="G420" s="9">
        <v>1</v>
      </c>
      <c r="H420" s="1">
        <v>44.61</v>
      </c>
      <c r="I420" s="1">
        <v>44.61</v>
      </c>
      <c r="J420" s="1">
        <v>0.7</v>
      </c>
      <c r="K420" s="3">
        <v>1313</v>
      </c>
      <c r="L420" s="13">
        <v>2640</v>
      </c>
      <c r="M420" s="49">
        <v>224.6</v>
      </c>
      <c r="N420" s="1">
        <v>617.79999999999995</v>
      </c>
      <c r="O420" s="3">
        <v>60</v>
      </c>
      <c r="P420" s="11" t="s">
        <v>2276</v>
      </c>
      <c r="Q420" s="3">
        <v>16</v>
      </c>
      <c r="R420" s="3">
        <v>256</v>
      </c>
      <c r="S420" s="22">
        <v>21</v>
      </c>
      <c r="T420" s="9">
        <v>285</v>
      </c>
      <c r="U420" s="14" t="s">
        <v>527</v>
      </c>
      <c r="V420" s="12">
        <v>4</v>
      </c>
      <c r="W420" s="75">
        <v>16</v>
      </c>
      <c r="X420" s="76">
        <v>16</v>
      </c>
      <c r="Y420" s="9">
        <v>1143.8699999999999</v>
      </c>
      <c r="Z420" s="3">
        <v>1314.09</v>
      </c>
      <c r="AA420" s="17" t="s">
        <v>674</v>
      </c>
      <c r="AB420" s="18" t="s">
        <v>673</v>
      </c>
      <c r="AC420" s="46" cm="1">
        <f t="array" ref="AC420">(SUMPRODUCT((H420:O420/H$9:O$9)^H$7:O$7*H$2:O$2)+SUMPRODUCT((Q420:T420/Q$9:T$9)^Q$7:T$7*Q$2:T$2))*(0.8^(1-G420))*AC$9</f>
        <v>2.6478940512582074</v>
      </c>
      <c r="AD420" s="48" cm="1">
        <f t="array" ref="AD420">(SUMPRODUCT((H420:O420/H$9:O$9)^H$7:O$7*H$3:O$3)+SUMPRODUCT((Q420:T420/Q$9:T$9)^Q$7:T$7*Q$3:T$3))*(0.1^(1-G420))*AD$9</f>
        <v>3.4942407795539623</v>
      </c>
      <c r="AE420" s="48" cm="1">
        <f t="array" ref="AE420">(SUMPRODUCT((H420:O420/H$9:O$9)^H$7:O$7*H$4:O$4)+SUMPRODUCT((Q420:T420/Q$9:T$9)^Q$7:T$7*Q$4:T$4))*AE$9</f>
        <v>3.0982141615383108</v>
      </c>
      <c r="AF420" s="47" cm="1">
        <f t="array" ref="AF420">(SUMPRODUCT((H420:O420/H$9:O$9)^H$7:O$7*H$5:O$5)+SUMPRODUCT((Q420:T420/Q$9:T$9)^Q$7:T$7*Q$5:T$5))*AF$9</f>
        <v>2.8642484978672704</v>
      </c>
      <c r="AG420" s="50" cm="1">
        <f t="array" ref="AG420">SUMPRODUCT(AC420:AF420 * AC$3:AF$3) / SUM(AC$3:AF$3)</f>
        <v>3.2041813203329266</v>
      </c>
    </row>
    <row r="421" spans="1:33" x14ac:dyDescent="0.25">
      <c r="A421" s="81" t="s">
        <v>670</v>
      </c>
      <c r="B421" s="20" t="s">
        <v>672</v>
      </c>
      <c r="C421" s="4" t="s">
        <v>8853</v>
      </c>
      <c r="D421" s="4" t="str">
        <f t="shared" si="6"/>
        <v>Palit</v>
      </c>
      <c r="E421" s="4" t="s">
        <v>8855</v>
      </c>
      <c r="F421" s="14" t="s">
        <v>8879</v>
      </c>
      <c r="G421" s="9">
        <v>1</v>
      </c>
      <c r="H421" s="1">
        <v>44.61</v>
      </c>
      <c r="I421" s="1">
        <v>44.61</v>
      </c>
      <c r="J421" s="1">
        <v>0.7</v>
      </c>
      <c r="K421" s="3">
        <v>1313</v>
      </c>
      <c r="L421" s="13">
        <v>2640</v>
      </c>
      <c r="M421" s="49">
        <v>224.6</v>
      </c>
      <c r="N421" s="1">
        <v>617.79999999999995</v>
      </c>
      <c r="O421" s="3">
        <v>60</v>
      </c>
      <c r="P421" s="11" t="s">
        <v>2276</v>
      </c>
      <c r="Q421" s="3">
        <v>16</v>
      </c>
      <c r="R421" s="3">
        <v>256</v>
      </c>
      <c r="S421" s="22">
        <v>21</v>
      </c>
      <c r="T421" s="9">
        <v>285</v>
      </c>
      <c r="U421" s="14" t="s">
        <v>527</v>
      </c>
      <c r="V421" s="12">
        <v>4</v>
      </c>
      <c r="W421" s="75">
        <v>16</v>
      </c>
      <c r="X421" s="76">
        <v>16</v>
      </c>
      <c r="Y421" s="9">
        <v>1619.4</v>
      </c>
      <c r="Z421" s="3">
        <v>1808.41</v>
      </c>
      <c r="AA421" s="17" t="s">
        <v>671</v>
      </c>
      <c r="AB421" s="18" t="s">
        <v>670</v>
      </c>
      <c r="AC421" s="46" cm="1">
        <f t="array" ref="AC421">(SUMPRODUCT((H421:O421/H$9:O$9)^H$7:O$7*H$2:O$2)+SUMPRODUCT((Q421:T421/Q$9:T$9)^Q$7:T$7*Q$2:T$2))*(0.8^(1-G421))*AC$9</f>
        <v>2.6478940512582074</v>
      </c>
      <c r="AD421" s="48" cm="1">
        <f t="array" ref="AD421">(SUMPRODUCT((H421:O421/H$9:O$9)^H$7:O$7*H$3:O$3)+SUMPRODUCT((Q421:T421/Q$9:T$9)^Q$7:T$7*Q$3:T$3))*(0.1^(1-G421))*AD$9</f>
        <v>3.4942407795539623</v>
      </c>
      <c r="AE421" s="48" cm="1">
        <f t="array" ref="AE421">(SUMPRODUCT((H421:O421/H$9:O$9)^H$7:O$7*H$4:O$4)+SUMPRODUCT((Q421:T421/Q$9:T$9)^Q$7:T$7*Q$4:T$4))*AE$9</f>
        <v>3.0982141615383108</v>
      </c>
      <c r="AF421" s="47" cm="1">
        <f t="array" ref="AF421">(SUMPRODUCT((H421:O421/H$9:O$9)^H$7:O$7*H$5:O$5)+SUMPRODUCT((Q421:T421/Q$9:T$9)^Q$7:T$7*Q$5:T$5))*AF$9</f>
        <v>2.8642484978672704</v>
      </c>
      <c r="AG421" s="50" cm="1">
        <f t="array" ref="AG421">SUMPRODUCT(AC421:AF421 * AC$3:AF$3) / SUM(AC$3:AF$3)</f>
        <v>3.2041813203329266</v>
      </c>
    </row>
    <row r="422" spans="1:33" x14ac:dyDescent="0.25">
      <c r="A422" s="81" t="s">
        <v>515</v>
      </c>
      <c r="B422" s="20" t="s">
        <v>517</v>
      </c>
      <c r="C422" s="4" t="s">
        <v>8853</v>
      </c>
      <c r="D422" s="4" t="str">
        <f t="shared" si="6"/>
        <v>Zotac</v>
      </c>
      <c r="E422" s="4" t="s">
        <v>8855</v>
      </c>
      <c r="F422" s="14" t="s">
        <v>8879</v>
      </c>
      <c r="G422" s="9">
        <v>1</v>
      </c>
      <c r="H422" s="1">
        <v>44.61</v>
      </c>
      <c r="I422" s="1">
        <v>44.61</v>
      </c>
      <c r="J422" s="1">
        <v>0.7</v>
      </c>
      <c r="K422" s="3">
        <v>1313</v>
      </c>
      <c r="L422" s="13">
        <v>2640</v>
      </c>
      <c r="M422" s="49">
        <v>224.6</v>
      </c>
      <c r="N422" s="1">
        <v>617.79999999999995</v>
      </c>
      <c r="O422" s="3">
        <v>60</v>
      </c>
      <c r="P422" s="11" t="s">
        <v>2276</v>
      </c>
      <c r="Q422" s="3">
        <v>16</v>
      </c>
      <c r="R422" s="3">
        <v>256</v>
      </c>
      <c r="S422" s="22">
        <v>21</v>
      </c>
      <c r="T422" s="9">
        <v>285</v>
      </c>
      <c r="U422" s="14" t="s">
        <v>471</v>
      </c>
      <c r="V422" s="12">
        <v>4</v>
      </c>
      <c r="W422" s="75">
        <v>16</v>
      </c>
      <c r="X422" s="76">
        <v>16</v>
      </c>
      <c r="Y422" s="9">
        <v>939</v>
      </c>
      <c r="Z422" s="3">
        <v>1268.67</v>
      </c>
      <c r="AA422" s="17" t="s">
        <v>516</v>
      </c>
      <c r="AB422" s="18" t="s">
        <v>515</v>
      </c>
      <c r="AC422" s="46" cm="1">
        <f t="array" ref="AC422">(SUMPRODUCT((H422:O422/H$9:O$9)^H$7:O$7*H$2:O$2)+SUMPRODUCT((Q422:T422/Q$9:T$9)^Q$7:T$7*Q$2:T$2))*(0.8^(1-G422))*AC$9</f>
        <v>2.6478940512582074</v>
      </c>
      <c r="AD422" s="48" cm="1">
        <f t="array" ref="AD422">(SUMPRODUCT((H422:O422/H$9:O$9)^H$7:O$7*H$3:O$3)+SUMPRODUCT((Q422:T422/Q$9:T$9)^Q$7:T$7*Q$3:T$3))*(0.1^(1-G422))*AD$9</f>
        <v>3.4942407795539623</v>
      </c>
      <c r="AE422" s="48" cm="1">
        <f t="array" ref="AE422">(SUMPRODUCT((H422:O422/H$9:O$9)^H$7:O$7*H$4:O$4)+SUMPRODUCT((Q422:T422/Q$9:T$9)^Q$7:T$7*Q$4:T$4))*AE$9</f>
        <v>3.0982141615383108</v>
      </c>
      <c r="AF422" s="47" cm="1">
        <f t="array" ref="AF422">(SUMPRODUCT((H422:O422/H$9:O$9)^H$7:O$7*H$5:O$5)+SUMPRODUCT((Q422:T422/Q$9:T$9)^Q$7:T$7*Q$5:T$5))*AF$9</f>
        <v>2.8642484978672704</v>
      </c>
      <c r="AG422" s="50" cm="1">
        <f t="array" ref="AG422">SUMPRODUCT(AC422:AF422 * AC$3:AF$3) / SUM(AC$3:AF$3)</f>
        <v>3.2041813203329266</v>
      </c>
    </row>
    <row r="423" spans="1:33" x14ac:dyDescent="0.25">
      <c r="A423" s="81" t="s">
        <v>512</v>
      </c>
      <c r="B423" s="20" t="s">
        <v>514</v>
      </c>
      <c r="C423" s="4" t="s">
        <v>8853</v>
      </c>
      <c r="D423" s="4" t="str">
        <f t="shared" si="6"/>
        <v>Zotac</v>
      </c>
      <c r="E423" s="4" t="s">
        <v>8855</v>
      </c>
      <c r="F423" s="14" t="s">
        <v>8879</v>
      </c>
      <c r="G423" s="9">
        <v>1</v>
      </c>
      <c r="H423" s="1">
        <v>44.61</v>
      </c>
      <c r="I423" s="1">
        <v>44.61</v>
      </c>
      <c r="J423" s="1">
        <v>0.7</v>
      </c>
      <c r="K423" s="3">
        <v>1313</v>
      </c>
      <c r="L423" s="13">
        <v>2640</v>
      </c>
      <c r="M423" s="49">
        <v>224.6</v>
      </c>
      <c r="N423" s="1">
        <v>617.79999999999995</v>
      </c>
      <c r="O423" s="3">
        <v>60</v>
      </c>
      <c r="P423" s="11" t="s">
        <v>2276</v>
      </c>
      <c r="Q423" s="3">
        <v>16</v>
      </c>
      <c r="R423" s="3">
        <v>256</v>
      </c>
      <c r="S423" s="22">
        <v>21</v>
      </c>
      <c r="T423" s="9">
        <v>285</v>
      </c>
      <c r="U423" s="14" t="s">
        <v>471</v>
      </c>
      <c r="V423" s="12">
        <v>4</v>
      </c>
      <c r="W423" s="75">
        <v>16</v>
      </c>
      <c r="X423" s="76">
        <v>16</v>
      </c>
      <c r="Y423" s="9">
        <v>959</v>
      </c>
      <c r="Z423" s="3">
        <v>1772.72</v>
      </c>
      <c r="AA423" s="17" t="s">
        <v>513</v>
      </c>
      <c r="AB423" s="18" t="s">
        <v>512</v>
      </c>
      <c r="AC423" s="46" cm="1">
        <f t="array" ref="AC423">(SUMPRODUCT((H423:O423/H$9:O$9)^H$7:O$7*H$2:O$2)+SUMPRODUCT((Q423:T423/Q$9:T$9)^Q$7:T$7*Q$2:T$2))*(0.8^(1-G423))*AC$9</f>
        <v>2.6478940512582074</v>
      </c>
      <c r="AD423" s="48" cm="1">
        <f t="array" ref="AD423">(SUMPRODUCT((H423:O423/H$9:O$9)^H$7:O$7*H$3:O$3)+SUMPRODUCT((Q423:T423/Q$9:T$9)^Q$7:T$7*Q$3:T$3))*(0.1^(1-G423))*AD$9</f>
        <v>3.4942407795539623</v>
      </c>
      <c r="AE423" s="48" cm="1">
        <f t="array" ref="AE423">(SUMPRODUCT((H423:O423/H$9:O$9)^H$7:O$7*H$4:O$4)+SUMPRODUCT((Q423:T423/Q$9:T$9)^Q$7:T$7*Q$4:T$4))*AE$9</f>
        <v>3.0982141615383108</v>
      </c>
      <c r="AF423" s="47" cm="1">
        <f t="array" ref="AF423">(SUMPRODUCT((H423:O423/H$9:O$9)^H$7:O$7*H$5:O$5)+SUMPRODUCT((Q423:T423/Q$9:T$9)^Q$7:T$7*Q$5:T$5))*AF$9</f>
        <v>2.8642484978672704</v>
      </c>
      <c r="AG423" s="50" cm="1">
        <f t="array" ref="AG423">SUMPRODUCT(AC423:AF423 * AC$3:AF$3) / SUM(AC$3:AF$3)</f>
        <v>3.2041813203329266</v>
      </c>
    </row>
    <row r="424" spans="1:33" x14ac:dyDescent="0.25">
      <c r="A424" s="81" t="s">
        <v>506</v>
      </c>
      <c r="B424" s="20" t="s">
        <v>508</v>
      </c>
      <c r="C424" s="4" t="s">
        <v>8853</v>
      </c>
      <c r="D424" s="4" t="str">
        <f t="shared" si="6"/>
        <v>Zotac</v>
      </c>
      <c r="E424" s="4" t="s">
        <v>8855</v>
      </c>
      <c r="F424" s="14" t="s">
        <v>8879</v>
      </c>
      <c r="G424" s="9">
        <v>1</v>
      </c>
      <c r="H424" s="1">
        <v>44.1</v>
      </c>
      <c r="I424" s="1">
        <v>44.1</v>
      </c>
      <c r="J424" s="1">
        <v>0.69</v>
      </c>
      <c r="K424" s="3">
        <v>1313</v>
      </c>
      <c r="L424" s="13">
        <v>2610</v>
      </c>
      <c r="M424" s="49">
        <v>224.6</v>
      </c>
      <c r="N424" s="1">
        <v>617.79999999999995</v>
      </c>
      <c r="O424" s="3">
        <v>60</v>
      </c>
      <c r="P424" s="11" t="s">
        <v>2276</v>
      </c>
      <c r="Q424" s="3">
        <v>16</v>
      </c>
      <c r="R424" s="3">
        <v>256</v>
      </c>
      <c r="S424" s="22">
        <v>21</v>
      </c>
      <c r="T424" s="9">
        <v>285</v>
      </c>
      <c r="U424" s="14" t="s">
        <v>471</v>
      </c>
      <c r="V424" s="12">
        <v>4</v>
      </c>
      <c r="W424" s="75">
        <v>16</v>
      </c>
      <c r="X424" s="76">
        <v>16</v>
      </c>
      <c r="Y424" s="9">
        <v>1195</v>
      </c>
      <c r="Z424" s="3">
        <v>1783.16</v>
      </c>
      <c r="AA424" s="17" t="s">
        <v>507</v>
      </c>
      <c r="AB424" s="18" t="s">
        <v>506</v>
      </c>
      <c r="AC424" s="46" cm="1">
        <f t="array" ref="AC424">(SUMPRODUCT((H424:O424/H$9:O$9)^H$7:O$7*H$2:O$2)+SUMPRODUCT((Q424:T424/Q$9:T$9)^Q$7:T$7*Q$2:T$2))*(0.8^(1-G424))*AC$9</f>
        <v>2.6414920672025515</v>
      </c>
      <c r="AD424" s="48" cm="1">
        <f t="array" ref="AD424">(SUMPRODUCT((H424:O424/H$9:O$9)^H$7:O$7*H$3:O$3)+SUMPRODUCT((Q424:T424/Q$9:T$9)^Q$7:T$7*Q$3:T$3))*(0.1^(1-G424))*AD$9</f>
        <v>3.4662435804421983</v>
      </c>
      <c r="AE424" s="48" cm="1">
        <f t="array" ref="AE424">(SUMPRODUCT((H424:O424/H$9:O$9)^H$7:O$7*H$4:O$4)+SUMPRODUCT((Q424:T424/Q$9:T$9)^Q$7:T$7*Q$4:T$4))*AE$9</f>
        <v>3.0725143700841113</v>
      </c>
      <c r="AF424" s="47" cm="1">
        <f t="array" ref="AF424">(SUMPRODUCT((H424:O424/H$9:O$9)^H$7:O$7*H$5:O$5)+SUMPRODUCT((Q424:T424/Q$9:T$9)^Q$7:T$7*Q$5:T$5))*AF$9</f>
        <v>2.8496497052911569</v>
      </c>
      <c r="AG424" s="50" cm="1">
        <f t="array" ref="AG424">SUMPRODUCT(AC424:AF424 * AC$3:AF$3) / SUM(AC$3:AF$3)</f>
        <v>3.1822716590039626</v>
      </c>
    </row>
    <row r="425" spans="1:33" x14ac:dyDescent="0.25">
      <c r="A425" s="81" t="s">
        <v>503</v>
      </c>
      <c r="B425" s="20" t="s">
        <v>505</v>
      </c>
      <c r="C425" s="4" t="s">
        <v>8853</v>
      </c>
      <c r="D425" s="4" t="str">
        <f t="shared" si="6"/>
        <v>Zotac</v>
      </c>
      <c r="E425" s="4" t="s">
        <v>8855</v>
      </c>
      <c r="F425" s="14" t="s">
        <v>8879</v>
      </c>
      <c r="G425" s="9">
        <v>1</v>
      </c>
      <c r="H425" s="1">
        <v>44.35</v>
      </c>
      <c r="I425" s="1">
        <v>44.35</v>
      </c>
      <c r="J425" s="1">
        <v>0.69</v>
      </c>
      <c r="K425" s="3">
        <v>1313</v>
      </c>
      <c r="L425" s="13">
        <v>2625</v>
      </c>
      <c r="M425" s="49">
        <v>224.6</v>
      </c>
      <c r="N425" s="1">
        <v>617.79999999999995</v>
      </c>
      <c r="O425" s="3">
        <v>60</v>
      </c>
      <c r="P425" s="11" t="s">
        <v>2276</v>
      </c>
      <c r="Q425" s="3">
        <v>16</v>
      </c>
      <c r="R425" s="3">
        <v>256</v>
      </c>
      <c r="S425" s="22">
        <v>21</v>
      </c>
      <c r="T425" s="9">
        <v>285</v>
      </c>
      <c r="U425" s="14" t="s">
        <v>471</v>
      </c>
      <c r="V425" s="12">
        <v>4</v>
      </c>
      <c r="W425" s="75">
        <v>16</v>
      </c>
      <c r="X425" s="76">
        <v>16</v>
      </c>
      <c r="Y425" s="9">
        <v>1947.08</v>
      </c>
      <c r="Z425" s="3">
        <v>1947.08</v>
      </c>
      <c r="AA425" s="17" t="s">
        <v>504</v>
      </c>
      <c r="AB425" s="18" t="s">
        <v>503</v>
      </c>
      <c r="AC425" s="46" cm="1">
        <f t="array" ref="AC425">(SUMPRODUCT((H425:O425/H$9:O$9)^H$7:O$7*H$2:O$2)+SUMPRODUCT((Q425:T425/Q$9:T$9)^Q$7:T$7*Q$2:T$2))*(0.8^(1-G425))*AC$9</f>
        <v>2.6446675240133053</v>
      </c>
      <c r="AD425" s="48" cm="1">
        <f t="array" ref="AD425">(SUMPRODUCT((H425:O425/H$9:O$9)^H$7:O$7*H$3:O$3)+SUMPRODUCT((Q425:T425/Q$9:T$9)^Q$7:T$7*Q$3:T$3))*(0.1^(1-G425))*AD$9</f>
        <v>3.4787467462567343</v>
      </c>
      <c r="AE425" s="48" cm="1">
        <f t="array" ref="AE425">(SUMPRODUCT((H425:O425/H$9:O$9)^H$7:O$7*H$4:O$4)+SUMPRODUCT((Q425:T425/Q$9:T$9)^Q$7:T$7*Q$4:T$4))*AE$9</f>
        <v>3.07648333376412</v>
      </c>
      <c r="AF425" s="47" cm="1">
        <f t="array" ref="AF425">(SUMPRODUCT((H425:O425/H$9:O$9)^H$7:O$7*H$5:O$5)+SUMPRODUCT((Q425:T425/Q$9:T$9)^Q$7:T$7*Q$5:T$5))*AF$9</f>
        <v>2.8568227645077529</v>
      </c>
      <c r="AG425" s="50" cm="1">
        <f t="array" ref="AG425">SUMPRODUCT(AC425:AF425 * AC$3:AF$3) / SUM(AC$3:AF$3)</f>
        <v>3.1913836108699312</v>
      </c>
    </row>
    <row r="426" spans="1:33" x14ac:dyDescent="0.25">
      <c r="A426" s="81" t="s">
        <v>509</v>
      </c>
      <c r="B426" s="20" t="s">
        <v>511</v>
      </c>
      <c r="C426" s="4" t="s">
        <v>8853</v>
      </c>
      <c r="D426" s="4" t="str">
        <f t="shared" si="6"/>
        <v>Zotac</v>
      </c>
      <c r="E426" s="4" t="s">
        <v>8855</v>
      </c>
      <c r="F426" s="14" t="s">
        <v>8879</v>
      </c>
      <c r="G426" s="9">
        <v>1</v>
      </c>
      <c r="H426" s="1">
        <v>44.1</v>
      </c>
      <c r="I426" s="1">
        <v>44.1</v>
      </c>
      <c r="J426" s="1">
        <v>0.69</v>
      </c>
      <c r="K426" s="3">
        <v>1313</v>
      </c>
      <c r="L426" s="13">
        <v>2610</v>
      </c>
      <c r="M426" s="49">
        <v>224.6</v>
      </c>
      <c r="N426" s="1">
        <v>617.79999999999995</v>
      </c>
      <c r="O426" s="3">
        <v>60</v>
      </c>
      <c r="P426" s="11" t="s">
        <v>2276</v>
      </c>
      <c r="Q426" s="3">
        <v>16</v>
      </c>
      <c r="R426" s="3">
        <v>256</v>
      </c>
      <c r="S426" s="22">
        <v>21</v>
      </c>
      <c r="T426" s="9">
        <v>285</v>
      </c>
      <c r="U426" s="14" t="s">
        <v>471</v>
      </c>
      <c r="V426" s="12">
        <v>4</v>
      </c>
      <c r="W426" s="75">
        <v>16</v>
      </c>
      <c r="X426" s="76">
        <v>16</v>
      </c>
      <c r="Y426" s="9">
        <v>1169</v>
      </c>
      <c r="Z426" s="3">
        <v>1169</v>
      </c>
      <c r="AA426" s="17" t="s">
        <v>510</v>
      </c>
      <c r="AB426" s="18" t="s">
        <v>509</v>
      </c>
      <c r="AC426" s="46" cm="1">
        <f t="array" ref="AC426">(SUMPRODUCT((H426:O426/H$9:O$9)^H$7:O$7*H$2:O$2)+SUMPRODUCT((Q426:T426/Q$9:T$9)^Q$7:T$7*Q$2:T$2))*(0.8^(1-G426))*AC$9</f>
        <v>2.6414920672025515</v>
      </c>
      <c r="AD426" s="48" cm="1">
        <f t="array" ref="AD426">(SUMPRODUCT((H426:O426/H$9:O$9)^H$7:O$7*H$3:O$3)+SUMPRODUCT((Q426:T426/Q$9:T$9)^Q$7:T$7*Q$3:T$3))*(0.1^(1-G426))*AD$9</f>
        <v>3.4662435804421983</v>
      </c>
      <c r="AE426" s="48" cm="1">
        <f t="array" ref="AE426">(SUMPRODUCT((H426:O426/H$9:O$9)^H$7:O$7*H$4:O$4)+SUMPRODUCT((Q426:T426/Q$9:T$9)^Q$7:T$7*Q$4:T$4))*AE$9</f>
        <v>3.0725143700841113</v>
      </c>
      <c r="AF426" s="47" cm="1">
        <f t="array" ref="AF426">(SUMPRODUCT((H426:O426/H$9:O$9)^H$7:O$7*H$5:O$5)+SUMPRODUCT((Q426:T426/Q$9:T$9)^Q$7:T$7*Q$5:T$5))*AF$9</f>
        <v>2.8496497052911569</v>
      </c>
      <c r="AG426" s="50" cm="1">
        <f t="array" ref="AG426">SUMPRODUCT(AC426:AF426 * AC$3:AF$3) / SUM(AC$3:AF$3)</f>
        <v>3.1822716590039626</v>
      </c>
    </row>
    <row r="427" spans="1:33" x14ac:dyDescent="0.25">
      <c r="A427" s="81" t="s">
        <v>2063</v>
      </c>
      <c r="B427" s="20" t="s">
        <v>2065</v>
      </c>
      <c r="C427" s="4" t="s">
        <v>8853</v>
      </c>
      <c r="D427" s="4" t="str">
        <f t="shared" si="6"/>
        <v>ASUS</v>
      </c>
      <c r="E427" s="4" t="s">
        <v>8855</v>
      </c>
      <c r="F427" s="14" t="s">
        <v>8880</v>
      </c>
      <c r="G427" s="9">
        <v>1</v>
      </c>
      <c r="H427" s="1">
        <v>51.07</v>
      </c>
      <c r="I427" s="1">
        <v>51.07</v>
      </c>
      <c r="J427" s="1">
        <v>0.8</v>
      </c>
      <c r="K427" s="3">
        <v>1400</v>
      </c>
      <c r="L427" s="13">
        <v>2625</v>
      </c>
      <c r="M427" s="49">
        <v>246.9</v>
      </c>
      <c r="N427" s="1">
        <v>689.6</v>
      </c>
      <c r="O427" s="3">
        <v>76</v>
      </c>
      <c r="P427" s="11" t="s">
        <v>2276</v>
      </c>
      <c r="Q427" s="3">
        <v>16</v>
      </c>
      <c r="R427" s="3">
        <v>256</v>
      </c>
      <c r="S427" s="22">
        <v>22.4</v>
      </c>
      <c r="T427" s="9">
        <v>320</v>
      </c>
      <c r="U427" s="14" t="s">
        <v>471</v>
      </c>
      <c r="V427" s="12">
        <v>4</v>
      </c>
      <c r="W427" s="75">
        <v>16</v>
      </c>
      <c r="X427" s="76">
        <v>16</v>
      </c>
      <c r="Y427" s="9">
        <v>2855.07</v>
      </c>
      <c r="Z427" s="3">
        <v>3999</v>
      </c>
      <c r="AA427" s="17" t="s">
        <v>2064</v>
      </c>
      <c r="AB427" s="18" t="s">
        <v>2063</v>
      </c>
      <c r="AC427" s="46" cm="1">
        <f t="array" ref="AC427">(SUMPRODUCT((H427:O427/H$9:O$9)^H$7:O$7*H$2:O$2)+SUMPRODUCT((Q427:T427/Q$9:T$9)^Q$7:T$7*Q$2:T$2))*(0.8^(1-G427))*AC$9</f>
        <v>2.8441157058342319</v>
      </c>
      <c r="AD427" s="48" cm="1">
        <f t="array" ref="AD427">(SUMPRODUCT((H427:O427/H$9:O$9)^H$7:O$7*H$3:O$3)+SUMPRODUCT((Q427:T427/Q$9:T$9)^Q$7:T$7*Q$3:T$3))*(0.1^(1-G427))*AD$9</f>
        <v>3.83361152422935</v>
      </c>
      <c r="AE427" s="48" cm="1">
        <f t="array" ref="AE427">(SUMPRODUCT((H427:O427/H$9:O$9)^H$7:O$7*H$4:O$4)+SUMPRODUCT((Q427:T427/Q$9:T$9)^Q$7:T$7*Q$4:T$4))*AE$9</f>
        <v>3.3830257756294384</v>
      </c>
      <c r="AF427" s="47" cm="1">
        <f t="array" ref="AF427">(SUMPRODUCT((H427:O427/H$9:O$9)^H$7:O$7*H$5:O$5)+SUMPRODUCT((Q427:T427/Q$9:T$9)^Q$7:T$7*Q$5:T$5))*AF$9</f>
        <v>3.1395696682728667</v>
      </c>
      <c r="AG427" s="50" cm="1">
        <f t="array" ref="AG427">SUMPRODUCT(AC427:AF427 * AC$3:AF$3) / SUM(AC$3:AF$3)</f>
        <v>3.5029568286596486</v>
      </c>
    </row>
    <row r="428" spans="1:33" x14ac:dyDescent="0.25">
      <c r="A428" s="81" t="s">
        <v>1997</v>
      </c>
      <c r="B428" s="20" t="s">
        <v>1999</v>
      </c>
      <c r="C428" s="4" t="s">
        <v>8853</v>
      </c>
      <c r="D428" s="4" t="str">
        <f t="shared" si="6"/>
        <v>ASUS</v>
      </c>
      <c r="E428" s="4" t="s">
        <v>8855</v>
      </c>
      <c r="F428" s="14" t="s">
        <v>8880</v>
      </c>
      <c r="G428" s="9">
        <v>1</v>
      </c>
      <c r="H428" s="1">
        <v>51.07</v>
      </c>
      <c r="I428" s="1">
        <v>51.07</v>
      </c>
      <c r="J428" s="1">
        <v>0.8</v>
      </c>
      <c r="K428" s="3">
        <v>1400</v>
      </c>
      <c r="L428" s="13">
        <v>2625</v>
      </c>
      <c r="M428" s="49">
        <v>246.9</v>
      </c>
      <c r="N428" s="1">
        <v>689.6</v>
      </c>
      <c r="O428" s="3">
        <v>76</v>
      </c>
      <c r="P428" s="11" t="s">
        <v>2276</v>
      </c>
      <c r="Q428" s="3">
        <v>16</v>
      </c>
      <c r="R428" s="3">
        <v>256</v>
      </c>
      <c r="S428" s="22">
        <v>22.4</v>
      </c>
      <c r="T428" s="9">
        <v>320</v>
      </c>
      <c r="U428" s="14" t="s">
        <v>471</v>
      </c>
      <c r="V428" s="12">
        <v>4</v>
      </c>
      <c r="W428" s="75">
        <v>16</v>
      </c>
      <c r="X428" s="76">
        <v>16</v>
      </c>
      <c r="Y428" s="9">
        <v>2606.16</v>
      </c>
      <c r="Z428" s="3">
        <v>3069.04</v>
      </c>
      <c r="AA428" s="17" t="s">
        <v>1998</v>
      </c>
      <c r="AB428" s="18" t="s">
        <v>1997</v>
      </c>
      <c r="AC428" s="46" cm="1">
        <f t="array" ref="AC428">(SUMPRODUCT((H428:O428/H$9:O$9)^H$7:O$7*H$2:O$2)+SUMPRODUCT((Q428:T428/Q$9:T$9)^Q$7:T$7*Q$2:T$2))*(0.8^(1-G428))*AC$9</f>
        <v>2.8441157058342319</v>
      </c>
      <c r="AD428" s="48" cm="1">
        <f t="array" ref="AD428">(SUMPRODUCT((H428:O428/H$9:O$9)^H$7:O$7*H$3:O$3)+SUMPRODUCT((Q428:T428/Q$9:T$9)^Q$7:T$7*Q$3:T$3))*(0.1^(1-G428))*AD$9</f>
        <v>3.83361152422935</v>
      </c>
      <c r="AE428" s="48" cm="1">
        <f t="array" ref="AE428">(SUMPRODUCT((H428:O428/H$9:O$9)^H$7:O$7*H$4:O$4)+SUMPRODUCT((Q428:T428/Q$9:T$9)^Q$7:T$7*Q$4:T$4))*AE$9</f>
        <v>3.3830257756294384</v>
      </c>
      <c r="AF428" s="47" cm="1">
        <f t="array" ref="AF428">(SUMPRODUCT((H428:O428/H$9:O$9)^H$7:O$7*H$5:O$5)+SUMPRODUCT((Q428:T428/Q$9:T$9)^Q$7:T$7*Q$5:T$5))*AF$9</f>
        <v>3.1395696682728667</v>
      </c>
      <c r="AG428" s="50" cm="1">
        <f t="array" ref="AG428">SUMPRODUCT(AC428:AF428 * AC$3:AF$3) / SUM(AC$3:AF$3)</f>
        <v>3.5029568286596486</v>
      </c>
    </row>
    <row r="429" spans="1:33" x14ac:dyDescent="0.25">
      <c r="A429" s="81" t="s">
        <v>1904</v>
      </c>
      <c r="B429" s="20" t="s">
        <v>1906</v>
      </c>
      <c r="C429" s="4" t="s">
        <v>8853</v>
      </c>
      <c r="D429" s="4" t="str">
        <f t="shared" si="6"/>
        <v>ASUS</v>
      </c>
      <c r="E429" s="4" t="s">
        <v>8855</v>
      </c>
      <c r="F429" s="14" t="s">
        <v>8880</v>
      </c>
      <c r="G429" s="9">
        <v>1</v>
      </c>
      <c r="H429" s="1">
        <v>51.66</v>
      </c>
      <c r="I429" s="1">
        <v>51.66</v>
      </c>
      <c r="J429" s="1">
        <v>0.81</v>
      </c>
      <c r="K429" s="3">
        <v>1400</v>
      </c>
      <c r="L429" s="13">
        <v>2655</v>
      </c>
      <c r="M429" s="49">
        <v>246.9</v>
      </c>
      <c r="N429" s="1">
        <v>689.6</v>
      </c>
      <c r="O429" s="3">
        <v>76</v>
      </c>
      <c r="P429" s="11" t="s">
        <v>2276</v>
      </c>
      <c r="Q429" s="3">
        <v>16</v>
      </c>
      <c r="R429" s="3">
        <v>256</v>
      </c>
      <c r="S429" s="22">
        <v>22.4</v>
      </c>
      <c r="T429" s="9">
        <v>320</v>
      </c>
      <c r="U429" s="14" t="s">
        <v>471</v>
      </c>
      <c r="V429" s="12">
        <v>4</v>
      </c>
      <c r="W429" s="75">
        <v>16</v>
      </c>
      <c r="X429" s="76">
        <v>16</v>
      </c>
      <c r="Y429" s="9">
        <v>2548.5</v>
      </c>
      <c r="Z429" s="3">
        <v>3288.8</v>
      </c>
      <c r="AA429" s="17" t="s">
        <v>1905</v>
      </c>
      <c r="AB429" s="18" t="s">
        <v>1904</v>
      </c>
      <c r="AC429" s="46" cm="1">
        <f t="array" ref="AC429">(SUMPRODUCT((H429:O429/H$9:O$9)^H$7:O$7*H$2:O$2)+SUMPRODUCT((Q429:T429/Q$9:T$9)^Q$7:T$7*Q$2:T$2))*(0.8^(1-G429))*AC$9</f>
        <v>2.850893346575905</v>
      </c>
      <c r="AD429" s="48" cm="1">
        <f t="array" ref="AD429">(SUMPRODUCT((H429:O429/H$9:O$9)^H$7:O$7*H$3:O$3)+SUMPRODUCT((Q429:T429/Q$9:T$9)^Q$7:T$7*Q$3:T$3))*(0.1^(1-G429))*AD$9</f>
        <v>3.8648833111870324</v>
      </c>
      <c r="AE429" s="48" cm="1">
        <f t="array" ref="AE429">(SUMPRODUCT((H429:O429/H$9:O$9)^H$7:O$7*H$4:O$4)+SUMPRODUCT((Q429:T429/Q$9:T$9)^Q$7:T$7*Q$4:T$4))*AE$9</f>
        <v>3.4093490293585718</v>
      </c>
      <c r="AF429" s="47" cm="1">
        <f t="array" ref="AF429">(SUMPRODUCT((H429:O429/H$9:O$9)^H$7:O$7*H$5:O$5)+SUMPRODUCT((Q429:T429/Q$9:T$9)^Q$7:T$7*Q$5:T$5))*AF$9</f>
        <v>3.1559848128081942</v>
      </c>
      <c r="AG429" s="50" cm="1">
        <f t="array" ref="AG429">SUMPRODUCT(AC429:AF429 * AC$3:AF$3) / SUM(AC$3:AF$3)</f>
        <v>3.5271203138188758</v>
      </c>
    </row>
    <row r="430" spans="1:33" x14ac:dyDescent="0.25">
      <c r="A430" s="81" t="s">
        <v>1901</v>
      </c>
      <c r="B430" s="20" t="s">
        <v>1903</v>
      </c>
      <c r="C430" s="4" t="s">
        <v>8853</v>
      </c>
      <c r="D430" s="4" t="str">
        <f t="shared" si="6"/>
        <v>ASUS</v>
      </c>
      <c r="E430" s="4" t="s">
        <v>8855</v>
      </c>
      <c r="F430" s="14" t="s">
        <v>8880</v>
      </c>
      <c r="G430" s="9">
        <v>1</v>
      </c>
      <c r="H430" s="1">
        <v>49.32</v>
      </c>
      <c r="I430" s="1">
        <v>49.32</v>
      </c>
      <c r="J430" s="1">
        <v>0.77</v>
      </c>
      <c r="K430" s="3">
        <v>1400</v>
      </c>
      <c r="L430" s="13">
        <v>2535</v>
      </c>
      <c r="M430" s="49">
        <v>246.9</v>
      </c>
      <c r="N430" s="1">
        <v>689.6</v>
      </c>
      <c r="O430" s="3">
        <v>76</v>
      </c>
      <c r="P430" s="11" t="s">
        <v>2276</v>
      </c>
      <c r="Q430" s="3">
        <v>16</v>
      </c>
      <c r="R430" s="3">
        <v>256</v>
      </c>
      <c r="S430" s="22">
        <v>22.4</v>
      </c>
      <c r="T430" s="9">
        <v>320</v>
      </c>
      <c r="U430" s="14" t="s">
        <v>471</v>
      </c>
      <c r="V430" s="12">
        <v>4</v>
      </c>
      <c r="W430" s="75">
        <v>16</v>
      </c>
      <c r="X430" s="76">
        <v>16</v>
      </c>
      <c r="Y430" s="9">
        <v>2593.5</v>
      </c>
      <c r="Z430" s="3">
        <v>3370.32</v>
      </c>
      <c r="AA430" s="17" t="s">
        <v>1902</v>
      </c>
      <c r="AB430" s="18" t="s">
        <v>1901</v>
      </c>
      <c r="AC430" s="46" cm="1">
        <f t="array" ref="AC430">(SUMPRODUCT((H430:O430/H$9:O$9)^H$7:O$7*H$2:O$2)+SUMPRODUCT((Q430:T430/Q$9:T$9)^Q$7:T$7*Q$2:T$2))*(0.8^(1-G430))*AC$9</f>
        <v>2.8238403436927908</v>
      </c>
      <c r="AD430" s="48" cm="1">
        <f t="array" ref="AD430">(SUMPRODUCT((H430:O430/H$9:O$9)^H$7:O$7*H$3:O$3)+SUMPRODUCT((Q430:T430/Q$9:T$9)^Q$7:T$7*Q$3:T$3))*(0.1^(1-G430))*AD$9</f>
        <v>3.7404593223257372</v>
      </c>
      <c r="AE430" s="48" cm="1">
        <f t="array" ref="AE430">(SUMPRODUCT((H430:O430/H$9:O$9)^H$7:O$7*H$4:O$4)+SUMPRODUCT((Q430:T430/Q$9:T$9)^Q$7:T$7*Q$4:T$4))*AE$9</f>
        <v>3.3040461562797683</v>
      </c>
      <c r="AF430" s="47" cm="1">
        <f t="array" ref="AF430">(SUMPRODUCT((H430:O430/H$9:O$9)^H$7:O$7*H$5:O$5)+SUMPRODUCT((Q430:T430/Q$9:T$9)^Q$7:T$7*Q$5:T$5))*AF$9</f>
        <v>3.0907087964014841</v>
      </c>
      <c r="AG430" s="50" cm="1">
        <f t="array" ref="AG430">SUMPRODUCT(AC430:AF430 * AC$3:AF$3) / SUM(AC$3:AF$3)</f>
        <v>3.4309073864499853</v>
      </c>
    </row>
    <row r="431" spans="1:33" x14ac:dyDescent="0.25">
      <c r="A431" s="81" t="s">
        <v>1898</v>
      </c>
      <c r="B431" s="20" t="s">
        <v>1900</v>
      </c>
      <c r="C431" s="4" t="s">
        <v>8853</v>
      </c>
      <c r="D431" s="4" t="str">
        <f t="shared" si="6"/>
        <v>ASUS</v>
      </c>
      <c r="E431" s="4" t="s">
        <v>8855</v>
      </c>
      <c r="F431" s="14" t="s">
        <v>8880</v>
      </c>
      <c r="G431" s="9">
        <v>1</v>
      </c>
      <c r="H431" s="1">
        <v>49.32</v>
      </c>
      <c r="I431" s="1">
        <v>49.32</v>
      </c>
      <c r="J431" s="1">
        <v>0.77</v>
      </c>
      <c r="K431" s="3">
        <v>1400</v>
      </c>
      <c r="L431" s="13">
        <v>2535</v>
      </c>
      <c r="M431" s="49">
        <v>246.9</v>
      </c>
      <c r="N431" s="1">
        <v>689.6</v>
      </c>
      <c r="O431" s="3">
        <v>76</v>
      </c>
      <c r="P431" s="11" t="s">
        <v>2276</v>
      </c>
      <c r="Q431" s="3">
        <v>16</v>
      </c>
      <c r="R431" s="3">
        <v>256</v>
      </c>
      <c r="S431" s="22">
        <v>22.4</v>
      </c>
      <c r="T431" s="9">
        <v>320</v>
      </c>
      <c r="U431" s="14" t="s">
        <v>471</v>
      </c>
      <c r="V431" s="12">
        <v>4</v>
      </c>
      <c r="W431" s="75">
        <v>16</v>
      </c>
      <c r="X431" s="76">
        <v>16</v>
      </c>
      <c r="Y431" s="9">
        <v>2811.43</v>
      </c>
      <c r="Z431" s="3">
        <v>3310.77</v>
      </c>
      <c r="AA431" s="17" t="s">
        <v>1899</v>
      </c>
      <c r="AB431" s="18" t="s">
        <v>1898</v>
      </c>
      <c r="AC431" s="46" cm="1">
        <f t="array" ref="AC431">(SUMPRODUCT((H431:O431/H$9:O$9)^H$7:O$7*H$2:O$2)+SUMPRODUCT((Q431:T431/Q$9:T$9)^Q$7:T$7*Q$2:T$2))*(0.8^(1-G431))*AC$9</f>
        <v>2.8238403436927908</v>
      </c>
      <c r="AD431" s="48" cm="1">
        <f t="array" ref="AD431">(SUMPRODUCT((H431:O431/H$9:O$9)^H$7:O$7*H$3:O$3)+SUMPRODUCT((Q431:T431/Q$9:T$9)^Q$7:T$7*Q$3:T$3))*(0.1^(1-G431))*AD$9</f>
        <v>3.7404593223257372</v>
      </c>
      <c r="AE431" s="48" cm="1">
        <f t="array" ref="AE431">(SUMPRODUCT((H431:O431/H$9:O$9)^H$7:O$7*H$4:O$4)+SUMPRODUCT((Q431:T431/Q$9:T$9)^Q$7:T$7*Q$4:T$4))*AE$9</f>
        <v>3.3040461562797683</v>
      </c>
      <c r="AF431" s="47" cm="1">
        <f t="array" ref="AF431">(SUMPRODUCT((H431:O431/H$9:O$9)^H$7:O$7*H$5:O$5)+SUMPRODUCT((Q431:T431/Q$9:T$9)^Q$7:T$7*Q$5:T$5))*AF$9</f>
        <v>3.0907087964014841</v>
      </c>
      <c r="AG431" s="50" cm="1">
        <f t="array" ref="AG431">SUMPRODUCT(AC431:AF431 * AC$3:AF$3) / SUM(AC$3:AF$3)</f>
        <v>3.4309073864499853</v>
      </c>
    </row>
    <row r="432" spans="1:33" x14ac:dyDescent="0.25">
      <c r="A432" s="81" t="s">
        <v>1764</v>
      </c>
      <c r="B432" s="20" t="s">
        <v>1766</v>
      </c>
      <c r="C432" s="4" t="s">
        <v>8853</v>
      </c>
      <c r="D432" s="4" t="str">
        <f t="shared" si="6"/>
        <v>ASUS</v>
      </c>
      <c r="E432" s="4" t="s">
        <v>8855</v>
      </c>
      <c r="F432" s="14" t="s">
        <v>8880</v>
      </c>
      <c r="G432" s="9">
        <v>1</v>
      </c>
      <c r="H432" s="1">
        <v>51.07</v>
      </c>
      <c r="I432" s="1">
        <v>51.07</v>
      </c>
      <c r="J432" s="1">
        <v>0.8</v>
      </c>
      <c r="K432" s="3">
        <v>1400</v>
      </c>
      <c r="L432" s="13">
        <v>2625</v>
      </c>
      <c r="M432" s="49">
        <v>246.9</v>
      </c>
      <c r="N432" s="1">
        <v>689.6</v>
      </c>
      <c r="O432" s="3">
        <v>76</v>
      </c>
      <c r="P432" s="11" t="s">
        <v>2276</v>
      </c>
      <c r="Q432" s="3">
        <v>16</v>
      </c>
      <c r="R432" s="3">
        <v>256</v>
      </c>
      <c r="S432" s="22">
        <v>22.4</v>
      </c>
      <c r="T432" s="9">
        <v>320</v>
      </c>
      <c r="U432" s="14" t="s">
        <v>471</v>
      </c>
      <c r="V432" s="12">
        <v>4</v>
      </c>
      <c r="W432" s="75">
        <v>16</v>
      </c>
      <c r="X432" s="76">
        <v>16</v>
      </c>
      <c r="Y432" s="9">
        <v>2539.21</v>
      </c>
      <c r="Z432" s="3">
        <v>2686.38</v>
      </c>
      <c r="AA432" s="17" t="s">
        <v>1765</v>
      </c>
      <c r="AB432" s="18" t="s">
        <v>1764</v>
      </c>
      <c r="AC432" s="46" cm="1">
        <f t="array" ref="AC432">(SUMPRODUCT((H432:O432/H$9:O$9)^H$7:O$7*H$2:O$2)+SUMPRODUCT((Q432:T432/Q$9:T$9)^Q$7:T$7*Q$2:T$2))*(0.8^(1-G432))*AC$9</f>
        <v>2.8441157058342319</v>
      </c>
      <c r="AD432" s="48" cm="1">
        <f t="array" ref="AD432">(SUMPRODUCT((H432:O432/H$9:O$9)^H$7:O$7*H$3:O$3)+SUMPRODUCT((Q432:T432/Q$9:T$9)^Q$7:T$7*Q$3:T$3))*(0.1^(1-G432))*AD$9</f>
        <v>3.83361152422935</v>
      </c>
      <c r="AE432" s="48" cm="1">
        <f t="array" ref="AE432">(SUMPRODUCT((H432:O432/H$9:O$9)^H$7:O$7*H$4:O$4)+SUMPRODUCT((Q432:T432/Q$9:T$9)^Q$7:T$7*Q$4:T$4))*AE$9</f>
        <v>3.3830257756294384</v>
      </c>
      <c r="AF432" s="47" cm="1">
        <f t="array" ref="AF432">(SUMPRODUCT((H432:O432/H$9:O$9)^H$7:O$7*H$5:O$5)+SUMPRODUCT((Q432:T432/Q$9:T$9)^Q$7:T$7*Q$5:T$5))*AF$9</f>
        <v>3.1395696682728667</v>
      </c>
      <c r="AG432" s="50" cm="1">
        <f t="array" ref="AG432">SUMPRODUCT(AC432:AF432 * AC$3:AF$3) / SUM(AC$3:AF$3)</f>
        <v>3.5029568286596486</v>
      </c>
    </row>
    <row r="433" spans="1:33" x14ac:dyDescent="0.25">
      <c r="A433" s="81" t="s">
        <v>1755</v>
      </c>
      <c r="B433" s="20" t="s">
        <v>1757</v>
      </c>
      <c r="C433" s="4" t="s">
        <v>8853</v>
      </c>
      <c r="D433" s="4" t="str">
        <f t="shared" si="6"/>
        <v>ASUS</v>
      </c>
      <c r="E433" s="4" t="s">
        <v>8855</v>
      </c>
      <c r="F433" s="14" t="s">
        <v>8880</v>
      </c>
      <c r="G433" s="9">
        <v>1</v>
      </c>
      <c r="H433" s="1">
        <v>49.32</v>
      </c>
      <c r="I433" s="1">
        <v>49.32</v>
      </c>
      <c r="J433" s="1">
        <v>0.77</v>
      </c>
      <c r="K433" s="3">
        <v>1400</v>
      </c>
      <c r="L433" s="13">
        <v>2535</v>
      </c>
      <c r="M433" s="49">
        <v>246.9</v>
      </c>
      <c r="N433" s="1">
        <v>689.6</v>
      </c>
      <c r="O433" s="3">
        <v>76</v>
      </c>
      <c r="P433" s="11" t="s">
        <v>2276</v>
      </c>
      <c r="Q433" s="3">
        <v>16</v>
      </c>
      <c r="R433" s="3">
        <v>256</v>
      </c>
      <c r="S433" s="22">
        <v>22.4</v>
      </c>
      <c r="T433" s="9">
        <v>320</v>
      </c>
      <c r="U433" s="14" t="s">
        <v>471</v>
      </c>
      <c r="V433" s="12">
        <v>4</v>
      </c>
      <c r="W433" s="75">
        <v>16</v>
      </c>
      <c r="X433" s="76">
        <v>16</v>
      </c>
      <c r="Y433" s="9">
        <v>2356.0700000000002</v>
      </c>
      <c r="Z433" s="3">
        <v>2999</v>
      </c>
      <c r="AA433" s="17" t="s">
        <v>1756</v>
      </c>
      <c r="AB433" s="18" t="s">
        <v>1755</v>
      </c>
      <c r="AC433" s="46" cm="1">
        <f t="array" ref="AC433">(SUMPRODUCT((H433:O433/H$9:O$9)^H$7:O$7*H$2:O$2)+SUMPRODUCT((Q433:T433/Q$9:T$9)^Q$7:T$7*Q$2:T$2))*(0.8^(1-G433))*AC$9</f>
        <v>2.8238403436927908</v>
      </c>
      <c r="AD433" s="48" cm="1">
        <f t="array" ref="AD433">(SUMPRODUCT((H433:O433/H$9:O$9)^H$7:O$7*H$3:O$3)+SUMPRODUCT((Q433:T433/Q$9:T$9)^Q$7:T$7*Q$3:T$3))*(0.1^(1-G433))*AD$9</f>
        <v>3.7404593223257372</v>
      </c>
      <c r="AE433" s="48" cm="1">
        <f t="array" ref="AE433">(SUMPRODUCT((H433:O433/H$9:O$9)^H$7:O$7*H$4:O$4)+SUMPRODUCT((Q433:T433/Q$9:T$9)^Q$7:T$7*Q$4:T$4))*AE$9</f>
        <v>3.3040461562797683</v>
      </c>
      <c r="AF433" s="47" cm="1">
        <f t="array" ref="AF433">(SUMPRODUCT((H433:O433/H$9:O$9)^H$7:O$7*H$5:O$5)+SUMPRODUCT((Q433:T433/Q$9:T$9)^Q$7:T$7*Q$5:T$5))*AF$9</f>
        <v>3.0907087964014841</v>
      </c>
      <c r="AG433" s="50" cm="1">
        <f t="array" ref="AG433">SUMPRODUCT(AC433:AF433 * AC$3:AF$3) / SUM(AC$3:AF$3)</f>
        <v>3.4309073864499853</v>
      </c>
    </row>
    <row r="434" spans="1:33" x14ac:dyDescent="0.25">
      <c r="A434" s="81" t="s">
        <v>1188</v>
      </c>
      <c r="B434" s="20" t="s">
        <v>1190</v>
      </c>
      <c r="C434" s="4" t="s">
        <v>8853</v>
      </c>
      <c r="D434" s="4" t="str">
        <f t="shared" si="6"/>
        <v>INNO3D</v>
      </c>
      <c r="E434" s="4" t="s">
        <v>8855</v>
      </c>
      <c r="F434" s="14" t="s">
        <v>8880</v>
      </c>
      <c r="G434" s="9">
        <v>1</v>
      </c>
      <c r="H434" s="1">
        <v>49.9</v>
      </c>
      <c r="I434" s="1">
        <v>49.9</v>
      </c>
      <c r="J434" s="1">
        <v>0.78</v>
      </c>
      <c r="K434" s="3">
        <v>1400</v>
      </c>
      <c r="L434" s="13">
        <v>2565</v>
      </c>
      <c r="M434" s="49">
        <v>246.9</v>
      </c>
      <c r="N434" s="1">
        <v>689.6</v>
      </c>
      <c r="O434" s="3">
        <v>76</v>
      </c>
      <c r="P434" s="11" t="s">
        <v>2276</v>
      </c>
      <c r="Q434" s="3">
        <v>16</v>
      </c>
      <c r="R434" s="3">
        <v>256</v>
      </c>
      <c r="S434" s="22">
        <v>22.4</v>
      </c>
      <c r="T434" s="9">
        <v>320</v>
      </c>
      <c r="U434" s="14" t="s">
        <v>471</v>
      </c>
      <c r="V434" s="12">
        <v>4</v>
      </c>
      <c r="W434" s="75">
        <v>16</v>
      </c>
      <c r="X434" s="76">
        <v>16</v>
      </c>
      <c r="Y434" s="9">
        <v>2939.98</v>
      </c>
      <c r="Z434" s="3">
        <v>3143.44</v>
      </c>
      <c r="AA434" s="17" t="s">
        <v>1189</v>
      </c>
      <c r="AB434" s="18" t="s">
        <v>1188</v>
      </c>
      <c r="AC434" s="46" cm="1">
        <f t="array" ref="AC434">(SUMPRODUCT((H434:O434/H$9:O$9)^H$7:O$7*H$2:O$2)+SUMPRODUCT((Q434:T434/Q$9:T$9)^Q$7:T$7*Q$2:T$2))*(0.8^(1-G434))*AC$9</f>
        <v>2.8305892435290647</v>
      </c>
      <c r="AD434" s="48" cm="1">
        <f t="array" ref="AD434">(SUMPRODUCT((H434:O434/H$9:O$9)^H$7:O$7*H$3:O$3)+SUMPRODUCT((Q434:T434/Q$9:T$9)^Q$7:T$7*Q$3:T$3))*(0.1^(1-G434))*AD$9</f>
        <v>3.7713994706625931</v>
      </c>
      <c r="AE434" s="48" cm="1">
        <f t="array" ref="AE434">(SUMPRODUCT((H434:O434/H$9:O$9)^H$7:O$7*H$4:O$4)+SUMPRODUCT((Q434:T434/Q$9:T$9)^Q$7:T$7*Q$4:T$4))*AE$9</f>
        <v>3.3303749530007325</v>
      </c>
      <c r="AF434" s="47" cm="1">
        <f t="array" ref="AF434">(SUMPRODUCT((H434:O434/H$9:O$9)^H$7:O$7*H$5:O$5)+SUMPRODUCT((Q434:T434/Q$9:T$9)^Q$7:T$7*Q$5:T$5))*AF$9</f>
        <v>3.1069316031887699</v>
      </c>
      <c r="AG434" s="50" cm="1">
        <f t="array" ref="AG434">SUMPRODUCT(AC434:AF434 * AC$3:AF$3) / SUM(AC$3:AF$3)</f>
        <v>3.4548503973767164</v>
      </c>
    </row>
    <row r="435" spans="1:33" x14ac:dyDescent="0.25">
      <c r="A435" s="81" t="s">
        <v>941</v>
      </c>
      <c r="B435" s="20" t="s">
        <v>943</v>
      </c>
      <c r="C435" s="4" t="s">
        <v>8853</v>
      </c>
      <c r="D435" s="4" t="str">
        <f t="shared" si="6"/>
        <v>MSI</v>
      </c>
      <c r="E435" s="4" t="s">
        <v>8855</v>
      </c>
      <c r="F435" s="14" t="s">
        <v>8880</v>
      </c>
      <c r="G435" s="9">
        <v>1</v>
      </c>
      <c r="H435" s="1">
        <v>50.78</v>
      </c>
      <c r="I435" s="1">
        <v>50.78</v>
      </c>
      <c r="J435" s="1">
        <v>0.79</v>
      </c>
      <c r="K435" s="3">
        <v>1400</v>
      </c>
      <c r="L435" s="13">
        <v>2610</v>
      </c>
      <c r="M435" s="49">
        <v>246.9</v>
      </c>
      <c r="N435" s="1">
        <v>689.6</v>
      </c>
      <c r="O435" s="3">
        <v>76</v>
      </c>
      <c r="P435" s="11" t="s">
        <v>2276</v>
      </c>
      <c r="Q435" s="3">
        <v>16</v>
      </c>
      <c r="R435" s="3">
        <v>256</v>
      </c>
      <c r="S435" s="22">
        <v>22.4</v>
      </c>
      <c r="T435" s="9">
        <v>320</v>
      </c>
      <c r="U435" s="14" t="s">
        <v>471</v>
      </c>
      <c r="V435" s="12">
        <v>4</v>
      </c>
      <c r="W435" s="75">
        <v>16</v>
      </c>
      <c r="X435" s="76">
        <v>16</v>
      </c>
      <c r="Y435" s="9">
        <v>2438.81</v>
      </c>
      <c r="Z435" s="3">
        <v>2438.81</v>
      </c>
      <c r="AA435" s="17" t="s">
        <v>942</v>
      </c>
      <c r="AB435" s="18" t="s">
        <v>941</v>
      </c>
      <c r="AC435" s="46" cm="1">
        <f t="array" ref="AC435">(SUMPRODUCT((H435:O435/H$9:O$9)^H$7:O$7*H$2:O$2)+SUMPRODUCT((Q435:T435/Q$9:T$9)^Q$7:T$7*Q$2:T$2))*(0.8^(1-G435))*AC$9</f>
        <v>2.8407500675505131</v>
      </c>
      <c r="AD435" s="48" cm="1">
        <f t="array" ref="AD435">(SUMPRODUCT((H435:O435/H$9:O$9)^H$7:O$7*H$3:O$3)+SUMPRODUCT((Q435:T435/Q$9:T$9)^Q$7:T$7*Q$3:T$3))*(0.1^(1-G435))*AD$9</f>
        <v>3.8169709115995252</v>
      </c>
      <c r="AE435" s="48" cm="1">
        <f t="array" ref="AE435">(SUMPRODUCT((H435:O435/H$9:O$9)^H$7:O$7*H$4:O$4)+SUMPRODUCT((Q435:T435/Q$9:T$9)^Q$7:T$7*Q$4:T$4))*AE$9</f>
        <v>3.3613478332037547</v>
      </c>
      <c r="AF435" s="47" cm="1">
        <f t="array" ref="AF435">(SUMPRODUCT((H435:O435/H$9:O$9)^H$7:O$7*H$5:O$5)+SUMPRODUCT((Q435:T435/Q$9:T$9)^Q$7:T$7*Q$5:T$5))*AF$9</f>
        <v>3.1314811543040006</v>
      </c>
      <c r="AG435" s="50" cm="1">
        <f t="array" ref="AG435">SUMPRODUCT(AC435:AF435 * AC$3:AF$3) / SUM(AC$3:AF$3)</f>
        <v>3.4893943582203502</v>
      </c>
    </row>
    <row r="436" spans="1:33" x14ac:dyDescent="0.25">
      <c r="A436" s="81" t="s">
        <v>938</v>
      </c>
      <c r="B436" s="20" t="s">
        <v>940</v>
      </c>
      <c r="C436" s="4" t="s">
        <v>8853</v>
      </c>
      <c r="D436" s="4" t="str">
        <f t="shared" si="6"/>
        <v>MSI</v>
      </c>
      <c r="E436" s="4" t="s">
        <v>8855</v>
      </c>
      <c r="F436" s="14" t="s">
        <v>8880</v>
      </c>
      <c r="G436" s="9">
        <v>1</v>
      </c>
      <c r="H436" s="1">
        <v>50.78</v>
      </c>
      <c r="I436" s="1">
        <v>50.78</v>
      </c>
      <c r="J436" s="1">
        <v>0.79</v>
      </c>
      <c r="K436" s="3">
        <v>1400</v>
      </c>
      <c r="L436" s="13">
        <v>2610</v>
      </c>
      <c r="M436" s="49">
        <v>246.9</v>
      </c>
      <c r="N436" s="1">
        <v>689.6</v>
      </c>
      <c r="O436" s="3">
        <v>76</v>
      </c>
      <c r="P436" s="11" t="s">
        <v>2276</v>
      </c>
      <c r="Q436" s="3">
        <v>16</v>
      </c>
      <c r="R436" s="3">
        <v>256</v>
      </c>
      <c r="S436" s="22">
        <v>22.4</v>
      </c>
      <c r="T436" s="9">
        <v>320</v>
      </c>
      <c r="U436" s="14" t="s">
        <v>471</v>
      </c>
      <c r="V436" s="12">
        <v>4</v>
      </c>
      <c r="W436" s="75">
        <v>16</v>
      </c>
      <c r="X436" s="76">
        <v>16</v>
      </c>
      <c r="Y436" s="9">
        <v>2060.0500000000002</v>
      </c>
      <c r="Z436" s="3">
        <v>2060.0500000000002</v>
      </c>
      <c r="AA436" s="17" t="s">
        <v>939</v>
      </c>
      <c r="AB436" s="18" t="s">
        <v>938</v>
      </c>
      <c r="AC436" s="46" cm="1">
        <f t="array" ref="AC436">(SUMPRODUCT((H436:O436/H$9:O$9)^H$7:O$7*H$2:O$2)+SUMPRODUCT((Q436:T436/Q$9:T$9)^Q$7:T$7*Q$2:T$2))*(0.8^(1-G436))*AC$9</f>
        <v>2.8407500675505131</v>
      </c>
      <c r="AD436" s="48" cm="1">
        <f t="array" ref="AD436">(SUMPRODUCT((H436:O436/H$9:O$9)^H$7:O$7*H$3:O$3)+SUMPRODUCT((Q436:T436/Q$9:T$9)^Q$7:T$7*Q$3:T$3))*(0.1^(1-G436))*AD$9</f>
        <v>3.8169709115995252</v>
      </c>
      <c r="AE436" s="48" cm="1">
        <f t="array" ref="AE436">(SUMPRODUCT((H436:O436/H$9:O$9)^H$7:O$7*H$4:O$4)+SUMPRODUCT((Q436:T436/Q$9:T$9)^Q$7:T$7*Q$4:T$4))*AE$9</f>
        <v>3.3613478332037547</v>
      </c>
      <c r="AF436" s="47" cm="1">
        <f t="array" ref="AF436">(SUMPRODUCT((H436:O436/H$9:O$9)^H$7:O$7*H$5:O$5)+SUMPRODUCT((Q436:T436/Q$9:T$9)^Q$7:T$7*Q$5:T$5))*AF$9</f>
        <v>3.1314811543040006</v>
      </c>
      <c r="AG436" s="50" cm="1">
        <f t="array" ref="AG436">SUMPRODUCT(AC436:AF436 * AC$3:AF$3) / SUM(AC$3:AF$3)</f>
        <v>3.4893943582203502</v>
      </c>
    </row>
    <row r="437" spans="1:33" x14ac:dyDescent="0.25">
      <c r="A437" s="81" t="s">
        <v>924</v>
      </c>
      <c r="B437" s="20" t="s">
        <v>926</v>
      </c>
      <c r="C437" s="4" t="s">
        <v>8853</v>
      </c>
      <c r="D437" s="4" t="str">
        <f t="shared" si="6"/>
        <v>MSI</v>
      </c>
      <c r="E437" s="4" t="s">
        <v>8855</v>
      </c>
      <c r="F437" s="14" t="s">
        <v>8880</v>
      </c>
      <c r="G437" s="9">
        <v>1</v>
      </c>
      <c r="H437" s="1">
        <v>51.36</v>
      </c>
      <c r="I437" s="1">
        <v>51.36</v>
      </c>
      <c r="J437" s="1">
        <v>0.8</v>
      </c>
      <c r="K437" s="3">
        <v>1400</v>
      </c>
      <c r="L437" s="13">
        <v>2640</v>
      </c>
      <c r="M437" s="49">
        <v>246.9</v>
      </c>
      <c r="N437" s="1">
        <v>689.6</v>
      </c>
      <c r="O437" s="3">
        <v>76</v>
      </c>
      <c r="P437" s="11" t="s">
        <v>2276</v>
      </c>
      <c r="Q437" s="3">
        <v>16</v>
      </c>
      <c r="R437" s="3">
        <v>256</v>
      </c>
      <c r="S437" s="22">
        <v>22.4</v>
      </c>
      <c r="T437" s="9">
        <v>320</v>
      </c>
      <c r="U437" s="14" t="s">
        <v>471</v>
      </c>
      <c r="V437" s="12">
        <v>4</v>
      </c>
      <c r="W437" s="75">
        <v>16</v>
      </c>
      <c r="X437" s="76">
        <v>16</v>
      </c>
      <c r="Y437" s="9">
        <v>2665.95</v>
      </c>
      <c r="Z437" s="3">
        <v>2665.95</v>
      </c>
      <c r="AA437" s="17" t="s">
        <v>925</v>
      </c>
      <c r="AB437" s="18" t="s">
        <v>924</v>
      </c>
      <c r="AC437" s="46" cm="1">
        <f t="array" ref="AC437">(SUMPRODUCT((H437:O437/H$9:O$9)^H$7:O$7*H$2:O$2)+SUMPRODUCT((Q437:T437/Q$9:T$9)^Q$7:T$7*Q$2:T$2))*(0.8^(1-G437))*AC$9</f>
        <v>2.8474794268494175</v>
      </c>
      <c r="AD437" s="48" cm="1">
        <f t="array" ref="AD437">(SUMPRODUCT((H437:O437/H$9:O$9)^H$7:O$7*H$3:O$3)+SUMPRODUCT((Q437:T437/Q$9:T$9)^Q$7:T$7*Q$3:T$3))*(0.1^(1-G437))*AD$9</f>
        <v>3.8477935266842005</v>
      </c>
      <c r="AE437" s="48" cm="1">
        <f t="array" ref="AE437">(SUMPRODUCT((H437:O437/H$9:O$9)^H$7:O$7*H$4:O$4)+SUMPRODUCT((Q437:T437/Q$9:T$9)^Q$7:T$7*Q$4:T$4))*AE$9</f>
        <v>3.3875627066947209</v>
      </c>
      <c r="AF437" s="47" cm="1">
        <f t="array" ref="AF437">(SUMPRODUCT((H437:O437/H$9:O$9)^H$7:O$7*H$5:O$5)+SUMPRODUCT((Q437:T437/Q$9:T$9)^Q$7:T$7*Q$5:T$5))*AF$9</f>
        <v>3.1476532204410224</v>
      </c>
      <c r="AG437" s="50" cm="1">
        <f t="array" ref="AG437">SUMPRODUCT(AC437:AF437 * AC$3:AF$3) / SUM(AC$3:AF$3)</f>
        <v>3.5132477012279311</v>
      </c>
    </row>
    <row r="438" spans="1:33" x14ac:dyDescent="0.25">
      <c r="A438" s="81" t="s">
        <v>921</v>
      </c>
      <c r="B438" s="20" t="s">
        <v>923</v>
      </c>
      <c r="C438" s="4" t="s">
        <v>8853</v>
      </c>
      <c r="D438" s="4" t="str">
        <f t="shared" si="6"/>
        <v>MSI</v>
      </c>
      <c r="E438" s="4" t="s">
        <v>8855</v>
      </c>
      <c r="F438" s="14" t="s">
        <v>8880</v>
      </c>
      <c r="G438" s="9">
        <v>1</v>
      </c>
      <c r="H438" s="1">
        <v>49.61</v>
      </c>
      <c r="I438" s="1">
        <v>49.61</v>
      </c>
      <c r="J438" s="1">
        <v>0.78</v>
      </c>
      <c r="K438" s="3">
        <v>1400</v>
      </c>
      <c r="L438" s="13">
        <v>2550</v>
      </c>
      <c r="M438" s="49">
        <v>246.9</v>
      </c>
      <c r="N438" s="1">
        <v>689.6</v>
      </c>
      <c r="O438" s="3">
        <v>76</v>
      </c>
      <c r="P438" s="11" t="s">
        <v>2276</v>
      </c>
      <c r="Q438" s="3">
        <v>16</v>
      </c>
      <c r="R438" s="3">
        <v>256</v>
      </c>
      <c r="S438" s="22">
        <v>22.4</v>
      </c>
      <c r="T438" s="9">
        <v>320</v>
      </c>
      <c r="U438" s="14" t="s">
        <v>471</v>
      </c>
      <c r="V438" s="12">
        <v>4</v>
      </c>
      <c r="W438" s="75">
        <v>16</v>
      </c>
      <c r="X438" s="76">
        <v>16</v>
      </c>
      <c r="Y438" s="9">
        <v>1999.46</v>
      </c>
      <c r="Z438" s="3">
        <v>1999.46</v>
      </c>
      <c r="AA438" s="17" t="s">
        <v>922</v>
      </c>
      <c r="AB438" s="18" t="s">
        <v>921</v>
      </c>
      <c r="AC438" s="46" cm="1">
        <f t="array" ref="AC438">(SUMPRODUCT((H438:O438/H$9:O$9)^H$7:O$7*H$2:O$2)+SUMPRODUCT((Q438:T438/Q$9:T$9)^Q$7:T$7*Q$2:T$2))*(0.8^(1-G438))*AC$9</f>
        <v>2.827215783313842</v>
      </c>
      <c r="AD438" s="48" cm="1">
        <f t="array" ref="AD438">(SUMPRODUCT((H438:O438/H$9:O$9)^H$7:O$7*H$3:O$3)+SUMPRODUCT((Q438:T438/Q$9:T$9)^Q$7:T$7*Q$3:T$3))*(0.1^(1-G438))*AD$9</f>
        <v>3.7571651270787489</v>
      </c>
      <c r="AE438" s="48" cm="1">
        <f t="array" ref="AE438">(SUMPRODUCT((H438:O438/H$9:O$9)^H$7:O$7*H$4:O$4)+SUMPRODUCT((Q438:T438/Q$9:T$9)^Q$7:T$7*Q$4:T$4))*AE$9</f>
        <v>3.3258248814189408</v>
      </c>
      <c r="AF438" s="47" cm="1">
        <f t="array" ref="AF438">(SUMPRODUCT((H438:O438/H$9:O$9)^H$7:O$7*H$5:O$5)+SUMPRODUCT((Q438:T438/Q$9:T$9)^Q$7:T$7*Q$5:T$5))*AF$9</f>
        <v>3.0988227619483317</v>
      </c>
      <c r="AG438" s="50" cm="1">
        <f t="array" ref="AG438">SUMPRODUCT(AC438:AF438 * AC$3:AF$3) / SUM(AC$3:AF$3)</f>
        <v>3.4445231483006609</v>
      </c>
    </row>
    <row r="439" spans="1:33" x14ac:dyDescent="0.25">
      <c r="A439" s="81" t="s">
        <v>482</v>
      </c>
      <c r="B439" s="20" t="s">
        <v>484</v>
      </c>
      <c r="C439" s="4" t="s">
        <v>8853</v>
      </c>
      <c r="D439" s="4" t="str">
        <f t="shared" si="6"/>
        <v>Zotac</v>
      </c>
      <c r="E439" s="4" t="s">
        <v>8855</v>
      </c>
      <c r="F439" s="14" t="s">
        <v>8880</v>
      </c>
      <c r="G439" s="9">
        <v>1</v>
      </c>
      <c r="H439" s="1">
        <v>49.9</v>
      </c>
      <c r="I439" s="1">
        <v>49.9</v>
      </c>
      <c r="J439" s="1">
        <v>0.78</v>
      </c>
      <c r="K439" s="3">
        <v>1400</v>
      </c>
      <c r="L439" s="13">
        <v>2565</v>
      </c>
      <c r="M439" s="49">
        <v>246.9</v>
      </c>
      <c r="N439" s="1">
        <v>689.6</v>
      </c>
      <c r="O439" s="3">
        <v>76</v>
      </c>
      <c r="P439" s="11" t="s">
        <v>2276</v>
      </c>
      <c r="Q439" s="3">
        <v>16</v>
      </c>
      <c r="R439" s="3">
        <v>256</v>
      </c>
      <c r="S439" s="22">
        <v>22.4</v>
      </c>
      <c r="T439" s="9">
        <v>320</v>
      </c>
      <c r="U439" s="14" t="s">
        <v>471</v>
      </c>
      <c r="V439" s="12">
        <v>4</v>
      </c>
      <c r="W439" s="75">
        <v>16</v>
      </c>
      <c r="X439" s="76">
        <v>16</v>
      </c>
      <c r="Y439" s="9">
        <v>2614.71</v>
      </c>
      <c r="Z439" s="3">
        <v>2614.71</v>
      </c>
      <c r="AA439" s="17" t="s">
        <v>483</v>
      </c>
      <c r="AB439" s="18" t="s">
        <v>482</v>
      </c>
      <c r="AC439" s="46" cm="1">
        <f t="array" ref="AC439">(SUMPRODUCT((H439:O439/H$9:O$9)^H$7:O$7*H$2:O$2)+SUMPRODUCT((Q439:T439/Q$9:T$9)^Q$7:T$7*Q$2:T$2))*(0.8^(1-G439))*AC$9</f>
        <v>2.8305892435290647</v>
      </c>
      <c r="AD439" s="48" cm="1">
        <f t="array" ref="AD439">(SUMPRODUCT((H439:O439/H$9:O$9)^H$7:O$7*H$3:O$3)+SUMPRODUCT((Q439:T439/Q$9:T$9)^Q$7:T$7*Q$3:T$3))*(0.1^(1-G439))*AD$9</f>
        <v>3.7713994706625931</v>
      </c>
      <c r="AE439" s="48" cm="1">
        <f t="array" ref="AE439">(SUMPRODUCT((H439:O439/H$9:O$9)^H$7:O$7*H$4:O$4)+SUMPRODUCT((Q439:T439/Q$9:T$9)^Q$7:T$7*Q$4:T$4))*AE$9</f>
        <v>3.3303749530007325</v>
      </c>
      <c r="AF439" s="47" cm="1">
        <f t="array" ref="AF439">(SUMPRODUCT((H439:O439/H$9:O$9)^H$7:O$7*H$5:O$5)+SUMPRODUCT((Q439:T439/Q$9:T$9)^Q$7:T$7*Q$5:T$5))*AF$9</f>
        <v>3.1069316031887699</v>
      </c>
      <c r="AG439" s="50" cm="1">
        <f t="array" ref="AG439">SUMPRODUCT(AC439:AF439 * AC$3:AF$3) / SUM(AC$3:AF$3)</f>
        <v>3.4548503973767164</v>
      </c>
    </row>
    <row r="440" spans="1:33" x14ac:dyDescent="0.25">
      <c r="A440" s="81" t="s">
        <v>476</v>
      </c>
      <c r="B440" s="20" t="s">
        <v>478</v>
      </c>
      <c r="C440" s="4" t="s">
        <v>8853</v>
      </c>
      <c r="D440" s="4" t="str">
        <f t="shared" si="6"/>
        <v>Zotac</v>
      </c>
      <c r="E440" s="4" t="s">
        <v>8855</v>
      </c>
      <c r="F440" s="14" t="s">
        <v>8880</v>
      </c>
      <c r="G440" s="9">
        <v>1</v>
      </c>
      <c r="H440" s="1">
        <v>48.74</v>
      </c>
      <c r="I440" s="1">
        <v>48.74</v>
      </c>
      <c r="J440" s="1">
        <v>0.76</v>
      </c>
      <c r="K440" s="3">
        <v>1400</v>
      </c>
      <c r="L440" s="13">
        <v>2505</v>
      </c>
      <c r="M440" s="49">
        <v>246.9</v>
      </c>
      <c r="N440" s="1">
        <v>689.6</v>
      </c>
      <c r="O440" s="3">
        <v>76</v>
      </c>
      <c r="P440" s="11" t="s">
        <v>2276</v>
      </c>
      <c r="Q440" s="3">
        <v>16</v>
      </c>
      <c r="R440" s="3">
        <v>256</v>
      </c>
      <c r="S440" s="22">
        <v>22.4</v>
      </c>
      <c r="T440" s="9">
        <v>320</v>
      </c>
      <c r="U440" s="14" t="s">
        <v>471</v>
      </c>
      <c r="V440" s="12">
        <v>4</v>
      </c>
      <c r="W440" s="75">
        <v>16</v>
      </c>
      <c r="X440" s="76">
        <v>16</v>
      </c>
      <c r="Y440" s="9">
        <v>2557.63</v>
      </c>
      <c r="Z440" s="3">
        <v>2557.63</v>
      </c>
      <c r="AA440" s="17" t="s">
        <v>477</v>
      </c>
      <c r="AB440" s="18" t="s">
        <v>476</v>
      </c>
      <c r="AC440" s="46" cm="1">
        <f t="array" ref="AC440">(SUMPRODUCT((H440:O440/H$9:O$9)^H$7:O$7*H$2:O$2)+SUMPRODUCT((Q440:T440/Q$9:T$9)^Q$7:T$7*Q$2:T$2))*(0.8^(1-G440))*AC$9</f>
        <v>2.8170834746675095</v>
      </c>
      <c r="AD440" s="48" cm="1">
        <f t="array" ref="AD440">(SUMPRODUCT((H440:O440/H$9:O$9)^H$7:O$7*H$3:O$3)+SUMPRODUCT((Q440:T440/Q$9:T$9)^Q$7:T$7*Q$3:T$3))*(0.1^(1-G440))*AD$9</f>
        <v>3.709470070073972</v>
      </c>
      <c r="AE440" s="48" cm="1">
        <f t="array" ref="AE440">(SUMPRODUCT((H440:O440/H$9:O$9)^H$7:O$7*H$4:O$4)+SUMPRODUCT((Q440:T440/Q$9:T$9)^Q$7:T$7*Q$4:T$4))*AE$9</f>
        <v>3.2776618457803504</v>
      </c>
      <c r="AF440" s="47" cm="1">
        <f t="array" ref="AF440">(SUMPRODUCT((H440:O440/H$9:O$9)^H$7:O$7*H$5:O$5)+SUMPRODUCT((Q440:T440/Q$9:T$9)^Q$7:T$7*Q$5:T$5))*AF$9</f>
        <v>3.0744653579369166</v>
      </c>
      <c r="AG440" s="50" cm="1">
        <f t="array" ref="AG440">SUMPRODUCT(AC440:AF440 * AC$3:AF$3) / SUM(AC$3:AF$3)</f>
        <v>3.4069261605618726</v>
      </c>
    </row>
    <row r="441" spans="1:33" x14ac:dyDescent="0.25">
      <c r="A441" s="81" t="s">
        <v>2060</v>
      </c>
      <c r="B441" s="20" t="s">
        <v>2062</v>
      </c>
      <c r="C441" s="4" t="s">
        <v>8853</v>
      </c>
      <c r="D441" s="4" t="str">
        <f t="shared" si="6"/>
        <v>ASUS</v>
      </c>
      <c r="E441" s="4" t="s">
        <v>8855</v>
      </c>
      <c r="F441" s="14" t="s">
        <v>8881</v>
      </c>
      <c r="G441" s="9">
        <v>1</v>
      </c>
      <c r="H441" s="1">
        <v>54.07</v>
      </c>
      <c r="I441" s="1">
        <v>54.07</v>
      </c>
      <c r="J441" s="1">
        <v>0.84</v>
      </c>
      <c r="K441" s="3">
        <v>1438</v>
      </c>
      <c r="L441" s="13">
        <v>2640</v>
      </c>
      <c r="M441" s="49">
        <v>246.9</v>
      </c>
      <c r="N441" s="1">
        <v>801.6</v>
      </c>
      <c r="O441" s="3">
        <v>76</v>
      </c>
      <c r="P441" s="11" t="s">
        <v>2276</v>
      </c>
      <c r="Q441" s="3">
        <v>16</v>
      </c>
      <c r="R441" s="3">
        <v>256</v>
      </c>
      <c r="S441" s="22">
        <v>23</v>
      </c>
      <c r="T441" s="9">
        <v>320</v>
      </c>
      <c r="U441" s="14" t="s">
        <v>471</v>
      </c>
      <c r="V441" s="12">
        <v>4</v>
      </c>
      <c r="W441" s="75">
        <v>16</v>
      </c>
      <c r="X441" s="76">
        <v>16</v>
      </c>
      <c r="Y441" s="9">
        <v>2750.4</v>
      </c>
      <c r="Z441" s="3">
        <v>2750.4</v>
      </c>
      <c r="AA441" s="17" t="s">
        <v>2061</v>
      </c>
      <c r="AB441" s="18" t="s">
        <v>2060</v>
      </c>
      <c r="AC441" s="46" cm="1">
        <f t="array" ref="AC441">(SUMPRODUCT((H441:O441/H$9:O$9)^H$7:O$7*H$2:O$2)+SUMPRODUCT((Q441:T441/Q$9:T$9)^Q$7:T$7*Q$2:T$2))*(0.8^(1-G441))*AC$9</f>
        <v>2.9576128761070031</v>
      </c>
      <c r="AD441" s="48" cm="1">
        <f t="array" ref="AD441">(SUMPRODUCT((H441:O441/H$9:O$9)^H$7:O$7*H$3:O$3)+SUMPRODUCT((Q441:T441/Q$9:T$9)^Q$7:T$7*Q$3:T$3))*(0.1^(1-G441))*AD$9</f>
        <v>3.988674673507596</v>
      </c>
      <c r="AE441" s="48" cm="1">
        <f t="array" ref="AE441">(SUMPRODUCT((H441:O441/H$9:O$9)^H$7:O$7*H$4:O$4)+SUMPRODUCT((Q441:T441/Q$9:T$9)^Q$7:T$7*Q$4:T$4))*AE$9</f>
        <v>3.5020804310135736</v>
      </c>
      <c r="AF441" s="47" cm="1">
        <f t="array" ref="AF441">(SUMPRODUCT((H441:O441/H$9:O$9)^H$7:O$7*H$5:O$5)+SUMPRODUCT((Q441:T441/Q$9:T$9)^Q$7:T$7*Q$5:T$5))*AF$9</f>
        <v>3.2661340308337596</v>
      </c>
      <c r="AG441" s="50" cm="1">
        <f t="array" ref="AG441">SUMPRODUCT(AC441:AF441 * AC$3:AF$3) / SUM(AC$3:AF$3)</f>
        <v>3.6423415732180775</v>
      </c>
    </row>
    <row r="442" spans="1:33" x14ac:dyDescent="0.25">
      <c r="A442" s="81" t="s">
        <v>1994</v>
      </c>
      <c r="B442" s="20" t="s">
        <v>1996</v>
      </c>
      <c r="C442" s="4" t="s">
        <v>8853</v>
      </c>
      <c r="D442" s="4" t="str">
        <f t="shared" si="6"/>
        <v>ASUS</v>
      </c>
      <c r="E442" s="4" t="s">
        <v>8855</v>
      </c>
      <c r="F442" s="14" t="s">
        <v>8881</v>
      </c>
      <c r="G442" s="9">
        <v>1</v>
      </c>
      <c r="H442" s="1">
        <v>54.07</v>
      </c>
      <c r="I442" s="1">
        <v>54.07</v>
      </c>
      <c r="J442" s="1">
        <v>0.84</v>
      </c>
      <c r="K442" s="3">
        <v>1438</v>
      </c>
      <c r="L442" s="13">
        <v>2640</v>
      </c>
      <c r="M442" s="49">
        <v>246.9</v>
      </c>
      <c r="N442" s="1">
        <v>801.6</v>
      </c>
      <c r="O442" s="3">
        <v>76</v>
      </c>
      <c r="P442" s="11" t="s">
        <v>2276</v>
      </c>
      <c r="Q442" s="3">
        <v>16</v>
      </c>
      <c r="R442" s="3">
        <v>256</v>
      </c>
      <c r="S442" s="22">
        <v>23</v>
      </c>
      <c r="T442" s="9">
        <v>320</v>
      </c>
      <c r="U442" s="14" t="s">
        <v>471</v>
      </c>
      <c r="V442" s="12">
        <v>4</v>
      </c>
      <c r="W442" s="75">
        <v>16</v>
      </c>
      <c r="X442" s="76">
        <v>16</v>
      </c>
      <c r="Y442" s="9">
        <v>2262.09</v>
      </c>
      <c r="Z442" s="3">
        <v>2999</v>
      </c>
      <c r="AA442" s="17" t="s">
        <v>1995</v>
      </c>
      <c r="AB442" s="18" t="s">
        <v>1994</v>
      </c>
      <c r="AC442" s="46" cm="1">
        <f t="array" ref="AC442">(SUMPRODUCT((H442:O442/H$9:O$9)^H$7:O$7*H$2:O$2)+SUMPRODUCT((Q442:T442/Q$9:T$9)^Q$7:T$7*Q$2:T$2))*(0.8^(1-G442))*AC$9</f>
        <v>2.9576128761070031</v>
      </c>
      <c r="AD442" s="48" cm="1">
        <f t="array" ref="AD442">(SUMPRODUCT((H442:O442/H$9:O$9)^H$7:O$7*H$3:O$3)+SUMPRODUCT((Q442:T442/Q$9:T$9)^Q$7:T$7*Q$3:T$3))*(0.1^(1-G442))*AD$9</f>
        <v>3.988674673507596</v>
      </c>
      <c r="AE442" s="48" cm="1">
        <f t="array" ref="AE442">(SUMPRODUCT((H442:O442/H$9:O$9)^H$7:O$7*H$4:O$4)+SUMPRODUCT((Q442:T442/Q$9:T$9)^Q$7:T$7*Q$4:T$4))*AE$9</f>
        <v>3.5020804310135736</v>
      </c>
      <c r="AF442" s="47" cm="1">
        <f t="array" ref="AF442">(SUMPRODUCT((H442:O442/H$9:O$9)^H$7:O$7*H$5:O$5)+SUMPRODUCT((Q442:T442/Q$9:T$9)^Q$7:T$7*Q$5:T$5))*AF$9</f>
        <v>3.2661340308337596</v>
      </c>
      <c r="AG442" s="50" cm="1">
        <f t="array" ref="AG442">SUMPRODUCT(AC442:AF442 * AC$3:AF$3) / SUM(AC$3:AF$3)</f>
        <v>3.6423415732180775</v>
      </c>
    </row>
    <row r="443" spans="1:33" x14ac:dyDescent="0.25">
      <c r="A443" s="81" t="s">
        <v>1761</v>
      </c>
      <c r="B443" s="20" t="s">
        <v>1763</v>
      </c>
      <c r="C443" s="4" t="s">
        <v>8853</v>
      </c>
      <c r="D443" s="4" t="str">
        <f t="shared" si="6"/>
        <v>ASUS</v>
      </c>
      <c r="E443" s="4" t="s">
        <v>8855</v>
      </c>
      <c r="F443" s="14" t="s">
        <v>8881</v>
      </c>
      <c r="G443" s="9">
        <v>1</v>
      </c>
      <c r="H443" s="1">
        <v>54.07</v>
      </c>
      <c r="I443" s="1">
        <v>54.07</v>
      </c>
      <c r="J443" s="1">
        <v>0.84</v>
      </c>
      <c r="K443" s="3">
        <v>1438</v>
      </c>
      <c r="L443" s="13">
        <v>2640</v>
      </c>
      <c r="M443" s="49">
        <v>246.9</v>
      </c>
      <c r="N443" s="1">
        <v>801.6</v>
      </c>
      <c r="O443" s="3">
        <v>76</v>
      </c>
      <c r="P443" s="11" t="s">
        <v>2276</v>
      </c>
      <c r="Q443" s="3">
        <v>16</v>
      </c>
      <c r="R443" s="3">
        <v>256</v>
      </c>
      <c r="S443" s="22">
        <v>23</v>
      </c>
      <c r="T443" s="9">
        <v>320</v>
      </c>
      <c r="U443" s="14" t="s">
        <v>471</v>
      </c>
      <c r="V443" s="12">
        <v>4</v>
      </c>
      <c r="W443" s="75">
        <v>16</v>
      </c>
      <c r="X443" s="76">
        <v>16</v>
      </c>
      <c r="Y443" s="9">
        <v>2499.9</v>
      </c>
      <c r="Z443" s="3">
        <v>2540.25</v>
      </c>
      <c r="AA443" s="17" t="s">
        <v>1762</v>
      </c>
      <c r="AB443" s="18" t="s">
        <v>1761</v>
      </c>
      <c r="AC443" s="46" cm="1">
        <f t="array" ref="AC443">(SUMPRODUCT((H443:O443/H$9:O$9)^H$7:O$7*H$2:O$2)+SUMPRODUCT((Q443:T443/Q$9:T$9)^Q$7:T$7*Q$2:T$2))*(0.8^(1-G443))*AC$9</f>
        <v>2.9576128761070031</v>
      </c>
      <c r="AD443" s="48" cm="1">
        <f t="array" ref="AD443">(SUMPRODUCT((H443:O443/H$9:O$9)^H$7:O$7*H$3:O$3)+SUMPRODUCT((Q443:T443/Q$9:T$9)^Q$7:T$7*Q$3:T$3))*(0.1^(1-G443))*AD$9</f>
        <v>3.988674673507596</v>
      </c>
      <c r="AE443" s="48" cm="1">
        <f t="array" ref="AE443">(SUMPRODUCT((H443:O443/H$9:O$9)^H$7:O$7*H$4:O$4)+SUMPRODUCT((Q443:T443/Q$9:T$9)^Q$7:T$7*Q$4:T$4))*AE$9</f>
        <v>3.5020804310135736</v>
      </c>
      <c r="AF443" s="47" cm="1">
        <f t="array" ref="AF443">(SUMPRODUCT((H443:O443/H$9:O$9)^H$7:O$7*H$5:O$5)+SUMPRODUCT((Q443:T443/Q$9:T$9)^Q$7:T$7*Q$5:T$5))*AF$9</f>
        <v>3.2661340308337596</v>
      </c>
      <c r="AG443" s="50" cm="1">
        <f t="array" ref="AG443">SUMPRODUCT(AC443:AF443 * AC$3:AF$3) / SUM(AC$3:AF$3)</f>
        <v>3.6423415732180775</v>
      </c>
    </row>
    <row r="444" spans="1:33" x14ac:dyDescent="0.25">
      <c r="A444" s="81" t="s">
        <v>1758</v>
      </c>
      <c r="B444" s="20" t="s">
        <v>1760</v>
      </c>
      <c r="C444" s="4" t="s">
        <v>8853</v>
      </c>
      <c r="D444" s="4" t="str">
        <f t="shared" si="6"/>
        <v>ASUS</v>
      </c>
      <c r="E444" s="4" t="s">
        <v>8855</v>
      </c>
      <c r="F444" s="14" t="s">
        <v>8881</v>
      </c>
      <c r="G444" s="9">
        <v>1</v>
      </c>
      <c r="H444" s="1">
        <v>52.84</v>
      </c>
      <c r="I444" s="1">
        <v>52.84</v>
      </c>
      <c r="J444" s="1">
        <v>0.83</v>
      </c>
      <c r="K444" s="3">
        <v>1438</v>
      </c>
      <c r="L444" s="13">
        <v>2580</v>
      </c>
      <c r="M444" s="49">
        <v>246.9</v>
      </c>
      <c r="N444" s="1">
        <v>801.6</v>
      </c>
      <c r="O444" s="3">
        <v>76</v>
      </c>
      <c r="P444" s="11" t="s">
        <v>2276</v>
      </c>
      <c r="Q444" s="3">
        <v>16</v>
      </c>
      <c r="R444" s="3">
        <v>256</v>
      </c>
      <c r="S444" s="22">
        <v>23</v>
      </c>
      <c r="T444" s="9">
        <v>320</v>
      </c>
      <c r="U444" s="14" t="s">
        <v>471</v>
      </c>
      <c r="V444" s="12">
        <v>4</v>
      </c>
      <c r="W444" s="75">
        <v>16</v>
      </c>
      <c r="X444" s="76">
        <v>16</v>
      </c>
      <c r="Y444" s="9">
        <v>1417.86</v>
      </c>
      <c r="Z444" s="3">
        <v>2508.2399999999998</v>
      </c>
      <c r="AA444" s="17" t="s">
        <v>1759</v>
      </c>
      <c r="AB444" s="18" t="s">
        <v>1758</v>
      </c>
      <c r="AC444" s="46" cm="1">
        <f t="array" ref="AC444">(SUMPRODUCT((H444:O444/H$9:O$9)^H$7:O$7*H$2:O$2)+SUMPRODUCT((Q444:T444/Q$9:T$9)^Q$7:T$7*Q$2:T$2))*(0.8^(1-G444))*AC$9</f>
        <v>2.9438139600523003</v>
      </c>
      <c r="AD444" s="48" cm="1">
        <f t="array" ref="AD444">(SUMPRODUCT((H444:O444/H$9:O$9)^H$7:O$7*H$3:O$3)+SUMPRODUCT((Q444:T444/Q$9:T$9)^Q$7:T$7*Q$3:T$3))*(0.1^(1-G444))*AD$9</f>
        <v>3.9265072503805802</v>
      </c>
      <c r="AE444" s="48" cm="1">
        <f t="array" ref="AE444">(SUMPRODUCT((H444:O444/H$9:O$9)^H$7:O$7*H$4:O$4)+SUMPRODUCT((Q444:T444/Q$9:T$9)^Q$7:T$7*Q$4:T$4))*AE$9</f>
        <v>3.4659487486442289</v>
      </c>
      <c r="AF444" s="47" cm="1">
        <f t="array" ref="AF444">(SUMPRODUCT((H444:O444/H$9:O$9)^H$7:O$7*H$5:O$5)+SUMPRODUCT((Q444:T444/Q$9:T$9)^Q$7:T$7*Q$5:T$5))*AF$9</f>
        <v>3.2321694678196788</v>
      </c>
      <c r="AG444" s="50" cm="1">
        <f t="array" ref="AG444">SUMPRODUCT(AC444:AF444 * AC$3:AF$3) / SUM(AC$3:AF$3)</f>
        <v>3.5958289047061225</v>
      </c>
    </row>
    <row r="445" spans="1:33" x14ac:dyDescent="0.25">
      <c r="A445" s="81" t="s">
        <v>1667</v>
      </c>
      <c r="B445" s="20" t="s">
        <v>1669</v>
      </c>
      <c r="C445" s="4" t="s">
        <v>8853</v>
      </c>
      <c r="D445" s="4" t="str">
        <f t="shared" si="6"/>
        <v>GIGABYTE</v>
      </c>
      <c r="E445" s="4" t="s">
        <v>8855</v>
      </c>
      <c r="F445" s="14" t="s">
        <v>8881</v>
      </c>
      <c r="G445" s="9">
        <v>1</v>
      </c>
      <c r="H445" s="1">
        <v>53.76</v>
      </c>
      <c r="I445" s="1">
        <v>53.76</v>
      </c>
      <c r="J445" s="1">
        <v>0.84</v>
      </c>
      <c r="K445" s="3">
        <v>1438</v>
      </c>
      <c r="L445" s="13">
        <v>2625</v>
      </c>
      <c r="M445" s="49">
        <v>246.9</v>
      </c>
      <c r="N445" s="1">
        <v>801.6</v>
      </c>
      <c r="O445" s="3">
        <v>76</v>
      </c>
      <c r="P445" s="11" t="s">
        <v>2276</v>
      </c>
      <c r="Q445" s="3">
        <v>16</v>
      </c>
      <c r="R445" s="3">
        <v>256</v>
      </c>
      <c r="S445" s="22">
        <v>23</v>
      </c>
      <c r="T445" s="9">
        <v>320</v>
      </c>
      <c r="U445" s="14" t="s">
        <v>471</v>
      </c>
      <c r="V445" s="12">
        <v>4</v>
      </c>
      <c r="W445" s="75">
        <v>16</v>
      </c>
      <c r="X445" s="76">
        <v>16</v>
      </c>
      <c r="Y445" s="9">
        <v>2526.8000000000002</v>
      </c>
      <c r="Z445" s="3">
        <v>2526.8000000000002</v>
      </c>
      <c r="AA445" s="17" t="s">
        <v>1668</v>
      </c>
      <c r="AB445" s="18" t="s">
        <v>1667</v>
      </c>
      <c r="AC445" s="46" cm="1">
        <f t="array" ref="AC445">(SUMPRODUCT((H445:O445/H$9:O$9)^H$7:O$7*H$2:O$2)+SUMPRODUCT((Q445:T445/Q$9:T$9)^Q$7:T$7*Q$2:T$2))*(0.8^(1-G445))*AC$9</f>
        <v>2.9541531420474154</v>
      </c>
      <c r="AD445" s="48" cm="1">
        <f t="array" ref="AD445">(SUMPRODUCT((H445:O445/H$9:O$9)^H$7:O$7*H$3:O$3)+SUMPRODUCT((Q445:T445/Q$9:T$9)^Q$7:T$7*Q$3:T$3))*(0.1^(1-G445))*AD$9</f>
        <v>3.9736369763537849</v>
      </c>
      <c r="AE445" s="48" cm="1">
        <f t="array" ref="AE445">(SUMPRODUCT((H445:O445/H$9:O$9)^H$7:O$7*H$4:O$4)+SUMPRODUCT((Q445:T445/Q$9:T$9)^Q$7:T$7*Q$4:T$4))*AE$9</f>
        <v>3.4972554608150843</v>
      </c>
      <c r="AF445" s="47" cm="1">
        <f t="array" ref="AF445">(SUMPRODUCT((H445:O445/H$9:O$9)^H$7:O$7*H$5:O$5)+SUMPRODUCT((Q445:T445/Q$9:T$9)^Q$7:T$7*Q$5:T$5))*AF$9</f>
        <v>3.2575878194011025</v>
      </c>
      <c r="AG445" s="50" cm="1">
        <f t="array" ref="AG445">SUMPRODUCT(AC445:AF445 * AC$3:AF$3) / SUM(AC$3:AF$3)</f>
        <v>3.6314501983063092</v>
      </c>
    </row>
    <row r="446" spans="1:33" x14ac:dyDescent="0.25">
      <c r="A446" s="81" t="s">
        <v>1430</v>
      </c>
      <c r="B446" s="20" t="s">
        <v>1432</v>
      </c>
      <c r="C446" s="4" t="s">
        <v>8853</v>
      </c>
      <c r="D446" s="4" t="str">
        <f t="shared" si="6"/>
        <v>GIGABYTE</v>
      </c>
      <c r="E446" s="4" t="s">
        <v>8855</v>
      </c>
      <c r="F446" s="14" t="s">
        <v>8881</v>
      </c>
      <c r="G446" s="9">
        <v>1</v>
      </c>
      <c r="H446" s="1">
        <v>53.15</v>
      </c>
      <c r="I446" s="1">
        <v>53.15</v>
      </c>
      <c r="J446" s="1">
        <v>0.83</v>
      </c>
      <c r="K446" s="3">
        <v>1438</v>
      </c>
      <c r="L446" s="13">
        <v>2595</v>
      </c>
      <c r="M446" s="49">
        <v>246.9</v>
      </c>
      <c r="N446" s="1">
        <v>801.6</v>
      </c>
      <c r="O446" s="3">
        <v>76</v>
      </c>
      <c r="P446" s="11" t="s">
        <v>2276</v>
      </c>
      <c r="Q446" s="3">
        <v>16</v>
      </c>
      <c r="R446" s="3">
        <v>256</v>
      </c>
      <c r="S446" s="22">
        <v>23</v>
      </c>
      <c r="T446" s="9">
        <v>320</v>
      </c>
      <c r="U446" s="14" t="s">
        <v>471</v>
      </c>
      <c r="V446" s="12">
        <v>4</v>
      </c>
      <c r="W446" s="75">
        <v>16</v>
      </c>
      <c r="X446" s="76">
        <v>16</v>
      </c>
      <c r="Y446" s="9">
        <v>1609</v>
      </c>
      <c r="Z446" s="3">
        <v>2347.89</v>
      </c>
      <c r="AA446" s="17" t="s">
        <v>1431</v>
      </c>
      <c r="AB446" s="18" t="s">
        <v>1430</v>
      </c>
      <c r="AC446" s="46" cm="1">
        <f t="array" ref="AC446">(SUMPRODUCT((H446:O446/H$9:O$9)^H$7:O$7*H$2:O$2)+SUMPRODUCT((Q446:T446/Q$9:T$9)^Q$7:T$7*Q$2:T$2))*(0.8^(1-G446))*AC$9</f>
        <v>2.9472796595451456</v>
      </c>
      <c r="AD446" s="48" cm="1">
        <f t="array" ref="AD446">(SUMPRODUCT((H446:O446/H$9:O$9)^H$7:O$7*H$3:O$3)+SUMPRODUCT((Q446:T446/Q$9:T$9)^Q$7:T$7*Q$3:T$3))*(0.1^(1-G446))*AD$9</f>
        <v>3.9415779538882814</v>
      </c>
      <c r="AE446" s="48" cm="1">
        <f t="array" ref="AE446">(SUMPRODUCT((H446:O446/H$9:O$9)^H$7:O$7*H$4:O$4)+SUMPRODUCT((Q446:T446/Q$9:T$9)^Q$7:T$7*Q$4:T$4))*AE$9</f>
        <v>3.4707820303536168</v>
      </c>
      <c r="AF446" s="47" cm="1">
        <f t="array" ref="AF446">(SUMPRODUCT((H446:O446/H$9:O$9)^H$7:O$7*H$5:O$5)+SUMPRODUCT((Q446:T446/Q$9:T$9)^Q$7:T$7*Q$5:T$5))*AF$9</f>
        <v>3.2407315867976232</v>
      </c>
      <c r="AG446" s="50" cm="1">
        <f t="array" ref="AG446">SUMPRODUCT(AC446:AF446 * AC$3:AF$3) / SUM(AC$3:AF$3)</f>
        <v>3.6067431854787975</v>
      </c>
    </row>
    <row r="447" spans="1:33" x14ac:dyDescent="0.25">
      <c r="A447" s="81" t="s">
        <v>1427</v>
      </c>
      <c r="B447" s="20" t="s">
        <v>1429</v>
      </c>
      <c r="C447" s="4" t="s">
        <v>8853</v>
      </c>
      <c r="D447" s="4" t="str">
        <f t="shared" si="6"/>
        <v>GIGABYTE</v>
      </c>
      <c r="E447" s="4" t="s">
        <v>8855</v>
      </c>
      <c r="F447" s="14" t="s">
        <v>8881</v>
      </c>
      <c r="G447" s="9">
        <v>1</v>
      </c>
      <c r="H447" s="1">
        <v>53.15</v>
      </c>
      <c r="I447" s="1">
        <v>53.15</v>
      </c>
      <c r="J447" s="1">
        <v>0.83</v>
      </c>
      <c r="K447" s="3">
        <v>1438</v>
      </c>
      <c r="L447" s="13">
        <v>2595</v>
      </c>
      <c r="M447" s="49">
        <v>246.9</v>
      </c>
      <c r="N447" s="1">
        <v>801.6</v>
      </c>
      <c r="O447" s="3">
        <v>76</v>
      </c>
      <c r="P447" s="11" t="s">
        <v>2276</v>
      </c>
      <c r="Q447" s="3">
        <v>16</v>
      </c>
      <c r="R447" s="3">
        <v>256</v>
      </c>
      <c r="S447" s="22">
        <v>23</v>
      </c>
      <c r="T447" s="9">
        <v>320</v>
      </c>
      <c r="U447" s="14" t="s">
        <v>471</v>
      </c>
      <c r="V447" s="12">
        <v>4</v>
      </c>
      <c r="W447" s="75">
        <v>16</v>
      </c>
      <c r="X447" s="76">
        <v>16</v>
      </c>
      <c r="Y447" s="9">
        <v>2326.25</v>
      </c>
      <c r="Z447" s="3">
        <v>2326.25</v>
      </c>
      <c r="AA447" s="17" t="s">
        <v>1428</v>
      </c>
      <c r="AB447" s="18" t="s">
        <v>1427</v>
      </c>
      <c r="AC447" s="46" cm="1">
        <f t="array" ref="AC447">(SUMPRODUCT((H447:O447/H$9:O$9)^H$7:O$7*H$2:O$2)+SUMPRODUCT((Q447:T447/Q$9:T$9)^Q$7:T$7*Q$2:T$2))*(0.8^(1-G447))*AC$9</f>
        <v>2.9472796595451456</v>
      </c>
      <c r="AD447" s="48" cm="1">
        <f t="array" ref="AD447">(SUMPRODUCT((H447:O447/H$9:O$9)^H$7:O$7*H$3:O$3)+SUMPRODUCT((Q447:T447/Q$9:T$9)^Q$7:T$7*Q$3:T$3))*(0.1^(1-G447))*AD$9</f>
        <v>3.9415779538882814</v>
      </c>
      <c r="AE447" s="48" cm="1">
        <f t="array" ref="AE447">(SUMPRODUCT((H447:O447/H$9:O$9)^H$7:O$7*H$4:O$4)+SUMPRODUCT((Q447:T447/Q$9:T$9)^Q$7:T$7*Q$4:T$4))*AE$9</f>
        <v>3.4707820303536168</v>
      </c>
      <c r="AF447" s="47" cm="1">
        <f t="array" ref="AF447">(SUMPRODUCT((H447:O447/H$9:O$9)^H$7:O$7*H$5:O$5)+SUMPRODUCT((Q447:T447/Q$9:T$9)^Q$7:T$7*Q$5:T$5))*AF$9</f>
        <v>3.2407315867976232</v>
      </c>
      <c r="AG447" s="50" cm="1">
        <f t="array" ref="AG447">SUMPRODUCT(AC447:AF447 * AC$3:AF$3) / SUM(AC$3:AF$3)</f>
        <v>3.6067431854787975</v>
      </c>
    </row>
    <row r="448" spans="1:33" x14ac:dyDescent="0.25">
      <c r="A448" s="81" t="s">
        <v>1424</v>
      </c>
      <c r="B448" s="20" t="s">
        <v>1426</v>
      </c>
      <c r="C448" s="4" t="s">
        <v>8853</v>
      </c>
      <c r="D448" s="4" t="str">
        <f t="shared" si="6"/>
        <v>GIGABYTE</v>
      </c>
      <c r="E448" s="4" t="s">
        <v>8855</v>
      </c>
      <c r="F448" s="14" t="s">
        <v>8881</v>
      </c>
      <c r="G448" s="9">
        <v>1</v>
      </c>
      <c r="H448" s="1">
        <v>52.22</v>
      </c>
      <c r="I448" s="1">
        <v>52.22</v>
      </c>
      <c r="J448" s="1">
        <v>0.82</v>
      </c>
      <c r="K448" s="3">
        <v>1438</v>
      </c>
      <c r="L448" s="13">
        <v>2550</v>
      </c>
      <c r="M448" s="49">
        <v>246.9</v>
      </c>
      <c r="N448" s="1">
        <v>801.6</v>
      </c>
      <c r="O448" s="3">
        <v>76</v>
      </c>
      <c r="P448" s="11" t="s">
        <v>2276</v>
      </c>
      <c r="Q448" s="3">
        <v>16</v>
      </c>
      <c r="R448" s="3">
        <v>256</v>
      </c>
      <c r="S448" s="22">
        <v>23</v>
      </c>
      <c r="T448" s="9">
        <v>320</v>
      </c>
      <c r="U448" s="14" t="s">
        <v>471</v>
      </c>
      <c r="V448" s="12">
        <v>4</v>
      </c>
      <c r="W448" s="75">
        <v>16</v>
      </c>
      <c r="X448" s="76">
        <v>16</v>
      </c>
      <c r="Y448" s="9">
        <v>2205.5100000000002</v>
      </c>
      <c r="Z448" s="3">
        <v>2205.5100000000002</v>
      </c>
      <c r="AA448" s="17" t="s">
        <v>1425</v>
      </c>
      <c r="AB448" s="18" t="s">
        <v>1424</v>
      </c>
      <c r="AC448" s="46" cm="1">
        <f t="array" ref="AC448">(SUMPRODUCT((H448:O448/H$9:O$9)^H$7:O$7*H$2:O$2)+SUMPRODUCT((Q448:T448/Q$9:T$9)^Q$7:T$7*Q$2:T$2))*(0.8^(1-G448))*AC$9</f>
        <v>2.9368764758268684</v>
      </c>
      <c r="AD448" s="48" cm="1">
        <f t="array" ref="AD448">(SUMPRODUCT((H448:O448/H$9:O$9)^H$7:O$7*H$3:O$3)+SUMPRODUCT((Q448:T448/Q$9:T$9)^Q$7:T$7*Q$3:T$3))*(0.1^(1-G448))*AD$9</f>
        <v>3.893901694332031</v>
      </c>
      <c r="AE448" s="48" cm="1">
        <f t="array" ref="AE448">(SUMPRODUCT((H448:O448/H$9:O$9)^H$7:O$7*H$4:O$4)+SUMPRODUCT((Q448:T448/Q$9:T$9)^Q$7:T$7*Q$4:T$4))*AE$9</f>
        <v>3.439261721874924</v>
      </c>
      <c r="AF448" s="47" cm="1">
        <f t="array" ref="AF448">(SUMPRODUCT((H448:O448/H$9:O$9)^H$7:O$7*H$5:O$5)+SUMPRODUCT((Q448:T448/Q$9:T$9)^Q$7:T$7*Q$5:T$5))*AF$9</f>
        <v>3.2150289202553575</v>
      </c>
      <c r="AG448" s="50" cm="1">
        <f t="array" ref="AG448">SUMPRODUCT(AC448:AF448 * AC$3:AF$3) / SUM(AC$3:AF$3)</f>
        <v>3.5707364764064908</v>
      </c>
    </row>
    <row r="449" spans="1:33" x14ac:dyDescent="0.25">
      <c r="A449" s="81" t="s">
        <v>1185</v>
      </c>
      <c r="B449" s="20" t="s">
        <v>1187</v>
      </c>
      <c r="C449" s="4" t="s">
        <v>8853</v>
      </c>
      <c r="D449" s="4" t="str">
        <f t="shared" si="6"/>
        <v>INNO3D</v>
      </c>
      <c r="E449" s="4" t="s">
        <v>8855</v>
      </c>
      <c r="F449" s="14" t="s">
        <v>8881</v>
      </c>
      <c r="G449" s="9">
        <v>1</v>
      </c>
      <c r="H449" s="1">
        <v>53.45</v>
      </c>
      <c r="I449" s="1">
        <v>53.45</v>
      </c>
      <c r="J449" s="1">
        <v>0.84</v>
      </c>
      <c r="K449" s="3">
        <v>1438</v>
      </c>
      <c r="L449" s="13">
        <v>2610</v>
      </c>
      <c r="M449" s="49">
        <v>246.9</v>
      </c>
      <c r="N449" s="1">
        <v>801.6</v>
      </c>
      <c r="O449" s="3">
        <v>76</v>
      </c>
      <c r="P449" s="11" t="s">
        <v>2276</v>
      </c>
      <c r="Q449" s="3">
        <v>16</v>
      </c>
      <c r="R449" s="3">
        <v>256</v>
      </c>
      <c r="S449" s="22">
        <v>23</v>
      </c>
      <c r="T449" s="9">
        <v>320</v>
      </c>
      <c r="U449" s="14" t="s">
        <v>471</v>
      </c>
      <c r="V449" s="12">
        <v>4</v>
      </c>
      <c r="W449" s="75">
        <v>16</v>
      </c>
      <c r="X449" s="76">
        <v>16</v>
      </c>
      <c r="Y449" s="9">
        <v>2488.06</v>
      </c>
      <c r="Z449" s="3">
        <v>2488.06</v>
      </c>
      <c r="AA449" s="17" t="s">
        <v>1186</v>
      </c>
      <c r="AB449" s="18" t="s">
        <v>1185</v>
      </c>
      <c r="AC449" s="46" cm="1">
        <f t="array" ref="AC449">(SUMPRODUCT((H449:O449/H$9:O$9)^H$7:O$7*H$2:O$2)+SUMPRODUCT((Q449:T449/Q$9:T$9)^Q$7:T$7*Q$2:T$2))*(0.8^(1-G449))*AC$9</f>
        <v>2.9506914220390312</v>
      </c>
      <c r="AD449" s="48" cm="1">
        <f t="array" ref="AD449">(SUMPRODUCT((H449:O449/H$9:O$9)^H$7:O$7*H$3:O$3)+SUMPRODUCT((Q449:T449/Q$9:T$9)^Q$7:T$7*Q$3:T$3))*(0.1^(1-G449))*AD$9</f>
        <v>3.9585882315116687</v>
      </c>
      <c r="AE449" s="48" cm="1">
        <f t="array" ref="AE449">(SUMPRODUCT((H449:O449/H$9:O$9)^H$7:O$7*H$4:O$4)+SUMPRODUCT((Q449:T449/Q$9:T$9)^Q$7:T$7*Q$4:T$4))*AE$9</f>
        <v>3.4924277075421859</v>
      </c>
      <c r="AF449" s="47" cm="1">
        <f t="array" ref="AF449">(SUMPRODUCT((H449:O449/H$9:O$9)^H$7:O$7*H$5:O$5)+SUMPRODUCT((Q449:T449/Q$9:T$9)^Q$7:T$7*Q$5:T$5))*AF$9</f>
        <v>3.2490362863544764</v>
      </c>
      <c r="AG449" s="50" cm="1">
        <f t="array" ref="AG449">SUMPRODUCT(AC449:AF449 * AC$3:AF$3) / SUM(AC$3:AF$3)</f>
        <v>3.6205511586323098</v>
      </c>
    </row>
    <row r="450" spans="1:33" x14ac:dyDescent="0.25">
      <c r="A450" s="81" t="s">
        <v>1182</v>
      </c>
      <c r="B450" s="20" t="s">
        <v>1184</v>
      </c>
      <c r="C450" s="4" t="s">
        <v>8853</v>
      </c>
      <c r="D450" s="4" t="str">
        <f t="shared" si="6"/>
        <v>INNO3D</v>
      </c>
      <c r="E450" s="4" t="s">
        <v>8855</v>
      </c>
      <c r="F450" s="14" t="s">
        <v>8881</v>
      </c>
      <c r="G450" s="9">
        <v>1</v>
      </c>
      <c r="H450" s="1">
        <v>53.45</v>
      </c>
      <c r="I450" s="1">
        <v>53.45</v>
      </c>
      <c r="J450" s="1">
        <v>0.84</v>
      </c>
      <c r="K450" s="3">
        <v>1438</v>
      </c>
      <c r="L450" s="13">
        <v>2610</v>
      </c>
      <c r="M450" s="49">
        <v>246.9</v>
      </c>
      <c r="N450" s="1">
        <v>801.6</v>
      </c>
      <c r="O450" s="3">
        <v>76</v>
      </c>
      <c r="P450" s="11" t="s">
        <v>2276</v>
      </c>
      <c r="Q450" s="3">
        <v>16</v>
      </c>
      <c r="R450" s="3">
        <v>256</v>
      </c>
      <c r="S450" s="22">
        <v>23</v>
      </c>
      <c r="T450" s="9">
        <v>320</v>
      </c>
      <c r="U450" s="14" t="s">
        <v>471</v>
      </c>
      <c r="V450" s="12">
        <v>4</v>
      </c>
      <c r="W450" s="75">
        <v>16</v>
      </c>
      <c r="X450" s="76">
        <v>16</v>
      </c>
      <c r="Y450" s="9">
        <v>2558.34</v>
      </c>
      <c r="Z450" s="3">
        <v>2558.34</v>
      </c>
      <c r="AA450" s="17" t="s">
        <v>1183</v>
      </c>
      <c r="AB450" s="18" t="s">
        <v>1182</v>
      </c>
      <c r="AC450" s="46" cm="1">
        <f t="array" ref="AC450">(SUMPRODUCT((H450:O450/H$9:O$9)^H$7:O$7*H$2:O$2)+SUMPRODUCT((Q450:T450/Q$9:T$9)^Q$7:T$7*Q$2:T$2))*(0.8^(1-G450))*AC$9</f>
        <v>2.9506914220390312</v>
      </c>
      <c r="AD450" s="48" cm="1">
        <f t="array" ref="AD450">(SUMPRODUCT((H450:O450/H$9:O$9)^H$7:O$7*H$3:O$3)+SUMPRODUCT((Q450:T450/Q$9:T$9)^Q$7:T$7*Q$3:T$3))*(0.1^(1-G450))*AD$9</f>
        <v>3.9585882315116687</v>
      </c>
      <c r="AE450" s="48" cm="1">
        <f t="array" ref="AE450">(SUMPRODUCT((H450:O450/H$9:O$9)^H$7:O$7*H$4:O$4)+SUMPRODUCT((Q450:T450/Q$9:T$9)^Q$7:T$7*Q$4:T$4))*AE$9</f>
        <v>3.4924277075421859</v>
      </c>
      <c r="AF450" s="47" cm="1">
        <f t="array" ref="AF450">(SUMPRODUCT((H450:O450/H$9:O$9)^H$7:O$7*H$5:O$5)+SUMPRODUCT((Q450:T450/Q$9:T$9)^Q$7:T$7*Q$5:T$5))*AF$9</f>
        <v>3.2490362863544764</v>
      </c>
      <c r="AG450" s="50" cm="1">
        <f t="array" ref="AG450">SUMPRODUCT(AC450:AF450 * AC$3:AF$3) / SUM(AC$3:AF$3)</f>
        <v>3.6205511586323098</v>
      </c>
    </row>
    <row r="451" spans="1:33" x14ac:dyDescent="0.25">
      <c r="A451" s="81" t="s">
        <v>1179</v>
      </c>
      <c r="B451" s="20" t="s">
        <v>1181</v>
      </c>
      <c r="C451" s="4" t="s">
        <v>8853</v>
      </c>
      <c r="D451" s="4" t="str">
        <f t="shared" si="6"/>
        <v>INNO3D</v>
      </c>
      <c r="E451" s="4" t="s">
        <v>8855</v>
      </c>
      <c r="F451" s="14" t="s">
        <v>8881</v>
      </c>
      <c r="G451" s="9">
        <v>1</v>
      </c>
      <c r="H451" s="1">
        <v>52.84</v>
      </c>
      <c r="I451" s="1">
        <v>52.84</v>
      </c>
      <c r="J451" s="1">
        <v>0.83</v>
      </c>
      <c r="K451" s="3">
        <v>1438</v>
      </c>
      <c r="L451" s="13">
        <v>2580</v>
      </c>
      <c r="M451" s="49">
        <v>246.9</v>
      </c>
      <c r="N451" s="1">
        <v>801.6</v>
      </c>
      <c r="O451" s="3">
        <v>76</v>
      </c>
      <c r="P451" s="11" t="s">
        <v>2276</v>
      </c>
      <c r="Q451" s="3">
        <v>16</v>
      </c>
      <c r="R451" s="3">
        <v>256</v>
      </c>
      <c r="S451" s="22">
        <v>23</v>
      </c>
      <c r="T451" s="9">
        <v>320</v>
      </c>
      <c r="U451" s="14" t="s">
        <v>471</v>
      </c>
      <c r="V451" s="12">
        <v>4</v>
      </c>
      <c r="W451" s="75">
        <v>16</v>
      </c>
      <c r="X451" s="76">
        <v>16</v>
      </c>
      <c r="Y451" s="9">
        <v>2521.54</v>
      </c>
      <c r="Z451" s="3">
        <v>2521.54</v>
      </c>
      <c r="AA451" s="17" t="s">
        <v>1180</v>
      </c>
      <c r="AB451" s="18" t="s">
        <v>1179</v>
      </c>
      <c r="AC451" s="46" cm="1">
        <f t="array" ref="AC451">(SUMPRODUCT((H451:O451/H$9:O$9)^H$7:O$7*H$2:O$2)+SUMPRODUCT((Q451:T451/Q$9:T$9)^Q$7:T$7*Q$2:T$2))*(0.8^(1-G451))*AC$9</f>
        <v>2.9438139600523003</v>
      </c>
      <c r="AD451" s="48" cm="1">
        <f t="array" ref="AD451">(SUMPRODUCT((H451:O451/H$9:O$9)^H$7:O$7*H$3:O$3)+SUMPRODUCT((Q451:T451/Q$9:T$9)^Q$7:T$7*Q$3:T$3))*(0.1^(1-G451))*AD$9</f>
        <v>3.9265072503805802</v>
      </c>
      <c r="AE451" s="48" cm="1">
        <f t="array" ref="AE451">(SUMPRODUCT((H451:O451/H$9:O$9)^H$7:O$7*H$4:O$4)+SUMPRODUCT((Q451:T451/Q$9:T$9)^Q$7:T$7*Q$4:T$4))*AE$9</f>
        <v>3.4659487486442289</v>
      </c>
      <c r="AF451" s="47" cm="1">
        <f t="array" ref="AF451">(SUMPRODUCT((H451:O451/H$9:O$9)^H$7:O$7*H$5:O$5)+SUMPRODUCT((Q451:T451/Q$9:T$9)^Q$7:T$7*Q$5:T$5))*AF$9</f>
        <v>3.2321694678196788</v>
      </c>
      <c r="AG451" s="50" cm="1">
        <f t="array" ref="AG451">SUMPRODUCT(AC451:AF451 * AC$3:AF$3) / SUM(AC$3:AF$3)</f>
        <v>3.5958289047061225</v>
      </c>
    </row>
    <row r="452" spans="1:33" x14ac:dyDescent="0.25">
      <c r="A452" s="81" t="s">
        <v>1176</v>
      </c>
      <c r="B452" s="20" t="s">
        <v>1178</v>
      </c>
      <c r="C452" s="4" t="s">
        <v>8853</v>
      </c>
      <c r="D452" s="4" t="str">
        <f t="shared" si="6"/>
        <v>INNO3D</v>
      </c>
      <c r="E452" s="4" t="s">
        <v>8855</v>
      </c>
      <c r="F452" s="14" t="s">
        <v>8881</v>
      </c>
      <c r="G452" s="9">
        <v>1</v>
      </c>
      <c r="H452" s="1">
        <v>52.22</v>
      </c>
      <c r="I452" s="1">
        <v>52.22</v>
      </c>
      <c r="J452" s="1">
        <v>0.82</v>
      </c>
      <c r="K452" s="3">
        <v>1438</v>
      </c>
      <c r="L452" s="13">
        <v>2550</v>
      </c>
      <c r="M452" s="49">
        <v>246.9</v>
      </c>
      <c r="N452" s="1">
        <v>801.6</v>
      </c>
      <c r="O452" s="3">
        <v>76</v>
      </c>
      <c r="P452" s="11" t="s">
        <v>2276</v>
      </c>
      <c r="Q452" s="3">
        <v>16</v>
      </c>
      <c r="R452" s="3">
        <v>256</v>
      </c>
      <c r="S452" s="22">
        <v>23</v>
      </c>
      <c r="T452" s="9">
        <v>320</v>
      </c>
      <c r="U452" s="14" t="s">
        <v>471</v>
      </c>
      <c r="V452" s="12">
        <v>4</v>
      </c>
      <c r="W452" s="75">
        <v>16</v>
      </c>
      <c r="X452" s="76">
        <v>16</v>
      </c>
      <c r="Y452" s="9">
        <v>2309.5100000000002</v>
      </c>
      <c r="Z452" s="3">
        <v>2442.62</v>
      </c>
      <c r="AA452" s="17" t="s">
        <v>1177</v>
      </c>
      <c r="AB452" s="18" t="s">
        <v>1176</v>
      </c>
      <c r="AC452" s="46" cm="1">
        <f t="array" ref="AC452">(SUMPRODUCT((H452:O452/H$9:O$9)^H$7:O$7*H$2:O$2)+SUMPRODUCT((Q452:T452/Q$9:T$9)^Q$7:T$7*Q$2:T$2))*(0.8^(1-G452))*AC$9</f>
        <v>2.9368764758268684</v>
      </c>
      <c r="AD452" s="48" cm="1">
        <f t="array" ref="AD452">(SUMPRODUCT((H452:O452/H$9:O$9)^H$7:O$7*H$3:O$3)+SUMPRODUCT((Q452:T452/Q$9:T$9)^Q$7:T$7*Q$3:T$3))*(0.1^(1-G452))*AD$9</f>
        <v>3.893901694332031</v>
      </c>
      <c r="AE452" s="48" cm="1">
        <f t="array" ref="AE452">(SUMPRODUCT((H452:O452/H$9:O$9)^H$7:O$7*H$4:O$4)+SUMPRODUCT((Q452:T452/Q$9:T$9)^Q$7:T$7*Q$4:T$4))*AE$9</f>
        <v>3.439261721874924</v>
      </c>
      <c r="AF452" s="47" cm="1">
        <f t="array" ref="AF452">(SUMPRODUCT((H452:O452/H$9:O$9)^H$7:O$7*H$5:O$5)+SUMPRODUCT((Q452:T452/Q$9:T$9)^Q$7:T$7*Q$5:T$5))*AF$9</f>
        <v>3.2150289202553575</v>
      </c>
      <c r="AG452" s="50" cm="1">
        <f t="array" ref="AG452">SUMPRODUCT(AC452:AF452 * AC$3:AF$3) / SUM(AC$3:AF$3)</f>
        <v>3.5707364764064908</v>
      </c>
    </row>
    <row r="453" spans="1:33" x14ac:dyDescent="0.25">
      <c r="A453" s="81" t="s">
        <v>936</v>
      </c>
      <c r="B453" s="20" t="s">
        <v>450</v>
      </c>
      <c r="C453" s="4" t="s">
        <v>8853</v>
      </c>
      <c r="D453" s="4" t="str">
        <f t="shared" si="6"/>
        <v>MSI</v>
      </c>
      <c r="E453" s="4" t="s">
        <v>8855</v>
      </c>
      <c r="F453" s="14" t="s">
        <v>8881</v>
      </c>
      <c r="G453" s="9">
        <v>1</v>
      </c>
      <c r="H453" s="1">
        <v>53.76</v>
      </c>
      <c r="I453" s="1">
        <v>53.76</v>
      </c>
      <c r="J453" s="1">
        <v>0.84</v>
      </c>
      <c r="K453" s="3">
        <v>1438</v>
      </c>
      <c r="L453" s="13">
        <v>2625</v>
      </c>
      <c r="M453" s="49">
        <v>246.9</v>
      </c>
      <c r="N453" s="1">
        <v>801.6</v>
      </c>
      <c r="O453" s="3">
        <v>76</v>
      </c>
      <c r="P453" s="11" t="s">
        <v>2276</v>
      </c>
      <c r="Q453" s="3">
        <v>16</v>
      </c>
      <c r="R453" s="3">
        <v>256</v>
      </c>
      <c r="S453" s="22">
        <v>23</v>
      </c>
      <c r="T453" s="9">
        <v>320</v>
      </c>
      <c r="U453" s="14" t="s">
        <v>471</v>
      </c>
      <c r="V453" s="12">
        <v>4</v>
      </c>
      <c r="W453" s="75">
        <v>16</v>
      </c>
      <c r="X453" s="76">
        <v>16</v>
      </c>
      <c r="Y453" s="9">
        <v>2397.46</v>
      </c>
      <c r="Z453" s="3">
        <v>2397.46</v>
      </c>
      <c r="AA453" s="17" t="s">
        <v>937</v>
      </c>
      <c r="AB453" s="18" t="s">
        <v>936</v>
      </c>
      <c r="AC453" s="46" cm="1">
        <f t="array" ref="AC453">(SUMPRODUCT((H453:O453/H$9:O$9)^H$7:O$7*H$2:O$2)+SUMPRODUCT((Q453:T453/Q$9:T$9)^Q$7:T$7*Q$2:T$2))*(0.8^(1-G453))*AC$9</f>
        <v>2.9541531420474154</v>
      </c>
      <c r="AD453" s="48" cm="1">
        <f t="array" ref="AD453">(SUMPRODUCT((H453:O453/H$9:O$9)^H$7:O$7*H$3:O$3)+SUMPRODUCT((Q453:T453/Q$9:T$9)^Q$7:T$7*Q$3:T$3))*(0.1^(1-G453))*AD$9</f>
        <v>3.9736369763537849</v>
      </c>
      <c r="AE453" s="48" cm="1">
        <f t="array" ref="AE453">(SUMPRODUCT((H453:O453/H$9:O$9)^H$7:O$7*H$4:O$4)+SUMPRODUCT((Q453:T453/Q$9:T$9)^Q$7:T$7*Q$4:T$4))*AE$9</f>
        <v>3.4972554608150843</v>
      </c>
      <c r="AF453" s="47" cm="1">
        <f t="array" ref="AF453">(SUMPRODUCT((H453:O453/H$9:O$9)^H$7:O$7*H$5:O$5)+SUMPRODUCT((Q453:T453/Q$9:T$9)^Q$7:T$7*Q$5:T$5))*AF$9</f>
        <v>3.2575878194011025</v>
      </c>
      <c r="AG453" s="50" cm="1">
        <f t="array" ref="AG453">SUMPRODUCT(AC453:AF453 * AC$3:AF$3) / SUM(AC$3:AF$3)</f>
        <v>3.6314501983063092</v>
      </c>
    </row>
    <row r="454" spans="1:33" x14ac:dyDescent="0.25">
      <c r="A454" s="81" t="s">
        <v>933</v>
      </c>
      <c r="B454" s="20" t="s">
        <v>935</v>
      </c>
      <c r="C454" s="4" t="s">
        <v>8853</v>
      </c>
      <c r="D454" s="4" t="str">
        <f t="shared" si="6"/>
        <v>MSI</v>
      </c>
      <c r="E454" s="4" t="s">
        <v>8855</v>
      </c>
      <c r="F454" s="14" t="s">
        <v>8881</v>
      </c>
      <c r="G454" s="9">
        <v>1</v>
      </c>
      <c r="H454" s="1">
        <v>53.76</v>
      </c>
      <c r="I454" s="1">
        <v>53.76</v>
      </c>
      <c r="J454" s="1">
        <v>0.84</v>
      </c>
      <c r="K454" s="3">
        <v>1438</v>
      </c>
      <c r="L454" s="13">
        <v>2625</v>
      </c>
      <c r="M454" s="49">
        <v>246.9</v>
      </c>
      <c r="N454" s="1">
        <v>801.6</v>
      </c>
      <c r="O454" s="3">
        <v>76</v>
      </c>
      <c r="P454" s="11" t="s">
        <v>2276</v>
      </c>
      <c r="Q454" s="3">
        <v>16</v>
      </c>
      <c r="R454" s="3">
        <v>256</v>
      </c>
      <c r="S454" s="22">
        <v>23</v>
      </c>
      <c r="T454" s="9">
        <v>320</v>
      </c>
      <c r="U454" s="14" t="s">
        <v>471</v>
      </c>
      <c r="V454" s="12">
        <v>4</v>
      </c>
      <c r="W454" s="75">
        <v>16</v>
      </c>
      <c r="X454" s="76">
        <v>16</v>
      </c>
      <c r="Y454" s="9">
        <v>2326.16</v>
      </c>
      <c r="Z454" s="3">
        <v>2326.16</v>
      </c>
      <c r="AA454" s="17" t="s">
        <v>934</v>
      </c>
      <c r="AB454" s="18" t="s">
        <v>933</v>
      </c>
      <c r="AC454" s="46" cm="1">
        <f t="array" ref="AC454">(SUMPRODUCT((H454:O454/H$9:O$9)^H$7:O$7*H$2:O$2)+SUMPRODUCT((Q454:T454/Q$9:T$9)^Q$7:T$7*Q$2:T$2))*(0.8^(1-G454))*AC$9</f>
        <v>2.9541531420474154</v>
      </c>
      <c r="AD454" s="48" cm="1">
        <f t="array" ref="AD454">(SUMPRODUCT((H454:O454/H$9:O$9)^H$7:O$7*H$3:O$3)+SUMPRODUCT((Q454:T454/Q$9:T$9)^Q$7:T$7*Q$3:T$3))*(0.1^(1-G454))*AD$9</f>
        <v>3.9736369763537849</v>
      </c>
      <c r="AE454" s="48" cm="1">
        <f t="array" ref="AE454">(SUMPRODUCT((H454:O454/H$9:O$9)^H$7:O$7*H$4:O$4)+SUMPRODUCT((Q454:T454/Q$9:T$9)^Q$7:T$7*Q$4:T$4))*AE$9</f>
        <v>3.4972554608150843</v>
      </c>
      <c r="AF454" s="47" cm="1">
        <f t="array" ref="AF454">(SUMPRODUCT((H454:O454/H$9:O$9)^H$7:O$7*H$5:O$5)+SUMPRODUCT((Q454:T454/Q$9:T$9)^Q$7:T$7*Q$5:T$5))*AF$9</f>
        <v>3.2575878194011025</v>
      </c>
      <c r="AG454" s="50" cm="1">
        <f t="array" ref="AG454">SUMPRODUCT(AC454:AF454 * AC$3:AF$3) / SUM(AC$3:AF$3)</f>
        <v>3.6314501983063092</v>
      </c>
    </row>
    <row r="455" spans="1:33" x14ac:dyDescent="0.25">
      <c r="A455" s="81" t="s">
        <v>930</v>
      </c>
      <c r="B455" s="20" t="s">
        <v>932</v>
      </c>
      <c r="C455" s="4" t="s">
        <v>8853</v>
      </c>
      <c r="D455" s="4" t="str">
        <f t="shared" si="6"/>
        <v>MSI</v>
      </c>
      <c r="E455" s="4" t="s">
        <v>8855</v>
      </c>
      <c r="F455" s="14" t="s">
        <v>8881</v>
      </c>
      <c r="G455" s="9">
        <v>1</v>
      </c>
      <c r="H455" s="1">
        <v>54.37</v>
      </c>
      <c r="I455" s="1">
        <v>54.37</v>
      </c>
      <c r="J455" s="1">
        <v>0.85</v>
      </c>
      <c r="K455" s="3">
        <v>1438</v>
      </c>
      <c r="L455" s="13">
        <v>2655</v>
      </c>
      <c r="M455" s="49">
        <v>246.9</v>
      </c>
      <c r="N455" s="1">
        <v>801.6</v>
      </c>
      <c r="O455" s="3">
        <v>76</v>
      </c>
      <c r="P455" s="11" t="s">
        <v>2276</v>
      </c>
      <c r="Q455" s="3">
        <v>16</v>
      </c>
      <c r="R455" s="3">
        <v>256</v>
      </c>
      <c r="S455" s="22">
        <v>23</v>
      </c>
      <c r="T455" s="9">
        <v>320</v>
      </c>
      <c r="U455" s="14" t="s">
        <v>471</v>
      </c>
      <c r="V455" s="12">
        <v>4</v>
      </c>
      <c r="W455" s="75">
        <v>16</v>
      </c>
      <c r="X455" s="76">
        <v>16</v>
      </c>
      <c r="Y455" s="9">
        <v>2634.15</v>
      </c>
      <c r="Z455" s="3">
        <v>2634.15</v>
      </c>
      <c r="AA455" s="17" t="s">
        <v>931</v>
      </c>
      <c r="AB455" s="18" t="s">
        <v>930</v>
      </c>
      <c r="AC455" s="46" cm="1">
        <f t="array" ref="AC455">(SUMPRODUCT((H455:O455/H$9:O$9)^H$7:O$7*H$2:O$2)+SUMPRODUCT((Q455:T455/Q$9:T$9)^Q$7:T$7*Q$2:T$2))*(0.8^(1-G455))*AC$9</f>
        <v>2.9610187993454202</v>
      </c>
      <c r="AD455" s="48" cm="1">
        <f t="array" ref="AD455">(SUMPRODUCT((H455:O455/H$9:O$9)^H$7:O$7*H$3:O$3)+SUMPRODUCT((Q455:T455/Q$9:T$9)^Q$7:T$7*Q$3:T$3))*(0.1^(1-G455))*AD$9</f>
        <v>4.0056474284364159</v>
      </c>
      <c r="AE455" s="48" cm="1">
        <f t="array" ref="AE455">(SUMPRODUCT((H455:O455/H$9:O$9)^H$7:O$7*H$4:O$4)+SUMPRODUCT((Q455:T455/Q$9:T$9)^Q$7:T$7*Q$4:T$4))*AE$9</f>
        <v>3.523677754887109</v>
      </c>
      <c r="AF455" s="47" cm="1">
        <f t="array" ref="AF455">(SUMPRODUCT((H455:O455/H$9:O$9)^H$7:O$7*H$5:O$5)+SUMPRODUCT((Q455:T455/Q$9:T$9)^Q$7:T$7*Q$5:T$5))*AF$9</f>
        <v>3.2744233921051746</v>
      </c>
      <c r="AG455" s="50" cm="1">
        <f t="array" ref="AG455">SUMPRODUCT(AC455:AF455 * AC$3:AF$3) / SUM(AC$3:AF$3)</f>
        <v>3.656119798249454</v>
      </c>
    </row>
    <row r="456" spans="1:33" x14ac:dyDescent="0.25">
      <c r="A456" s="81" t="s">
        <v>927</v>
      </c>
      <c r="B456" s="20" t="s">
        <v>929</v>
      </c>
      <c r="C456" s="4" t="s">
        <v>8853</v>
      </c>
      <c r="D456" s="4" t="str">
        <f t="shared" ref="D456:D519" si="7">LEFT(AB456, FIND(" ", AB456 &amp; " ") - 1)</f>
        <v>MSI</v>
      </c>
      <c r="E456" s="4" t="s">
        <v>8855</v>
      </c>
      <c r="F456" s="14" t="s">
        <v>8881</v>
      </c>
      <c r="G456" s="9">
        <v>1</v>
      </c>
      <c r="H456" s="1">
        <v>53.15</v>
      </c>
      <c r="I456" s="1">
        <v>53.15</v>
      </c>
      <c r="J456" s="1">
        <v>0.83</v>
      </c>
      <c r="K456" s="3">
        <v>1438</v>
      </c>
      <c r="L456" s="13">
        <v>2595</v>
      </c>
      <c r="M456" s="49">
        <v>246.9</v>
      </c>
      <c r="N456" s="1">
        <v>801.6</v>
      </c>
      <c r="O456" s="3">
        <v>76</v>
      </c>
      <c r="P456" s="11" t="s">
        <v>2276</v>
      </c>
      <c r="Q456" s="3">
        <v>16</v>
      </c>
      <c r="R456" s="3">
        <v>256</v>
      </c>
      <c r="S456" s="22">
        <v>23</v>
      </c>
      <c r="T456" s="9">
        <v>320</v>
      </c>
      <c r="U456" s="14" t="s">
        <v>471</v>
      </c>
      <c r="V456" s="12">
        <v>4</v>
      </c>
      <c r="W456" s="75">
        <v>16</v>
      </c>
      <c r="X456" s="76">
        <v>16</v>
      </c>
      <c r="Y456" s="9">
        <v>2254.12</v>
      </c>
      <c r="Z456" s="3">
        <v>2254.12</v>
      </c>
      <c r="AA456" s="17" t="s">
        <v>928</v>
      </c>
      <c r="AB456" s="18" t="s">
        <v>927</v>
      </c>
      <c r="AC456" s="46" cm="1">
        <f t="array" ref="AC456">(SUMPRODUCT((H456:O456/H$9:O$9)^H$7:O$7*H$2:O$2)+SUMPRODUCT((Q456:T456/Q$9:T$9)^Q$7:T$7*Q$2:T$2))*(0.8^(1-G456))*AC$9</f>
        <v>2.9472796595451456</v>
      </c>
      <c r="AD456" s="48" cm="1">
        <f t="array" ref="AD456">(SUMPRODUCT((H456:O456/H$9:O$9)^H$7:O$7*H$3:O$3)+SUMPRODUCT((Q456:T456/Q$9:T$9)^Q$7:T$7*Q$3:T$3))*(0.1^(1-G456))*AD$9</f>
        <v>3.9415779538882814</v>
      </c>
      <c r="AE456" s="48" cm="1">
        <f t="array" ref="AE456">(SUMPRODUCT((H456:O456/H$9:O$9)^H$7:O$7*H$4:O$4)+SUMPRODUCT((Q456:T456/Q$9:T$9)^Q$7:T$7*Q$4:T$4))*AE$9</f>
        <v>3.4707820303536168</v>
      </c>
      <c r="AF456" s="47" cm="1">
        <f t="array" ref="AF456">(SUMPRODUCT((H456:O456/H$9:O$9)^H$7:O$7*H$5:O$5)+SUMPRODUCT((Q456:T456/Q$9:T$9)^Q$7:T$7*Q$5:T$5))*AF$9</f>
        <v>3.2407315867976232</v>
      </c>
      <c r="AG456" s="50" cm="1">
        <f t="array" ref="AG456">SUMPRODUCT(AC456:AF456 * AC$3:AF$3) / SUM(AC$3:AF$3)</f>
        <v>3.6067431854787975</v>
      </c>
    </row>
    <row r="457" spans="1:33" x14ac:dyDescent="0.25">
      <c r="A457" s="81" t="s">
        <v>664</v>
      </c>
      <c r="B457" s="20" t="s">
        <v>666</v>
      </c>
      <c r="C457" s="4" t="s">
        <v>8853</v>
      </c>
      <c r="D457" s="4" t="str">
        <f t="shared" si="7"/>
        <v>Palit</v>
      </c>
      <c r="E457" s="4" t="s">
        <v>8855</v>
      </c>
      <c r="F457" s="14" t="s">
        <v>8881</v>
      </c>
      <c r="G457" s="9">
        <v>1</v>
      </c>
      <c r="H457" s="1">
        <v>52.22</v>
      </c>
      <c r="I457" s="1">
        <v>52.22</v>
      </c>
      <c r="J457" s="1">
        <v>0.82</v>
      </c>
      <c r="K457" s="3">
        <v>1438</v>
      </c>
      <c r="L457" s="13">
        <v>2550</v>
      </c>
      <c r="M457" s="49">
        <v>246.9</v>
      </c>
      <c r="N457" s="1">
        <v>801.6</v>
      </c>
      <c r="O457" s="3">
        <v>76</v>
      </c>
      <c r="P457" s="11" t="s">
        <v>2276</v>
      </c>
      <c r="Q457" s="3">
        <v>16</v>
      </c>
      <c r="R457" s="3">
        <v>256</v>
      </c>
      <c r="S457" s="22">
        <v>23</v>
      </c>
      <c r="T457" s="9">
        <v>320</v>
      </c>
      <c r="U457" s="14" t="s">
        <v>527</v>
      </c>
      <c r="V457" s="12">
        <v>4</v>
      </c>
      <c r="W457" s="75">
        <v>16</v>
      </c>
      <c r="X457" s="76">
        <v>16</v>
      </c>
      <c r="Y457" s="9">
        <v>2320.13</v>
      </c>
      <c r="Z457" s="3">
        <v>2320.13</v>
      </c>
      <c r="AA457" s="17" t="s">
        <v>665</v>
      </c>
      <c r="AB457" s="18" t="s">
        <v>664</v>
      </c>
      <c r="AC457" s="46" cm="1">
        <f t="array" ref="AC457">(SUMPRODUCT((H457:O457/H$9:O$9)^H$7:O$7*H$2:O$2)+SUMPRODUCT((Q457:T457/Q$9:T$9)^Q$7:T$7*Q$2:T$2))*(0.8^(1-G457))*AC$9</f>
        <v>2.9368764758268684</v>
      </c>
      <c r="AD457" s="48" cm="1">
        <f t="array" ref="AD457">(SUMPRODUCT((H457:O457/H$9:O$9)^H$7:O$7*H$3:O$3)+SUMPRODUCT((Q457:T457/Q$9:T$9)^Q$7:T$7*Q$3:T$3))*(0.1^(1-G457))*AD$9</f>
        <v>3.893901694332031</v>
      </c>
      <c r="AE457" s="48" cm="1">
        <f t="array" ref="AE457">(SUMPRODUCT((H457:O457/H$9:O$9)^H$7:O$7*H$4:O$4)+SUMPRODUCT((Q457:T457/Q$9:T$9)^Q$7:T$7*Q$4:T$4))*AE$9</f>
        <v>3.439261721874924</v>
      </c>
      <c r="AF457" s="47" cm="1">
        <f t="array" ref="AF457">(SUMPRODUCT((H457:O457/H$9:O$9)^H$7:O$7*H$5:O$5)+SUMPRODUCT((Q457:T457/Q$9:T$9)^Q$7:T$7*Q$5:T$5))*AF$9</f>
        <v>3.2150289202553575</v>
      </c>
      <c r="AG457" s="50" cm="1">
        <f t="array" ref="AG457">SUMPRODUCT(AC457:AF457 * AC$3:AF$3) / SUM(AC$3:AF$3)</f>
        <v>3.5707364764064908</v>
      </c>
    </row>
    <row r="458" spans="1:33" x14ac:dyDescent="0.25">
      <c r="A458" s="81" t="s">
        <v>661</v>
      </c>
      <c r="B458" s="20" t="s">
        <v>663</v>
      </c>
      <c r="C458" s="4" t="s">
        <v>8853</v>
      </c>
      <c r="D458" s="4" t="str">
        <f t="shared" si="7"/>
        <v>Palit</v>
      </c>
      <c r="E458" s="4" t="s">
        <v>8855</v>
      </c>
      <c r="F458" s="14" t="s">
        <v>8881</v>
      </c>
      <c r="G458" s="9">
        <v>1</v>
      </c>
      <c r="H458" s="1">
        <v>52.84</v>
      </c>
      <c r="I458" s="1">
        <v>52.84</v>
      </c>
      <c r="J458" s="1">
        <v>0.83</v>
      </c>
      <c r="K458" s="3">
        <v>1438</v>
      </c>
      <c r="L458" s="13">
        <v>2580</v>
      </c>
      <c r="M458" s="49">
        <v>246.9</v>
      </c>
      <c r="N458" s="1">
        <v>801.6</v>
      </c>
      <c r="O458" s="3">
        <v>76</v>
      </c>
      <c r="P458" s="11" t="s">
        <v>2276</v>
      </c>
      <c r="Q458" s="3">
        <v>16</v>
      </c>
      <c r="R458" s="3">
        <v>256</v>
      </c>
      <c r="S458" s="22">
        <v>23</v>
      </c>
      <c r="T458" s="9">
        <v>320</v>
      </c>
      <c r="U458" s="14" t="s">
        <v>527</v>
      </c>
      <c r="V458" s="12">
        <v>4</v>
      </c>
      <c r="W458" s="75">
        <v>16</v>
      </c>
      <c r="X458" s="76">
        <v>16</v>
      </c>
      <c r="Y458" s="9">
        <v>2244.87</v>
      </c>
      <c r="Z458" s="3">
        <v>2244.87</v>
      </c>
      <c r="AA458" s="17" t="s">
        <v>662</v>
      </c>
      <c r="AB458" s="18" t="s">
        <v>661</v>
      </c>
      <c r="AC458" s="46" cm="1">
        <f t="array" ref="AC458">(SUMPRODUCT((H458:O458/H$9:O$9)^H$7:O$7*H$2:O$2)+SUMPRODUCT((Q458:T458/Q$9:T$9)^Q$7:T$7*Q$2:T$2))*(0.8^(1-G458))*AC$9</f>
        <v>2.9438139600523003</v>
      </c>
      <c r="AD458" s="48" cm="1">
        <f t="array" ref="AD458">(SUMPRODUCT((H458:O458/H$9:O$9)^H$7:O$7*H$3:O$3)+SUMPRODUCT((Q458:T458/Q$9:T$9)^Q$7:T$7*Q$3:T$3))*(0.1^(1-G458))*AD$9</f>
        <v>3.9265072503805802</v>
      </c>
      <c r="AE458" s="48" cm="1">
        <f t="array" ref="AE458">(SUMPRODUCT((H458:O458/H$9:O$9)^H$7:O$7*H$4:O$4)+SUMPRODUCT((Q458:T458/Q$9:T$9)^Q$7:T$7*Q$4:T$4))*AE$9</f>
        <v>3.4659487486442289</v>
      </c>
      <c r="AF458" s="47" cm="1">
        <f t="array" ref="AF458">(SUMPRODUCT((H458:O458/H$9:O$9)^H$7:O$7*H$5:O$5)+SUMPRODUCT((Q458:T458/Q$9:T$9)^Q$7:T$7*Q$5:T$5))*AF$9</f>
        <v>3.2321694678196788</v>
      </c>
      <c r="AG458" s="50" cm="1">
        <f t="array" ref="AG458">SUMPRODUCT(AC458:AF458 * AC$3:AF$3) / SUM(AC$3:AF$3)</f>
        <v>3.5958289047061225</v>
      </c>
    </row>
    <row r="459" spans="1:33" x14ac:dyDescent="0.25">
      <c r="A459" s="81" t="s">
        <v>479</v>
      </c>
      <c r="B459" s="20" t="s">
        <v>481</v>
      </c>
      <c r="C459" s="4" t="s">
        <v>8853</v>
      </c>
      <c r="D459" s="4" t="str">
        <f t="shared" si="7"/>
        <v>Zotac</v>
      </c>
      <c r="E459" s="4" t="s">
        <v>8855</v>
      </c>
      <c r="F459" s="14" t="s">
        <v>8881</v>
      </c>
      <c r="G459" s="9">
        <v>1</v>
      </c>
      <c r="H459" s="1">
        <v>53.45</v>
      </c>
      <c r="I459" s="1">
        <v>53.45</v>
      </c>
      <c r="J459" s="1">
        <v>0.84</v>
      </c>
      <c r="K459" s="3">
        <v>1438</v>
      </c>
      <c r="L459" s="13">
        <v>2610</v>
      </c>
      <c r="M459" s="49">
        <v>246.9</v>
      </c>
      <c r="N459" s="1">
        <v>801.6</v>
      </c>
      <c r="O459" s="3">
        <v>76</v>
      </c>
      <c r="P459" s="11" t="s">
        <v>2276</v>
      </c>
      <c r="Q459" s="3">
        <v>16</v>
      </c>
      <c r="R459" s="3">
        <v>256</v>
      </c>
      <c r="S459" s="22">
        <v>23</v>
      </c>
      <c r="T459" s="9">
        <v>320</v>
      </c>
      <c r="U459" s="14" t="s">
        <v>471</v>
      </c>
      <c r="V459" s="12">
        <v>4</v>
      </c>
      <c r="W459" s="75">
        <v>16</v>
      </c>
      <c r="X459" s="76">
        <v>16</v>
      </c>
      <c r="Y459" s="9">
        <v>2422.38</v>
      </c>
      <c r="Z459" s="3">
        <v>2488.48</v>
      </c>
      <c r="AA459" s="17" t="s">
        <v>480</v>
      </c>
      <c r="AB459" s="18" t="s">
        <v>479</v>
      </c>
      <c r="AC459" s="46" cm="1">
        <f t="array" ref="AC459">(SUMPRODUCT((H459:O459/H$9:O$9)^H$7:O$7*H$2:O$2)+SUMPRODUCT((Q459:T459/Q$9:T$9)^Q$7:T$7*Q$2:T$2))*(0.8^(1-G459))*AC$9</f>
        <v>2.9506914220390312</v>
      </c>
      <c r="AD459" s="48" cm="1">
        <f t="array" ref="AD459">(SUMPRODUCT((H459:O459/H$9:O$9)^H$7:O$7*H$3:O$3)+SUMPRODUCT((Q459:T459/Q$9:T$9)^Q$7:T$7*Q$3:T$3))*(0.1^(1-G459))*AD$9</f>
        <v>3.9585882315116687</v>
      </c>
      <c r="AE459" s="48" cm="1">
        <f t="array" ref="AE459">(SUMPRODUCT((H459:O459/H$9:O$9)^H$7:O$7*H$4:O$4)+SUMPRODUCT((Q459:T459/Q$9:T$9)^Q$7:T$7*Q$4:T$4))*AE$9</f>
        <v>3.4924277075421859</v>
      </c>
      <c r="AF459" s="47" cm="1">
        <f t="array" ref="AF459">(SUMPRODUCT((H459:O459/H$9:O$9)^H$7:O$7*H$5:O$5)+SUMPRODUCT((Q459:T459/Q$9:T$9)^Q$7:T$7*Q$5:T$5))*AF$9</f>
        <v>3.2490362863544764</v>
      </c>
      <c r="AG459" s="50" cm="1">
        <f t="array" ref="AG459">SUMPRODUCT(AC459:AF459 * AC$3:AF$3) / SUM(AC$3:AF$3)</f>
        <v>3.6205511586323098</v>
      </c>
    </row>
    <row r="460" spans="1:33" x14ac:dyDescent="0.25">
      <c r="A460" s="81" t="s">
        <v>1895</v>
      </c>
      <c r="B460" s="20" t="s">
        <v>1897</v>
      </c>
      <c r="C460" s="4" t="s">
        <v>8853</v>
      </c>
      <c r="D460" s="4" t="str">
        <f t="shared" si="7"/>
        <v>ASUS</v>
      </c>
      <c r="E460" s="4" t="s">
        <v>8855</v>
      </c>
      <c r="F460" s="14" t="s">
        <v>8882</v>
      </c>
      <c r="G460" s="9">
        <v>1</v>
      </c>
      <c r="H460" s="1">
        <v>86.51</v>
      </c>
      <c r="I460" s="1">
        <v>86.51</v>
      </c>
      <c r="J460" s="1">
        <v>1.35</v>
      </c>
      <c r="K460" s="3">
        <v>1313</v>
      </c>
      <c r="L460" s="13">
        <v>2640</v>
      </c>
      <c r="M460" s="49">
        <v>401.2</v>
      </c>
      <c r="N460" s="1">
        <v>1040</v>
      </c>
      <c r="O460" s="3">
        <v>128</v>
      </c>
      <c r="P460" s="11" t="s">
        <v>2276</v>
      </c>
      <c r="Q460" s="3">
        <v>24</v>
      </c>
      <c r="R460" s="3">
        <v>384</v>
      </c>
      <c r="S460" s="22">
        <v>21</v>
      </c>
      <c r="T460" s="9">
        <v>450</v>
      </c>
      <c r="U460" s="14" t="s">
        <v>475</v>
      </c>
      <c r="V460" s="12">
        <v>4</v>
      </c>
      <c r="W460" s="75">
        <v>16</v>
      </c>
      <c r="X460" s="76">
        <v>16</v>
      </c>
      <c r="Y460" s="9">
        <v>6399</v>
      </c>
      <c r="Z460" s="3">
        <v>6399</v>
      </c>
      <c r="AA460" s="17" t="s">
        <v>1896</v>
      </c>
      <c r="AB460" s="18" t="s">
        <v>1895</v>
      </c>
      <c r="AC460" s="46" cm="1">
        <f t="array" ref="AC460">(SUMPRODUCT((H460:O460/H$9:O$9)^H$7:O$7*H$2:O$2)+SUMPRODUCT((Q460:T460/Q$9:T$9)^Q$7:T$7*Q$2:T$2))*(0.8^(1-G460))*AC$9</f>
        <v>3.8451385410352228</v>
      </c>
      <c r="AD460" s="48" cm="1">
        <f t="array" ref="AD460">(SUMPRODUCT((H460:O460/H$9:O$9)^H$7:O$7*H$3:O$3)+SUMPRODUCT((Q460:T460/Q$9:T$9)^Q$7:T$7*Q$3:T$3))*(0.1^(1-G460))*AD$9</f>
        <v>5.7677236467525699</v>
      </c>
      <c r="AE460" s="48" cm="1">
        <f t="array" ref="AE460">(SUMPRODUCT((H460:O460/H$9:O$9)^H$7:O$7*H$4:O$4)+SUMPRODUCT((Q460:T460/Q$9:T$9)^Q$7:T$7*Q$4:T$4))*AE$9</f>
        <v>4.999004057508909</v>
      </c>
      <c r="AF460" s="47" cm="1">
        <f t="array" ref="AF460">(SUMPRODUCT((H460:O460/H$9:O$9)^H$7:O$7*H$5:O$5)+SUMPRODUCT((Q460:T460/Q$9:T$9)^Q$7:T$7*Q$5:T$5))*AF$9</f>
        <v>4.554519625337992</v>
      </c>
      <c r="AG460" s="50" cm="1">
        <f t="array" ref="AG460">SUMPRODUCT(AC460:AF460 * AC$3:AF$3) / SUM(AC$3:AF$3)</f>
        <v>5.1596788378701763</v>
      </c>
    </row>
    <row r="461" spans="1:33" x14ac:dyDescent="0.25">
      <c r="A461" s="81" t="s">
        <v>1892</v>
      </c>
      <c r="B461" s="20" t="s">
        <v>1894</v>
      </c>
      <c r="C461" s="4" t="s">
        <v>8853</v>
      </c>
      <c r="D461" s="4" t="str">
        <f t="shared" si="7"/>
        <v>ASUS</v>
      </c>
      <c r="E461" s="4" t="s">
        <v>8855</v>
      </c>
      <c r="F461" s="14" t="s">
        <v>8882</v>
      </c>
      <c r="G461" s="9">
        <v>1</v>
      </c>
      <c r="H461" s="1">
        <v>86.51</v>
      </c>
      <c r="I461" s="1">
        <v>86.51</v>
      </c>
      <c r="J461" s="1">
        <v>1.35</v>
      </c>
      <c r="K461" s="3">
        <v>1313</v>
      </c>
      <c r="L461" s="13">
        <v>2640</v>
      </c>
      <c r="M461" s="49">
        <v>401.2</v>
      </c>
      <c r="N461" s="1">
        <v>1040</v>
      </c>
      <c r="O461" s="3">
        <v>128</v>
      </c>
      <c r="P461" s="11" t="s">
        <v>2276</v>
      </c>
      <c r="Q461" s="3">
        <v>24</v>
      </c>
      <c r="R461" s="3">
        <v>384</v>
      </c>
      <c r="S461" s="22">
        <v>21</v>
      </c>
      <c r="T461" s="9">
        <v>450</v>
      </c>
      <c r="U461" s="14" t="s">
        <v>475</v>
      </c>
      <c r="V461" s="12">
        <v>4</v>
      </c>
      <c r="W461" s="75">
        <v>16</v>
      </c>
      <c r="X461" s="76">
        <v>16</v>
      </c>
      <c r="Y461" s="9">
        <v>3756.72</v>
      </c>
      <c r="Z461" s="3">
        <v>4995.13</v>
      </c>
      <c r="AA461" s="17" t="s">
        <v>1893</v>
      </c>
      <c r="AB461" s="18" t="s">
        <v>1892</v>
      </c>
      <c r="AC461" s="46" cm="1">
        <f t="array" ref="AC461">(SUMPRODUCT((H461:O461/H$9:O$9)^H$7:O$7*H$2:O$2)+SUMPRODUCT((Q461:T461/Q$9:T$9)^Q$7:T$7*Q$2:T$2))*(0.8^(1-G461))*AC$9</f>
        <v>3.8451385410352228</v>
      </c>
      <c r="AD461" s="48" cm="1">
        <f t="array" ref="AD461">(SUMPRODUCT((H461:O461/H$9:O$9)^H$7:O$7*H$3:O$3)+SUMPRODUCT((Q461:T461/Q$9:T$9)^Q$7:T$7*Q$3:T$3))*(0.1^(1-G461))*AD$9</f>
        <v>5.7677236467525699</v>
      </c>
      <c r="AE461" s="48" cm="1">
        <f t="array" ref="AE461">(SUMPRODUCT((H461:O461/H$9:O$9)^H$7:O$7*H$4:O$4)+SUMPRODUCT((Q461:T461/Q$9:T$9)^Q$7:T$7*Q$4:T$4))*AE$9</f>
        <v>4.999004057508909</v>
      </c>
      <c r="AF461" s="47" cm="1">
        <f t="array" ref="AF461">(SUMPRODUCT((H461:O461/H$9:O$9)^H$7:O$7*H$5:O$5)+SUMPRODUCT((Q461:T461/Q$9:T$9)^Q$7:T$7*Q$5:T$5))*AF$9</f>
        <v>4.554519625337992</v>
      </c>
      <c r="AG461" s="50" cm="1">
        <f t="array" ref="AG461">SUMPRODUCT(AC461:AF461 * AC$3:AF$3) / SUM(AC$3:AF$3)</f>
        <v>5.1596788378701763</v>
      </c>
    </row>
    <row r="462" spans="1:33" x14ac:dyDescent="0.25">
      <c r="A462" s="81" t="s">
        <v>1889</v>
      </c>
      <c r="B462" s="20" t="s">
        <v>1891</v>
      </c>
      <c r="C462" s="4" t="s">
        <v>8853</v>
      </c>
      <c r="D462" s="4" t="str">
        <f t="shared" si="7"/>
        <v>ASUS</v>
      </c>
      <c r="E462" s="4" t="s">
        <v>8855</v>
      </c>
      <c r="F462" s="14" t="s">
        <v>8882</v>
      </c>
      <c r="G462" s="9">
        <v>1</v>
      </c>
      <c r="H462" s="1">
        <v>86.51</v>
      </c>
      <c r="I462" s="1">
        <v>86.51</v>
      </c>
      <c r="J462" s="1">
        <v>1.35</v>
      </c>
      <c r="K462" s="3">
        <v>1313</v>
      </c>
      <c r="L462" s="13">
        <v>2640</v>
      </c>
      <c r="M462" s="49">
        <v>401.2</v>
      </c>
      <c r="N462" s="1">
        <v>1040</v>
      </c>
      <c r="O462" s="3">
        <v>128</v>
      </c>
      <c r="P462" s="11" t="s">
        <v>2276</v>
      </c>
      <c r="Q462" s="3">
        <v>24</v>
      </c>
      <c r="R462" s="3">
        <v>384</v>
      </c>
      <c r="S462" s="22">
        <v>21</v>
      </c>
      <c r="T462" s="9">
        <v>450</v>
      </c>
      <c r="U462" s="14" t="s">
        <v>475</v>
      </c>
      <c r="V462" s="12">
        <v>4</v>
      </c>
      <c r="W462" s="75">
        <v>16</v>
      </c>
      <c r="X462" s="76">
        <v>16</v>
      </c>
      <c r="Y462" s="9">
        <v>4263.29</v>
      </c>
      <c r="Z462" s="3">
        <v>5430.43</v>
      </c>
      <c r="AA462" s="17" t="s">
        <v>1890</v>
      </c>
      <c r="AB462" s="18" t="s">
        <v>1889</v>
      </c>
      <c r="AC462" s="46" cm="1">
        <f t="array" ref="AC462">(SUMPRODUCT((H462:O462/H$9:O$9)^H$7:O$7*H$2:O$2)+SUMPRODUCT((Q462:T462/Q$9:T$9)^Q$7:T$7*Q$2:T$2))*(0.8^(1-G462))*AC$9</f>
        <v>3.8451385410352228</v>
      </c>
      <c r="AD462" s="48" cm="1">
        <f t="array" ref="AD462">(SUMPRODUCT((H462:O462/H$9:O$9)^H$7:O$7*H$3:O$3)+SUMPRODUCT((Q462:T462/Q$9:T$9)^Q$7:T$7*Q$3:T$3))*(0.1^(1-G462))*AD$9</f>
        <v>5.7677236467525699</v>
      </c>
      <c r="AE462" s="48" cm="1">
        <f t="array" ref="AE462">(SUMPRODUCT((H462:O462/H$9:O$9)^H$7:O$7*H$4:O$4)+SUMPRODUCT((Q462:T462/Q$9:T$9)^Q$7:T$7*Q$4:T$4))*AE$9</f>
        <v>4.999004057508909</v>
      </c>
      <c r="AF462" s="47" cm="1">
        <f t="array" ref="AF462">(SUMPRODUCT((H462:O462/H$9:O$9)^H$7:O$7*H$5:O$5)+SUMPRODUCT((Q462:T462/Q$9:T$9)^Q$7:T$7*Q$5:T$5))*AF$9</f>
        <v>4.554519625337992</v>
      </c>
      <c r="AG462" s="50" cm="1">
        <f t="array" ref="AG462">SUMPRODUCT(AC462:AF462 * AC$3:AF$3) / SUM(AC$3:AF$3)</f>
        <v>5.1596788378701763</v>
      </c>
    </row>
    <row r="463" spans="1:33" x14ac:dyDescent="0.25">
      <c r="A463" s="81" t="s">
        <v>1886</v>
      </c>
      <c r="B463" s="20" t="s">
        <v>1888</v>
      </c>
      <c r="C463" s="4" t="s">
        <v>8853</v>
      </c>
      <c r="D463" s="4" t="str">
        <f t="shared" si="7"/>
        <v>ASUS</v>
      </c>
      <c r="E463" s="4" t="s">
        <v>8855</v>
      </c>
      <c r="F463" s="14" t="s">
        <v>8882</v>
      </c>
      <c r="G463" s="9">
        <v>1</v>
      </c>
      <c r="H463" s="1">
        <v>83.56</v>
      </c>
      <c r="I463" s="1">
        <v>83.56</v>
      </c>
      <c r="J463" s="1">
        <v>1.31</v>
      </c>
      <c r="K463" s="3">
        <v>1313</v>
      </c>
      <c r="L463" s="13">
        <v>2550</v>
      </c>
      <c r="M463" s="49">
        <v>401.2</v>
      </c>
      <c r="N463" s="1">
        <v>1040</v>
      </c>
      <c r="O463" s="3">
        <v>128</v>
      </c>
      <c r="P463" s="11" t="s">
        <v>2276</v>
      </c>
      <c r="Q463" s="3">
        <v>24</v>
      </c>
      <c r="R463" s="3">
        <v>384</v>
      </c>
      <c r="S463" s="22">
        <v>21</v>
      </c>
      <c r="T463" s="9">
        <v>450</v>
      </c>
      <c r="U463" s="14" t="s">
        <v>475</v>
      </c>
      <c r="V463" s="12">
        <v>4</v>
      </c>
      <c r="W463" s="75">
        <v>16</v>
      </c>
      <c r="X463" s="76">
        <v>16</v>
      </c>
      <c r="Y463" s="9">
        <v>3989.99</v>
      </c>
      <c r="Z463" s="3">
        <v>4999</v>
      </c>
      <c r="AA463" s="17" t="s">
        <v>1887</v>
      </c>
      <c r="AB463" s="18" t="s">
        <v>1886</v>
      </c>
      <c r="AC463" s="46" cm="1">
        <f t="array" ref="AC463">(SUMPRODUCT((H463:O463/H$9:O$9)^H$7:O$7*H$2:O$2)+SUMPRODUCT((Q463:T463/Q$9:T$9)^Q$7:T$7*Q$2:T$2))*(0.8^(1-G463))*AC$9</f>
        <v>3.8193907064472632</v>
      </c>
      <c r="AD463" s="48" cm="1">
        <f t="array" ref="AD463">(SUMPRODUCT((H463:O463/H$9:O$9)^H$7:O$7*H$3:O$3)+SUMPRODUCT((Q463:T463/Q$9:T$9)^Q$7:T$7*Q$3:T$3))*(0.1^(1-G463))*AD$9</f>
        <v>5.6249886891319267</v>
      </c>
      <c r="AE463" s="48" cm="1">
        <f t="array" ref="AE463">(SUMPRODUCT((H463:O463/H$9:O$9)^H$7:O$7*H$4:O$4)+SUMPRODUCT((Q463:T463/Q$9:T$9)^Q$7:T$7*Q$4:T$4))*AE$9</f>
        <v>4.8932842898667124</v>
      </c>
      <c r="AF463" s="47" cm="1">
        <f t="array" ref="AF463">(SUMPRODUCT((H463:O463/H$9:O$9)^H$7:O$7*H$5:O$5)+SUMPRODUCT((Q463:T463/Q$9:T$9)^Q$7:T$7*Q$5:T$5))*AF$9</f>
        <v>4.4793795648398067</v>
      </c>
      <c r="AG463" s="50" cm="1">
        <f t="array" ref="AG463">SUMPRODUCT(AC463:AF463 * AC$3:AF$3) / SUM(AC$3:AF$3)</f>
        <v>5.0518203491618836</v>
      </c>
    </row>
    <row r="464" spans="1:33" x14ac:dyDescent="0.25">
      <c r="A464" s="81" t="s">
        <v>1883</v>
      </c>
      <c r="B464" s="20" t="s">
        <v>1885</v>
      </c>
      <c r="C464" s="4" t="s">
        <v>8853</v>
      </c>
      <c r="D464" s="4" t="str">
        <f t="shared" si="7"/>
        <v>ASUS</v>
      </c>
      <c r="E464" s="4" t="s">
        <v>8855</v>
      </c>
      <c r="F464" s="14" t="s">
        <v>8882</v>
      </c>
      <c r="G464" s="9">
        <v>1</v>
      </c>
      <c r="H464" s="1">
        <v>83.56</v>
      </c>
      <c r="I464" s="1">
        <v>83.56</v>
      </c>
      <c r="J464" s="1">
        <v>1.31</v>
      </c>
      <c r="K464" s="3">
        <v>1313</v>
      </c>
      <c r="L464" s="13">
        <v>2550</v>
      </c>
      <c r="M464" s="49">
        <v>401.2</v>
      </c>
      <c r="N464" s="1">
        <v>1040</v>
      </c>
      <c r="O464" s="3">
        <v>128</v>
      </c>
      <c r="P464" s="11" t="s">
        <v>2276</v>
      </c>
      <c r="Q464" s="3">
        <v>24</v>
      </c>
      <c r="R464" s="3">
        <v>384</v>
      </c>
      <c r="S464" s="22">
        <v>21</v>
      </c>
      <c r="T464" s="9">
        <v>450</v>
      </c>
      <c r="U464" s="14" t="s">
        <v>475</v>
      </c>
      <c r="V464" s="12">
        <v>4</v>
      </c>
      <c r="W464" s="75">
        <v>16</v>
      </c>
      <c r="X464" s="76">
        <v>16</v>
      </c>
      <c r="Y464" s="9">
        <v>4599.7</v>
      </c>
      <c r="Z464" s="3">
        <v>4599.7</v>
      </c>
      <c r="AA464" s="17" t="s">
        <v>1884</v>
      </c>
      <c r="AB464" s="18" t="s">
        <v>1883</v>
      </c>
      <c r="AC464" s="46" cm="1">
        <f t="array" ref="AC464">(SUMPRODUCT((H464:O464/H$9:O$9)^H$7:O$7*H$2:O$2)+SUMPRODUCT((Q464:T464/Q$9:T$9)^Q$7:T$7*Q$2:T$2))*(0.8^(1-G464))*AC$9</f>
        <v>3.8193907064472632</v>
      </c>
      <c r="AD464" s="48" cm="1">
        <f t="array" ref="AD464">(SUMPRODUCT((H464:O464/H$9:O$9)^H$7:O$7*H$3:O$3)+SUMPRODUCT((Q464:T464/Q$9:T$9)^Q$7:T$7*Q$3:T$3))*(0.1^(1-G464))*AD$9</f>
        <v>5.6249886891319267</v>
      </c>
      <c r="AE464" s="48" cm="1">
        <f t="array" ref="AE464">(SUMPRODUCT((H464:O464/H$9:O$9)^H$7:O$7*H$4:O$4)+SUMPRODUCT((Q464:T464/Q$9:T$9)^Q$7:T$7*Q$4:T$4))*AE$9</f>
        <v>4.8932842898667124</v>
      </c>
      <c r="AF464" s="47" cm="1">
        <f t="array" ref="AF464">(SUMPRODUCT((H464:O464/H$9:O$9)^H$7:O$7*H$5:O$5)+SUMPRODUCT((Q464:T464/Q$9:T$9)^Q$7:T$7*Q$5:T$5))*AF$9</f>
        <v>4.4793795648398067</v>
      </c>
      <c r="AG464" s="50" cm="1">
        <f t="array" ref="AG464">SUMPRODUCT(AC464:AF464 * AC$3:AF$3) / SUM(AC$3:AF$3)</f>
        <v>5.0518203491618836</v>
      </c>
    </row>
    <row r="465" spans="1:33" x14ac:dyDescent="0.25">
      <c r="A465" s="81" t="s">
        <v>1877</v>
      </c>
      <c r="B465" s="20" t="s">
        <v>1879</v>
      </c>
      <c r="C465" s="4" t="s">
        <v>8853</v>
      </c>
      <c r="D465" s="4" t="str">
        <f t="shared" si="7"/>
        <v>ASUS</v>
      </c>
      <c r="E465" s="4" t="s">
        <v>8855</v>
      </c>
      <c r="F465" s="14" t="s">
        <v>8882</v>
      </c>
      <c r="G465" s="9">
        <v>1</v>
      </c>
      <c r="H465" s="1">
        <v>86.51</v>
      </c>
      <c r="I465" s="1">
        <v>86.51</v>
      </c>
      <c r="J465" s="1">
        <v>1.35</v>
      </c>
      <c r="K465" s="3">
        <v>1313</v>
      </c>
      <c r="L465" s="13">
        <v>2640</v>
      </c>
      <c r="M465" s="49">
        <v>401.2</v>
      </c>
      <c r="N465" s="1">
        <v>1040</v>
      </c>
      <c r="O465" s="3">
        <v>128</v>
      </c>
      <c r="P465" s="11" t="s">
        <v>2276</v>
      </c>
      <c r="Q465" s="3">
        <v>24</v>
      </c>
      <c r="R465" s="3">
        <v>384</v>
      </c>
      <c r="S465" s="22">
        <v>21</v>
      </c>
      <c r="T465" s="9">
        <v>450</v>
      </c>
      <c r="U465" s="14" t="s">
        <v>475</v>
      </c>
      <c r="V465" s="12">
        <v>4</v>
      </c>
      <c r="W465" s="75">
        <v>16</v>
      </c>
      <c r="X465" s="76">
        <v>16</v>
      </c>
      <c r="Y465" s="9">
        <v>4800.1899999999996</v>
      </c>
      <c r="Z465" s="3">
        <v>4800.1899999999996</v>
      </c>
      <c r="AA465" s="17" t="s">
        <v>1878</v>
      </c>
      <c r="AB465" s="18" t="s">
        <v>1877</v>
      </c>
      <c r="AC465" s="46" cm="1">
        <f t="array" ref="AC465">(SUMPRODUCT((H465:O465/H$9:O$9)^H$7:O$7*H$2:O$2)+SUMPRODUCT((Q465:T465/Q$9:T$9)^Q$7:T$7*Q$2:T$2))*(0.8^(1-G465))*AC$9</f>
        <v>3.8451385410352228</v>
      </c>
      <c r="AD465" s="48" cm="1">
        <f t="array" ref="AD465">(SUMPRODUCT((H465:O465/H$9:O$9)^H$7:O$7*H$3:O$3)+SUMPRODUCT((Q465:T465/Q$9:T$9)^Q$7:T$7*Q$3:T$3))*(0.1^(1-G465))*AD$9</f>
        <v>5.7677236467525699</v>
      </c>
      <c r="AE465" s="48" cm="1">
        <f t="array" ref="AE465">(SUMPRODUCT((H465:O465/H$9:O$9)^H$7:O$7*H$4:O$4)+SUMPRODUCT((Q465:T465/Q$9:T$9)^Q$7:T$7*Q$4:T$4))*AE$9</f>
        <v>4.999004057508909</v>
      </c>
      <c r="AF465" s="47" cm="1">
        <f t="array" ref="AF465">(SUMPRODUCT((H465:O465/H$9:O$9)^H$7:O$7*H$5:O$5)+SUMPRODUCT((Q465:T465/Q$9:T$9)^Q$7:T$7*Q$5:T$5))*AF$9</f>
        <v>4.554519625337992</v>
      </c>
      <c r="AG465" s="50" cm="1">
        <f t="array" ref="AG465">SUMPRODUCT(AC465:AF465 * AC$3:AF$3) / SUM(AC$3:AF$3)</f>
        <v>5.1596788378701763</v>
      </c>
    </row>
    <row r="466" spans="1:33" x14ac:dyDescent="0.25">
      <c r="A466" s="81" t="s">
        <v>1752</v>
      </c>
      <c r="B466" s="20" t="s">
        <v>1754</v>
      </c>
      <c r="C466" s="4" t="s">
        <v>8853</v>
      </c>
      <c r="D466" s="4" t="str">
        <f t="shared" si="7"/>
        <v>ASUS</v>
      </c>
      <c r="E466" s="4" t="s">
        <v>8855</v>
      </c>
      <c r="F466" s="14" t="s">
        <v>8882</v>
      </c>
      <c r="G466" s="9">
        <v>1</v>
      </c>
      <c r="H466" s="1">
        <v>85.03</v>
      </c>
      <c r="I466" s="1">
        <v>85.03</v>
      </c>
      <c r="J466" s="1">
        <v>1.33</v>
      </c>
      <c r="K466" s="3">
        <v>1313</v>
      </c>
      <c r="L466" s="13">
        <v>2595</v>
      </c>
      <c r="M466" s="49">
        <v>401.2</v>
      </c>
      <c r="N466" s="1">
        <v>1040</v>
      </c>
      <c r="O466" s="3">
        <v>128</v>
      </c>
      <c r="P466" s="11" t="s">
        <v>2276</v>
      </c>
      <c r="Q466" s="3">
        <v>24</v>
      </c>
      <c r="R466" s="3">
        <v>384</v>
      </c>
      <c r="S466" s="22">
        <v>21</v>
      </c>
      <c r="T466" s="9">
        <v>450</v>
      </c>
      <c r="U466" s="14" t="s">
        <v>475</v>
      </c>
      <c r="V466" s="12">
        <v>4</v>
      </c>
      <c r="W466" s="75">
        <v>16</v>
      </c>
      <c r="X466" s="76">
        <v>16</v>
      </c>
      <c r="Y466" s="9">
        <v>3489.99</v>
      </c>
      <c r="Z466" s="3">
        <v>3789.99</v>
      </c>
      <c r="AA466" s="17" t="s">
        <v>1753</v>
      </c>
      <c r="AB466" s="18" t="s">
        <v>1752</v>
      </c>
      <c r="AC466" s="46" cm="1">
        <f t="array" ref="AC466">(SUMPRODUCT((H466:O466/H$9:O$9)^H$7:O$7*H$2:O$2)+SUMPRODUCT((Q466:T466/Q$9:T$9)^Q$7:T$7*Q$2:T$2))*(0.8^(1-G466))*AC$9</f>
        <v>3.8322510031268622</v>
      </c>
      <c r="AD466" s="48" cm="1">
        <f t="array" ref="AD466">(SUMPRODUCT((H466:O466/H$9:O$9)^H$7:O$7*H$3:O$3)+SUMPRODUCT((Q466:T466/Q$9:T$9)^Q$7:T$7*Q$3:T$3))*(0.1^(1-G466))*AD$9</f>
        <v>5.6962135710977062</v>
      </c>
      <c r="AE466" s="48" cm="1">
        <f t="array" ref="AE466">(SUMPRODUCT((H466:O466/H$9:O$9)^H$7:O$7*H$4:O$4)+SUMPRODUCT((Q466:T466/Q$9:T$9)^Q$7:T$7*Q$4:T$4))*AE$9</f>
        <v>4.9461353482554689</v>
      </c>
      <c r="AF466" s="47" cm="1">
        <f t="array" ref="AF466">(SUMPRODUCT((H466:O466/H$9:O$9)^H$7:O$7*H$5:O$5)+SUMPRODUCT((Q466:T466/Q$9:T$9)^Q$7:T$7*Q$5:T$5))*AF$9</f>
        <v>4.5168650113922055</v>
      </c>
      <c r="AG466" s="50" cm="1">
        <f t="array" ref="AG466">SUMPRODUCT(AC466:AF466 * AC$3:AF$3) / SUM(AC$3:AF$3)</f>
        <v>5.105653025058067</v>
      </c>
    </row>
    <row r="467" spans="1:33" x14ac:dyDescent="0.25">
      <c r="A467" s="81" t="s">
        <v>1749</v>
      </c>
      <c r="B467" s="20" t="s">
        <v>1751</v>
      </c>
      <c r="C467" s="4" t="s">
        <v>8853</v>
      </c>
      <c r="D467" s="4" t="str">
        <f t="shared" si="7"/>
        <v>ASUS</v>
      </c>
      <c r="E467" s="4" t="s">
        <v>8855</v>
      </c>
      <c r="F467" s="14" t="s">
        <v>8882</v>
      </c>
      <c r="G467" s="9">
        <v>1</v>
      </c>
      <c r="H467" s="1">
        <v>85.03</v>
      </c>
      <c r="I467" s="1">
        <v>85.03</v>
      </c>
      <c r="J467" s="1">
        <v>1.33</v>
      </c>
      <c r="K467" s="3">
        <v>1313</v>
      </c>
      <c r="L467" s="13">
        <v>2595</v>
      </c>
      <c r="M467" s="49">
        <v>401.2</v>
      </c>
      <c r="N467" s="1">
        <v>1040</v>
      </c>
      <c r="O467" s="3">
        <v>128</v>
      </c>
      <c r="P467" s="11" t="s">
        <v>2276</v>
      </c>
      <c r="Q467" s="3">
        <v>24</v>
      </c>
      <c r="R467" s="3">
        <v>384</v>
      </c>
      <c r="S467" s="22">
        <v>21</v>
      </c>
      <c r="T467" s="9">
        <v>450</v>
      </c>
      <c r="U467" s="14" t="s">
        <v>475</v>
      </c>
      <c r="V467" s="12">
        <v>4</v>
      </c>
      <c r="W467" s="75">
        <v>16</v>
      </c>
      <c r="X467" s="76">
        <v>16</v>
      </c>
      <c r="Y467" s="9">
        <v>3713.59</v>
      </c>
      <c r="Z467" s="3">
        <v>4660.2</v>
      </c>
      <c r="AA467" s="17" t="s">
        <v>1750</v>
      </c>
      <c r="AB467" s="18" t="s">
        <v>1749</v>
      </c>
      <c r="AC467" s="46" cm="1">
        <f t="array" ref="AC467">(SUMPRODUCT((H467:O467/H$9:O$9)^H$7:O$7*H$2:O$2)+SUMPRODUCT((Q467:T467/Q$9:T$9)^Q$7:T$7*Q$2:T$2))*(0.8^(1-G467))*AC$9</f>
        <v>3.8322510031268622</v>
      </c>
      <c r="AD467" s="48" cm="1">
        <f t="array" ref="AD467">(SUMPRODUCT((H467:O467/H$9:O$9)^H$7:O$7*H$3:O$3)+SUMPRODUCT((Q467:T467/Q$9:T$9)^Q$7:T$7*Q$3:T$3))*(0.1^(1-G467))*AD$9</f>
        <v>5.6962135710977062</v>
      </c>
      <c r="AE467" s="48" cm="1">
        <f t="array" ref="AE467">(SUMPRODUCT((H467:O467/H$9:O$9)^H$7:O$7*H$4:O$4)+SUMPRODUCT((Q467:T467/Q$9:T$9)^Q$7:T$7*Q$4:T$4))*AE$9</f>
        <v>4.9461353482554689</v>
      </c>
      <c r="AF467" s="47" cm="1">
        <f t="array" ref="AF467">(SUMPRODUCT((H467:O467/H$9:O$9)^H$7:O$7*H$5:O$5)+SUMPRODUCT((Q467:T467/Q$9:T$9)^Q$7:T$7*Q$5:T$5))*AF$9</f>
        <v>4.5168650113922055</v>
      </c>
      <c r="AG467" s="50" cm="1">
        <f t="array" ref="AG467">SUMPRODUCT(AC467:AF467 * AC$3:AF$3) / SUM(AC$3:AF$3)</f>
        <v>5.105653025058067</v>
      </c>
    </row>
    <row r="468" spans="1:33" x14ac:dyDescent="0.25">
      <c r="A468" s="81" t="s">
        <v>1746</v>
      </c>
      <c r="B468" s="20" t="s">
        <v>1748</v>
      </c>
      <c r="C468" s="4" t="s">
        <v>8853</v>
      </c>
      <c r="D468" s="4" t="str">
        <f t="shared" si="7"/>
        <v>ASUS</v>
      </c>
      <c r="E468" s="4" t="s">
        <v>8855</v>
      </c>
      <c r="F468" s="14" t="s">
        <v>8882</v>
      </c>
      <c r="G468" s="9">
        <v>1</v>
      </c>
      <c r="H468" s="1">
        <v>83.56</v>
      </c>
      <c r="I468" s="1">
        <v>83.56</v>
      </c>
      <c r="J468" s="1">
        <v>1.31</v>
      </c>
      <c r="K468" s="3">
        <v>1313</v>
      </c>
      <c r="L468" s="13">
        <v>2550</v>
      </c>
      <c r="M468" s="49">
        <v>401.2</v>
      </c>
      <c r="N468" s="1">
        <v>1040</v>
      </c>
      <c r="O468" s="3">
        <v>128</v>
      </c>
      <c r="P468" s="11" t="s">
        <v>2276</v>
      </c>
      <c r="Q468" s="3">
        <v>24</v>
      </c>
      <c r="R468" s="3">
        <v>384</v>
      </c>
      <c r="S468" s="22">
        <v>21</v>
      </c>
      <c r="T468" s="9">
        <v>450</v>
      </c>
      <c r="U468" s="14" t="s">
        <v>475</v>
      </c>
      <c r="V468" s="12">
        <v>4</v>
      </c>
      <c r="W468" s="75">
        <v>16</v>
      </c>
      <c r="X468" s="76">
        <v>16</v>
      </c>
      <c r="Y468" s="9">
        <v>3514.35</v>
      </c>
      <c r="Z468" s="3">
        <v>3514.35</v>
      </c>
      <c r="AA468" s="17" t="s">
        <v>1747</v>
      </c>
      <c r="AB468" s="18" t="s">
        <v>1746</v>
      </c>
      <c r="AC468" s="46" cm="1">
        <f t="array" ref="AC468">(SUMPRODUCT((H468:O468/H$9:O$9)^H$7:O$7*H$2:O$2)+SUMPRODUCT((Q468:T468/Q$9:T$9)^Q$7:T$7*Q$2:T$2))*(0.8^(1-G468))*AC$9</f>
        <v>3.8193907064472632</v>
      </c>
      <c r="AD468" s="48" cm="1">
        <f t="array" ref="AD468">(SUMPRODUCT((H468:O468/H$9:O$9)^H$7:O$7*H$3:O$3)+SUMPRODUCT((Q468:T468/Q$9:T$9)^Q$7:T$7*Q$3:T$3))*(0.1^(1-G468))*AD$9</f>
        <v>5.6249886891319267</v>
      </c>
      <c r="AE468" s="48" cm="1">
        <f t="array" ref="AE468">(SUMPRODUCT((H468:O468/H$9:O$9)^H$7:O$7*H$4:O$4)+SUMPRODUCT((Q468:T468/Q$9:T$9)^Q$7:T$7*Q$4:T$4))*AE$9</f>
        <v>4.8932842898667124</v>
      </c>
      <c r="AF468" s="47" cm="1">
        <f t="array" ref="AF468">(SUMPRODUCT((H468:O468/H$9:O$9)^H$7:O$7*H$5:O$5)+SUMPRODUCT((Q468:T468/Q$9:T$9)^Q$7:T$7*Q$5:T$5))*AF$9</f>
        <v>4.4793795648398067</v>
      </c>
      <c r="AG468" s="50" cm="1">
        <f t="array" ref="AG468">SUMPRODUCT(AC468:AF468 * AC$3:AF$3) / SUM(AC$3:AF$3)</f>
        <v>5.0518203491618836</v>
      </c>
    </row>
    <row r="469" spans="1:33" x14ac:dyDescent="0.25">
      <c r="A469" s="81" t="s">
        <v>1421</v>
      </c>
      <c r="B469" s="20" t="s">
        <v>1423</v>
      </c>
      <c r="C469" s="4" t="s">
        <v>8853</v>
      </c>
      <c r="D469" s="4" t="str">
        <f t="shared" si="7"/>
        <v>GIGABYTE</v>
      </c>
      <c r="E469" s="4" t="s">
        <v>8855</v>
      </c>
      <c r="F469" s="14" t="s">
        <v>8882</v>
      </c>
      <c r="G469" s="9">
        <v>1</v>
      </c>
      <c r="H469" s="1">
        <v>83.07</v>
      </c>
      <c r="I469" s="1">
        <v>83.07</v>
      </c>
      <c r="J469" s="1">
        <v>1.3</v>
      </c>
      <c r="K469" s="3">
        <v>1313</v>
      </c>
      <c r="L469" s="13">
        <v>2535</v>
      </c>
      <c r="M469" s="49">
        <v>401.2</v>
      </c>
      <c r="N469" s="1">
        <v>1040</v>
      </c>
      <c r="O469" s="3">
        <v>128</v>
      </c>
      <c r="P469" s="11" t="s">
        <v>2276</v>
      </c>
      <c r="Q469" s="3">
        <v>24</v>
      </c>
      <c r="R469" s="3">
        <v>384</v>
      </c>
      <c r="S469" s="22">
        <v>21</v>
      </c>
      <c r="T469" s="9">
        <v>450</v>
      </c>
      <c r="U469" s="14" t="s">
        <v>475</v>
      </c>
      <c r="V469" s="12">
        <v>4</v>
      </c>
      <c r="W469" s="75">
        <v>16</v>
      </c>
      <c r="X469" s="76">
        <v>16</v>
      </c>
      <c r="Y469" s="9">
        <v>4225.41</v>
      </c>
      <c r="Z469" s="3">
        <v>4225.41</v>
      </c>
      <c r="AA469" s="17" t="s">
        <v>1422</v>
      </c>
      <c r="AB469" s="18" t="s">
        <v>1421</v>
      </c>
      <c r="AC469" s="46" cm="1">
        <f t="array" ref="AC469">(SUMPRODUCT((H469:O469/H$9:O$9)^H$7:O$7*H$2:O$2)+SUMPRODUCT((Q469:T469/Q$9:T$9)^Q$7:T$7*Q$2:T$2))*(0.8^(1-G469))*AC$9</f>
        <v>3.8150989235891877</v>
      </c>
      <c r="AD469" s="48" cm="1">
        <f t="array" ref="AD469">(SUMPRODUCT((H469:O469/H$9:O$9)^H$7:O$7*H$3:O$3)+SUMPRODUCT((Q469:T469/Q$9:T$9)^Q$7:T$7*Q$3:T$3))*(0.1^(1-G469))*AD$9</f>
        <v>5.6004714440805126</v>
      </c>
      <c r="AE469" s="48" cm="1">
        <f t="array" ref="AE469">(SUMPRODUCT((H469:O469/H$9:O$9)^H$7:O$7*H$4:O$4)+SUMPRODUCT((Q469:T469/Q$9:T$9)^Q$7:T$7*Q$4:T$4))*AE$9</f>
        <v>4.8704614444722045</v>
      </c>
      <c r="AF469" s="47" cm="1">
        <f t="array" ref="AF469">(SUMPRODUCT((H469:O469/H$9:O$9)^H$7:O$7*H$5:O$5)+SUMPRODUCT((Q469:T469/Q$9:T$9)^Q$7:T$7*Q$5:T$5))*AF$9</f>
        <v>4.4668686220375307</v>
      </c>
      <c r="AG469" s="50" cm="1">
        <f t="array" ref="AG469">SUMPRODUCT(AC469:AF469 * AC$3:AF$3) / SUM(AC$3:AF$3)</f>
        <v>5.0328633314794269</v>
      </c>
    </row>
    <row r="470" spans="1:33" x14ac:dyDescent="0.25">
      <c r="A470" s="81" t="s">
        <v>1418</v>
      </c>
      <c r="B470" s="20" t="s">
        <v>1420</v>
      </c>
      <c r="C470" s="4" t="s">
        <v>8853</v>
      </c>
      <c r="D470" s="4" t="str">
        <f t="shared" si="7"/>
        <v>GIGABYTE</v>
      </c>
      <c r="E470" s="4" t="s">
        <v>8855</v>
      </c>
      <c r="F470" s="14" t="s">
        <v>8882</v>
      </c>
      <c r="G470" s="9">
        <v>1</v>
      </c>
      <c r="H470" s="1">
        <v>83.07</v>
      </c>
      <c r="I470" s="1">
        <v>83.07</v>
      </c>
      <c r="J470" s="1">
        <v>1.3</v>
      </c>
      <c r="K470" s="3">
        <v>1313</v>
      </c>
      <c r="L470" s="13">
        <v>2535</v>
      </c>
      <c r="M470" s="49">
        <v>401.2</v>
      </c>
      <c r="N470" s="1">
        <v>1040</v>
      </c>
      <c r="O470" s="3">
        <v>128</v>
      </c>
      <c r="P470" s="11" t="s">
        <v>2276</v>
      </c>
      <c r="Q470" s="3">
        <v>24</v>
      </c>
      <c r="R470" s="3">
        <v>384</v>
      </c>
      <c r="S470" s="22">
        <v>21</v>
      </c>
      <c r="T470" s="9">
        <v>450</v>
      </c>
      <c r="U470" s="14" t="s">
        <v>475</v>
      </c>
      <c r="V470" s="12">
        <v>4</v>
      </c>
      <c r="W470" s="75">
        <v>16</v>
      </c>
      <c r="X470" s="76">
        <v>16</v>
      </c>
      <c r="Y470" s="9">
        <v>3574.94</v>
      </c>
      <c r="Z470" s="3">
        <v>4483.82</v>
      </c>
      <c r="AA470" s="17" t="s">
        <v>1419</v>
      </c>
      <c r="AB470" s="18" t="s">
        <v>1418</v>
      </c>
      <c r="AC470" s="46" cm="1">
        <f t="array" ref="AC470">(SUMPRODUCT((H470:O470/H$9:O$9)^H$7:O$7*H$2:O$2)+SUMPRODUCT((Q470:T470/Q$9:T$9)^Q$7:T$7*Q$2:T$2))*(0.8^(1-G470))*AC$9</f>
        <v>3.8150989235891877</v>
      </c>
      <c r="AD470" s="48" cm="1">
        <f t="array" ref="AD470">(SUMPRODUCT((H470:O470/H$9:O$9)^H$7:O$7*H$3:O$3)+SUMPRODUCT((Q470:T470/Q$9:T$9)^Q$7:T$7*Q$3:T$3))*(0.1^(1-G470))*AD$9</f>
        <v>5.6004714440805126</v>
      </c>
      <c r="AE470" s="48" cm="1">
        <f t="array" ref="AE470">(SUMPRODUCT((H470:O470/H$9:O$9)^H$7:O$7*H$4:O$4)+SUMPRODUCT((Q470:T470/Q$9:T$9)^Q$7:T$7*Q$4:T$4))*AE$9</f>
        <v>4.8704614444722045</v>
      </c>
      <c r="AF470" s="47" cm="1">
        <f t="array" ref="AF470">(SUMPRODUCT((H470:O470/H$9:O$9)^H$7:O$7*H$5:O$5)+SUMPRODUCT((Q470:T470/Q$9:T$9)^Q$7:T$7*Q$5:T$5))*AF$9</f>
        <v>4.4668686220375307</v>
      </c>
      <c r="AG470" s="50" cm="1">
        <f t="array" ref="AG470">SUMPRODUCT(AC470:AF470 * AC$3:AF$3) / SUM(AC$3:AF$3)</f>
        <v>5.0328633314794269</v>
      </c>
    </row>
    <row r="471" spans="1:33" x14ac:dyDescent="0.25">
      <c r="A471" s="81" t="s">
        <v>1415</v>
      </c>
      <c r="B471" s="20" t="s">
        <v>1417</v>
      </c>
      <c r="C471" s="4" t="s">
        <v>8853</v>
      </c>
      <c r="D471" s="4" t="str">
        <f t="shared" si="7"/>
        <v>GIGABYTE</v>
      </c>
      <c r="E471" s="4" t="s">
        <v>8855</v>
      </c>
      <c r="F471" s="14" t="s">
        <v>8882</v>
      </c>
      <c r="G471" s="9">
        <v>1</v>
      </c>
      <c r="H471" s="1">
        <v>82.58</v>
      </c>
      <c r="I471" s="1">
        <v>82.58</v>
      </c>
      <c r="J471" s="1">
        <v>1.29</v>
      </c>
      <c r="K471" s="3">
        <v>1313</v>
      </c>
      <c r="L471" s="13">
        <v>2520</v>
      </c>
      <c r="M471" s="49">
        <v>401.2</v>
      </c>
      <c r="N471" s="1">
        <v>1040</v>
      </c>
      <c r="O471" s="3">
        <v>128</v>
      </c>
      <c r="P471" s="11" t="s">
        <v>2276</v>
      </c>
      <c r="Q471" s="3">
        <v>24</v>
      </c>
      <c r="R471" s="3">
        <v>384</v>
      </c>
      <c r="S471" s="22">
        <v>21</v>
      </c>
      <c r="T471" s="9">
        <v>450</v>
      </c>
      <c r="U471" s="14" t="s">
        <v>475</v>
      </c>
      <c r="V471" s="12">
        <v>4</v>
      </c>
      <c r="W471" s="75">
        <v>16</v>
      </c>
      <c r="X471" s="76">
        <v>16</v>
      </c>
      <c r="Y471" s="9">
        <v>3713.59</v>
      </c>
      <c r="Z471" s="3">
        <v>3713.59</v>
      </c>
      <c r="AA471" s="17" t="s">
        <v>1416</v>
      </c>
      <c r="AB471" s="18" t="s">
        <v>1415</v>
      </c>
      <c r="AC471" s="46" cm="1">
        <f t="array" ref="AC471">(SUMPRODUCT((H471:O471/H$9:O$9)^H$7:O$7*H$2:O$2)+SUMPRODUCT((Q471:T471/Q$9:T$9)^Q$7:T$7*Q$2:T$2))*(0.8^(1-G471))*AC$9</f>
        <v>3.8108046049579571</v>
      </c>
      <c r="AD471" s="48" cm="1">
        <f t="array" ref="AD471">(SUMPRODUCT((H471:O471/H$9:O$9)^H$7:O$7*H$3:O$3)+SUMPRODUCT((Q471:T471/Q$9:T$9)^Q$7:T$7*Q$3:T$3))*(0.1^(1-G471))*AD$9</f>
        <v>5.575934027864089</v>
      </c>
      <c r="AE471" s="48" cm="1">
        <f t="array" ref="AE471">(SUMPRODUCT((H471:O471/H$9:O$9)^H$7:O$7*H$4:O$4)+SUMPRODUCT((Q471:T471/Q$9:T$9)^Q$7:T$7*Q$4:T$4))*AE$9</f>
        <v>4.8476103935076269</v>
      </c>
      <c r="AF471" s="47" cm="1">
        <f t="array" ref="AF471">(SUMPRODUCT((H471:O471/H$9:O$9)^H$7:O$7*H$5:O$5)+SUMPRODUCT((Q471:T471/Q$9:T$9)^Q$7:T$7*Q$5:T$5))*AF$9</f>
        <v>4.45434969609998</v>
      </c>
      <c r="AG471" s="50" cm="1">
        <f t="array" ref="AG471">SUMPRODUCT(AC471:AF471 * AC$3:AF$3) / SUM(AC$3:AF$3)</f>
        <v>5.0138902204905538</v>
      </c>
    </row>
    <row r="472" spans="1:33" x14ac:dyDescent="0.25">
      <c r="A472" s="81" t="s">
        <v>919</v>
      </c>
      <c r="B472" s="20" t="s">
        <v>450</v>
      </c>
      <c r="C472" s="4" t="s">
        <v>8853</v>
      </c>
      <c r="D472" s="4" t="str">
        <f t="shared" si="7"/>
        <v>MSI</v>
      </c>
      <c r="E472" s="4" t="s">
        <v>8855</v>
      </c>
      <c r="F472" s="14" t="s">
        <v>8882</v>
      </c>
      <c r="G472" s="9">
        <v>1</v>
      </c>
      <c r="H472" s="1">
        <v>83.07</v>
      </c>
      <c r="I472" s="1">
        <v>83.07</v>
      </c>
      <c r="J472" s="1">
        <v>1.3</v>
      </c>
      <c r="K472" s="3">
        <v>1313</v>
      </c>
      <c r="L472" s="13">
        <v>2535</v>
      </c>
      <c r="M472" s="49">
        <v>401.2</v>
      </c>
      <c r="N472" s="1">
        <v>1040</v>
      </c>
      <c r="O472" s="3">
        <v>128</v>
      </c>
      <c r="P472" s="11" t="s">
        <v>2276</v>
      </c>
      <c r="Q472" s="3">
        <v>24</v>
      </c>
      <c r="R472" s="3">
        <v>384</v>
      </c>
      <c r="S472" s="22">
        <v>21</v>
      </c>
      <c r="T472" s="9">
        <v>450</v>
      </c>
      <c r="U472" s="14" t="s">
        <v>471</v>
      </c>
      <c r="V472" s="12">
        <v>4</v>
      </c>
      <c r="W472" s="75">
        <v>16</v>
      </c>
      <c r="X472" s="76">
        <v>16</v>
      </c>
      <c r="Y472" s="9">
        <v>3989.99</v>
      </c>
      <c r="Z472" s="3">
        <v>4835.05</v>
      </c>
      <c r="AA472" s="17" t="s">
        <v>920</v>
      </c>
      <c r="AB472" s="18" t="s">
        <v>919</v>
      </c>
      <c r="AC472" s="46" cm="1">
        <f t="array" ref="AC472">(SUMPRODUCT((H472:O472/H$9:O$9)^H$7:O$7*H$2:O$2)+SUMPRODUCT((Q472:T472/Q$9:T$9)^Q$7:T$7*Q$2:T$2))*(0.8^(1-G472))*AC$9</f>
        <v>3.8150989235891877</v>
      </c>
      <c r="AD472" s="48" cm="1">
        <f t="array" ref="AD472">(SUMPRODUCT((H472:O472/H$9:O$9)^H$7:O$7*H$3:O$3)+SUMPRODUCT((Q472:T472/Q$9:T$9)^Q$7:T$7*Q$3:T$3))*(0.1^(1-G472))*AD$9</f>
        <v>5.6004714440805126</v>
      </c>
      <c r="AE472" s="48" cm="1">
        <f t="array" ref="AE472">(SUMPRODUCT((H472:O472/H$9:O$9)^H$7:O$7*H$4:O$4)+SUMPRODUCT((Q472:T472/Q$9:T$9)^Q$7:T$7*Q$4:T$4))*AE$9</f>
        <v>4.8704614444722045</v>
      </c>
      <c r="AF472" s="47" cm="1">
        <f t="array" ref="AF472">(SUMPRODUCT((H472:O472/H$9:O$9)^H$7:O$7*H$5:O$5)+SUMPRODUCT((Q472:T472/Q$9:T$9)^Q$7:T$7*Q$5:T$5))*AF$9</f>
        <v>4.4668686220375307</v>
      </c>
      <c r="AG472" s="50" cm="1">
        <f t="array" ref="AG472">SUMPRODUCT(AC472:AF472 * AC$3:AF$3) / SUM(AC$3:AF$3)</f>
        <v>5.0328633314794269</v>
      </c>
    </row>
    <row r="473" spans="1:33" x14ac:dyDescent="0.25">
      <c r="A473" s="81" t="s">
        <v>916</v>
      </c>
      <c r="B473" s="20" t="s">
        <v>918</v>
      </c>
      <c r="C473" s="4" t="s">
        <v>8853</v>
      </c>
      <c r="D473" s="4" t="str">
        <f t="shared" si="7"/>
        <v>MSI</v>
      </c>
      <c r="E473" s="4" t="s">
        <v>8855</v>
      </c>
      <c r="F473" s="14" t="s">
        <v>8882</v>
      </c>
      <c r="G473" s="9">
        <v>1</v>
      </c>
      <c r="H473" s="1">
        <v>85.52</v>
      </c>
      <c r="I473" s="1">
        <v>85.52</v>
      </c>
      <c r="J473" s="1">
        <v>1.34</v>
      </c>
      <c r="K473" s="3">
        <v>1313</v>
      </c>
      <c r="L473" s="13">
        <v>2610</v>
      </c>
      <c r="M473" s="49">
        <v>401.2</v>
      </c>
      <c r="N473" s="1">
        <v>1040</v>
      </c>
      <c r="O473" s="3">
        <v>128</v>
      </c>
      <c r="P473" s="11" t="s">
        <v>2276</v>
      </c>
      <c r="Q473" s="3">
        <v>24</v>
      </c>
      <c r="R473" s="3">
        <v>384</v>
      </c>
      <c r="S473" s="22">
        <v>21</v>
      </c>
      <c r="T473" s="9">
        <v>450</v>
      </c>
      <c r="U473" s="14" t="s">
        <v>471</v>
      </c>
      <c r="V473" s="12">
        <v>4</v>
      </c>
      <c r="W473" s="75">
        <v>16</v>
      </c>
      <c r="X473" s="76">
        <v>16</v>
      </c>
      <c r="Y473" s="9">
        <v>3489.99</v>
      </c>
      <c r="Z473" s="3">
        <v>3998.92</v>
      </c>
      <c r="AA473" s="17" t="s">
        <v>917</v>
      </c>
      <c r="AB473" s="18" t="s">
        <v>916</v>
      </c>
      <c r="AC473" s="46" cm="1">
        <f t="array" ref="AC473">(SUMPRODUCT((H473:O473/H$9:O$9)^H$7:O$7*H$2:O$2)+SUMPRODUCT((Q473:T473/Q$9:T$9)^Q$7:T$7*Q$2:T$2))*(0.8^(1-G473))*AC$9</f>
        <v>3.8365328046475633</v>
      </c>
      <c r="AD473" s="48" cm="1">
        <f t="array" ref="AD473">(SUMPRODUCT((H473:O473/H$9:O$9)^H$7:O$7*H$3:O$3)+SUMPRODUCT((Q473:T473/Q$9:T$9)^Q$7:T$7*Q$3:T$3))*(0.1^(1-G473))*AD$9</f>
        <v>5.7206548292944479</v>
      </c>
      <c r="AE473" s="48" cm="1">
        <f t="array" ref="AE473">(SUMPRODUCT((H473:O473/H$9:O$9)^H$7:O$7*H$4:O$4)+SUMPRODUCT((Q473:T473/Q$9:T$9)^Q$7:T$7*Q$4:T$4))*AE$9</f>
        <v>4.9688708410303217</v>
      </c>
      <c r="AF473" s="47" cm="1">
        <f t="array" ref="AF473">(SUMPRODUCT((H473:O473/H$9:O$9)^H$7:O$7*H$5:O$5)+SUMPRODUCT((Q473:T473/Q$9:T$9)^Q$7:T$7*Q$5:T$5))*AF$9</f>
        <v>4.5293445354552917</v>
      </c>
      <c r="AG473" s="50" cm="1">
        <f t="array" ref="AG473">SUMPRODUCT(AC473:AF473 * AC$3:AF$3) / SUM(AC$3:AF$3)</f>
        <v>5.1245512219618723</v>
      </c>
    </row>
    <row r="474" spans="1:33" x14ac:dyDescent="0.25">
      <c r="A474" s="81" t="s">
        <v>913</v>
      </c>
      <c r="B474" s="20" t="s">
        <v>915</v>
      </c>
      <c r="C474" s="4" t="s">
        <v>8853</v>
      </c>
      <c r="D474" s="4" t="str">
        <f t="shared" si="7"/>
        <v>MSI</v>
      </c>
      <c r="E474" s="4" t="s">
        <v>8855</v>
      </c>
      <c r="F474" s="14" t="s">
        <v>8882</v>
      </c>
      <c r="G474" s="9">
        <v>1</v>
      </c>
      <c r="H474" s="1">
        <v>85.52</v>
      </c>
      <c r="I474" s="1">
        <v>85.52</v>
      </c>
      <c r="J474" s="1">
        <v>1.34</v>
      </c>
      <c r="K474" s="3">
        <v>1313</v>
      </c>
      <c r="L474" s="13">
        <v>2610</v>
      </c>
      <c r="M474" s="49">
        <v>401.2</v>
      </c>
      <c r="N474" s="1">
        <v>1040</v>
      </c>
      <c r="O474" s="3">
        <v>128</v>
      </c>
      <c r="P474" s="11" t="s">
        <v>2276</v>
      </c>
      <c r="Q474" s="3">
        <v>24</v>
      </c>
      <c r="R474" s="3">
        <v>384</v>
      </c>
      <c r="S474" s="22">
        <v>21</v>
      </c>
      <c r="T474" s="9">
        <v>480</v>
      </c>
      <c r="U474" s="14" t="s">
        <v>471</v>
      </c>
      <c r="V474" s="12">
        <v>4</v>
      </c>
      <c r="W474" s="75">
        <v>16</v>
      </c>
      <c r="X474" s="76">
        <v>16</v>
      </c>
      <c r="Y474" s="9">
        <v>3789</v>
      </c>
      <c r="Z474" s="3">
        <v>4241.28</v>
      </c>
      <c r="AA474" s="17" t="s">
        <v>914</v>
      </c>
      <c r="AB474" s="18" t="s">
        <v>913</v>
      </c>
      <c r="AC474" s="46" cm="1">
        <f t="array" ref="AC474">(SUMPRODUCT((H474:O474/H$9:O$9)^H$7:O$7*H$2:O$2)+SUMPRODUCT((Q474:T474/Q$9:T$9)^Q$7:T$7*Q$2:T$2))*(0.8^(1-G474))*AC$9</f>
        <v>3.8359066040995473</v>
      </c>
      <c r="AD474" s="48" cm="1">
        <f t="array" ref="AD474">(SUMPRODUCT((H474:O474/H$9:O$9)^H$7:O$7*H$3:O$3)+SUMPRODUCT((Q474:T474/Q$9:T$9)^Q$7:T$7*Q$3:T$3))*(0.1^(1-G474))*AD$9</f>
        <v>5.7200286287464319</v>
      </c>
      <c r="AE474" s="48" cm="1">
        <f t="array" ref="AE474">(SUMPRODUCT((H474:O474/H$9:O$9)^H$7:O$7*H$4:O$4)+SUMPRODUCT((Q474:T474/Q$9:T$9)^Q$7:T$7*Q$4:T$4))*AE$9</f>
        <v>4.9688708410303217</v>
      </c>
      <c r="AF474" s="47" cm="1">
        <f t="array" ref="AF474">(SUMPRODUCT((H474:O474/H$9:O$9)^H$7:O$7*H$5:O$5)+SUMPRODUCT((Q474:T474/Q$9:T$9)^Q$7:T$7*Q$5:T$5))*AF$9</f>
        <v>4.5287183349072757</v>
      </c>
      <c r="AG474" s="50" cm="1">
        <f t="array" ref="AG474">SUMPRODUCT(AC474:AF474 * AC$3:AF$3) / SUM(AC$3:AF$3)</f>
        <v>5.1239945992525247</v>
      </c>
    </row>
    <row r="475" spans="1:33" x14ac:dyDescent="0.25">
      <c r="A475" s="81" t="s">
        <v>910</v>
      </c>
      <c r="B475" s="20" t="s">
        <v>912</v>
      </c>
      <c r="C475" s="4" t="s">
        <v>8853</v>
      </c>
      <c r="D475" s="4" t="str">
        <f t="shared" si="7"/>
        <v>MSI</v>
      </c>
      <c r="E475" s="4" t="s">
        <v>8855</v>
      </c>
      <c r="F475" s="14" t="s">
        <v>8882</v>
      </c>
      <c r="G475" s="9">
        <v>1</v>
      </c>
      <c r="H475" s="1">
        <v>86.51</v>
      </c>
      <c r="I475" s="1">
        <v>86.51</v>
      </c>
      <c r="J475" s="1">
        <v>1.35</v>
      </c>
      <c r="K475" s="3">
        <v>1313</v>
      </c>
      <c r="L475" s="13">
        <v>2640</v>
      </c>
      <c r="M475" s="49">
        <v>401.2</v>
      </c>
      <c r="N475" s="1">
        <v>1040</v>
      </c>
      <c r="O475" s="3">
        <v>128</v>
      </c>
      <c r="P475" s="11" t="s">
        <v>2276</v>
      </c>
      <c r="Q475" s="3">
        <v>24</v>
      </c>
      <c r="R475" s="3">
        <v>384</v>
      </c>
      <c r="S475" s="22">
        <v>21</v>
      </c>
      <c r="T475" s="9">
        <v>480</v>
      </c>
      <c r="U475" s="14" t="s">
        <v>475</v>
      </c>
      <c r="V475" s="12">
        <v>4</v>
      </c>
      <c r="W475" s="75">
        <v>16</v>
      </c>
      <c r="X475" s="76">
        <v>16</v>
      </c>
      <c r="Y475" s="9">
        <v>3489.99</v>
      </c>
      <c r="Z475" s="3">
        <v>4123.13</v>
      </c>
      <c r="AA475" s="17" t="s">
        <v>911</v>
      </c>
      <c r="AB475" s="18" t="s">
        <v>910</v>
      </c>
      <c r="AC475" s="46" cm="1">
        <f t="array" ref="AC475">(SUMPRODUCT((H475:O475/H$9:O$9)^H$7:O$7*H$2:O$2)+SUMPRODUCT((Q475:T475/Q$9:T$9)^Q$7:T$7*Q$2:T$2))*(0.8^(1-G475))*AC$9</f>
        <v>3.8445123404872068</v>
      </c>
      <c r="AD475" s="48" cm="1">
        <f t="array" ref="AD475">(SUMPRODUCT((H475:O475/H$9:O$9)^H$7:O$7*H$3:O$3)+SUMPRODUCT((Q475:T475/Q$9:T$9)^Q$7:T$7*Q$3:T$3))*(0.1^(1-G475))*AD$9</f>
        <v>5.7670974462045539</v>
      </c>
      <c r="AE475" s="48" cm="1">
        <f t="array" ref="AE475">(SUMPRODUCT((H475:O475/H$9:O$9)^H$7:O$7*H$4:O$4)+SUMPRODUCT((Q475:T475/Q$9:T$9)^Q$7:T$7*Q$4:T$4))*AE$9</f>
        <v>4.999004057508909</v>
      </c>
      <c r="AF475" s="47" cm="1">
        <f t="array" ref="AF475">(SUMPRODUCT((H475:O475/H$9:O$9)^H$7:O$7*H$5:O$5)+SUMPRODUCT((Q475:T475/Q$9:T$9)^Q$7:T$7*Q$5:T$5))*AF$9</f>
        <v>4.5538934247899752</v>
      </c>
      <c r="AG475" s="50" cm="1">
        <f t="array" ref="AG475">SUMPRODUCT(AC475:AF475 * AC$3:AF$3) / SUM(AC$3:AF$3)</f>
        <v>5.1591222151608287</v>
      </c>
    </row>
    <row r="476" spans="1:33" x14ac:dyDescent="0.25">
      <c r="A476" s="81" t="s">
        <v>907</v>
      </c>
      <c r="B476" s="20" t="s">
        <v>909</v>
      </c>
      <c r="C476" s="4" t="s">
        <v>8853</v>
      </c>
      <c r="D476" s="4" t="str">
        <f t="shared" si="7"/>
        <v>MSI</v>
      </c>
      <c r="E476" s="4" t="s">
        <v>8855</v>
      </c>
      <c r="F476" s="14" t="s">
        <v>8882</v>
      </c>
      <c r="G476" s="9">
        <v>1</v>
      </c>
      <c r="H476" s="1">
        <v>86.51</v>
      </c>
      <c r="I476" s="1">
        <v>86.51</v>
      </c>
      <c r="J476" s="1">
        <v>1.35</v>
      </c>
      <c r="K476" s="3">
        <v>1313</v>
      </c>
      <c r="L476" s="13">
        <v>2640</v>
      </c>
      <c r="M476" s="49">
        <v>401.2</v>
      </c>
      <c r="N476" s="1">
        <v>1040</v>
      </c>
      <c r="O476" s="3">
        <v>128</v>
      </c>
      <c r="P476" s="11" t="s">
        <v>2276</v>
      </c>
      <c r="Q476" s="3">
        <v>24</v>
      </c>
      <c r="R476" s="3">
        <v>384</v>
      </c>
      <c r="S476" s="22">
        <v>21</v>
      </c>
      <c r="T476" s="9">
        <v>450</v>
      </c>
      <c r="U476" s="14" t="s">
        <v>475</v>
      </c>
      <c r="V476" s="12">
        <v>4</v>
      </c>
      <c r="W476" s="75">
        <v>16</v>
      </c>
      <c r="X476" s="76">
        <v>16</v>
      </c>
      <c r="Y476" s="9">
        <v>3789</v>
      </c>
      <c r="Z476" s="3">
        <v>6058.98</v>
      </c>
      <c r="AA476" s="17" t="s">
        <v>908</v>
      </c>
      <c r="AB476" s="18" t="s">
        <v>907</v>
      </c>
      <c r="AC476" s="46" cm="1">
        <f t="array" ref="AC476">(SUMPRODUCT((H476:O476/H$9:O$9)^H$7:O$7*H$2:O$2)+SUMPRODUCT((Q476:T476/Q$9:T$9)^Q$7:T$7*Q$2:T$2))*(0.8^(1-G476))*AC$9</f>
        <v>3.8451385410352228</v>
      </c>
      <c r="AD476" s="48" cm="1">
        <f t="array" ref="AD476">(SUMPRODUCT((H476:O476/H$9:O$9)^H$7:O$7*H$3:O$3)+SUMPRODUCT((Q476:T476/Q$9:T$9)^Q$7:T$7*Q$3:T$3))*(0.1^(1-G476))*AD$9</f>
        <v>5.7677236467525699</v>
      </c>
      <c r="AE476" s="48" cm="1">
        <f t="array" ref="AE476">(SUMPRODUCT((H476:O476/H$9:O$9)^H$7:O$7*H$4:O$4)+SUMPRODUCT((Q476:T476/Q$9:T$9)^Q$7:T$7*Q$4:T$4))*AE$9</f>
        <v>4.999004057508909</v>
      </c>
      <c r="AF476" s="47" cm="1">
        <f t="array" ref="AF476">(SUMPRODUCT((H476:O476/H$9:O$9)^H$7:O$7*H$5:O$5)+SUMPRODUCT((Q476:T476/Q$9:T$9)^Q$7:T$7*Q$5:T$5))*AF$9</f>
        <v>4.554519625337992</v>
      </c>
      <c r="AG476" s="50" cm="1">
        <f t="array" ref="AG476">SUMPRODUCT(AC476:AF476 * AC$3:AF$3) / SUM(AC$3:AF$3)</f>
        <v>5.1596788378701763</v>
      </c>
    </row>
    <row r="477" spans="1:33" x14ac:dyDescent="0.25">
      <c r="A477" s="81" t="s">
        <v>904</v>
      </c>
      <c r="B477" s="20" t="s">
        <v>906</v>
      </c>
      <c r="C477" s="4" t="s">
        <v>8853</v>
      </c>
      <c r="D477" s="4" t="str">
        <f t="shared" si="7"/>
        <v>MSI</v>
      </c>
      <c r="E477" s="4" t="s">
        <v>8855</v>
      </c>
      <c r="F477" s="14" t="s">
        <v>8882</v>
      </c>
      <c r="G477" s="9">
        <v>1</v>
      </c>
      <c r="H477" s="1">
        <v>84.05</v>
      </c>
      <c r="I477" s="1">
        <v>84.05</v>
      </c>
      <c r="J477" s="1">
        <v>1.31</v>
      </c>
      <c r="K477" s="3">
        <v>1313</v>
      </c>
      <c r="L477" s="13">
        <v>2565</v>
      </c>
      <c r="M477" s="49">
        <v>401.2</v>
      </c>
      <c r="N477" s="1">
        <v>1040</v>
      </c>
      <c r="O477" s="3">
        <v>128</v>
      </c>
      <c r="P477" s="11" t="s">
        <v>2276</v>
      </c>
      <c r="Q477" s="3">
        <v>24</v>
      </c>
      <c r="R477" s="3">
        <v>384</v>
      </c>
      <c r="S477" s="22">
        <v>21</v>
      </c>
      <c r="T477" s="9">
        <v>450</v>
      </c>
      <c r="U477" s="14" t="s">
        <v>471</v>
      </c>
      <c r="V477" s="12">
        <v>4</v>
      </c>
      <c r="W477" s="75">
        <v>16</v>
      </c>
      <c r="X477" s="76">
        <v>16</v>
      </c>
      <c r="Y477" s="9">
        <v>3789</v>
      </c>
      <c r="Z477" s="3">
        <v>3789</v>
      </c>
      <c r="AA477" s="17" t="s">
        <v>905</v>
      </c>
      <c r="AB477" s="18" t="s">
        <v>904</v>
      </c>
      <c r="AC477" s="46" cm="1">
        <f t="array" ref="AC477">(SUMPRODUCT((H477:O477/H$9:O$9)^H$7:O$7*H$2:O$2)+SUMPRODUCT((Q477:T477/Q$9:T$9)^Q$7:T$7*Q$2:T$2))*(0.8^(1-G477))*AC$9</f>
        <v>3.823679969906594</v>
      </c>
      <c r="AD477" s="48" cm="1">
        <f t="array" ref="AD477">(SUMPRODUCT((H477:O477/H$9:O$9)^H$7:O$7*H$3:O$3)+SUMPRODUCT((Q477:T477/Q$9:T$9)^Q$7:T$7*Q$3:T$3))*(0.1^(1-G477))*AD$9</f>
        <v>5.6472719904811237</v>
      </c>
      <c r="AE477" s="48" cm="1">
        <f t="array" ref="AE477">(SUMPRODUCT((H477:O477/H$9:O$9)^H$7:O$7*H$4:O$4)+SUMPRODUCT((Q477:T477/Q$9:T$9)^Q$7:T$7*Q$4:T$4))*AE$9</f>
        <v>4.9005817711808275</v>
      </c>
      <c r="AF477" s="47" cm="1">
        <f t="array" ref="AF477">(SUMPRODUCT((H477:O477/H$9:O$9)^H$7:O$7*H$5:O$5)+SUMPRODUCT((Q477:T477/Q$9:T$9)^Q$7:T$7*Q$5:T$5))*AF$9</f>
        <v>4.4918825765214958</v>
      </c>
      <c r="AG477" s="50" cm="1">
        <f t="array" ref="AG477">SUMPRODUCT(AC477:AF477 * AC$3:AF$3) / SUM(AC$3:AF$3)</f>
        <v>5.0678095048031757</v>
      </c>
    </row>
    <row r="478" spans="1:33" x14ac:dyDescent="0.25">
      <c r="A478" s="81" t="s">
        <v>901</v>
      </c>
      <c r="B478" s="20" t="s">
        <v>903</v>
      </c>
      <c r="C478" s="4" t="s">
        <v>8853</v>
      </c>
      <c r="D478" s="4" t="str">
        <f t="shared" si="7"/>
        <v>MSI</v>
      </c>
      <c r="E478" s="4" t="s">
        <v>8855</v>
      </c>
      <c r="F478" s="14" t="s">
        <v>8882</v>
      </c>
      <c r="G478" s="9">
        <v>1</v>
      </c>
      <c r="H478" s="1">
        <v>84.05</v>
      </c>
      <c r="I478" s="1">
        <v>84.05</v>
      </c>
      <c r="J478" s="1">
        <v>1.31</v>
      </c>
      <c r="K478" s="3">
        <v>1313</v>
      </c>
      <c r="L478" s="13">
        <v>2565</v>
      </c>
      <c r="M478" s="49">
        <v>401.2</v>
      </c>
      <c r="N478" s="1">
        <v>1040</v>
      </c>
      <c r="O478" s="3">
        <v>128</v>
      </c>
      <c r="P478" s="11" t="s">
        <v>2276</v>
      </c>
      <c r="Q478" s="3">
        <v>24</v>
      </c>
      <c r="R478" s="3">
        <v>384</v>
      </c>
      <c r="S478" s="22">
        <v>21</v>
      </c>
      <c r="T478" s="9">
        <v>450</v>
      </c>
      <c r="U478" s="14" t="s">
        <v>471</v>
      </c>
      <c r="V478" s="12">
        <v>4</v>
      </c>
      <c r="W478" s="75">
        <v>16</v>
      </c>
      <c r="X478" s="76">
        <v>16</v>
      </c>
      <c r="Y478" s="9">
        <v>3789.99</v>
      </c>
      <c r="Z478" s="3">
        <v>3789.99</v>
      </c>
      <c r="AA478" s="17" t="s">
        <v>902</v>
      </c>
      <c r="AB478" s="18" t="s">
        <v>901</v>
      </c>
      <c r="AC478" s="46" cm="1">
        <f t="array" ref="AC478">(SUMPRODUCT((H478:O478/H$9:O$9)^H$7:O$7*H$2:O$2)+SUMPRODUCT((Q478:T478/Q$9:T$9)^Q$7:T$7*Q$2:T$2))*(0.8^(1-G478))*AC$9</f>
        <v>3.823679969906594</v>
      </c>
      <c r="AD478" s="48" cm="1">
        <f t="array" ref="AD478">(SUMPRODUCT((H478:O478/H$9:O$9)^H$7:O$7*H$3:O$3)+SUMPRODUCT((Q478:T478/Q$9:T$9)^Q$7:T$7*Q$3:T$3))*(0.1^(1-G478))*AD$9</f>
        <v>5.6472719904811237</v>
      </c>
      <c r="AE478" s="48" cm="1">
        <f t="array" ref="AE478">(SUMPRODUCT((H478:O478/H$9:O$9)^H$7:O$7*H$4:O$4)+SUMPRODUCT((Q478:T478/Q$9:T$9)^Q$7:T$7*Q$4:T$4))*AE$9</f>
        <v>4.9005817711808275</v>
      </c>
      <c r="AF478" s="47" cm="1">
        <f t="array" ref="AF478">(SUMPRODUCT((H478:O478/H$9:O$9)^H$7:O$7*H$5:O$5)+SUMPRODUCT((Q478:T478/Q$9:T$9)^Q$7:T$7*Q$5:T$5))*AF$9</f>
        <v>4.4918825765214958</v>
      </c>
      <c r="AG478" s="50" cm="1">
        <f t="array" ref="AG478">SUMPRODUCT(AC478:AF478 * AC$3:AF$3) / SUM(AC$3:AF$3)</f>
        <v>5.0678095048031757</v>
      </c>
    </row>
    <row r="479" spans="1:33" x14ac:dyDescent="0.25">
      <c r="A479" s="81" t="s">
        <v>472</v>
      </c>
      <c r="B479" s="20" t="s">
        <v>474</v>
      </c>
      <c r="C479" s="4" t="s">
        <v>8853</v>
      </c>
      <c r="D479" s="4" t="str">
        <f t="shared" si="7"/>
        <v>Zotac</v>
      </c>
      <c r="E479" s="4" t="s">
        <v>8855</v>
      </c>
      <c r="F479" s="14" t="s">
        <v>8882</v>
      </c>
      <c r="G479" s="9">
        <v>1</v>
      </c>
      <c r="H479" s="1">
        <v>83.07</v>
      </c>
      <c r="I479" s="1">
        <v>83.07</v>
      </c>
      <c r="J479" s="1">
        <v>1.3</v>
      </c>
      <c r="K479" s="3">
        <v>1313</v>
      </c>
      <c r="L479" s="13">
        <v>2535</v>
      </c>
      <c r="M479" s="49">
        <v>401.2</v>
      </c>
      <c r="N479" s="1">
        <v>1040</v>
      </c>
      <c r="O479" s="3">
        <v>128</v>
      </c>
      <c r="P479" s="11" t="s">
        <v>2276</v>
      </c>
      <c r="Q479" s="3">
        <v>24</v>
      </c>
      <c r="R479" s="3">
        <v>384</v>
      </c>
      <c r="S479" s="22">
        <v>21</v>
      </c>
      <c r="T479" s="9">
        <v>450</v>
      </c>
      <c r="U479" s="14" t="s">
        <v>475</v>
      </c>
      <c r="V479" s="12">
        <v>4</v>
      </c>
      <c r="W479" s="75">
        <v>16</v>
      </c>
      <c r="X479" s="76">
        <v>16</v>
      </c>
      <c r="Y479" s="9">
        <v>4241.28</v>
      </c>
      <c r="Z479" s="3">
        <v>4241.28</v>
      </c>
      <c r="AA479" s="17" t="s">
        <v>473</v>
      </c>
      <c r="AB479" s="18" t="s">
        <v>472</v>
      </c>
      <c r="AC479" s="46" cm="1">
        <f t="array" ref="AC479">(SUMPRODUCT((H479:O479/H$9:O$9)^H$7:O$7*H$2:O$2)+SUMPRODUCT((Q479:T479/Q$9:T$9)^Q$7:T$7*Q$2:T$2))*(0.8^(1-G479))*AC$9</f>
        <v>3.8150989235891877</v>
      </c>
      <c r="AD479" s="48" cm="1">
        <f t="array" ref="AD479">(SUMPRODUCT((H479:O479/H$9:O$9)^H$7:O$7*H$3:O$3)+SUMPRODUCT((Q479:T479/Q$9:T$9)^Q$7:T$7*Q$3:T$3))*(0.1^(1-G479))*AD$9</f>
        <v>5.6004714440805126</v>
      </c>
      <c r="AE479" s="48" cm="1">
        <f t="array" ref="AE479">(SUMPRODUCT((H479:O479/H$9:O$9)^H$7:O$7*H$4:O$4)+SUMPRODUCT((Q479:T479/Q$9:T$9)^Q$7:T$7*Q$4:T$4))*AE$9</f>
        <v>4.8704614444722045</v>
      </c>
      <c r="AF479" s="47" cm="1">
        <f t="array" ref="AF479">(SUMPRODUCT((H479:O479/H$9:O$9)^H$7:O$7*H$5:O$5)+SUMPRODUCT((Q479:T479/Q$9:T$9)^Q$7:T$7*Q$5:T$5))*AF$9</f>
        <v>4.4668686220375307</v>
      </c>
      <c r="AG479" s="50" cm="1">
        <f t="array" ref="AG479">SUMPRODUCT(AC479:AF479 * AC$3:AF$3) / SUM(AC$3:AF$3)</f>
        <v>5.0328633314794269</v>
      </c>
    </row>
    <row r="480" spans="1:33" x14ac:dyDescent="0.25">
      <c r="A480" s="81" t="s">
        <v>468</v>
      </c>
      <c r="B480" s="20" t="s">
        <v>470</v>
      </c>
      <c r="C480" s="4" t="s">
        <v>8853</v>
      </c>
      <c r="D480" s="4" t="str">
        <f t="shared" si="7"/>
        <v>Zotac</v>
      </c>
      <c r="E480" s="4" t="s">
        <v>8855</v>
      </c>
      <c r="F480" s="14" t="s">
        <v>8882</v>
      </c>
      <c r="G480" s="9">
        <v>1</v>
      </c>
      <c r="H480" s="1">
        <v>82.58</v>
      </c>
      <c r="I480" s="1">
        <v>82.58</v>
      </c>
      <c r="J480" s="1">
        <v>1.29</v>
      </c>
      <c r="K480" s="3">
        <v>1313</v>
      </c>
      <c r="L480" s="13">
        <v>2520</v>
      </c>
      <c r="M480" s="49">
        <v>401.2</v>
      </c>
      <c r="N480" s="1">
        <v>1040</v>
      </c>
      <c r="O480" s="3">
        <v>128</v>
      </c>
      <c r="P480" s="11" t="s">
        <v>2276</v>
      </c>
      <c r="Q480" s="3">
        <v>24</v>
      </c>
      <c r="R480" s="3">
        <v>384</v>
      </c>
      <c r="S480" s="22">
        <v>21</v>
      </c>
      <c r="T480" s="9">
        <v>450</v>
      </c>
      <c r="U480" s="14" t="s">
        <v>471</v>
      </c>
      <c r="V480" s="12">
        <v>4</v>
      </c>
      <c r="W480" s="75">
        <v>16</v>
      </c>
      <c r="X480" s="76">
        <v>16</v>
      </c>
      <c r="Y480" s="9">
        <v>3998.92</v>
      </c>
      <c r="Z480" s="3">
        <v>3998.92</v>
      </c>
      <c r="AA480" s="17" t="s">
        <v>469</v>
      </c>
      <c r="AB480" s="18" t="s">
        <v>468</v>
      </c>
      <c r="AC480" s="46" cm="1">
        <f t="array" ref="AC480">(SUMPRODUCT((H480:O480/H$9:O$9)^H$7:O$7*H$2:O$2)+SUMPRODUCT((Q480:T480/Q$9:T$9)^Q$7:T$7*Q$2:T$2))*(0.8^(1-G480))*AC$9</f>
        <v>3.8108046049579571</v>
      </c>
      <c r="AD480" s="48" cm="1">
        <f t="array" ref="AD480">(SUMPRODUCT((H480:O480/H$9:O$9)^H$7:O$7*H$3:O$3)+SUMPRODUCT((Q480:T480/Q$9:T$9)^Q$7:T$7*Q$3:T$3))*(0.1^(1-G480))*AD$9</f>
        <v>5.575934027864089</v>
      </c>
      <c r="AE480" s="48" cm="1">
        <f t="array" ref="AE480">(SUMPRODUCT((H480:O480/H$9:O$9)^H$7:O$7*H$4:O$4)+SUMPRODUCT((Q480:T480/Q$9:T$9)^Q$7:T$7*Q$4:T$4))*AE$9</f>
        <v>4.8476103935076269</v>
      </c>
      <c r="AF480" s="47" cm="1">
        <f t="array" ref="AF480">(SUMPRODUCT((H480:O480/H$9:O$9)^H$7:O$7*H$5:O$5)+SUMPRODUCT((Q480:T480/Q$9:T$9)^Q$7:T$7*Q$5:T$5))*AF$9</f>
        <v>4.45434969609998</v>
      </c>
      <c r="AG480" s="50" cm="1">
        <f t="array" ref="AG480">SUMPRODUCT(AC480:AF480 * AC$3:AF$3) / SUM(AC$3:AF$3)</f>
        <v>5.0138902204905538</v>
      </c>
    </row>
    <row r="481" spans="1:33" x14ac:dyDescent="0.25">
      <c r="A481" s="81" t="s">
        <v>2039</v>
      </c>
      <c r="B481" s="20" t="s">
        <v>2041</v>
      </c>
      <c r="C481" s="4" t="s">
        <v>8853</v>
      </c>
      <c r="D481" s="4" t="str">
        <f t="shared" si="7"/>
        <v>ASUS</v>
      </c>
      <c r="E481" s="4" t="s">
        <v>8856</v>
      </c>
      <c r="F481" s="14" t="s">
        <v>8883</v>
      </c>
      <c r="G481" s="9">
        <v>1</v>
      </c>
      <c r="H481" s="1">
        <v>45.28</v>
      </c>
      <c r="I481" s="1">
        <v>45.28</v>
      </c>
      <c r="J481" s="1">
        <v>0.71</v>
      </c>
      <c r="K481" s="3">
        <v>1750</v>
      </c>
      <c r="L481" s="13">
        <v>2527</v>
      </c>
      <c r="M481" s="49">
        <v>343</v>
      </c>
      <c r="N481" s="1">
        <v>686</v>
      </c>
      <c r="O481" s="3">
        <v>280</v>
      </c>
      <c r="P481" s="11" t="s">
        <v>2277</v>
      </c>
      <c r="Q481" s="3">
        <v>16</v>
      </c>
      <c r="R481" s="3">
        <v>256</v>
      </c>
      <c r="S481" s="22">
        <v>28</v>
      </c>
      <c r="T481" s="9">
        <v>300</v>
      </c>
      <c r="U481" s="14" t="s">
        <v>458</v>
      </c>
      <c r="V481" s="12">
        <v>5</v>
      </c>
      <c r="W481" s="75">
        <v>16</v>
      </c>
      <c r="X481" s="76">
        <v>16</v>
      </c>
      <c r="Y481" s="9">
        <v>1159.99</v>
      </c>
      <c r="Z481" s="3">
        <v>2060.12</v>
      </c>
      <c r="AA481" s="17" t="s">
        <v>2040</v>
      </c>
      <c r="AB481" s="18" t="s">
        <v>2039</v>
      </c>
      <c r="AC481" s="46" cm="1">
        <f t="array" ref="AC481">(SUMPRODUCT((H481:O481/H$9:O$9)^H$7:O$7*H$2:O$2)+SUMPRODUCT((Q481:T481/Q$9:T$9)^Q$7:T$7*Q$2:T$2))*(0.8^(1-G481))*AC$9</f>
        <v>3.5669119345318823</v>
      </c>
      <c r="AD481" s="48" cm="1">
        <f t="array" ref="AD481">(SUMPRODUCT((H481:O481/H$9:O$9)^H$7:O$7*H$3:O$3)+SUMPRODUCT((Q481:T481/Q$9:T$9)^Q$7:T$7*Q$3:T$3))*(0.1^(1-G481))*AD$9</f>
        <v>3.5550641187678056</v>
      </c>
      <c r="AE481" s="48" cm="1">
        <f t="array" ref="AE481">(SUMPRODUCT((H481:O481/H$9:O$9)^H$7:O$7*H$4:O$4)+SUMPRODUCT((Q481:T481/Q$9:T$9)^Q$7:T$7*Q$4:T$4))*AE$9</f>
        <v>3.1735752946511608</v>
      </c>
      <c r="AF481" s="47" cm="1">
        <f t="array" ref="AF481">(SUMPRODUCT((H481:O481/H$9:O$9)^H$7:O$7*H$5:O$5)+SUMPRODUCT((Q481:T481/Q$9:T$9)^Q$7:T$7*Q$5:T$5))*AF$9</f>
        <v>3.6563869001538807</v>
      </c>
      <c r="AG481" s="50" cm="1">
        <f t="array" ref="AG481">SUMPRODUCT(AC481:AF481 * AC$3:AF$3) / SUM(AC$3:AF$3)</f>
        <v>3.5315382378354259</v>
      </c>
    </row>
    <row r="482" spans="1:33" x14ac:dyDescent="0.25">
      <c r="A482" s="81" t="s">
        <v>2036</v>
      </c>
      <c r="B482" s="20" t="s">
        <v>2038</v>
      </c>
      <c r="C482" s="4" t="s">
        <v>8853</v>
      </c>
      <c r="D482" s="4" t="str">
        <f t="shared" si="7"/>
        <v>ASUS</v>
      </c>
      <c r="E482" s="4" t="s">
        <v>8856</v>
      </c>
      <c r="F482" s="14" t="s">
        <v>8883</v>
      </c>
      <c r="G482" s="9">
        <v>1</v>
      </c>
      <c r="H482" s="1">
        <v>44.48</v>
      </c>
      <c r="I482" s="1">
        <v>44.48</v>
      </c>
      <c r="J482" s="1">
        <v>0.69</v>
      </c>
      <c r="K482" s="3">
        <v>1750</v>
      </c>
      <c r="L482" s="13">
        <v>2482</v>
      </c>
      <c r="M482" s="49">
        <v>343</v>
      </c>
      <c r="N482" s="1">
        <v>686</v>
      </c>
      <c r="O482" s="3">
        <v>280</v>
      </c>
      <c r="P482" s="11" t="s">
        <v>2277</v>
      </c>
      <c r="Q482" s="3">
        <v>16</v>
      </c>
      <c r="R482" s="3">
        <v>256</v>
      </c>
      <c r="S482" s="22">
        <v>28</v>
      </c>
      <c r="T482" s="9">
        <v>300</v>
      </c>
      <c r="U482" s="14" t="s">
        <v>458</v>
      </c>
      <c r="V482" s="12">
        <v>5</v>
      </c>
      <c r="W482" s="75">
        <v>16</v>
      </c>
      <c r="X482" s="76">
        <v>16</v>
      </c>
      <c r="Y482" s="9">
        <v>1179</v>
      </c>
      <c r="Z482" s="3">
        <v>2423.6799999999998</v>
      </c>
      <c r="AA482" s="17" t="s">
        <v>2037</v>
      </c>
      <c r="AB482" s="18" t="s">
        <v>2036</v>
      </c>
      <c r="AC482" s="46" cm="1">
        <f t="array" ref="AC482">(SUMPRODUCT((H482:O482/H$9:O$9)^H$7:O$7*H$2:O$2)+SUMPRODUCT((Q482:T482/Q$9:T$9)^Q$7:T$7*Q$2:T$2))*(0.8^(1-G482))*AC$9</f>
        <v>3.5571025938449266</v>
      </c>
      <c r="AD482" s="48" cm="1">
        <f t="array" ref="AD482">(SUMPRODUCT((H482:O482/H$9:O$9)^H$7:O$7*H$3:O$3)+SUMPRODUCT((Q482:T482/Q$9:T$9)^Q$7:T$7*Q$3:T$3))*(0.1^(1-G482))*AD$9</f>
        <v>3.5101732419342695</v>
      </c>
      <c r="AE482" s="48" cm="1">
        <f t="array" ref="AE482">(SUMPRODUCT((H482:O482/H$9:O$9)^H$7:O$7*H$4:O$4)+SUMPRODUCT((Q482:T482/Q$9:T$9)^Q$7:T$7*Q$4:T$4))*AE$9</f>
        <v>3.1257325285280984</v>
      </c>
      <c r="AF482" s="47" cm="1">
        <f t="array" ref="AF482">(SUMPRODUCT((H482:O482/H$9:O$9)^H$7:O$7*H$5:O$5)+SUMPRODUCT((Q482:T482/Q$9:T$9)^Q$7:T$7*Q$5:T$5))*AF$9</f>
        <v>3.6336043592428231</v>
      </c>
      <c r="AG482" s="50" cm="1">
        <f t="array" ref="AG482">SUMPRODUCT(AC482:AF482 * AC$3:AF$3) / SUM(AC$3:AF$3)</f>
        <v>3.4958510186478966</v>
      </c>
    </row>
    <row r="483" spans="1:33" x14ac:dyDescent="0.25">
      <c r="A483" s="81" t="s">
        <v>1743</v>
      </c>
      <c r="B483" s="20" t="s">
        <v>1745</v>
      </c>
      <c r="C483" s="4" t="s">
        <v>8853</v>
      </c>
      <c r="D483" s="4" t="str">
        <f t="shared" si="7"/>
        <v>ASUS</v>
      </c>
      <c r="E483" s="4" t="s">
        <v>8856</v>
      </c>
      <c r="F483" s="14" t="s">
        <v>8883</v>
      </c>
      <c r="G483" s="9">
        <v>1</v>
      </c>
      <c r="H483" s="1">
        <v>46.77</v>
      </c>
      <c r="I483" s="1">
        <v>46.77</v>
      </c>
      <c r="J483" s="1">
        <v>0.73</v>
      </c>
      <c r="K483" s="3">
        <v>1750</v>
      </c>
      <c r="L483" s="13">
        <v>2610</v>
      </c>
      <c r="M483" s="49">
        <v>343</v>
      </c>
      <c r="N483" s="1">
        <v>686</v>
      </c>
      <c r="O483" s="3">
        <v>280</v>
      </c>
      <c r="P483" s="11" t="s">
        <v>2277</v>
      </c>
      <c r="Q483" s="3">
        <v>16</v>
      </c>
      <c r="R483" s="3">
        <v>256</v>
      </c>
      <c r="S483" s="22">
        <v>28</v>
      </c>
      <c r="T483" s="9">
        <v>300</v>
      </c>
      <c r="U483" s="14" t="s">
        <v>458</v>
      </c>
      <c r="V483" s="12">
        <v>5</v>
      </c>
      <c r="W483" s="75">
        <v>16</v>
      </c>
      <c r="X483" s="76">
        <v>16</v>
      </c>
      <c r="Y483" s="9">
        <v>1299.99</v>
      </c>
      <c r="Z483" s="3">
        <v>2403.34</v>
      </c>
      <c r="AA483" s="17" t="s">
        <v>1744</v>
      </c>
      <c r="AB483" s="18" t="s">
        <v>1743</v>
      </c>
      <c r="AC483" s="46" cm="1">
        <f t="array" ref="AC483">(SUMPRODUCT((H483:O483/H$9:O$9)^H$7:O$7*H$2:O$2)+SUMPRODUCT((Q483:T483/Q$9:T$9)^Q$7:T$7*Q$2:T$2))*(0.8^(1-G483))*AC$9</f>
        <v>3.5850353493713003</v>
      </c>
      <c r="AD483" s="48" cm="1">
        <f t="array" ref="AD483">(SUMPRODUCT((H483:O483/H$9:O$9)^H$7:O$7*H$3:O$3)+SUMPRODUCT((Q483:T483/Q$9:T$9)^Q$7:T$7*Q$3:T$3))*(0.1^(1-G483))*AD$9</f>
        <v>3.6340551500510618</v>
      </c>
      <c r="AE483" s="48" cm="1">
        <f t="array" ref="AE483">(SUMPRODUCT((H483:O483/H$9:O$9)^H$7:O$7*H$4:O$4)+SUMPRODUCT((Q483:T483/Q$9:T$9)^Q$7:T$7*Q$4:T$4))*AE$9</f>
        <v>3.2320994096930296</v>
      </c>
      <c r="AF483" s="47" cm="1">
        <f t="array" ref="AF483">(SUMPRODUCT((H483:O483/H$9:O$9)^H$7:O$7*H$5:O$5)+SUMPRODUCT((Q483:T483/Q$9:T$9)^Q$7:T$7*Q$5:T$5))*AF$9</f>
        <v>3.6986640302664364</v>
      </c>
      <c r="AG483" s="50" cm="1">
        <f t="array" ref="AG483">SUMPRODUCT(AC483:AF483 * AC$3:AF$3) / SUM(AC$3:AF$3)</f>
        <v>3.5919915810449945</v>
      </c>
    </row>
    <row r="484" spans="1:33" x14ac:dyDescent="0.25">
      <c r="A484" s="81" t="s">
        <v>1412</v>
      </c>
      <c r="B484" s="20" t="s">
        <v>1414</v>
      </c>
      <c r="C484" s="4" t="s">
        <v>8853</v>
      </c>
      <c r="D484" s="4" t="str">
        <f t="shared" si="7"/>
        <v>GIGABYTE</v>
      </c>
      <c r="E484" s="4" t="s">
        <v>8856</v>
      </c>
      <c r="F484" s="14" t="s">
        <v>8883</v>
      </c>
      <c r="G484" s="9">
        <v>1</v>
      </c>
      <c r="H484" s="1">
        <v>46.38</v>
      </c>
      <c r="I484" s="1">
        <v>46.38</v>
      </c>
      <c r="J484" s="1">
        <v>0.72</v>
      </c>
      <c r="K484" s="3">
        <v>1750</v>
      </c>
      <c r="L484" s="13">
        <v>2588</v>
      </c>
      <c r="M484" s="49">
        <v>343</v>
      </c>
      <c r="N484" s="1">
        <v>686</v>
      </c>
      <c r="O484" s="3">
        <v>280</v>
      </c>
      <c r="P484" s="11" t="s">
        <v>2277</v>
      </c>
      <c r="Q484" s="3">
        <v>16</v>
      </c>
      <c r="R484" s="3">
        <v>256</v>
      </c>
      <c r="S484" s="22">
        <v>28</v>
      </c>
      <c r="T484" s="9">
        <v>300</v>
      </c>
      <c r="U484" s="14" t="s">
        <v>458</v>
      </c>
      <c r="V484" s="12">
        <v>5</v>
      </c>
      <c r="W484" s="75">
        <v>16</v>
      </c>
      <c r="X484" s="76">
        <v>16</v>
      </c>
      <c r="Y484" s="9">
        <v>1199.9000000000001</v>
      </c>
      <c r="Z484" s="3">
        <v>1861.18</v>
      </c>
      <c r="AA484" s="17" t="s">
        <v>1413</v>
      </c>
      <c r="AB484" s="18" t="s">
        <v>1412</v>
      </c>
      <c r="AC484" s="46" cm="1">
        <f t="array" ref="AC484">(SUMPRODUCT((H484:O484/H$9:O$9)^H$7:O$7*H$2:O$2)+SUMPRODUCT((Q484:T484/Q$9:T$9)^Q$7:T$7*Q$2:T$2))*(0.8^(1-G484))*AC$9</f>
        <v>3.580263262962684</v>
      </c>
      <c r="AD484" s="48" cm="1">
        <f t="array" ref="AD484">(SUMPRODUCT((H484:O484/H$9:O$9)^H$7:O$7*H$3:O$3)+SUMPRODUCT((Q484:T484/Q$9:T$9)^Q$7:T$7*Q$3:T$3))*(0.1^(1-G484))*AD$9</f>
        <v>3.6122156862594128</v>
      </c>
      <c r="AE484" s="48" cm="1">
        <f t="array" ref="AE484">(SUMPRODUCT((H484:O484/H$9:O$9)^H$7:O$7*H$4:O$4)+SUMPRODUCT((Q484:T484/Q$9:T$9)^Q$7:T$7*Q$4:T$4))*AE$9</f>
        <v>3.2084824972146229</v>
      </c>
      <c r="AF484" s="47" cm="1">
        <f t="array" ref="AF484">(SUMPRODUCT((H484:O484/H$9:O$9)^H$7:O$7*H$5:O$5)+SUMPRODUCT((Q484:T484/Q$9:T$9)^Q$7:T$7*Q$5:T$5))*AF$9</f>
        <v>3.6875988336184378</v>
      </c>
      <c r="AG484" s="50" cm="1">
        <f t="array" ref="AG484">SUMPRODUCT(AC484:AF484 * AC$3:AF$3) / SUM(AC$3:AF$3)</f>
        <v>3.5745948970425965</v>
      </c>
    </row>
    <row r="485" spans="1:33" x14ac:dyDescent="0.25">
      <c r="A485" s="81" t="s">
        <v>1173</v>
      </c>
      <c r="B485" s="20" t="s">
        <v>1175</v>
      </c>
      <c r="C485" s="4" t="s">
        <v>8853</v>
      </c>
      <c r="D485" s="4" t="str">
        <f t="shared" si="7"/>
        <v>INNO3D</v>
      </c>
      <c r="E485" s="4" t="s">
        <v>8856</v>
      </c>
      <c r="F485" s="14" t="s">
        <v>8883</v>
      </c>
      <c r="G485" s="9">
        <v>1</v>
      </c>
      <c r="H485" s="1">
        <v>44.48</v>
      </c>
      <c r="I485" s="1">
        <v>44.48</v>
      </c>
      <c r="J485" s="1">
        <v>0.69</v>
      </c>
      <c r="K485" s="3">
        <v>1750</v>
      </c>
      <c r="L485" s="13">
        <v>2482</v>
      </c>
      <c r="M485" s="49">
        <v>343</v>
      </c>
      <c r="N485" s="1">
        <v>686</v>
      </c>
      <c r="O485" s="3">
        <v>280</v>
      </c>
      <c r="P485" s="11" t="s">
        <v>2277</v>
      </c>
      <c r="Q485" s="3">
        <v>16</v>
      </c>
      <c r="R485" s="3">
        <v>256</v>
      </c>
      <c r="S485" s="22">
        <v>28</v>
      </c>
      <c r="T485" s="9">
        <v>300</v>
      </c>
      <c r="U485" s="14" t="s">
        <v>892</v>
      </c>
      <c r="V485" s="12">
        <v>5</v>
      </c>
      <c r="W485" s="75">
        <v>16</v>
      </c>
      <c r="X485" s="76">
        <v>16</v>
      </c>
      <c r="Y485" s="9">
        <v>1149</v>
      </c>
      <c r="Z485" s="3">
        <v>1474.9</v>
      </c>
      <c r="AA485" s="17" t="s">
        <v>1174</v>
      </c>
      <c r="AB485" s="18" t="s">
        <v>1173</v>
      </c>
      <c r="AC485" s="46" cm="1">
        <f t="array" ref="AC485">(SUMPRODUCT((H485:O485/H$9:O$9)^H$7:O$7*H$2:O$2)+SUMPRODUCT((Q485:T485/Q$9:T$9)^Q$7:T$7*Q$2:T$2))*(0.8^(1-G485))*AC$9</f>
        <v>3.5571025938449266</v>
      </c>
      <c r="AD485" s="48" cm="1">
        <f t="array" ref="AD485">(SUMPRODUCT((H485:O485/H$9:O$9)^H$7:O$7*H$3:O$3)+SUMPRODUCT((Q485:T485/Q$9:T$9)^Q$7:T$7*Q$3:T$3))*(0.1^(1-G485))*AD$9</f>
        <v>3.5101732419342695</v>
      </c>
      <c r="AE485" s="48" cm="1">
        <f t="array" ref="AE485">(SUMPRODUCT((H485:O485/H$9:O$9)^H$7:O$7*H$4:O$4)+SUMPRODUCT((Q485:T485/Q$9:T$9)^Q$7:T$7*Q$4:T$4))*AE$9</f>
        <v>3.1257325285280984</v>
      </c>
      <c r="AF485" s="47" cm="1">
        <f t="array" ref="AF485">(SUMPRODUCT((H485:O485/H$9:O$9)^H$7:O$7*H$5:O$5)+SUMPRODUCT((Q485:T485/Q$9:T$9)^Q$7:T$7*Q$5:T$5))*AF$9</f>
        <v>3.6336043592428231</v>
      </c>
      <c r="AG485" s="50" cm="1">
        <f t="array" ref="AG485">SUMPRODUCT(AC485:AF485 * AC$3:AF$3) / SUM(AC$3:AF$3)</f>
        <v>3.4958510186478966</v>
      </c>
    </row>
    <row r="486" spans="1:33" x14ac:dyDescent="0.25">
      <c r="A486" s="81" t="s">
        <v>1170</v>
      </c>
      <c r="B486" s="20" t="s">
        <v>1172</v>
      </c>
      <c r="C486" s="4" t="s">
        <v>8853</v>
      </c>
      <c r="D486" s="4" t="str">
        <f t="shared" si="7"/>
        <v>INNO3D</v>
      </c>
      <c r="E486" s="4" t="s">
        <v>8856</v>
      </c>
      <c r="F486" s="14" t="s">
        <v>8883</v>
      </c>
      <c r="G486" s="9">
        <v>1</v>
      </c>
      <c r="H486" s="1">
        <v>43.94</v>
      </c>
      <c r="I486" s="1">
        <v>43.94</v>
      </c>
      <c r="J486" s="1">
        <v>0.69</v>
      </c>
      <c r="K486" s="3">
        <v>1750</v>
      </c>
      <c r="L486" s="13">
        <v>2452</v>
      </c>
      <c r="M486" s="49">
        <v>343</v>
      </c>
      <c r="N486" s="1">
        <v>686</v>
      </c>
      <c r="O486" s="3">
        <v>280</v>
      </c>
      <c r="P486" s="11" t="s">
        <v>2277</v>
      </c>
      <c r="Q486" s="3">
        <v>16</v>
      </c>
      <c r="R486" s="3">
        <v>256</v>
      </c>
      <c r="S486" s="22">
        <v>28</v>
      </c>
      <c r="T486" s="9">
        <v>300</v>
      </c>
      <c r="U486" s="14" t="s">
        <v>892</v>
      </c>
      <c r="V486" s="12">
        <v>5</v>
      </c>
      <c r="W486" s="75">
        <v>16</v>
      </c>
      <c r="X486" s="76">
        <v>16</v>
      </c>
      <c r="Y486" s="9">
        <v>1380.2</v>
      </c>
      <c r="Z486" s="3">
        <v>1459</v>
      </c>
      <c r="AA486" s="17" t="s">
        <v>1171</v>
      </c>
      <c r="AB486" s="18" t="s">
        <v>1170</v>
      </c>
      <c r="AC486" s="46" cm="1">
        <f t="array" ref="AC486">(SUMPRODUCT((H486:O486/H$9:O$9)^H$7:O$7*H$2:O$2)+SUMPRODUCT((Q486:T486/Q$9:T$9)^Q$7:T$7*Q$2:T$2))*(0.8^(1-G486))*AC$9</f>
        <v>3.5505178971636608</v>
      </c>
      <c r="AD486" s="48" cm="1">
        <f t="array" ref="AD486">(SUMPRODUCT((H486:O486/H$9:O$9)^H$7:O$7*H$3:O$3)+SUMPRODUCT((Q486:T486/Q$9:T$9)^Q$7:T$7*Q$3:T$3))*(0.1^(1-G486))*AD$9</f>
        <v>3.4832201232214266</v>
      </c>
      <c r="AE486" s="48" cm="1">
        <f t="array" ref="AE486">(SUMPRODUCT((H486:O486/H$9:O$9)^H$7:O$7*H$4:O$4)+SUMPRODUCT((Q486:T486/Q$9:T$9)^Q$7:T$7*Q$4:T$4))*AE$9</f>
        <v>3.1171592715450971</v>
      </c>
      <c r="AF486" s="47" cm="1">
        <f t="array" ref="AF486">(SUMPRODUCT((H486:O486/H$9:O$9)^H$7:O$7*H$5:O$5)+SUMPRODUCT((Q486:T486/Q$9:T$9)^Q$7:T$7*Q$5:T$5))*AF$9</f>
        <v>3.618219785435473</v>
      </c>
      <c r="AG486" s="50" cm="1">
        <f t="array" ref="AG486">SUMPRODUCT(AC486:AF486 * AC$3:AF$3) / SUM(AC$3:AF$3)</f>
        <v>3.4762629346167704</v>
      </c>
    </row>
    <row r="487" spans="1:33" x14ac:dyDescent="0.25">
      <c r="A487" s="81" t="s">
        <v>898</v>
      </c>
      <c r="B487" s="20" t="s">
        <v>900</v>
      </c>
      <c r="C487" s="4" t="s">
        <v>8853</v>
      </c>
      <c r="D487" s="4" t="str">
        <f t="shared" si="7"/>
        <v>MSI</v>
      </c>
      <c r="E487" s="4" t="s">
        <v>8856</v>
      </c>
      <c r="F487" s="14" t="s">
        <v>8883</v>
      </c>
      <c r="G487" s="9">
        <v>1</v>
      </c>
      <c r="H487" s="1">
        <v>46.23</v>
      </c>
      <c r="I487" s="1">
        <v>46.23</v>
      </c>
      <c r="J487" s="1">
        <v>0.72</v>
      </c>
      <c r="K487" s="3">
        <v>1750</v>
      </c>
      <c r="L487" s="13">
        <v>2580</v>
      </c>
      <c r="M487" s="49">
        <v>343</v>
      </c>
      <c r="N487" s="1">
        <v>686</v>
      </c>
      <c r="O487" s="3">
        <v>280</v>
      </c>
      <c r="P487" s="11" t="s">
        <v>2277</v>
      </c>
      <c r="Q487" s="3">
        <v>16</v>
      </c>
      <c r="R487" s="3">
        <v>256</v>
      </c>
      <c r="S487" s="22">
        <v>28</v>
      </c>
      <c r="T487" s="9">
        <v>300</v>
      </c>
      <c r="U487" s="14" t="s">
        <v>458</v>
      </c>
      <c r="V487" s="12">
        <v>5</v>
      </c>
      <c r="W487" s="75">
        <v>16</v>
      </c>
      <c r="X487" s="76">
        <v>16</v>
      </c>
      <c r="Y487" s="9">
        <v>1294.95</v>
      </c>
      <c r="Z487" s="3">
        <v>1792.24</v>
      </c>
      <c r="AA487" s="17" t="s">
        <v>899</v>
      </c>
      <c r="AB487" s="18" t="s">
        <v>898</v>
      </c>
      <c r="AC487" s="46" cm="1">
        <f t="array" ref="AC487">(SUMPRODUCT((H487:O487/H$9:O$9)^H$7:O$7*H$2:O$2)+SUMPRODUCT((Q487:T487/Q$9:T$9)^Q$7:T$7*Q$2:T$2))*(0.8^(1-G487))*AC$9</f>
        <v>3.5784838534154266</v>
      </c>
      <c r="AD487" s="48" cm="1">
        <f t="array" ref="AD487">(SUMPRODUCT((H487:O487/H$9:O$9)^H$7:O$7*H$3:O$3)+SUMPRODUCT((Q487:T487/Q$9:T$9)^Q$7:T$7*Q$3:T$3))*(0.1^(1-G487))*AD$9</f>
        <v>3.6047809906008124</v>
      </c>
      <c r="AE487" s="48" cm="1">
        <f t="array" ref="AE487">(SUMPRODUCT((H487:O487/H$9:O$9)^H$7:O$7*H$4:O$4)+SUMPRODUCT((Q487:T487/Q$9:T$9)^Q$7:T$7*Q$4:T$4))*AE$9</f>
        <v>3.2061120388717854</v>
      </c>
      <c r="AF487" s="47" cm="1">
        <f t="array" ref="AF487">(SUMPRODUCT((H487:O487/H$9:O$9)^H$7:O$7*H$5:O$5)+SUMPRODUCT((Q487:T487/Q$9:T$9)^Q$7:T$7*Q$5:T$5))*AF$9</f>
        <v>3.6833631475912041</v>
      </c>
      <c r="AG487" s="50" cm="1">
        <f t="array" ref="AG487">SUMPRODUCT(AC487:AF487 * AC$3:AF$3) / SUM(AC$3:AF$3)</f>
        <v>3.5691986103761995</v>
      </c>
    </row>
    <row r="488" spans="1:33" x14ac:dyDescent="0.25">
      <c r="A488" s="81" t="s">
        <v>895</v>
      </c>
      <c r="B488" s="20" t="s">
        <v>897</v>
      </c>
      <c r="C488" s="4" t="s">
        <v>8853</v>
      </c>
      <c r="D488" s="4" t="str">
        <f t="shared" si="7"/>
        <v>MSI</v>
      </c>
      <c r="E488" s="4" t="s">
        <v>8856</v>
      </c>
      <c r="F488" s="14" t="s">
        <v>8883</v>
      </c>
      <c r="G488" s="9">
        <v>1</v>
      </c>
      <c r="H488" s="1">
        <v>44.75</v>
      </c>
      <c r="I488" s="1">
        <v>44.75</v>
      </c>
      <c r="J488" s="1">
        <v>0.7</v>
      </c>
      <c r="K488" s="3">
        <v>1750</v>
      </c>
      <c r="L488" s="13">
        <v>2497</v>
      </c>
      <c r="M488" s="49">
        <v>343</v>
      </c>
      <c r="N488" s="1">
        <v>686</v>
      </c>
      <c r="O488" s="3">
        <v>280</v>
      </c>
      <c r="P488" s="11" t="s">
        <v>2277</v>
      </c>
      <c r="Q488" s="3">
        <v>16</v>
      </c>
      <c r="R488" s="3">
        <v>256</v>
      </c>
      <c r="S488" s="22">
        <v>28</v>
      </c>
      <c r="T488" s="9">
        <v>300</v>
      </c>
      <c r="U488" s="14" t="s">
        <v>458</v>
      </c>
      <c r="V488" s="12">
        <v>5</v>
      </c>
      <c r="W488" s="75">
        <v>16</v>
      </c>
      <c r="X488" s="76">
        <v>16</v>
      </c>
      <c r="Y488" s="9">
        <v>1149</v>
      </c>
      <c r="Z488" s="3">
        <v>1199</v>
      </c>
      <c r="AA488" s="17" t="s">
        <v>896</v>
      </c>
      <c r="AB488" s="18" t="s">
        <v>895</v>
      </c>
      <c r="AC488" s="46" cm="1">
        <f t="array" ref="AC488">(SUMPRODUCT((H488:O488/H$9:O$9)^H$7:O$7*H$2:O$2)+SUMPRODUCT((Q488:T488/Q$9:T$9)^Q$7:T$7*Q$2:T$2))*(0.8^(1-G488))*AC$9</f>
        <v>3.5603919469940526</v>
      </c>
      <c r="AD488" s="48" cm="1">
        <f t="array" ref="AD488">(SUMPRODUCT((H488:O488/H$9:O$9)^H$7:O$7*H$3:O$3)+SUMPRODUCT((Q488:T488/Q$9:T$9)^Q$7:T$7*Q$3:T$3))*(0.1^(1-G488))*AD$9</f>
        <v>3.5261492132052541</v>
      </c>
      <c r="AE488" s="48" cm="1">
        <f t="array" ref="AE488">(SUMPRODUCT((H488:O488/H$9:O$9)^H$7:O$7*H$4:O$4)+SUMPRODUCT((Q488:T488/Q$9:T$9)^Q$7:T$7*Q$4:T$4))*AE$9</f>
        <v>3.147620725584614</v>
      </c>
      <c r="AF488" s="47" cm="1">
        <f t="array" ref="AF488">(SUMPRODUCT((H488:O488/H$9:O$9)^H$7:O$7*H$5:O$5)+SUMPRODUCT((Q488:T488/Q$9:T$9)^Q$7:T$7*Q$5:T$5))*AF$9</f>
        <v>3.6412890724975924</v>
      </c>
      <c r="AG488" s="50" cm="1">
        <f t="array" ref="AG488">SUMPRODUCT(AC488:AF488 * AC$3:AF$3) / SUM(AC$3:AF$3)</f>
        <v>3.5089875912053721</v>
      </c>
    </row>
    <row r="489" spans="1:33" x14ac:dyDescent="0.25">
      <c r="A489" s="81" t="s">
        <v>893</v>
      </c>
      <c r="B489" s="20" t="s">
        <v>450</v>
      </c>
      <c r="C489" s="4" t="s">
        <v>8853</v>
      </c>
      <c r="D489" s="4" t="str">
        <f t="shared" si="7"/>
        <v>MSI</v>
      </c>
      <c r="E489" s="4" t="s">
        <v>8856</v>
      </c>
      <c r="F489" s="14" t="s">
        <v>8883</v>
      </c>
      <c r="G489" s="9">
        <v>1</v>
      </c>
      <c r="H489" s="1">
        <v>46.63</v>
      </c>
      <c r="I489" s="1">
        <v>46.63</v>
      </c>
      <c r="J489" s="1">
        <v>0.73</v>
      </c>
      <c r="K489" s="3">
        <v>1750</v>
      </c>
      <c r="L489" s="13">
        <v>2602</v>
      </c>
      <c r="M489" s="49">
        <v>343</v>
      </c>
      <c r="N489" s="1">
        <v>686</v>
      </c>
      <c r="O489" s="3">
        <v>280</v>
      </c>
      <c r="P489" s="11" t="s">
        <v>2277</v>
      </c>
      <c r="Q489" s="3">
        <v>16</v>
      </c>
      <c r="R489" s="3">
        <v>256</v>
      </c>
      <c r="S489" s="22">
        <v>28</v>
      </c>
      <c r="T489" s="9">
        <v>300</v>
      </c>
      <c r="U489" s="14" t="s">
        <v>458</v>
      </c>
      <c r="V489" s="12">
        <v>5</v>
      </c>
      <c r="W489" s="75">
        <v>16</v>
      </c>
      <c r="X489" s="76">
        <v>16</v>
      </c>
      <c r="Y489" s="9">
        <v>1379.99</v>
      </c>
      <c r="Z489" s="3">
        <v>1399.99</v>
      </c>
      <c r="AA489" s="17" t="s">
        <v>894</v>
      </c>
      <c r="AB489" s="18" t="s">
        <v>893</v>
      </c>
      <c r="AC489" s="46" cm="1">
        <f t="array" ref="AC489">(SUMPRODUCT((H489:O489/H$9:O$9)^H$7:O$7*H$2:O$2)+SUMPRODUCT((Q489:T489/Q$9:T$9)^Q$7:T$7*Q$2:T$2))*(0.8^(1-G489))*AC$9</f>
        <v>3.5833100811699512</v>
      </c>
      <c r="AD489" s="48" cm="1">
        <f t="array" ref="AD489">(SUMPRODUCT((H489:O489/H$9:O$9)^H$7:O$7*H$3:O$3)+SUMPRODUCT((Q489:T489/Q$9:T$9)^Q$7:T$7*Q$3:T$3))*(0.1^(1-G489))*AD$9</f>
        <v>3.6271104273860058</v>
      </c>
      <c r="AE489" s="48" cm="1">
        <f t="array" ref="AE489">(SUMPRODUCT((H489:O489/H$9:O$9)^H$7:O$7*H$4:O$4)+SUMPRODUCT((Q489:T489/Q$9:T$9)^Q$7:T$7*Q$4:T$4))*AE$9</f>
        <v>3.2298888604081228</v>
      </c>
      <c r="AF489" s="47" cm="1">
        <f t="array" ref="AF489">(SUMPRODUCT((H489:O489/H$9:O$9)^H$7:O$7*H$5:O$5)+SUMPRODUCT((Q489:T489/Q$9:T$9)^Q$7:T$7*Q$5:T$5))*AF$9</f>
        <v>3.6946879905222456</v>
      </c>
      <c r="AG489" s="50" cm="1">
        <f t="array" ref="AG489">SUMPRODUCT(AC489:AF489 * AC$3:AF$3) / SUM(AC$3:AF$3)</f>
        <v>3.5869375672084942</v>
      </c>
    </row>
    <row r="490" spans="1:33" x14ac:dyDescent="0.25">
      <c r="A490" s="81" t="s">
        <v>890</v>
      </c>
      <c r="B490" s="20" t="s">
        <v>450</v>
      </c>
      <c r="C490" s="4" t="s">
        <v>8853</v>
      </c>
      <c r="D490" s="4" t="str">
        <f t="shared" si="7"/>
        <v>MSI</v>
      </c>
      <c r="E490" s="4" t="s">
        <v>8856</v>
      </c>
      <c r="F490" s="14" t="s">
        <v>8883</v>
      </c>
      <c r="G490" s="9">
        <v>1</v>
      </c>
      <c r="H490" s="1">
        <v>44.75</v>
      </c>
      <c r="I490" s="1">
        <v>44.75</v>
      </c>
      <c r="J490" s="1">
        <v>0.7</v>
      </c>
      <c r="K490" s="3">
        <v>1750</v>
      </c>
      <c r="L490" s="13">
        <v>2497</v>
      </c>
      <c r="M490" s="49">
        <v>343</v>
      </c>
      <c r="N490" s="1">
        <v>686</v>
      </c>
      <c r="O490" s="3">
        <v>280</v>
      </c>
      <c r="P490" s="11" t="s">
        <v>2277</v>
      </c>
      <c r="Q490" s="3">
        <v>16</v>
      </c>
      <c r="R490" s="3">
        <v>256</v>
      </c>
      <c r="S490" s="22">
        <v>28</v>
      </c>
      <c r="T490" s="9">
        <v>300</v>
      </c>
      <c r="U490" s="14" t="s">
        <v>892</v>
      </c>
      <c r="V490" s="12">
        <v>5</v>
      </c>
      <c r="W490" s="75">
        <v>16</v>
      </c>
      <c r="X490" s="76">
        <v>16</v>
      </c>
      <c r="Y490" s="9">
        <v>1179</v>
      </c>
      <c r="Z490" s="3">
        <v>1680.97</v>
      </c>
      <c r="AA490" s="17" t="s">
        <v>891</v>
      </c>
      <c r="AB490" s="18" t="s">
        <v>890</v>
      </c>
      <c r="AC490" s="46" cm="1">
        <f t="array" ref="AC490">(SUMPRODUCT((H490:O490/H$9:O$9)^H$7:O$7*H$2:O$2)+SUMPRODUCT((Q490:T490/Q$9:T$9)^Q$7:T$7*Q$2:T$2))*(0.8^(1-G490))*AC$9</f>
        <v>3.5603919469940526</v>
      </c>
      <c r="AD490" s="48" cm="1">
        <f t="array" ref="AD490">(SUMPRODUCT((H490:O490/H$9:O$9)^H$7:O$7*H$3:O$3)+SUMPRODUCT((Q490:T490/Q$9:T$9)^Q$7:T$7*Q$3:T$3))*(0.1^(1-G490))*AD$9</f>
        <v>3.5261492132052541</v>
      </c>
      <c r="AE490" s="48" cm="1">
        <f t="array" ref="AE490">(SUMPRODUCT((H490:O490/H$9:O$9)^H$7:O$7*H$4:O$4)+SUMPRODUCT((Q490:T490/Q$9:T$9)^Q$7:T$7*Q$4:T$4))*AE$9</f>
        <v>3.147620725584614</v>
      </c>
      <c r="AF490" s="47" cm="1">
        <f t="array" ref="AF490">(SUMPRODUCT((H490:O490/H$9:O$9)^H$7:O$7*H$5:O$5)+SUMPRODUCT((Q490:T490/Q$9:T$9)^Q$7:T$7*Q$5:T$5))*AF$9</f>
        <v>3.6412890724975924</v>
      </c>
      <c r="AG490" s="50" cm="1">
        <f t="array" ref="AG490">SUMPRODUCT(AC490:AF490 * AC$3:AF$3) / SUM(AC$3:AF$3)</f>
        <v>3.5089875912053721</v>
      </c>
    </row>
    <row r="491" spans="1:33" x14ac:dyDescent="0.25">
      <c r="A491" s="81" t="s">
        <v>465</v>
      </c>
      <c r="B491" s="20" t="s">
        <v>467</v>
      </c>
      <c r="C491" s="4" t="s">
        <v>8853</v>
      </c>
      <c r="D491" s="4" t="str">
        <f t="shared" si="7"/>
        <v>Zotac</v>
      </c>
      <c r="E491" s="4" t="s">
        <v>8856</v>
      </c>
      <c r="F491" s="14" t="s">
        <v>8883</v>
      </c>
      <c r="G491" s="9">
        <v>1</v>
      </c>
      <c r="H491" s="1">
        <v>44.48</v>
      </c>
      <c r="I491" s="1">
        <v>44.48</v>
      </c>
      <c r="J491" s="1">
        <v>0.69</v>
      </c>
      <c r="K491" s="3">
        <v>1750</v>
      </c>
      <c r="L491" s="13">
        <v>2482</v>
      </c>
      <c r="M491" s="49">
        <v>343</v>
      </c>
      <c r="N491" s="1">
        <v>686</v>
      </c>
      <c r="O491" s="3">
        <v>280</v>
      </c>
      <c r="P491" s="11" t="s">
        <v>2277</v>
      </c>
      <c r="Q491" s="3">
        <v>16</v>
      </c>
      <c r="R491" s="3">
        <v>256</v>
      </c>
      <c r="S491" s="22">
        <v>28</v>
      </c>
      <c r="T491" s="9">
        <v>300</v>
      </c>
      <c r="U491" s="14" t="s">
        <v>458</v>
      </c>
      <c r="V491" s="12">
        <v>5</v>
      </c>
      <c r="W491" s="75">
        <v>16</v>
      </c>
      <c r="X491" s="76">
        <v>16</v>
      </c>
      <c r="Y491" s="9">
        <v>1298.99</v>
      </c>
      <c r="Z491" s="3">
        <v>1399</v>
      </c>
      <c r="AA491" s="17" t="s">
        <v>466</v>
      </c>
      <c r="AB491" s="18" t="s">
        <v>465</v>
      </c>
      <c r="AC491" s="46" cm="1">
        <f t="array" ref="AC491">(SUMPRODUCT((H491:O491/H$9:O$9)^H$7:O$7*H$2:O$2)+SUMPRODUCT((Q491:T491/Q$9:T$9)^Q$7:T$7*Q$2:T$2))*(0.8^(1-G491))*AC$9</f>
        <v>3.5571025938449266</v>
      </c>
      <c r="AD491" s="48" cm="1">
        <f t="array" ref="AD491">(SUMPRODUCT((H491:O491/H$9:O$9)^H$7:O$7*H$3:O$3)+SUMPRODUCT((Q491:T491/Q$9:T$9)^Q$7:T$7*Q$3:T$3))*(0.1^(1-G491))*AD$9</f>
        <v>3.5101732419342695</v>
      </c>
      <c r="AE491" s="48" cm="1">
        <f t="array" ref="AE491">(SUMPRODUCT((H491:O491/H$9:O$9)^H$7:O$7*H$4:O$4)+SUMPRODUCT((Q491:T491/Q$9:T$9)^Q$7:T$7*Q$4:T$4))*AE$9</f>
        <v>3.1257325285280984</v>
      </c>
      <c r="AF491" s="47" cm="1">
        <f t="array" ref="AF491">(SUMPRODUCT((H491:O491/H$9:O$9)^H$7:O$7*H$5:O$5)+SUMPRODUCT((Q491:T491/Q$9:T$9)^Q$7:T$7*Q$5:T$5))*AF$9</f>
        <v>3.6336043592428231</v>
      </c>
      <c r="AG491" s="50" cm="1">
        <f t="array" ref="AG491">SUMPRODUCT(AC491:AF491 * AC$3:AF$3) / SUM(AC$3:AF$3)</f>
        <v>3.4958510186478966</v>
      </c>
    </row>
    <row r="492" spans="1:33" x14ac:dyDescent="0.25">
      <c r="A492" s="81" t="s">
        <v>2033</v>
      </c>
      <c r="B492" s="20" t="s">
        <v>2035</v>
      </c>
      <c r="C492" s="4" t="s">
        <v>8853</v>
      </c>
      <c r="D492" s="4" t="str">
        <f t="shared" si="7"/>
        <v>ASUS</v>
      </c>
      <c r="E492" s="4" t="s">
        <v>8856</v>
      </c>
      <c r="F492" s="14" t="s">
        <v>8884</v>
      </c>
      <c r="G492" s="9">
        <v>1</v>
      </c>
      <c r="H492" s="1">
        <v>57.74</v>
      </c>
      <c r="I492" s="1">
        <v>57.74</v>
      </c>
      <c r="J492" s="1">
        <v>0.9</v>
      </c>
      <c r="K492" s="3">
        <v>1875</v>
      </c>
      <c r="L492" s="13">
        <v>2685</v>
      </c>
      <c r="M492" s="49">
        <v>440.1</v>
      </c>
      <c r="N492" s="1">
        <v>880.3</v>
      </c>
      <c r="O492" s="3">
        <v>384</v>
      </c>
      <c r="P492" s="11" t="s">
        <v>2277</v>
      </c>
      <c r="Q492" s="3">
        <v>16</v>
      </c>
      <c r="R492" s="3">
        <v>256</v>
      </c>
      <c r="S492" s="22">
        <v>30</v>
      </c>
      <c r="T492" s="9">
        <v>360</v>
      </c>
      <c r="U492" s="14" t="s">
        <v>458</v>
      </c>
      <c r="V492" s="12">
        <v>5</v>
      </c>
      <c r="W492" s="75">
        <v>16</v>
      </c>
      <c r="X492" s="76">
        <v>16</v>
      </c>
      <c r="Y492" s="9">
        <v>1699</v>
      </c>
      <c r="Z492" s="3">
        <v>2093.9</v>
      </c>
      <c r="AA492" s="17" t="s">
        <v>2034</v>
      </c>
      <c r="AB492" s="18" t="s">
        <v>2033</v>
      </c>
      <c r="AC492" s="46" cm="1">
        <f t="array" ref="AC492">(SUMPRODUCT((H492:O492/H$9:O$9)^H$7:O$7*H$2:O$2)+SUMPRODUCT((Q492:T492/Q$9:T$9)^Q$7:T$7*Q$2:T$2))*(0.8^(1-G492))*AC$9</f>
        <v>4.2322632481438012</v>
      </c>
      <c r="AD492" s="48" cm="1">
        <f t="array" ref="AD492">(SUMPRODUCT((H492:O492/H$9:O$9)^H$7:O$7*H$3:O$3)+SUMPRODUCT((Q492:T492/Q$9:T$9)^Q$7:T$7*Q$3:T$3))*(0.1^(1-G492))*AD$9</f>
        <v>4.2046375312381885</v>
      </c>
      <c r="AE492" s="48" cm="1">
        <f t="array" ref="AE492">(SUMPRODUCT((H492:O492/H$9:O$9)^H$7:O$7*H$4:O$4)+SUMPRODUCT((Q492:T492/Q$9:T$9)^Q$7:T$7*Q$4:T$4))*AE$9</f>
        <v>3.7065290717121324</v>
      </c>
      <c r="AF492" s="47" cm="1">
        <f t="array" ref="AF492">(SUMPRODUCT((H492:O492/H$9:O$9)^H$7:O$7*H$5:O$5)+SUMPRODUCT((Q492:T492/Q$9:T$9)^Q$7:T$7*Q$5:T$5))*AF$9</f>
        <v>4.3942183333336562</v>
      </c>
      <c r="AG492" s="50" cm="1">
        <f t="array" ref="AG492">SUMPRODUCT(AC492:AF492 * AC$3:AF$3) / SUM(AC$3:AF$3)</f>
        <v>4.185493233346584</v>
      </c>
    </row>
    <row r="493" spans="1:33" x14ac:dyDescent="0.25">
      <c r="A493" s="81" t="s">
        <v>1961</v>
      </c>
      <c r="B493" s="20" t="s">
        <v>1963</v>
      </c>
      <c r="C493" s="4" t="s">
        <v>8853</v>
      </c>
      <c r="D493" s="4" t="str">
        <f t="shared" si="7"/>
        <v>ASUS</v>
      </c>
      <c r="E493" s="4" t="s">
        <v>8856</v>
      </c>
      <c r="F493" s="14" t="s">
        <v>8884</v>
      </c>
      <c r="G493" s="9">
        <v>1</v>
      </c>
      <c r="H493" s="1" t="s">
        <v>349</v>
      </c>
      <c r="I493" s="1" t="s">
        <v>349</v>
      </c>
      <c r="J493" s="1">
        <v>0.94</v>
      </c>
      <c r="K493" s="3">
        <v>1875</v>
      </c>
      <c r="L493" s="13">
        <v>2790</v>
      </c>
      <c r="M493" s="49">
        <v>440.1</v>
      </c>
      <c r="N493" s="1">
        <v>880.3</v>
      </c>
      <c r="O493" s="3">
        <v>384</v>
      </c>
      <c r="P493" s="11" t="s">
        <v>2277</v>
      </c>
      <c r="Q493" s="3">
        <v>16</v>
      </c>
      <c r="R493" s="3">
        <v>256</v>
      </c>
      <c r="S493" s="22">
        <v>30</v>
      </c>
      <c r="T493" s="9">
        <v>360</v>
      </c>
      <c r="U493" s="14" t="s">
        <v>458</v>
      </c>
      <c r="V493" s="12">
        <v>5</v>
      </c>
      <c r="W493" s="75">
        <v>16</v>
      </c>
      <c r="X493" s="76">
        <v>16</v>
      </c>
      <c r="Y493" s="9">
        <v>2179.9499999999998</v>
      </c>
      <c r="Z493" s="3">
        <v>3000</v>
      </c>
      <c r="AA493" s="17" t="s">
        <v>1962</v>
      </c>
      <c r="AB493" s="18" t="s">
        <v>1961</v>
      </c>
      <c r="AC493" s="46" cm="1">
        <f t="array" ref="AC493">(SUMPRODUCT((H493:O493/H$9:O$9)^H$7:O$7*H$2:O$2)+SUMPRODUCT((Q493:T493/Q$9:T$9)^Q$7:T$7*Q$2:T$2))*(0.8^(1-G493))*AC$9</f>
        <v>4.2567952530749942</v>
      </c>
      <c r="AD493" s="48" cm="1">
        <f t="array" ref="AD493">(SUMPRODUCT((H493:O493/H$9:O$9)^H$7:O$7*H$3:O$3)+SUMPRODUCT((Q493:T493/Q$9:T$9)^Q$7:T$7*Q$3:T$3))*(0.1^(1-G493))*AD$9</f>
        <v>4.3224651227388025</v>
      </c>
      <c r="AE493" s="48" cm="1">
        <f t="array" ref="AE493">(SUMPRODUCT((H493:O493/H$9:O$9)^H$7:O$7*H$4:O$4)+SUMPRODUCT((Q493:T493/Q$9:T$9)^Q$7:T$7*Q$4:T$4))*AE$9</f>
        <v>3.8079786177402313</v>
      </c>
      <c r="AF493" s="47" cm="1">
        <f t="array" ref="AF493">(SUMPRODUCT((H493:O493/H$9:O$9)^H$7:O$7*H$5:O$5)+SUMPRODUCT((Q493:T493/Q$9:T$9)^Q$7:T$7*Q$5:T$5))*AF$9</f>
        <v>4.4557465364876565</v>
      </c>
      <c r="AG493" s="50" cm="1">
        <f t="array" ref="AG493">SUMPRODUCT(AC493:AF493 * AC$3:AF$3) / SUM(AC$3:AF$3)</f>
        <v>4.2765685461975798</v>
      </c>
    </row>
    <row r="494" spans="1:33" x14ac:dyDescent="0.25">
      <c r="A494" s="81" t="s">
        <v>1740</v>
      </c>
      <c r="B494" s="20" t="s">
        <v>1742</v>
      </c>
      <c r="C494" s="4" t="s">
        <v>8853</v>
      </c>
      <c r="D494" s="4" t="str">
        <f t="shared" si="7"/>
        <v>ASUS</v>
      </c>
      <c r="E494" s="4" t="s">
        <v>8856</v>
      </c>
      <c r="F494" s="14" t="s">
        <v>8884</v>
      </c>
      <c r="G494" s="9">
        <v>1</v>
      </c>
      <c r="H494" s="1">
        <v>58.71</v>
      </c>
      <c r="I494" s="1">
        <v>58.71</v>
      </c>
      <c r="J494" s="1">
        <v>0.92</v>
      </c>
      <c r="K494" s="3">
        <v>1875</v>
      </c>
      <c r="L494" s="13">
        <v>2730</v>
      </c>
      <c r="M494" s="49">
        <v>440.1</v>
      </c>
      <c r="N494" s="1">
        <v>880.3</v>
      </c>
      <c r="O494" s="3">
        <v>384</v>
      </c>
      <c r="P494" s="11" t="s">
        <v>2277</v>
      </c>
      <c r="Q494" s="3">
        <v>16</v>
      </c>
      <c r="R494" s="3">
        <v>256</v>
      </c>
      <c r="S494" s="22">
        <v>30</v>
      </c>
      <c r="T494" s="9">
        <v>360</v>
      </c>
      <c r="U494" s="14" t="s">
        <v>458</v>
      </c>
      <c r="V494" s="12">
        <v>5</v>
      </c>
      <c r="W494" s="75">
        <v>16</v>
      </c>
      <c r="X494" s="76">
        <v>16</v>
      </c>
      <c r="Y494" s="9">
        <v>1730.93</v>
      </c>
      <c r="Z494" s="3">
        <v>2155.87</v>
      </c>
      <c r="AA494" s="17" t="s">
        <v>1741</v>
      </c>
      <c r="AB494" s="18" t="s">
        <v>1740</v>
      </c>
      <c r="AC494" s="46" cm="1">
        <f t="array" ref="AC494">(SUMPRODUCT((H494:O494/H$9:O$9)^H$7:O$7*H$2:O$2)+SUMPRODUCT((Q494:T494/Q$9:T$9)^Q$7:T$7*Q$2:T$2))*(0.8^(1-G494))*AC$9</f>
        <v>4.2427958522903992</v>
      </c>
      <c r="AD494" s="48" cm="1">
        <f t="array" ref="AD494">(SUMPRODUCT((H494:O494/H$9:O$9)^H$7:O$7*H$3:O$3)+SUMPRODUCT((Q494:T494/Q$9:T$9)^Q$7:T$7*Q$3:T$3))*(0.1^(1-G494))*AD$9</f>
        <v>4.2559565848972101</v>
      </c>
      <c r="AE494" s="48" cm="1">
        <f t="array" ref="AE494">(SUMPRODUCT((H494:O494/H$9:O$9)^H$7:O$7*H$4:O$4)+SUMPRODUCT((Q494:T494/Q$9:T$9)^Q$7:T$7*Q$4:T$4))*AE$9</f>
        <v>3.7548741123164926</v>
      </c>
      <c r="AF494" s="47" cm="1">
        <f t="array" ref="AF494">(SUMPRODUCT((H494:O494/H$9:O$9)^H$7:O$7*H$5:O$5)+SUMPRODUCT((Q494:T494/Q$9:T$9)^Q$7:T$7*Q$5:T$5))*AF$9</f>
        <v>4.4206544776497676</v>
      </c>
      <c r="AG494" s="50" cm="1">
        <f t="array" ref="AG494">SUMPRODUCT(AC494:AF494 * AC$3:AF$3) / SUM(AC$3:AF$3)</f>
        <v>4.225536947968088</v>
      </c>
    </row>
    <row r="495" spans="1:33" x14ac:dyDescent="0.25">
      <c r="A495" s="81" t="s">
        <v>1664</v>
      </c>
      <c r="B495" s="20" t="s">
        <v>1666</v>
      </c>
      <c r="C495" s="4" t="s">
        <v>8853</v>
      </c>
      <c r="D495" s="4" t="str">
        <f t="shared" si="7"/>
        <v>GIGABYTE</v>
      </c>
      <c r="E495" s="4" t="s">
        <v>8856</v>
      </c>
      <c r="F495" s="14" t="s">
        <v>8884</v>
      </c>
      <c r="G495" s="9">
        <v>1</v>
      </c>
      <c r="H495" s="1">
        <v>60.32</v>
      </c>
      <c r="I495" s="1">
        <v>60.32</v>
      </c>
      <c r="J495" s="1">
        <v>0.94</v>
      </c>
      <c r="K495" s="3">
        <v>1875</v>
      </c>
      <c r="L495" s="13">
        <v>2805</v>
      </c>
      <c r="M495" s="49">
        <v>440.1</v>
      </c>
      <c r="N495" s="1">
        <v>880.3</v>
      </c>
      <c r="O495" s="3">
        <v>384</v>
      </c>
      <c r="P495" s="11" t="s">
        <v>2277</v>
      </c>
      <c r="Q495" s="3">
        <v>16</v>
      </c>
      <c r="R495" s="3">
        <v>256</v>
      </c>
      <c r="S495" s="22">
        <v>30</v>
      </c>
      <c r="T495" s="9">
        <v>360</v>
      </c>
      <c r="U495" s="14" t="s">
        <v>458</v>
      </c>
      <c r="V495" s="12">
        <v>5</v>
      </c>
      <c r="W495" s="75">
        <v>16</v>
      </c>
      <c r="X495" s="76">
        <v>16</v>
      </c>
      <c r="Y495" s="9">
        <v>2069</v>
      </c>
      <c r="Z495" s="3">
        <v>2492.4899999999998</v>
      </c>
      <c r="AA495" s="17" t="s">
        <v>1665</v>
      </c>
      <c r="AB495" s="18" t="s">
        <v>1664</v>
      </c>
      <c r="AC495" s="46" cm="1">
        <f t="array" ref="AC495">(SUMPRODUCT((H495:O495/H$9:O$9)^H$7:O$7*H$2:O$2)+SUMPRODUCT((Q495:T495/Q$9:T$9)^Q$7:T$7*Q$2:T$2))*(0.8^(1-G495))*AC$9</f>
        <v>4.2602775511555233</v>
      </c>
      <c r="AD495" s="48" cm="1">
        <f t="array" ref="AD495">(SUMPRODUCT((H495:O495/H$9:O$9)^H$7:O$7*H$3:O$3)+SUMPRODUCT((Q495:T495/Q$9:T$9)^Q$7:T$7*Q$3:T$3))*(0.1^(1-G495))*AD$9</f>
        <v>4.3377627403734893</v>
      </c>
      <c r="AE495" s="48" cm="1">
        <f t="array" ref="AE495">(SUMPRODUCT((H495:O495/H$9:O$9)^H$7:O$7*H$4:O$4)+SUMPRODUCT((Q495:T495/Q$9:T$9)^Q$7:T$7*Q$4:T$4))*AE$9</f>
        <v>3.8129049430656416</v>
      </c>
      <c r="AF495" s="47" cm="1">
        <f t="array" ref="AF495">(SUMPRODUCT((H495:O495/H$9:O$9)^H$7:O$7*H$5:O$5)+SUMPRODUCT((Q495:T495/Q$9:T$9)^Q$7:T$7*Q$5:T$5))*AF$9</f>
        <v>4.4644445704336482</v>
      </c>
      <c r="AG495" s="50" cm="1">
        <f t="array" ref="AG495">SUMPRODUCT(AC495:AF495 * AC$3:AF$3) / SUM(AC$3:AF$3)</f>
        <v>4.2876446474796488</v>
      </c>
    </row>
    <row r="496" spans="1:33" x14ac:dyDescent="0.25">
      <c r="A496" s="81" t="s">
        <v>1661</v>
      </c>
      <c r="B496" s="20" t="s">
        <v>1663</v>
      </c>
      <c r="C496" s="4" t="s">
        <v>8853</v>
      </c>
      <c r="D496" s="4" t="str">
        <f t="shared" si="7"/>
        <v>GIGABYTE</v>
      </c>
      <c r="E496" s="4" t="s">
        <v>8856</v>
      </c>
      <c r="F496" s="14" t="s">
        <v>8884</v>
      </c>
      <c r="G496" s="9">
        <v>1</v>
      </c>
      <c r="H496" s="1">
        <v>60.32</v>
      </c>
      <c r="I496" s="1">
        <v>60.32</v>
      </c>
      <c r="J496" s="1">
        <v>0.94</v>
      </c>
      <c r="K496" s="3">
        <v>1875</v>
      </c>
      <c r="L496" s="13">
        <v>2805</v>
      </c>
      <c r="M496" s="49">
        <v>440.1</v>
      </c>
      <c r="N496" s="1">
        <v>880.3</v>
      </c>
      <c r="O496" s="3">
        <v>384</v>
      </c>
      <c r="P496" s="11" t="s">
        <v>2277</v>
      </c>
      <c r="Q496" s="3">
        <v>16</v>
      </c>
      <c r="R496" s="3">
        <v>256</v>
      </c>
      <c r="S496" s="22">
        <v>30</v>
      </c>
      <c r="T496" s="9">
        <v>360</v>
      </c>
      <c r="U496" s="14" t="s">
        <v>458</v>
      </c>
      <c r="V496" s="12">
        <v>5</v>
      </c>
      <c r="W496" s="75">
        <v>16</v>
      </c>
      <c r="X496" s="76">
        <v>16</v>
      </c>
      <c r="Y496" s="9">
        <v>1998</v>
      </c>
      <c r="Z496" s="3">
        <v>2299</v>
      </c>
      <c r="AA496" s="17" t="s">
        <v>1662</v>
      </c>
      <c r="AB496" s="18" t="s">
        <v>1661</v>
      </c>
      <c r="AC496" s="46" cm="1">
        <f t="array" ref="AC496">(SUMPRODUCT((H496:O496/H$9:O$9)^H$7:O$7*H$2:O$2)+SUMPRODUCT((Q496:T496/Q$9:T$9)^Q$7:T$7*Q$2:T$2))*(0.8^(1-G496))*AC$9</f>
        <v>4.2602775511555233</v>
      </c>
      <c r="AD496" s="48" cm="1">
        <f t="array" ref="AD496">(SUMPRODUCT((H496:O496/H$9:O$9)^H$7:O$7*H$3:O$3)+SUMPRODUCT((Q496:T496/Q$9:T$9)^Q$7:T$7*Q$3:T$3))*(0.1^(1-G496))*AD$9</f>
        <v>4.3377627403734893</v>
      </c>
      <c r="AE496" s="48" cm="1">
        <f t="array" ref="AE496">(SUMPRODUCT((H496:O496/H$9:O$9)^H$7:O$7*H$4:O$4)+SUMPRODUCT((Q496:T496/Q$9:T$9)^Q$7:T$7*Q$4:T$4))*AE$9</f>
        <v>3.8129049430656416</v>
      </c>
      <c r="AF496" s="47" cm="1">
        <f t="array" ref="AF496">(SUMPRODUCT((H496:O496/H$9:O$9)^H$7:O$7*H$5:O$5)+SUMPRODUCT((Q496:T496/Q$9:T$9)^Q$7:T$7*Q$5:T$5))*AF$9</f>
        <v>4.4644445704336482</v>
      </c>
      <c r="AG496" s="50" cm="1">
        <f t="array" ref="AG496">SUMPRODUCT(AC496:AF496 * AC$3:AF$3) / SUM(AC$3:AF$3)</f>
        <v>4.2876446474796488</v>
      </c>
    </row>
    <row r="497" spans="1:33" x14ac:dyDescent="0.25">
      <c r="A497" s="81" t="s">
        <v>1409</v>
      </c>
      <c r="B497" s="20" t="s">
        <v>1411</v>
      </c>
      <c r="C497" s="4" t="s">
        <v>8853</v>
      </c>
      <c r="D497" s="4" t="str">
        <f t="shared" si="7"/>
        <v>GIGABYTE</v>
      </c>
      <c r="E497" s="4" t="s">
        <v>8856</v>
      </c>
      <c r="F497" s="14" t="s">
        <v>8884</v>
      </c>
      <c r="G497" s="9">
        <v>1</v>
      </c>
      <c r="H497" s="1">
        <v>58.71</v>
      </c>
      <c r="I497" s="1">
        <v>58.71</v>
      </c>
      <c r="J497" s="1">
        <v>0.92</v>
      </c>
      <c r="K497" s="3">
        <v>1875</v>
      </c>
      <c r="L497" s="13">
        <v>2730</v>
      </c>
      <c r="M497" s="49">
        <v>440.1</v>
      </c>
      <c r="N497" s="1">
        <v>880.3</v>
      </c>
      <c r="O497" s="3">
        <v>384</v>
      </c>
      <c r="P497" s="11" t="s">
        <v>2277</v>
      </c>
      <c r="Q497" s="3">
        <v>16</v>
      </c>
      <c r="R497" s="3">
        <v>256</v>
      </c>
      <c r="S497" s="22">
        <v>30</v>
      </c>
      <c r="T497" s="9">
        <v>360</v>
      </c>
      <c r="U497" s="14" t="s">
        <v>458</v>
      </c>
      <c r="V497" s="12">
        <v>5</v>
      </c>
      <c r="W497" s="75">
        <v>16</v>
      </c>
      <c r="X497" s="76">
        <v>16</v>
      </c>
      <c r="Y497" s="9">
        <v>1690.3</v>
      </c>
      <c r="Z497" s="3">
        <v>2695.48</v>
      </c>
      <c r="AA497" s="17" t="s">
        <v>1410</v>
      </c>
      <c r="AB497" s="18" t="s">
        <v>1409</v>
      </c>
      <c r="AC497" s="46" cm="1">
        <f t="array" ref="AC497">(SUMPRODUCT((H497:O497/H$9:O$9)^H$7:O$7*H$2:O$2)+SUMPRODUCT((Q497:T497/Q$9:T$9)^Q$7:T$7*Q$2:T$2))*(0.8^(1-G497))*AC$9</f>
        <v>4.2427958522903992</v>
      </c>
      <c r="AD497" s="48" cm="1">
        <f t="array" ref="AD497">(SUMPRODUCT((H497:O497/H$9:O$9)^H$7:O$7*H$3:O$3)+SUMPRODUCT((Q497:T497/Q$9:T$9)^Q$7:T$7*Q$3:T$3))*(0.1^(1-G497))*AD$9</f>
        <v>4.2559565848972101</v>
      </c>
      <c r="AE497" s="48" cm="1">
        <f t="array" ref="AE497">(SUMPRODUCT((H497:O497/H$9:O$9)^H$7:O$7*H$4:O$4)+SUMPRODUCT((Q497:T497/Q$9:T$9)^Q$7:T$7*Q$4:T$4))*AE$9</f>
        <v>3.7548741123164926</v>
      </c>
      <c r="AF497" s="47" cm="1">
        <f t="array" ref="AF497">(SUMPRODUCT((H497:O497/H$9:O$9)^H$7:O$7*H$5:O$5)+SUMPRODUCT((Q497:T497/Q$9:T$9)^Q$7:T$7*Q$5:T$5))*AF$9</f>
        <v>4.4206544776497676</v>
      </c>
      <c r="AG497" s="50" cm="1">
        <f t="array" ref="AG497">SUMPRODUCT(AC497:AF497 * AC$3:AF$3) / SUM(AC$3:AF$3)</f>
        <v>4.225536947968088</v>
      </c>
    </row>
    <row r="498" spans="1:33" x14ac:dyDescent="0.25">
      <c r="A498" s="81" t="s">
        <v>1406</v>
      </c>
      <c r="B498" s="20" t="s">
        <v>1408</v>
      </c>
      <c r="C498" s="4" t="s">
        <v>8853</v>
      </c>
      <c r="D498" s="4" t="str">
        <f t="shared" si="7"/>
        <v>GIGABYTE</v>
      </c>
      <c r="E498" s="4" t="s">
        <v>8856</v>
      </c>
      <c r="F498" s="14" t="s">
        <v>8884</v>
      </c>
      <c r="G498" s="9">
        <v>1</v>
      </c>
      <c r="H498" s="1">
        <v>58.71</v>
      </c>
      <c r="I498" s="1">
        <v>58.71</v>
      </c>
      <c r="J498" s="1">
        <v>0.92</v>
      </c>
      <c r="K498" s="3">
        <v>1875</v>
      </c>
      <c r="L498" s="13">
        <v>2730</v>
      </c>
      <c r="M498" s="49">
        <v>440.1</v>
      </c>
      <c r="N498" s="1">
        <v>880.3</v>
      </c>
      <c r="O498" s="3">
        <v>384</v>
      </c>
      <c r="P498" s="11" t="s">
        <v>2277</v>
      </c>
      <c r="Q498" s="3">
        <v>16</v>
      </c>
      <c r="R498" s="3">
        <v>256</v>
      </c>
      <c r="S498" s="22">
        <v>30</v>
      </c>
      <c r="T498" s="9">
        <v>360</v>
      </c>
      <c r="U498" s="14" t="s">
        <v>458</v>
      </c>
      <c r="V498" s="12">
        <v>5</v>
      </c>
      <c r="W498" s="75">
        <v>16</v>
      </c>
      <c r="X498" s="76">
        <v>16</v>
      </c>
      <c r="Y498" s="9">
        <v>1749.99</v>
      </c>
      <c r="Z498" s="3">
        <v>2383.59</v>
      </c>
      <c r="AA498" s="17" t="s">
        <v>1407</v>
      </c>
      <c r="AB498" s="18" t="s">
        <v>1406</v>
      </c>
      <c r="AC498" s="46" cm="1">
        <f t="array" ref="AC498">(SUMPRODUCT((H498:O498/H$9:O$9)^H$7:O$7*H$2:O$2)+SUMPRODUCT((Q498:T498/Q$9:T$9)^Q$7:T$7*Q$2:T$2))*(0.8^(1-G498))*AC$9</f>
        <v>4.2427958522903992</v>
      </c>
      <c r="AD498" s="48" cm="1">
        <f t="array" ref="AD498">(SUMPRODUCT((H498:O498/H$9:O$9)^H$7:O$7*H$3:O$3)+SUMPRODUCT((Q498:T498/Q$9:T$9)^Q$7:T$7*Q$3:T$3))*(0.1^(1-G498))*AD$9</f>
        <v>4.2559565848972101</v>
      </c>
      <c r="AE498" s="48" cm="1">
        <f t="array" ref="AE498">(SUMPRODUCT((H498:O498/H$9:O$9)^H$7:O$7*H$4:O$4)+SUMPRODUCT((Q498:T498/Q$9:T$9)^Q$7:T$7*Q$4:T$4))*AE$9</f>
        <v>3.7548741123164926</v>
      </c>
      <c r="AF498" s="47" cm="1">
        <f t="array" ref="AF498">(SUMPRODUCT((H498:O498/H$9:O$9)^H$7:O$7*H$5:O$5)+SUMPRODUCT((Q498:T498/Q$9:T$9)^Q$7:T$7*Q$5:T$5))*AF$9</f>
        <v>4.4206544776497676</v>
      </c>
      <c r="AG498" s="50" cm="1">
        <f t="array" ref="AG498">SUMPRODUCT(AC498:AF498 * AC$3:AF$3) / SUM(AC$3:AF$3)</f>
        <v>4.225536947968088</v>
      </c>
    </row>
    <row r="499" spans="1:33" x14ac:dyDescent="0.25">
      <c r="A499" s="81" t="s">
        <v>1403</v>
      </c>
      <c r="B499" s="20" t="s">
        <v>1405</v>
      </c>
      <c r="C499" s="4" t="s">
        <v>8853</v>
      </c>
      <c r="D499" s="4" t="str">
        <f t="shared" si="7"/>
        <v>GIGABYTE</v>
      </c>
      <c r="E499" s="4" t="s">
        <v>8856</v>
      </c>
      <c r="F499" s="14" t="s">
        <v>8884</v>
      </c>
      <c r="G499" s="9">
        <v>1</v>
      </c>
      <c r="H499" s="1">
        <v>57.42</v>
      </c>
      <c r="I499" s="1">
        <v>57.42</v>
      </c>
      <c r="J499" s="1">
        <v>0.9</v>
      </c>
      <c r="K499" s="3">
        <v>1875</v>
      </c>
      <c r="L499" s="13">
        <v>2670</v>
      </c>
      <c r="M499" s="49">
        <v>440.1</v>
      </c>
      <c r="N499" s="1">
        <v>880.3</v>
      </c>
      <c r="O499" s="3">
        <v>384</v>
      </c>
      <c r="P499" s="11" t="s">
        <v>2277</v>
      </c>
      <c r="Q499" s="3">
        <v>16</v>
      </c>
      <c r="R499" s="3">
        <v>256</v>
      </c>
      <c r="S499" s="22">
        <v>30</v>
      </c>
      <c r="T499" s="9">
        <v>360</v>
      </c>
      <c r="U499" s="14" t="s">
        <v>458</v>
      </c>
      <c r="V499" s="12">
        <v>5</v>
      </c>
      <c r="W499" s="75">
        <v>16</v>
      </c>
      <c r="X499" s="76">
        <v>16</v>
      </c>
      <c r="Y499" s="9">
        <v>1589</v>
      </c>
      <c r="Z499" s="3">
        <v>2250</v>
      </c>
      <c r="AA499" s="17" t="s">
        <v>1404</v>
      </c>
      <c r="AB499" s="18" t="s">
        <v>1403</v>
      </c>
      <c r="AC499" s="46" cm="1">
        <f t="array" ref="AC499">(SUMPRODUCT((H499:O499/H$9:O$9)^H$7:O$7*H$2:O$2)+SUMPRODUCT((Q499:T499/Q$9:T$9)^Q$7:T$7*Q$2:T$2))*(0.8^(1-G499))*AC$9</f>
        <v>4.2287656508805274</v>
      </c>
      <c r="AD499" s="48" cm="1">
        <f t="array" ref="AD499">(SUMPRODUCT((H499:O499/H$9:O$9)^H$7:O$7*H$3:O$3)+SUMPRODUCT((Q499:T499/Q$9:T$9)^Q$7:T$7*Q$3:T$3))*(0.1^(1-G499))*AD$9</f>
        <v>4.1892542875620862</v>
      </c>
      <c r="AE499" s="48" cm="1">
        <f t="array" ref="AE499">(SUMPRODUCT((H499:O499/H$9:O$9)^H$7:O$7*H$4:O$4)+SUMPRODUCT((Q499:T499/Q$9:T$9)^Q$7:T$7*Q$4:T$4))*AE$9</f>
        <v>3.7015811056710013</v>
      </c>
      <c r="AF499" s="47" cm="1">
        <f t="array" ref="AF499">(SUMPRODUCT((H499:O499/H$9:O$9)^H$7:O$7*H$5:O$5)+SUMPRODUCT((Q499:T499/Q$9:T$9)^Q$7:T$7*Q$5:T$5))*AF$9</f>
        <v>4.3854790184170982</v>
      </c>
      <c r="AG499" s="50" cm="1">
        <f t="array" ref="AG499">SUMPRODUCT(AC499:AF499 * AC$3:AF$3) / SUM(AC$3:AF$3)</f>
        <v>4.1743577274919854</v>
      </c>
    </row>
    <row r="500" spans="1:33" x14ac:dyDescent="0.25">
      <c r="A500" s="81" t="s">
        <v>1167</v>
      </c>
      <c r="B500" s="20" t="s">
        <v>1169</v>
      </c>
      <c r="C500" s="4" t="s">
        <v>8853</v>
      </c>
      <c r="D500" s="4" t="str">
        <f t="shared" si="7"/>
        <v>INNO3D</v>
      </c>
      <c r="E500" s="4" t="s">
        <v>8856</v>
      </c>
      <c r="F500" s="14" t="s">
        <v>8884</v>
      </c>
      <c r="G500" s="9">
        <v>1</v>
      </c>
      <c r="H500" s="1">
        <v>56.77</v>
      </c>
      <c r="I500" s="1">
        <v>56.77</v>
      </c>
      <c r="J500" s="1">
        <v>0.89</v>
      </c>
      <c r="K500" s="3">
        <v>1875</v>
      </c>
      <c r="L500" s="13">
        <v>2640</v>
      </c>
      <c r="M500" s="49">
        <v>440.1</v>
      </c>
      <c r="N500" s="1">
        <v>880.3</v>
      </c>
      <c r="O500" s="3">
        <v>384</v>
      </c>
      <c r="P500" s="11" t="s">
        <v>2277</v>
      </c>
      <c r="Q500" s="3">
        <v>16</v>
      </c>
      <c r="R500" s="3">
        <v>256</v>
      </c>
      <c r="S500" s="22">
        <v>30</v>
      </c>
      <c r="T500" s="9">
        <v>360</v>
      </c>
      <c r="U500" s="14" t="s">
        <v>458</v>
      </c>
      <c r="V500" s="12">
        <v>5</v>
      </c>
      <c r="W500" s="75">
        <v>16</v>
      </c>
      <c r="X500" s="76">
        <v>16</v>
      </c>
      <c r="Y500" s="9">
        <v>1599</v>
      </c>
      <c r="Z500" s="3">
        <v>1748</v>
      </c>
      <c r="AA500" s="17" t="s">
        <v>1168</v>
      </c>
      <c r="AB500" s="18" t="s">
        <v>1167</v>
      </c>
      <c r="AC500" s="46" cm="1">
        <f t="array" ref="AC500">(SUMPRODUCT((H500:O500/H$9:O$9)^H$7:O$7*H$2:O$2)+SUMPRODUCT((Q500:T500/Q$9:T$9)^Q$7:T$7*Q$2:T$2))*(0.8^(1-G500))*AC$9</f>
        <v>4.2217129560711344</v>
      </c>
      <c r="AD500" s="48" cm="1">
        <f t="array" ref="AD500">(SUMPRODUCT((H500:O500/H$9:O$9)^H$7:O$7*H$3:O$3)+SUMPRODUCT((Q500:T500/Q$9:T$9)^Q$7:T$7*Q$3:T$3))*(0.1^(1-G500))*AD$9</f>
        <v>4.1555939257504564</v>
      </c>
      <c r="AE500" s="48" cm="1">
        <f t="array" ref="AE500">(SUMPRODUCT((H500:O500/H$9:O$9)^H$7:O$7*H$4:O$4)+SUMPRODUCT((Q500:T500/Q$9:T$9)^Q$7:T$7*Q$4:T$4))*AE$9</f>
        <v>3.6747849551302934</v>
      </c>
      <c r="AF500" s="47" cm="1">
        <f t="array" ref="AF500">(SUMPRODUCT((H500:O500/H$9:O$9)^H$7:O$7*H$5:O$5)+SUMPRODUCT((Q500:T500/Q$9:T$9)^Q$7:T$7*Q$5:T$5))*AF$9</f>
        <v>4.3677341737641866</v>
      </c>
      <c r="AG500" s="50" cm="1">
        <f t="array" ref="AG500">SUMPRODUCT(AC500:AF500 * AC$3:AF$3) / SUM(AC$3:AF$3)</f>
        <v>4.1485472531817287</v>
      </c>
    </row>
    <row r="501" spans="1:33" x14ac:dyDescent="0.25">
      <c r="A501" s="81" t="s">
        <v>887</v>
      </c>
      <c r="B501" s="20" t="s">
        <v>889</v>
      </c>
      <c r="C501" s="4" t="s">
        <v>8853</v>
      </c>
      <c r="D501" s="4" t="str">
        <f t="shared" si="7"/>
        <v>MSI</v>
      </c>
      <c r="E501" s="4" t="s">
        <v>8856</v>
      </c>
      <c r="F501" s="14" t="s">
        <v>8884</v>
      </c>
      <c r="G501" s="9">
        <v>1</v>
      </c>
      <c r="H501" s="1">
        <v>58.38</v>
      </c>
      <c r="I501" s="1">
        <v>58.38</v>
      </c>
      <c r="J501" s="1">
        <v>0.91</v>
      </c>
      <c r="K501" s="3">
        <v>1875</v>
      </c>
      <c r="L501" s="13">
        <v>2715</v>
      </c>
      <c r="M501" s="49">
        <v>440.1</v>
      </c>
      <c r="N501" s="1">
        <v>880.3</v>
      </c>
      <c r="O501" s="3">
        <v>384</v>
      </c>
      <c r="P501" s="11" t="s">
        <v>2277</v>
      </c>
      <c r="Q501" s="3">
        <v>16</v>
      </c>
      <c r="R501" s="3">
        <v>256</v>
      </c>
      <c r="S501" s="22">
        <v>30</v>
      </c>
      <c r="T501" s="9">
        <v>360</v>
      </c>
      <c r="U501" s="14" t="s">
        <v>458</v>
      </c>
      <c r="V501" s="12">
        <v>5</v>
      </c>
      <c r="W501" s="75">
        <v>16</v>
      </c>
      <c r="X501" s="76">
        <v>16</v>
      </c>
      <c r="Y501" s="9">
        <v>1949</v>
      </c>
      <c r="Z501" s="3">
        <v>2289</v>
      </c>
      <c r="AA501" s="17" t="s">
        <v>888</v>
      </c>
      <c r="AB501" s="18" t="s">
        <v>887</v>
      </c>
      <c r="AC501" s="46" cm="1">
        <f t="array" ref="AC501">(SUMPRODUCT((H501:O501/H$9:O$9)^H$7:O$7*H$2:O$2)+SUMPRODUCT((Q501:T501/Q$9:T$9)^Q$7:T$7*Q$2:T$2))*(0.8^(1-G501))*AC$9</f>
        <v>4.2392526162359863</v>
      </c>
      <c r="AD501" s="48" cm="1">
        <f t="array" ref="AD501">(SUMPRODUCT((H501:O501/H$9:O$9)^H$7:O$7*H$3:O$3)+SUMPRODUCT((Q501:T501/Q$9:T$9)^Q$7:T$7*Q$3:T$3))*(0.1^(1-G501))*AD$9</f>
        <v>4.2377572245283996</v>
      </c>
      <c r="AE501" s="48" cm="1">
        <f t="array" ref="AE501">(SUMPRODUCT((H501:O501/H$9:O$9)^H$7:O$7*H$4:O$4)+SUMPRODUCT((Q501:T501/Q$9:T$9)^Q$7:T$7*Q$4:T$4))*AE$9</f>
        <v>3.7331167278338735</v>
      </c>
      <c r="AF501" s="47" cm="1">
        <f t="array" ref="AF501">(SUMPRODUCT((H501:O501/H$9:O$9)^H$7:O$7*H$5:O$5)+SUMPRODUCT((Q501:T501/Q$9:T$9)^Q$7:T$7*Q$5:T$5))*AF$9</f>
        <v>4.4116812938070762</v>
      </c>
      <c r="AG501" s="50" cm="1">
        <f t="array" ref="AG501">SUMPRODUCT(AC501:AF501 * AC$3:AF$3) / SUM(AC$3:AF$3)</f>
        <v>4.2109226350600526</v>
      </c>
    </row>
    <row r="502" spans="1:33" x14ac:dyDescent="0.25">
      <c r="A502" s="81" t="s">
        <v>885</v>
      </c>
      <c r="B502" s="20" t="s">
        <v>450</v>
      </c>
      <c r="C502" s="4" t="s">
        <v>8853</v>
      </c>
      <c r="D502" s="4" t="str">
        <f t="shared" si="7"/>
        <v>MSI</v>
      </c>
      <c r="E502" s="4" t="s">
        <v>8856</v>
      </c>
      <c r="F502" s="14" t="s">
        <v>8884</v>
      </c>
      <c r="G502" s="9">
        <v>1</v>
      </c>
      <c r="H502" s="1">
        <v>58.38</v>
      </c>
      <c r="I502" s="1">
        <v>58.38</v>
      </c>
      <c r="J502" s="1">
        <v>0.91</v>
      </c>
      <c r="K502" s="3">
        <v>1875</v>
      </c>
      <c r="L502" s="13">
        <v>2715</v>
      </c>
      <c r="M502" s="49">
        <v>440.1</v>
      </c>
      <c r="N502" s="1">
        <v>880.3</v>
      </c>
      <c r="O502" s="3">
        <v>384</v>
      </c>
      <c r="P502" s="11" t="s">
        <v>2277</v>
      </c>
      <c r="Q502" s="3">
        <v>16</v>
      </c>
      <c r="R502" s="3">
        <v>256</v>
      </c>
      <c r="S502" s="22">
        <v>30</v>
      </c>
      <c r="T502" s="9">
        <v>360</v>
      </c>
      <c r="U502" s="14" t="s">
        <v>458</v>
      </c>
      <c r="V502" s="12">
        <v>5</v>
      </c>
      <c r="W502" s="75">
        <v>16</v>
      </c>
      <c r="X502" s="76">
        <v>16</v>
      </c>
      <c r="Y502" s="9">
        <v>1739</v>
      </c>
      <c r="Z502" s="3">
        <v>2167.9</v>
      </c>
      <c r="AA502" s="17" t="s">
        <v>886</v>
      </c>
      <c r="AB502" s="18" t="s">
        <v>885</v>
      </c>
      <c r="AC502" s="46" cm="1">
        <f t="array" ref="AC502">(SUMPRODUCT((H502:O502/H$9:O$9)^H$7:O$7*H$2:O$2)+SUMPRODUCT((Q502:T502/Q$9:T$9)^Q$7:T$7*Q$2:T$2))*(0.8^(1-G502))*AC$9</f>
        <v>4.2392526162359863</v>
      </c>
      <c r="AD502" s="48" cm="1">
        <f t="array" ref="AD502">(SUMPRODUCT((H502:O502/H$9:O$9)^H$7:O$7*H$3:O$3)+SUMPRODUCT((Q502:T502/Q$9:T$9)^Q$7:T$7*Q$3:T$3))*(0.1^(1-G502))*AD$9</f>
        <v>4.2377572245283996</v>
      </c>
      <c r="AE502" s="48" cm="1">
        <f t="array" ref="AE502">(SUMPRODUCT((H502:O502/H$9:O$9)^H$7:O$7*H$4:O$4)+SUMPRODUCT((Q502:T502/Q$9:T$9)^Q$7:T$7*Q$4:T$4))*AE$9</f>
        <v>3.7331167278338735</v>
      </c>
      <c r="AF502" s="47" cm="1">
        <f t="array" ref="AF502">(SUMPRODUCT((H502:O502/H$9:O$9)^H$7:O$7*H$5:O$5)+SUMPRODUCT((Q502:T502/Q$9:T$9)^Q$7:T$7*Q$5:T$5))*AF$9</f>
        <v>4.4116812938070762</v>
      </c>
      <c r="AG502" s="50" cm="1">
        <f t="array" ref="AG502">SUMPRODUCT(AC502:AF502 * AC$3:AF$3) / SUM(AC$3:AF$3)</f>
        <v>4.2109226350600526</v>
      </c>
    </row>
    <row r="503" spans="1:33" x14ac:dyDescent="0.25">
      <c r="A503" s="81" t="s">
        <v>883</v>
      </c>
      <c r="B503" s="20" t="s">
        <v>450</v>
      </c>
      <c r="C503" s="4" t="s">
        <v>8853</v>
      </c>
      <c r="D503" s="4" t="str">
        <f t="shared" si="7"/>
        <v>MSI</v>
      </c>
      <c r="E503" s="4" t="s">
        <v>8856</v>
      </c>
      <c r="F503" s="14" t="s">
        <v>8884</v>
      </c>
      <c r="G503" s="9">
        <v>1</v>
      </c>
      <c r="H503" s="1">
        <v>57.09</v>
      </c>
      <c r="I503" s="1">
        <v>57.09</v>
      </c>
      <c r="J503" s="1">
        <v>0.89</v>
      </c>
      <c r="K503" s="3">
        <v>1875</v>
      </c>
      <c r="L503" s="13">
        <v>2655</v>
      </c>
      <c r="M503" s="49">
        <v>440.1</v>
      </c>
      <c r="N503" s="1">
        <v>880.3</v>
      </c>
      <c r="O503" s="3">
        <v>384</v>
      </c>
      <c r="P503" s="11" t="s">
        <v>2277</v>
      </c>
      <c r="Q503" s="3">
        <v>16</v>
      </c>
      <c r="R503" s="3">
        <v>256</v>
      </c>
      <c r="S503" s="22">
        <v>30</v>
      </c>
      <c r="T503" s="9">
        <v>360</v>
      </c>
      <c r="U503" s="14" t="s">
        <v>458</v>
      </c>
      <c r="V503" s="12">
        <v>5</v>
      </c>
      <c r="W503" s="75">
        <v>16</v>
      </c>
      <c r="X503" s="76">
        <v>16</v>
      </c>
      <c r="Y503" s="9">
        <v>1599.99</v>
      </c>
      <c r="Z503" s="3">
        <v>1699</v>
      </c>
      <c r="AA503" s="17" t="s">
        <v>884</v>
      </c>
      <c r="AB503" s="18" t="s">
        <v>883</v>
      </c>
      <c r="AC503" s="46" cm="1">
        <f t="array" ref="AC503">(SUMPRODUCT((H503:O503/H$9:O$9)^H$7:O$7*H$2:O$2)+SUMPRODUCT((Q503:T503/Q$9:T$9)^Q$7:T$7*Q$2:T$2))*(0.8^(1-G503))*AC$9</f>
        <v>4.2252145106178221</v>
      </c>
      <c r="AD503" s="48" cm="1">
        <f t="array" ref="AD503">(SUMPRODUCT((H503:O503/H$9:O$9)^H$7:O$7*H$3:O$3)+SUMPRODUCT((Q503:T503/Q$9:T$9)^Q$7:T$7*Q$3:T$3))*(0.1^(1-G503))*AD$9</f>
        <v>4.1709994248445437</v>
      </c>
      <c r="AE503" s="48" cm="1">
        <f t="array" ref="AE503">(SUMPRODUCT((H503:O503/H$9:O$9)^H$7:O$7*H$4:O$4)+SUMPRODUCT((Q503:T503/Q$9:T$9)^Q$7:T$7*Q$4:T$4))*AE$9</f>
        <v>3.6797385417251571</v>
      </c>
      <c r="AF503" s="47" cm="1">
        <f t="array" ref="AF503">(SUMPRODUCT((H503:O503/H$9:O$9)^H$7:O$7*H$5:O$5)+SUMPRODUCT((Q503:T503/Q$9:T$9)^Q$7:T$7*Q$5:T$5))*AF$9</f>
        <v>4.3764842070241281</v>
      </c>
      <c r="AG503" s="50" cm="1">
        <f t="array" ref="AG503">SUMPRODUCT(AC503:AF503 * AC$3:AF$3) / SUM(AC$3:AF$3)</f>
        <v>4.1596981936012005</v>
      </c>
    </row>
    <row r="504" spans="1:33" x14ac:dyDescent="0.25">
      <c r="A504" s="81" t="s">
        <v>881</v>
      </c>
      <c r="B504" s="20" t="s">
        <v>450</v>
      </c>
      <c r="C504" s="4" t="s">
        <v>8853</v>
      </c>
      <c r="D504" s="4" t="str">
        <f t="shared" si="7"/>
        <v>MSI</v>
      </c>
      <c r="E504" s="4" t="s">
        <v>8856</v>
      </c>
      <c r="F504" s="14" t="s">
        <v>8884</v>
      </c>
      <c r="G504" s="9">
        <v>1</v>
      </c>
      <c r="H504" s="1">
        <v>59.35</v>
      </c>
      <c r="I504" s="1">
        <v>59.35</v>
      </c>
      <c r="J504" s="1">
        <v>0.93</v>
      </c>
      <c r="K504" s="3">
        <v>1875</v>
      </c>
      <c r="L504" s="13">
        <v>2760</v>
      </c>
      <c r="M504" s="49">
        <v>440.1</v>
      </c>
      <c r="N504" s="1">
        <v>880.3</v>
      </c>
      <c r="O504" s="3">
        <v>384</v>
      </c>
      <c r="P504" s="11" t="s">
        <v>2277</v>
      </c>
      <c r="Q504" s="3">
        <v>16</v>
      </c>
      <c r="R504" s="3">
        <v>256</v>
      </c>
      <c r="S504" s="22">
        <v>30</v>
      </c>
      <c r="T504" s="9">
        <v>360</v>
      </c>
      <c r="U504" s="14" t="s">
        <v>458</v>
      </c>
      <c r="V504" s="12">
        <v>5</v>
      </c>
      <c r="W504" s="75">
        <v>16</v>
      </c>
      <c r="X504" s="76">
        <v>16</v>
      </c>
      <c r="Y504" s="9">
        <v>1949</v>
      </c>
      <c r="Z504" s="3">
        <v>1955</v>
      </c>
      <c r="AA504" s="17" t="s">
        <v>882</v>
      </c>
      <c r="AB504" s="18" t="s">
        <v>881</v>
      </c>
      <c r="AC504" s="46" cm="1">
        <f t="array" ref="AC504">(SUMPRODUCT((H504:O504/H$9:O$9)^H$7:O$7*H$2:O$2)+SUMPRODUCT((Q504:T504/Q$9:T$9)^Q$7:T$7*Q$2:T$2))*(0.8^(1-G504))*AC$9</f>
        <v>4.2497736638535262</v>
      </c>
      <c r="AD504" s="48" cm="1">
        <f t="array" ref="AD504">(SUMPRODUCT((H504:O504/H$9:O$9)^H$7:O$7*H$3:O$3)+SUMPRODUCT((Q504:T504/Q$9:T$9)^Q$7:T$7*Q$3:T$3))*(0.1^(1-G504))*AD$9</f>
        <v>4.2890010941604864</v>
      </c>
      <c r="AE504" s="48" cm="1">
        <f t="array" ref="AE504">(SUMPRODUCT((H504:O504/H$9:O$9)^H$7:O$7*H$4:O$4)+SUMPRODUCT((Q504:T504/Q$9:T$9)^Q$7:T$7*Q$4:T$4))*AE$9</f>
        <v>3.7813725494336965</v>
      </c>
      <c r="AF504" s="47" cm="1">
        <f t="array" ref="AF504">(SUMPRODUCT((H504:O504/H$9:O$9)^H$7:O$7*H$5:O$5)+SUMPRODUCT((Q504:T504/Q$9:T$9)^Q$7:T$7*Q$5:T$5))*AF$9</f>
        <v>4.4380862170369664</v>
      </c>
      <c r="AG504" s="50" cm="1">
        <f t="array" ref="AG504">SUMPRODUCT(AC504:AF504 * AC$3:AF$3) / SUM(AC$3:AF$3)</f>
        <v>4.2509075379524299</v>
      </c>
    </row>
    <row r="505" spans="1:33" x14ac:dyDescent="0.25">
      <c r="A505" s="81" t="s">
        <v>878</v>
      </c>
      <c r="B505" s="20" t="s">
        <v>880</v>
      </c>
      <c r="C505" s="4" t="s">
        <v>8853</v>
      </c>
      <c r="D505" s="4" t="str">
        <f t="shared" si="7"/>
        <v>MSI</v>
      </c>
      <c r="E505" s="4" t="s">
        <v>8856</v>
      </c>
      <c r="F505" s="14" t="s">
        <v>8884</v>
      </c>
      <c r="G505" s="9">
        <v>1</v>
      </c>
      <c r="H505" s="1">
        <v>57.09</v>
      </c>
      <c r="I505" s="1">
        <v>57.09</v>
      </c>
      <c r="J505" s="1">
        <v>0.89</v>
      </c>
      <c r="K505" s="3">
        <v>1875</v>
      </c>
      <c r="L505" s="13">
        <v>2655</v>
      </c>
      <c r="M505" s="49">
        <v>440.1</v>
      </c>
      <c r="N505" s="1">
        <v>880.3</v>
      </c>
      <c r="O505" s="3">
        <v>384</v>
      </c>
      <c r="P505" s="11" t="s">
        <v>2277</v>
      </c>
      <c r="Q505" s="3">
        <v>16</v>
      </c>
      <c r="R505" s="3">
        <v>256</v>
      </c>
      <c r="S505" s="22">
        <v>30</v>
      </c>
      <c r="T505" s="9">
        <v>360</v>
      </c>
      <c r="U505" s="14" t="s">
        <v>458</v>
      </c>
      <c r="V505" s="12">
        <v>5</v>
      </c>
      <c r="W505" s="75">
        <v>16</v>
      </c>
      <c r="X505" s="76">
        <v>16</v>
      </c>
      <c r="Y505" s="9">
        <v>1649.99</v>
      </c>
      <c r="Z505" s="3">
        <v>2361.79</v>
      </c>
      <c r="AA505" s="17" t="s">
        <v>879</v>
      </c>
      <c r="AB505" s="18" t="s">
        <v>878</v>
      </c>
      <c r="AC505" s="46" cm="1">
        <f t="array" ref="AC505">(SUMPRODUCT((H505:O505/H$9:O$9)^H$7:O$7*H$2:O$2)+SUMPRODUCT((Q505:T505/Q$9:T$9)^Q$7:T$7*Q$2:T$2))*(0.8^(1-G505))*AC$9</f>
        <v>4.2252145106178221</v>
      </c>
      <c r="AD505" s="48" cm="1">
        <f t="array" ref="AD505">(SUMPRODUCT((H505:O505/H$9:O$9)^H$7:O$7*H$3:O$3)+SUMPRODUCT((Q505:T505/Q$9:T$9)^Q$7:T$7*Q$3:T$3))*(0.1^(1-G505))*AD$9</f>
        <v>4.1709994248445437</v>
      </c>
      <c r="AE505" s="48" cm="1">
        <f t="array" ref="AE505">(SUMPRODUCT((H505:O505/H$9:O$9)^H$7:O$7*H$4:O$4)+SUMPRODUCT((Q505:T505/Q$9:T$9)^Q$7:T$7*Q$4:T$4))*AE$9</f>
        <v>3.6797385417251571</v>
      </c>
      <c r="AF505" s="47" cm="1">
        <f t="array" ref="AF505">(SUMPRODUCT((H505:O505/H$9:O$9)^H$7:O$7*H$5:O$5)+SUMPRODUCT((Q505:T505/Q$9:T$9)^Q$7:T$7*Q$5:T$5))*AF$9</f>
        <v>4.3764842070241281</v>
      </c>
      <c r="AG505" s="50" cm="1">
        <f t="array" ref="AG505">SUMPRODUCT(AC505:AF505 * AC$3:AF$3) / SUM(AC$3:AF$3)</f>
        <v>4.1596981936012005</v>
      </c>
    </row>
    <row r="506" spans="1:33" x14ac:dyDescent="0.25">
      <c r="A506" s="81" t="s">
        <v>875</v>
      </c>
      <c r="B506" s="20" t="s">
        <v>877</v>
      </c>
      <c r="C506" s="4" t="s">
        <v>8853</v>
      </c>
      <c r="D506" s="4" t="str">
        <f t="shared" si="7"/>
        <v>MSI</v>
      </c>
      <c r="E506" s="4" t="s">
        <v>8856</v>
      </c>
      <c r="F506" s="14" t="s">
        <v>8884</v>
      </c>
      <c r="G506" s="9">
        <v>1</v>
      </c>
      <c r="H506" s="1">
        <v>57.09</v>
      </c>
      <c r="I506" s="1">
        <v>57.09</v>
      </c>
      <c r="J506" s="1">
        <v>0.89</v>
      </c>
      <c r="K506" s="3">
        <v>1875</v>
      </c>
      <c r="L506" s="13">
        <v>2655</v>
      </c>
      <c r="M506" s="49">
        <v>440.1</v>
      </c>
      <c r="N506" s="1">
        <v>880.3</v>
      </c>
      <c r="O506" s="3">
        <v>384</v>
      </c>
      <c r="P506" s="11" t="s">
        <v>2277</v>
      </c>
      <c r="Q506" s="3">
        <v>16</v>
      </c>
      <c r="R506" s="3">
        <v>256</v>
      </c>
      <c r="S506" s="22">
        <v>30</v>
      </c>
      <c r="T506" s="9">
        <v>360</v>
      </c>
      <c r="U506" s="14" t="s">
        <v>458</v>
      </c>
      <c r="V506" s="12">
        <v>5</v>
      </c>
      <c r="W506" s="75">
        <v>16</v>
      </c>
      <c r="X506" s="76">
        <v>16</v>
      </c>
      <c r="Y506" s="9">
        <v>1559</v>
      </c>
      <c r="Z506" s="3">
        <v>2297.96</v>
      </c>
      <c r="AA506" s="17" t="s">
        <v>876</v>
      </c>
      <c r="AB506" s="18" t="s">
        <v>875</v>
      </c>
      <c r="AC506" s="46" cm="1">
        <f t="array" ref="AC506">(SUMPRODUCT((H506:O506/H$9:O$9)^H$7:O$7*H$2:O$2)+SUMPRODUCT((Q506:T506/Q$9:T$9)^Q$7:T$7*Q$2:T$2))*(0.8^(1-G506))*AC$9</f>
        <v>4.2252145106178221</v>
      </c>
      <c r="AD506" s="48" cm="1">
        <f t="array" ref="AD506">(SUMPRODUCT((H506:O506/H$9:O$9)^H$7:O$7*H$3:O$3)+SUMPRODUCT((Q506:T506/Q$9:T$9)^Q$7:T$7*Q$3:T$3))*(0.1^(1-G506))*AD$9</f>
        <v>4.1709994248445437</v>
      </c>
      <c r="AE506" s="48" cm="1">
        <f t="array" ref="AE506">(SUMPRODUCT((H506:O506/H$9:O$9)^H$7:O$7*H$4:O$4)+SUMPRODUCT((Q506:T506/Q$9:T$9)^Q$7:T$7*Q$4:T$4))*AE$9</f>
        <v>3.6797385417251571</v>
      </c>
      <c r="AF506" s="47" cm="1">
        <f t="array" ref="AF506">(SUMPRODUCT((H506:O506/H$9:O$9)^H$7:O$7*H$5:O$5)+SUMPRODUCT((Q506:T506/Q$9:T$9)^Q$7:T$7*Q$5:T$5))*AF$9</f>
        <v>4.3764842070241281</v>
      </c>
      <c r="AG506" s="50" cm="1">
        <f t="array" ref="AG506">SUMPRODUCT(AC506:AF506 * AC$3:AF$3) / SUM(AC$3:AF$3)</f>
        <v>4.1596981936012005</v>
      </c>
    </row>
    <row r="507" spans="1:33" x14ac:dyDescent="0.25">
      <c r="A507" s="81" t="s">
        <v>658</v>
      </c>
      <c r="B507" s="20" t="s">
        <v>660</v>
      </c>
      <c r="C507" s="4" t="s">
        <v>8853</v>
      </c>
      <c r="D507" s="4" t="str">
        <f t="shared" si="7"/>
        <v>Palit</v>
      </c>
      <c r="E507" s="4" t="s">
        <v>8856</v>
      </c>
      <c r="F507" s="14" t="s">
        <v>8884</v>
      </c>
      <c r="G507" s="9">
        <v>1</v>
      </c>
      <c r="H507" s="1">
        <v>58.71</v>
      </c>
      <c r="I507" s="1">
        <v>58.71</v>
      </c>
      <c r="J507" s="1">
        <v>0.92</v>
      </c>
      <c r="K507" s="3">
        <v>1875</v>
      </c>
      <c r="L507" s="13">
        <v>2730</v>
      </c>
      <c r="M507" s="49">
        <v>440.1</v>
      </c>
      <c r="N507" s="1">
        <v>880.3</v>
      </c>
      <c r="O507" s="3">
        <v>384</v>
      </c>
      <c r="P507" s="11" t="s">
        <v>2277</v>
      </c>
      <c r="Q507" s="3">
        <v>16</v>
      </c>
      <c r="R507" s="3">
        <v>256</v>
      </c>
      <c r="S507" s="22">
        <v>30</v>
      </c>
      <c r="T507" s="9">
        <v>360</v>
      </c>
      <c r="U507" s="14" t="s">
        <v>458</v>
      </c>
      <c r="V507" s="12">
        <v>5</v>
      </c>
      <c r="W507" s="75">
        <v>16</v>
      </c>
      <c r="X507" s="76">
        <v>16</v>
      </c>
      <c r="Y507" s="9">
        <v>1449</v>
      </c>
      <c r="Z507" s="3">
        <v>1449</v>
      </c>
      <c r="AA507" s="17" t="s">
        <v>659</v>
      </c>
      <c r="AB507" s="18" t="s">
        <v>658</v>
      </c>
      <c r="AC507" s="46" cm="1">
        <f t="array" ref="AC507">(SUMPRODUCT((H507:O507/H$9:O$9)^H$7:O$7*H$2:O$2)+SUMPRODUCT((Q507:T507/Q$9:T$9)^Q$7:T$7*Q$2:T$2))*(0.8^(1-G507))*AC$9</f>
        <v>4.2427958522903992</v>
      </c>
      <c r="AD507" s="48" cm="1">
        <f t="array" ref="AD507">(SUMPRODUCT((H507:O507/H$9:O$9)^H$7:O$7*H$3:O$3)+SUMPRODUCT((Q507:T507/Q$9:T$9)^Q$7:T$7*Q$3:T$3))*(0.1^(1-G507))*AD$9</f>
        <v>4.2559565848972101</v>
      </c>
      <c r="AE507" s="48" cm="1">
        <f t="array" ref="AE507">(SUMPRODUCT((H507:O507/H$9:O$9)^H$7:O$7*H$4:O$4)+SUMPRODUCT((Q507:T507/Q$9:T$9)^Q$7:T$7*Q$4:T$4))*AE$9</f>
        <v>3.7548741123164926</v>
      </c>
      <c r="AF507" s="47" cm="1">
        <f t="array" ref="AF507">(SUMPRODUCT((H507:O507/H$9:O$9)^H$7:O$7*H$5:O$5)+SUMPRODUCT((Q507:T507/Q$9:T$9)^Q$7:T$7*Q$5:T$5))*AF$9</f>
        <v>4.4206544776497676</v>
      </c>
      <c r="AG507" s="50" cm="1">
        <f t="array" ref="AG507">SUMPRODUCT(AC507:AF507 * AC$3:AF$3) / SUM(AC$3:AF$3)</f>
        <v>4.225536947968088</v>
      </c>
    </row>
    <row r="508" spans="1:33" x14ac:dyDescent="0.25">
      <c r="A508" s="81" t="s">
        <v>655</v>
      </c>
      <c r="B508" s="20" t="s">
        <v>657</v>
      </c>
      <c r="C508" s="4" t="s">
        <v>8853</v>
      </c>
      <c r="D508" s="4" t="str">
        <f t="shared" si="7"/>
        <v>Palit</v>
      </c>
      <c r="E508" s="4" t="s">
        <v>8856</v>
      </c>
      <c r="F508" s="14" t="s">
        <v>8884</v>
      </c>
      <c r="G508" s="9">
        <v>1</v>
      </c>
      <c r="H508" s="1">
        <v>56.28</v>
      </c>
      <c r="I508" s="1">
        <v>56.28</v>
      </c>
      <c r="J508" s="1">
        <v>0.88</v>
      </c>
      <c r="K508" s="3">
        <v>1875</v>
      </c>
      <c r="L508" s="13">
        <v>2617</v>
      </c>
      <c r="M508" s="49">
        <v>440.1</v>
      </c>
      <c r="N508" s="1">
        <v>880.3</v>
      </c>
      <c r="O508" s="3">
        <v>384</v>
      </c>
      <c r="P508" s="11" t="s">
        <v>2277</v>
      </c>
      <c r="Q508" s="3">
        <v>16</v>
      </c>
      <c r="R508" s="3">
        <v>256</v>
      </c>
      <c r="S508" s="22">
        <v>30</v>
      </c>
      <c r="T508" s="9">
        <v>360</v>
      </c>
      <c r="U508" s="14" t="s">
        <v>458</v>
      </c>
      <c r="V508" s="12">
        <v>5</v>
      </c>
      <c r="W508" s="75">
        <v>16</v>
      </c>
      <c r="X508" s="76">
        <v>16</v>
      </c>
      <c r="Y508" s="9">
        <v>1389</v>
      </c>
      <c r="Z508" s="3">
        <v>2605.36</v>
      </c>
      <c r="AA508" s="17" t="s">
        <v>656</v>
      </c>
      <c r="AB508" s="18" t="s">
        <v>655</v>
      </c>
      <c r="AC508" s="46" cm="1">
        <f t="array" ref="AC508">(SUMPRODUCT((H508:O508/H$9:O$9)^H$7:O$7*H$2:O$2)+SUMPRODUCT((Q508:T508/Q$9:T$9)^Q$7:T$7*Q$2:T$2))*(0.8^(1-G508))*AC$9</f>
        <v>4.2163434946717659</v>
      </c>
      <c r="AD508" s="48" cm="1">
        <f t="array" ref="AD508">(SUMPRODUCT((H508:O508/H$9:O$9)^H$7:O$7*H$3:O$3)+SUMPRODUCT((Q508:T508/Q$9:T$9)^Q$7:T$7*Q$3:T$3))*(0.1^(1-G508))*AD$9</f>
        <v>4.1295856225276131</v>
      </c>
      <c r="AE508" s="48" cm="1">
        <f t="array" ref="AE508">(SUMPRODUCT((H508:O508/H$9:O$9)^H$7:O$7*H$4:O$4)+SUMPRODUCT((Q508:T508/Q$9:T$9)^Q$7:T$7*Q$4:T$4))*AE$9</f>
        <v>3.6504196173659031</v>
      </c>
      <c r="AF508" s="47" cm="1">
        <f t="array" ref="AF508">(SUMPRODUCT((H508:O508/H$9:O$9)^H$7:O$7*H$5:O$5)+SUMPRODUCT((Q508:T508/Q$9:T$9)^Q$7:T$7*Q$5:T$5))*AF$9</f>
        <v>4.354323794282994</v>
      </c>
      <c r="AG508" s="50" cm="1">
        <f t="array" ref="AG508">SUMPRODUCT(AC508:AF508 * AC$3:AF$3) / SUM(AC$3:AF$3)</f>
        <v>4.1282609626040125</v>
      </c>
    </row>
    <row r="509" spans="1:33" x14ac:dyDescent="0.25">
      <c r="A509" s="81" t="s">
        <v>462</v>
      </c>
      <c r="B509" s="20" t="s">
        <v>464</v>
      </c>
      <c r="C509" s="4" t="s">
        <v>8853</v>
      </c>
      <c r="D509" s="4" t="str">
        <f t="shared" si="7"/>
        <v>Zotac</v>
      </c>
      <c r="E509" s="4" t="s">
        <v>8856</v>
      </c>
      <c r="F509" s="14" t="s">
        <v>8884</v>
      </c>
      <c r="G509" s="9">
        <v>1</v>
      </c>
      <c r="H509" s="1">
        <v>57.42</v>
      </c>
      <c r="I509" s="1">
        <v>57.42</v>
      </c>
      <c r="J509" s="1">
        <v>0.9</v>
      </c>
      <c r="K509" s="3">
        <v>1875</v>
      </c>
      <c r="L509" s="13">
        <v>2670</v>
      </c>
      <c r="M509" s="49">
        <v>440.1</v>
      </c>
      <c r="N509" s="1">
        <v>880.3</v>
      </c>
      <c r="O509" s="3">
        <v>384</v>
      </c>
      <c r="P509" s="11" t="s">
        <v>2277</v>
      </c>
      <c r="Q509" s="3">
        <v>16</v>
      </c>
      <c r="R509" s="3">
        <v>256</v>
      </c>
      <c r="S509" s="22">
        <v>30</v>
      </c>
      <c r="T509" s="9">
        <v>360</v>
      </c>
      <c r="U509" s="14" t="s">
        <v>458</v>
      </c>
      <c r="V509" s="12">
        <v>5</v>
      </c>
      <c r="W509" s="75">
        <v>16</v>
      </c>
      <c r="X509" s="76">
        <v>16</v>
      </c>
      <c r="Y509" s="9">
        <v>1725</v>
      </c>
      <c r="Z509" s="3">
        <v>1999</v>
      </c>
      <c r="AA509" s="17" t="s">
        <v>463</v>
      </c>
      <c r="AB509" s="18" t="s">
        <v>462</v>
      </c>
      <c r="AC509" s="46" cm="1">
        <f t="array" ref="AC509">(SUMPRODUCT((H509:O509/H$9:O$9)^H$7:O$7*H$2:O$2)+SUMPRODUCT((Q509:T509/Q$9:T$9)^Q$7:T$7*Q$2:T$2))*(0.8^(1-G509))*AC$9</f>
        <v>4.2287656508805274</v>
      </c>
      <c r="AD509" s="48" cm="1">
        <f t="array" ref="AD509">(SUMPRODUCT((H509:O509/H$9:O$9)^H$7:O$7*H$3:O$3)+SUMPRODUCT((Q509:T509/Q$9:T$9)^Q$7:T$7*Q$3:T$3))*(0.1^(1-G509))*AD$9</f>
        <v>4.1892542875620862</v>
      </c>
      <c r="AE509" s="48" cm="1">
        <f t="array" ref="AE509">(SUMPRODUCT((H509:O509/H$9:O$9)^H$7:O$7*H$4:O$4)+SUMPRODUCT((Q509:T509/Q$9:T$9)^Q$7:T$7*Q$4:T$4))*AE$9</f>
        <v>3.7015811056710013</v>
      </c>
      <c r="AF509" s="47" cm="1">
        <f t="array" ref="AF509">(SUMPRODUCT((H509:O509/H$9:O$9)^H$7:O$7*H$5:O$5)+SUMPRODUCT((Q509:T509/Q$9:T$9)^Q$7:T$7*Q$5:T$5))*AF$9</f>
        <v>4.3854790184170982</v>
      </c>
      <c r="AG509" s="50" cm="1">
        <f t="array" ref="AG509">SUMPRODUCT(AC509:AF509 * AC$3:AF$3) / SUM(AC$3:AF$3)</f>
        <v>4.1743577274919854</v>
      </c>
    </row>
    <row r="510" spans="1:33" x14ac:dyDescent="0.25">
      <c r="A510" s="81" t="s">
        <v>459</v>
      </c>
      <c r="B510" s="20" t="s">
        <v>461</v>
      </c>
      <c r="C510" s="4" t="s">
        <v>8853</v>
      </c>
      <c r="D510" s="4" t="str">
        <f t="shared" si="7"/>
        <v>Zotac</v>
      </c>
      <c r="E510" s="4" t="s">
        <v>8856</v>
      </c>
      <c r="F510" s="14" t="s">
        <v>8884</v>
      </c>
      <c r="G510" s="9">
        <v>1</v>
      </c>
      <c r="H510" s="1">
        <v>56.45</v>
      </c>
      <c r="I510" s="1">
        <v>56.45</v>
      </c>
      <c r="J510" s="1">
        <v>0.88</v>
      </c>
      <c r="K510" s="3">
        <v>1875</v>
      </c>
      <c r="L510" s="13">
        <v>2625</v>
      </c>
      <c r="M510" s="49">
        <v>440.1</v>
      </c>
      <c r="N510" s="1">
        <v>880.3</v>
      </c>
      <c r="O510" s="3">
        <v>384</v>
      </c>
      <c r="P510" s="11" t="s">
        <v>2277</v>
      </c>
      <c r="Q510" s="3">
        <v>16</v>
      </c>
      <c r="R510" s="3">
        <v>256</v>
      </c>
      <c r="S510" s="22">
        <v>30</v>
      </c>
      <c r="T510" s="9">
        <v>360</v>
      </c>
      <c r="U510" s="14" t="s">
        <v>458</v>
      </c>
      <c r="V510" s="12">
        <v>5</v>
      </c>
      <c r="W510" s="75">
        <v>16</v>
      </c>
      <c r="X510" s="76">
        <v>16</v>
      </c>
      <c r="Y510" s="9">
        <v>1549</v>
      </c>
      <c r="Z510" s="3">
        <v>1749</v>
      </c>
      <c r="AA510" s="17" t="s">
        <v>460</v>
      </c>
      <c r="AB510" s="18" t="s">
        <v>459</v>
      </c>
      <c r="AC510" s="46" cm="1">
        <f t="array" ref="AC510">(SUMPRODUCT((H510:O510/H$9:O$9)^H$7:O$7*H$2:O$2)+SUMPRODUCT((Q510:T510/Q$9:T$9)^Q$7:T$7*Q$2:T$2))*(0.8^(1-G510))*AC$9</f>
        <v>4.2182094188692822</v>
      </c>
      <c r="AD510" s="48" cm="1">
        <f t="array" ref="AD510">(SUMPRODUCT((H510:O510/H$9:O$9)^H$7:O$7*H$3:O$3)+SUMPRODUCT((Q510:T510/Q$9:T$9)^Q$7:T$7*Q$3:T$3))*(0.1^(1-G510))*AD$9</f>
        <v>4.1377809696265349</v>
      </c>
      <c r="AE510" s="48" cm="1">
        <f t="array" ref="AE510">(SUMPRODUCT((H510:O510/H$9:O$9)^H$7:O$7*H$4:O$4)+SUMPRODUCT((Q510:T510/Q$9:T$9)^Q$7:T$7*Q$4:T$4))*AE$9</f>
        <v>3.6530538360446383</v>
      </c>
      <c r="AF510" s="47" cm="1">
        <f t="array" ref="AF510">(SUMPRODUCT((H510:O510/H$9:O$9)^H$7:O$7*H$5:O$5)+SUMPRODUCT((Q510:T510/Q$9:T$9)^Q$7:T$7*Q$5:T$5))*AF$9</f>
        <v>4.3589788072542079</v>
      </c>
      <c r="AG510" s="50" cm="1">
        <f t="array" ref="AG510">SUMPRODUCT(AC510:AF510 * AC$3:AF$3) / SUM(AC$3:AF$3)</f>
        <v>4.1341934470402828</v>
      </c>
    </row>
    <row r="511" spans="1:33" x14ac:dyDescent="0.25">
      <c r="A511" s="81" t="s">
        <v>455</v>
      </c>
      <c r="B511" s="20" t="s">
        <v>457</v>
      </c>
      <c r="C511" s="4" t="s">
        <v>8853</v>
      </c>
      <c r="D511" s="4" t="str">
        <f t="shared" si="7"/>
        <v>Zotac</v>
      </c>
      <c r="E511" s="4" t="s">
        <v>8856</v>
      </c>
      <c r="F511" s="14" t="s">
        <v>8884</v>
      </c>
      <c r="G511" s="9">
        <v>1</v>
      </c>
      <c r="H511" s="1">
        <v>56.28</v>
      </c>
      <c r="I511" s="1">
        <v>56.28</v>
      </c>
      <c r="J511" s="1">
        <v>0.88</v>
      </c>
      <c r="K511" s="3">
        <v>1875</v>
      </c>
      <c r="L511" s="13">
        <v>2617</v>
      </c>
      <c r="M511" s="49">
        <v>440.1</v>
      </c>
      <c r="N511" s="1">
        <v>880.3</v>
      </c>
      <c r="O511" s="3">
        <v>384</v>
      </c>
      <c r="P511" s="11" t="s">
        <v>2277</v>
      </c>
      <c r="Q511" s="3">
        <v>16</v>
      </c>
      <c r="R511" s="3">
        <v>256</v>
      </c>
      <c r="S511" s="22">
        <v>30</v>
      </c>
      <c r="T511" s="9">
        <v>360</v>
      </c>
      <c r="U511" s="14" t="s">
        <v>458</v>
      </c>
      <c r="V511" s="12">
        <v>5</v>
      </c>
      <c r="W511" s="75">
        <v>16</v>
      </c>
      <c r="X511" s="76">
        <v>16</v>
      </c>
      <c r="Y511" s="9">
        <v>1489.99</v>
      </c>
      <c r="Z511" s="3">
        <v>1550</v>
      </c>
      <c r="AA511" s="17" t="s">
        <v>456</v>
      </c>
      <c r="AB511" s="18" t="s">
        <v>455</v>
      </c>
      <c r="AC511" s="46" cm="1">
        <f t="array" ref="AC511">(SUMPRODUCT((H511:O511/H$9:O$9)^H$7:O$7*H$2:O$2)+SUMPRODUCT((Q511:T511/Q$9:T$9)^Q$7:T$7*Q$2:T$2))*(0.8^(1-G511))*AC$9</f>
        <v>4.2163434946717659</v>
      </c>
      <c r="AD511" s="48" cm="1">
        <f t="array" ref="AD511">(SUMPRODUCT((H511:O511/H$9:O$9)^H$7:O$7*H$3:O$3)+SUMPRODUCT((Q511:T511/Q$9:T$9)^Q$7:T$7*Q$3:T$3))*(0.1^(1-G511))*AD$9</f>
        <v>4.1295856225276131</v>
      </c>
      <c r="AE511" s="48" cm="1">
        <f t="array" ref="AE511">(SUMPRODUCT((H511:O511/H$9:O$9)^H$7:O$7*H$4:O$4)+SUMPRODUCT((Q511:T511/Q$9:T$9)^Q$7:T$7*Q$4:T$4))*AE$9</f>
        <v>3.6504196173659031</v>
      </c>
      <c r="AF511" s="47" cm="1">
        <f t="array" ref="AF511">(SUMPRODUCT((H511:O511/H$9:O$9)^H$7:O$7*H$5:O$5)+SUMPRODUCT((Q511:T511/Q$9:T$9)^Q$7:T$7*Q$5:T$5))*AF$9</f>
        <v>4.354323794282994</v>
      </c>
      <c r="AG511" s="50" cm="1">
        <f t="array" ref="AG511">SUMPRODUCT(AC511:AF511 * AC$3:AF$3) / SUM(AC$3:AF$3)</f>
        <v>4.1282609626040125</v>
      </c>
    </row>
    <row r="512" spans="1:33" x14ac:dyDescent="0.25">
      <c r="A512" s="81" t="s">
        <v>1958</v>
      </c>
      <c r="B512" s="20" t="s">
        <v>1960</v>
      </c>
      <c r="C512" s="4" t="s">
        <v>8853</v>
      </c>
      <c r="D512" s="4" t="str">
        <f t="shared" si="7"/>
        <v>ASUS</v>
      </c>
      <c r="E512" s="4" t="s">
        <v>8856</v>
      </c>
      <c r="F512" s="14" t="s">
        <v>8885</v>
      </c>
      <c r="G512" s="9">
        <v>1</v>
      </c>
      <c r="H512" s="1">
        <v>113.59</v>
      </c>
      <c r="I512" s="1">
        <v>113.59</v>
      </c>
      <c r="J512" s="1">
        <v>1.77</v>
      </c>
      <c r="K512" s="3">
        <v>1750</v>
      </c>
      <c r="L512" s="13">
        <v>2610</v>
      </c>
      <c r="M512" s="49">
        <v>819.4</v>
      </c>
      <c r="N512" s="1">
        <v>1638.8</v>
      </c>
      <c r="O512" s="3">
        <v>680</v>
      </c>
      <c r="P512" s="11" t="s">
        <v>2277</v>
      </c>
      <c r="Q512" s="3">
        <v>32</v>
      </c>
      <c r="R512" s="3">
        <v>512</v>
      </c>
      <c r="S512" s="22">
        <v>28</v>
      </c>
      <c r="T512" s="9">
        <v>575</v>
      </c>
      <c r="U512" s="14" t="s">
        <v>454</v>
      </c>
      <c r="V512" s="12">
        <v>5</v>
      </c>
      <c r="W512" s="75">
        <v>16</v>
      </c>
      <c r="X512" s="76">
        <v>16</v>
      </c>
      <c r="Y512" s="9">
        <v>4689</v>
      </c>
      <c r="Z512" s="3">
        <v>5980</v>
      </c>
      <c r="AA512" s="17" t="s">
        <v>1959</v>
      </c>
      <c r="AB512" s="18" t="s">
        <v>1958</v>
      </c>
      <c r="AC512" s="46" cm="1">
        <f t="array" ref="AC512">(SUMPRODUCT((H512:O512/H$9:O$9)^H$7:O$7*H$2:O$2)+SUMPRODUCT((Q512:T512/Q$9:T$9)^Q$7:T$7*Q$2:T$2))*(0.8^(1-G512))*AC$9</f>
        <v>6.5307363682086113</v>
      </c>
      <c r="AD512" s="48" cm="1">
        <f t="array" ref="AD512">(SUMPRODUCT((H512:O512/H$9:O$9)^H$7:O$7*H$3:O$3)+SUMPRODUCT((Q512:T512/Q$9:T$9)^Q$7:T$7*Q$3:T$3))*(0.1^(1-G512))*AD$9</f>
        <v>7.2376887439300956</v>
      </c>
      <c r="AE512" s="48" cm="1">
        <f t="array" ref="AE512">(SUMPRODUCT((H512:O512/H$9:O$9)^H$7:O$7*H$4:O$4)+SUMPRODUCT((Q512:T512/Q$9:T$9)^Q$7:T$7*Q$4:T$4))*AE$9</f>
        <v>6.2501330283275873</v>
      </c>
      <c r="AF512" s="47" cm="1">
        <f t="array" ref="AF512">(SUMPRODUCT((H512:O512/H$9:O$9)^H$7:O$7*H$5:O$5)+SUMPRODUCT((Q512:T512/Q$9:T$9)^Q$7:T$7*Q$5:T$5))*AF$9</f>
        <v>7.1702425163576722</v>
      </c>
      <c r="AG512" s="50" cm="1">
        <f t="array" ref="AG512">SUMPRODUCT(AC512:AF512 * AC$3:AF$3) / SUM(AC$3:AF$3)</f>
        <v>6.9988938972030548</v>
      </c>
    </row>
    <row r="513" spans="1:33" x14ac:dyDescent="0.25">
      <c r="A513" s="81" t="s">
        <v>1737</v>
      </c>
      <c r="B513" s="20" t="s">
        <v>1739</v>
      </c>
      <c r="C513" s="4" t="s">
        <v>8853</v>
      </c>
      <c r="D513" s="4" t="str">
        <f t="shared" si="7"/>
        <v>ASUS</v>
      </c>
      <c r="E513" s="4" t="s">
        <v>8856</v>
      </c>
      <c r="F513" s="14" t="s">
        <v>8885</v>
      </c>
      <c r="G513" s="9">
        <v>1</v>
      </c>
      <c r="H513" s="1">
        <v>112.28</v>
      </c>
      <c r="I513" s="1">
        <v>112.28</v>
      </c>
      <c r="J513" s="1">
        <v>1.75</v>
      </c>
      <c r="K513" s="3">
        <v>1750</v>
      </c>
      <c r="L513" s="13">
        <v>2580</v>
      </c>
      <c r="M513" s="49">
        <v>819.4</v>
      </c>
      <c r="N513" s="1">
        <v>1638.8</v>
      </c>
      <c r="O513" s="3">
        <v>680</v>
      </c>
      <c r="P513" s="11" t="s">
        <v>2277</v>
      </c>
      <c r="Q513" s="3">
        <v>32</v>
      </c>
      <c r="R513" s="3">
        <v>512</v>
      </c>
      <c r="S513" s="22">
        <v>28</v>
      </c>
      <c r="T513" s="9">
        <v>575</v>
      </c>
      <c r="U513" s="14" t="s">
        <v>454</v>
      </c>
      <c r="V513" s="12">
        <v>5</v>
      </c>
      <c r="W513" s="75">
        <v>16</v>
      </c>
      <c r="X513" s="76">
        <v>16</v>
      </c>
      <c r="Y513" s="9">
        <v>3649.9</v>
      </c>
      <c r="Z513" s="3">
        <v>4799.99</v>
      </c>
      <c r="AA513" s="17" t="s">
        <v>1738</v>
      </c>
      <c r="AB513" s="18" t="s">
        <v>1737</v>
      </c>
      <c r="AC513" s="46" cm="1">
        <f t="array" ref="AC513">(SUMPRODUCT((H513:O513/H$9:O$9)^H$7:O$7*H$2:O$2)+SUMPRODUCT((Q513:T513/Q$9:T$9)^Q$7:T$7*Q$2:T$2))*(0.8^(1-G513))*AC$9</f>
        <v>6.5207161662628863</v>
      </c>
      <c r="AD513" s="48" cm="1">
        <f t="array" ref="AD513">(SUMPRODUCT((H513:O513/H$9:O$9)^H$7:O$7*H$3:O$3)+SUMPRODUCT((Q513:T513/Q$9:T$9)^Q$7:T$7*Q$3:T$3))*(0.1^(1-G513))*AD$9</f>
        <v>7.1763788547943177</v>
      </c>
      <c r="AE513" s="48" cm="1">
        <f t="array" ref="AE513">(SUMPRODUCT((H513:O513/H$9:O$9)^H$7:O$7*H$4:O$4)+SUMPRODUCT((Q513:T513/Q$9:T$9)^Q$7:T$7*Q$4:T$4))*AE$9</f>
        <v>6.2019572086111747</v>
      </c>
      <c r="AF513" s="47" cm="1">
        <f t="array" ref="AF513">(SUMPRODUCT((H513:O513/H$9:O$9)^H$7:O$7*H$5:O$5)+SUMPRODUCT((Q513:T513/Q$9:T$9)^Q$7:T$7*Q$5:T$5))*AF$9</f>
        <v>7.1383205237907195</v>
      </c>
      <c r="AG513" s="50" cm="1">
        <f t="array" ref="AG513">SUMPRODUCT(AC513:AF513 * AC$3:AF$3) / SUM(AC$3:AF$3)</f>
        <v>6.952489613073686</v>
      </c>
    </row>
    <row r="514" spans="1:33" x14ac:dyDescent="0.25">
      <c r="A514" s="81" t="s">
        <v>1734</v>
      </c>
      <c r="B514" s="20" t="s">
        <v>1736</v>
      </c>
      <c r="C514" s="4" t="s">
        <v>8853</v>
      </c>
      <c r="D514" s="4" t="str">
        <f t="shared" si="7"/>
        <v>ASUS</v>
      </c>
      <c r="E514" s="4" t="s">
        <v>8856</v>
      </c>
      <c r="F514" s="14" t="s">
        <v>8885</v>
      </c>
      <c r="G514" s="9">
        <v>1</v>
      </c>
      <c r="H514" s="1">
        <v>106.06</v>
      </c>
      <c r="I514" s="1">
        <v>106.06</v>
      </c>
      <c r="J514" s="1">
        <v>1.66</v>
      </c>
      <c r="K514" s="3">
        <v>1750</v>
      </c>
      <c r="L514" s="13">
        <v>2437</v>
      </c>
      <c r="M514" s="49">
        <v>819.4</v>
      </c>
      <c r="N514" s="1">
        <v>1638.8</v>
      </c>
      <c r="O514" s="3">
        <v>680</v>
      </c>
      <c r="P514" s="11" t="s">
        <v>2277</v>
      </c>
      <c r="Q514" s="3">
        <v>32</v>
      </c>
      <c r="R514" s="3">
        <v>512</v>
      </c>
      <c r="S514" s="22">
        <v>28</v>
      </c>
      <c r="T514" s="9">
        <v>575</v>
      </c>
      <c r="U514" s="14" t="s">
        <v>454</v>
      </c>
      <c r="V514" s="12">
        <v>5</v>
      </c>
      <c r="W514" s="75">
        <v>16</v>
      </c>
      <c r="X514" s="76">
        <v>16</v>
      </c>
      <c r="Y514" s="9">
        <v>3669</v>
      </c>
      <c r="Z514" s="3">
        <v>4479</v>
      </c>
      <c r="AA514" s="17" t="s">
        <v>1735</v>
      </c>
      <c r="AB514" s="18" t="s">
        <v>1734</v>
      </c>
      <c r="AC514" s="46" cm="1">
        <f t="array" ref="AC514">(SUMPRODUCT((H514:O514/H$9:O$9)^H$7:O$7*H$2:O$2)+SUMPRODUCT((Q514:T514/Q$9:T$9)^Q$7:T$7*Q$2:T$2))*(0.8^(1-G514))*AC$9</f>
        <v>6.4729079540034444</v>
      </c>
      <c r="AD514" s="48" cm="1">
        <f t="array" ref="AD514">(SUMPRODUCT((H514:O514/H$9:O$9)^H$7:O$7*H$3:O$3)+SUMPRODUCT((Q514:T514/Q$9:T$9)^Q$7:T$7*Q$3:T$3))*(0.1^(1-G514))*AD$9</f>
        <v>6.8849979480785821</v>
      </c>
      <c r="AE514" s="48" cm="1">
        <f t="array" ref="AE514">(SUMPRODUCT((H514:O514/H$9:O$9)^H$7:O$7*H$4:O$4)+SUMPRODUCT((Q514:T514/Q$9:T$9)^Q$7:T$7*Q$4:T$4))*AE$9</f>
        <v>5.9793197878855242</v>
      </c>
      <c r="AF514" s="47" cm="1">
        <f t="array" ref="AF514">(SUMPRODUCT((H514:O514/H$9:O$9)^H$7:O$7*H$5:O$5)+SUMPRODUCT((Q514:T514/Q$9:T$9)^Q$7:T$7*Q$5:T$5))*AF$9</f>
        <v>6.9861652248979622</v>
      </c>
      <c r="AG514" s="50" cm="1">
        <f t="array" ref="AG514">SUMPRODUCT(AC514:AF514 * AC$3:AF$3) / SUM(AC$3:AF$3)</f>
        <v>6.7325465885145048</v>
      </c>
    </row>
    <row r="515" spans="1:33" x14ac:dyDescent="0.25">
      <c r="A515" s="81" t="s">
        <v>1400</v>
      </c>
      <c r="B515" s="20" t="s">
        <v>1402</v>
      </c>
      <c r="C515" s="4" t="s">
        <v>8853</v>
      </c>
      <c r="D515" s="4" t="str">
        <f t="shared" si="7"/>
        <v>GIGABYTE</v>
      </c>
      <c r="E515" s="4" t="s">
        <v>8856</v>
      </c>
      <c r="F515" s="14" t="s">
        <v>8885</v>
      </c>
      <c r="G515" s="9">
        <v>1</v>
      </c>
      <c r="H515" s="1">
        <v>110.98</v>
      </c>
      <c r="I515" s="1">
        <v>110.98</v>
      </c>
      <c r="J515" s="1">
        <v>1.73</v>
      </c>
      <c r="K515" s="3">
        <v>1750</v>
      </c>
      <c r="L515" s="13">
        <v>2550</v>
      </c>
      <c r="M515" s="49">
        <v>819.4</v>
      </c>
      <c r="N515" s="1">
        <v>1638.8</v>
      </c>
      <c r="O515" s="3">
        <v>680</v>
      </c>
      <c r="P515" s="11" t="s">
        <v>2277</v>
      </c>
      <c r="Q515" s="3">
        <v>32</v>
      </c>
      <c r="R515" s="3">
        <v>512</v>
      </c>
      <c r="S515" s="22">
        <v>28</v>
      </c>
      <c r="T515" s="9">
        <v>575</v>
      </c>
      <c r="U515" s="14" t="s">
        <v>454</v>
      </c>
      <c r="V515" s="12">
        <v>5</v>
      </c>
      <c r="W515" s="75">
        <v>16</v>
      </c>
      <c r="X515" s="76">
        <v>16</v>
      </c>
      <c r="Y515" s="9">
        <v>3899</v>
      </c>
      <c r="Z515" s="3">
        <v>3999</v>
      </c>
      <c r="AA515" s="17" t="s">
        <v>1401</v>
      </c>
      <c r="AB515" s="18" t="s">
        <v>1400</v>
      </c>
      <c r="AC515" s="46" cm="1">
        <f t="array" ref="AC515">(SUMPRODUCT((H515:O515/H$9:O$9)^H$7:O$7*H$2:O$2)+SUMPRODUCT((Q515:T515/Q$9:T$9)^Q$7:T$7*Q$2:T$2))*(0.8^(1-G515))*AC$9</f>
        <v>6.5107325490807071</v>
      </c>
      <c r="AD515" s="48" cm="1">
        <f t="array" ref="AD515">(SUMPRODUCT((H515:O515/H$9:O$9)^H$7:O$7*H$3:O$3)+SUMPRODUCT((Q515:T515/Q$9:T$9)^Q$7:T$7*Q$3:T$3))*(0.1^(1-G515))*AD$9</f>
        <v>7.1154059458364154</v>
      </c>
      <c r="AE515" s="48" cm="1">
        <f t="array" ref="AE515">(SUMPRODUCT((H515:O515/H$9:O$9)^H$7:O$7*H$4:O$4)+SUMPRODUCT((Q515:T515/Q$9:T$9)^Q$7:T$7*Q$4:T$4))*AE$9</f>
        <v>6.1538371748969531</v>
      </c>
      <c r="AF515" s="47" cm="1">
        <f t="array" ref="AF515">(SUMPRODUCT((H515:O515/H$9:O$9)^H$7:O$7*H$5:O$5)+SUMPRODUCT((Q515:T515/Q$9:T$9)^Q$7:T$7*Q$5:T$5))*AF$9</f>
        <v>7.1065910363160327</v>
      </c>
      <c r="AG515" s="50" cm="1">
        <f t="array" ref="AG515">SUMPRODUCT(AC515:AF515 * AC$3:AF$3) / SUM(AC$3:AF$3)</f>
        <v>6.9063169202415704</v>
      </c>
    </row>
    <row r="516" spans="1:33" x14ac:dyDescent="0.25">
      <c r="A516" s="81" t="s">
        <v>873</v>
      </c>
      <c r="B516" s="20" t="s">
        <v>450</v>
      </c>
      <c r="C516" s="4" t="s">
        <v>8853</v>
      </c>
      <c r="D516" s="4" t="str">
        <f t="shared" si="7"/>
        <v>MSI</v>
      </c>
      <c r="E516" s="4" t="s">
        <v>8856</v>
      </c>
      <c r="F516" s="14" t="s">
        <v>8885</v>
      </c>
      <c r="G516" s="9">
        <v>1</v>
      </c>
      <c r="H516" s="1">
        <v>108.67</v>
      </c>
      <c r="I516" s="1">
        <v>108.67</v>
      </c>
      <c r="J516" s="1">
        <v>1.7</v>
      </c>
      <c r="K516" s="3">
        <v>1750</v>
      </c>
      <c r="L516" s="13">
        <v>2497</v>
      </c>
      <c r="M516" s="49">
        <v>819.4</v>
      </c>
      <c r="N516" s="1">
        <v>1638.8</v>
      </c>
      <c r="O516" s="3">
        <v>680</v>
      </c>
      <c r="P516" s="11" t="s">
        <v>2277</v>
      </c>
      <c r="Q516" s="3">
        <v>32</v>
      </c>
      <c r="R516" s="3">
        <v>512</v>
      </c>
      <c r="S516" s="22">
        <v>28</v>
      </c>
      <c r="T516" s="9">
        <v>575</v>
      </c>
      <c r="U516" s="14" t="s">
        <v>454</v>
      </c>
      <c r="V516" s="12">
        <v>5</v>
      </c>
      <c r="W516" s="75">
        <v>16</v>
      </c>
      <c r="X516" s="76">
        <v>16</v>
      </c>
      <c r="Y516" s="9">
        <v>3698.99</v>
      </c>
      <c r="Z516" s="3">
        <v>4799.99</v>
      </c>
      <c r="AA516" s="17" t="s">
        <v>874</v>
      </c>
      <c r="AB516" s="18" t="s">
        <v>873</v>
      </c>
      <c r="AC516" s="46" cm="1">
        <f t="array" ref="AC516">(SUMPRODUCT((H516:O516/H$9:O$9)^H$7:O$7*H$2:O$2)+SUMPRODUCT((Q516:T516/Q$9:T$9)^Q$7:T$7*Q$2:T$2))*(0.8^(1-G516))*AC$9</f>
        <v>6.493001593564129</v>
      </c>
      <c r="AD516" s="48" cm="1">
        <f t="array" ref="AD516">(SUMPRODUCT((H516:O516/H$9:O$9)^H$7:O$7*H$3:O$3)+SUMPRODUCT((Q516:T516/Q$9:T$9)^Q$7:T$7*Q$3:T$3))*(0.1^(1-G516))*AD$9</f>
        <v>7.0080008264081917</v>
      </c>
      <c r="AE516" s="48" cm="1">
        <f t="array" ref="AE516">(SUMPRODUCT((H516:O516/H$9:O$9)^H$7:O$7*H$4:O$4)+SUMPRODUCT((Q516:T516/Q$9:T$9)^Q$7:T$7*Q$4:T$4))*AE$9</f>
        <v>6.0762651481219621</v>
      </c>
      <c r="AF516" s="47" cm="1">
        <f t="array" ref="AF516">(SUMPRODUCT((H516:O516/H$9:O$9)^H$7:O$7*H$5:O$5)+SUMPRODUCT((Q516:T516/Q$9:T$9)^Q$7:T$7*Q$5:T$5))*AF$9</f>
        <v>7.0501258704257355</v>
      </c>
      <c r="AG516" s="50" cm="1">
        <f t="array" ref="AG516">SUMPRODUCT(AC516:AF516 * AC$3:AF$3) / SUM(AC$3:AF$3)</f>
        <v>6.8256622751275238</v>
      </c>
    </row>
    <row r="517" spans="1:33" x14ac:dyDescent="0.25">
      <c r="A517" s="81" t="s">
        <v>870</v>
      </c>
      <c r="B517" s="20" t="s">
        <v>872</v>
      </c>
      <c r="C517" s="4" t="s">
        <v>8853</v>
      </c>
      <c r="D517" s="4" t="str">
        <f t="shared" si="7"/>
        <v>MSI</v>
      </c>
      <c r="E517" s="4" t="s">
        <v>8856</v>
      </c>
      <c r="F517" s="14" t="s">
        <v>8885</v>
      </c>
      <c r="G517" s="9">
        <v>1</v>
      </c>
      <c r="H517" s="1">
        <v>112.28</v>
      </c>
      <c r="I517" s="1">
        <v>112.28</v>
      </c>
      <c r="J517" s="1">
        <v>1.75</v>
      </c>
      <c r="K517" s="3">
        <v>1750</v>
      </c>
      <c r="L517" s="13">
        <v>2580</v>
      </c>
      <c r="M517" s="49">
        <v>819.4</v>
      </c>
      <c r="N517" s="1">
        <v>1638.8</v>
      </c>
      <c r="O517" s="3">
        <v>680</v>
      </c>
      <c r="P517" s="11" t="s">
        <v>2277</v>
      </c>
      <c r="Q517" s="3">
        <v>32</v>
      </c>
      <c r="R517" s="3">
        <v>512</v>
      </c>
      <c r="S517" s="22">
        <v>28</v>
      </c>
      <c r="T517" s="9">
        <v>600</v>
      </c>
      <c r="U517" s="14" t="s">
        <v>454</v>
      </c>
      <c r="V517" s="12">
        <v>5</v>
      </c>
      <c r="W517" s="75">
        <v>16</v>
      </c>
      <c r="X517" s="76">
        <v>16</v>
      </c>
      <c r="Y517" s="9">
        <v>4499.8999999999996</v>
      </c>
      <c r="Z517" s="3">
        <v>4499.8999999999996</v>
      </c>
      <c r="AA517" s="17" t="s">
        <v>871</v>
      </c>
      <c r="AB517" s="18" t="s">
        <v>870</v>
      </c>
      <c r="AC517" s="46" cm="1">
        <f t="array" ref="AC517">(SUMPRODUCT((H517:O517/H$9:O$9)^H$7:O$7*H$2:O$2)+SUMPRODUCT((Q517:T517/Q$9:T$9)^Q$7:T$7*Q$2:T$2))*(0.8^(1-G517))*AC$9</f>
        <v>6.5203488500197126</v>
      </c>
      <c r="AD517" s="48" cm="1">
        <f t="array" ref="AD517">(SUMPRODUCT((H517:O517/H$9:O$9)^H$7:O$7*H$3:O$3)+SUMPRODUCT((Q517:T517/Q$9:T$9)^Q$7:T$7*Q$3:T$3))*(0.1^(1-G517))*AD$9</f>
        <v>7.176011538551144</v>
      </c>
      <c r="AE517" s="48" cm="1">
        <f t="array" ref="AE517">(SUMPRODUCT((H517:O517/H$9:O$9)^H$7:O$7*H$4:O$4)+SUMPRODUCT((Q517:T517/Q$9:T$9)^Q$7:T$7*Q$4:T$4))*AE$9</f>
        <v>6.2019572086111747</v>
      </c>
      <c r="AF517" s="47" cm="1">
        <f t="array" ref="AF517">(SUMPRODUCT((H517:O517/H$9:O$9)^H$7:O$7*H$5:O$5)+SUMPRODUCT((Q517:T517/Q$9:T$9)^Q$7:T$7*Q$5:T$5))*AF$9</f>
        <v>7.1379532075475458</v>
      </c>
      <c r="AG517" s="50" cm="1">
        <f t="array" ref="AG517">SUMPRODUCT(AC517:AF517 * AC$3:AF$3) / SUM(AC$3:AF$3)</f>
        <v>6.9521631097464205</v>
      </c>
    </row>
    <row r="518" spans="1:33" x14ac:dyDescent="0.25">
      <c r="A518" s="81" t="s">
        <v>868</v>
      </c>
      <c r="B518" s="20" t="s">
        <v>450</v>
      </c>
      <c r="C518" s="4" t="s">
        <v>8853</v>
      </c>
      <c r="D518" s="4" t="str">
        <f t="shared" si="7"/>
        <v>MSI</v>
      </c>
      <c r="E518" s="4" t="s">
        <v>8856</v>
      </c>
      <c r="F518" s="14" t="s">
        <v>8885</v>
      </c>
      <c r="G518" s="9">
        <v>1</v>
      </c>
      <c r="H518" s="1">
        <v>112.28</v>
      </c>
      <c r="I518" s="1">
        <v>112.28</v>
      </c>
      <c r="J518" s="1">
        <v>1.75</v>
      </c>
      <c r="K518" s="3">
        <v>1750</v>
      </c>
      <c r="L518" s="13">
        <v>2580</v>
      </c>
      <c r="M518" s="49">
        <v>819.4</v>
      </c>
      <c r="N518" s="1">
        <v>1638.8</v>
      </c>
      <c r="O518" s="3">
        <v>680</v>
      </c>
      <c r="P518" s="11" t="s">
        <v>2277</v>
      </c>
      <c r="Q518" s="3">
        <v>32</v>
      </c>
      <c r="R518" s="3">
        <v>512</v>
      </c>
      <c r="S518" s="22">
        <v>28</v>
      </c>
      <c r="T518" s="9">
        <v>600</v>
      </c>
      <c r="U518" s="14" t="s">
        <v>454</v>
      </c>
      <c r="V518" s="12">
        <v>5</v>
      </c>
      <c r="W518" s="75">
        <v>16</v>
      </c>
      <c r="X518" s="76">
        <v>16</v>
      </c>
      <c r="Y518" s="9">
        <v>4749</v>
      </c>
      <c r="Z518" s="3">
        <v>4999.99</v>
      </c>
      <c r="AA518" s="17" t="s">
        <v>869</v>
      </c>
      <c r="AB518" s="18" t="s">
        <v>868</v>
      </c>
      <c r="AC518" s="46" cm="1">
        <f t="array" ref="AC518">(SUMPRODUCT((H518:O518/H$9:O$9)^H$7:O$7*H$2:O$2)+SUMPRODUCT((Q518:T518/Q$9:T$9)^Q$7:T$7*Q$2:T$2))*(0.8^(1-G518))*AC$9</f>
        <v>6.5203488500197126</v>
      </c>
      <c r="AD518" s="48" cm="1">
        <f t="array" ref="AD518">(SUMPRODUCT((H518:O518/H$9:O$9)^H$7:O$7*H$3:O$3)+SUMPRODUCT((Q518:T518/Q$9:T$9)^Q$7:T$7*Q$3:T$3))*(0.1^(1-G518))*AD$9</f>
        <v>7.176011538551144</v>
      </c>
      <c r="AE518" s="48" cm="1">
        <f t="array" ref="AE518">(SUMPRODUCT((H518:O518/H$9:O$9)^H$7:O$7*H$4:O$4)+SUMPRODUCT((Q518:T518/Q$9:T$9)^Q$7:T$7*Q$4:T$4))*AE$9</f>
        <v>6.2019572086111747</v>
      </c>
      <c r="AF518" s="47" cm="1">
        <f t="array" ref="AF518">(SUMPRODUCT((H518:O518/H$9:O$9)^H$7:O$7*H$5:O$5)+SUMPRODUCT((Q518:T518/Q$9:T$9)^Q$7:T$7*Q$5:T$5))*AF$9</f>
        <v>7.1379532075475458</v>
      </c>
      <c r="AG518" s="50" cm="1">
        <f t="array" ref="AG518">SUMPRODUCT(AC518:AF518 * AC$3:AF$3) / SUM(AC$3:AF$3)</f>
        <v>6.9521631097464205</v>
      </c>
    </row>
    <row r="519" spans="1:33" x14ac:dyDescent="0.25">
      <c r="A519" s="81" t="s">
        <v>865</v>
      </c>
      <c r="B519" s="20" t="s">
        <v>867</v>
      </c>
      <c r="C519" s="4" t="s">
        <v>8853</v>
      </c>
      <c r="D519" s="4" t="str">
        <f t="shared" si="7"/>
        <v>MSI</v>
      </c>
      <c r="E519" s="4" t="s">
        <v>8856</v>
      </c>
      <c r="F519" s="14" t="s">
        <v>8885</v>
      </c>
      <c r="G519" s="9">
        <v>1</v>
      </c>
      <c r="H519" s="1">
        <v>106.71</v>
      </c>
      <c r="I519" s="1">
        <v>106.71</v>
      </c>
      <c r="J519" s="1">
        <v>1.67</v>
      </c>
      <c r="K519" s="3">
        <v>1750</v>
      </c>
      <c r="L519" s="13">
        <v>2437</v>
      </c>
      <c r="M519" s="49">
        <v>819.4</v>
      </c>
      <c r="N519" s="1">
        <v>1638.8</v>
      </c>
      <c r="O519" s="3">
        <v>680</v>
      </c>
      <c r="P519" s="11" t="s">
        <v>2277</v>
      </c>
      <c r="Q519" s="3">
        <v>32</v>
      </c>
      <c r="R519" s="3">
        <v>512</v>
      </c>
      <c r="S519" s="22">
        <v>28</v>
      </c>
      <c r="T519" s="9">
        <v>575</v>
      </c>
      <c r="U519" s="14" t="s">
        <v>454</v>
      </c>
      <c r="V519" s="12">
        <v>5</v>
      </c>
      <c r="W519" s="75">
        <v>16</v>
      </c>
      <c r="X519" s="76">
        <v>16</v>
      </c>
      <c r="Y519" s="9">
        <v>3400</v>
      </c>
      <c r="Z519" s="3">
        <v>12094.88</v>
      </c>
      <c r="AA519" s="17" t="s">
        <v>866</v>
      </c>
      <c r="AB519" s="18" t="s">
        <v>865</v>
      </c>
      <c r="AC519" s="46" cm="1">
        <f t="array" ref="AC519">(SUMPRODUCT((H519:O519/H$9:O$9)^H$7:O$7*H$2:O$2)+SUMPRODUCT((Q519:T519/Q$9:T$9)^Q$7:T$7*Q$2:T$2))*(0.8^(1-G519))*AC$9</f>
        <v>6.4760586606782642</v>
      </c>
      <c r="AD519" s="48" cm="1">
        <f t="array" ref="AD519">(SUMPRODUCT((H519:O519/H$9:O$9)^H$7:O$7*H$3:O$3)+SUMPRODUCT((Q519:T519/Q$9:T$9)^Q$7:T$7*Q$3:T$3))*(0.1^(1-G519))*AD$9</f>
        <v>6.9153043199804749</v>
      </c>
      <c r="AE519" s="48" cm="1">
        <f t="array" ref="AE519">(SUMPRODUCT((H519:O519/H$9:O$9)^H$7:O$7*H$4:O$4)+SUMPRODUCT((Q519:T519/Q$9:T$9)^Q$7:T$7*Q$4:T$4))*AE$9</f>
        <v>6.0035548607796354</v>
      </c>
      <c r="AF519" s="47" cm="1">
        <f t="array" ref="AF519">(SUMPRODUCT((H519:O519/H$9:O$9)^H$7:O$7*H$5:O$5)+SUMPRODUCT((Q519:T519/Q$9:T$9)^Q$7:T$7*Q$5:T$5))*AF$9</f>
        <v>7.0013666673960202</v>
      </c>
      <c r="AG519" s="50" cm="1">
        <f t="array" ref="AG519">SUMPRODUCT(AC519:AF519 * AC$3:AF$3) / SUM(AC$3:AF$3)</f>
        <v>6.7551349391992703</v>
      </c>
    </row>
    <row r="520" spans="1:33" x14ac:dyDescent="0.25">
      <c r="A520" s="81" t="s">
        <v>652</v>
      </c>
      <c r="B520" s="20" t="s">
        <v>654</v>
      </c>
      <c r="C520" s="4" t="s">
        <v>8853</v>
      </c>
      <c r="D520" s="4" t="str">
        <f t="shared" ref="D520:D583" si="8">LEFT(AB520, FIND(" ", AB520 &amp; " ") - 1)</f>
        <v>Palit</v>
      </c>
      <c r="E520" s="4" t="s">
        <v>8856</v>
      </c>
      <c r="F520" s="14" t="s">
        <v>8885</v>
      </c>
      <c r="G520" s="9">
        <v>1</v>
      </c>
      <c r="H520" s="1">
        <v>109.98</v>
      </c>
      <c r="I520" s="1">
        <v>109.98</v>
      </c>
      <c r="J520" s="1">
        <v>1.72</v>
      </c>
      <c r="K520" s="3">
        <v>1750</v>
      </c>
      <c r="L520" s="13">
        <v>2527</v>
      </c>
      <c r="M520" s="49">
        <v>819.4</v>
      </c>
      <c r="N520" s="1">
        <v>1638.8</v>
      </c>
      <c r="O520" s="3">
        <v>680</v>
      </c>
      <c r="P520" s="11" t="s">
        <v>2277</v>
      </c>
      <c r="Q520" s="3">
        <v>32</v>
      </c>
      <c r="R520" s="3">
        <v>512</v>
      </c>
      <c r="S520" s="22">
        <v>28</v>
      </c>
      <c r="T520" s="9">
        <v>575</v>
      </c>
      <c r="U520" s="14" t="s">
        <v>454</v>
      </c>
      <c r="V520" s="12">
        <v>5</v>
      </c>
      <c r="W520" s="75">
        <v>16</v>
      </c>
      <c r="X520" s="76">
        <v>16</v>
      </c>
      <c r="Y520" s="9">
        <v>3699</v>
      </c>
      <c r="Z520" s="3">
        <v>3699</v>
      </c>
      <c r="AA520" s="17" t="s">
        <v>653</v>
      </c>
      <c r="AB520" s="18" t="s">
        <v>652</v>
      </c>
      <c r="AC520" s="46" cm="1">
        <f t="array" ref="AC520">(SUMPRODUCT((H520:O520/H$9:O$9)^H$7:O$7*H$2:O$2)+SUMPRODUCT((Q520:T520/Q$9:T$9)^Q$7:T$7*Q$2:T$2))*(0.8^(1-G520))*AC$9</f>
        <v>6.5030544092414031</v>
      </c>
      <c r="AD520" s="48" cm="1">
        <f t="array" ref="AD520">(SUMPRODUCT((H520:O520/H$9:O$9)^H$7:O$7*H$3:O$3)+SUMPRODUCT((Q520:T520/Q$9:T$9)^Q$7:T$7*Q$3:T$3))*(0.1^(1-G520))*AD$9</f>
        <v>7.0695715715395</v>
      </c>
      <c r="AE520" s="48" cm="1">
        <f t="array" ref="AE520">(SUMPRODUCT((H520:O520/H$9:O$9)^H$7:O$7*H$4:O$4)+SUMPRODUCT((Q520:T520/Q$9:T$9)^Q$7:T$7*Q$4:T$4))*AE$9</f>
        <v>6.1246716160198531</v>
      </c>
      <c r="AF520" s="47" cm="1">
        <f t="array" ref="AF520">(SUMPRODUCT((H520:O520/H$9:O$9)^H$7:O$7*H$5:O$5)+SUMPRODUCT((Q520:T520/Q$9:T$9)^Q$7:T$7*Q$5:T$5))*AF$9</f>
        <v>7.0821602076556065</v>
      </c>
      <c r="AG520" s="50" cm="1">
        <f t="array" ref="AG520">SUMPRODUCT(AC520:AF520 * AC$3:AF$3) / SUM(AC$3:AF$3)</f>
        <v>6.8722612665625418</v>
      </c>
    </row>
    <row r="521" spans="1:33" x14ac:dyDescent="0.25">
      <c r="A521" s="81" t="s">
        <v>649</v>
      </c>
      <c r="B521" s="20" t="s">
        <v>651</v>
      </c>
      <c r="C521" s="4" t="s">
        <v>8853</v>
      </c>
      <c r="D521" s="4" t="str">
        <f t="shared" si="8"/>
        <v>Palit</v>
      </c>
      <c r="E521" s="4" t="s">
        <v>8856</v>
      </c>
      <c r="F521" s="14" t="s">
        <v>8885</v>
      </c>
      <c r="G521" s="9">
        <v>1</v>
      </c>
      <c r="H521" s="1">
        <v>104.75</v>
      </c>
      <c r="I521" s="1">
        <v>104.75</v>
      </c>
      <c r="J521" s="1">
        <v>1.64</v>
      </c>
      <c r="K521" s="3">
        <v>1750</v>
      </c>
      <c r="L521" s="13">
        <v>2407</v>
      </c>
      <c r="M521" s="49">
        <v>819.4</v>
      </c>
      <c r="N521" s="1">
        <v>1638.8</v>
      </c>
      <c r="O521" s="3">
        <v>680</v>
      </c>
      <c r="P521" s="11" t="s">
        <v>2277</v>
      </c>
      <c r="Q521" s="3">
        <v>32</v>
      </c>
      <c r="R521" s="3">
        <v>512</v>
      </c>
      <c r="S521" s="22">
        <v>28</v>
      </c>
      <c r="T521" s="9">
        <v>575</v>
      </c>
      <c r="U521" s="14" t="s">
        <v>454</v>
      </c>
      <c r="V521" s="12">
        <v>5</v>
      </c>
      <c r="W521" s="75">
        <v>16</v>
      </c>
      <c r="X521" s="76">
        <v>16</v>
      </c>
      <c r="Y521" s="9">
        <v>3599</v>
      </c>
      <c r="Z521" s="3">
        <v>4423.04</v>
      </c>
      <c r="AA521" s="17" t="s">
        <v>650</v>
      </c>
      <c r="AB521" s="18" t="s">
        <v>649</v>
      </c>
      <c r="AC521" s="46" cm="1">
        <f t="array" ref="AC521">(SUMPRODUCT((H521:O521/H$9:O$9)^H$7:O$7*H$2:O$2)+SUMPRODUCT((Q521:T521/Q$9:T$9)^Q$7:T$7*Q$2:T$2))*(0.8^(1-G521))*AC$9</f>
        <v>6.4628183738279148</v>
      </c>
      <c r="AD521" s="48" cm="1">
        <f t="array" ref="AD521">(SUMPRODUCT((H521:O521/H$9:O$9)^H$7:O$7*H$3:O$3)+SUMPRODUCT((Q521:T521/Q$9:T$9)^Q$7:T$7*Q$3:T$3))*(0.1^(1-G521))*AD$9</f>
        <v>6.8231298152561752</v>
      </c>
      <c r="AE521" s="48" cm="1">
        <f t="array" ref="AE521">(SUMPRODUCT((H521:O521/H$9:O$9)^H$7:O$7*H$4:O$4)+SUMPRODUCT((Q521:T521/Q$9:T$9)^Q$7:T$7*Q$4:T$4))*AE$9</f>
        <v>5.9306329823244752</v>
      </c>
      <c r="AF521" s="47" cm="1">
        <f t="array" ref="AF521">(SUMPRODUCT((H521:O521/H$9:O$9)^H$7:O$7*H$5:O$5)+SUMPRODUCT((Q521:T521/Q$9:T$9)^Q$7:T$7*Q$5:T$5))*AF$9</f>
        <v>6.9540041366292424</v>
      </c>
      <c r="AG521" s="50" cm="1">
        <f t="array" ref="AG521">SUMPRODUCT(AC521:AF521 * AC$3:AF$3) / SUM(AC$3:AF$3)</f>
        <v>6.6857239804767872</v>
      </c>
    </row>
    <row r="522" spans="1:33" x14ac:dyDescent="0.25">
      <c r="A522" s="81" t="s">
        <v>451</v>
      </c>
      <c r="B522" s="20" t="s">
        <v>453</v>
      </c>
      <c r="C522" s="4" t="s">
        <v>8853</v>
      </c>
      <c r="D522" s="4" t="str">
        <f t="shared" si="8"/>
        <v>Zotac</v>
      </c>
      <c r="E522" s="4" t="s">
        <v>8856</v>
      </c>
      <c r="F522" s="14" t="s">
        <v>8885</v>
      </c>
      <c r="G522" s="9">
        <v>1</v>
      </c>
      <c r="H522" s="1">
        <v>107.36</v>
      </c>
      <c r="I522" s="1">
        <v>107.36</v>
      </c>
      <c r="J522" s="1">
        <v>1.68</v>
      </c>
      <c r="K522" s="3">
        <v>1750</v>
      </c>
      <c r="L522" s="13">
        <v>2467</v>
      </c>
      <c r="M522" s="49">
        <v>819.4</v>
      </c>
      <c r="N522" s="1">
        <v>1638.8</v>
      </c>
      <c r="O522" s="3">
        <v>680</v>
      </c>
      <c r="P522" s="11" t="s">
        <v>2277</v>
      </c>
      <c r="Q522" s="3">
        <v>32</v>
      </c>
      <c r="R522" s="3">
        <v>512</v>
      </c>
      <c r="S522" s="22">
        <v>28</v>
      </c>
      <c r="T522" s="9">
        <v>575</v>
      </c>
      <c r="U522" s="14" t="s">
        <v>454</v>
      </c>
      <c r="V522" s="12">
        <v>5</v>
      </c>
      <c r="W522" s="75">
        <v>16</v>
      </c>
      <c r="X522" s="76">
        <v>16</v>
      </c>
      <c r="Y522" s="9">
        <v>3799.95</v>
      </c>
      <c r="Z522" s="3">
        <v>3799.95</v>
      </c>
      <c r="AA522" s="17" t="s">
        <v>452</v>
      </c>
      <c r="AB522" s="18" t="s">
        <v>451</v>
      </c>
      <c r="AC522" s="46" cm="1">
        <f t="array" ref="AC522">(SUMPRODUCT((H522:O522/H$9:O$9)^H$7:O$7*H$2:O$2)+SUMPRODUCT((Q522:T522/Q$9:T$9)^Q$7:T$7*Q$2:T$2))*(0.8^(1-G522))*AC$9</f>
        <v>6.4829366668167827</v>
      </c>
      <c r="AD522" s="48" cm="1">
        <f t="array" ref="AD522">(SUMPRODUCT((H522:O522/H$9:O$9)^H$7:O$7*H$3:O$3)+SUMPRODUCT((Q522:T522/Q$9:T$9)^Q$7:T$7*Q$3:T$3))*(0.1^(1-G522))*AD$9</f>
        <v>6.946332093806701</v>
      </c>
      <c r="AE522" s="48" cm="1">
        <f t="array" ref="AE522">(SUMPRODUCT((H522:O522/H$9:O$9)^H$7:O$7*H$4:O$4)+SUMPRODUCT((Q522:T522/Q$9:T$9)^Q$7:T$7*Q$4:T$4))*AE$9</f>
        <v>6.027766484188561</v>
      </c>
      <c r="AF522" s="47" cm="1">
        <f t="array" ref="AF522">(SUMPRODUCT((H522:O522/H$9:O$9)^H$7:O$7*H$5:O$5)+SUMPRODUCT((Q522:T522/Q$9:T$9)^Q$7:T$7*Q$5:T$5))*AF$9</f>
        <v>7.0180497494185037</v>
      </c>
      <c r="AG522" s="50" cm="1">
        <f t="array" ref="AG522">SUMPRODUCT(AC522:AF522 * AC$3:AF$3) / SUM(AC$3:AF$3)</f>
        <v>6.7789896197305559</v>
      </c>
    </row>
    <row r="523" spans="1:33" x14ac:dyDescent="0.25">
      <c r="A523" s="81" t="s">
        <v>1397</v>
      </c>
      <c r="B523" s="20" t="s">
        <v>1399</v>
      </c>
      <c r="C523" s="4" t="s">
        <v>427</v>
      </c>
      <c r="D523" s="4" t="str">
        <f t="shared" si="8"/>
        <v>GIGABYTE</v>
      </c>
      <c r="E523" s="4" t="s">
        <v>8857</v>
      </c>
      <c r="F523" s="14" t="s">
        <v>8886</v>
      </c>
      <c r="G523" s="9">
        <v>0</v>
      </c>
      <c r="H523" s="1">
        <v>10.39</v>
      </c>
      <c r="I523" s="1">
        <v>5.2</v>
      </c>
      <c r="J523" s="1">
        <v>0.32</v>
      </c>
      <c r="K523" s="3">
        <v>1750</v>
      </c>
      <c r="L523" s="13">
        <v>1845</v>
      </c>
      <c r="M523" s="49">
        <v>59.04</v>
      </c>
      <c r="N523" s="1">
        <v>162.4</v>
      </c>
      <c r="O523" s="3">
        <v>0</v>
      </c>
      <c r="P523" s="11" t="s">
        <v>2275</v>
      </c>
      <c r="Q523" s="75">
        <v>4</v>
      </c>
      <c r="R523" s="3">
        <v>128</v>
      </c>
      <c r="S523" s="22">
        <v>14</v>
      </c>
      <c r="T523" s="9">
        <v>130</v>
      </c>
      <c r="U523" s="14" t="s">
        <v>446</v>
      </c>
      <c r="V523" s="12">
        <v>4</v>
      </c>
      <c r="W523" s="75">
        <v>16</v>
      </c>
      <c r="X523" s="76">
        <v>8</v>
      </c>
      <c r="Y523" s="9">
        <v>214</v>
      </c>
      <c r="Z523" s="3">
        <v>214</v>
      </c>
      <c r="AA523" s="17" t="s">
        <v>1398</v>
      </c>
      <c r="AB523" s="18" t="s">
        <v>1397</v>
      </c>
      <c r="AC523" s="46" cm="1">
        <f t="array" ref="AC523">(SUMPRODUCT((H523:O523/H$9:O$9)^H$7:O$7*H$2:O$2)+SUMPRODUCT((Q523:T523/Q$9:T$9)^Q$7:T$7*Q$2:T$2))*(0.8^(1-G523))*AC$9</f>
        <v>0.91439331780966104</v>
      </c>
      <c r="AD523" s="48" cm="1">
        <f t="array" ref="AD523">(SUMPRODUCT((H523:O523/H$9:O$9)^H$7:O$7*H$3:O$3)+SUMPRODUCT((Q523:T523/Q$9:T$9)^Q$7:T$7*Q$3:T$3))*(0.1^(1-G523))*AD$9</f>
        <v>0.11514892548445793</v>
      </c>
      <c r="AE523" s="48" cm="1">
        <f t="array" ref="AE523">(SUMPRODUCT((H523:O523/H$9:O$9)^H$7:O$7*H$4:O$4)+SUMPRODUCT((Q523:T523/Q$9:T$9)^Q$7:T$7*Q$4:T$4))*AE$9</f>
        <v>1.3873736196424367</v>
      </c>
      <c r="AF523" s="47" cm="1">
        <f t="array" ref="AF523">(SUMPRODUCT((H523:O523/H$9:O$9)^H$7:O$7*H$5:O$5)+SUMPRODUCT((Q523:T523/Q$9:T$9)^Q$7:T$7*Q$5:T$5))*AF$9</f>
        <v>0.94091156022937983</v>
      </c>
      <c r="AG523" s="50" cm="1">
        <f t="array" ref="AG523">SUMPRODUCT(AC523:AF523 * AC$3:AF$3) / SUM(AC$3:AF$3)</f>
        <v>0.52734172934703194</v>
      </c>
    </row>
    <row r="524" spans="1:33" x14ac:dyDescent="0.25">
      <c r="A524" s="81" t="s">
        <v>1394</v>
      </c>
      <c r="B524" s="20" t="s">
        <v>1396</v>
      </c>
      <c r="C524" s="4" t="s">
        <v>427</v>
      </c>
      <c r="D524" s="4" t="str">
        <f t="shared" si="8"/>
        <v>GIGABYTE</v>
      </c>
      <c r="E524" s="4" t="s">
        <v>8857</v>
      </c>
      <c r="F524" s="14" t="s">
        <v>8887</v>
      </c>
      <c r="G524" s="9">
        <v>0</v>
      </c>
      <c r="H524" s="1">
        <v>14.93</v>
      </c>
      <c r="I524" s="1">
        <v>7.46</v>
      </c>
      <c r="J524" s="1">
        <v>0.47</v>
      </c>
      <c r="K524" s="3">
        <v>1500</v>
      </c>
      <c r="L524" s="13">
        <v>1620</v>
      </c>
      <c r="M524" s="49">
        <v>99.84</v>
      </c>
      <c r="N524" s="1">
        <v>224.6</v>
      </c>
      <c r="O524" s="3">
        <v>0</v>
      </c>
      <c r="P524" s="11" t="s">
        <v>2275</v>
      </c>
      <c r="Q524" s="3">
        <v>6</v>
      </c>
      <c r="R524" s="3">
        <v>192</v>
      </c>
      <c r="S524" s="22">
        <v>12</v>
      </c>
      <c r="T524" s="9">
        <v>160</v>
      </c>
      <c r="U524" s="14" t="s">
        <v>446</v>
      </c>
      <c r="V524" s="12">
        <v>4</v>
      </c>
      <c r="W524" s="75">
        <v>16</v>
      </c>
      <c r="X524" s="76">
        <v>16</v>
      </c>
      <c r="Y524" s="9">
        <v>333</v>
      </c>
      <c r="Z524" s="3">
        <v>333</v>
      </c>
      <c r="AA524" s="17" t="s">
        <v>1395</v>
      </c>
      <c r="AB524" s="18" t="s">
        <v>1394</v>
      </c>
      <c r="AC524" s="46" cm="1">
        <f t="array" ref="AC524">(SUMPRODUCT((H524:O524/H$9:O$9)^H$7:O$7*H$2:O$2)+SUMPRODUCT((Q524:T524/Q$9:T$9)^Q$7:T$7*Q$2:T$2))*(0.8^(1-G524))*AC$9</f>
        <v>1.0510876036905881</v>
      </c>
      <c r="AD524" s="48" cm="1">
        <f t="array" ref="AD524">(SUMPRODUCT((H524:O524/H$9:O$9)^H$7:O$7*H$3:O$3)+SUMPRODUCT((Q524:T524/Q$9:T$9)^Q$7:T$7*Q$3:T$3))*(0.1^(1-G524))*AD$9</f>
        <v>0.14706822000588696</v>
      </c>
      <c r="AE524" s="48" cm="1">
        <f t="array" ref="AE524">(SUMPRODUCT((H524:O524/H$9:O$9)^H$7:O$7*H$4:O$4)+SUMPRODUCT((Q524:T524/Q$9:T$9)^Q$7:T$7*Q$4:T$4))*AE$9</f>
        <v>1.809906746064307</v>
      </c>
      <c r="AF524" s="47" cm="1">
        <f t="array" ref="AF524">(SUMPRODUCT((H524:O524/H$9:O$9)^H$7:O$7*H$5:O$5)+SUMPRODUCT((Q524:T524/Q$9:T$9)^Q$7:T$7*Q$5:T$5))*AF$9</f>
        <v>1.1278988956668186</v>
      </c>
      <c r="AG524" s="50" cm="1">
        <f t="array" ref="AG524">SUMPRODUCT(AC524:AF524 * AC$3:AF$3) / SUM(AC$3:AF$3)</f>
        <v>0.64596973279220571</v>
      </c>
    </row>
    <row r="525" spans="1:33" x14ac:dyDescent="0.25">
      <c r="A525" s="81" t="s">
        <v>862</v>
      </c>
      <c r="B525" s="20" t="s">
        <v>864</v>
      </c>
      <c r="C525" s="4" t="s">
        <v>427</v>
      </c>
      <c r="D525" s="4" t="str">
        <f t="shared" si="8"/>
        <v>MSI</v>
      </c>
      <c r="E525" s="4" t="s">
        <v>8857</v>
      </c>
      <c r="F525" s="14" t="s">
        <v>8887</v>
      </c>
      <c r="G525" s="9">
        <v>0</v>
      </c>
      <c r="H525" s="1">
        <v>14.75</v>
      </c>
      <c r="I525" s="1">
        <v>7.37</v>
      </c>
      <c r="J525" s="1">
        <v>0.46</v>
      </c>
      <c r="K525" s="3">
        <v>1500</v>
      </c>
      <c r="L525" s="13">
        <v>1600</v>
      </c>
      <c r="M525" s="49">
        <v>99.84</v>
      </c>
      <c r="N525" s="1">
        <v>224.6</v>
      </c>
      <c r="O525" s="3">
        <v>0</v>
      </c>
      <c r="P525" s="11" t="s">
        <v>2275</v>
      </c>
      <c r="Q525" s="3">
        <v>6</v>
      </c>
      <c r="R525" s="3">
        <v>192</v>
      </c>
      <c r="S525" s="22">
        <v>12</v>
      </c>
      <c r="T525" s="9">
        <v>160</v>
      </c>
      <c r="U525" s="14" t="s">
        <v>446</v>
      </c>
      <c r="V525" s="12">
        <v>4</v>
      </c>
      <c r="W525" s="75">
        <v>16</v>
      </c>
      <c r="X525" s="76">
        <v>16</v>
      </c>
      <c r="Y525" s="9">
        <v>369</v>
      </c>
      <c r="Z525" s="3">
        <v>369</v>
      </c>
      <c r="AA525" s="17" t="s">
        <v>863</v>
      </c>
      <c r="AB525" s="18" t="s">
        <v>862</v>
      </c>
      <c r="AC525" s="46" cm="1">
        <f t="array" ref="AC525">(SUMPRODUCT((H525:O525/H$9:O$9)^H$7:O$7*H$2:O$2)+SUMPRODUCT((Q525:T525/Q$9:T$9)^Q$7:T$7*Q$2:T$2))*(0.8^(1-G525))*AC$9</f>
        <v>1.0485577182175099</v>
      </c>
      <c r="AD525" s="48" cm="1">
        <f t="array" ref="AD525">(SUMPRODUCT((H525:O525/H$9:O$9)^H$7:O$7*H$3:O$3)+SUMPRODUCT((Q525:T525/Q$9:T$9)^Q$7:T$7*Q$3:T$3))*(0.1^(1-G525))*AD$9</f>
        <v>0.14593585610914259</v>
      </c>
      <c r="AE525" s="48" cm="1">
        <f t="array" ref="AE525">(SUMPRODUCT((H525:O525/H$9:O$9)^H$7:O$7*H$4:O$4)+SUMPRODUCT((Q525:T525/Q$9:T$9)^Q$7:T$7*Q$4:T$4))*AE$9</f>
        <v>1.7891195721027078</v>
      </c>
      <c r="AF525" s="47" cm="1">
        <f t="array" ref="AF525">(SUMPRODUCT((H525:O525/H$9:O$9)^H$7:O$7*H$5:O$5)+SUMPRODUCT((Q525:T525/Q$9:T$9)^Q$7:T$7*Q$5:T$5))*AF$9</f>
        <v>1.1236171456701447</v>
      </c>
      <c r="AG525" s="50" cm="1">
        <f t="array" ref="AG525">SUMPRODUCT(AC525:AF525 * AC$3:AF$3) / SUM(AC$3:AF$3)</f>
        <v>0.64189568316443357</v>
      </c>
    </row>
    <row r="526" spans="1:33" x14ac:dyDescent="0.25">
      <c r="A526" s="81" t="s">
        <v>859</v>
      </c>
      <c r="B526" s="20" t="s">
        <v>861</v>
      </c>
      <c r="C526" s="4" t="s">
        <v>427</v>
      </c>
      <c r="D526" s="4" t="str">
        <f t="shared" si="8"/>
        <v>MSI</v>
      </c>
      <c r="E526" s="4" t="s">
        <v>8857</v>
      </c>
      <c r="F526" s="14" t="s">
        <v>8888</v>
      </c>
      <c r="G526" s="9">
        <v>0</v>
      </c>
      <c r="H526" s="1">
        <v>16.13</v>
      </c>
      <c r="I526" s="1">
        <v>8.06</v>
      </c>
      <c r="J526" s="1">
        <v>0.5</v>
      </c>
      <c r="K526" s="3">
        <v>1750</v>
      </c>
      <c r="L526" s="13">
        <v>1750</v>
      </c>
      <c r="M526" s="49">
        <v>110.4</v>
      </c>
      <c r="N526" s="1">
        <v>248.4</v>
      </c>
      <c r="O526" s="3">
        <v>0</v>
      </c>
      <c r="P526" s="11" t="s">
        <v>2275</v>
      </c>
      <c r="Q526" s="3">
        <v>8</v>
      </c>
      <c r="R526" s="3">
        <v>256</v>
      </c>
      <c r="S526" s="22">
        <v>14</v>
      </c>
      <c r="T526" s="9">
        <v>225</v>
      </c>
      <c r="U526" s="14" t="s">
        <v>793</v>
      </c>
      <c r="V526" s="12">
        <v>4</v>
      </c>
      <c r="W526" s="75">
        <v>16</v>
      </c>
      <c r="X526" s="76">
        <v>16</v>
      </c>
      <c r="Y526" s="9">
        <v>379</v>
      </c>
      <c r="Z526" s="3">
        <v>379</v>
      </c>
      <c r="AA526" s="17" t="s">
        <v>860</v>
      </c>
      <c r="AB526" s="18" t="s">
        <v>859</v>
      </c>
      <c r="AC526" s="46" cm="1">
        <f t="array" ref="AC526">(SUMPRODUCT((H526:O526/H$9:O$9)^H$7:O$7*H$2:O$2)+SUMPRODUCT((Q526:T526/Q$9:T$9)^Q$7:T$7*Q$2:T$2))*(0.8^(1-G526))*AC$9</f>
        <v>1.1733541636408924</v>
      </c>
      <c r="AD526" s="48" cm="1">
        <f t="array" ref="AD526">(SUMPRODUCT((H526:O526/H$9:O$9)^H$7:O$7*H$3:O$3)+SUMPRODUCT((Q526:T526/Q$9:T$9)^Q$7:T$7*Q$3:T$3))*(0.1^(1-G526))*AD$9</f>
        <v>0.16243971142861358</v>
      </c>
      <c r="AE526" s="48" cm="1">
        <f t="array" ref="AE526">(SUMPRODUCT((H526:O526/H$9:O$9)^H$7:O$7*H$4:O$4)+SUMPRODUCT((Q526:T526/Q$9:T$9)^Q$7:T$7*Q$4:T$4))*AE$9</f>
        <v>1.987672068804224</v>
      </c>
      <c r="AF526" s="47" cm="1">
        <f t="array" ref="AF526">(SUMPRODUCT((H526:O526/H$9:O$9)^H$7:O$7*H$5:O$5)+SUMPRODUCT((Q526:T526/Q$9:T$9)^Q$7:T$7*Q$5:T$5))*AF$9</f>
        <v>1.2592448900928208</v>
      </c>
      <c r="AG526" s="50" cm="1">
        <f t="array" ref="AG526">SUMPRODUCT(AC526:AF526 * AC$3:AF$3) / SUM(AC$3:AF$3)</f>
        <v>0.71652991183865133</v>
      </c>
    </row>
    <row r="527" spans="1:33" x14ac:dyDescent="0.25">
      <c r="A527" s="81" t="s">
        <v>856</v>
      </c>
      <c r="B527" s="20" t="s">
        <v>858</v>
      </c>
      <c r="C527" s="4" t="s">
        <v>427</v>
      </c>
      <c r="D527" s="4" t="str">
        <f t="shared" si="8"/>
        <v>MSI</v>
      </c>
      <c r="E527" s="4" t="s">
        <v>8857</v>
      </c>
      <c r="F527" s="14" t="s">
        <v>8889</v>
      </c>
      <c r="G527" s="9">
        <v>0</v>
      </c>
      <c r="H527" s="1">
        <v>20.28</v>
      </c>
      <c r="I527" s="1">
        <v>10.14</v>
      </c>
      <c r="J527" s="1">
        <v>0.63</v>
      </c>
      <c r="K527" s="3">
        <v>1750</v>
      </c>
      <c r="L527" s="13">
        <v>1980</v>
      </c>
      <c r="M527" s="49">
        <v>121.9</v>
      </c>
      <c r="N527" s="1">
        <v>304.8</v>
      </c>
      <c r="O527" s="3">
        <v>0</v>
      </c>
      <c r="P527" s="11" t="s">
        <v>2275</v>
      </c>
      <c r="Q527" s="3">
        <v>8</v>
      </c>
      <c r="R527" s="3">
        <v>256</v>
      </c>
      <c r="S527" s="22">
        <v>14</v>
      </c>
      <c r="T527" s="9">
        <v>225</v>
      </c>
      <c r="U527" s="14" t="s">
        <v>576</v>
      </c>
      <c r="V527" s="12">
        <v>4</v>
      </c>
      <c r="W527" s="75">
        <v>16</v>
      </c>
      <c r="X527" s="76">
        <v>16</v>
      </c>
      <c r="Y527" s="9">
        <v>1091.03</v>
      </c>
      <c r="Z527" s="3">
        <v>1091.03</v>
      </c>
      <c r="AA527" s="17" t="s">
        <v>857</v>
      </c>
      <c r="AB527" s="18" t="s">
        <v>856</v>
      </c>
      <c r="AC527" s="46" cm="1">
        <f t="array" ref="AC527">(SUMPRODUCT((H527:O527/H$9:O$9)^H$7:O$7*H$2:O$2)+SUMPRODUCT((Q527:T527/Q$9:T$9)^Q$7:T$7*Q$2:T$2))*(0.8^(1-G527))*AC$9</f>
        <v>1.2686788999565406</v>
      </c>
      <c r="AD527" s="48" cm="1">
        <f t="array" ref="AD527">(SUMPRODUCT((H527:O527/H$9:O$9)^H$7:O$7*H$3:O$3)+SUMPRODUCT((Q527:T527/Q$9:T$9)^Q$7:T$7*Q$3:T$3))*(0.1^(1-G527))*AD$9</f>
        <v>0.18457297665906325</v>
      </c>
      <c r="AE527" s="48" cm="1">
        <f t="array" ref="AE527">(SUMPRODUCT((H527:O527/H$9:O$9)^H$7:O$7*H$4:O$4)+SUMPRODUCT((Q527:T527/Q$9:T$9)^Q$7:T$7*Q$4:T$4))*AE$9</f>
        <v>2.2650351352024489</v>
      </c>
      <c r="AF527" s="47" cm="1">
        <f t="array" ref="AF527">(SUMPRODUCT((H527:O527/H$9:O$9)^H$7:O$7*H$5:O$5)+SUMPRODUCT((Q527:T527/Q$9:T$9)^Q$7:T$7*Q$5:T$5))*AF$9</f>
        <v>1.3826486760478192</v>
      </c>
      <c r="AG527" s="50" cm="1">
        <f t="array" ref="AG527">SUMPRODUCT(AC527:AF527 * AC$3:AF$3) / SUM(AC$3:AF$3)</f>
        <v>0.79609904250047825</v>
      </c>
    </row>
    <row r="528" spans="1:33" x14ac:dyDescent="0.25">
      <c r="A528" s="81" t="s">
        <v>2048</v>
      </c>
      <c r="B528" s="20" t="s">
        <v>2050</v>
      </c>
      <c r="C528" s="4" t="s">
        <v>427</v>
      </c>
      <c r="D528" s="4" t="str">
        <f t="shared" si="8"/>
        <v>ASUS</v>
      </c>
      <c r="E528" s="4" t="s">
        <v>8858</v>
      </c>
      <c r="F528" s="14" t="s">
        <v>8890</v>
      </c>
      <c r="G528" s="9">
        <v>0</v>
      </c>
      <c r="H528" s="1">
        <v>7.13</v>
      </c>
      <c r="I528" s="1">
        <v>3.57</v>
      </c>
      <c r="J528" s="1">
        <v>0.22</v>
      </c>
      <c r="K528" s="3">
        <v>2000</v>
      </c>
      <c r="L528" s="13">
        <v>2321</v>
      </c>
      <c r="M528" s="49">
        <v>74.3</v>
      </c>
      <c r="N528" s="1">
        <v>114</v>
      </c>
      <c r="O528" s="3">
        <v>12</v>
      </c>
      <c r="P528" s="11" t="s">
        <v>2275</v>
      </c>
      <c r="Q528" s="3">
        <v>4</v>
      </c>
      <c r="R528" s="3">
        <v>64</v>
      </c>
      <c r="S528" s="22">
        <v>16</v>
      </c>
      <c r="T528" s="9">
        <v>53</v>
      </c>
      <c r="U528" s="14" t="s">
        <v>635</v>
      </c>
      <c r="V528" s="12">
        <v>4</v>
      </c>
      <c r="W528" s="75">
        <v>16</v>
      </c>
      <c r="X528" s="76">
        <v>4</v>
      </c>
      <c r="Y528" s="9">
        <v>223.28</v>
      </c>
      <c r="Z528" s="3">
        <v>275.12</v>
      </c>
      <c r="AA528" s="17" t="s">
        <v>2049</v>
      </c>
      <c r="AB528" s="18" t="s">
        <v>2048</v>
      </c>
      <c r="AC528" s="46" cm="1">
        <f t="array" ref="AC528">(SUMPRODUCT((H528:O528/H$9:O$9)^H$7:O$7*H$2:O$2)+SUMPRODUCT((Q528:T528/Q$9:T$9)^Q$7:T$7*Q$2:T$2))*(0.8^(1-G528))*AC$9</f>
        <v>0.99569824896413106</v>
      </c>
      <c r="AD528" s="48" cm="1">
        <f t="array" ref="AD528">(SUMPRODUCT((H528:O528/H$9:O$9)^H$7:O$7*H$3:O$3)+SUMPRODUCT((Q528:T528/Q$9:T$9)^Q$7:T$7*Q$3:T$3))*(0.1^(1-G528))*AD$9</f>
        <v>9.5824348749554186E-2</v>
      </c>
      <c r="AE528" s="48" cm="1">
        <f t="array" ref="AE528">(SUMPRODUCT((H528:O528/H$9:O$9)^H$7:O$7*H$4:O$4)+SUMPRODUCT((Q528:T528/Q$9:T$9)^Q$7:T$7*Q$4:T$4))*AE$9</f>
        <v>1.0839558971394787</v>
      </c>
      <c r="AF528" s="47" cm="1">
        <f t="array" ref="AF528">(SUMPRODUCT((H528:O528/H$9:O$9)^H$7:O$7*H$5:O$5)+SUMPRODUCT((Q528:T528/Q$9:T$9)^Q$7:T$7*Q$5:T$5))*AF$9</f>
        <v>0.9559653068357481</v>
      </c>
      <c r="AG528" s="50" cm="1">
        <f t="array" ref="AG528">SUMPRODUCT(AC528:AF528 * AC$3:AF$3) / SUM(AC$3:AF$3)</f>
        <v>0.49895255273189654</v>
      </c>
    </row>
    <row r="529" spans="1:33" x14ac:dyDescent="0.25">
      <c r="A529" s="81" t="s">
        <v>1991</v>
      </c>
      <c r="B529" s="20" t="s">
        <v>1993</v>
      </c>
      <c r="C529" s="4" t="s">
        <v>427</v>
      </c>
      <c r="D529" s="4" t="str">
        <f t="shared" si="8"/>
        <v>ASUS</v>
      </c>
      <c r="E529" s="4" t="s">
        <v>8858</v>
      </c>
      <c r="F529" s="14" t="s">
        <v>8890</v>
      </c>
      <c r="G529" s="9">
        <v>0</v>
      </c>
      <c r="H529" s="1">
        <v>7.13</v>
      </c>
      <c r="I529" s="1">
        <v>3.57</v>
      </c>
      <c r="J529" s="1">
        <v>0.22</v>
      </c>
      <c r="K529" s="3">
        <v>2000</v>
      </c>
      <c r="L529" s="13">
        <v>2321</v>
      </c>
      <c r="M529" s="49">
        <v>74.3</v>
      </c>
      <c r="N529" s="1">
        <v>114</v>
      </c>
      <c r="O529" s="3">
        <v>12</v>
      </c>
      <c r="P529" s="11" t="s">
        <v>2275</v>
      </c>
      <c r="Q529" s="3">
        <v>4</v>
      </c>
      <c r="R529" s="3">
        <v>64</v>
      </c>
      <c r="S529" s="22">
        <v>16</v>
      </c>
      <c r="T529" s="9">
        <v>53</v>
      </c>
      <c r="U529" s="14" t="s">
        <v>635</v>
      </c>
      <c r="V529" s="12">
        <v>4</v>
      </c>
      <c r="W529" s="75">
        <v>16</v>
      </c>
      <c r="X529" s="76">
        <v>4</v>
      </c>
      <c r="Y529" s="9">
        <v>236.31</v>
      </c>
      <c r="Z529" s="3">
        <v>236.31</v>
      </c>
      <c r="AA529" s="17" t="s">
        <v>1992</v>
      </c>
      <c r="AB529" s="18" t="s">
        <v>1991</v>
      </c>
      <c r="AC529" s="46" cm="1">
        <f t="array" ref="AC529">(SUMPRODUCT((H529:O529/H$9:O$9)^H$7:O$7*H$2:O$2)+SUMPRODUCT((Q529:T529/Q$9:T$9)^Q$7:T$7*Q$2:T$2))*(0.8^(1-G529))*AC$9</f>
        <v>0.99569824896413106</v>
      </c>
      <c r="AD529" s="48" cm="1">
        <f t="array" ref="AD529">(SUMPRODUCT((H529:O529/H$9:O$9)^H$7:O$7*H$3:O$3)+SUMPRODUCT((Q529:T529/Q$9:T$9)^Q$7:T$7*Q$3:T$3))*(0.1^(1-G529))*AD$9</f>
        <v>9.5824348749554186E-2</v>
      </c>
      <c r="AE529" s="48" cm="1">
        <f t="array" ref="AE529">(SUMPRODUCT((H529:O529/H$9:O$9)^H$7:O$7*H$4:O$4)+SUMPRODUCT((Q529:T529/Q$9:T$9)^Q$7:T$7*Q$4:T$4))*AE$9</f>
        <v>1.0839558971394787</v>
      </c>
      <c r="AF529" s="47" cm="1">
        <f t="array" ref="AF529">(SUMPRODUCT((H529:O529/H$9:O$9)^H$7:O$7*H$5:O$5)+SUMPRODUCT((Q529:T529/Q$9:T$9)^Q$7:T$7*Q$5:T$5))*AF$9</f>
        <v>0.9559653068357481</v>
      </c>
      <c r="AG529" s="50" cm="1">
        <f t="array" ref="AG529">SUMPRODUCT(AC529:AF529 * AC$3:AF$3) / SUM(AC$3:AF$3)</f>
        <v>0.49895255273189654</v>
      </c>
    </row>
    <row r="530" spans="1:33" x14ac:dyDescent="0.25">
      <c r="A530" s="81" t="s">
        <v>1391</v>
      </c>
      <c r="B530" s="20" t="s">
        <v>1393</v>
      </c>
      <c r="C530" s="4" t="s">
        <v>427</v>
      </c>
      <c r="D530" s="4" t="str">
        <f t="shared" si="8"/>
        <v>GIGABYTE</v>
      </c>
      <c r="E530" s="4" t="s">
        <v>8858</v>
      </c>
      <c r="F530" s="14" t="s">
        <v>8890</v>
      </c>
      <c r="G530" s="9">
        <v>0</v>
      </c>
      <c r="H530" s="1">
        <v>7.13</v>
      </c>
      <c r="I530" s="1">
        <v>3.57</v>
      </c>
      <c r="J530" s="1">
        <v>0.22</v>
      </c>
      <c r="K530" s="3">
        <v>2000</v>
      </c>
      <c r="L530" s="13">
        <v>2321</v>
      </c>
      <c r="M530" s="49">
        <v>74.3</v>
      </c>
      <c r="N530" s="1">
        <v>114</v>
      </c>
      <c r="O530" s="3">
        <v>12</v>
      </c>
      <c r="P530" s="11" t="s">
        <v>2275</v>
      </c>
      <c r="Q530" s="3">
        <v>4</v>
      </c>
      <c r="R530" s="3">
        <v>64</v>
      </c>
      <c r="S530" s="22">
        <v>16</v>
      </c>
      <c r="T530" s="9">
        <v>53</v>
      </c>
      <c r="U530" s="14" t="s">
        <v>635</v>
      </c>
      <c r="V530" s="12">
        <v>4</v>
      </c>
      <c r="W530" s="75">
        <v>16</v>
      </c>
      <c r="X530" s="76">
        <v>4</v>
      </c>
      <c r="Y530" s="9">
        <v>194.08</v>
      </c>
      <c r="Z530" s="3">
        <v>225.57</v>
      </c>
      <c r="AA530" s="17" t="s">
        <v>1392</v>
      </c>
      <c r="AB530" s="18" t="s">
        <v>1391</v>
      </c>
      <c r="AC530" s="46" cm="1">
        <f t="array" ref="AC530">(SUMPRODUCT((H530:O530/H$9:O$9)^H$7:O$7*H$2:O$2)+SUMPRODUCT((Q530:T530/Q$9:T$9)^Q$7:T$7*Q$2:T$2))*(0.8^(1-G530))*AC$9</f>
        <v>0.99569824896413106</v>
      </c>
      <c r="AD530" s="48" cm="1">
        <f t="array" ref="AD530">(SUMPRODUCT((H530:O530/H$9:O$9)^H$7:O$7*H$3:O$3)+SUMPRODUCT((Q530:T530/Q$9:T$9)^Q$7:T$7*Q$3:T$3))*(0.1^(1-G530))*AD$9</f>
        <v>9.5824348749554186E-2</v>
      </c>
      <c r="AE530" s="48" cm="1">
        <f t="array" ref="AE530">(SUMPRODUCT((H530:O530/H$9:O$9)^H$7:O$7*H$4:O$4)+SUMPRODUCT((Q530:T530/Q$9:T$9)^Q$7:T$7*Q$4:T$4))*AE$9</f>
        <v>1.0839558971394787</v>
      </c>
      <c r="AF530" s="47" cm="1">
        <f t="array" ref="AF530">(SUMPRODUCT((H530:O530/H$9:O$9)^H$7:O$7*H$5:O$5)+SUMPRODUCT((Q530:T530/Q$9:T$9)^Q$7:T$7*Q$5:T$5))*AF$9</f>
        <v>0.9559653068357481</v>
      </c>
      <c r="AG530" s="50" cm="1">
        <f t="array" ref="AG530">SUMPRODUCT(AC530:AF530 * AC$3:AF$3) / SUM(AC$3:AF$3)</f>
        <v>0.49895255273189654</v>
      </c>
    </row>
    <row r="531" spans="1:33" x14ac:dyDescent="0.25">
      <c r="A531" s="81" t="s">
        <v>1388</v>
      </c>
      <c r="B531" s="20" t="s">
        <v>1390</v>
      </c>
      <c r="C531" s="4" t="s">
        <v>427</v>
      </c>
      <c r="D531" s="4" t="str">
        <f t="shared" si="8"/>
        <v>GIGABYTE</v>
      </c>
      <c r="E531" s="4" t="s">
        <v>8858</v>
      </c>
      <c r="F531" s="14" t="s">
        <v>8890</v>
      </c>
      <c r="G531" s="9">
        <v>0</v>
      </c>
      <c r="H531" s="1">
        <v>7.13</v>
      </c>
      <c r="I531" s="1">
        <v>3.57</v>
      </c>
      <c r="J531" s="1">
        <v>0.22</v>
      </c>
      <c r="K531" s="3">
        <v>2000</v>
      </c>
      <c r="L531" s="13">
        <v>2321</v>
      </c>
      <c r="M531" s="49">
        <v>74.3</v>
      </c>
      <c r="N531" s="1">
        <v>114</v>
      </c>
      <c r="O531" s="3">
        <v>12</v>
      </c>
      <c r="P531" s="11" t="s">
        <v>2275</v>
      </c>
      <c r="Q531" s="3">
        <v>4</v>
      </c>
      <c r="R531" s="3">
        <v>64</v>
      </c>
      <c r="S531" s="22">
        <v>16</v>
      </c>
      <c r="T531" s="9">
        <v>53</v>
      </c>
      <c r="U531" s="14" t="s">
        <v>635</v>
      </c>
      <c r="V531" s="12">
        <v>4</v>
      </c>
      <c r="W531" s="75">
        <v>16</v>
      </c>
      <c r="X531" s="76">
        <v>4</v>
      </c>
      <c r="Y531" s="9">
        <v>205.68</v>
      </c>
      <c r="Z531" s="3">
        <v>231.97</v>
      </c>
      <c r="AA531" s="17" t="s">
        <v>1389</v>
      </c>
      <c r="AB531" s="18" t="s">
        <v>1388</v>
      </c>
      <c r="AC531" s="46" cm="1">
        <f t="array" ref="AC531">(SUMPRODUCT((H531:O531/H$9:O$9)^H$7:O$7*H$2:O$2)+SUMPRODUCT((Q531:T531/Q$9:T$9)^Q$7:T$7*Q$2:T$2))*(0.8^(1-G531))*AC$9</f>
        <v>0.99569824896413106</v>
      </c>
      <c r="AD531" s="48" cm="1">
        <f t="array" ref="AD531">(SUMPRODUCT((H531:O531/H$9:O$9)^H$7:O$7*H$3:O$3)+SUMPRODUCT((Q531:T531/Q$9:T$9)^Q$7:T$7*Q$3:T$3))*(0.1^(1-G531))*AD$9</f>
        <v>9.5824348749554186E-2</v>
      </c>
      <c r="AE531" s="48" cm="1">
        <f t="array" ref="AE531">(SUMPRODUCT((H531:O531/H$9:O$9)^H$7:O$7*H$4:O$4)+SUMPRODUCT((Q531:T531/Q$9:T$9)^Q$7:T$7*Q$4:T$4))*AE$9</f>
        <v>1.0839558971394787</v>
      </c>
      <c r="AF531" s="47" cm="1">
        <f t="array" ref="AF531">(SUMPRODUCT((H531:O531/H$9:O$9)^H$7:O$7*H$5:O$5)+SUMPRODUCT((Q531:T531/Q$9:T$9)^Q$7:T$7*Q$5:T$5))*AF$9</f>
        <v>0.9559653068357481</v>
      </c>
      <c r="AG531" s="50" cm="1">
        <f t="array" ref="AG531">SUMPRODUCT(AC531:AF531 * AC$3:AF$3) / SUM(AC$3:AF$3)</f>
        <v>0.49895255273189654</v>
      </c>
    </row>
    <row r="532" spans="1:33" x14ac:dyDescent="0.25">
      <c r="A532" s="81" t="s">
        <v>1988</v>
      </c>
      <c r="B532" s="20" t="s">
        <v>1990</v>
      </c>
      <c r="C532" s="4" t="s">
        <v>427</v>
      </c>
      <c r="D532" s="4" t="str">
        <f t="shared" si="8"/>
        <v>ASUS</v>
      </c>
      <c r="E532" s="4" t="s">
        <v>8858</v>
      </c>
      <c r="F532" s="14" t="s">
        <v>8891</v>
      </c>
      <c r="G532" s="9">
        <v>0</v>
      </c>
      <c r="H532" s="1">
        <v>11.55</v>
      </c>
      <c r="I532" s="1">
        <v>5.78</v>
      </c>
      <c r="J532" s="1">
        <v>0.36</v>
      </c>
      <c r="K532" s="3">
        <v>2248</v>
      </c>
      <c r="L532" s="13">
        <v>2820</v>
      </c>
      <c r="M532" s="49">
        <v>90.1</v>
      </c>
      <c r="N532" s="1">
        <v>180.2</v>
      </c>
      <c r="O532" s="3">
        <v>16</v>
      </c>
      <c r="P532" s="11" t="s">
        <v>2275</v>
      </c>
      <c r="Q532" s="3">
        <v>4</v>
      </c>
      <c r="R532" s="3">
        <v>64</v>
      </c>
      <c r="S532" s="22">
        <v>18</v>
      </c>
      <c r="T532" s="9">
        <v>107</v>
      </c>
      <c r="U532" s="14" t="s">
        <v>642</v>
      </c>
      <c r="V532" s="12">
        <v>4</v>
      </c>
      <c r="W532" s="75">
        <v>16</v>
      </c>
      <c r="X532" s="76">
        <v>4</v>
      </c>
      <c r="Y532" s="9">
        <v>335.62</v>
      </c>
      <c r="Z532" s="3">
        <v>342</v>
      </c>
      <c r="AA532" s="17" t="s">
        <v>1989</v>
      </c>
      <c r="AB532" s="18" t="s">
        <v>1988</v>
      </c>
      <c r="AC532" s="46" cm="1">
        <f t="array" ref="AC532">(SUMPRODUCT((H532:O532/H$9:O$9)^H$7:O$7*H$2:O$2)+SUMPRODUCT((Q532:T532/Q$9:T$9)^Q$7:T$7*Q$2:T$2))*(0.8^(1-G532))*AC$9</f>
        <v>1.1632462553128204</v>
      </c>
      <c r="AD532" s="48" cm="1">
        <f t="array" ref="AD532">(SUMPRODUCT((H532:O532/H$9:O$9)^H$7:O$7*H$3:O$3)+SUMPRODUCT((Q532:T532/Q$9:T$9)^Q$7:T$7*Q$3:T$3))*(0.1^(1-G532))*AD$9</f>
        <v>0.12189560161381008</v>
      </c>
      <c r="AE532" s="48" cm="1">
        <f t="array" ref="AE532">(SUMPRODUCT((H532:O532/H$9:O$9)^H$7:O$7*H$4:O$4)+SUMPRODUCT((Q532:T532/Q$9:T$9)^Q$7:T$7*Q$4:T$4))*AE$9</f>
        <v>1.4394329184046581</v>
      </c>
      <c r="AF532" s="47" cm="1">
        <f t="array" ref="AF532">(SUMPRODUCT((H532:O532/H$9:O$9)^H$7:O$7*H$5:O$5)+SUMPRODUCT((Q532:T532/Q$9:T$9)^Q$7:T$7*Q$5:T$5))*AF$9</f>
        <v>1.140015672282082</v>
      </c>
      <c r="AG532" s="50" cm="1">
        <f t="array" ref="AG532">SUMPRODUCT(AC532:AF532 * AC$3:AF$3) / SUM(AC$3:AF$3)</f>
        <v>0.61153375754067363</v>
      </c>
    </row>
    <row r="533" spans="1:33" x14ac:dyDescent="0.25">
      <c r="A533" s="81" t="s">
        <v>1731</v>
      </c>
      <c r="B533" s="20" t="s">
        <v>1733</v>
      </c>
      <c r="C533" s="4" t="s">
        <v>427</v>
      </c>
      <c r="D533" s="4" t="str">
        <f t="shared" si="8"/>
        <v>ASUS</v>
      </c>
      <c r="E533" s="4" t="s">
        <v>8858</v>
      </c>
      <c r="F533" s="14" t="s">
        <v>8891</v>
      </c>
      <c r="G533" s="9">
        <v>0</v>
      </c>
      <c r="H533" s="1">
        <v>11.57</v>
      </c>
      <c r="I533" s="1">
        <v>5.79</v>
      </c>
      <c r="J533" s="1">
        <v>0.36</v>
      </c>
      <c r="K533" s="3">
        <v>2248</v>
      </c>
      <c r="L533" s="13">
        <v>2825</v>
      </c>
      <c r="M533" s="49">
        <v>90.1</v>
      </c>
      <c r="N533" s="1">
        <v>180.2</v>
      </c>
      <c r="O533" s="3">
        <v>16</v>
      </c>
      <c r="P533" s="11" t="s">
        <v>2275</v>
      </c>
      <c r="Q533" s="3">
        <v>4</v>
      </c>
      <c r="R533" s="3">
        <v>64</v>
      </c>
      <c r="S533" s="22">
        <v>18</v>
      </c>
      <c r="T533" s="9">
        <v>107</v>
      </c>
      <c r="U533" s="14" t="s">
        <v>642</v>
      </c>
      <c r="V533" s="12">
        <v>4</v>
      </c>
      <c r="W533" s="75">
        <v>16</v>
      </c>
      <c r="X533" s="76">
        <v>4</v>
      </c>
      <c r="Y533" s="9">
        <v>399</v>
      </c>
      <c r="Z533" s="3">
        <v>399</v>
      </c>
      <c r="AA533" s="17" t="s">
        <v>1732</v>
      </c>
      <c r="AB533" s="18" t="s">
        <v>1731</v>
      </c>
      <c r="AC533" s="46" cm="1">
        <f t="array" ref="AC533">(SUMPRODUCT((H533:O533/H$9:O$9)^H$7:O$7*H$2:O$2)+SUMPRODUCT((Q533:T533/Q$9:T$9)^Q$7:T$7*Q$2:T$2))*(0.8^(1-G533))*AC$9</f>
        <v>1.1637884211522282</v>
      </c>
      <c r="AD533" s="48" cm="1">
        <f t="array" ref="AD533">(SUMPRODUCT((H533:O533/H$9:O$9)^H$7:O$7*H$3:O$3)+SUMPRODUCT((Q533:T533/Q$9:T$9)^Q$7:T$7*Q$3:T$3))*(0.1^(1-G533))*AD$9</f>
        <v>0.1220007276781508</v>
      </c>
      <c r="AE533" s="48" cm="1">
        <f t="array" ref="AE533">(SUMPRODUCT((H533:O533/H$9:O$9)^H$7:O$7*H$4:O$4)+SUMPRODUCT((Q533:T533/Q$9:T$9)^Q$7:T$7*Q$4:T$4))*AE$9</f>
        <v>1.4396274873416561</v>
      </c>
      <c r="AF533" s="47" cm="1">
        <f t="array" ref="AF533">(SUMPRODUCT((H533:O533/H$9:O$9)^H$7:O$7*H$5:O$5)+SUMPRODUCT((Q533:T533/Q$9:T$9)^Q$7:T$7*Q$5:T$5))*AF$9</f>
        <v>1.140631782125632</v>
      </c>
      <c r="AG533" s="50" cm="1">
        <f t="array" ref="AG533">SUMPRODUCT(AC533:AF533 * AC$3:AF$3) / SUM(AC$3:AF$3)</f>
        <v>0.61180682562768895</v>
      </c>
    </row>
    <row r="534" spans="1:33" x14ac:dyDescent="0.25">
      <c r="A534" s="81" t="s">
        <v>1385</v>
      </c>
      <c r="B534" s="20" t="s">
        <v>1387</v>
      </c>
      <c r="C534" s="4" t="s">
        <v>427</v>
      </c>
      <c r="D534" s="4" t="str">
        <f t="shared" si="8"/>
        <v>GIGABYTE</v>
      </c>
      <c r="E534" s="4" t="s">
        <v>8858</v>
      </c>
      <c r="F534" s="14" t="s">
        <v>8891</v>
      </c>
      <c r="G534" s="9">
        <v>0</v>
      </c>
      <c r="H534" s="1">
        <v>11.53</v>
      </c>
      <c r="I534" s="1">
        <v>5.77</v>
      </c>
      <c r="J534" s="1">
        <v>0.36</v>
      </c>
      <c r="K534" s="3">
        <v>2248</v>
      </c>
      <c r="L534" s="13">
        <v>2815</v>
      </c>
      <c r="M534" s="49">
        <v>90.1</v>
      </c>
      <c r="N534" s="1">
        <v>180.2</v>
      </c>
      <c r="O534" s="3">
        <v>16</v>
      </c>
      <c r="P534" s="11" t="s">
        <v>2275</v>
      </c>
      <c r="Q534" s="3">
        <v>4</v>
      </c>
      <c r="R534" s="3">
        <v>64</v>
      </c>
      <c r="S534" s="22">
        <v>18</v>
      </c>
      <c r="T534" s="9">
        <v>107</v>
      </c>
      <c r="U534" s="14" t="s">
        <v>642</v>
      </c>
      <c r="V534" s="12">
        <v>4</v>
      </c>
      <c r="W534" s="75">
        <v>16</v>
      </c>
      <c r="X534" s="76">
        <v>4</v>
      </c>
      <c r="Y534" s="9">
        <v>181.36</v>
      </c>
      <c r="Z534" s="3">
        <v>305.38</v>
      </c>
      <c r="AA534" s="17" t="s">
        <v>1386</v>
      </c>
      <c r="AB534" s="18" t="s">
        <v>1385</v>
      </c>
      <c r="AC534" s="46" cm="1">
        <f t="array" ref="AC534">(SUMPRODUCT((H534:O534/H$9:O$9)^H$7:O$7*H$2:O$2)+SUMPRODUCT((Q534:T534/Q$9:T$9)^Q$7:T$7*Q$2:T$2))*(0.8^(1-G534))*AC$9</f>
        <v>1.162703993559006</v>
      </c>
      <c r="AD534" s="48" cm="1">
        <f t="array" ref="AD534">(SUMPRODUCT((H534:O534/H$9:O$9)^H$7:O$7*H$3:O$3)+SUMPRODUCT((Q534:T534/Q$9:T$9)^Q$7:T$7*Q$3:T$3))*(0.1^(1-G534))*AD$9</f>
        <v>0.1217904515015495</v>
      </c>
      <c r="AE534" s="48" cm="1">
        <f t="array" ref="AE534">(SUMPRODUCT((H534:O534/H$9:O$9)^H$7:O$7*H$4:O$4)+SUMPRODUCT((Q534:T534/Q$9:T$9)^Q$7:T$7*Q$4:T$4))*AE$9</f>
        <v>1.4392383158022843</v>
      </c>
      <c r="AF534" s="47" cm="1">
        <f t="array" ref="AF534">(SUMPRODUCT((H534:O534/H$9:O$9)^H$7:O$7*H$5:O$5)+SUMPRODUCT((Q534:T534/Q$9:T$9)^Q$7:T$7*Q$5:T$5))*AF$9</f>
        <v>1.1393994451065801</v>
      </c>
      <c r="AG534" s="50" cm="1">
        <f t="array" ref="AG534">SUMPRODUCT(AC534:AF534 * AC$3:AF$3) / SUM(AC$3:AF$3)</f>
        <v>0.61126063681204568</v>
      </c>
    </row>
    <row r="535" spans="1:33" x14ac:dyDescent="0.25">
      <c r="A535" s="81" t="s">
        <v>1382</v>
      </c>
      <c r="B535" s="20" t="s">
        <v>1384</v>
      </c>
      <c r="C535" s="4" t="s">
        <v>427</v>
      </c>
      <c r="D535" s="4" t="str">
        <f t="shared" si="8"/>
        <v>GIGABYTE</v>
      </c>
      <c r="E535" s="4" t="s">
        <v>8858</v>
      </c>
      <c r="F535" s="14" t="s">
        <v>8891</v>
      </c>
      <c r="G535" s="9">
        <v>0</v>
      </c>
      <c r="H535" s="1">
        <v>11.57</v>
      </c>
      <c r="I535" s="1">
        <v>5.79</v>
      </c>
      <c r="J535" s="1">
        <v>0.36</v>
      </c>
      <c r="K535" s="3">
        <v>2248</v>
      </c>
      <c r="L535" s="13">
        <v>2825</v>
      </c>
      <c r="M535" s="49">
        <v>90.1</v>
      </c>
      <c r="N535" s="1">
        <v>180.2</v>
      </c>
      <c r="O535" s="3">
        <v>16</v>
      </c>
      <c r="P535" s="11" t="s">
        <v>2275</v>
      </c>
      <c r="Q535" s="3">
        <v>4</v>
      </c>
      <c r="R535" s="3">
        <v>64</v>
      </c>
      <c r="S535" s="22">
        <v>18</v>
      </c>
      <c r="T535" s="9">
        <v>107</v>
      </c>
      <c r="U535" s="14" t="s">
        <v>642</v>
      </c>
      <c r="V535" s="12">
        <v>4</v>
      </c>
      <c r="W535" s="75">
        <v>16</v>
      </c>
      <c r="X535" s="76">
        <v>4</v>
      </c>
      <c r="Y535" s="9">
        <v>242.65</v>
      </c>
      <c r="Z535" s="3">
        <v>256.32</v>
      </c>
      <c r="AA535" s="17" t="s">
        <v>1383</v>
      </c>
      <c r="AB535" s="18" t="s">
        <v>1382</v>
      </c>
      <c r="AC535" s="46" cm="1">
        <f t="array" ref="AC535">(SUMPRODUCT((H535:O535/H$9:O$9)^H$7:O$7*H$2:O$2)+SUMPRODUCT((Q535:T535/Q$9:T$9)^Q$7:T$7*Q$2:T$2))*(0.8^(1-G535))*AC$9</f>
        <v>1.1637884211522282</v>
      </c>
      <c r="AD535" s="48" cm="1">
        <f t="array" ref="AD535">(SUMPRODUCT((H535:O535/H$9:O$9)^H$7:O$7*H$3:O$3)+SUMPRODUCT((Q535:T535/Q$9:T$9)^Q$7:T$7*Q$3:T$3))*(0.1^(1-G535))*AD$9</f>
        <v>0.1220007276781508</v>
      </c>
      <c r="AE535" s="48" cm="1">
        <f t="array" ref="AE535">(SUMPRODUCT((H535:O535/H$9:O$9)^H$7:O$7*H$4:O$4)+SUMPRODUCT((Q535:T535/Q$9:T$9)^Q$7:T$7*Q$4:T$4))*AE$9</f>
        <v>1.4396274873416561</v>
      </c>
      <c r="AF535" s="47" cm="1">
        <f t="array" ref="AF535">(SUMPRODUCT((H535:O535/H$9:O$9)^H$7:O$7*H$5:O$5)+SUMPRODUCT((Q535:T535/Q$9:T$9)^Q$7:T$7*Q$5:T$5))*AF$9</f>
        <v>1.140631782125632</v>
      </c>
      <c r="AG535" s="50" cm="1">
        <f t="array" ref="AG535">SUMPRODUCT(AC535:AF535 * AC$3:AF$3) / SUM(AC$3:AF$3)</f>
        <v>0.61180682562768895</v>
      </c>
    </row>
    <row r="536" spans="1:33" x14ac:dyDescent="0.25">
      <c r="A536" s="81" t="s">
        <v>853</v>
      </c>
      <c r="B536" s="20" t="s">
        <v>855</v>
      </c>
      <c r="C536" s="4" t="s">
        <v>427</v>
      </c>
      <c r="D536" s="4" t="str">
        <f t="shared" si="8"/>
        <v>MSI</v>
      </c>
      <c r="E536" s="4" t="s">
        <v>8858</v>
      </c>
      <c r="F536" s="14" t="s">
        <v>8891</v>
      </c>
      <c r="G536" s="9">
        <v>0</v>
      </c>
      <c r="H536" s="1">
        <v>11.57</v>
      </c>
      <c r="I536" s="1">
        <v>5.79</v>
      </c>
      <c r="J536" s="1">
        <v>0.36</v>
      </c>
      <c r="K536" s="3">
        <v>2248</v>
      </c>
      <c r="L536" s="13">
        <v>2825</v>
      </c>
      <c r="M536" s="49">
        <v>90.1</v>
      </c>
      <c r="N536" s="1">
        <v>180.2</v>
      </c>
      <c r="O536" s="3">
        <v>16</v>
      </c>
      <c r="P536" s="11" t="s">
        <v>2275</v>
      </c>
      <c r="Q536" s="3">
        <v>4</v>
      </c>
      <c r="R536" s="3">
        <v>64</v>
      </c>
      <c r="S536" s="22">
        <v>18</v>
      </c>
      <c r="T536" s="9">
        <v>107</v>
      </c>
      <c r="U536" s="14" t="s">
        <v>642</v>
      </c>
      <c r="V536" s="12">
        <v>4</v>
      </c>
      <c r="W536" s="75">
        <v>16</v>
      </c>
      <c r="X536" s="76">
        <v>4</v>
      </c>
      <c r="Y536" s="9">
        <v>227.43</v>
      </c>
      <c r="Z536" s="3">
        <v>308.68</v>
      </c>
      <c r="AA536" s="17" t="s">
        <v>854</v>
      </c>
      <c r="AB536" s="18" t="s">
        <v>853</v>
      </c>
      <c r="AC536" s="46" cm="1">
        <f t="array" ref="AC536">(SUMPRODUCT((H536:O536/H$9:O$9)^H$7:O$7*H$2:O$2)+SUMPRODUCT((Q536:T536/Q$9:T$9)^Q$7:T$7*Q$2:T$2))*(0.8^(1-G536))*AC$9</f>
        <v>1.1637884211522282</v>
      </c>
      <c r="AD536" s="48" cm="1">
        <f t="array" ref="AD536">(SUMPRODUCT((H536:O536/H$9:O$9)^H$7:O$7*H$3:O$3)+SUMPRODUCT((Q536:T536/Q$9:T$9)^Q$7:T$7*Q$3:T$3))*(0.1^(1-G536))*AD$9</f>
        <v>0.1220007276781508</v>
      </c>
      <c r="AE536" s="48" cm="1">
        <f t="array" ref="AE536">(SUMPRODUCT((H536:O536/H$9:O$9)^H$7:O$7*H$4:O$4)+SUMPRODUCT((Q536:T536/Q$9:T$9)^Q$7:T$7*Q$4:T$4))*AE$9</f>
        <v>1.4396274873416561</v>
      </c>
      <c r="AF536" s="47" cm="1">
        <f t="array" ref="AF536">(SUMPRODUCT((H536:O536/H$9:O$9)^H$7:O$7*H$5:O$5)+SUMPRODUCT((Q536:T536/Q$9:T$9)^Q$7:T$7*Q$5:T$5))*AF$9</f>
        <v>1.140631782125632</v>
      </c>
      <c r="AG536" s="50" cm="1">
        <f t="array" ref="AG536">SUMPRODUCT(AC536:AF536 * AC$3:AF$3) / SUM(AC$3:AF$3)</f>
        <v>0.61180682562768895</v>
      </c>
    </row>
    <row r="537" spans="1:33" x14ac:dyDescent="0.25">
      <c r="A537" s="81" t="s">
        <v>2099</v>
      </c>
      <c r="B537" s="20" t="s">
        <v>2101</v>
      </c>
      <c r="C537" s="4" t="s">
        <v>427</v>
      </c>
      <c r="D537" s="4" t="str">
        <f t="shared" si="8"/>
        <v>ASUS</v>
      </c>
      <c r="E537" s="4" t="s">
        <v>8858</v>
      </c>
      <c r="F537" s="14" t="s">
        <v>8892</v>
      </c>
      <c r="G537" s="9">
        <v>0</v>
      </c>
      <c r="H537" s="1">
        <v>17.86</v>
      </c>
      <c r="I537" s="1">
        <v>8.93</v>
      </c>
      <c r="J537" s="1">
        <v>0.56000000000000005</v>
      </c>
      <c r="K537" s="3">
        <v>1750</v>
      </c>
      <c r="L537" s="13">
        <v>2491</v>
      </c>
      <c r="M537" s="49">
        <v>159.4</v>
      </c>
      <c r="N537" s="1">
        <v>279</v>
      </c>
      <c r="O537" s="3">
        <v>28</v>
      </c>
      <c r="P537" s="11" t="s">
        <v>2275</v>
      </c>
      <c r="Q537" s="3">
        <v>8</v>
      </c>
      <c r="R537" s="3">
        <v>128</v>
      </c>
      <c r="S537" s="22">
        <v>14</v>
      </c>
      <c r="T537" s="9">
        <v>132</v>
      </c>
      <c r="U537" s="14" t="s">
        <v>446</v>
      </c>
      <c r="V537" s="12">
        <v>4</v>
      </c>
      <c r="W537" s="75">
        <v>16</v>
      </c>
      <c r="X537" s="76">
        <v>8</v>
      </c>
      <c r="Y537" s="9">
        <v>228.03</v>
      </c>
      <c r="Z537" s="3">
        <v>327.12</v>
      </c>
      <c r="AA537" s="17" t="s">
        <v>2100</v>
      </c>
      <c r="AB537" s="18" t="s">
        <v>2099</v>
      </c>
      <c r="AC537" s="46" cm="1">
        <f t="array" ref="AC537">(SUMPRODUCT((H537:O537/H$9:O$9)^H$7:O$7*H$2:O$2)+SUMPRODUCT((Q537:T537/Q$9:T$9)^Q$7:T$7*Q$2:T$2))*(0.8^(1-G537))*AC$9</f>
        <v>1.4004458773889992</v>
      </c>
      <c r="AD537" s="48" cm="1">
        <f t="array" ref="AD537">(SUMPRODUCT((H537:O537/H$9:O$9)^H$7:O$7*H$3:O$3)+SUMPRODUCT((Q537:T537/Q$9:T$9)^Q$7:T$7*Q$3:T$3))*(0.1^(1-G537))*AD$9</f>
        <v>0.1659321834422737</v>
      </c>
      <c r="AE537" s="48" cm="1">
        <f t="array" ref="AE537">(SUMPRODUCT((H537:O537/H$9:O$9)^H$7:O$7*H$4:O$4)+SUMPRODUCT((Q537:T537/Q$9:T$9)^Q$7:T$7*Q$4:T$4))*AE$9</f>
        <v>1.9885973917261479</v>
      </c>
      <c r="AF537" s="47" cm="1">
        <f t="array" ref="AF537">(SUMPRODUCT((H537:O537/H$9:O$9)^H$7:O$7*H$5:O$5)+SUMPRODUCT((Q537:T537/Q$9:T$9)^Q$7:T$7*Q$5:T$5))*AF$9</f>
        <v>1.4473454961452763</v>
      </c>
      <c r="AG537" s="50" cm="1">
        <f t="array" ref="AG537">SUMPRODUCT(AC537:AF537 * AC$3:AF$3) / SUM(AC$3:AF$3)</f>
        <v>0.78777170769321436</v>
      </c>
    </row>
    <row r="538" spans="1:33" x14ac:dyDescent="0.25">
      <c r="A538" s="81" t="s">
        <v>1985</v>
      </c>
      <c r="B538" s="20" t="s">
        <v>1987</v>
      </c>
      <c r="C538" s="4" t="s">
        <v>427</v>
      </c>
      <c r="D538" s="4" t="str">
        <f t="shared" si="8"/>
        <v>ASUS</v>
      </c>
      <c r="E538" s="4" t="s">
        <v>8858</v>
      </c>
      <c r="F538" s="14" t="s">
        <v>8892</v>
      </c>
      <c r="G538" s="9">
        <v>0</v>
      </c>
      <c r="H538" s="1">
        <v>17.86</v>
      </c>
      <c r="I538" s="1">
        <v>8.93</v>
      </c>
      <c r="J538" s="1">
        <v>0.56000000000000005</v>
      </c>
      <c r="K538" s="3">
        <v>1750</v>
      </c>
      <c r="L538" s="13">
        <v>2491</v>
      </c>
      <c r="M538" s="49">
        <v>159.4</v>
      </c>
      <c r="N538" s="1">
        <v>279</v>
      </c>
      <c r="O538" s="3">
        <v>28</v>
      </c>
      <c r="P538" s="11" t="s">
        <v>2275</v>
      </c>
      <c r="Q538" s="3">
        <v>8</v>
      </c>
      <c r="R538" s="3">
        <v>128</v>
      </c>
      <c r="S538" s="22">
        <v>14</v>
      </c>
      <c r="T538" s="9">
        <v>132</v>
      </c>
      <c r="U538" s="14" t="s">
        <v>446</v>
      </c>
      <c r="V538" s="12">
        <v>4</v>
      </c>
      <c r="W538" s="75">
        <v>16</v>
      </c>
      <c r="X538" s="76">
        <v>8</v>
      </c>
      <c r="Y538" s="9">
        <v>255</v>
      </c>
      <c r="Z538" s="3">
        <v>421.92</v>
      </c>
      <c r="AA538" s="17" t="s">
        <v>1986</v>
      </c>
      <c r="AB538" s="18" t="s">
        <v>1985</v>
      </c>
      <c r="AC538" s="46" cm="1">
        <f t="array" ref="AC538">(SUMPRODUCT((H538:O538/H$9:O$9)^H$7:O$7*H$2:O$2)+SUMPRODUCT((Q538:T538/Q$9:T$9)^Q$7:T$7*Q$2:T$2))*(0.8^(1-G538))*AC$9</f>
        <v>1.4004458773889992</v>
      </c>
      <c r="AD538" s="48" cm="1">
        <f t="array" ref="AD538">(SUMPRODUCT((H538:O538/H$9:O$9)^H$7:O$7*H$3:O$3)+SUMPRODUCT((Q538:T538/Q$9:T$9)^Q$7:T$7*Q$3:T$3))*(0.1^(1-G538))*AD$9</f>
        <v>0.1659321834422737</v>
      </c>
      <c r="AE538" s="48" cm="1">
        <f t="array" ref="AE538">(SUMPRODUCT((H538:O538/H$9:O$9)^H$7:O$7*H$4:O$4)+SUMPRODUCT((Q538:T538/Q$9:T$9)^Q$7:T$7*Q$4:T$4))*AE$9</f>
        <v>1.9885973917261479</v>
      </c>
      <c r="AF538" s="47" cm="1">
        <f t="array" ref="AF538">(SUMPRODUCT((H538:O538/H$9:O$9)^H$7:O$7*H$5:O$5)+SUMPRODUCT((Q538:T538/Q$9:T$9)^Q$7:T$7*Q$5:T$5))*AF$9</f>
        <v>1.4473454961452763</v>
      </c>
      <c r="AG538" s="50" cm="1">
        <f t="array" ref="AG538">SUMPRODUCT(AC538:AF538 * AC$3:AF$3) / SUM(AC$3:AF$3)</f>
        <v>0.78777170769321436</v>
      </c>
    </row>
    <row r="539" spans="1:33" x14ac:dyDescent="0.25">
      <c r="A539" s="81" t="s">
        <v>1982</v>
      </c>
      <c r="B539" s="20" t="s">
        <v>1984</v>
      </c>
      <c r="C539" s="4" t="s">
        <v>427</v>
      </c>
      <c r="D539" s="4" t="str">
        <f t="shared" si="8"/>
        <v>ASUS</v>
      </c>
      <c r="E539" s="4" t="s">
        <v>8858</v>
      </c>
      <c r="F539" s="14" t="s">
        <v>8892</v>
      </c>
      <c r="G539" s="9">
        <v>0</v>
      </c>
      <c r="H539" s="1">
        <v>17.86</v>
      </c>
      <c r="I539" s="1">
        <v>8.93</v>
      </c>
      <c r="J539" s="1">
        <v>0.56000000000000005</v>
      </c>
      <c r="K539" s="3">
        <v>1750</v>
      </c>
      <c r="L539" s="13">
        <v>2491</v>
      </c>
      <c r="M539" s="49">
        <v>159.4</v>
      </c>
      <c r="N539" s="1">
        <v>279</v>
      </c>
      <c r="O539" s="3">
        <v>28</v>
      </c>
      <c r="P539" s="11" t="s">
        <v>2275</v>
      </c>
      <c r="Q539" s="3">
        <v>8</v>
      </c>
      <c r="R539" s="3">
        <v>128</v>
      </c>
      <c r="S539" s="22">
        <v>14</v>
      </c>
      <c r="T539" s="9">
        <v>132</v>
      </c>
      <c r="U539" s="14" t="s">
        <v>446</v>
      </c>
      <c r="V539" s="12">
        <v>4</v>
      </c>
      <c r="W539" s="75">
        <v>16</v>
      </c>
      <c r="X539" s="76">
        <v>8</v>
      </c>
      <c r="Y539" s="9">
        <v>252.93</v>
      </c>
      <c r="Z539" s="3">
        <v>990.52</v>
      </c>
      <c r="AA539" s="17" t="s">
        <v>1983</v>
      </c>
      <c r="AB539" s="18" t="s">
        <v>1982</v>
      </c>
      <c r="AC539" s="46" cm="1">
        <f t="array" ref="AC539">(SUMPRODUCT((H539:O539/H$9:O$9)^H$7:O$7*H$2:O$2)+SUMPRODUCT((Q539:T539/Q$9:T$9)^Q$7:T$7*Q$2:T$2))*(0.8^(1-G539))*AC$9</f>
        <v>1.4004458773889992</v>
      </c>
      <c r="AD539" s="48" cm="1">
        <f t="array" ref="AD539">(SUMPRODUCT((H539:O539/H$9:O$9)^H$7:O$7*H$3:O$3)+SUMPRODUCT((Q539:T539/Q$9:T$9)^Q$7:T$7*Q$3:T$3))*(0.1^(1-G539))*AD$9</f>
        <v>0.1659321834422737</v>
      </c>
      <c r="AE539" s="48" cm="1">
        <f t="array" ref="AE539">(SUMPRODUCT((H539:O539/H$9:O$9)^H$7:O$7*H$4:O$4)+SUMPRODUCT((Q539:T539/Q$9:T$9)^Q$7:T$7*Q$4:T$4))*AE$9</f>
        <v>1.9885973917261479</v>
      </c>
      <c r="AF539" s="47" cm="1">
        <f t="array" ref="AF539">(SUMPRODUCT((H539:O539/H$9:O$9)^H$7:O$7*H$5:O$5)+SUMPRODUCT((Q539:T539/Q$9:T$9)^Q$7:T$7*Q$5:T$5))*AF$9</f>
        <v>1.4473454961452763</v>
      </c>
      <c r="AG539" s="50" cm="1">
        <f t="array" ref="AG539">SUMPRODUCT(AC539:AF539 * AC$3:AF$3) / SUM(AC$3:AF$3)</f>
        <v>0.78777170769321436</v>
      </c>
    </row>
    <row r="540" spans="1:33" x14ac:dyDescent="0.25">
      <c r="A540" s="81" t="s">
        <v>1379</v>
      </c>
      <c r="B540" s="20" t="s">
        <v>1381</v>
      </c>
      <c r="C540" s="4" t="s">
        <v>427</v>
      </c>
      <c r="D540" s="4" t="str">
        <f t="shared" si="8"/>
        <v>GIGABYTE</v>
      </c>
      <c r="E540" s="4" t="s">
        <v>8858</v>
      </c>
      <c r="F540" s="14" t="s">
        <v>8892</v>
      </c>
      <c r="G540" s="9">
        <v>0</v>
      </c>
      <c r="H540" s="1">
        <v>17.86</v>
      </c>
      <c r="I540" s="1">
        <v>8.93</v>
      </c>
      <c r="J540" s="1">
        <v>0.56000000000000005</v>
      </c>
      <c r="K540" s="3">
        <v>1750</v>
      </c>
      <c r="L540" s="13">
        <v>2491</v>
      </c>
      <c r="M540" s="49">
        <v>159.4</v>
      </c>
      <c r="N540" s="1">
        <v>279</v>
      </c>
      <c r="O540" s="3">
        <v>28</v>
      </c>
      <c r="P540" s="11" t="s">
        <v>2275</v>
      </c>
      <c r="Q540" s="3">
        <v>8</v>
      </c>
      <c r="R540" s="3">
        <v>128</v>
      </c>
      <c r="S540" s="22">
        <v>14</v>
      </c>
      <c r="T540" s="9">
        <v>132</v>
      </c>
      <c r="U540" s="14" t="s">
        <v>446</v>
      </c>
      <c r="V540" s="12">
        <v>4</v>
      </c>
      <c r="W540" s="75">
        <v>16</v>
      </c>
      <c r="X540" s="76">
        <v>8</v>
      </c>
      <c r="Y540" s="9">
        <v>312.51</v>
      </c>
      <c r="Z540" s="3">
        <v>444.8</v>
      </c>
      <c r="AA540" s="17" t="s">
        <v>1380</v>
      </c>
      <c r="AB540" s="18" t="s">
        <v>1379</v>
      </c>
      <c r="AC540" s="46" cm="1">
        <f t="array" ref="AC540">(SUMPRODUCT((H540:O540/H$9:O$9)^H$7:O$7*H$2:O$2)+SUMPRODUCT((Q540:T540/Q$9:T$9)^Q$7:T$7*Q$2:T$2))*(0.8^(1-G540))*AC$9</f>
        <v>1.4004458773889992</v>
      </c>
      <c r="AD540" s="48" cm="1">
        <f t="array" ref="AD540">(SUMPRODUCT((H540:O540/H$9:O$9)^H$7:O$7*H$3:O$3)+SUMPRODUCT((Q540:T540/Q$9:T$9)^Q$7:T$7*Q$3:T$3))*(0.1^(1-G540))*AD$9</f>
        <v>0.1659321834422737</v>
      </c>
      <c r="AE540" s="48" cm="1">
        <f t="array" ref="AE540">(SUMPRODUCT((H540:O540/H$9:O$9)^H$7:O$7*H$4:O$4)+SUMPRODUCT((Q540:T540/Q$9:T$9)^Q$7:T$7*Q$4:T$4))*AE$9</f>
        <v>1.9885973917261479</v>
      </c>
      <c r="AF540" s="47" cm="1">
        <f t="array" ref="AF540">(SUMPRODUCT((H540:O540/H$9:O$9)^H$7:O$7*H$5:O$5)+SUMPRODUCT((Q540:T540/Q$9:T$9)^Q$7:T$7*Q$5:T$5))*AF$9</f>
        <v>1.4473454961452763</v>
      </c>
      <c r="AG540" s="50" cm="1">
        <f t="array" ref="AG540">SUMPRODUCT(AC540:AF540 * AC$3:AF$3) / SUM(AC$3:AF$3)</f>
        <v>0.78777170769321436</v>
      </c>
    </row>
    <row r="541" spans="1:33" x14ac:dyDescent="0.25">
      <c r="A541" s="81" t="s">
        <v>850</v>
      </c>
      <c r="B541" s="20" t="s">
        <v>852</v>
      </c>
      <c r="C541" s="4" t="s">
        <v>427</v>
      </c>
      <c r="D541" s="4" t="str">
        <f t="shared" si="8"/>
        <v>MSI</v>
      </c>
      <c r="E541" s="4" t="s">
        <v>8858</v>
      </c>
      <c r="F541" s="14" t="s">
        <v>8892</v>
      </c>
      <c r="G541" s="9">
        <v>0</v>
      </c>
      <c r="H541" s="1">
        <v>17.86</v>
      </c>
      <c r="I541" s="1">
        <v>8.93</v>
      </c>
      <c r="J541" s="1">
        <v>0.56000000000000005</v>
      </c>
      <c r="K541" s="3">
        <v>1750</v>
      </c>
      <c r="L541" s="13">
        <v>2491</v>
      </c>
      <c r="M541" s="49">
        <v>159.4</v>
      </c>
      <c r="N541" s="1">
        <v>279</v>
      </c>
      <c r="O541" s="3">
        <v>28</v>
      </c>
      <c r="P541" s="11" t="s">
        <v>2275</v>
      </c>
      <c r="Q541" s="3">
        <v>8</v>
      </c>
      <c r="R541" s="3">
        <v>128</v>
      </c>
      <c r="S541" s="22">
        <v>14</v>
      </c>
      <c r="T541" s="9">
        <v>132</v>
      </c>
      <c r="U541" s="14" t="s">
        <v>446</v>
      </c>
      <c r="V541" s="12">
        <v>4</v>
      </c>
      <c r="W541" s="75">
        <v>16</v>
      </c>
      <c r="X541" s="76">
        <v>8</v>
      </c>
      <c r="Y541" s="9">
        <v>386.04</v>
      </c>
      <c r="Z541" s="3">
        <v>516.98</v>
      </c>
      <c r="AA541" s="17" t="s">
        <v>851</v>
      </c>
      <c r="AB541" s="18" t="s">
        <v>850</v>
      </c>
      <c r="AC541" s="46" cm="1">
        <f t="array" ref="AC541">(SUMPRODUCT((H541:O541/H$9:O$9)^H$7:O$7*H$2:O$2)+SUMPRODUCT((Q541:T541/Q$9:T$9)^Q$7:T$7*Q$2:T$2))*(0.8^(1-G541))*AC$9</f>
        <v>1.4004458773889992</v>
      </c>
      <c r="AD541" s="48" cm="1">
        <f t="array" ref="AD541">(SUMPRODUCT((H541:O541/H$9:O$9)^H$7:O$7*H$3:O$3)+SUMPRODUCT((Q541:T541/Q$9:T$9)^Q$7:T$7*Q$3:T$3))*(0.1^(1-G541))*AD$9</f>
        <v>0.1659321834422737</v>
      </c>
      <c r="AE541" s="48" cm="1">
        <f t="array" ref="AE541">(SUMPRODUCT((H541:O541/H$9:O$9)^H$7:O$7*H$4:O$4)+SUMPRODUCT((Q541:T541/Q$9:T$9)^Q$7:T$7*Q$4:T$4))*AE$9</f>
        <v>1.9885973917261479</v>
      </c>
      <c r="AF541" s="47" cm="1">
        <f t="array" ref="AF541">(SUMPRODUCT((H541:O541/H$9:O$9)^H$7:O$7*H$5:O$5)+SUMPRODUCT((Q541:T541/Q$9:T$9)^Q$7:T$7*Q$5:T$5))*AF$9</f>
        <v>1.4473454961452763</v>
      </c>
      <c r="AG541" s="50" cm="1">
        <f t="array" ref="AG541">SUMPRODUCT(AC541:AF541 * AC$3:AF$3) / SUM(AC$3:AF$3)</f>
        <v>0.78777170769321436</v>
      </c>
    </row>
    <row r="542" spans="1:33" x14ac:dyDescent="0.25">
      <c r="A542" s="81" t="s">
        <v>847</v>
      </c>
      <c r="B542" s="20" t="s">
        <v>849</v>
      </c>
      <c r="C542" s="4" t="s">
        <v>427</v>
      </c>
      <c r="D542" s="4" t="str">
        <f t="shared" si="8"/>
        <v>MSI</v>
      </c>
      <c r="E542" s="4" t="s">
        <v>8858</v>
      </c>
      <c r="F542" s="14" t="s">
        <v>8892</v>
      </c>
      <c r="G542" s="9">
        <v>0</v>
      </c>
      <c r="H542" s="1">
        <v>17.86</v>
      </c>
      <c r="I542" s="1">
        <v>8.93</v>
      </c>
      <c r="J542" s="1">
        <v>0.56000000000000005</v>
      </c>
      <c r="K542" s="3">
        <v>1750</v>
      </c>
      <c r="L542" s="13">
        <v>2491</v>
      </c>
      <c r="M542" s="49">
        <v>159.4</v>
      </c>
      <c r="N542" s="1">
        <v>279</v>
      </c>
      <c r="O542" s="3">
        <v>28</v>
      </c>
      <c r="P542" s="11" t="s">
        <v>2275</v>
      </c>
      <c r="Q542" s="3">
        <v>8</v>
      </c>
      <c r="R542" s="3">
        <v>128</v>
      </c>
      <c r="S542" s="22">
        <v>14</v>
      </c>
      <c r="T542" s="9">
        <v>132</v>
      </c>
      <c r="U542" s="14" t="s">
        <v>446</v>
      </c>
      <c r="V542" s="12">
        <v>4</v>
      </c>
      <c r="W542" s="75">
        <v>16</v>
      </c>
      <c r="X542" s="76">
        <v>8</v>
      </c>
      <c r="Y542" s="9">
        <v>539</v>
      </c>
      <c r="Z542" s="3">
        <v>1037.24</v>
      </c>
      <c r="AA542" s="17" t="s">
        <v>848</v>
      </c>
      <c r="AB542" s="18" t="s">
        <v>847</v>
      </c>
      <c r="AC542" s="46" cm="1">
        <f t="array" ref="AC542">(SUMPRODUCT((H542:O542/H$9:O$9)^H$7:O$7*H$2:O$2)+SUMPRODUCT((Q542:T542/Q$9:T$9)^Q$7:T$7*Q$2:T$2))*(0.8^(1-G542))*AC$9</f>
        <v>1.4004458773889992</v>
      </c>
      <c r="AD542" s="48" cm="1">
        <f t="array" ref="AD542">(SUMPRODUCT((H542:O542/H$9:O$9)^H$7:O$7*H$3:O$3)+SUMPRODUCT((Q542:T542/Q$9:T$9)^Q$7:T$7*Q$3:T$3))*(0.1^(1-G542))*AD$9</f>
        <v>0.1659321834422737</v>
      </c>
      <c r="AE542" s="48" cm="1">
        <f t="array" ref="AE542">(SUMPRODUCT((H542:O542/H$9:O$9)^H$7:O$7*H$4:O$4)+SUMPRODUCT((Q542:T542/Q$9:T$9)^Q$7:T$7*Q$4:T$4))*AE$9</f>
        <v>1.9885973917261479</v>
      </c>
      <c r="AF542" s="47" cm="1">
        <f t="array" ref="AF542">(SUMPRODUCT((H542:O542/H$9:O$9)^H$7:O$7*H$5:O$5)+SUMPRODUCT((Q542:T542/Q$9:T$9)^Q$7:T$7*Q$5:T$5))*AF$9</f>
        <v>1.4473454961452763</v>
      </c>
      <c r="AG542" s="50" cm="1">
        <f t="array" ref="AG542">SUMPRODUCT(AC542:AF542 * AC$3:AF$3) / SUM(AC$3:AF$3)</f>
        <v>0.78777170769321436</v>
      </c>
    </row>
    <row r="543" spans="1:33" x14ac:dyDescent="0.25">
      <c r="A543" s="81" t="s">
        <v>844</v>
      </c>
      <c r="B543" s="20" t="s">
        <v>846</v>
      </c>
      <c r="C543" s="4" t="s">
        <v>427</v>
      </c>
      <c r="D543" s="4" t="str">
        <f t="shared" si="8"/>
        <v>MSI</v>
      </c>
      <c r="E543" s="4" t="s">
        <v>8858</v>
      </c>
      <c r="F543" s="14" t="s">
        <v>8892</v>
      </c>
      <c r="G543" s="9">
        <v>0</v>
      </c>
      <c r="H543" s="1">
        <v>17.86</v>
      </c>
      <c r="I543" s="1">
        <v>8.93</v>
      </c>
      <c r="J543" s="1">
        <v>0.56000000000000005</v>
      </c>
      <c r="K543" s="3">
        <v>1750</v>
      </c>
      <c r="L543" s="13">
        <v>2491</v>
      </c>
      <c r="M543" s="49">
        <v>159.4</v>
      </c>
      <c r="N543" s="1">
        <v>279</v>
      </c>
      <c r="O543" s="3">
        <v>28</v>
      </c>
      <c r="P543" s="11" t="s">
        <v>2275</v>
      </c>
      <c r="Q543" s="3">
        <v>8</v>
      </c>
      <c r="R543" s="3">
        <v>128</v>
      </c>
      <c r="S543" s="22">
        <v>14</v>
      </c>
      <c r="T543" s="9">
        <v>132</v>
      </c>
      <c r="U543" s="14" t="s">
        <v>446</v>
      </c>
      <c r="V543" s="12">
        <v>4</v>
      </c>
      <c r="W543" s="75">
        <v>16</v>
      </c>
      <c r="X543" s="76">
        <v>8</v>
      </c>
      <c r="Y543" s="9">
        <v>362.1</v>
      </c>
      <c r="Z543" s="3">
        <v>595.49</v>
      </c>
      <c r="AA543" s="17" t="s">
        <v>845</v>
      </c>
      <c r="AB543" s="18" t="s">
        <v>844</v>
      </c>
      <c r="AC543" s="46" cm="1">
        <f t="array" ref="AC543">(SUMPRODUCT((H543:O543/H$9:O$9)^H$7:O$7*H$2:O$2)+SUMPRODUCT((Q543:T543/Q$9:T$9)^Q$7:T$7*Q$2:T$2))*(0.8^(1-G543))*AC$9</f>
        <v>1.4004458773889992</v>
      </c>
      <c r="AD543" s="48" cm="1">
        <f t="array" ref="AD543">(SUMPRODUCT((H543:O543/H$9:O$9)^H$7:O$7*H$3:O$3)+SUMPRODUCT((Q543:T543/Q$9:T$9)^Q$7:T$7*Q$3:T$3))*(0.1^(1-G543))*AD$9</f>
        <v>0.1659321834422737</v>
      </c>
      <c r="AE543" s="48" cm="1">
        <f t="array" ref="AE543">(SUMPRODUCT((H543:O543/H$9:O$9)^H$7:O$7*H$4:O$4)+SUMPRODUCT((Q543:T543/Q$9:T$9)^Q$7:T$7*Q$4:T$4))*AE$9</f>
        <v>1.9885973917261479</v>
      </c>
      <c r="AF543" s="47" cm="1">
        <f t="array" ref="AF543">(SUMPRODUCT((H543:O543/H$9:O$9)^H$7:O$7*H$5:O$5)+SUMPRODUCT((Q543:T543/Q$9:T$9)^Q$7:T$7*Q$5:T$5))*AF$9</f>
        <v>1.4473454961452763</v>
      </c>
      <c r="AG543" s="50" cm="1">
        <f t="array" ref="AG543">SUMPRODUCT(AC543:AF543 * AC$3:AF$3) / SUM(AC$3:AF$3)</f>
        <v>0.78777170769321436</v>
      </c>
    </row>
    <row r="544" spans="1:33" x14ac:dyDescent="0.25">
      <c r="A544" s="81" t="s">
        <v>1979</v>
      </c>
      <c r="B544" s="20" t="s">
        <v>1981</v>
      </c>
      <c r="C544" s="4" t="s">
        <v>427</v>
      </c>
      <c r="D544" s="4" t="str">
        <f t="shared" si="8"/>
        <v>ASUS</v>
      </c>
      <c r="E544" s="4" t="s">
        <v>8858</v>
      </c>
      <c r="F544" s="14" t="s">
        <v>8893</v>
      </c>
      <c r="G544" s="9">
        <v>0</v>
      </c>
      <c r="H544" s="1">
        <v>21.36</v>
      </c>
      <c r="I544" s="1">
        <v>10.68</v>
      </c>
      <c r="J544" s="1">
        <v>0.67</v>
      </c>
      <c r="K544" s="3">
        <v>2000</v>
      </c>
      <c r="L544" s="13">
        <v>2607</v>
      </c>
      <c r="M544" s="49">
        <v>165.7</v>
      </c>
      <c r="N544" s="1">
        <v>331.4</v>
      </c>
      <c r="O544" s="3">
        <v>32</v>
      </c>
      <c r="P544" s="11" t="s">
        <v>2275</v>
      </c>
      <c r="Q544" s="3">
        <v>8</v>
      </c>
      <c r="R544" s="3">
        <v>128</v>
      </c>
      <c r="S544" s="22">
        <v>16</v>
      </c>
      <c r="T544" s="9">
        <v>160</v>
      </c>
      <c r="U544" s="14" t="s">
        <v>446</v>
      </c>
      <c r="V544" s="12">
        <v>4</v>
      </c>
      <c r="W544" s="75">
        <v>16</v>
      </c>
      <c r="X544" s="76">
        <v>8</v>
      </c>
      <c r="Y544" s="9">
        <v>519.99</v>
      </c>
      <c r="Z544" s="3">
        <v>846.64</v>
      </c>
      <c r="AA544" s="17" t="s">
        <v>1980</v>
      </c>
      <c r="AB544" s="18" t="s">
        <v>1979</v>
      </c>
      <c r="AC544" s="46" cm="1">
        <f t="array" ref="AC544">(SUMPRODUCT((H544:O544/H$9:O$9)^H$7:O$7*H$2:O$2)+SUMPRODUCT((Q544:T544/Q$9:T$9)^Q$7:T$7*Q$2:T$2))*(0.8^(1-G544))*AC$9</f>
        <v>1.5026497038104802</v>
      </c>
      <c r="AD544" s="48" cm="1">
        <f t="array" ref="AD544">(SUMPRODUCT((H544:O544/H$9:O$9)^H$7:O$7*H$3:O$3)+SUMPRODUCT((Q544:T544/Q$9:T$9)^Q$7:T$7*Q$3:T$3))*(0.1^(1-G544))*AD$9</f>
        <v>0.18505297653429992</v>
      </c>
      <c r="AE544" s="48" cm="1">
        <f t="array" ref="AE544">(SUMPRODUCT((H544:O544/H$9:O$9)^H$7:O$7*H$4:O$4)+SUMPRODUCT((Q544:T544/Q$9:T$9)^Q$7:T$7*Q$4:T$4))*AE$9</f>
        <v>2.2370790141587569</v>
      </c>
      <c r="AF544" s="47" cm="1">
        <f t="array" ref="AF544">(SUMPRODUCT((H544:O544/H$9:O$9)^H$7:O$7*H$5:O$5)+SUMPRODUCT((Q544:T544/Q$9:T$9)^Q$7:T$7*Q$5:T$5))*AF$9</f>
        <v>1.5800496355203459</v>
      </c>
      <c r="AG544" s="50" cm="1">
        <f t="array" ref="AG544">SUMPRODUCT(AC544:AF544 * AC$3:AF$3) / SUM(AC$3:AF$3)</f>
        <v>0.86515476731405494</v>
      </c>
    </row>
    <row r="545" spans="1:33" x14ac:dyDescent="0.25">
      <c r="A545" s="81" t="s">
        <v>1871</v>
      </c>
      <c r="B545" s="20" t="s">
        <v>1873</v>
      </c>
      <c r="C545" s="4" t="s">
        <v>427</v>
      </c>
      <c r="D545" s="4" t="str">
        <f t="shared" si="8"/>
        <v>ASUS</v>
      </c>
      <c r="E545" s="4" t="s">
        <v>8858</v>
      </c>
      <c r="F545" s="14" t="s">
        <v>8893</v>
      </c>
      <c r="G545" s="9">
        <v>0</v>
      </c>
      <c r="H545" s="1">
        <v>21.36</v>
      </c>
      <c r="I545" s="1">
        <v>10.68</v>
      </c>
      <c r="J545" s="1">
        <v>0.67</v>
      </c>
      <c r="K545" s="3">
        <v>2000</v>
      </c>
      <c r="L545" s="13">
        <v>2607</v>
      </c>
      <c r="M545" s="49">
        <v>165.7</v>
      </c>
      <c r="N545" s="1">
        <v>331.4</v>
      </c>
      <c r="O545" s="3">
        <v>32</v>
      </c>
      <c r="P545" s="11" t="s">
        <v>2275</v>
      </c>
      <c r="Q545" s="3">
        <v>8</v>
      </c>
      <c r="R545" s="3">
        <v>128</v>
      </c>
      <c r="S545" s="22">
        <v>16</v>
      </c>
      <c r="T545" s="9">
        <v>160</v>
      </c>
      <c r="U545" s="14" t="s">
        <v>446</v>
      </c>
      <c r="V545" s="12">
        <v>4</v>
      </c>
      <c r="W545" s="75">
        <v>16</v>
      </c>
      <c r="X545" s="76">
        <v>8</v>
      </c>
      <c r="Y545" s="9">
        <v>523.98</v>
      </c>
      <c r="Z545" s="3">
        <v>686.33</v>
      </c>
      <c r="AA545" s="17" t="s">
        <v>1872</v>
      </c>
      <c r="AB545" s="18" t="s">
        <v>1871</v>
      </c>
      <c r="AC545" s="46" cm="1">
        <f t="array" ref="AC545">(SUMPRODUCT((H545:O545/H$9:O$9)^H$7:O$7*H$2:O$2)+SUMPRODUCT((Q545:T545/Q$9:T$9)^Q$7:T$7*Q$2:T$2))*(0.8^(1-G545))*AC$9</f>
        <v>1.5026497038104802</v>
      </c>
      <c r="AD545" s="48" cm="1">
        <f t="array" ref="AD545">(SUMPRODUCT((H545:O545/H$9:O$9)^H$7:O$7*H$3:O$3)+SUMPRODUCT((Q545:T545/Q$9:T$9)^Q$7:T$7*Q$3:T$3))*(0.1^(1-G545))*AD$9</f>
        <v>0.18505297653429992</v>
      </c>
      <c r="AE545" s="48" cm="1">
        <f t="array" ref="AE545">(SUMPRODUCT((H545:O545/H$9:O$9)^H$7:O$7*H$4:O$4)+SUMPRODUCT((Q545:T545/Q$9:T$9)^Q$7:T$7*Q$4:T$4))*AE$9</f>
        <v>2.2370790141587569</v>
      </c>
      <c r="AF545" s="47" cm="1">
        <f t="array" ref="AF545">(SUMPRODUCT((H545:O545/H$9:O$9)^H$7:O$7*H$5:O$5)+SUMPRODUCT((Q545:T545/Q$9:T$9)^Q$7:T$7*Q$5:T$5))*AF$9</f>
        <v>1.5800496355203459</v>
      </c>
      <c r="AG545" s="50" cm="1">
        <f t="array" ref="AG545">SUMPRODUCT(AC545:AF545 * AC$3:AF$3) / SUM(AC$3:AF$3)</f>
        <v>0.86515476731405494</v>
      </c>
    </row>
    <row r="546" spans="1:33" x14ac:dyDescent="0.25">
      <c r="A546" s="81" t="s">
        <v>1376</v>
      </c>
      <c r="B546" s="20" t="s">
        <v>1378</v>
      </c>
      <c r="C546" s="4" t="s">
        <v>427</v>
      </c>
      <c r="D546" s="4" t="str">
        <f t="shared" si="8"/>
        <v>GIGABYTE</v>
      </c>
      <c r="E546" s="4" t="s">
        <v>8858</v>
      </c>
      <c r="F546" s="14" t="s">
        <v>8893</v>
      </c>
      <c r="G546" s="9">
        <v>0</v>
      </c>
      <c r="H546" s="1">
        <v>21.21</v>
      </c>
      <c r="I546" s="1">
        <v>10.6</v>
      </c>
      <c r="J546" s="1">
        <v>0.66</v>
      </c>
      <c r="K546" s="3">
        <v>2000</v>
      </c>
      <c r="L546" s="13">
        <v>2589</v>
      </c>
      <c r="M546" s="49">
        <v>165.7</v>
      </c>
      <c r="N546" s="1">
        <v>331.4</v>
      </c>
      <c r="O546" s="3">
        <v>32</v>
      </c>
      <c r="P546" s="11" t="s">
        <v>2275</v>
      </c>
      <c r="Q546" s="3">
        <v>8</v>
      </c>
      <c r="R546" s="3">
        <v>128</v>
      </c>
      <c r="S546" s="22">
        <v>16</v>
      </c>
      <c r="T546" s="9">
        <v>160</v>
      </c>
      <c r="U546" s="14" t="s">
        <v>446</v>
      </c>
      <c r="V546" s="12">
        <v>4</v>
      </c>
      <c r="W546" s="75">
        <v>16</v>
      </c>
      <c r="X546" s="76">
        <v>8</v>
      </c>
      <c r="Y546" s="9">
        <v>726.35</v>
      </c>
      <c r="Z546" s="3">
        <v>733.4</v>
      </c>
      <c r="AA546" s="17" t="s">
        <v>1377</v>
      </c>
      <c r="AB546" s="18" t="s">
        <v>1376</v>
      </c>
      <c r="AC546" s="46" cm="1">
        <f t="array" ref="AC546">(SUMPRODUCT((H546:O546/H$9:O$9)^H$7:O$7*H$2:O$2)+SUMPRODUCT((Q546:T546/Q$9:T$9)^Q$7:T$7*Q$2:T$2))*(0.8^(1-G546))*AC$9</f>
        <v>1.5004794605257461</v>
      </c>
      <c r="AD546" s="48" cm="1">
        <f t="array" ref="AD546">(SUMPRODUCT((H546:O546/H$9:O$9)^H$7:O$7*H$3:O$3)+SUMPRODUCT((Q546:T546/Q$9:T$9)^Q$7:T$7*Q$3:T$3))*(0.1^(1-G546))*AD$9</f>
        <v>0.18410144817693552</v>
      </c>
      <c r="AE546" s="48" cm="1">
        <f t="array" ref="AE546">(SUMPRODUCT((H546:O546/H$9:O$9)^H$7:O$7*H$4:O$4)+SUMPRODUCT((Q546:T546/Q$9:T$9)^Q$7:T$7*Q$4:T$4))*AE$9</f>
        <v>2.217852942450377</v>
      </c>
      <c r="AF546" s="47" cm="1">
        <f t="array" ref="AF546">(SUMPRODUCT((H546:O546/H$9:O$9)^H$7:O$7*H$5:O$5)+SUMPRODUCT((Q546:T546/Q$9:T$9)^Q$7:T$7*Q$5:T$5))*AF$9</f>
        <v>1.5764436913659186</v>
      </c>
      <c r="AG546" s="50" cm="1">
        <f t="array" ref="AG546">SUMPRODUCT(AC546:AF546 * AC$3:AF$3) / SUM(AC$3:AF$3)</f>
        <v>0.86152721235250573</v>
      </c>
    </row>
    <row r="547" spans="1:33" x14ac:dyDescent="0.25">
      <c r="A547" s="81" t="s">
        <v>1373</v>
      </c>
      <c r="B547" s="20" t="s">
        <v>1375</v>
      </c>
      <c r="C547" s="4" t="s">
        <v>427</v>
      </c>
      <c r="D547" s="4" t="str">
        <f t="shared" si="8"/>
        <v>GIGABYTE</v>
      </c>
      <c r="E547" s="4" t="s">
        <v>8858</v>
      </c>
      <c r="F547" s="14" t="s">
        <v>8893</v>
      </c>
      <c r="G547" s="9">
        <v>0</v>
      </c>
      <c r="H547" s="1">
        <v>21.21</v>
      </c>
      <c r="I547" s="1">
        <v>10.6</v>
      </c>
      <c r="J547" s="1">
        <v>0.66</v>
      </c>
      <c r="K547" s="3">
        <v>2000</v>
      </c>
      <c r="L547" s="13">
        <v>2589</v>
      </c>
      <c r="M547" s="49">
        <v>165.7</v>
      </c>
      <c r="N547" s="1">
        <v>331.4</v>
      </c>
      <c r="O547" s="3">
        <v>32</v>
      </c>
      <c r="P547" s="11" t="s">
        <v>2275</v>
      </c>
      <c r="Q547" s="3">
        <v>8</v>
      </c>
      <c r="R547" s="3">
        <v>128</v>
      </c>
      <c r="S547" s="22">
        <v>16</v>
      </c>
      <c r="T547" s="9">
        <v>160</v>
      </c>
      <c r="U547" s="14" t="s">
        <v>446</v>
      </c>
      <c r="V547" s="12">
        <v>4</v>
      </c>
      <c r="W547" s="75">
        <v>16</v>
      </c>
      <c r="X547" s="76">
        <v>8</v>
      </c>
      <c r="Y547" s="9">
        <v>469</v>
      </c>
      <c r="Z547" s="3">
        <v>522.29</v>
      </c>
      <c r="AA547" s="17" t="s">
        <v>1374</v>
      </c>
      <c r="AB547" s="18" t="s">
        <v>1373</v>
      </c>
      <c r="AC547" s="46" cm="1">
        <f t="array" ref="AC547">(SUMPRODUCT((H547:O547/H$9:O$9)^H$7:O$7*H$2:O$2)+SUMPRODUCT((Q547:T547/Q$9:T$9)^Q$7:T$7*Q$2:T$2))*(0.8^(1-G547))*AC$9</f>
        <v>1.5004794605257461</v>
      </c>
      <c r="AD547" s="48" cm="1">
        <f t="array" ref="AD547">(SUMPRODUCT((H547:O547/H$9:O$9)^H$7:O$7*H$3:O$3)+SUMPRODUCT((Q547:T547/Q$9:T$9)^Q$7:T$7*Q$3:T$3))*(0.1^(1-G547))*AD$9</f>
        <v>0.18410144817693552</v>
      </c>
      <c r="AE547" s="48" cm="1">
        <f t="array" ref="AE547">(SUMPRODUCT((H547:O547/H$9:O$9)^H$7:O$7*H$4:O$4)+SUMPRODUCT((Q547:T547/Q$9:T$9)^Q$7:T$7*Q$4:T$4))*AE$9</f>
        <v>2.217852942450377</v>
      </c>
      <c r="AF547" s="47" cm="1">
        <f t="array" ref="AF547">(SUMPRODUCT((H547:O547/H$9:O$9)^H$7:O$7*H$5:O$5)+SUMPRODUCT((Q547:T547/Q$9:T$9)^Q$7:T$7*Q$5:T$5))*AF$9</f>
        <v>1.5764436913659186</v>
      </c>
      <c r="AG547" s="50" cm="1">
        <f t="array" ref="AG547">SUMPRODUCT(AC547:AF547 * AC$3:AF$3) / SUM(AC$3:AF$3)</f>
        <v>0.86152721235250573</v>
      </c>
    </row>
    <row r="548" spans="1:33" x14ac:dyDescent="0.25">
      <c r="A548" s="81" t="s">
        <v>1370</v>
      </c>
      <c r="B548" s="20" t="s">
        <v>1372</v>
      </c>
      <c r="C548" s="4" t="s">
        <v>427</v>
      </c>
      <c r="D548" s="4" t="str">
        <f t="shared" si="8"/>
        <v>GIGABYTE</v>
      </c>
      <c r="E548" s="4" t="s">
        <v>8858</v>
      </c>
      <c r="F548" s="14" t="s">
        <v>8893</v>
      </c>
      <c r="G548" s="9">
        <v>0</v>
      </c>
      <c r="H548" s="1">
        <v>21.36</v>
      </c>
      <c r="I548" s="1">
        <v>10.68</v>
      </c>
      <c r="J548" s="1">
        <v>0.67</v>
      </c>
      <c r="K548" s="3">
        <v>2000</v>
      </c>
      <c r="L548" s="13">
        <v>2607</v>
      </c>
      <c r="M548" s="49">
        <v>165.7</v>
      </c>
      <c r="N548" s="1">
        <v>331.4</v>
      </c>
      <c r="O548" s="3">
        <v>32</v>
      </c>
      <c r="P548" s="11" t="s">
        <v>2275</v>
      </c>
      <c r="Q548" s="3">
        <v>8</v>
      </c>
      <c r="R548" s="3">
        <v>128</v>
      </c>
      <c r="S548" s="22">
        <v>16</v>
      </c>
      <c r="T548" s="9">
        <v>160</v>
      </c>
      <c r="U548" s="14" t="s">
        <v>446</v>
      </c>
      <c r="V548" s="12">
        <v>4</v>
      </c>
      <c r="W548" s="75">
        <v>16</v>
      </c>
      <c r="X548" s="76">
        <v>8</v>
      </c>
      <c r="Y548" s="9">
        <v>462.11</v>
      </c>
      <c r="Z548" s="3">
        <v>1142.53</v>
      </c>
      <c r="AA548" s="17" t="s">
        <v>1371</v>
      </c>
      <c r="AB548" s="18" t="s">
        <v>1370</v>
      </c>
      <c r="AC548" s="46" cm="1">
        <f t="array" ref="AC548">(SUMPRODUCT((H548:O548/H$9:O$9)^H$7:O$7*H$2:O$2)+SUMPRODUCT((Q548:T548/Q$9:T$9)^Q$7:T$7*Q$2:T$2))*(0.8^(1-G548))*AC$9</f>
        <v>1.5026497038104802</v>
      </c>
      <c r="AD548" s="48" cm="1">
        <f t="array" ref="AD548">(SUMPRODUCT((H548:O548/H$9:O$9)^H$7:O$7*H$3:O$3)+SUMPRODUCT((Q548:T548/Q$9:T$9)^Q$7:T$7*Q$3:T$3))*(0.1^(1-G548))*AD$9</f>
        <v>0.18505297653429992</v>
      </c>
      <c r="AE548" s="48" cm="1">
        <f t="array" ref="AE548">(SUMPRODUCT((H548:O548/H$9:O$9)^H$7:O$7*H$4:O$4)+SUMPRODUCT((Q548:T548/Q$9:T$9)^Q$7:T$7*Q$4:T$4))*AE$9</f>
        <v>2.2370790141587569</v>
      </c>
      <c r="AF548" s="47" cm="1">
        <f t="array" ref="AF548">(SUMPRODUCT((H548:O548/H$9:O$9)^H$7:O$7*H$5:O$5)+SUMPRODUCT((Q548:T548/Q$9:T$9)^Q$7:T$7*Q$5:T$5))*AF$9</f>
        <v>1.5800496355203459</v>
      </c>
      <c r="AG548" s="50" cm="1">
        <f t="array" ref="AG548">SUMPRODUCT(AC548:AF548 * AC$3:AF$3) / SUM(AC$3:AF$3)</f>
        <v>0.86515476731405494</v>
      </c>
    </row>
    <row r="549" spans="1:33" x14ac:dyDescent="0.25">
      <c r="A549" s="81" t="s">
        <v>841</v>
      </c>
      <c r="B549" s="20" t="s">
        <v>843</v>
      </c>
      <c r="C549" s="4" t="s">
        <v>427</v>
      </c>
      <c r="D549" s="4" t="str">
        <f t="shared" si="8"/>
        <v>MSI</v>
      </c>
      <c r="E549" s="4" t="s">
        <v>8858</v>
      </c>
      <c r="F549" s="14" t="s">
        <v>8893</v>
      </c>
      <c r="G549" s="9">
        <v>0</v>
      </c>
      <c r="H549" s="1">
        <v>21.32</v>
      </c>
      <c r="I549" s="1">
        <v>10.66</v>
      </c>
      <c r="J549" s="1">
        <v>0.67</v>
      </c>
      <c r="K549" s="3">
        <v>2000</v>
      </c>
      <c r="L549" s="13">
        <v>2602</v>
      </c>
      <c r="M549" s="49">
        <v>165.7</v>
      </c>
      <c r="N549" s="1">
        <v>331.4</v>
      </c>
      <c r="O549" s="3">
        <v>32</v>
      </c>
      <c r="P549" s="11" t="s">
        <v>2275</v>
      </c>
      <c r="Q549" s="3">
        <v>8</v>
      </c>
      <c r="R549" s="3">
        <v>128</v>
      </c>
      <c r="S549" s="22">
        <v>16</v>
      </c>
      <c r="T549" s="9">
        <v>160</v>
      </c>
      <c r="U549" s="14" t="s">
        <v>446</v>
      </c>
      <c r="V549" s="12">
        <v>4</v>
      </c>
      <c r="W549" s="75">
        <v>16</v>
      </c>
      <c r="X549" s="76">
        <v>8</v>
      </c>
      <c r="Y549" s="9">
        <v>666.49</v>
      </c>
      <c r="Z549" s="3">
        <v>666.49</v>
      </c>
      <c r="AA549" s="17" t="s">
        <v>842</v>
      </c>
      <c r="AB549" s="18" t="s">
        <v>841</v>
      </c>
      <c r="AC549" s="46" cm="1">
        <f t="array" ref="AC549">(SUMPRODUCT((H549:O549/H$9:O$9)^H$7:O$7*H$2:O$2)+SUMPRODUCT((Q549:T549/Q$9:T$9)^Q$7:T$7*Q$2:T$2))*(0.8^(1-G549))*AC$9</f>
        <v>1.5020578579873916</v>
      </c>
      <c r="AD549" s="48" cm="1">
        <f t="array" ref="AD549">(SUMPRODUCT((H549:O549/H$9:O$9)^H$7:O$7*H$3:O$3)+SUMPRODUCT((Q549:T549/Q$9:T$9)^Q$7:T$7*Q$3:T$3))*(0.1^(1-G549))*AD$9</f>
        <v>0.18486972295392801</v>
      </c>
      <c r="AE549" s="48" cm="1">
        <f t="array" ref="AE549">(SUMPRODUCT((H549:O549/H$9:O$9)^H$7:O$7*H$4:O$4)+SUMPRODUCT((Q549:T549/Q$9:T$9)^Q$7:T$7*Q$4:T$4))*AE$9</f>
        <v>2.2367129835557682</v>
      </c>
      <c r="AF549" s="47" cm="1">
        <f t="array" ref="AF549">(SUMPRODUCT((H549:O549/H$9:O$9)^H$7:O$7*H$5:O$5)+SUMPRODUCT((Q549:T549/Q$9:T$9)^Q$7:T$7*Q$5:T$5))*AF$9</f>
        <v>1.5791109866211881</v>
      </c>
      <c r="AG549" s="50" cm="1">
        <f t="array" ref="AG549">SUMPRODUCT(AC549:AF549 * AC$3:AF$3) / SUM(AC$3:AF$3)</f>
        <v>0.86475720724869753</v>
      </c>
    </row>
    <row r="550" spans="1:33" x14ac:dyDescent="0.25">
      <c r="A550" s="81" t="s">
        <v>838</v>
      </c>
      <c r="B550" s="20" t="s">
        <v>840</v>
      </c>
      <c r="C550" s="4" t="s">
        <v>427</v>
      </c>
      <c r="D550" s="4" t="str">
        <f t="shared" si="8"/>
        <v>MSI</v>
      </c>
      <c r="E550" s="4" t="s">
        <v>8858</v>
      </c>
      <c r="F550" s="14" t="s">
        <v>8893</v>
      </c>
      <c r="G550" s="9">
        <v>0</v>
      </c>
      <c r="H550" s="1">
        <v>21.32</v>
      </c>
      <c r="I550" s="1">
        <v>10.66</v>
      </c>
      <c r="J550" s="1">
        <v>0.67</v>
      </c>
      <c r="K550" s="3">
        <v>2000</v>
      </c>
      <c r="L550" s="13">
        <v>2602</v>
      </c>
      <c r="M550" s="49">
        <v>165.7</v>
      </c>
      <c r="N550" s="1">
        <v>331.4</v>
      </c>
      <c r="O550" s="3">
        <v>32</v>
      </c>
      <c r="P550" s="11" t="s">
        <v>2275</v>
      </c>
      <c r="Q550" s="3">
        <v>8</v>
      </c>
      <c r="R550" s="3">
        <v>128</v>
      </c>
      <c r="S550" s="22">
        <v>16</v>
      </c>
      <c r="T550" s="9">
        <v>160</v>
      </c>
      <c r="U550" s="14" t="s">
        <v>446</v>
      </c>
      <c r="V550" s="12">
        <v>4</v>
      </c>
      <c r="W550" s="75">
        <v>16</v>
      </c>
      <c r="X550" s="76">
        <v>8</v>
      </c>
      <c r="Y550" s="9">
        <v>544.5</v>
      </c>
      <c r="Z550" s="3">
        <v>544.5</v>
      </c>
      <c r="AA550" s="17" t="s">
        <v>839</v>
      </c>
      <c r="AB550" s="18" t="s">
        <v>838</v>
      </c>
      <c r="AC550" s="46" cm="1">
        <f t="array" ref="AC550">(SUMPRODUCT((H550:O550/H$9:O$9)^H$7:O$7*H$2:O$2)+SUMPRODUCT((Q550:T550/Q$9:T$9)^Q$7:T$7*Q$2:T$2))*(0.8^(1-G550))*AC$9</f>
        <v>1.5020578579873916</v>
      </c>
      <c r="AD550" s="48" cm="1">
        <f t="array" ref="AD550">(SUMPRODUCT((H550:O550/H$9:O$9)^H$7:O$7*H$3:O$3)+SUMPRODUCT((Q550:T550/Q$9:T$9)^Q$7:T$7*Q$3:T$3))*(0.1^(1-G550))*AD$9</f>
        <v>0.18486972295392801</v>
      </c>
      <c r="AE550" s="48" cm="1">
        <f t="array" ref="AE550">(SUMPRODUCT((H550:O550/H$9:O$9)^H$7:O$7*H$4:O$4)+SUMPRODUCT((Q550:T550/Q$9:T$9)^Q$7:T$7*Q$4:T$4))*AE$9</f>
        <v>2.2367129835557682</v>
      </c>
      <c r="AF550" s="47" cm="1">
        <f t="array" ref="AF550">(SUMPRODUCT((H550:O550/H$9:O$9)^H$7:O$7*H$5:O$5)+SUMPRODUCT((Q550:T550/Q$9:T$9)^Q$7:T$7*Q$5:T$5))*AF$9</f>
        <v>1.5791109866211881</v>
      </c>
      <c r="AG550" s="50" cm="1">
        <f t="array" ref="AG550">SUMPRODUCT(AC550:AF550 * AC$3:AF$3) / SUM(AC$3:AF$3)</f>
        <v>0.86475720724869753</v>
      </c>
    </row>
    <row r="551" spans="1:33" x14ac:dyDescent="0.25">
      <c r="A551" s="81" t="s">
        <v>1976</v>
      </c>
      <c r="B551" s="20" t="s">
        <v>1978</v>
      </c>
      <c r="C551" s="4" t="s">
        <v>427</v>
      </c>
      <c r="D551" s="4" t="str">
        <f t="shared" si="8"/>
        <v>ASUS</v>
      </c>
      <c r="E551" s="4" t="s">
        <v>8858</v>
      </c>
      <c r="F551" s="14" t="s">
        <v>8894</v>
      </c>
      <c r="G551" s="9">
        <v>0</v>
      </c>
      <c r="H551" s="1">
        <v>22.03</v>
      </c>
      <c r="I551" s="1">
        <v>11.01</v>
      </c>
      <c r="J551" s="1">
        <v>0.69</v>
      </c>
      <c r="K551" s="3">
        <v>2190</v>
      </c>
      <c r="L551" s="13">
        <v>2689</v>
      </c>
      <c r="M551" s="49">
        <v>168.6</v>
      </c>
      <c r="N551" s="1">
        <v>337.2</v>
      </c>
      <c r="O551" s="3">
        <v>32</v>
      </c>
      <c r="P551" s="11" t="s">
        <v>2275</v>
      </c>
      <c r="Q551" s="3">
        <v>8</v>
      </c>
      <c r="R551" s="3">
        <v>128</v>
      </c>
      <c r="S551" s="22">
        <v>17.5</v>
      </c>
      <c r="T551" s="9">
        <v>180</v>
      </c>
      <c r="U551" s="14" t="s">
        <v>446</v>
      </c>
      <c r="V551" s="12">
        <v>4</v>
      </c>
      <c r="W551" s="75">
        <v>16</v>
      </c>
      <c r="X551" s="76">
        <v>8</v>
      </c>
      <c r="Y551" s="9">
        <v>553.05999999999995</v>
      </c>
      <c r="Z551" s="3">
        <v>553.05999999999995</v>
      </c>
      <c r="AA551" s="17" t="s">
        <v>1977</v>
      </c>
      <c r="AB551" s="18" t="s">
        <v>1976</v>
      </c>
      <c r="AC551" s="46" cm="1">
        <f t="array" ref="AC551">(SUMPRODUCT((H551:O551/H$9:O$9)^H$7:O$7*H$2:O$2)+SUMPRODUCT((Q551:T551/Q$9:T$9)^Q$7:T$7*Q$2:T$2))*(0.8^(1-G551))*AC$9</f>
        <v>1.5378156705528832</v>
      </c>
      <c r="AD551" s="48" cm="1">
        <f t="array" ref="AD551">(SUMPRODUCT((H551:O551/H$9:O$9)^H$7:O$7*H$3:O$3)+SUMPRODUCT((Q551:T551/Q$9:T$9)^Q$7:T$7*Q$3:T$3))*(0.1^(1-G551))*AD$9</f>
        <v>0.18930872483299416</v>
      </c>
      <c r="AE551" s="48" cm="1">
        <f t="array" ref="AE551">(SUMPRODUCT((H551:O551/H$9:O$9)^H$7:O$7*H$4:O$4)+SUMPRODUCT((Q551:T551/Q$9:T$9)^Q$7:T$7*Q$4:T$4))*AE$9</f>
        <v>2.2915427739397805</v>
      </c>
      <c r="AF551" s="47" cm="1">
        <f t="array" ref="AF551">(SUMPRODUCT((H551:O551/H$9:O$9)^H$7:O$7*H$5:O$5)+SUMPRODUCT((Q551:T551/Q$9:T$9)^Q$7:T$7*Q$5:T$5))*AF$9</f>
        <v>1.6170402865706941</v>
      </c>
      <c r="AG551" s="50" cm="1">
        <f t="array" ref="AG551">SUMPRODUCT(AC551:AF551 * AC$3:AF$3) / SUM(AC$3:AF$3)</f>
        <v>0.88559670375445743</v>
      </c>
    </row>
    <row r="552" spans="1:33" x14ac:dyDescent="0.25">
      <c r="A552" s="81" t="s">
        <v>1973</v>
      </c>
      <c r="B552" s="20" t="s">
        <v>1975</v>
      </c>
      <c r="C552" s="4" t="s">
        <v>427</v>
      </c>
      <c r="D552" s="4" t="str">
        <f t="shared" si="8"/>
        <v>ASUS</v>
      </c>
      <c r="E552" s="4" t="s">
        <v>8858</v>
      </c>
      <c r="F552" s="14" t="s">
        <v>8894</v>
      </c>
      <c r="G552" s="9">
        <v>0</v>
      </c>
      <c r="H552" s="1">
        <v>22.03</v>
      </c>
      <c r="I552" s="1">
        <v>11.01</v>
      </c>
      <c r="J552" s="1">
        <v>0.69</v>
      </c>
      <c r="K552" s="3">
        <v>2190</v>
      </c>
      <c r="L552" s="13">
        <v>2689</v>
      </c>
      <c r="M552" s="49">
        <v>168.6</v>
      </c>
      <c r="N552" s="1">
        <v>337.2</v>
      </c>
      <c r="O552" s="3">
        <v>32</v>
      </c>
      <c r="P552" s="11" t="s">
        <v>2275</v>
      </c>
      <c r="Q552" s="3">
        <v>8</v>
      </c>
      <c r="R552" s="3">
        <v>128</v>
      </c>
      <c r="S552" s="22">
        <v>17.5</v>
      </c>
      <c r="T552" s="9">
        <v>180</v>
      </c>
      <c r="U552" s="14" t="s">
        <v>446</v>
      </c>
      <c r="V552" s="12">
        <v>4</v>
      </c>
      <c r="W552" s="75">
        <v>16</v>
      </c>
      <c r="X552" s="76">
        <v>8</v>
      </c>
      <c r="Y552" s="9">
        <v>599</v>
      </c>
      <c r="Z552" s="3">
        <v>599</v>
      </c>
      <c r="AA552" s="17" t="s">
        <v>1974</v>
      </c>
      <c r="AB552" s="18" t="s">
        <v>1973</v>
      </c>
      <c r="AC552" s="46" cm="1">
        <f t="array" ref="AC552">(SUMPRODUCT((H552:O552/H$9:O$9)^H$7:O$7*H$2:O$2)+SUMPRODUCT((Q552:T552/Q$9:T$9)^Q$7:T$7*Q$2:T$2))*(0.8^(1-G552))*AC$9</f>
        <v>1.5378156705528832</v>
      </c>
      <c r="AD552" s="48" cm="1">
        <f t="array" ref="AD552">(SUMPRODUCT((H552:O552/H$9:O$9)^H$7:O$7*H$3:O$3)+SUMPRODUCT((Q552:T552/Q$9:T$9)^Q$7:T$7*Q$3:T$3))*(0.1^(1-G552))*AD$9</f>
        <v>0.18930872483299416</v>
      </c>
      <c r="AE552" s="48" cm="1">
        <f t="array" ref="AE552">(SUMPRODUCT((H552:O552/H$9:O$9)^H$7:O$7*H$4:O$4)+SUMPRODUCT((Q552:T552/Q$9:T$9)^Q$7:T$7*Q$4:T$4))*AE$9</f>
        <v>2.2915427739397805</v>
      </c>
      <c r="AF552" s="47" cm="1">
        <f t="array" ref="AF552">(SUMPRODUCT((H552:O552/H$9:O$9)^H$7:O$7*H$5:O$5)+SUMPRODUCT((Q552:T552/Q$9:T$9)^Q$7:T$7*Q$5:T$5))*AF$9</f>
        <v>1.6170402865706941</v>
      </c>
      <c r="AG552" s="50" cm="1">
        <f t="array" ref="AG552">SUMPRODUCT(AC552:AF552 * AC$3:AF$3) / SUM(AC$3:AF$3)</f>
        <v>0.88559670375445743</v>
      </c>
    </row>
    <row r="553" spans="1:33" x14ac:dyDescent="0.25">
      <c r="A553" s="81" t="s">
        <v>1868</v>
      </c>
      <c r="B553" s="20" t="s">
        <v>1870</v>
      </c>
      <c r="C553" s="4" t="s">
        <v>427</v>
      </c>
      <c r="D553" s="4" t="str">
        <f t="shared" si="8"/>
        <v>ASUS</v>
      </c>
      <c r="E553" s="4" t="s">
        <v>8858</v>
      </c>
      <c r="F553" s="14" t="s">
        <v>8894</v>
      </c>
      <c r="G553" s="9">
        <v>0</v>
      </c>
      <c r="H553" s="1">
        <v>22.07</v>
      </c>
      <c r="I553" s="1">
        <v>11.03</v>
      </c>
      <c r="J553" s="1">
        <v>0.69</v>
      </c>
      <c r="K553" s="3">
        <v>2190</v>
      </c>
      <c r="L553" s="13">
        <v>2694</v>
      </c>
      <c r="M553" s="49">
        <v>168.6</v>
      </c>
      <c r="N553" s="1">
        <v>337.2</v>
      </c>
      <c r="O553" s="3">
        <v>32</v>
      </c>
      <c r="P553" s="11" t="s">
        <v>2275</v>
      </c>
      <c r="Q553" s="3">
        <v>8</v>
      </c>
      <c r="R553" s="3">
        <v>128</v>
      </c>
      <c r="S553" s="22">
        <v>17.5</v>
      </c>
      <c r="T553" s="9">
        <v>180</v>
      </c>
      <c r="U553" s="14" t="s">
        <v>446</v>
      </c>
      <c r="V553" s="12">
        <v>4</v>
      </c>
      <c r="W553" s="75">
        <v>16</v>
      </c>
      <c r="X553" s="76">
        <v>8</v>
      </c>
      <c r="Y553" s="9">
        <v>502</v>
      </c>
      <c r="Z553" s="3">
        <v>541.71</v>
      </c>
      <c r="AA553" s="17" t="s">
        <v>1869</v>
      </c>
      <c r="AB553" s="18" t="s">
        <v>1868</v>
      </c>
      <c r="AC553" s="46" cm="1">
        <f t="array" ref="AC553">(SUMPRODUCT((H553:O553/H$9:O$9)^H$7:O$7*H$2:O$2)+SUMPRODUCT((Q553:T553/Q$9:T$9)^Q$7:T$7*Q$2:T$2))*(0.8^(1-G553))*AC$9</f>
        <v>1.5384055805475538</v>
      </c>
      <c r="AD553" s="48" cm="1">
        <f t="array" ref="AD553">(SUMPRODUCT((H553:O553/H$9:O$9)^H$7:O$7*H$3:O$3)+SUMPRODUCT((Q553:T553/Q$9:T$9)^Q$7:T$7*Q$3:T$3))*(0.1^(1-G553))*AD$9</f>
        <v>0.18949118267824036</v>
      </c>
      <c r="AE553" s="48" cm="1">
        <f t="array" ref="AE553">(SUMPRODUCT((H553:O553/H$9:O$9)^H$7:O$7*H$4:O$4)+SUMPRODUCT((Q553:T553/Q$9:T$9)^Q$7:T$7*Q$4:T$4))*AE$9</f>
        <v>2.2919076250560666</v>
      </c>
      <c r="AF553" s="47" cm="1">
        <f t="array" ref="AF553">(SUMPRODUCT((H553:O553/H$9:O$9)^H$7:O$7*H$5:O$5)+SUMPRODUCT((Q553:T553/Q$9:T$9)^Q$7:T$7*Q$5:T$5))*AF$9</f>
        <v>1.6179755556086555</v>
      </c>
      <c r="AG553" s="50" cm="1">
        <f t="array" ref="AG553">SUMPRODUCT(AC553:AF553 * AC$3:AF$3) / SUM(AC$3:AF$3)</f>
        <v>0.88599280474239805</v>
      </c>
    </row>
    <row r="554" spans="1:33" x14ac:dyDescent="0.25">
      <c r="A554" s="81" t="s">
        <v>1865</v>
      </c>
      <c r="B554" s="20" t="s">
        <v>1867</v>
      </c>
      <c r="C554" s="4" t="s">
        <v>427</v>
      </c>
      <c r="D554" s="4" t="str">
        <f t="shared" si="8"/>
        <v>ASUS</v>
      </c>
      <c r="E554" s="4" t="s">
        <v>8858</v>
      </c>
      <c r="F554" s="14" t="s">
        <v>8894</v>
      </c>
      <c r="G554" s="9">
        <v>0</v>
      </c>
      <c r="H554" s="1">
        <v>22.07</v>
      </c>
      <c r="I554" s="1">
        <v>11.03</v>
      </c>
      <c r="J554" s="1">
        <v>0.69</v>
      </c>
      <c r="K554" s="3">
        <v>2190</v>
      </c>
      <c r="L554" s="13">
        <v>2694</v>
      </c>
      <c r="M554" s="49">
        <v>168.6</v>
      </c>
      <c r="N554" s="1">
        <v>337.2</v>
      </c>
      <c r="O554" s="3">
        <v>32</v>
      </c>
      <c r="P554" s="11" t="s">
        <v>2275</v>
      </c>
      <c r="Q554" s="3">
        <v>8</v>
      </c>
      <c r="R554" s="3">
        <v>128</v>
      </c>
      <c r="S554" s="22">
        <v>17.5</v>
      </c>
      <c r="T554" s="9">
        <v>180</v>
      </c>
      <c r="U554" s="14" t="s">
        <v>446</v>
      </c>
      <c r="V554" s="12">
        <v>4</v>
      </c>
      <c r="W554" s="75">
        <v>16</v>
      </c>
      <c r="X554" s="76">
        <v>8</v>
      </c>
      <c r="Y554" s="9">
        <v>691.84</v>
      </c>
      <c r="Z554" s="3">
        <v>691.84</v>
      </c>
      <c r="AA554" s="17" t="s">
        <v>1866</v>
      </c>
      <c r="AB554" s="18" t="s">
        <v>1865</v>
      </c>
      <c r="AC554" s="46" cm="1">
        <f t="array" ref="AC554">(SUMPRODUCT((H554:O554/H$9:O$9)^H$7:O$7*H$2:O$2)+SUMPRODUCT((Q554:T554/Q$9:T$9)^Q$7:T$7*Q$2:T$2))*(0.8^(1-G554))*AC$9</f>
        <v>1.5384055805475538</v>
      </c>
      <c r="AD554" s="48" cm="1">
        <f t="array" ref="AD554">(SUMPRODUCT((H554:O554/H$9:O$9)^H$7:O$7*H$3:O$3)+SUMPRODUCT((Q554:T554/Q$9:T$9)^Q$7:T$7*Q$3:T$3))*(0.1^(1-G554))*AD$9</f>
        <v>0.18949118267824036</v>
      </c>
      <c r="AE554" s="48" cm="1">
        <f t="array" ref="AE554">(SUMPRODUCT((H554:O554/H$9:O$9)^H$7:O$7*H$4:O$4)+SUMPRODUCT((Q554:T554/Q$9:T$9)^Q$7:T$7*Q$4:T$4))*AE$9</f>
        <v>2.2919076250560666</v>
      </c>
      <c r="AF554" s="47" cm="1">
        <f t="array" ref="AF554">(SUMPRODUCT((H554:O554/H$9:O$9)^H$7:O$7*H$5:O$5)+SUMPRODUCT((Q554:T554/Q$9:T$9)^Q$7:T$7*Q$5:T$5))*AF$9</f>
        <v>1.6179755556086555</v>
      </c>
      <c r="AG554" s="50" cm="1">
        <f t="array" ref="AG554">SUMPRODUCT(AC554:AF554 * AC$3:AF$3) / SUM(AC$3:AF$3)</f>
        <v>0.88599280474239805</v>
      </c>
    </row>
    <row r="555" spans="1:33" x14ac:dyDescent="0.25">
      <c r="A555" s="81" t="s">
        <v>835</v>
      </c>
      <c r="B555" s="20" t="s">
        <v>837</v>
      </c>
      <c r="C555" s="4" t="s">
        <v>427</v>
      </c>
      <c r="D555" s="4" t="str">
        <f t="shared" si="8"/>
        <v>MSI</v>
      </c>
      <c r="E555" s="4" t="s">
        <v>8858</v>
      </c>
      <c r="F555" s="14" t="s">
        <v>8894</v>
      </c>
      <c r="G555" s="9">
        <v>0</v>
      </c>
      <c r="H555" s="1">
        <v>22.07</v>
      </c>
      <c r="I555" s="1">
        <v>11.03</v>
      </c>
      <c r="J555" s="1">
        <v>0.69</v>
      </c>
      <c r="K555" s="3">
        <v>2190</v>
      </c>
      <c r="L555" s="13">
        <v>2694</v>
      </c>
      <c r="M555" s="49">
        <v>168.6</v>
      </c>
      <c r="N555" s="1">
        <v>337.2</v>
      </c>
      <c r="O555" s="3">
        <v>32</v>
      </c>
      <c r="P555" s="11" t="s">
        <v>2275</v>
      </c>
      <c r="Q555" s="3">
        <v>8</v>
      </c>
      <c r="R555" s="3">
        <v>128</v>
      </c>
      <c r="S555" s="22">
        <v>17.5</v>
      </c>
      <c r="T555" s="9">
        <v>180</v>
      </c>
      <c r="U555" s="14" t="s">
        <v>446</v>
      </c>
      <c r="V555" s="12">
        <v>4</v>
      </c>
      <c r="W555" s="75">
        <v>16</v>
      </c>
      <c r="X555" s="76">
        <v>8</v>
      </c>
      <c r="Y555" s="9">
        <v>649</v>
      </c>
      <c r="Z555" s="3">
        <v>677.2</v>
      </c>
      <c r="AA555" s="17" t="s">
        <v>836</v>
      </c>
      <c r="AB555" s="18" t="s">
        <v>835</v>
      </c>
      <c r="AC555" s="46" cm="1">
        <f t="array" ref="AC555">(SUMPRODUCT((H555:O555/H$9:O$9)^H$7:O$7*H$2:O$2)+SUMPRODUCT((Q555:T555/Q$9:T$9)^Q$7:T$7*Q$2:T$2))*(0.8^(1-G555))*AC$9</f>
        <v>1.5384055805475538</v>
      </c>
      <c r="AD555" s="48" cm="1">
        <f t="array" ref="AD555">(SUMPRODUCT((H555:O555/H$9:O$9)^H$7:O$7*H$3:O$3)+SUMPRODUCT((Q555:T555/Q$9:T$9)^Q$7:T$7*Q$3:T$3))*(0.1^(1-G555))*AD$9</f>
        <v>0.18949118267824036</v>
      </c>
      <c r="AE555" s="48" cm="1">
        <f t="array" ref="AE555">(SUMPRODUCT((H555:O555/H$9:O$9)^H$7:O$7*H$4:O$4)+SUMPRODUCT((Q555:T555/Q$9:T$9)^Q$7:T$7*Q$4:T$4))*AE$9</f>
        <v>2.2919076250560666</v>
      </c>
      <c r="AF555" s="47" cm="1">
        <f t="array" ref="AF555">(SUMPRODUCT((H555:O555/H$9:O$9)^H$7:O$7*H$5:O$5)+SUMPRODUCT((Q555:T555/Q$9:T$9)^Q$7:T$7*Q$5:T$5))*AF$9</f>
        <v>1.6179755556086555</v>
      </c>
      <c r="AG555" s="50" cm="1">
        <f t="array" ref="AG555">SUMPRODUCT(AC555:AF555 * AC$3:AF$3) / SUM(AC$3:AF$3)</f>
        <v>0.88599280474239805</v>
      </c>
    </row>
    <row r="556" spans="1:33" x14ac:dyDescent="0.25">
      <c r="A556" s="81" t="s">
        <v>832</v>
      </c>
      <c r="B556" s="20" t="s">
        <v>834</v>
      </c>
      <c r="C556" s="4" t="s">
        <v>427</v>
      </c>
      <c r="D556" s="4" t="str">
        <f t="shared" si="8"/>
        <v>MSI</v>
      </c>
      <c r="E556" s="4" t="s">
        <v>8858</v>
      </c>
      <c r="F556" s="14" t="s">
        <v>8894</v>
      </c>
      <c r="G556" s="9">
        <v>0</v>
      </c>
      <c r="H556" s="1">
        <v>21.86</v>
      </c>
      <c r="I556" s="1">
        <v>10.93</v>
      </c>
      <c r="J556" s="1">
        <v>0.68</v>
      </c>
      <c r="K556" s="3">
        <v>2190</v>
      </c>
      <c r="L556" s="13">
        <v>2669</v>
      </c>
      <c r="M556" s="49">
        <v>168.6</v>
      </c>
      <c r="N556" s="1">
        <v>337.2</v>
      </c>
      <c r="O556" s="3">
        <v>32</v>
      </c>
      <c r="P556" s="11" t="s">
        <v>2275</v>
      </c>
      <c r="Q556" s="3">
        <v>8</v>
      </c>
      <c r="R556" s="3">
        <v>128</v>
      </c>
      <c r="S556" s="22">
        <v>17.5</v>
      </c>
      <c r="T556" s="9">
        <v>180</v>
      </c>
      <c r="U556" s="14" t="s">
        <v>446</v>
      </c>
      <c r="V556" s="12">
        <v>4</v>
      </c>
      <c r="W556" s="75">
        <v>16</v>
      </c>
      <c r="X556" s="76">
        <v>8</v>
      </c>
      <c r="Y556" s="9">
        <v>835.3</v>
      </c>
      <c r="Z556" s="3">
        <v>864.02</v>
      </c>
      <c r="AA556" s="17" t="s">
        <v>833</v>
      </c>
      <c r="AB556" s="18" t="s">
        <v>832</v>
      </c>
      <c r="AC556" s="46" cm="1">
        <f t="array" ref="AC556">(SUMPRODUCT((H556:O556/H$9:O$9)^H$7:O$7*H$2:O$2)+SUMPRODUCT((Q556:T556/Q$9:T$9)^Q$7:T$7*Q$2:T$2))*(0.8^(1-G556))*AC$9</f>
        <v>1.5354549355155784</v>
      </c>
      <c r="AD556" s="48" cm="1">
        <f t="array" ref="AD556">(SUMPRODUCT((H556:O556/H$9:O$9)^H$7:O$7*H$3:O$3)+SUMPRODUCT((Q556:T556/Q$9:T$9)^Q$7:T$7*Q$3:T$3))*(0.1^(1-G556))*AD$9</f>
        <v>0.18829580107445307</v>
      </c>
      <c r="AE556" s="48" cm="1">
        <f t="array" ref="AE556">(SUMPRODUCT((H556:O556/H$9:O$9)^H$7:O$7*H$4:O$4)+SUMPRODUCT((Q556:T556/Q$9:T$9)^Q$7:T$7*Q$4:T$4))*AE$9</f>
        <v>2.2724261209310579</v>
      </c>
      <c r="AF556" s="47" cm="1">
        <f t="array" ref="AF556">(SUMPRODUCT((H556:O556/H$9:O$9)^H$7:O$7*H$5:O$5)+SUMPRODUCT((Q556:T556/Q$9:T$9)^Q$7:T$7*Q$5:T$5))*AF$9</f>
        <v>1.6132466259803802</v>
      </c>
      <c r="AG556" s="50" cm="1">
        <f t="array" ref="AG556">SUMPRODUCT(AC556:AF556 * AC$3:AF$3) / SUM(AC$3:AF$3)</f>
        <v>0.88188416317191787</v>
      </c>
    </row>
    <row r="557" spans="1:33" x14ac:dyDescent="0.25">
      <c r="A557" s="81" t="s">
        <v>1970</v>
      </c>
      <c r="B557" s="20" t="s">
        <v>1972</v>
      </c>
      <c r="C557" s="4" t="s">
        <v>427</v>
      </c>
      <c r="D557" s="4" t="str">
        <f t="shared" si="8"/>
        <v>ASUS</v>
      </c>
      <c r="E557" s="4" t="s">
        <v>8858</v>
      </c>
      <c r="F557" s="14" t="s">
        <v>8895</v>
      </c>
      <c r="G557" s="9">
        <v>0</v>
      </c>
      <c r="H557" s="1">
        <v>26.43</v>
      </c>
      <c r="I557" s="1">
        <v>13.21</v>
      </c>
      <c r="J557" s="1">
        <v>0.83</v>
      </c>
      <c r="K557" s="3">
        <v>2000</v>
      </c>
      <c r="L557" s="13">
        <v>2581</v>
      </c>
      <c r="M557" s="49">
        <v>165.2</v>
      </c>
      <c r="N557" s="1">
        <v>413</v>
      </c>
      <c r="O557" s="3">
        <v>40</v>
      </c>
      <c r="P557" s="11" t="s">
        <v>2275</v>
      </c>
      <c r="Q557" s="3">
        <v>12</v>
      </c>
      <c r="R557" s="3">
        <v>192</v>
      </c>
      <c r="S557" s="22">
        <v>16</v>
      </c>
      <c r="T557" s="9">
        <v>230</v>
      </c>
      <c r="U557" s="14" t="s">
        <v>793</v>
      </c>
      <c r="V557" s="12">
        <v>4</v>
      </c>
      <c r="W557" s="75">
        <v>16</v>
      </c>
      <c r="X557" s="76">
        <v>16</v>
      </c>
      <c r="Y557" s="9">
        <v>1326.07</v>
      </c>
      <c r="Z557" s="3">
        <v>1326.07</v>
      </c>
      <c r="AA557" s="17" t="s">
        <v>1971</v>
      </c>
      <c r="AB557" s="18" t="s">
        <v>1970</v>
      </c>
      <c r="AC557" s="46" cm="1">
        <f t="array" ref="AC557">(SUMPRODUCT((H557:O557/H$9:O$9)^H$7:O$7*H$2:O$2)+SUMPRODUCT((Q557:T557/Q$9:T$9)^Q$7:T$7*Q$2:T$2))*(0.8^(1-G557))*AC$9</f>
        <v>1.6524203091199177</v>
      </c>
      <c r="AD557" s="48" cm="1">
        <f t="array" ref="AD557">(SUMPRODUCT((H557:O557/H$9:O$9)^H$7:O$7*H$3:O$3)+SUMPRODUCT((Q557:T557/Q$9:T$9)^Q$7:T$7*Q$3:T$3))*(0.1^(1-G557))*AD$9</f>
        <v>0.22141150731965978</v>
      </c>
      <c r="AE557" s="48" cm="1">
        <f t="array" ref="AE557">(SUMPRODUCT((H557:O557/H$9:O$9)^H$7:O$7*H$4:O$4)+SUMPRODUCT((Q557:T557/Q$9:T$9)^Q$7:T$7*Q$4:T$4))*AE$9</f>
        <v>2.6811075266919859</v>
      </c>
      <c r="AF557" s="47" cm="1">
        <f t="array" ref="AF557">(SUMPRODUCT((H557:O557/H$9:O$9)^H$7:O$7*H$5:O$5)+SUMPRODUCT((Q557:T557/Q$9:T$9)^Q$7:T$7*Q$5:T$5))*AF$9</f>
        <v>1.8044842725812651</v>
      </c>
      <c r="AG557" s="50" cm="1">
        <f t="array" ref="AG557">SUMPRODUCT(AC557:AF557 * AC$3:AF$3) / SUM(AC$3:AF$3)</f>
        <v>0.99705799287134</v>
      </c>
    </row>
    <row r="558" spans="1:33" x14ac:dyDescent="0.25">
      <c r="A558" s="81" t="s">
        <v>1967</v>
      </c>
      <c r="B558" s="20" t="s">
        <v>1969</v>
      </c>
      <c r="C558" s="4" t="s">
        <v>427</v>
      </c>
      <c r="D558" s="4" t="str">
        <f t="shared" si="8"/>
        <v>ASUS</v>
      </c>
      <c r="E558" s="4" t="s">
        <v>8858</v>
      </c>
      <c r="F558" s="14" t="s">
        <v>8895</v>
      </c>
      <c r="G558" s="9">
        <v>0</v>
      </c>
      <c r="H558" s="1">
        <v>26.85</v>
      </c>
      <c r="I558" s="1">
        <v>13.42</v>
      </c>
      <c r="J558" s="1">
        <v>0.84</v>
      </c>
      <c r="K558" s="3">
        <v>2000</v>
      </c>
      <c r="L558" s="13">
        <v>2622</v>
      </c>
      <c r="M558" s="49">
        <v>165.2</v>
      </c>
      <c r="N558" s="1">
        <v>413</v>
      </c>
      <c r="O558" s="3">
        <v>40</v>
      </c>
      <c r="P558" s="11" t="s">
        <v>2275</v>
      </c>
      <c r="Q558" s="3">
        <v>12</v>
      </c>
      <c r="R558" s="3">
        <v>192</v>
      </c>
      <c r="S558" s="22">
        <v>16</v>
      </c>
      <c r="T558" s="9">
        <v>230</v>
      </c>
      <c r="U558" s="14" t="s">
        <v>793</v>
      </c>
      <c r="V558" s="12">
        <v>4</v>
      </c>
      <c r="W558" s="75">
        <v>16</v>
      </c>
      <c r="X558" s="76">
        <v>16</v>
      </c>
      <c r="Y558" s="9">
        <v>959.02</v>
      </c>
      <c r="Z558" s="3">
        <v>959.02</v>
      </c>
      <c r="AA558" s="17" t="s">
        <v>1968</v>
      </c>
      <c r="AB558" s="18" t="s">
        <v>1967</v>
      </c>
      <c r="AC558" s="46" cm="1">
        <f t="array" ref="AC558">(SUMPRODUCT((H558:O558/H$9:O$9)^H$7:O$7*H$2:O$2)+SUMPRODUCT((Q558:T558/Q$9:T$9)^Q$7:T$7*Q$2:T$2))*(0.8^(1-G558))*AC$9</f>
        <v>1.6574759692720602</v>
      </c>
      <c r="AD558" s="48" cm="1">
        <f t="array" ref="AD558">(SUMPRODUCT((H558:O558/H$9:O$9)^H$7:O$7*H$3:O$3)+SUMPRODUCT((Q558:T558/Q$9:T$9)^Q$7:T$7*Q$3:T$3))*(0.1^(1-G558))*AD$9</f>
        <v>0.2234965294038129</v>
      </c>
      <c r="AE558" s="48" cm="1">
        <f t="array" ref="AE558">(SUMPRODUCT((H558:O558/H$9:O$9)^H$7:O$7*H$4:O$4)+SUMPRODUCT((Q558:T558/Q$9:T$9)^Q$7:T$7*Q$4:T$4))*AE$9</f>
        <v>2.701837666734205</v>
      </c>
      <c r="AF558" s="47" cm="1">
        <f t="array" ref="AF558">(SUMPRODUCT((H558:O558/H$9:O$9)^H$7:O$7*H$5:O$5)+SUMPRODUCT((Q558:T558/Q$9:T$9)^Q$7:T$7*Q$5:T$5))*AF$9</f>
        <v>1.8135897961517258</v>
      </c>
      <c r="AG558" s="50" cm="1">
        <f t="array" ref="AG558">SUMPRODUCT(AC558:AF558 * AC$3:AF$3) / SUM(AC$3:AF$3)</f>
        <v>1.0028798846543276</v>
      </c>
    </row>
    <row r="559" spans="1:33" x14ac:dyDescent="0.25">
      <c r="A559" s="81" t="s">
        <v>1862</v>
      </c>
      <c r="B559" s="20" t="s">
        <v>1864</v>
      </c>
      <c r="C559" s="4" t="s">
        <v>427</v>
      </c>
      <c r="D559" s="4" t="str">
        <f t="shared" si="8"/>
        <v>ASUS</v>
      </c>
      <c r="E559" s="4" t="s">
        <v>8858</v>
      </c>
      <c r="F559" s="14" t="s">
        <v>8895</v>
      </c>
      <c r="G559" s="9">
        <v>0</v>
      </c>
      <c r="H559" s="1">
        <v>26.85</v>
      </c>
      <c r="I559" s="1">
        <v>13.42</v>
      </c>
      <c r="J559" s="1">
        <v>0.84</v>
      </c>
      <c r="K559" s="3">
        <v>2000</v>
      </c>
      <c r="L559" s="13">
        <v>2622</v>
      </c>
      <c r="M559" s="49">
        <v>165.2</v>
      </c>
      <c r="N559" s="1">
        <v>413</v>
      </c>
      <c r="O559" s="3">
        <v>40</v>
      </c>
      <c r="P559" s="11" t="s">
        <v>2275</v>
      </c>
      <c r="Q559" s="3">
        <v>12</v>
      </c>
      <c r="R559" s="3">
        <v>192</v>
      </c>
      <c r="S559" s="22">
        <v>16</v>
      </c>
      <c r="T559" s="9">
        <v>230</v>
      </c>
      <c r="U559" s="14" t="s">
        <v>576</v>
      </c>
      <c r="V559" s="12">
        <v>4</v>
      </c>
      <c r="W559" s="75">
        <v>16</v>
      </c>
      <c r="X559" s="76">
        <v>16</v>
      </c>
      <c r="Y559" s="9">
        <v>730.89</v>
      </c>
      <c r="Z559" s="3">
        <v>730.89</v>
      </c>
      <c r="AA559" s="17" t="s">
        <v>1863</v>
      </c>
      <c r="AB559" s="18" t="s">
        <v>1862</v>
      </c>
      <c r="AC559" s="46" cm="1">
        <f t="array" ref="AC559">(SUMPRODUCT((H559:O559/H$9:O$9)^H$7:O$7*H$2:O$2)+SUMPRODUCT((Q559:T559/Q$9:T$9)^Q$7:T$7*Q$2:T$2))*(0.8^(1-G559))*AC$9</f>
        <v>1.6574759692720602</v>
      </c>
      <c r="AD559" s="48" cm="1">
        <f t="array" ref="AD559">(SUMPRODUCT((H559:O559/H$9:O$9)^H$7:O$7*H$3:O$3)+SUMPRODUCT((Q559:T559/Q$9:T$9)^Q$7:T$7*Q$3:T$3))*(0.1^(1-G559))*AD$9</f>
        <v>0.2234965294038129</v>
      </c>
      <c r="AE559" s="48" cm="1">
        <f t="array" ref="AE559">(SUMPRODUCT((H559:O559/H$9:O$9)^H$7:O$7*H$4:O$4)+SUMPRODUCT((Q559:T559/Q$9:T$9)^Q$7:T$7*Q$4:T$4))*AE$9</f>
        <v>2.701837666734205</v>
      </c>
      <c r="AF559" s="47" cm="1">
        <f t="array" ref="AF559">(SUMPRODUCT((H559:O559/H$9:O$9)^H$7:O$7*H$5:O$5)+SUMPRODUCT((Q559:T559/Q$9:T$9)^Q$7:T$7*Q$5:T$5))*AF$9</f>
        <v>1.8135897961517258</v>
      </c>
      <c r="AG559" s="50" cm="1">
        <f t="array" ref="AG559">SUMPRODUCT(AC559:AF559 * AC$3:AF$3) / SUM(AC$3:AF$3)</f>
        <v>1.0028798846543276</v>
      </c>
    </row>
    <row r="560" spans="1:33" x14ac:dyDescent="0.25">
      <c r="A560" s="81" t="s">
        <v>1728</v>
      </c>
      <c r="B560" s="20" t="s">
        <v>1730</v>
      </c>
      <c r="C560" s="4" t="s">
        <v>427</v>
      </c>
      <c r="D560" s="4" t="str">
        <f t="shared" si="8"/>
        <v>ASUS</v>
      </c>
      <c r="E560" s="4" t="s">
        <v>8858</v>
      </c>
      <c r="F560" s="14" t="s">
        <v>8895</v>
      </c>
      <c r="G560" s="9">
        <v>0</v>
      </c>
      <c r="H560" s="1">
        <v>26.85</v>
      </c>
      <c r="I560" s="1">
        <v>13.42</v>
      </c>
      <c r="J560" s="1">
        <v>0.84</v>
      </c>
      <c r="K560" s="3">
        <v>2000</v>
      </c>
      <c r="L560" s="13">
        <v>2622</v>
      </c>
      <c r="M560" s="49">
        <v>165.2</v>
      </c>
      <c r="N560" s="1">
        <v>413</v>
      </c>
      <c r="O560" s="3">
        <v>40</v>
      </c>
      <c r="P560" s="11" t="s">
        <v>2275</v>
      </c>
      <c r="Q560" s="3">
        <v>12</v>
      </c>
      <c r="R560" s="3">
        <v>192</v>
      </c>
      <c r="S560" s="22">
        <v>16</v>
      </c>
      <c r="T560" s="9">
        <v>230</v>
      </c>
      <c r="U560" s="14" t="s">
        <v>576</v>
      </c>
      <c r="V560" s="12">
        <v>4</v>
      </c>
      <c r="W560" s="75">
        <v>16</v>
      </c>
      <c r="X560" s="76">
        <v>16</v>
      </c>
      <c r="Y560" s="9">
        <v>1343</v>
      </c>
      <c r="Z560" s="3">
        <v>2206.98</v>
      </c>
      <c r="AA560" s="17" t="s">
        <v>1729</v>
      </c>
      <c r="AB560" s="18" t="s">
        <v>1728</v>
      </c>
      <c r="AC560" s="46" cm="1">
        <f t="array" ref="AC560">(SUMPRODUCT((H560:O560/H$9:O$9)^H$7:O$7*H$2:O$2)+SUMPRODUCT((Q560:T560/Q$9:T$9)^Q$7:T$7*Q$2:T$2))*(0.8^(1-G560))*AC$9</f>
        <v>1.6574759692720602</v>
      </c>
      <c r="AD560" s="48" cm="1">
        <f t="array" ref="AD560">(SUMPRODUCT((H560:O560/H$9:O$9)^H$7:O$7*H$3:O$3)+SUMPRODUCT((Q560:T560/Q$9:T$9)^Q$7:T$7*Q$3:T$3))*(0.1^(1-G560))*AD$9</f>
        <v>0.2234965294038129</v>
      </c>
      <c r="AE560" s="48" cm="1">
        <f t="array" ref="AE560">(SUMPRODUCT((H560:O560/H$9:O$9)^H$7:O$7*H$4:O$4)+SUMPRODUCT((Q560:T560/Q$9:T$9)^Q$7:T$7*Q$4:T$4))*AE$9</f>
        <v>2.701837666734205</v>
      </c>
      <c r="AF560" s="47" cm="1">
        <f t="array" ref="AF560">(SUMPRODUCT((H560:O560/H$9:O$9)^H$7:O$7*H$5:O$5)+SUMPRODUCT((Q560:T560/Q$9:T$9)^Q$7:T$7*Q$5:T$5))*AF$9</f>
        <v>1.8135897961517258</v>
      </c>
      <c r="AG560" s="50" cm="1">
        <f t="array" ref="AG560">SUMPRODUCT(AC560:AF560 * AC$3:AF$3) / SUM(AC$3:AF$3)</f>
        <v>1.0028798846543276</v>
      </c>
    </row>
    <row r="561" spans="1:33" x14ac:dyDescent="0.25">
      <c r="A561" s="81" t="s">
        <v>1367</v>
      </c>
      <c r="B561" s="20" t="s">
        <v>1369</v>
      </c>
      <c r="C561" s="4" t="s">
        <v>427</v>
      </c>
      <c r="D561" s="4" t="str">
        <f t="shared" si="8"/>
        <v>GIGABYTE</v>
      </c>
      <c r="E561" s="4" t="s">
        <v>8858</v>
      </c>
      <c r="F561" s="14" t="s">
        <v>8895</v>
      </c>
      <c r="G561" s="9">
        <v>0</v>
      </c>
      <c r="H561" s="1">
        <v>26.85</v>
      </c>
      <c r="I561" s="1">
        <v>13.42</v>
      </c>
      <c r="J561" s="1">
        <v>0.84</v>
      </c>
      <c r="K561" s="3">
        <v>2000</v>
      </c>
      <c r="L561" s="13">
        <v>2622</v>
      </c>
      <c r="M561" s="49">
        <v>165.2</v>
      </c>
      <c r="N561" s="1">
        <v>413</v>
      </c>
      <c r="O561" s="3">
        <v>40</v>
      </c>
      <c r="P561" s="11" t="s">
        <v>2275</v>
      </c>
      <c r="Q561" s="3">
        <v>12</v>
      </c>
      <c r="R561" s="3">
        <v>192</v>
      </c>
      <c r="S561" s="22">
        <v>16</v>
      </c>
      <c r="T561" s="9">
        <v>230</v>
      </c>
      <c r="U561" s="14" t="s">
        <v>793</v>
      </c>
      <c r="V561" s="12">
        <v>4</v>
      </c>
      <c r="W561" s="75">
        <v>16</v>
      </c>
      <c r="X561" s="76">
        <v>16</v>
      </c>
      <c r="Y561" s="9">
        <v>702.35</v>
      </c>
      <c r="Z561" s="3">
        <v>1415.41</v>
      </c>
      <c r="AA561" s="17" t="s">
        <v>1368</v>
      </c>
      <c r="AB561" s="18" t="s">
        <v>1367</v>
      </c>
      <c r="AC561" s="46" cm="1">
        <f t="array" ref="AC561">(SUMPRODUCT((H561:O561/H$9:O$9)^H$7:O$7*H$2:O$2)+SUMPRODUCT((Q561:T561/Q$9:T$9)^Q$7:T$7*Q$2:T$2))*(0.8^(1-G561))*AC$9</f>
        <v>1.6574759692720602</v>
      </c>
      <c r="AD561" s="48" cm="1">
        <f t="array" ref="AD561">(SUMPRODUCT((H561:O561/H$9:O$9)^H$7:O$7*H$3:O$3)+SUMPRODUCT((Q561:T561/Q$9:T$9)^Q$7:T$7*Q$3:T$3))*(0.1^(1-G561))*AD$9</f>
        <v>0.2234965294038129</v>
      </c>
      <c r="AE561" s="48" cm="1">
        <f t="array" ref="AE561">(SUMPRODUCT((H561:O561/H$9:O$9)^H$7:O$7*H$4:O$4)+SUMPRODUCT((Q561:T561/Q$9:T$9)^Q$7:T$7*Q$4:T$4))*AE$9</f>
        <v>2.701837666734205</v>
      </c>
      <c r="AF561" s="47" cm="1">
        <f t="array" ref="AF561">(SUMPRODUCT((H561:O561/H$9:O$9)^H$7:O$7*H$5:O$5)+SUMPRODUCT((Q561:T561/Q$9:T$9)^Q$7:T$7*Q$5:T$5))*AF$9</f>
        <v>1.8135897961517258</v>
      </c>
      <c r="AG561" s="50" cm="1">
        <f t="array" ref="AG561">SUMPRODUCT(AC561:AF561 * AC$3:AF$3) / SUM(AC$3:AF$3)</f>
        <v>1.0028798846543276</v>
      </c>
    </row>
    <row r="562" spans="1:33" x14ac:dyDescent="0.25">
      <c r="A562" s="81" t="s">
        <v>829</v>
      </c>
      <c r="B562" s="20" t="s">
        <v>831</v>
      </c>
      <c r="C562" s="4" t="s">
        <v>427</v>
      </c>
      <c r="D562" s="4" t="str">
        <f t="shared" si="8"/>
        <v>MSI</v>
      </c>
      <c r="E562" s="4" t="s">
        <v>8858</v>
      </c>
      <c r="F562" s="14" t="s">
        <v>8895</v>
      </c>
      <c r="G562" s="9">
        <v>0</v>
      </c>
      <c r="H562" s="1">
        <v>26.85</v>
      </c>
      <c r="I562" s="1">
        <v>13.42</v>
      </c>
      <c r="J562" s="1">
        <v>0.84</v>
      </c>
      <c r="K562" s="3">
        <v>2000</v>
      </c>
      <c r="L562" s="13">
        <v>2622</v>
      </c>
      <c r="M562" s="49">
        <v>165.2</v>
      </c>
      <c r="N562" s="1">
        <v>413</v>
      </c>
      <c r="O562" s="3">
        <v>40</v>
      </c>
      <c r="P562" s="11" t="s">
        <v>2275</v>
      </c>
      <c r="Q562" s="3">
        <v>12</v>
      </c>
      <c r="R562" s="3">
        <v>192</v>
      </c>
      <c r="S562" s="22">
        <v>16</v>
      </c>
      <c r="T562" s="9">
        <v>230</v>
      </c>
      <c r="U562" s="14" t="s">
        <v>576</v>
      </c>
      <c r="V562" s="12">
        <v>4</v>
      </c>
      <c r="W562" s="75">
        <v>16</v>
      </c>
      <c r="X562" s="76">
        <v>16</v>
      </c>
      <c r="Y562" s="9">
        <v>641.04</v>
      </c>
      <c r="Z562" s="3">
        <v>641.04</v>
      </c>
      <c r="AA562" s="17" t="s">
        <v>830</v>
      </c>
      <c r="AB562" s="18" t="s">
        <v>829</v>
      </c>
      <c r="AC562" s="46" cm="1">
        <f t="array" ref="AC562">(SUMPRODUCT((H562:O562/H$9:O$9)^H$7:O$7*H$2:O$2)+SUMPRODUCT((Q562:T562/Q$9:T$9)^Q$7:T$7*Q$2:T$2))*(0.8^(1-G562))*AC$9</f>
        <v>1.6574759692720602</v>
      </c>
      <c r="AD562" s="48" cm="1">
        <f t="array" ref="AD562">(SUMPRODUCT((H562:O562/H$9:O$9)^H$7:O$7*H$3:O$3)+SUMPRODUCT((Q562:T562/Q$9:T$9)^Q$7:T$7*Q$3:T$3))*(0.1^(1-G562))*AD$9</f>
        <v>0.2234965294038129</v>
      </c>
      <c r="AE562" s="48" cm="1">
        <f t="array" ref="AE562">(SUMPRODUCT((H562:O562/H$9:O$9)^H$7:O$7*H$4:O$4)+SUMPRODUCT((Q562:T562/Q$9:T$9)^Q$7:T$7*Q$4:T$4))*AE$9</f>
        <v>2.701837666734205</v>
      </c>
      <c r="AF562" s="47" cm="1">
        <f t="array" ref="AF562">(SUMPRODUCT((H562:O562/H$9:O$9)^H$7:O$7*H$5:O$5)+SUMPRODUCT((Q562:T562/Q$9:T$9)^Q$7:T$7*Q$5:T$5))*AF$9</f>
        <v>1.8135897961517258</v>
      </c>
      <c r="AG562" s="50" cm="1">
        <f t="array" ref="AG562">SUMPRODUCT(AC562:AF562 * AC$3:AF$3) / SUM(AC$3:AF$3)</f>
        <v>1.0028798846543276</v>
      </c>
    </row>
    <row r="563" spans="1:33" x14ac:dyDescent="0.25">
      <c r="A563" s="81" t="s">
        <v>826</v>
      </c>
      <c r="B563" s="20" t="s">
        <v>828</v>
      </c>
      <c r="C563" s="4" t="s">
        <v>427</v>
      </c>
      <c r="D563" s="4" t="str">
        <f t="shared" si="8"/>
        <v>MSI</v>
      </c>
      <c r="E563" s="4" t="s">
        <v>8858</v>
      </c>
      <c r="F563" s="14" t="s">
        <v>8895</v>
      </c>
      <c r="G563" s="9">
        <v>0</v>
      </c>
      <c r="H563" s="1">
        <v>26.83</v>
      </c>
      <c r="I563" s="1">
        <v>13.41</v>
      </c>
      <c r="J563" s="1">
        <v>0.84</v>
      </c>
      <c r="K563" s="3">
        <v>2000</v>
      </c>
      <c r="L563" s="13">
        <v>2620</v>
      </c>
      <c r="M563" s="49">
        <v>165.2</v>
      </c>
      <c r="N563" s="1">
        <v>413</v>
      </c>
      <c r="O563" s="3">
        <v>40</v>
      </c>
      <c r="P563" s="11" t="s">
        <v>2275</v>
      </c>
      <c r="Q563" s="3">
        <v>12</v>
      </c>
      <c r="R563" s="3">
        <v>192</v>
      </c>
      <c r="S563" s="22">
        <v>16</v>
      </c>
      <c r="T563" s="9">
        <v>230</v>
      </c>
      <c r="U563" s="14" t="s">
        <v>576</v>
      </c>
      <c r="V563" s="12">
        <v>4</v>
      </c>
      <c r="W563" s="75">
        <v>16</v>
      </c>
      <c r="X563" s="76">
        <v>16</v>
      </c>
      <c r="Y563" s="9">
        <v>725.87</v>
      </c>
      <c r="Z563" s="3">
        <v>725.87</v>
      </c>
      <c r="AA563" s="17" t="s">
        <v>827</v>
      </c>
      <c r="AB563" s="18" t="s">
        <v>826</v>
      </c>
      <c r="AC563" s="46" cm="1">
        <f t="array" ref="AC563">(SUMPRODUCT((H563:O563/H$9:O$9)^H$7:O$7*H$2:O$2)+SUMPRODUCT((Q563:T563/Q$9:T$9)^Q$7:T$7*Q$2:T$2))*(0.8^(1-G563))*AC$9</f>
        <v>1.6572306995546793</v>
      </c>
      <c r="AD563" s="48" cm="1">
        <f t="array" ref="AD563">(SUMPRODUCT((H563:O563/H$9:O$9)^H$7:O$7*H$3:O$3)+SUMPRODUCT((Q563:T563/Q$9:T$9)^Q$7:T$7*Q$3:T$3))*(0.1^(1-G563))*AD$9</f>
        <v>0.22340875773118263</v>
      </c>
      <c r="AE563" s="48" cm="1">
        <f t="array" ref="AE563">(SUMPRODUCT((H563:O563/H$9:O$9)^H$7:O$7*H$4:O$4)+SUMPRODUCT((Q563:T563/Q$9:T$9)^Q$7:T$7*Q$4:T$4))*AE$9</f>
        <v>2.7016587937428209</v>
      </c>
      <c r="AF563" s="47" cm="1">
        <f t="array" ref="AF563">(SUMPRODUCT((H563:O563/H$9:O$9)^H$7:O$7*H$5:O$5)+SUMPRODUCT((Q563:T563/Q$9:T$9)^Q$7:T$7*Q$5:T$5))*AF$9</f>
        <v>1.8131542092298398</v>
      </c>
      <c r="AG563" s="50" cm="1">
        <f t="array" ref="AG563">SUMPRODUCT(AC563:AF563 * AC$3:AF$3) / SUM(AC$3:AF$3)</f>
        <v>1.0026977717306125</v>
      </c>
    </row>
    <row r="564" spans="1:33" x14ac:dyDescent="0.25">
      <c r="A564" s="81" t="s">
        <v>823</v>
      </c>
      <c r="B564" s="20" t="s">
        <v>825</v>
      </c>
      <c r="C564" s="4" t="s">
        <v>427</v>
      </c>
      <c r="D564" s="4" t="str">
        <f t="shared" si="8"/>
        <v>MSI</v>
      </c>
      <c r="E564" s="4" t="s">
        <v>8858</v>
      </c>
      <c r="F564" s="14" t="s">
        <v>8895</v>
      </c>
      <c r="G564" s="9">
        <v>0</v>
      </c>
      <c r="H564" s="1">
        <v>26.43</v>
      </c>
      <c r="I564" s="1">
        <v>13.21</v>
      </c>
      <c r="J564" s="1">
        <v>0.83</v>
      </c>
      <c r="K564" s="3">
        <v>2000</v>
      </c>
      <c r="L564" s="13">
        <v>2424</v>
      </c>
      <c r="M564" s="49">
        <v>165.2</v>
      </c>
      <c r="N564" s="1">
        <v>413</v>
      </c>
      <c r="O564" s="3">
        <v>40</v>
      </c>
      <c r="P564" s="11" t="s">
        <v>2275</v>
      </c>
      <c r="Q564" s="3">
        <v>12</v>
      </c>
      <c r="R564" s="3">
        <v>192</v>
      </c>
      <c r="S564" s="22">
        <v>16</v>
      </c>
      <c r="T564" s="9">
        <v>230</v>
      </c>
      <c r="U564" s="14" t="s">
        <v>576</v>
      </c>
      <c r="V564" s="12">
        <v>4</v>
      </c>
      <c r="W564" s="75">
        <v>16</v>
      </c>
      <c r="X564" s="76">
        <v>16</v>
      </c>
      <c r="Y564" s="9">
        <v>604.69000000000005</v>
      </c>
      <c r="Z564" s="3">
        <v>604.69000000000005</v>
      </c>
      <c r="AA564" s="17" t="s">
        <v>824</v>
      </c>
      <c r="AB564" s="18" t="s">
        <v>823</v>
      </c>
      <c r="AC564" s="46" cm="1">
        <f t="array" ref="AC564">(SUMPRODUCT((H564:O564/H$9:O$9)^H$7:O$7*H$2:O$2)+SUMPRODUCT((Q564:T564/Q$9:T$9)^Q$7:T$7*Q$2:T$2))*(0.8^(1-G564))*AC$9</f>
        <v>1.6368388421953473</v>
      </c>
      <c r="AD564" s="48" cm="1">
        <f t="array" ref="AD564">(SUMPRODUCT((H564:O564/H$9:O$9)^H$7:O$7*H$3:O$3)+SUMPRODUCT((Q564:T564/Q$9:T$9)^Q$7:T$7*Q$3:T$3))*(0.1^(1-G564))*AD$9</f>
        <v>0.2210219706465455</v>
      </c>
      <c r="AE564" s="48" cm="1">
        <f t="array" ref="AE564">(SUMPRODUCT((H564:O564/H$9:O$9)^H$7:O$7*H$4:O$4)+SUMPRODUCT((Q564:T564/Q$9:T$9)^Q$7:T$7*Q$4:T$4))*AE$9</f>
        <v>2.6811075266919859</v>
      </c>
      <c r="AF564" s="47" cm="1">
        <f t="array" ref="AF564">(SUMPRODUCT((H564:O564/H$9:O$9)^H$7:O$7*H$5:O$5)+SUMPRODUCT((Q564:T564/Q$9:T$9)^Q$7:T$7*Q$5:T$5))*AF$9</f>
        <v>1.7966935391189798</v>
      </c>
      <c r="AG564" s="50" cm="1">
        <f t="array" ref="AG564">SUMPRODUCT(AC564:AF564 * AC$3:AF$3) / SUM(AC$3:AF$3)</f>
        <v>0.99294621687735607</v>
      </c>
    </row>
    <row r="565" spans="1:33" x14ac:dyDescent="0.25">
      <c r="A565" s="81" t="s">
        <v>1964</v>
      </c>
      <c r="B565" s="20" t="s">
        <v>1966</v>
      </c>
      <c r="C565" s="4" t="s">
        <v>427</v>
      </c>
      <c r="D565" s="4" t="str">
        <f t="shared" si="8"/>
        <v>ASUS</v>
      </c>
      <c r="E565" s="4" t="s">
        <v>8858</v>
      </c>
      <c r="F565" s="14" t="s">
        <v>8896</v>
      </c>
      <c r="G565" s="9">
        <v>0</v>
      </c>
      <c r="H565" s="1">
        <v>26.81</v>
      </c>
      <c r="I565" s="1">
        <v>13.4</v>
      </c>
      <c r="J565" s="1">
        <v>0.84</v>
      </c>
      <c r="K565" s="3">
        <v>2250</v>
      </c>
      <c r="L565" s="13">
        <v>2618</v>
      </c>
      <c r="M565" s="49">
        <v>166.4</v>
      </c>
      <c r="N565" s="1">
        <v>416</v>
      </c>
      <c r="O565" s="3">
        <v>40</v>
      </c>
      <c r="P565" s="11" t="s">
        <v>2275</v>
      </c>
      <c r="Q565" s="3">
        <v>12</v>
      </c>
      <c r="R565" s="3">
        <v>192</v>
      </c>
      <c r="S565" s="22">
        <v>18</v>
      </c>
      <c r="T565" s="9">
        <v>250</v>
      </c>
      <c r="U565" s="14" t="s">
        <v>576</v>
      </c>
      <c r="V565" s="12">
        <v>4</v>
      </c>
      <c r="W565" s="75">
        <v>16</v>
      </c>
      <c r="X565" s="76">
        <v>16</v>
      </c>
      <c r="Y565" s="9">
        <v>1059.7</v>
      </c>
      <c r="Z565" s="3">
        <v>1059.7</v>
      </c>
      <c r="AA565" s="17" t="s">
        <v>1965</v>
      </c>
      <c r="AB565" s="18" t="s">
        <v>1964</v>
      </c>
      <c r="AC565" s="46" cm="1">
        <f t="array" ref="AC565">(SUMPRODUCT((H565:O565/H$9:O$9)^H$7:O$7*H$2:O$2)+SUMPRODUCT((Q565:T565/Q$9:T$9)^Q$7:T$7*Q$2:T$2))*(0.8^(1-G565))*AC$9</f>
        <v>1.6840414368035255</v>
      </c>
      <c r="AD565" s="48" cm="1">
        <f t="array" ref="AD565">(SUMPRODUCT((H565:O565/H$9:O$9)^H$7:O$7*H$3:O$3)+SUMPRODUCT((Q565:T565/Q$9:T$9)^Q$7:T$7*Q$3:T$3))*(0.1^(1-G565))*AD$9</f>
        <v>0.22438861908926794</v>
      </c>
      <c r="AE565" s="48" cm="1">
        <f t="array" ref="AE565">(SUMPRODUCT((H565:O565/H$9:O$9)^H$7:O$7*H$4:O$4)+SUMPRODUCT((Q565:T565/Q$9:T$9)^Q$7:T$7*Q$4:T$4))*AE$9</f>
        <v>2.7187800841259904</v>
      </c>
      <c r="AF565" s="47" cm="1">
        <f t="array" ref="AF565">(SUMPRODUCT((H565:O565/H$9:O$9)^H$7:O$7*H$5:O$5)+SUMPRODUCT((Q565:T565/Q$9:T$9)^Q$7:T$7*Q$5:T$5))*AF$9</f>
        <v>1.8377155147951529</v>
      </c>
      <c r="AG565" s="50" cm="1">
        <f t="array" ref="AG565">SUMPRODUCT(AC565:AF565 * AC$3:AF$3) / SUM(AC$3:AF$3)</f>
        <v>1.0137065118855941</v>
      </c>
    </row>
    <row r="566" spans="1:33" x14ac:dyDescent="0.25">
      <c r="A566" s="81" t="s">
        <v>1859</v>
      </c>
      <c r="B566" s="20" t="s">
        <v>1861</v>
      </c>
      <c r="C566" s="4" t="s">
        <v>427</v>
      </c>
      <c r="D566" s="4" t="str">
        <f t="shared" si="8"/>
        <v>ASUS</v>
      </c>
      <c r="E566" s="4" t="s">
        <v>8858</v>
      </c>
      <c r="F566" s="14" t="s">
        <v>8896</v>
      </c>
      <c r="G566" s="9">
        <v>0</v>
      </c>
      <c r="H566" s="1">
        <v>26.86</v>
      </c>
      <c r="I566" s="1">
        <v>13.43</v>
      </c>
      <c r="J566" s="1">
        <v>0.84</v>
      </c>
      <c r="K566" s="3">
        <v>2250</v>
      </c>
      <c r="L566" s="13">
        <v>2623</v>
      </c>
      <c r="M566" s="49">
        <v>166.4</v>
      </c>
      <c r="N566" s="1">
        <v>416</v>
      </c>
      <c r="O566" s="3">
        <v>40</v>
      </c>
      <c r="P566" s="11" t="s">
        <v>2275</v>
      </c>
      <c r="Q566" s="3">
        <v>12</v>
      </c>
      <c r="R566" s="3">
        <v>192</v>
      </c>
      <c r="S566" s="22">
        <v>18</v>
      </c>
      <c r="T566" s="9">
        <v>250</v>
      </c>
      <c r="U566" s="14" t="s">
        <v>576</v>
      </c>
      <c r="V566" s="12">
        <v>4</v>
      </c>
      <c r="W566" s="75">
        <v>16</v>
      </c>
      <c r="X566" s="76">
        <v>16</v>
      </c>
      <c r="Y566" s="9">
        <v>499</v>
      </c>
      <c r="Z566" s="3">
        <v>557.44000000000005</v>
      </c>
      <c r="AA566" s="17" t="s">
        <v>1860</v>
      </c>
      <c r="AB566" s="18" t="s">
        <v>1859</v>
      </c>
      <c r="AC566" s="46" cm="1">
        <f t="array" ref="AC566">(SUMPRODUCT((H566:O566/H$9:O$9)^H$7:O$7*H$2:O$2)+SUMPRODUCT((Q566:T566/Q$9:T$9)^Q$7:T$7*Q$2:T$2))*(0.8^(1-G566))*AC$9</f>
        <v>1.6846784702624562</v>
      </c>
      <c r="AD566" s="48" cm="1">
        <f t="array" ref="AD566">(SUMPRODUCT((H566:O566/H$9:O$9)^H$7:O$7*H$3:O$3)+SUMPRODUCT((Q566:T566/Q$9:T$9)^Q$7:T$7*Q$3:T$3))*(0.1^(1-G566))*AD$9</f>
        <v>0.22461997749812271</v>
      </c>
      <c r="AE566" s="48" cm="1">
        <f t="array" ref="AE566">(SUMPRODUCT((H566:O566/H$9:O$9)^H$7:O$7*H$4:O$4)+SUMPRODUCT((Q566:T566/Q$9:T$9)^Q$7:T$7*Q$4:T$4))*AE$9</f>
        <v>2.719316703111077</v>
      </c>
      <c r="AF566" s="47" cm="1">
        <f t="array" ref="AF566">(SUMPRODUCT((H566:O566/H$9:O$9)^H$7:O$7*H$5:O$5)+SUMPRODUCT((Q566:T566/Q$9:T$9)^Q$7:T$7*Q$5:T$5))*AF$9</f>
        <v>1.83892374236384</v>
      </c>
      <c r="AG566" s="50" cm="1">
        <f t="array" ref="AG566">SUMPRODUCT(AC566:AF566 * AC$3:AF$3) / SUM(AC$3:AF$3)</f>
        <v>1.0142022121712371</v>
      </c>
    </row>
    <row r="567" spans="1:33" x14ac:dyDescent="0.25">
      <c r="A567" s="81" t="s">
        <v>1658</v>
      </c>
      <c r="B567" s="20" t="s">
        <v>1660</v>
      </c>
      <c r="C567" s="4" t="s">
        <v>427</v>
      </c>
      <c r="D567" s="4" t="str">
        <f t="shared" si="8"/>
        <v>GIGABYTE</v>
      </c>
      <c r="E567" s="4" t="s">
        <v>8858</v>
      </c>
      <c r="F567" s="14" t="s">
        <v>8896</v>
      </c>
      <c r="G567" s="9">
        <v>0</v>
      </c>
      <c r="H567" s="1">
        <v>26.86</v>
      </c>
      <c r="I567" s="1">
        <v>13.43</v>
      </c>
      <c r="J567" s="1">
        <v>0.84</v>
      </c>
      <c r="K567" s="3">
        <v>2250</v>
      </c>
      <c r="L567" s="13">
        <v>2623</v>
      </c>
      <c r="M567" s="49">
        <v>166.4</v>
      </c>
      <c r="N567" s="1">
        <v>416</v>
      </c>
      <c r="O567" s="3">
        <v>40</v>
      </c>
      <c r="P567" s="11" t="s">
        <v>2275</v>
      </c>
      <c r="Q567" s="3">
        <v>12</v>
      </c>
      <c r="R567" s="3">
        <v>192</v>
      </c>
      <c r="S567" s="22">
        <v>18</v>
      </c>
      <c r="T567" s="9">
        <v>250</v>
      </c>
      <c r="U567" s="14" t="s">
        <v>793</v>
      </c>
      <c r="V567" s="12">
        <v>4</v>
      </c>
      <c r="W567" s="75">
        <v>16</v>
      </c>
      <c r="X567" s="76">
        <v>16</v>
      </c>
      <c r="Y567" s="9">
        <v>554.09</v>
      </c>
      <c r="Z567" s="3">
        <v>653.96</v>
      </c>
      <c r="AA567" s="17" t="s">
        <v>1659</v>
      </c>
      <c r="AB567" s="18" t="s">
        <v>1658</v>
      </c>
      <c r="AC567" s="46" cm="1">
        <f t="array" ref="AC567">(SUMPRODUCT((H567:O567/H$9:O$9)^H$7:O$7*H$2:O$2)+SUMPRODUCT((Q567:T567/Q$9:T$9)^Q$7:T$7*Q$2:T$2))*(0.8^(1-G567))*AC$9</f>
        <v>1.6846784702624562</v>
      </c>
      <c r="AD567" s="48" cm="1">
        <f t="array" ref="AD567">(SUMPRODUCT((H567:O567/H$9:O$9)^H$7:O$7*H$3:O$3)+SUMPRODUCT((Q567:T567/Q$9:T$9)^Q$7:T$7*Q$3:T$3))*(0.1^(1-G567))*AD$9</f>
        <v>0.22461997749812271</v>
      </c>
      <c r="AE567" s="48" cm="1">
        <f t="array" ref="AE567">(SUMPRODUCT((H567:O567/H$9:O$9)^H$7:O$7*H$4:O$4)+SUMPRODUCT((Q567:T567/Q$9:T$9)^Q$7:T$7*Q$4:T$4))*AE$9</f>
        <v>2.719316703111077</v>
      </c>
      <c r="AF567" s="47" cm="1">
        <f t="array" ref="AF567">(SUMPRODUCT((H567:O567/H$9:O$9)^H$7:O$7*H$5:O$5)+SUMPRODUCT((Q567:T567/Q$9:T$9)^Q$7:T$7*Q$5:T$5))*AF$9</f>
        <v>1.83892374236384</v>
      </c>
      <c r="AG567" s="50" cm="1">
        <f t="array" ref="AG567">SUMPRODUCT(AC567:AF567 * AC$3:AF$3) / SUM(AC$3:AF$3)</f>
        <v>1.0142022121712371</v>
      </c>
    </row>
    <row r="568" spans="1:33" x14ac:dyDescent="0.25">
      <c r="A568" s="81" t="s">
        <v>1364</v>
      </c>
      <c r="B568" s="20" t="s">
        <v>1366</v>
      </c>
      <c r="C568" s="4" t="s">
        <v>427</v>
      </c>
      <c r="D568" s="4" t="str">
        <f t="shared" si="8"/>
        <v>GIGABYTE</v>
      </c>
      <c r="E568" s="4" t="s">
        <v>8858</v>
      </c>
      <c r="F568" s="14" t="s">
        <v>8896</v>
      </c>
      <c r="G568" s="9">
        <v>0</v>
      </c>
      <c r="H568" s="1">
        <v>26.86</v>
      </c>
      <c r="I568" s="1">
        <v>13.43</v>
      </c>
      <c r="J568" s="1">
        <v>0.84</v>
      </c>
      <c r="K568" s="3">
        <v>2250</v>
      </c>
      <c r="L568" s="13">
        <v>2623</v>
      </c>
      <c r="M568" s="49">
        <v>166.4</v>
      </c>
      <c r="N568" s="1">
        <v>416</v>
      </c>
      <c r="O568" s="3">
        <v>40</v>
      </c>
      <c r="P568" s="11" t="s">
        <v>2275</v>
      </c>
      <c r="Q568" s="3">
        <v>12</v>
      </c>
      <c r="R568" s="3">
        <v>192</v>
      </c>
      <c r="S568" s="22">
        <v>18</v>
      </c>
      <c r="T568" s="9">
        <v>250</v>
      </c>
      <c r="U568" s="14" t="s">
        <v>793</v>
      </c>
      <c r="V568" s="12">
        <v>4</v>
      </c>
      <c r="W568" s="75">
        <v>16</v>
      </c>
      <c r="X568" s="76">
        <v>16</v>
      </c>
      <c r="Y568" s="9">
        <v>479.97</v>
      </c>
      <c r="Z568" s="3">
        <v>939.48</v>
      </c>
      <c r="AA568" s="17" t="s">
        <v>1365</v>
      </c>
      <c r="AB568" s="18" t="s">
        <v>1364</v>
      </c>
      <c r="AC568" s="46" cm="1">
        <f t="array" ref="AC568">(SUMPRODUCT((H568:O568/H$9:O$9)^H$7:O$7*H$2:O$2)+SUMPRODUCT((Q568:T568/Q$9:T$9)^Q$7:T$7*Q$2:T$2))*(0.8^(1-G568))*AC$9</f>
        <v>1.6846784702624562</v>
      </c>
      <c r="AD568" s="48" cm="1">
        <f t="array" ref="AD568">(SUMPRODUCT((H568:O568/H$9:O$9)^H$7:O$7*H$3:O$3)+SUMPRODUCT((Q568:T568/Q$9:T$9)^Q$7:T$7*Q$3:T$3))*(0.1^(1-G568))*AD$9</f>
        <v>0.22461997749812271</v>
      </c>
      <c r="AE568" s="48" cm="1">
        <f t="array" ref="AE568">(SUMPRODUCT((H568:O568/H$9:O$9)^H$7:O$7*H$4:O$4)+SUMPRODUCT((Q568:T568/Q$9:T$9)^Q$7:T$7*Q$4:T$4))*AE$9</f>
        <v>2.719316703111077</v>
      </c>
      <c r="AF568" s="47" cm="1">
        <f t="array" ref="AF568">(SUMPRODUCT((H568:O568/H$9:O$9)^H$7:O$7*H$5:O$5)+SUMPRODUCT((Q568:T568/Q$9:T$9)^Q$7:T$7*Q$5:T$5))*AF$9</f>
        <v>1.83892374236384</v>
      </c>
      <c r="AG568" s="50" cm="1">
        <f t="array" ref="AG568">SUMPRODUCT(AC568:AF568 * AC$3:AF$3) / SUM(AC$3:AF$3)</f>
        <v>1.0142022121712371</v>
      </c>
    </row>
    <row r="569" spans="1:33" x14ac:dyDescent="0.25">
      <c r="A569" s="81" t="s">
        <v>820</v>
      </c>
      <c r="B569" s="20" t="s">
        <v>822</v>
      </c>
      <c r="C569" s="4" t="s">
        <v>427</v>
      </c>
      <c r="D569" s="4" t="str">
        <f t="shared" si="8"/>
        <v>MSI</v>
      </c>
      <c r="E569" s="4" t="s">
        <v>8858</v>
      </c>
      <c r="F569" s="14" t="s">
        <v>8896</v>
      </c>
      <c r="G569" s="9">
        <v>0</v>
      </c>
      <c r="H569" s="1">
        <v>26.86</v>
      </c>
      <c r="I569" s="1">
        <v>13.43</v>
      </c>
      <c r="J569" s="1">
        <v>0.84</v>
      </c>
      <c r="K569" s="3">
        <v>2250</v>
      </c>
      <c r="L569" s="13">
        <v>2623</v>
      </c>
      <c r="M569" s="49">
        <v>166.4</v>
      </c>
      <c r="N569" s="1">
        <v>416</v>
      </c>
      <c r="O569" s="3">
        <v>40</v>
      </c>
      <c r="P569" s="11" t="s">
        <v>2275</v>
      </c>
      <c r="Q569" s="3">
        <v>12</v>
      </c>
      <c r="R569" s="3">
        <v>192</v>
      </c>
      <c r="S569" s="22">
        <v>18</v>
      </c>
      <c r="T569" s="9">
        <v>250</v>
      </c>
      <c r="U569" s="14" t="s">
        <v>576</v>
      </c>
      <c r="V569" s="12">
        <v>4</v>
      </c>
      <c r="W569" s="75">
        <v>16</v>
      </c>
      <c r="X569" s="76">
        <v>16</v>
      </c>
      <c r="Y569" s="9">
        <v>674.73</v>
      </c>
      <c r="Z569" s="3">
        <v>899.99</v>
      </c>
      <c r="AA569" s="17" t="s">
        <v>821</v>
      </c>
      <c r="AB569" s="18" t="s">
        <v>820</v>
      </c>
      <c r="AC569" s="46" cm="1">
        <f t="array" ref="AC569">(SUMPRODUCT((H569:O569/H$9:O$9)^H$7:O$7*H$2:O$2)+SUMPRODUCT((Q569:T569/Q$9:T$9)^Q$7:T$7*Q$2:T$2))*(0.8^(1-G569))*AC$9</f>
        <v>1.6846784702624562</v>
      </c>
      <c r="AD569" s="48" cm="1">
        <f t="array" ref="AD569">(SUMPRODUCT((H569:O569/H$9:O$9)^H$7:O$7*H$3:O$3)+SUMPRODUCT((Q569:T569/Q$9:T$9)^Q$7:T$7*Q$3:T$3))*(0.1^(1-G569))*AD$9</f>
        <v>0.22461997749812271</v>
      </c>
      <c r="AE569" s="48" cm="1">
        <f t="array" ref="AE569">(SUMPRODUCT((H569:O569/H$9:O$9)^H$7:O$7*H$4:O$4)+SUMPRODUCT((Q569:T569/Q$9:T$9)^Q$7:T$7*Q$4:T$4))*AE$9</f>
        <v>2.719316703111077</v>
      </c>
      <c r="AF569" s="47" cm="1">
        <f t="array" ref="AF569">(SUMPRODUCT((H569:O569/H$9:O$9)^H$7:O$7*H$5:O$5)+SUMPRODUCT((Q569:T569/Q$9:T$9)^Q$7:T$7*Q$5:T$5))*AF$9</f>
        <v>1.83892374236384</v>
      </c>
      <c r="AG569" s="50" cm="1">
        <f t="array" ref="AG569">SUMPRODUCT(AC569:AF569 * AC$3:AF$3) / SUM(AC$3:AF$3)</f>
        <v>1.0142022121712371</v>
      </c>
    </row>
    <row r="570" spans="1:33" x14ac:dyDescent="0.25">
      <c r="A570" s="81" t="s">
        <v>817</v>
      </c>
      <c r="B570" s="20" t="s">
        <v>819</v>
      </c>
      <c r="C570" s="4" t="s">
        <v>427</v>
      </c>
      <c r="D570" s="4" t="str">
        <f t="shared" si="8"/>
        <v>MSI</v>
      </c>
      <c r="E570" s="4" t="s">
        <v>8858</v>
      </c>
      <c r="F570" s="14" t="s">
        <v>8896</v>
      </c>
      <c r="G570" s="9">
        <v>0</v>
      </c>
      <c r="H570" s="1">
        <v>26.81</v>
      </c>
      <c r="I570" s="1">
        <v>13.4</v>
      </c>
      <c r="J570" s="1">
        <v>0.84</v>
      </c>
      <c r="K570" s="3">
        <v>2250</v>
      </c>
      <c r="L570" s="13">
        <v>2618</v>
      </c>
      <c r="M570" s="49">
        <v>166.4</v>
      </c>
      <c r="N570" s="1">
        <v>416</v>
      </c>
      <c r="O570" s="3">
        <v>40</v>
      </c>
      <c r="P570" s="11" t="s">
        <v>2275</v>
      </c>
      <c r="Q570" s="3">
        <v>12</v>
      </c>
      <c r="R570" s="3">
        <v>192</v>
      </c>
      <c r="S570" s="22">
        <v>18</v>
      </c>
      <c r="T570" s="9">
        <v>250</v>
      </c>
      <c r="U570" s="14" t="s">
        <v>576</v>
      </c>
      <c r="V570" s="12">
        <v>4</v>
      </c>
      <c r="W570" s="75">
        <v>16</v>
      </c>
      <c r="X570" s="76">
        <v>16</v>
      </c>
      <c r="Y570" s="9">
        <v>688.99</v>
      </c>
      <c r="Z570" s="3">
        <v>820.36</v>
      </c>
      <c r="AA570" s="17" t="s">
        <v>818</v>
      </c>
      <c r="AB570" s="18" t="s">
        <v>817</v>
      </c>
      <c r="AC570" s="46" cm="1">
        <f t="array" ref="AC570">(SUMPRODUCT((H570:O570/H$9:O$9)^H$7:O$7*H$2:O$2)+SUMPRODUCT((Q570:T570/Q$9:T$9)^Q$7:T$7*Q$2:T$2))*(0.8^(1-G570))*AC$9</f>
        <v>1.6840414368035255</v>
      </c>
      <c r="AD570" s="48" cm="1">
        <f t="array" ref="AD570">(SUMPRODUCT((H570:O570/H$9:O$9)^H$7:O$7*H$3:O$3)+SUMPRODUCT((Q570:T570/Q$9:T$9)^Q$7:T$7*Q$3:T$3))*(0.1^(1-G570))*AD$9</f>
        <v>0.22438861908926794</v>
      </c>
      <c r="AE570" s="48" cm="1">
        <f t="array" ref="AE570">(SUMPRODUCT((H570:O570/H$9:O$9)^H$7:O$7*H$4:O$4)+SUMPRODUCT((Q570:T570/Q$9:T$9)^Q$7:T$7*Q$4:T$4))*AE$9</f>
        <v>2.7187800841259904</v>
      </c>
      <c r="AF570" s="47" cm="1">
        <f t="array" ref="AF570">(SUMPRODUCT((H570:O570/H$9:O$9)^H$7:O$7*H$5:O$5)+SUMPRODUCT((Q570:T570/Q$9:T$9)^Q$7:T$7*Q$5:T$5))*AF$9</f>
        <v>1.8377155147951529</v>
      </c>
      <c r="AG570" s="50" cm="1">
        <f t="array" ref="AG570">SUMPRODUCT(AC570:AF570 * AC$3:AF$3) / SUM(AC$3:AF$3)</f>
        <v>1.0137065118855941</v>
      </c>
    </row>
    <row r="571" spans="1:33" x14ac:dyDescent="0.25">
      <c r="A571" s="81" t="s">
        <v>814</v>
      </c>
      <c r="B571" s="20" t="s">
        <v>816</v>
      </c>
      <c r="C571" s="4" t="s">
        <v>427</v>
      </c>
      <c r="D571" s="4" t="str">
        <f t="shared" si="8"/>
        <v>MSI</v>
      </c>
      <c r="E571" s="4" t="s">
        <v>8858</v>
      </c>
      <c r="F571" s="14" t="s">
        <v>8896</v>
      </c>
      <c r="G571" s="9">
        <v>0</v>
      </c>
      <c r="H571" s="1">
        <v>26.62</v>
      </c>
      <c r="I571" s="1">
        <v>13.31</v>
      </c>
      <c r="J571" s="1">
        <v>0.83</v>
      </c>
      <c r="K571" s="3">
        <v>2250</v>
      </c>
      <c r="L571" s="13">
        <v>2600</v>
      </c>
      <c r="M571" s="49">
        <v>166.4</v>
      </c>
      <c r="N571" s="1">
        <v>416</v>
      </c>
      <c r="O571" s="3">
        <v>40</v>
      </c>
      <c r="P571" s="11" t="s">
        <v>2275</v>
      </c>
      <c r="Q571" s="3">
        <v>12</v>
      </c>
      <c r="R571" s="3">
        <v>192</v>
      </c>
      <c r="S571" s="22">
        <v>18</v>
      </c>
      <c r="T571" s="9">
        <v>250</v>
      </c>
      <c r="U571" s="14" t="s">
        <v>576</v>
      </c>
      <c r="V571" s="12">
        <v>4</v>
      </c>
      <c r="W571" s="75">
        <v>16</v>
      </c>
      <c r="X571" s="76">
        <v>16</v>
      </c>
      <c r="Y571" s="9">
        <v>816</v>
      </c>
      <c r="Z571" s="3">
        <v>816</v>
      </c>
      <c r="AA571" s="17" t="s">
        <v>815</v>
      </c>
      <c r="AB571" s="18" t="s">
        <v>814</v>
      </c>
      <c r="AC571" s="46" cm="1">
        <f t="array" ref="AC571">(SUMPRODUCT((H571:O571/H$9:O$9)^H$7:O$7*H$2:O$2)+SUMPRODUCT((Q571:T571/Q$9:T$9)^Q$7:T$7*Q$2:T$2))*(0.8^(1-G571))*AC$9</f>
        <v>1.6818330002372388</v>
      </c>
      <c r="AD571" s="48" cm="1">
        <f t="array" ref="AD571">(SUMPRODUCT((H571:O571/H$9:O$9)^H$7:O$7*H$3:O$3)+SUMPRODUCT((Q571:T571/Q$9:T$9)^Q$7:T$7*Q$3:T$3))*(0.1^(1-G571))*AD$9</f>
        <v>0.2233262305676921</v>
      </c>
      <c r="AE571" s="48" cm="1">
        <f t="array" ref="AE571">(SUMPRODUCT((H571:O571/H$9:O$9)^H$7:O$7*H$4:O$4)+SUMPRODUCT((Q571:T571/Q$9:T$9)^Q$7:T$7*Q$4:T$4))*AE$9</f>
        <v>2.7001985137626177</v>
      </c>
      <c r="AF571" s="47" cm="1">
        <f t="array" ref="AF571">(SUMPRODUCT((H571:O571/H$9:O$9)^H$7:O$7*H$5:O$5)+SUMPRODUCT((Q571:T571/Q$9:T$9)^Q$7:T$7*Q$5:T$5))*AF$9</f>
        <v>1.8337440546549204</v>
      </c>
      <c r="AG571" s="50" cm="1">
        <f t="array" ref="AG571">SUMPRODUCT(AC571:AF571 * AC$3:AF$3) / SUM(AC$3:AF$3)</f>
        <v>1.0100216943265907</v>
      </c>
    </row>
    <row r="572" spans="1:33" x14ac:dyDescent="0.25">
      <c r="A572" s="81" t="s">
        <v>1361</v>
      </c>
      <c r="B572" s="20" t="s">
        <v>1363</v>
      </c>
      <c r="C572" s="4" t="s">
        <v>427</v>
      </c>
      <c r="D572" s="4" t="str">
        <f t="shared" si="8"/>
        <v>GIGABYTE</v>
      </c>
      <c r="E572" s="4" t="s">
        <v>8858</v>
      </c>
      <c r="F572" s="14" t="s">
        <v>8897</v>
      </c>
      <c r="G572" s="9">
        <v>0</v>
      </c>
      <c r="H572" s="1">
        <v>33.1</v>
      </c>
      <c r="I572" s="1">
        <v>16.55</v>
      </c>
      <c r="J572" s="1">
        <v>1.03</v>
      </c>
      <c r="K572" s="3">
        <v>2000</v>
      </c>
      <c r="L572" s="13">
        <v>2155</v>
      </c>
      <c r="M572" s="49">
        <v>202.1</v>
      </c>
      <c r="N572" s="1">
        <v>505.2</v>
      </c>
      <c r="O572" s="3">
        <v>60</v>
      </c>
      <c r="P572" s="11" t="s">
        <v>2275</v>
      </c>
      <c r="Q572" s="3">
        <v>16</v>
      </c>
      <c r="R572" s="3">
        <v>256</v>
      </c>
      <c r="S572" s="22">
        <v>16</v>
      </c>
      <c r="T572" s="9">
        <v>250</v>
      </c>
      <c r="U572" s="14" t="s">
        <v>576</v>
      </c>
      <c r="V572" s="12">
        <v>4</v>
      </c>
      <c r="W572" s="75">
        <v>16</v>
      </c>
      <c r="X572" s="76">
        <v>16</v>
      </c>
      <c r="Y572" s="9">
        <v>1002.15</v>
      </c>
      <c r="Z572" s="3">
        <v>1014.17</v>
      </c>
      <c r="AA572" s="17" t="s">
        <v>1362</v>
      </c>
      <c r="AB572" s="18" t="s">
        <v>1361</v>
      </c>
      <c r="AC572" s="46" cm="1">
        <f t="array" ref="AC572">(SUMPRODUCT((H572:O572/H$9:O$9)^H$7:O$7*H$2:O$2)+SUMPRODUCT((Q572:T572/Q$9:T$9)^Q$7:T$7*Q$2:T$2))*(0.8^(1-G572))*AC$9</f>
        <v>1.8583419442048255</v>
      </c>
      <c r="AD572" s="48" cm="1">
        <f t="array" ref="AD572">(SUMPRODUCT((H572:O572/H$9:O$9)^H$7:O$7*H$3:O$3)+SUMPRODUCT((Q572:T572/Q$9:T$9)^Q$7:T$7*Q$3:T$3))*(0.1^(1-G572))*AD$9</f>
        <v>0.2627468767887029</v>
      </c>
      <c r="AE572" s="48" cm="1">
        <f t="array" ref="AE572">(SUMPRODUCT((H572:O572/H$9:O$9)^H$7:O$7*H$4:O$4)+SUMPRODUCT((Q572:T572/Q$9:T$9)^Q$7:T$7*Q$4:T$4))*AE$9</f>
        <v>3.1817316474169015</v>
      </c>
      <c r="AF572" s="47" cm="1">
        <f t="array" ref="AF572">(SUMPRODUCT((H572:O572/H$9:O$9)^H$7:O$7*H$5:O$5)+SUMPRODUCT((Q572:T572/Q$9:T$9)^Q$7:T$7*Q$5:T$5))*AF$9</f>
        <v>2.1089645964922088</v>
      </c>
      <c r="AG572" s="50" cm="1">
        <f t="array" ref="AG572">SUMPRODUCT(AC572:AF572 * AC$3:AF$3) / SUM(AC$3:AF$3)</f>
        <v>1.160713982489552</v>
      </c>
    </row>
    <row r="573" spans="1:33" x14ac:dyDescent="0.25">
      <c r="A573" s="81" t="s">
        <v>1725</v>
      </c>
      <c r="B573" s="20" t="s">
        <v>1727</v>
      </c>
      <c r="C573" s="4" t="s">
        <v>427</v>
      </c>
      <c r="D573" s="4" t="str">
        <f t="shared" si="8"/>
        <v>ASUS</v>
      </c>
      <c r="E573" s="4" t="s">
        <v>8858</v>
      </c>
      <c r="F573" s="14" t="s">
        <v>8898</v>
      </c>
      <c r="G573" s="9">
        <v>0</v>
      </c>
      <c r="H573" s="1">
        <v>43.13</v>
      </c>
      <c r="I573" s="1">
        <v>21.57</v>
      </c>
      <c r="J573" s="1">
        <v>1.35</v>
      </c>
      <c r="K573" s="3">
        <v>2000</v>
      </c>
      <c r="L573" s="13">
        <v>2340</v>
      </c>
      <c r="M573" s="49">
        <v>288</v>
      </c>
      <c r="N573" s="1">
        <v>648</v>
      </c>
      <c r="O573" s="3">
        <v>72</v>
      </c>
      <c r="P573" s="11" t="s">
        <v>2275</v>
      </c>
      <c r="Q573" s="3">
        <v>16</v>
      </c>
      <c r="R573" s="3">
        <v>256</v>
      </c>
      <c r="S573" s="22">
        <v>16</v>
      </c>
      <c r="T573" s="9">
        <v>300</v>
      </c>
      <c r="U573" s="14" t="s">
        <v>576</v>
      </c>
      <c r="V573" s="12">
        <v>4</v>
      </c>
      <c r="W573" s="75">
        <v>16</v>
      </c>
      <c r="X573" s="76">
        <v>16</v>
      </c>
      <c r="Y573" s="9">
        <v>1380.84</v>
      </c>
      <c r="Z573" s="3">
        <v>1878.36</v>
      </c>
      <c r="AA573" s="17" t="s">
        <v>1726</v>
      </c>
      <c r="AB573" s="18" t="s">
        <v>1725</v>
      </c>
      <c r="AC573" s="46" cm="1">
        <f t="array" ref="AC573">(SUMPRODUCT((H573:O573/H$9:O$9)^H$7:O$7*H$2:O$2)+SUMPRODUCT((Q573:T573/Q$9:T$9)^Q$7:T$7*Q$2:T$2))*(0.8^(1-G573))*AC$9</f>
        <v>2.1538141991663324</v>
      </c>
      <c r="AD573" s="48" cm="1">
        <f t="array" ref="AD573">(SUMPRODUCT((H573:O573/H$9:O$9)^H$7:O$7*H$3:O$3)+SUMPRODUCT((Q573:T573/Q$9:T$9)^Q$7:T$7*Q$3:T$3))*(0.1^(1-G573))*AD$9</f>
        <v>0.30985410113607043</v>
      </c>
      <c r="AE573" s="48" cm="1">
        <f t="array" ref="AE573">(SUMPRODUCT((H573:O573/H$9:O$9)^H$7:O$7*H$4:O$4)+SUMPRODUCT((Q573:T573/Q$9:T$9)^Q$7:T$7*Q$4:T$4))*AE$9</f>
        <v>3.7747458531092426</v>
      </c>
      <c r="AF573" s="47" cm="1">
        <f t="array" ref="AF573">(SUMPRODUCT((H573:O573/H$9:O$9)^H$7:O$7*H$5:O$5)+SUMPRODUCT((Q573:T573/Q$9:T$9)^Q$7:T$7*Q$5:T$5))*AF$9</f>
        <v>2.4570439953139185</v>
      </c>
      <c r="AG573" s="50" cm="1">
        <f t="array" ref="AG573">SUMPRODUCT(AC573:AF573 * AC$3:AF$3) / SUM(AC$3:AF$3)</f>
        <v>1.3600337389455524</v>
      </c>
    </row>
    <row r="574" spans="1:33" x14ac:dyDescent="0.25">
      <c r="A574" s="81" t="s">
        <v>1655</v>
      </c>
      <c r="B574" s="20" t="s">
        <v>1657</v>
      </c>
      <c r="C574" s="4" t="s">
        <v>427</v>
      </c>
      <c r="D574" s="4" t="str">
        <f t="shared" si="8"/>
        <v>GIGABYTE</v>
      </c>
      <c r="E574" s="4" t="s">
        <v>8858</v>
      </c>
      <c r="F574" s="14" t="s">
        <v>8898</v>
      </c>
      <c r="G574" s="9">
        <v>0</v>
      </c>
      <c r="H574" s="1">
        <v>42.58</v>
      </c>
      <c r="I574" s="1">
        <v>21.29</v>
      </c>
      <c r="J574" s="1">
        <v>1.33</v>
      </c>
      <c r="K574" s="3">
        <v>2000</v>
      </c>
      <c r="L574" s="13">
        <v>2310</v>
      </c>
      <c r="M574" s="49">
        <v>288</v>
      </c>
      <c r="N574" s="1">
        <v>648</v>
      </c>
      <c r="O574" s="3">
        <v>72</v>
      </c>
      <c r="P574" s="11" t="s">
        <v>2275</v>
      </c>
      <c r="Q574" s="3">
        <v>16</v>
      </c>
      <c r="R574" s="3">
        <v>256</v>
      </c>
      <c r="S574" s="22">
        <v>16</v>
      </c>
      <c r="T574" s="9">
        <v>300</v>
      </c>
      <c r="U574" s="14" t="s">
        <v>576</v>
      </c>
      <c r="V574" s="12">
        <v>4</v>
      </c>
      <c r="W574" s="75">
        <v>16</v>
      </c>
      <c r="X574" s="76">
        <v>16</v>
      </c>
      <c r="Y574" s="9">
        <v>1144.3800000000001</v>
      </c>
      <c r="Z574" s="3">
        <v>1170.95</v>
      </c>
      <c r="AA574" s="17" t="s">
        <v>1656</v>
      </c>
      <c r="AB574" s="18" t="s">
        <v>1655</v>
      </c>
      <c r="AC574" s="46" cm="1">
        <f t="array" ref="AC574">(SUMPRODUCT((H574:O574/H$9:O$9)^H$7:O$7*H$2:O$2)+SUMPRODUCT((Q574:T574/Q$9:T$9)^Q$7:T$7*Q$2:T$2))*(0.8^(1-G574))*AC$9</f>
        <v>2.14954044805968</v>
      </c>
      <c r="AD574" s="48" cm="1">
        <f t="array" ref="AD574">(SUMPRODUCT((H574:O574/H$9:O$9)^H$7:O$7*H$3:O$3)+SUMPRODUCT((Q574:T574/Q$9:T$9)^Q$7:T$7*Q$3:T$3))*(0.1^(1-G574))*AD$9</f>
        <v>0.30718868584957582</v>
      </c>
      <c r="AE574" s="48" cm="1">
        <f t="array" ref="AE574">(SUMPRODUCT((H574:O574/H$9:O$9)^H$7:O$7*H$4:O$4)+SUMPRODUCT((Q574:T574/Q$9:T$9)^Q$7:T$7*Q$4:T$4))*AE$9</f>
        <v>3.7390882645867971</v>
      </c>
      <c r="AF574" s="47" cm="1">
        <f t="array" ref="AF574">(SUMPRODUCT((H574:O574/H$9:O$9)^H$7:O$7*H$5:O$5)+SUMPRODUCT((Q574:T574/Q$9:T$9)^Q$7:T$7*Q$5:T$5))*AF$9</f>
        <v>2.4466518825318415</v>
      </c>
      <c r="AG574" s="50" cm="1">
        <f t="array" ref="AG574">SUMPRODUCT(AC574:AF574 * AC$3:AF$3) / SUM(AC$3:AF$3)</f>
        <v>1.3521466877468842</v>
      </c>
    </row>
    <row r="575" spans="1:33" x14ac:dyDescent="0.25">
      <c r="A575" s="81" t="s">
        <v>811</v>
      </c>
      <c r="B575" s="20" t="s">
        <v>813</v>
      </c>
      <c r="C575" s="4" t="s">
        <v>427</v>
      </c>
      <c r="D575" s="4" t="str">
        <f t="shared" si="8"/>
        <v>MSI</v>
      </c>
      <c r="E575" s="4" t="s">
        <v>8858</v>
      </c>
      <c r="F575" s="14" t="s">
        <v>8898</v>
      </c>
      <c r="G575" s="9">
        <v>0</v>
      </c>
      <c r="H575" s="1">
        <v>42.12</v>
      </c>
      <c r="I575" s="1">
        <v>21.06</v>
      </c>
      <c r="J575" s="1">
        <v>1.32</v>
      </c>
      <c r="K575" s="3">
        <v>2000</v>
      </c>
      <c r="L575" s="13">
        <v>2285</v>
      </c>
      <c r="M575" s="49">
        <v>288</v>
      </c>
      <c r="N575" s="1">
        <v>648</v>
      </c>
      <c r="O575" s="3">
        <v>72</v>
      </c>
      <c r="P575" s="11" t="s">
        <v>2275</v>
      </c>
      <c r="Q575" s="3">
        <v>16</v>
      </c>
      <c r="R575" s="3">
        <v>256</v>
      </c>
      <c r="S575" s="22">
        <v>16</v>
      </c>
      <c r="T575" s="9">
        <v>300</v>
      </c>
      <c r="U575" s="14" t="s">
        <v>576</v>
      </c>
      <c r="V575" s="12">
        <v>4</v>
      </c>
      <c r="W575" s="75">
        <v>16</v>
      </c>
      <c r="X575" s="76">
        <v>16</v>
      </c>
      <c r="Y575" s="9">
        <v>1199</v>
      </c>
      <c r="Z575" s="3">
        <v>1662.9</v>
      </c>
      <c r="AA575" s="17" t="s">
        <v>812</v>
      </c>
      <c r="AB575" s="18" t="s">
        <v>811</v>
      </c>
      <c r="AC575" s="46" cm="1">
        <f t="array" ref="AC575">(SUMPRODUCT((H575:O575/H$9:O$9)^H$7:O$7*H$2:O$2)+SUMPRODUCT((Q575:T575/Q$9:T$9)^Q$7:T$7*Q$2:T$2))*(0.8^(1-G575))*AC$9</f>
        <v>2.1459899322340403</v>
      </c>
      <c r="AD575" s="48" cm="1">
        <f t="array" ref="AD575">(SUMPRODUCT((H575:O575/H$9:O$9)^H$7:O$7*H$3:O$3)+SUMPRODUCT((Q575:T575/Q$9:T$9)^Q$7:T$7*Q$3:T$3))*(0.1^(1-G575))*AD$9</f>
        <v>0.30511410197934263</v>
      </c>
      <c r="AE575" s="48" cm="1">
        <f t="array" ref="AE575">(SUMPRODUCT((H575:O575/H$9:O$9)^H$7:O$7*H$4:O$4)+SUMPRODUCT((Q575:T575/Q$9:T$9)^Q$7:T$7*Q$4:T$4))*AE$9</f>
        <v>3.719683806961076</v>
      </c>
      <c r="AF575" s="47" cm="1">
        <f t="array" ref="AF575">(SUMPRODUCT((H575:O575/H$9:O$9)^H$7:O$7*H$5:O$5)+SUMPRODUCT((Q575:T575/Q$9:T$9)^Q$7:T$7*Q$5:T$5))*AF$9</f>
        <v>2.4380485066034701</v>
      </c>
      <c r="AG575" s="50" cm="1">
        <f t="array" ref="AG575">SUMPRODUCT(AC575:AF575 * AC$3:AF$3) / SUM(AC$3:AF$3)</f>
        <v>1.3468124416793392</v>
      </c>
    </row>
    <row r="576" spans="1:33" x14ac:dyDescent="0.25">
      <c r="A576" s="81" t="s">
        <v>808</v>
      </c>
      <c r="B576" s="20" t="s">
        <v>810</v>
      </c>
      <c r="C576" s="4" t="s">
        <v>427</v>
      </c>
      <c r="D576" s="4" t="str">
        <f t="shared" si="8"/>
        <v>MSI</v>
      </c>
      <c r="E576" s="4" t="s">
        <v>8858</v>
      </c>
      <c r="F576" s="14" t="s">
        <v>8898</v>
      </c>
      <c r="G576" s="9">
        <v>0</v>
      </c>
      <c r="H576" s="1">
        <v>42.58</v>
      </c>
      <c r="I576" s="1">
        <v>21.29</v>
      </c>
      <c r="J576" s="1">
        <v>1.33</v>
      </c>
      <c r="K576" s="3">
        <v>2000</v>
      </c>
      <c r="L576" s="13">
        <v>2310</v>
      </c>
      <c r="M576" s="49">
        <v>288</v>
      </c>
      <c r="N576" s="1">
        <v>648</v>
      </c>
      <c r="O576" s="3">
        <v>72</v>
      </c>
      <c r="P576" s="11" t="s">
        <v>2275</v>
      </c>
      <c r="Q576" s="3">
        <v>16</v>
      </c>
      <c r="R576" s="3">
        <v>256</v>
      </c>
      <c r="S576" s="22">
        <v>16</v>
      </c>
      <c r="T576" s="9">
        <v>300</v>
      </c>
      <c r="U576" s="14" t="s">
        <v>583</v>
      </c>
      <c r="V576" s="12">
        <v>4</v>
      </c>
      <c r="W576" s="75">
        <v>16</v>
      </c>
      <c r="X576" s="76">
        <v>16</v>
      </c>
      <c r="Y576" s="9">
        <v>999.9</v>
      </c>
      <c r="Z576" s="3">
        <v>1292.6500000000001</v>
      </c>
      <c r="AA576" s="17" t="s">
        <v>809</v>
      </c>
      <c r="AB576" s="18" t="s">
        <v>808</v>
      </c>
      <c r="AC576" s="46" cm="1">
        <f t="array" ref="AC576">(SUMPRODUCT((H576:O576/H$9:O$9)^H$7:O$7*H$2:O$2)+SUMPRODUCT((Q576:T576/Q$9:T$9)^Q$7:T$7*Q$2:T$2))*(0.8^(1-G576))*AC$9</f>
        <v>2.14954044805968</v>
      </c>
      <c r="AD576" s="48" cm="1">
        <f t="array" ref="AD576">(SUMPRODUCT((H576:O576/H$9:O$9)^H$7:O$7*H$3:O$3)+SUMPRODUCT((Q576:T576/Q$9:T$9)^Q$7:T$7*Q$3:T$3))*(0.1^(1-G576))*AD$9</f>
        <v>0.30718868584957582</v>
      </c>
      <c r="AE576" s="48" cm="1">
        <f t="array" ref="AE576">(SUMPRODUCT((H576:O576/H$9:O$9)^H$7:O$7*H$4:O$4)+SUMPRODUCT((Q576:T576/Q$9:T$9)^Q$7:T$7*Q$4:T$4))*AE$9</f>
        <v>3.7390882645867971</v>
      </c>
      <c r="AF576" s="47" cm="1">
        <f t="array" ref="AF576">(SUMPRODUCT((H576:O576/H$9:O$9)^H$7:O$7*H$5:O$5)+SUMPRODUCT((Q576:T576/Q$9:T$9)^Q$7:T$7*Q$5:T$5))*AF$9</f>
        <v>2.4466518825318415</v>
      </c>
      <c r="AG576" s="50" cm="1">
        <f t="array" ref="AG576">SUMPRODUCT(AC576:AF576 * AC$3:AF$3) / SUM(AC$3:AF$3)</f>
        <v>1.3521466877468842</v>
      </c>
    </row>
    <row r="577" spans="1:33" x14ac:dyDescent="0.25">
      <c r="A577" s="81" t="s">
        <v>1722</v>
      </c>
      <c r="B577" s="20" t="s">
        <v>1724</v>
      </c>
      <c r="C577" s="4" t="s">
        <v>427</v>
      </c>
      <c r="D577" s="4" t="str">
        <f t="shared" si="8"/>
        <v>ASUS</v>
      </c>
      <c r="E577" s="4" t="s">
        <v>8858</v>
      </c>
      <c r="F577" s="14" t="s">
        <v>8899</v>
      </c>
      <c r="G577" s="9">
        <v>0</v>
      </c>
      <c r="H577" s="1">
        <v>47.92</v>
      </c>
      <c r="I577" s="1">
        <v>23.96</v>
      </c>
      <c r="J577" s="1">
        <v>1.5</v>
      </c>
      <c r="K577" s="3">
        <v>2000</v>
      </c>
      <c r="L577" s="13">
        <v>2340</v>
      </c>
      <c r="M577" s="49">
        <v>288</v>
      </c>
      <c r="N577" s="1">
        <v>720</v>
      </c>
      <c r="O577" s="3">
        <v>80</v>
      </c>
      <c r="P577" s="11" t="s">
        <v>2275</v>
      </c>
      <c r="Q577" s="3">
        <v>16</v>
      </c>
      <c r="R577" s="3">
        <v>256</v>
      </c>
      <c r="S577" s="22">
        <v>16</v>
      </c>
      <c r="T577" s="9">
        <v>300</v>
      </c>
      <c r="U577" s="14" t="s">
        <v>576</v>
      </c>
      <c r="V577" s="12">
        <v>4</v>
      </c>
      <c r="W577" s="75">
        <v>16</v>
      </c>
      <c r="X577" s="76">
        <v>16</v>
      </c>
      <c r="Y577" s="9">
        <v>1471.66</v>
      </c>
      <c r="Z577" s="3">
        <v>1507.04</v>
      </c>
      <c r="AA577" s="17" t="s">
        <v>1723</v>
      </c>
      <c r="AB577" s="18" t="s">
        <v>1722</v>
      </c>
      <c r="AC577" s="46" cm="1">
        <f t="array" ref="AC577">(SUMPRODUCT((H577:O577/H$9:O$9)^H$7:O$7*H$2:O$2)+SUMPRODUCT((Q577:T577/Q$9:T$9)^Q$7:T$7*Q$2:T$2))*(0.8^(1-G577))*AC$9</f>
        <v>2.2310818949513016</v>
      </c>
      <c r="AD577" s="48" cm="1">
        <f t="array" ref="AD577">(SUMPRODUCT((H577:O577/H$9:O$9)^H$7:O$7*H$3:O$3)+SUMPRODUCT((Q577:T577/Q$9:T$9)^Q$7:T$7*Q$3:T$3))*(0.1^(1-G577))*AD$9</f>
        <v>0.33158016819618003</v>
      </c>
      <c r="AE577" s="48" cm="1">
        <f t="array" ref="AE577">(SUMPRODUCT((H577:O577/H$9:O$9)^H$7:O$7*H$4:O$4)+SUMPRODUCT((Q577:T577/Q$9:T$9)^Q$7:T$7*Q$4:T$4))*AE$9</f>
        <v>4.0440776207914233</v>
      </c>
      <c r="AF577" s="47" cm="1">
        <f t="array" ref="AF577">(SUMPRODUCT((H577:O577/H$9:O$9)^H$7:O$7*H$5:O$5)+SUMPRODUCT((Q577:T577/Q$9:T$9)^Q$7:T$7*Q$5:T$5))*AF$9</f>
        <v>2.586649128464316</v>
      </c>
      <c r="AG577" s="50" cm="1">
        <f t="array" ref="AG577">SUMPRODUCT(AC577:AF577 * AC$3:AF$3) / SUM(AC$3:AF$3)</f>
        <v>1.4365083329884165</v>
      </c>
    </row>
    <row r="578" spans="1:33" x14ac:dyDescent="0.25">
      <c r="A578" s="81" t="s">
        <v>1652</v>
      </c>
      <c r="B578" s="20" t="s">
        <v>1654</v>
      </c>
      <c r="C578" s="4" t="s">
        <v>427</v>
      </c>
      <c r="D578" s="4" t="str">
        <f t="shared" si="8"/>
        <v>GIGABYTE</v>
      </c>
      <c r="E578" s="4" t="s">
        <v>8858</v>
      </c>
      <c r="F578" s="14" t="s">
        <v>8899</v>
      </c>
      <c r="G578" s="9">
        <v>0</v>
      </c>
      <c r="H578" s="1">
        <v>48.44</v>
      </c>
      <c r="I578" s="1">
        <v>24.22</v>
      </c>
      <c r="J578" s="1">
        <v>1.51</v>
      </c>
      <c r="K578" s="3">
        <v>2000</v>
      </c>
      <c r="L578" s="13">
        <v>2365</v>
      </c>
      <c r="M578" s="49">
        <v>288</v>
      </c>
      <c r="N578" s="1">
        <v>720</v>
      </c>
      <c r="O578" s="3">
        <v>80</v>
      </c>
      <c r="P578" s="11" t="s">
        <v>2275</v>
      </c>
      <c r="Q578" s="3">
        <v>16</v>
      </c>
      <c r="R578" s="3">
        <v>256</v>
      </c>
      <c r="S578" s="22">
        <v>16</v>
      </c>
      <c r="T578" s="9">
        <v>300</v>
      </c>
      <c r="U578" s="14" t="s">
        <v>583</v>
      </c>
      <c r="V578" s="12">
        <v>4</v>
      </c>
      <c r="W578" s="75">
        <v>16</v>
      </c>
      <c r="X578" s="76">
        <v>16</v>
      </c>
      <c r="Y578" s="9">
        <v>1335.25</v>
      </c>
      <c r="Z578" s="3">
        <v>1335.25</v>
      </c>
      <c r="AA578" s="17" t="s">
        <v>1653</v>
      </c>
      <c r="AB578" s="18" t="s">
        <v>1652</v>
      </c>
      <c r="AC578" s="46" cm="1">
        <f t="array" ref="AC578">(SUMPRODUCT((H578:O578/H$9:O$9)^H$7:O$7*H$2:O$2)+SUMPRODUCT((Q578:T578/Q$9:T$9)^Q$7:T$7*Q$2:T$2))*(0.8^(1-G578))*AC$9</f>
        <v>2.2347480278611029</v>
      </c>
      <c r="AD578" s="48" cm="1">
        <f t="array" ref="AD578">(SUMPRODUCT((H578:O578/H$9:O$9)^H$7:O$7*H$3:O$3)+SUMPRODUCT((Q578:T578/Q$9:T$9)^Q$7:T$7*Q$3:T$3))*(0.1^(1-G578))*AD$9</f>
        <v>0.33384761592612427</v>
      </c>
      <c r="AE578" s="48" cm="1">
        <f t="array" ref="AE578">(SUMPRODUCT((H578:O578/H$9:O$9)^H$7:O$7*H$4:O$4)+SUMPRODUCT((Q578:T578/Q$9:T$9)^Q$7:T$7*Q$4:T$4))*AE$9</f>
        <v>4.0635485777650038</v>
      </c>
      <c r="AF578" s="47" cm="1">
        <f t="array" ref="AF578">(SUMPRODUCT((H578:O578/H$9:O$9)^H$7:O$7*H$5:O$5)+SUMPRODUCT((Q578:T578/Q$9:T$9)^Q$7:T$7*Q$5:T$5))*AF$9</f>
        <v>2.5960868767631378</v>
      </c>
      <c r="AG578" s="50" cm="1">
        <f t="array" ref="AG578">SUMPRODUCT(AC578:AF578 * AC$3:AF$3) / SUM(AC$3:AF$3)</f>
        <v>1.4421154460368872</v>
      </c>
    </row>
    <row r="579" spans="1:33" x14ac:dyDescent="0.25">
      <c r="A579" s="81" t="s">
        <v>1649</v>
      </c>
      <c r="B579" s="20" t="s">
        <v>1651</v>
      </c>
      <c r="C579" s="4" t="s">
        <v>427</v>
      </c>
      <c r="D579" s="4" t="str">
        <f t="shared" si="8"/>
        <v>GIGABYTE</v>
      </c>
      <c r="E579" s="4" t="s">
        <v>8858</v>
      </c>
      <c r="F579" s="14" t="s">
        <v>8899</v>
      </c>
      <c r="G579" s="9">
        <v>0</v>
      </c>
      <c r="H579" s="1">
        <v>47.82</v>
      </c>
      <c r="I579" s="1">
        <v>23.91</v>
      </c>
      <c r="J579" s="1">
        <v>1.49</v>
      </c>
      <c r="K579" s="3">
        <v>2000</v>
      </c>
      <c r="L579" s="13">
        <v>2335</v>
      </c>
      <c r="M579" s="49">
        <v>288</v>
      </c>
      <c r="N579" s="1">
        <v>720</v>
      </c>
      <c r="O579" s="3">
        <v>80</v>
      </c>
      <c r="P579" s="11" t="s">
        <v>2275</v>
      </c>
      <c r="Q579" s="3">
        <v>16</v>
      </c>
      <c r="R579" s="3">
        <v>256</v>
      </c>
      <c r="S579" s="22">
        <v>16</v>
      </c>
      <c r="T579" s="9">
        <v>300</v>
      </c>
      <c r="U579" s="14" t="s">
        <v>583</v>
      </c>
      <c r="V579" s="12">
        <v>4</v>
      </c>
      <c r="W579" s="75">
        <v>16</v>
      </c>
      <c r="X579" s="76">
        <v>16</v>
      </c>
      <c r="Y579" s="9">
        <v>655.78</v>
      </c>
      <c r="Z579" s="3">
        <v>1369.04</v>
      </c>
      <c r="AA579" s="17" t="s">
        <v>1650</v>
      </c>
      <c r="AB579" s="18" t="s">
        <v>1649</v>
      </c>
      <c r="AC579" s="46" cm="1">
        <f t="array" ref="AC579">(SUMPRODUCT((H579:O579/H$9:O$9)^H$7:O$7*H$2:O$2)+SUMPRODUCT((Q579:T579/Q$9:T$9)^Q$7:T$7*Q$2:T$2))*(0.8^(1-G579))*AC$9</f>
        <v>2.2303572014529425</v>
      </c>
      <c r="AD579" s="48" cm="1">
        <f t="array" ref="AD579">(SUMPRODUCT((H579:O579/H$9:O$9)^H$7:O$7*H$3:O$3)+SUMPRODUCT((Q579:T579/Q$9:T$9)^Q$7:T$7*Q$3:T$3))*(0.1^(1-G579))*AD$9</f>
        <v>0.33096895666279791</v>
      </c>
      <c r="AE579" s="48" cm="1">
        <f t="array" ref="AE579">(SUMPRODUCT((H579:O579/H$9:O$9)^H$7:O$7*H$4:O$4)+SUMPRODUCT((Q579:T579/Q$9:T$9)^Q$7:T$7*Q$4:T$4))*AE$9</f>
        <v>4.0281287363559848</v>
      </c>
      <c r="AF579" s="47" cm="1">
        <f t="array" ref="AF579">(SUMPRODUCT((H579:O579/H$9:O$9)^H$7:O$7*H$5:O$5)+SUMPRODUCT((Q579:T579/Q$9:T$9)^Q$7:T$7*Q$5:T$5))*AF$9</f>
        <v>2.5848232540468579</v>
      </c>
      <c r="AG579" s="50" cm="1">
        <f t="array" ref="AG579">SUMPRODUCT(AC579:AF579 * AC$3:AF$3) / SUM(AC$3:AF$3)</f>
        <v>1.433971578102186</v>
      </c>
    </row>
    <row r="580" spans="1:33" x14ac:dyDescent="0.25">
      <c r="A580" s="81" t="s">
        <v>805</v>
      </c>
      <c r="B580" s="20" t="s">
        <v>807</v>
      </c>
      <c r="C580" s="4" t="s">
        <v>427</v>
      </c>
      <c r="D580" s="4" t="str">
        <f t="shared" si="8"/>
        <v>MSI</v>
      </c>
      <c r="E580" s="4" t="s">
        <v>8858</v>
      </c>
      <c r="F580" s="14" t="s">
        <v>8899</v>
      </c>
      <c r="G580" s="9">
        <v>0</v>
      </c>
      <c r="H580" s="1">
        <v>47.92</v>
      </c>
      <c r="I580" s="1">
        <v>23.96</v>
      </c>
      <c r="J580" s="1">
        <v>1.5</v>
      </c>
      <c r="K580" s="3">
        <v>2000</v>
      </c>
      <c r="L580" s="13">
        <v>2340</v>
      </c>
      <c r="M580" s="49">
        <v>288</v>
      </c>
      <c r="N580" s="1">
        <v>720</v>
      </c>
      <c r="O580" s="3">
        <v>80</v>
      </c>
      <c r="P580" s="11" t="s">
        <v>2275</v>
      </c>
      <c r="Q580" s="3">
        <v>16</v>
      </c>
      <c r="R580" s="3">
        <v>256</v>
      </c>
      <c r="S580" s="22">
        <v>16</v>
      </c>
      <c r="T580" s="9">
        <v>300</v>
      </c>
      <c r="U580" s="14" t="s">
        <v>583</v>
      </c>
      <c r="V580" s="12">
        <v>4</v>
      </c>
      <c r="W580" s="75">
        <v>16</v>
      </c>
      <c r="X580" s="76">
        <v>16</v>
      </c>
      <c r="Y580" s="9">
        <v>1069</v>
      </c>
      <c r="Z580" s="3">
        <v>2018.38</v>
      </c>
      <c r="AA580" s="17" t="s">
        <v>806</v>
      </c>
      <c r="AB580" s="18" t="s">
        <v>805</v>
      </c>
      <c r="AC580" s="46" cm="1">
        <f t="array" ref="AC580">(SUMPRODUCT((H580:O580/H$9:O$9)^H$7:O$7*H$2:O$2)+SUMPRODUCT((Q580:T580/Q$9:T$9)^Q$7:T$7*Q$2:T$2))*(0.8^(1-G580))*AC$9</f>
        <v>2.2310818949513016</v>
      </c>
      <c r="AD580" s="48" cm="1">
        <f t="array" ref="AD580">(SUMPRODUCT((H580:O580/H$9:O$9)^H$7:O$7*H$3:O$3)+SUMPRODUCT((Q580:T580/Q$9:T$9)^Q$7:T$7*Q$3:T$3))*(0.1^(1-G580))*AD$9</f>
        <v>0.33158016819618003</v>
      </c>
      <c r="AE580" s="48" cm="1">
        <f t="array" ref="AE580">(SUMPRODUCT((H580:O580/H$9:O$9)^H$7:O$7*H$4:O$4)+SUMPRODUCT((Q580:T580/Q$9:T$9)^Q$7:T$7*Q$4:T$4))*AE$9</f>
        <v>4.0440776207914233</v>
      </c>
      <c r="AF580" s="47" cm="1">
        <f t="array" ref="AF580">(SUMPRODUCT((H580:O580/H$9:O$9)^H$7:O$7*H$5:O$5)+SUMPRODUCT((Q580:T580/Q$9:T$9)^Q$7:T$7*Q$5:T$5))*AF$9</f>
        <v>2.586649128464316</v>
      </c>
      <c r="AG580" s="50" cm="1">
        <f t="array" ref="AG580">SUMPRODUCT(AC580:AF580 * AC$3:AF$3) / SUM(AC$3:AF$3)</f>
        <v>1.4365083329884165</v>
      </c>
    </row>
    <row r="581" spans="1:33" x14ac:dyDescent="0.25">
      <c r="A581" s="81" t="s">
        <v>1874</v>
      </c>
      <c r="B581" s="20" t="s">
        <v>1876</v>
      </c>
      <c r="C581" s="4" t="s">
        <v>427</v>
      </c>
      <c r="D581" s="4" t="str">
        <f t="shared" si="8"/>
        <v>ASUS</v>
      </c>
      <c r="E581" s="4" t="s">
        <v>8858</v>
      </c>
      <c r="F581" s="14" t="s">
        <v>8899</v>
      </c>
      <c r="G581" s="9">
        <v>0</v>
      </c>
      <c r="H581" s="1">
        <v>51.71</v>
      </c>
      <c r="I581" s="1">
        <v>25.86</v>
      </c>
      <c r="J581" s="1">
        <v>1.62</v>
      </c>
      <c r="K581" s="3">
        <v>2000</v>
      </c>
      <c r="L581" s="13">
        <v>2525</v>
      </c>
      <c r="M581" s="49">
        <v>288</v>
      </c>
      <c r="N581" s="1">
        <v>720</v>
      </c>
      <c r="O581" s="3">
        <v>80</v>
      </c>
      <c r="P581" s="11" t="s">
        <v>2275</v>
      </c>
      <c r="Q581" s="3">
        <v>16</v>
      </c>
      <c r="R581" s="3">
        <v>256</v>
      </c>
      <c r="S581" s="22">
        <v>16</v>
      </c>
      <c r="T581" s="9">
        <v>300</v>
      </c>
      <c r="U581" s="14" t="s">
        <v>583</v>
      </c>
      <c r="V581" s="12">
        <v>4</v>
      </c>
      <c r="W581" s="75">
        <v>16</v>
      </c>
      <c r="X581" s="76">
        <v>16</v>
      </c>
      <c r="Y581" s="9">
        <v>4234.95</v>
      </c>
      <c r="Z581" s="3">
        <v>5174.2700000000004</v>
      </c>
      <c r="AA581" s="17" t="s">
        <v>1875</v>
      </c>
      <c r="AB581" s="18" t="s">
        <v>1874</v>
      </c>
      <c r="AC581" s="46" cm="1">
        <f t="array" ref="AC581">(SUMPRODUCT((H581:O581/H$9:O$9)^H$7:O$7*H$2:O$2)+SUMPRODUCT((Q581:T581/Q$9:T$9)^Q$7:T$7*Q$2:T$2))*(0.8^(1-G581))*AC$9</f>
        <v>2.2580137725703522</v>
      </c>
      <c r="AD581" s="48" cm="1">
        <f t="array" ref="AD581">(SUMPRODUCT((H581:O581/H$9:O$9)^H$7:O$7*H$3:O$3)+SUMPRODUCT((Q581:T581/Q$9:T$9)^Q$7:T$7*Q$3:T$3))*(0.1^(1-G581))*AD$9</f>
        <v>0.34905514546532213</v>
      </c>
      <c r="AE581" s="48" cm="1">
        <f t="array" ref="AE581">(SUMPRODUCT((H581:O581/H$9:O$9)^H$7:O$7*H$4:O$4)+SUMPRODUCT((Q581:T581/Q$9:T$9)^Q$7:T$7*Q$4:T$4))*AE$9</f>
        <v>4.2557569485371918</v>
      </c>
      <c r="AF581" s="47" cm="1">
        <f t="array" ref="AF581">(SUMPRODUCT((H581:O581/H$9:O$9)^H$7:O$7*H$5:O$5)+SUMPRODUCT((Q581:T581/Q$9:T$9)^Q$7:T$7*Q$5:T$5))*AF$9</f>
        <v>2.6554306768859219</v>
      </c>
      <c r="AG581" s="50" cm="1">
        <f t="array" ref="AG581">SUMPRODUCT(AC581:AF581 * AC$3:AF$3) / SUM(AC$3:AF$3)</f>
        <v>1.4856888166720237</v>
      </c>
    </row>
    <row r="582" spans="1:33" x14ac:dyDescent="0.25">
      <c r="A582" s="81" t="s">
        <v>1646</v>
      </c>
      <c r="B582" s="20" t="s">
        <v>1648</v>
      </c>
      <c r="C582" s="4" t="s">
        <v>427</v>
      </c>
      <c r="D582" s="4" t="str">
        <f t="shared" si="8"/>
        <v>GIGABYTE</v>
      </c>
      <c r="E582" s="4" t="s">
        <v>8858</v>
      </c>
      <c r="F582" s="14" t="s">
        <v>8899</v>
      </c>
      <c r="G582" s="9">
        <v>0</v>
      </c>
      <c r="H582" s="1">
        <v>51.71</v>
      </c>
      <c r="I582" s="1">
        <v>25.86</v>
      </c>
      <c r="J582" s="1">
        <v>1.62</v>
      </c>
      <c r="K582" s="3">
        <v>2000</v>
      </c>
      <c r="L582" s="13">
        <v>2525</v>
      </c>
      <c r="M582" s="49">
        <v>288</v>
      </c>
      <c r="N582" s="1">
        <v>720</v>
      </c>
      <c r="O582" s="3">
        <v>80</v>
      </c>
      <c r="P582" s="11" t="s">
        <v>2275</v>
      </c>
      <c r="Q582" s="3">
        <v>16</v>
      </c>
      <c r="R582" s="3">
        <v>256</v>
      </c>
      <c r="S582" s="22">
        <v>16</v>
      </c>
      <c r="T582" s="9">
        <v>300</v>
      </c>
      <c r="U582" s="14" t="s">
        <v>583</v>
      </c>
      <c r="V582" s="12">
        <v>4</v>
      </c>
      <c r="W582" s="75">
        <v>16</v>
      </c>
      <c r="X582" s="76">
        <v>16</v>
      </c>
      <c r="Y582" s="9">
        <v>1192.96</v>
      </c>
      <c r="Z582" s="3">
        <v>1234.79</v>
      </c>
      <c r="AA582" s="17" t="s">
        <v>1647</v>
      </c>
      <c r="AB582" s="18" t="s">
        <v>1646</v>
      </c>
      <c r="AC582" s="46" cm="1">
        <f t="array" ref="AC582">(SUMPRODUCT((H582:O582/H$9:O$9)^H$7:O$7*H$2:O$2)+SUMPRODUCT((Q582:T582/Q$9:T$9)^Q$7:T$7*Q$2:T$2))*(0.8^(1-G582))*AC$9</f>
        <v>2.2580137725703522</v>
      </c>
      <c r="AD582" s="48" cm="1">
        <f t="array" ref="AD582">(SUMPRODUCT((H582:O582/H$9:O$9)^H$7:O$7*H$3:O$3)+SUMPRODUCT((Q582:T582/Q$9:T$9)^Q$7:T$7*Q$3:T$3))*(0.1^(1-G582))*AD$9</f>
        <v>0.34905514546532213</v>
      </c>
      <c r="AE582" s="48" cm="1">
        <f t="array" ref="AE582">(SUMPRODUCT((H582:O582/H$9:O$9)^H$7:O$7*H$4:O$4)+SUMPRODUCT((Q582:T582/Q$9:T$9)^Q$7:T$7*Q$4:T$4))*AE$9</f>
        <v>4.2557569485371918</v>
      </c>
      <c r="AF582" s="47" cm="1">
        <f t="array" ref="AF582">(SUMPRODUCT((H582:O582/H$9:O$9)^H$7:O$7*H$5:O$5)+SUMPRODUCT((Q582:T582/Q$9:T$9)^Q$7:T$7*Q$5:T$5))*AF$9</f>
        <v>2.6554306768859219</v>
      </c>
      <c r="AG582" s="50" cm="1">
        <f t="array" ref="AG582">SUMPRODUCT(AC582:AF582 * AC$3:AF$3) / SUM(AC$3:AF$3)</f>
        <v>1.4856888166720237</v>
      </c>
    </row>
    <row r="583" spans="1:33" x14ac:dyDescent="0.25">
      <c r="A583" s="81" t="s">
        <v>802</v>
      </c>
      <c r="B583" s="20" t="s">
        <v>804</v>
      </c>
      <c r="C583" s="4" t="s">
        <v>427</v>
      </c>
      <c r="D583" s="4" t="str">
        <f t="shared" si="8"/>
        <v>MSI</v>
      </c>
      <c r="E583" s="4" t="s">
        <v>8858</v>
      </c>
      <c r="F583" s="14" t="s">
        <v>8900</v>
      </c>
      <c r="G583" s="9">
        <v>0</v>
      </c>
      <c r="H583" s="1">
        <v>49.66</v>
      </c>
      <c r="I583" s="1">
        <v>24.83</v>
      </c>
      <c r="J583" s="1">
        <v>1.55</v>
      </c>
      <c r="K583" s="3">
        <v>2000</v>
      </c>
      <c r="L583" s="13">
        <v>2425</v>
      </c>
      <c r="M583" s="49">
        <v>288</v>
      </c>
      <c r="N583" s="1">
        <v>720</v>
      </c>
      <c r="O583" s="3">
        <v>80</v>
      </c>
      <c r="P583" s="11" t="s">
        <v>2275</v>
      </c>
      <c r="Q583" s="3">
        <v>16</v>
      </c>
      <c r="R583" s="3">
        <v>256</v>
      </c>
      <c r="S583" s="22">
        <v>16</v>
      </c>
      <c r="T583" s="9">
        <v>300</v>
      </c>
      <c r="U583" s="14" t="s">
        <v>583</v>
      </c>
      <c r="V583" s="12">
        <v>4</v>
      </c>
      <c r="W583" s="75">
        <v>16</v>
      </c>
      <c r="X583" s="76">
        <v>16</v>
      </c>
      <c r="Y583" s="9">
        <v>1250.42</v>
      </c>
      <c r="Z583" s="3">
        <v>2003.65</v>
      </c>
      <c r="AA583" s="17" t="s">
        <v>803</v>
      </c>
      <c r="AB583" s="18" t="s">
        <v>802</v>
      </c>
      <c r="AC583" s="46" cm="1">
        <f t="array" ref="AC583">(SUMPRODUCT((H583:O583/H$9:O$9)^H$7:O$7*H$2:O$2)+SUMPRODUCT((Q583:T583/Q$9:T$9)^Q$7:T$7*Q$2:T$2))*(0.8^(1-G583))*AC$9</f>
        <v>2.2434681604437414</v>
      </c>
      <c r="AD583" s="48" cm="1">
        <f t="array" ref="AD583">(SUMPRODUCT((H583:O583/H$9:O$9)^H$7:O$7*H$3:O$3)+SUMPRODUCT((Q583:T583/Q$9:T$9)^Q$7:T$7*Q$3:T$3))*(0.1^(1-G583))*AD$9</f>
        <v>0.33951278353273084</v>
      </c>
      <c r="AE583" s="48" cm="1">
        <f t="array" ref="AE583">(SUMPRODUCT((H583:O583/H$9:O$9)^H$7:O$7*H$4:O$4)+SUMPRODUCT((Q583:T583/Q$9:T$9)^Q$7:T$7*Q$4:T$4))*AE$9</f>
        <v>4.1339617377802842</v>
      </c>
      <c r="AF583" s="47" cm="1">
        <f t="array" ref="AF583">(SUMPRODUCT((H583:O583/H$9:O$9)^H$7:O$7*H$5:O$5)+SUMPRODUCT((Q583:T583/Q$9:T$9)^Q$7:T$7*Q$5:T$5))*AF$9</f>
        <v>2.6182519393788</v>
      </c>
      <c r="AG583" s="50" cm="1">
        <f t="array" ref="AG583">SUMPRODUCT(AC583:AF583 * AC$3:AF$3) / SUM(AC$3:AF$3)</f>
        <v>1.4582339783530833</v>
      </c>
    </row>
    <row r="584" spans="1:33" x14ac:dyDescent="0.25">
      <c r="A584" s="81" t="s">
        <v>1358</v>
      </c>
      <c r="B584" s="20" t="s">
        <v>1360</v>
      </c>
      <c r="C584" s="4" t="s">
        <v>427</v>
      </c>
      <c r="D584" s="4" t="str">
        <f t="shared" ref="D584:D616" si="9">LEFT(AB584, FIND(" ", AB584 &amp; " ") - 1)</f>
        <v>GIGABYTE</v>
      </c>
      <c r="E584" s="4" t="s">
        <v>8858</v>
      </c>
      <c r="F584" s="14" t="s">
        <v>8901</v>
      </c>
      <c r="G584" s="9">
        <v>0</v>
      </c>
      <c r="H584" s="1">
        <v>47.6</v>
      </c>
      <c r="I584" s="1">
        <v>23.8</v>
      </c>
      <c r="J584" s="1">
        <v>1.49</v>
      </c>
      <c r="K584" s="3">
        <v>2250</v>
      </c>
      <c r="L584" s="13">
        <v>2324</v>
      </c>
      <c r="M584" s="49">
        <v>295.7</v>
      </c>
      <c r="N584" s="1">
        <v>739.2</v>
      </c>
      <c r="O584" s="3">
        <v>80</v>
      </c>
      <c r="P584" s="11" t="s">
        <v>2275</v>
      </c>
      <c r="Q584" s="3">
        <v>16</v>
      </c>
      <c r="R584" s="3">
        <v>256</v>
      </c>
      <c r="S584" s="22">
        <v>18</v>
      </c>
      <c r="T584" s="9">
        <v>335</v>
      </c>
      <c r="U584" s="14" t="s">
        <v>583</v>
      </c>
      <c r="V584" s="12">
        <v>4</v>
      </c>
      <c r="W584" s="75">
        <v>16</v>
      </c>
      <c r="X584" s="76">
        <v>16</v>
      </c>
      <c r="Y584" s="9">
        <v>1719.98</v>
      </c>
      <c r="Z584" s="3">
        <v>2108.15</v>
      </c>
      <c r="AA584" s="17" t="s">
        <v>1359</v>
      </c>
      <c r="AB584" s="18" t="s">
        <v>1358</v>
      </c>
      <c r="AC584" s="46" cm="1">
        <f t="array" ref="AC584">(SUMPRODUCT((H584:O584/H$9:O$9)^H$7:O$7*H$2:O$2)+SUMPRODUCT((Q584:T584/Q$9:T$9)^Q$7:T$7*Q$2:T$2))*(0.8^(1-G584))*AC$9</f>
        <v>2.2753685816881108</v>
      </c>
      <c r="AD584" s="48" cm="1">
        <f t="array" ref="AD584">(SUMPRODUCT((H584:O584/H$9:O$9)^H$7:O$7*H$3:O$3)+SUMPRODUCT((Q584:T584/Q$9:T$9)^Q$7:T$7*Q$3:T$3))*(0.1^(1-G584))*AD$9</f>
        <v>0.33114925172769727</v>
      </c>
      <c r="AE584" s="48" cm="1">
        <f t="array" ref="AE584">(SUMPRODUCT((H584:O584/H$9:O$9)^H$7:O$7*H$4:O$4)+SUMPRODUCT((Q584:T584/Q$9:T$9)^Q$7:T$7*Q$4:T$4))*AE$9</f>
        <v>4.0435713711562213</v>
      </c>
      <c r="AF584" s="47" cm="1">
        <f t="array" ref="AF584">(SUMPRODUCT((H584:O584/H$9:O$9)^H$7:O$7*H$5:O$5)+SUMPRODUCT((Q584:T584/Q$9:T$9)^Q$7:T$7*Q$5:T$5))*AF$9</f>
        <v>2.6179355660726422</v>
      </c>
      <c r="AG584" s="50" cm="1">
        <f t="array" ref="AG584">SUMPRODUCT(AC584:AF584 * AC$3:AF$3) / SUM(AC$3:AF$3)</f>
        <v>1.4488082057150931</v>
      </c>
    </row>
    <row r="585" spans="1:33" x14ac:dyDescent="0.25">
      <c r="A585" s="81" t="s">
        <v>799</v>
      </c>
      <c r="B585" s="20" t="s">
        <v>801</v>
      </c>
      <c r="C585" s="4" t="s">
        <v>427</v>
      </c>
      <c r="D585" s="4" t="str">
        <f t="shared" si="9"/>
        <v>MSI</v>
      </c>
      <c r="E585" s="4" t="s">
        <v>8858</v>
      </c>
      <c r="F585" s="14" t="s">
        <v>8901</v>
      </c>
      <c r="G585" s="9">
        <v>0</v>
      </c>
      <c r="H585" s="1">
        <v>50.26</v>
      </c>
      <c r="I585" s="1">
        <v>25.13</v>
      </c>
      <c r="J585" s="1">
        <v>1.57</v>
      </c>
      <c r="K585" s="3">
        <v>2250</v>
      </c>
      <c r="L585" s="13">
        <v>2454</v>
      </c>
      <c r="M585" s="49">
        <v>295.7</v>
      </c>
      <c r="N585" s="1">
        <v>739.2</v>
      </c>
      <c r="O585" s="3">
        <v>80</v>
      </c>
      <c r="P585" s="11" t="s">
        <v>2275</v>
      </c>
      <c r="Q585" s="3">
        <v>16</v>
      </c>
      <c r="R585" s="3">
        <v>256</v>
      </c>
      <c r="S585" s="22">
        <v>18</v>
      </c>
      <c r="T585" s="9">
        <v>340</v>
      </c>
      <c r="U585" s="14" t="s">
        <v>583</v>
      </c>
      <c r="V585" s="12">
        <v>4</v>
      </c>
      <c r="W585" s="75">
        <v>16</v>
      </c>
      <c r="X585" s="76">
        <v>16</v>
      </c>
      <c r="Y585" s="9">
        <v>1575.33</v>
      </c>
      <c r="Z585" s="3">
        <v>1575.33</v>
      </c>
      <c r="AA585" s="17" t="s">
        <v>800</v>
      </c>
      <c r="AB585" s="18" t="s">
        <v>799</v>
      </c>
      <c r="AC585" s="46" cm="1">
        <f t="array" ref="AC585">(SUMPRODUCT((H585:O585/H$9:O$9)^H$7:O$7*H$2:O$2)+SUMPRODUCT((Q585:T585/Q$9:T$9)^Q$7:T$7*Q$2:T$2))*(0.8^(1-G585))*AC$9</f>
        <v>2.2941695974677359</v>
      </c>
      <c r="AD585" s="48" cm="1">
        <f t="array" ref="AD585">(SUMPRODUCT((H585:O585/H$9:O$9)^H$7:O$7*H$3:O$3)+SUMPRODUCT((Q585:T585/Q$9:T$9)^Q$7:T$7*Q$3:T$3))*(0.1^(1-G585))*AD$9</f>
        <v>0.34333097226868131</v>
      </c>
      <c r="AE585" s="48" cm="1">
        <f t="array" ref="AE585">(SUMPRODUCT((H585:O585/H$9:O$9)^H$7:O$7*H$4:O$4)+SUMPRODUCT((Q585:T585/Q$9:T$9)^Q$7:T$7*Q$4:T$4))*AE$9</f>
        <v>4.1862582939960271</v>
      </c>
      <c r="AF585" s="47" cm="1">
        <f t="array" ref="AF585">(SUMPRODUCT((H585:O585/H$9:O$9)^H$7:O$7*H$5:O$5)+SUMPRODUCT((Q585:T585/Q$9:T$9)^Q$7:T$7*Q$5:T$5))*AF$9</f>
        <v>2.6660670579706989</v>
      </c>
      <c r="AG585" s="50" cm="1">
        <f t="array" ref="AG585">SUMPRODUCT(AC585:AF585 * AC$3:AF$3) / SUM(AC$3:AF$3)</f>
        <v>1.4825853487218985</v>
      </c>
    </row>
    <row r="586" spans="1:33" x14ac:dyDescent="0.25">
      <c r="A586" s="81" t="s">
        <v>2258</v>
      </c>
      <c r="B586" s="20" t="s">
        <v>2260</v>
      </c>
      <c r="C586" s="4" t="s">
        <v>427</v>
      </c>
      <c r="D586" s="4" t="str">
        <f t="shared" si="9"/>
        <v>Acer</v>
      </c>
      <c r="E586" s="4" t="s">
        <v>8859</v>
      </c>
      <c r="F586" s="14" t="s">
        <v>8902</v>
      </c>
      <c r="G586" s="9">
        <v>0</v>
      </c>
      <c r="H586" s="1">
        <v>44.65</v>
      </c>
      <c r="I586" s="1">
        <v>22.32</v>
      </c>
      <c r="J586" s="1">
        <v>1.4</v>
      </c>
      <c r="K586" s="3">
        <v>2250</v>
      </c>
      <c r="L586" s="13">
        <v>2725</v>
      </c>
      <c r="M586" s="49">
        <v>169.9</v>
      </c>
      <c r="N586" s="1">
        <v>339.8</v>
      </c>
      <c r="O586" s="3">
        <v>32</v>
      </c>
      <c r="P586" s="11" t="s">
        <v>2275</v>
      </c>
      <c r="Q586" s="3">
        <v>8</v>
      </c>
      <c r="R586" s="3">
        <v>128</v>
      </c>
      <c r="S586" s="22">
        <v>18</v>
      </c>
      <c r="T586" s="9">
        <v>165</v>
      </c>
      <c r="U586" s="14" t="s">
        <v>446</v>
      </c>
      <c r="V586" s="12">
        <v>4</v>
      </c>
      <c r="W586" s="75">
        <v>16</v>
      </c>
      <c r="X586" s="76">
        <v>8</v>
      </c>
      <c r="Y586" s="9">
        <v>254.26</v>
      </c>
      <c r="Z586" s="3">
        <v>376.88</v>
      </c>
      <c r="AA586" s="17" t="s">
        <v>2259</v>
      </c>
      <c r="AB586" s="18" t="s">
        <v>2258</v>
      </c>
      <c r="AC586" s="46" cm="1">
        <f t="array" ref="AC586">(SUMPRODUCT((H586:O586/H$9:O$9)^H$7:O$7*H$2:O$2)+SUMPRODUCT((Q586:T586/Q$9:T$9)^Q$7:T$7*Q$2:T$2))*(0.8^(1-G586))*AC$9</f>
        <v>1.6051294743955062</v>
      </c>
      <c r="AD586" s="48" cm="1">
        <f t="array" ref="AD586">(SUMPRODUCT((H586:O586/H$9:O$9)^H$7:O$7*H$3:O$3)+SUMPRODUCT((Q586:T586/Q$9:T$9)^Q$7:T$7*Q$3:T$3))*(0.1^(1-G586))*AD$9</f>
        <v>0.29761020257353299</v>
      </c>
      <c r="AE586" s="48" cm="1">
        <f t="array" ref="AE586">(SUMPRODUCT((H586:O586/H$9:O$9)^H$7:O$7*H$4:O$4)+SUMPRODUCT((Q586:T586/Q$9:T$9)^Q$7:T$7*Q$4:T$4))*AE$9</f>
        <v>3.6517909515111482</v>
      </c>
      <c r="AF586" s="47" cm="1">
        <f t="array" ref="AF586">(SUMPRODUCT((H586:O586/H$9:O$9)^H$7:O$7*H$5:O$5)+SUMPRODUCT((Q586:T586/Q$9:T$9)^Q$7:T$7*Q$5:T$5))*AF$9</f>
        <v>2.0009366470951506</v>
      </c>
      <c r="AG586" s="50" cm="1">
        <f t="array" ref="AG586">SUMPRODUCT(AC586:AF586 * AC$3:AF$3) / SUM(AC$3:AF$3)</f>
        <v>1.1721045718460887</v>
      </c>
    </row>
    <row r="587" spans="1:33" x14ac:dyDescent="0.25">
      <c r="A587" s="81" t="s">
        <v>2096</v>
      </c>
      <c r="B587" s="20" t="s">
        <v>2098</v>
      </c>
      <c r="C587" s="4" t="s">
        <v>427</v>
      </c>
      <c r="D587" s="4" t="str">
        <f t="shared" si="9"/>
        <v>ASUS</v>
      </c>
      <c r="E587" s="4" t="s">
        <v>8859</v>
      </c>
      <c r="F587" s="14" t="s">
        <v>8902</v>
      </c>
      <c r="G587" s="9">
        <v>0</v>
      </c>
      <c r="H587" s="1">
        <v>44.48</v>
      </c>
      <c r="I587" s="1">
        <v>22.24</v>
      </c>
      <c r="J587" s="1">
        <v>1.39</v>
      </c>
      <c r="K587" s="3">
        <v>2250</v>
      </c>
      <c r="L587" s="13">
        <v>2715</v>
      </c>
      <c r="M587" s="49">
        <v>169.9</v>
      </c>
      <c r="N587" s="1">
        <v>339.8</v>
      </c>
      <c r="O587" s="3">
        <v>32</v>
      </c>
      <c r="P587" s="11" t="s">
        <v>2275</v>
      </c>
      <c r="Q587" s="3">
        <v>8</v>
      </c>
      <c r="R587" s="3">
        <v>128</v>
      </c>
      <c r="S587" s="22">
        <v>18</v>
      </c>
      <c r="T587" s="9">
        <v>165</v>
      </c>
      <c r="U587" s="14" t="s">
        <v>446</v>
      </c>
      <c r="V587" s="12">
        <v>4</v>
      </c>
      <c r="W587" s="75">
        <v>16</v>
      </c>
      <c r="X587" s="76">
        <v>8</v>
      </c>
      <c r="Y587" s="9">
        <v>269.91000000000003</v>
      </c>
      <c r="Z587" s="3">
        <v>362</v>
      </c>
      <c r="AA587" s="17" t="s">
        <v>2097</v>
      </c>
      <c r="AB587" s="18" t="s">
        <v>2096</v>
      </c>
      <c r="AC587" s="46" cm="1">
        <f t="array" ref="AC587">(SUMPRODUCT((H587:O587/H$9:O$9)^H$7:O$7*H$2:O$2)+SUMPRODUCT((Q587:T587/Q$9:T$9)^Q$7:T$7*Q$2:T$2))*(0.8^(1-G587))*AC$9</f>
        <v>1.6037825592112807</v>
      </c>
      <c r="AD587" s="48" cm="1">
        <f t="array" ref="AD587">(SUMPRODUCT((H587:O587/H$9:O$9)^H$7:O$7*H$3:O$3)+SUMPRODUCT((Q587:T587/Q$9:T$9)^Q$7:T$7*Q$3:T$3))*(0.1^(1-G587))*AD$9</f>
        <v>0.29672081111464815</v>
      </c>
      <c r="AE587" s="48" cm="1">
        <f t="array" ref="AE587">(SUMPRODUCT((H587:O587/H$9:O$9)^H$7:O$7*H$4:O$4)+SUMPRODUCT((Q587:T587/Q$9:T$9)^Q$7:T$7*Q$4:T$4))*AE$9</f>
        <v>3.6351153204138846</v>
      </c>
      <c r="AF587" s="47" cm="1">
        <f t="array" ref="AF587">(SUMPRODUCT((H587:O587/H$9:O$9)^H$7:O$7*H$5:O$5)+SUMPRODUCT((Q587:T587/Q$9:T$9)^Q$7:T$7*Q$5:T$5))*AF$9</f>
        <v>1.997856559720951</v>
      </c>
      <c r="AG587" s="50" cm="1">
        <f t="array" ref="AG587">SUMPRODUCT(AC587:AF587 * AC$3:AF$3) / SUM(AC$3:AF$3)</f>
        <v>1.169019783820608</v>
      </c>
    </row>
    <row r="588" spans="1:33" x14ac:dyDescent="0.25">
      <c r="A588" s="81" t="s">
        <v>2093</v>
      </c>
      <c r="B588" s="20" t="s">
        <v>2095</v>
      </c>
      <c r="C588" s="4" t="s">
        <v>427</v>
      </c>
      <c r="D588" s="4" t="str">
        <f t="shared" si="9"/>
        <v>ASUS</v>
      </c>
      <c r="E588" s="4" t="s">
        <v>8859</v>
      </c>
      <c r="F588" s="14" t="s">
        <v>8902</v>
      </c>
      <c r="G588" s="9">
        <v>0</v>
      </c>
      <c r="H588" s="1">
        <v>44.48</v>
      </c>
      <c r="I588" s="1">
        <v>22.24</v>
      </c>
      <c r="J588" s="1">
        <v>1.39</v>
      </c>
      <c r="K588" s="3">
        <v>2250</v>
      </c>
      <c r="L588" s="13">
        <v>2715</v>
      </c>
      <c r="M588" s="49">
        <v>169.9</v>
      </c>
      <c r="N588" s="1">
        <v>339.8</v>
      </c>
      <c r="O588" s="3">
        <v>32</v>
      </c>
      <c r="P588" s="11" t="s">
        <v>2275</v>
      </c>
      <c r="Q588" s="3">
        <v>8</v>
      </c>
      <c r="R588" s="3">
        <v>128</v>
      </c>
      <c r="S588" s="22">
        <v>18</v>
      </c>
      <c r="T588" s="9">
        <v>165</v>
      </c>
      <c r="U588" s="14" t="s">
        <v>446</v>
      </c>
      <c r="V588" s="12">
        <v>4</v>
      </c>
      <c r="W588" s="75">
        <v>16</v>
      </c>
      <c r="X588" s="76">
        <v>8</v>
      </c>
      <c r="Y588" s="9">
        <v>289.99</v>
      </c>
      <c r="Z588" s="3">
        <v>493.45</v>
      </c>
      <c r="AA588" s="17" t="s">
        <v>2094</v>
      </c>
      <c r="AB588" s="18" t="s">
        <v>2093</v>
      </c>
      <c r="AC588" s="46" cm="1">
        <f t="array" ref="AC588">(SUMPRODUCT((H588:O588/H$9:O$9)^H$7:O$7*H$2:O$2)+SUMPRODUCT((Q588:T588/Q$9:T$9)^Q$7:T$7*Q$2:T$2))*(0.8^(1-G588))*AC$9</f>
        <v>1.6037825592112807</v>
      </c>
      <c r="AD588" s="48" cm="1">
        <f t="array" ref="AD588">(SUMPRODUCT((H588:O588/H$9:O$9)^H$7:O$7*H$3:O$3)+SUMPRODUCT((Q588:T588/Q$9:T$9)^Q$7:T$7*Q$3:T$3))*(0.1^(1-G588))*AD$9</f>
        <v>0.29672081111464815</v>
      </c>
      <c r="AE588" s="48" cm="1">
        <f t="array" ref="AE588">(SUMPRODUCT((H588:O588/H$9:O$9)^H$7:O$7*H$4:O$4)+SUMPRODUCT((Q588:T588/Q$9:T$9)^Q$7:T$7*Q$4:T$4))*AE$9</f>
        <v>3.6351153204138846</v>
      </c>
      <c r="AF588" s="47" cm="1">
        <f t="array" ref="AF588">(SUMPRODUCT((H588:O588/H$9:O$9)^H$7:O$7*H$5:O$5)+SUMPRODUCT((Q588:T588/Q$9:T$9)^Q$7:T$7*Q$5:T$5))*AF$9</f>
        <v>1.997856559720951</v>
      </c>
      <c r="AG588" s="50" cm="1">
        <f t="array" ref="AG588">SUMPRODUCT(AC588:AF588 * AC$3:AF$3) / SUM(AC$3:AF$3)</f>
        <v>1.169019783820608</v>
      </c>
    </row>
    <row r="589" spans="1:33" x14ac:dyDescent="0.25">
      <c r="A589" s="81" t="s">
        <v>2090</v>
      </c>
      <c r="B589" s="20" t="s">
        <v>2092</v>
      </c>
      <c r="C589" s="4" t="s">
        <v>427</v>
      </c>
      <c r="D589" s="4" t="str">
        <f t="shared" si="9"/>
        <v>ASUS</v>
      </c>
      <c r="E589" s="4" t="s">
        <v>8859</v>
      </c>
      <c r="F589" s="14" t="s">
        <v>8902</v>
      </c>
      <c r="G589" s="9">
        <v>0</v>
      </c>
      <c r="H589" s="1">
        <v>44.97</v>
      </c>
      <c r="I589" s="1">
        <v>22.49</v>
      </c>
      <c r="J589" s="1">
        <v>1.41</v>
      </c>
      <c r="K589" s="3">
        <v>2250</v>
      </c>
      <c r="L589" s="13">
        <v>2745</v>
      </c>
      <c r="M589" s="49">
        <v>169.9</v>
      </c>
      <c r="N589" s="1">
        <v>339.8</v>
      </c>
      <c r="O589" s="3">
        <v>32</v>
      </c>
      <c r="P589" s="11" t="s">
        <v>2275</v>
      </c>
      <c r="Q589" s="3">
        <v>8</v>
      </c>
      <c r="R589" s="3">
        <v>128</v>
      </c>
      <c r="S589" s="22">
        <v>18</v>
      </c>
      <c r="T589" s="9">
        <v>165</v>
      </c>
      <c r="U589" s="14" t="s">
        <v>446</v>
      </c>
      <c r="V589" s="12">
        <v>4</v>
      </c>
      <c r="W589" s="75">
        <v>16</v>
      </c>
      <c r="X589" s="76">
        <v>8</v>
      </c>
      <c r="Y589" s="9">
        <v>355.05</v>
      </c>
      <c r="Z589" s="3">
        <v>699</v>
      </c>
      <c r="AA589" s="17" t="s">
        <v>2091</v>
      </c>
      <c r="AB589" s="18" t="s">
        <v>2090</v>
      </c>
      <c r="AC589" s="46" cm="1">
        <f t="array" ref="AC589">(SUMPRODUCT((H589:O589/H$9:O$9)^H$7:O$7*H$2:O$2)+SUMPRODUCT((Q589:T589/Q$9:T$9)^Q$7:T$7*Q$2:T$2))*(0.8^(1-G589))*AC$9</f>
        <v>1.6078671318962678</v>
      </c>
      <c r="AD589" s="48" cm="1">
        <f t="array" ref="AD589">(SUMPRODUCT((H589:O589/H$9:O$9)^H$7:O$7*H$3:O$3)+SUMPRODUCT((Q589:T589/Q$9:T$9)^Q$7:T$7*Q$3:T$3))*(0.1^(1-G589))*AD$9</f>
        <v>0.29913692705432732</v>
      </c>
      <c r="AE589" s="48" cm="1">
        <f t="array" ref="AE589">(SUMPRODUCT((H589:O589/H$9:O$9)^H$7:O$7*H$4:O$4)+SUMPRODUCT((Q589:T589/Q$9:T$9)^Q$7:T$7*Q$4:T$4))*AE$9</f>
        <v>3.6699733262150867</v>
      </c>
      <c r="AF589" s="47" cm="1">
        <f t="array" ref="AF589">(SUMPRODUCT((H589:O589/H$9:O$9)^H$7:O$7*H$5:O$5)+SUMPRODUCT((Q589:T589/Q$9:T$9)^Q$7:T$7*Q$5:T$5))*AF$9</f>
        <v>2.0072285231535991</v>
      </c>
      <c r="AG589" s="50" cm="1">
        <f t="array" ref="AG589">SUMPRODUCT(AC589:AF589 * AC$3:AF$3) / SUM(AC$3:AF$3)</f>
        <v>1.1764779382290582</v>
      </c>
    </row>
    <row r="590" spans="1:33" x14ac:dyDescent="0.25">
      <c r="A590" s="81" t="s">
        <v>1856</v>
      </c>
      <c r="B590" s="20" t="s">
        <v>1858</v>
      </c>
      <c r="C590" s="4" t="s">
        <v>427</v>
      </c>
      <c r="D590" s="4" t="str">
        <f t="shared" si="9"/>
        <v>ASUS</v>
      </c>
      <c r="E590" s="4" t="s">
        <v>8859</v>
      </c>
      <c r="F590" s="14" t="s">
        <v>8902</v>
      </c>
      <c r="G590" s="9">
        <v>0</v>
      </c>
      <c r="H590" s="1">
        <v>45.14</v>
      </c>
      <c r="I590" s="1">
        <v>22.57</v>
      </c>
      <c r="J590" s="1">
        <v>1.41</v>
      </c>
      <c r="K590" s="3">
        <v>2250</v>
      </c>
      <c r="L590" s="13">
        <v>2755</v>
      </c>
      <c r="M590" s="49">
        <v>169.9</v>
      </c>
      <c r="N590" s="1">
        <v>339.8</v>
      </c>
      <c r="O590" s="3">
        <v>32</v>
      </c>
      <c r="P590" s="11" t="s">
        <v>2275</v>
      </c>
      <c r="Q590" s="3">
        <v>8</v>
      </c>
      <c r="R590" s="3">
        <v>128</v>
      </c>
      <c r="S590" s="22">
        <v>18</v>
      </c>
      <c r="T590" s="9">
        <v>165</v>
      </c>
      <c r="U590" s="14" t="s">
        <v>446</v>
      </c>
      <c r="V590" s="12">
        <v>4</v>
      </c>
      <c r="W590" s="75">
        <v>16</v>
      </c>
      <c r="X590" s="76">
        <v>8</v>
      </c>
      <c r="Y590" s="9">
        <v>627.91999999999996</v>
      </c>
      <c r="Z590" s="3">
        <v>892.5</v>
      </c>
      <c r="AA590" s="17" t="s">
        <v>1857</v>
      </c>
      <c r="AB590" s="18" t="s">
        <v>1856</v>
      </c>
      <c r="AC590" s="46" cm="1">
        <f t="array" ref="AC590">(SUMPRODUCT((H590:O590/H$9:O$9)^H$7:O$7*H$2:O$2)+SUMPRODUCT((Q590:T590/Q$9:T$9)^Q$7:T$7*Q$2:T$2))*(0.8^(1-G590))*AC$9</f>
        <v>1.6092125635942331</v>
      </c>
      <c r="AD590" s="48" cm="1">
        <f t="array" ref="AD590">(SUMPRODUCT((H590:O590/H$9:O$9)^H$7:O$7*H$3:O$3)+SUMPRODUCT((Q590:T590/Q$9:T$9)^Q$7:T$7*Q$3:T$3))*(0.1^(1-G590))*AD$9</f>
        <v>0.29980653588609474</v>
      </c>
      <c r="AE590" s="48" cm="1">
        <f t="array" ref="AE590">(SUMPRODUCT((H590:O590/H$9:O$9)^H$7:O$7*H$4:O$4)+SUMPRODUCT((Q590:T590/Q$9:T$9)^Q$7:T$7*Q$4:T$4))*AE$9</f>
        <v>3.6713320079261442</v>
      </c>
      <c r="AF590" s="47" cm="1">
        <f t="array" ref="AF590">(SUMPRODUCT((H590:O590/H$9:O$9)^H$7:O$7*H$5:O$5)+SUMPRODUCT((Q590:T590/Q$9:T$9)^Q$7:T$7*Q$5:T$5))*AF$9</f>
        <v>2.0103047793157134</v>
      </c>
      <c r="AG590" s="50" cm="1">
        <f t="array" ref="AG590">SUMPRODUCT(AC590:AF590 * AC$3:AF$3) / SUM(AC$3:AF$3)</f>
        <v>1.1777378557468374</v>
      </c>
    </row>
    <row r="591" spans="1:33" x14ac:dyDescent="0.25">
      <c r="A591" s="81" t="s">
        <v>1355</v>
      </c>
      <c r="B591" s="20" t="s">
        <v>1357</v>
      </c>
      <c r="C591" s="4" t="s">
        <v>427</v>
      </c>
      <c r="D591" s="4" t="str">
        <f t="shared" si="9"/>
        <v>GIGABYTE</v>
      </c>
      <c r="E591" s="4" t="s">
        <v>8859</v>
      </c>
      <c r="F591" s="14" t="s">
        <v>8902</v>
      </c>
      <c r="G591" s="9">
        <v>0</v>
      </c>
      <c r="H591" s="1">
        <v>45.14</v>
      </c>
      <c r="I591" s="1">
        <v>22.57</v>
      </c>
      <c r="J591" s="1">
        <v>1.41</v>
      </c>
      <c r="K591" s="3">
        <v>2250</v>
      </c>
      <c r="L591" s="13">
        <v>2755</v>
      </c>
      <c r="M591" s="49">
        <v>169.9</v>
      </c>
      <c r="N591" s="1">
        <v>339.8</v>
      </c>
      <c r="O591" s="3">
        <v>32</v>
      </c>
      <c r="P591" s="11" t="s">
        <v>2275</v>
      </c>
      <c r="Q591" s="3">
        <v>8</v>
      </c>
      <c r="R591" s="3">
        <v>128</v>
      </c>
      <c r="S591" s="22">
        <v>18</v>
      </c>
      <c r="T591" s="9">
        <v>165</v>
      </c>
      <c r="U591" s="14" t="s">
        <v>446</v>
      </c>
      <c r="V591" s="12">
        <v>4</v>
      </c>
      <c r="W591" s="75">
        <v>16</v>
      </c>
      <c r="X591" s="76">
        <v>8</v>
      </c>
      <c r="Y591" s="9">
        <v>266.23</v>
      </c>
      <c r="Z591" s="3">
        <v>368.37</v>
      </c>
      <c r="AA591" s="17" t="s">
        <v>1356</v>
      </c>
      <c r="AB591" s="18" t="s">
        <v>1355</v>
      </c>
      <c r="AC591" s="46" cm="1">
        <f t="array" ref="AC591">(SUMPRODUCT((H591:O591/H$9:O$9)^H$7:O$7*H$2:O$2)+SUMPRODUCT((Q591:T591/Q$9:T$9)^Q$7:T$7*Q$2:T$2))*(0.8^(1-G591))*AC$9</f>
        <v>1.6092125635942331</v>
      </c>
      <c r="AD591" s="48" cm="1">
        <f t="array" ref="AD591">(SUMPRODUCT((H591:O591/H$9:O$9)^H$7:O$7*H$3:O$3)+SUMPRODUCT((Q591:T591/Q$9:T$9)^Q$7:T$7*Q$3:T$3))*(0.1^(1-G591))*AD$9</f>
        <v>0.29980653588609474</v>
      </c>
      <c r="AE591" s="48" cm="1">
        <f t="array" ref="AE591">(SUMPRODUCT((H591:O591/H$9:O$9)^H$7:O$7*H$4:O$4)+SUMPRODUCT((Q591:T591/Q$9:T$9)^Q$7:T$7*Q$4:T$4))*AE$9</f>
        <v>3.6713320079261442</v>
      </c>
      <c r="AF591" s="47" cm="1">
        <f t="array" ref="AF591">(SUMPRODUCT((H591:O591/H$9:O$9)^H$7:O$7*H$5:O$5)+SUMPRODUCT((Q591:T591/Q$9:T$9)^Q$7:T$7*Q$5:T$5))*AF$9</f>
        <v>2.0103047793157134</v>
      </c>
      <c r="AG591" s="50" cm="1">
        <f t="array" ref="AG591">SUMPRODUCT(AC591:AF591 * AC$3:AF$3) / SUM(AC$3:AF$3)</f>
        <v>1.1777378557468374</v>
      </c>
    </row>
    <row r="592" spans="1:33" x14ac:dyDescent="0.25">
      <c r="A592" s="81" t="s">
        <v>796</v>
      </c>
      <c r="B592" s="20" t="s">
        <v>798</v>
      </c>
      <c r="C592" s="4" t="s">
        <v>427</v>
      </c>
      <c r="D592" s="4" t="str">
        <f t="shared" si="9"/>
        <v>MSI</v>
      </c>
      <c r="E592" s="4" t="s">
        <v>8859</v>
      </c>
      <c r="F592" s="14" t="s">
        <v>8902</v>
      </c>
      <c r="G592" s="9">
        <v>0</v>
      </c>
      <c r="H592" s="1">
        <v>44.15</v>
      </c>
      <c r="I592" s="1">
        <v>22.08</v>
      </c>
      <c r="J592" s="1">
        <v>1.38</v>
      </c>
      <c r="K592" s="3">
        <v>2250</v>
      </c>
      <c r="L592" s="13">
        <v>2695</v>
      </c>
      <c r="M592" s="49">
        <v>169.9</v>
      </c>
      <c r="N592" s="1">
        <v>339.8</v>
      </c>
      <c r="O592" s="3">
        <v>32</v>
      </c>
      <c r="P592" s="11" t="s">
        <v>2275</v>
      </c>
      <c r="Q592" s="3">
        <v>8</v>
      </c>
      <c r="R592" s="3">
        <v>128</v>
      </c>
      <c r="S592" s="22">
        <v>18</v>
      </c>
      <c r="T592" s="9">
        <v>165</v>
      </c>
      <c r="U592" s="14" t="s">
        <v>446</v>
      </c>
      <c r="V592" s="12">
        <v>4</v>
      </c>
      <c r="W592" s="75">
        <v>16</v>
      </c>
      <c r="X592" s="76">
        <v>8</v>
      </c>
      <c r="Y592" s="9">
        <v>554.39</v>
      </c>
      <c r="Z592" s="3">
        <v>686.93</v>
      </c>
      <c r="AA592" s="17" t="s">
        <v>797</v>
      </c>
      <c r="AB592" s="18" t="s">
        <v>796</v>
      </c>
      <c r="AC592" s="46" cm="1">
        <f t="array" ref="AC592">(SUMPRODUCT((H592:O592/H$9:O$9)^H$7:O$7*H$2:O$2)+SUMPRODUCT((Q592:T592/Q$9:T$9)^Q$7:T$7*Q$2:T$2))*(0.8^(1-G592))*AC$9</f>
        <v>1.6010872476426798</v>
      </c>
      <c r="AD592" s="48" cm="1">
        <f t="array" ref="AD592">(SUMPRODUCT((H592:O592/H$9:O$9)^H$7:O$7*H$3:O$3)+SUMPRODUCT((Q592:T592/Q$9:T$9)^Q$7:T$7*Q$3:T$3))*(0.1^(1-G592))*AD$9</f>
        <v>0.29518685160214081</v>
      </c>
      <c r="AE592" s="48" cm="1">
        <f t="array" ref="AE592">(SUMPRODUCT((H592:O592/H$9:O$9)^H$7:O$7*H$4:O$4)+SUMPRODUCT((Q592:T592/Q$9:T$9)^Q$7:T$7*Q$4:T$4))*AE$9</f>
        <v>3.6170559679790064</v>
      </c>
      <c r="AF592" s="47" cm="1">
        <f t="array" ref="AF592">(SUMPRODUCT((H592:O592/H$9:O$9)^H$7:O$7*H$5:O$5)+SUMPRODUCT((Q592:T592/Q$9:T$9)^Q$7:T$7*Q$5:T$5))*AF$9</f>
        <v>1.9917381632897873</v>
      </c>
      <c r="AG592" s="50" cm="1">
        <f t="array" ref="AG592">SUMPRODUCT(AC592:AF592 * AC$3:AF$3) / SUM(AC$3:AF$3)</f>
        <v>1.1646920380431569</v>
      </c>
    </row>
    <row r="593" spans="1:33" x14ac:dyDescent="0.25">
      <c r="A593" s="81" t="s">
        <v>2267</v>
      </c>
      <c r="B593" s="20" t="s">
        <v>2269</v>
      </c>
      <c r="C593" s="4" t="s">
        <v>427</v>
      </c>
      <c r="D593" s="4" t="str">
        <f t="shared" si="9"/>
        <v>Acer</v>
      </c>
      <c r="E593" s="4" t="s">
        <v>8859</v>
      </c>
      <c r="F593" s="14" t="s">
        <v>8903</v>
      </c>
      <c r="G593" s="9">
        <v>0</v>
      </c>
      <c r="H593" s="1">
        <v>45.88</v>
      </c>
      <c r="I593" s="1">
        <v>22.94</v>
      </c>
      <c r="J593" s="1">
        <v>0.72</v>
      </c>
      <c r="K593" s="3">
        <v>2250</v>
      </c>
      <c r="L593" s="13">
        <v>2800</v>
      </c>
      <c r="M593" s="49">
        <v>176.3</v>
      </c>
      <c r="N593" s="1">
        <v>352.6</v>
      </c>
      <c r="O593" s="3">
        <v>32</v>
      </c>
      <c r="P593" s="11" t="s">
        <v>2275</v>
      </c>
      <c r="Q593" s="3">
        <v>16</v>
      </c>
      <c r="R593" s="3">
        <v>128</v>
      </c>
      <c r="S593" s="22">
        <v>18</v>
      </c>
      <c r="T593" s="9">
        <v>190</v>
      </c>
      <c r="U593" s="14" t="s">
        <v>576</v>
      </c>
      <c r="V593" s="12">
        <v>4</v>
      </c>
      <c r="W593" s="75">
        <v>16</v>
      </c>
      <c r="X593" s="76">
        <v>8</v>
      </c>
      <c r="Y593" s="9">
        <v>408.27</v>
      </c>
      <c r="Z593" s="3">
        <v>695.99</v>
      </c>
      <c r="AA593" s="17" t="s">
        <v>2268</v>
      </c>
      <c r="AB593" s="18" t="s">
        <v>2267</v>
      </c>
      <c r="AC593" s="46" cm="1">
        <f t="array" ref="AC593">(SUMPRODUCT((H593:O593/H$9:O$9)^H$7:O$7*H$2:O$2)+SUMPRODUCT((Q593:T593/Q$9:T$9)^Q$7:T$7*Q$2:T$2))*(0.8^(1-G593))*AC$9</f>
        <v>1.6878478154965593</v>
      </c>
      <c r="AD593" s="48" cm="1">
        <f t="array" ref="AD593">(SUMPRODUCT((H593:O593/H$9:O$9)^H$7:O$7*H$3:O$3)+SUMPRODUCT((Q593:T593/Q$9:T$9)^Q$7:T$7*Q$3:T$3))*(0.1^(1-G593))*AD$9</f>
        <v>0.30026891160317876</v>
      </c>
      <c r="AE593" s="48" cm="1">
        <f t="array" ref="AE593">(SUMPRODUCT((H593:O593/H$9:O$9)^H$7:O$7*H$4:O$4)+SUMPRODUCT((Q593:T593/Q$9:T$9)^Q$7:T$7*Q$4:T$4))*AE$9</f>
        <v>2.6602942442992381</v>
      </c>
      <c r="AF593" s="47" cm="1">
        <f t="array" ref="AF593">(SUMPRODUCT((H593:O593/H$9:O$9)^H$7:O$7*H$5:O$5)+SUMPRODUCT((Q593:T593/Q$9:T$9)^Q$7:T$7*Q$5:T$5))*AF$9</f>
        <v>2.1027845561413816</v>
      </c>
      <c r="AG593" s="50" cm="1">
        <f t="array" ref="AG593">SUMPRODUCT(AC593:AF593 * AC$3:AF$3) / SUM(AC$3:AF$3)</f>
        <v>1.0941763733080048</v>
      </c>
    </row>
    <row r="594" spans="1:33" x14ac:dyDescent="0.25">
      <c r="A594" s="81" t="s">
        <v>2087</v>
      </c>
      <c r="B594" s="20" t="s">
        <v>2089</v>
      </c>
      <c r="C594" s="4" t="s">
        <v>427</v>
      </c>
      <c r="D594" s="4" t="str">
        <f t="shared" si="9"/>
        <v>ASUS</v>
      </c>
      <c r="E594" s="4" t="s">
        <v>8859</v>
      </c>
      <c r="F594" s="14" t="s">
        <v>8903</v>
      </c>
      <c r="G594" s="9">
        <v>0</v>
      </c>
      <c r="H594" s="1">
        <v>45.89</v>
      </c>
      <c r="I594" s="1">
        <v>22.95</v>
      </c>
      <c r="J594" s="1">
        <v>0.72</v>
      </c>
      <c r="K594" s="3">
        <v>2250</v>
      </c>
      <c r="L594" s="13">
        <v>2801</v>
      </c>
      <c r="M594" s="49">
        <v>176.3</v>
      </c>
      <c r="N594" s="1">
        <v>352.6</v>
      </c>
      <c r="O594" s="3">
        <v>32</v>
      </c>
      <c r="P594" s="11" t="s">
        <v>2275</v>
      </c>
      <c r="Q594" s="3">
        <v>16</v>
      </c>
      <c r="R594" s="3">
        <v>128</v>
      </c>
      <c r="S594" s="22">
        <v>18</v>
      </c>
      <c r="T594" s="9">
        <v>190</v>
      </c>
      <c r="U594" s="14" t="s">
        <v>446</v>
      </c>
      <c r="V594" s="12">
        <v>4</v>
      </c>
      <c r="W594" s="75">
        <v>16</v>
      </c>
      <c r="X594" s="76">
        <v>8</v>
      </c>
      <c r="Y594" s="9">
        <v>357.54</v>
      </c>
      <c r="Z594" s="3">
        <v>758.24</v>
      </c>
      <c r="AA594" s="17" t="s">
        <v>2088</v>
      </c>
      <c r="AB594" s="18" t="s">
        <v>2087</v>
      </c>
      <c r="AC594" s="46" cm="1">
        <f t="array" ref="AC594">(SUMPRODUCT((H594:O594/H$9:O$9)^H$7:O$7*H$2:O$2)+SUMPRODUCT((Q594:T594/Q$9:T$9)^Q$7:T$7*Q$2:T$2))*(0.8^(1-G594))*AC$9</f>
        <v>1.6879911552121862</v>
      </c>
      <c r="AD594" s="48" cm="1">
        <f t="array" ref="AD594">(SUMPRODUCT((H594:O594/H$9:O$9)^H$7:O$7*H$3:O$3)+SUMPRODUCT((Q594:T594/Q$9:T$9)^Q$7:T$7*Q$3:T$3))*(0.1^(1-G594))*AD$9</f>
        <v>0.30032118037847133</v>
      </c>
      <c r="AE594" s="48" cm="1">
        <f t="array" ref="AE594">(SUMPRODUCT((H594:O594/H$9:O$9)^H$7:O$7*H$4:O$4)+SUMPRODUCT((Q594:T594/Q$9:T$9)^Q$7:T$7*Q$4:T$4))*AE$9</f>
        <v>2.6604637697979836</v>
      </c>
      <c r="AF594" s="47" cm="1">
        <f t="array" ref="AF594">(SUMPRODUCT((H594:O594/H$9:O$9)^H$7:O$7*H$5:O$5)+SUMPRODUCT((Q594:T594/Q$9:T$9)^Q$7:T$7*Q$5:T$5))*AF$9</f>
        <v>2.1031050100186244</v>
      </c>
      <c r="AG594" s="50" cm="1">
        <f t="array" ref="AG594">SUMPRODUCT(AC594:AF594 * AC$3:AF$3) / SUM(AC$3:AF$3)</f>
        <v>1.0943015466151729</v>
      </c>
    </row>
    <row r="595" spans="1:33" x14ac:dyDescent="0.25">
      <c r="A595" s="81" t="s">
        <v>1352</v>
      </c>
      <c r="B595" s="20" t="s">
        <v>1354</v>
      </c>
      <c r="C595" s="4" t="s">
        <v>427</v>
      </c>
      <c r="D595" s="4" t="str">
        <f t="shared" si="9"/>
        <v>GIGABYTE</v>
      </c>
      <c r="E595" s="4" t="s">
        <v>8859</v>
      </c>
      <c r="F595" s="14" t="s">
        <v>8903</v>
      </c>
      <c r="G595" s="9">
        <v>0</v>
      </c>
      <c r="H595" s="1">
        <v>46.04</v>
      </c>
      <c r="I595" s="1">
        <v>23.02</v>
      </c>
      <c r="J595" s="1">
        <v>0.72</v>
      </c>
      <c r="K595" s="3">
        <v>2250</v>
      </c>
      <c r="L595" s="13">
        <v>2810</v>
      </c>
      <c r="M595" s="49">
        <v>176.3</v>
      </c>
      <c r="N595" s="1">
        <v>352.6</v>
      </c>
      <c r="O595" s="3">
        <v>32</v>
      </c>
      <c r="P595" s="11" t="s">
        <v>2275</v>
      </c>
      <c r="Q595" s="3">
        <v>16</v>
      </c>
      <c r="R595" s="3">
        <v>128</v>
      </c>
      <c r="S595" s="22">
        <v>18</v>
      </c>
      <c r="T595" s="9">
        <v>190</v>
      </c>
      <c r="U595" s="14" t="s">
        <v>576</v>
      </c>
      <c r="V595" s="12">
        <v>4</v>
      </c>
      <c r="W595" s="75">
        <v>16</v>
      </c>
      <c r="X595" s="76">
        <v>8</v>
      </c>
      <c r="Y595" s="9">
        <v>344.72</v>
      </c>
      <c r="Z595" s="3">
        <v>604.71</v>
      </c>
      <c r="AA595" s="17" t="s">
        <v>1353</v>
      </c>
      <c r="AB595" s="18" t="s">
        <v>1352</v>
      </c>
      <c r="AC595" s="46" cm="1">
        <f t="array" ref="AC595">(SUMPRODUCT((H595:O595/H$9:O$9)^H$7:O$7*H$2:O$2)+SUMPRODUCT((Q595:T595/Q$9:T$9)^Q$7:T$7*Q$2:T$2))*(0.8^(1-G595))*AC$9</f>
        <v>1.6891905864635435</v>
      </c>
      <c r="AD595" s="48" cm="1">
        <f t="array" ref="AD595">(SUMPRODUCT((H595:O595/H$9:O$9)^H$7:O$7*H$3:O$3)+SUMPRODUCT((Q595:T595/Q$9:T$9)^Q$7:T$7*Q$3:T$3))*(0.1^(1-G595))*AD$9</f>
        <v>0.30090952677358312</v>
      </c>
      <c r="AE595" s="48" cm="1">
        <f t="array" ref="AE595">(SUMPRODUCT((H595:O595/H$9:O$9)^H$7:O$7*H$4:O$4)+SUMPRODUCT((Q595:T595/Q$9:T$9)^Q$7:T$7*Q$4:T$4))*AE$9</f>
        <v>2.6616502416631524</v>
      </c>
      <c r="AF595" s="47" cm="1">
        <f t="array" ref="AF595">(SUMPRODUCT((H595:O595/H$9:O$9)^H$7:O$7*H$5:O$5)+SUMPRODUCT((Q595:T595/Q$9:T$9)^Q$7:T$7*Q$5:T$5))*AF$9</f>
        <v>2.1058086155117937</v>
      </c>
      <c r="AG595" s="50" cm="1">
        <f t="array" ref="AG595">SUMPRODUCT(AC595:AF595 * AC$3:AF$3) / SUM(AC$3:AF$3)</f>
        <v>1.0954107420548971</v>
      </c>
    </row>
    <row r="596" spans="1:33" x14ac:dyDescent="0.25">
      <c r="A596" s="81" t="s">
        <v>2264</v>
      </c>
      <c r="B596" s="20" t="s">
        <v>2266</v>
      </c>
      <c r="C596" s="4" t="s">
        <v>427</v>
      </c>
      <c r="D596" s="4" t="str">
        <f t="shared" si="9"/>
        <v>Acer</v>
      </c>
      <c r="E596" s="4" t="s">
        <v>8859</v>
      </c>
      <c r="F596" s="14" t="s">
        <v>8904</v>
      </c>
      <c r="G596" s="9">
        <v>0</v>
      </c>
      <c r="H596" s="1">
        <v>71.86</v>
      </c>
      <c r="I596" s="1">
        <v>35.93</v>
      </c>
      <c r="J596" s="1">
        <v>1.1200000000000001</v>
      </c>
      <c r="K596" s="3">
        <v>2250</v>
      </c>
      <c r="L596" s="13">
        <v>2599</v>
      </c>
      <c r="M596" s="49">
        <v>244.2</v>
      </c>
      <c r="N596" s="1">
        <v>549.5</v>
      </c>
      <c r="O596" s="3">
        <v>54</v>
      </c>
      <c r="P596" s="11" t="s">
        <v>2275</v>
      </c>
      <c r="Q596" s="3">
        <v>12</v>
      </c>
      <c r="R596" s="3">
        <v>192</v>
      </c>
      <c r="S596" s="22">
        <v>18</v>
      </c>
      <c r="T596" s="9">
        <v>245</v>
      </c>
      <c r="U596" s="14" t="s">
        <v>576</v>
      </c>
      <c r="V596" s="12">
        <v>4</v>
      </c>
      <c r="W596" s="75">
        <v>16</v>
      </c>
      <c r="X596" s="76">
        <v>16</v>
      </c>
      <c r="Y596" s="9">
        <v>427.42</v>
      </c>
      <c r="Z596" s="3">
        <v>995.07</v>
      </c>
      <c r="AA596" s="17" t="s">
        <v>2265</v>
      </c>
      <c r="AB596" s="18" t="s">
        <v>2264</v>
      </c>
      <c r="AC596" s="46" cm="1">
        <f t="array" ref="AC596">(SUMPRODUCT((H596:O596/H$9:O$9)^H$7:O$7*H$2:O$2)+SUMPRODUCT((Q596:T596/Q$9:T$9)^Q$7:T$7*Q$2:T$2))*(0.8^(1-G596))*AC$9</f>
        <v>2.0342204458560715</v>
      </c>
      <c r="AD596" s="48" cm="1">
        <f t="array" ref="AD596">(SUMPRODUCT((H596:O596/H$9:O$9)^H$7:O$7*H$3:O$3)+SUMPRODUCT((Q596:T596/Q$9:T$9)^Q$7:T$7*Q$3:T$3))*(0.1^(1-G596))*AD$9</f>
        <v>0.40376383059434656</v>
      </c>
      <c r="AE596" s="48" cm="1">
        <f t="array" ref="AE596">(SUMPRODUCT((H596:O596/H$9:O$9)^H$7:O$7*H$4:O$4)+SUMPRODUCT((Q596:T596/Q$9:T$9)^Q$7:T$7*Q$4:T$4))*AE$9</f>
        <v>3.5601194949878003</v>
      </c>
      <c r="AF596" s="47" cm="1">
        <f t="array" ref="AF596">(SUMPRODUCT((H596:O596/H$9:O$9)^H$7:O$7*H$5:O$5)+SUMPRODUCT((Q596:T596/Q$9:T$9)^Q$7:T$7*Q$5:T$5))*AF$9</f>
        <v>2.7281925698858216</v>
      </c>
      <c r="AG596" s="50" cm="1">
        <f t="array" ref="AG596">SUMPRODUCT(AC596:AF596 * AC$3:AF$3) / SUM(AC$3:AF$3)</f>
        <v>1.4136175746191524</v>
      </c>
    </row>
    <row r="597" spans="1:33" x14ac:dyDescent="0.25">
      <c r="A597" s="81" t="s">
        <v>2084</v>
      </c>
      <c r="B597" s="20" t="s">
        <v>2086</v>
      </c>
      <c r="C597" s="4" t="s">
        <v>427</v>
      </c>
      <c r="D597" s="4" t="str">
        <f t="shared" si="9"/>
        <v>ASUS</v>
      </c>
      <c r="E597" s="4" t="s">
        <v>8859</v>
      </c>
      <c r="F597" s="14" t="s">
        <v>8904</v>
      </c>
      <c r="G597" s="9">
        <v>0</v>
      </c>
      <c r="H597" s="1">
        <v>71.86</v>
      </c>
      <c r="I597" s="1">
        <v>35.93</v>
      </c>
      <c r="J597" s="1">
        <v>1.1200000000000001</v>
      </c>
      <c r="K597" s="3">
        <v>2250</v>
      </c>
      <c r="L597" s="13">
        <v>2599</v>
      </c>
      <c r="M597" s="49">
        <v>244.2</v>
      </c>
      <c r="N597" s="1">
        <v>549.5</v>
      </c>
      <c r="O597" s="3">
        <v>54</v>
      </c>
      <c r="P597" s="11" t="s">
        <v>2275</v>
      </c>
      <c r="Q597" s="3">
        <v>12</v>
      </c>
      <c r="R597" s="3">
        <v>192</v>
      </c>
      <c r="S597" s="22">
        <v>18</v>
      </c>
      <c r="T597" s="9">
        <v>245</v>
      </c>
      <c r="U597" s="14" t="s">
        <v>576</v>
      </c>
      <c r="V597" s="12">
        <v>4</v>
      </c>
      <c r="W597" s="75">
        <v>16</v>
      </c>
      <c r="X597" s="76">
        <v>16</v>
      </c>
      <c r="Y597" s="9">
        <v>438.6</v>
      </c>
      <c r="Z597" s="3">
        <v>537.83000000000004</v>
      </c>
      <c r="AA597" s="17" t="s">
        <v>2085</v>
      </c>
      <c r="AB597" s="18" t="s">
        <v>2084</v>
      </c>
      <c r="AC597" s="46" cm="1">
        <f t="array" ref="AC597">(SUMPRODUCT((H597:O597/H$9:O$9)^H$7:O$7*H$2:O$2)+SUMPRODUCT((Q597:T597/Q$9:T$9)^Q$7:T$7*Q$2:T$2))*(0.8^(1-G597))*AC$9</f>
        <v>2.0342204458560715</v>
      </c>
      <c r="AD597" s="48" cm="1">
        <f t="array" ref="AD597">(SUMPRODUCT((H597:O597/H$9:O$9)^H$7:O$7*H$3:O$3)+SUMPRODUCT((Q597:T597/Q$9:T$9)^Q$7:T$7*Q$3:T$3))*(0.1^(1-G597))*AD$9</f>
        <v>0.40376383059434656</v>
      </c>
      <c r="AE597" s="48" cm="1">
        <f t="array" ref="AE597">(SUMPRODUCT((H597:O597/H$9:O$9)^H$7:O$7*H$4:O$4)+SUMPRODUCT((Q597:T597/Q$9:T$9)^Q$7:T$7*Q$4:T$4))*AE$9</f>
        <v>3.5601194949878003</v>
      </c>
      <c r="AF597" s="47" cm="1">
        <f t="array" ref="AF597">(SUMPRODUCT((H597:O597/H$9:O$9)^H$7:O$7*H$5:O$5)+SUMPRODUCT((Q597:T597/Q$9:T$9)^Q$7:T$7*Q$5:T$5))*AF$9</f>
        <v>2.7281925698858216</v>
      </c>
      <c r="AG597" s="50" cm="1">
        <f t="array" ref="AG597">SUMPRODUCT(AC597:AF597 * AC$3:AF$3) / SUM(AC$3:AF$3)</f>
        <v>1.4136175746191524</v>
      </c>
    </row>
    <row r="598" spans="1:33" x14ac:dyDescent="0.25">
      <c r="A598" s="81" t="s">
        <v>1719</v>
      </c>
      <c r="B598" s="20" t="s">
        <v>1721</v>
      </c>
      <c r="C598" s="4" t="s">
        <v>427</v>
      </c>
      <c r="D598" s="4" t="str">
        <f t="shared" si="9"/>
        <v>ASUS</v>
      </c>
      <c r="E598" s="4" t="s">
        <v>8859</v>
      </c>
      <c r="F598" s="14" t="s">
        <v>8904</v>
      </c>
      <c r="G598" s="9">
        <v>0</v>
      </c>
      <c r="H598" s="1">
        <v>71.86</v>
      </c>
      <c r="I598" s="1">
        <v>35.93</v>
      </c>
      <c r="J598" s="1">
        <v>1.1200000000000001</v>
      </c>
      <c r="K598" s="3">
        <v>2250</v>
      </c>
      <c r="L598" s="13">
        <v>2599</v>
      </c>
      <c r="M598" s="49">
        <v>244.2</v>
      </c>
      <c r="N598" s="1">
        <v>549.5</v>
      </c>
      <c r="O598" s="3">
        <v>54</v>
      </c>
      <c r="P598" s="11" t="s">
        <v>2275</v>
      </c>
      <c r="Q598" s="3">
        <v>12</v>
      </c>
      <c r="R598" s="3">
        <v>192</v>
      </c>
      <c r="S598" s="22">
        <v>18</v>
      </c>
      <c r="T598" s="9">
        <v>245</v>
      </c>
      <c r="U598" s="14" t="s">
        <v>576</v>
      </c>
      <c r="V598" s="12">
        <v>4</v>
      </c>
      <c r="W598" s="75">
        <v>16</v>
      </c>
      <c r="X598" s="76">
        <v>16</v>
      </c>
      <c r="Y598" s="9">
        <v>514.98</v>
      </c>
      <c r="Z598" s="3">
        <v>844.3</v>
      </c>
      <c r="AA598" s="17" t="s">
        <v>1720</v>
      </c>
      <c r="AB598" s="18" t="s">
        <v>1719</v>
      </c>
      <c r="AC598" s="46" cm="1">
        <f t="array" ref="AC598">(SUMPRODUCT((H598:O598/H$9:O$9)^H$7:O$7*H$2:O$2)+SUMPRODUCT((Q598:T598/Q$9:T$9)^Q$7:T$7*Q$2:T$2))*(0.8^(1-G598))*AC$9</f>
        <v>2.0342204458560715</v>
      </c>
      <c r="AD598" s="48" cm="1">
        <f t="array" ref="AD598">(SUMPRODUCT((H598:O598/H$9:O$9)^H$7:O$7*H$3:O$3)+SUMPRODUCT((Q598:T598/Q$9:T$9)^Q$7:T$7*Q$3:T$3))*(0.1^(1-G598))*AD$9</f>
        <v>0.40376383059434656</v>
      </c>
      <c r="AE598" s="48" cm="1">
        <f t="array" ref="AE598">(SUMPRODUCT((H598:O598/H$9:O$9)^H$7:O$7*H$4:O$4)+SUMPRODUCT((Q598:T598/Q$9:T$9)^Q$7:T$7*Q$4:T$4))*AE$9</f>
        <v>3.5601194949878003</v>
      </c>
      <c r="AF598" s="47" cm="1">
        <f t="array" ref="AF598">(SUMPRODUCT((H598:O598/H$9:O$9)^H$7:O$7*H$5:O$5)+SUMPRODUCT((Q598:T598/Q$9:T$9)^Q$7:T$7*Q$5:T$5))*AF$9</f>
        <v>2.7281925698858216</v>
      </c>
      <c r="AG598" s="50" cm="1">
        <f t="array" ref="AG598">SUMPRODUCT(AC598:AF598 * AC$3:AF$3) / SUM(AC$3:AF$3)</f>
        <v>1.4136175746191524</v>
      </c>
    </row>
    <row r="599" spans="1:33" x14ac:dyDescent="0.25">
      <c r="A599" s="81" t="s">
        <v>1349</v>
      </c>
      <c r="B599" s="20" t="s">
        <v>1351</v>
      </c>
      <c r="C599" s="4" t="s">
        <v>427</v>
      </c>
      <c r="D599" s="4" t="str">
        <f t="shared" si="9"/>
        <v>GIGABYTE</v>
      </c>
      <c r="E599" s="4" t="s">
        <v>8859</v>
      </c>
      <c r="F599" s="14" t="s">
        <v>8904</v>
      </c>
      <c r="G599" s="9">
        <v>0</v>
      </c>
      <c r="H599" s="1">
        <v>71.86</v>
      </c>
      <c r="I599" s="1">
        <v>35.93</v>
      </c>
      <c r="J599" s="1">
        <v>1.1200000000000001</v>
      </c>
      <c r="K599" s="3">
        <v>2250</v>
      </c>
      <c r="L599" s="13">
        <v>2599</v>
      </c>
      <c r="M599" s="49">
        <v>244.2</v>
      </c>
      <c r="N599" s="1">
        <v>549.5</v>
      </c>
      <c r="O599" s="3">
        <v>54</v>
      </c>
      <c r="P599" s="11" t="s">
        <v>2275</v>
      </c>
      <c r="Q599" s="3">
        <v>12</v>
      </c>
      <c r="R599" s="3">
        <v>192</v>
      </c>
      <c r="S599" s="22">
        <v>18</v>
      </c>
      <c r="T599" s="9">
        <v>245</v>
      </c>
      <c r="U599" s="14" t="s">
        <v>576</v>
      </c>
      <c r="V599" s="12">
        <v>4</v>
      </c>
      <c r="W599" s="75">
        <v>16</v>
      </c>
      <c r="X599" s="76">
        <v>16</v>
      </c>
      <c r="Y599" s="9">
        <v>429.65</v>
      </c>
      <c r="Z599" s="3">
        <v>515</v>
      </c>
      <c r="AA599" s="17" t="s">
        <v>1350</v>
      </c>
      <c r="AB599" s="18" t="s">
        <v>1349</v>
      </c>
      <c r="AC599" s="46" cm="1">
        <f t="array" ref="AC599">(SUMPRODUCT((H599:O599/H$9:O$9)^H$7:O$7*H$2:O$2)+SUMPRODUCT((Q599:T599/Q$9:T$9)^Q$7:T$7*Q$2:T$2))*(0.8^(1-G599))*AC$9</f>
        <v>2.0342204458560715</v>
      </c>
      <c r="AD599" s="48" cm="1">
        <f t="array" ref="AD599">(SUMPRODUCT((H599:O599/H$9:O$9)^H$7:O$7*H$3:O$3)+SUMPRODUCT((Q599:T599/Q$9:T$9)^Q$7:T$7*Q$3:T$3))*(0.1^(1-G599))*AD$9</f>
        <v>0.40376383059434656</v>
      </c>
      <c r="AE599" s="48" cm="1">
        <f t="array" ref="AE599">(SUMPRODUCT((H599:O599/H$9:O$9)^H$7:O$7*H$4:O$4)+SUMPRODUCT((Q599:T599/Q$9:T$9)^Q$7:T$7*Q$4:T$4))*AE$9</f>
        <v>3.5601194949878003</v>
      </c>
      <c r="AF599" s="47" cm="1">
        <f t="array" ref="AF599">(SUMPRODUCT((H599:O599/H$9:O$9)^H$7:O$7*H$5:O$5)+SUMPRODUCT((Q599:T599/Q$9:T$9)^Q$7:T$7*Q$5:T$5))*AF$9</f>
        <v>2.7281925698858216</v>
      </c>
      <c r="AG599" s="50" cm="1">
        <f t="array" ref="AG599">SUMPRODUCT(AC599:AF599 * AC$3:AF$3) / SUM(AC$3:AF$3)</f>
        <v>1.4136175746191524</v>
      </c>
    </row>
    <row r="600" spans="1:33" x14ac:dyDescent="0.25">
      <c r="A600" s="81" t="s">
        <v>2261</v>
      </c>
      <c r="B600" s="20" t="s">
        <v>2263</v>
      </c>
      <c r="C600" s="4" t="s">
        <v>427</v>
      </c>
      <c r="D600" s="4" t="str">
        <f t="shared" si="9"/>
        <v>Acer</v>
      </c>
      <c r="E600" s="4" t="s">
        <v>8859</v>
      </c>
      <c r="F600" s="14" t="s">
        <v>8905</v>
      </c>
      <c r="G600" s="9">
        <v>0</v>
      </c>
      <c r="H600" s="1">
        <v>78.8</v>
      </c>
      <c r="I600" s="1">
        <v>39.4</v>
      </c>
      <c r="J600" s="1">
        <v>1.23</v>
      </c>
      <c r="K600" s="3">
        <v>2438</v>
      </c>
      <c r="L600" s="13">
        <v>2565</v>
      </c>
      <c r="M600" s="49">
        <v>233.2</v>
      </c>
      <c r="N600" s="1">
        <v>583.20000000000005</v>
      </c>
      <c r="O600" s="3">
        <v>60</v>
      </c>
      <c r="P600" s="11" t="s">
        <v>2275</v>
      </c>
      <c r="Q600" s="3">
        <v>16</v>
      </c>
      <c r="R600" s="3">
        <v>256</v>
      </c>
      <c r="S600" s="22">
        <v>19.5</v>
      </c>
      <c r="T600" s="9">
        <v>263</v>
      </c>
      <c r="U600" s="14" t="s">
        <v>576</v>
      </c>
      <c r="V600" s="12">
        <v>4</v>
      </c>
      <c r="W600" s="75">
        <v>16</v>
      </c>
      <c r="X600" s="76">
        <v>16</v>
      </c>
      <c r="Y600" s="9">
        <v>968.39</v>
      </c>
      <c r="Z600" s="3">
        <v>968.39</v>
      </c>
      <c r="AA600" s="17" t="s">
        <v>2262</v>
      </c>
      <c r="AB600" s="18" t="s">
        <v>2261</v>
      </c>
      <c r="AC600" s="46" cm="1">
        <f t="array" ref="AC600">(SUMPRODUCT((H600:O600/H$9:O$9)^H$7:O$7*H$2:O$2)+SUMPRODUCT((Q600:T600/Q$9:T$9)^Q$7:T$7*Q$2:T$2))*(0.8^(1-G600))*AC$9</f>
        <v>2.1424195907024148</v>
      </c>
      <c r="AD600" s="48" cm="1">
        <f t="array" ref="AD600">(SUMPRODUCT((H600:O600/H$9:O$9)^H$7:O$7*H$3:O$3)+SUMPRODUCT((Q600:T600/Q$9:T$9)^Q$7:T$7*Q$3:T$3))*(0.1^(1-G600))*AD$9</f>
        <v>0.44245157677229296</v>
      </c>
      <c r="AE600" s="48" cm="1">
        <f t="array" ref="AE600">(SUMPRODUCT((H600:O600/H$9:O$9)^H$7:O$7*H$4:O$4)+SUMPRODUCT((Q600:T600/Q$9:T$9)^Q$7:T$7*Q$4:T$4))*AE$9</f>
        <v>3.9123970009034768</v>
      </c>
      <c r="AF600" s="47" cm="1">
        <f t="array" ref="AF600">(SUMPRODUCT((H600:O600/H$9:O$9)^H$7:O$7*H$5:O$5)+SUMPRODUCT((Q600:T600/Q$9:T$9)^Q$7:T$7*Q$5:T$5))*AF$9</f>
        <v>2.9428126126450684</v>
      </c>
      <c r="AG600" s="50" cm="1">
        <f t="array" ref="AG600">SUMPRODUCT(AC600:AF600 * AC$3:AF$3) / SUM(AC$3:AF$3)</f>
        <v>1.5280559099762407</v>
      </c>
    </row>
    <row r="601" spans="1:33" x14ac:dyDescent="0.25">
      <c r="A601" s="81" t="s">
        <v>2255</v>
      </c>
      <c r="B601" s="20" t="s">
        <v>2257</v>
      </c>
      <c r="C601" s="4" t="s">
        <v>427</v>
      </c>
      <c r="D601" s="4" t="str">
        <f t="shared" si="9"/>
        <v>Acer</v>
      </c>
      <c r="E601" s="4" t="s">
        <v>8859</v>
      </c>
      <c r="F601" s="14" t="s">
        <v>8905</v>
      </c>
      <c r="G601" s="9">
        <v>0</v>
      </c>
      <c r="H601" s="1">
        <v>78.8</v>
      </c>
      <c r="I601" s="1">
        <v>39.4</v>
      </c>
      <c r="J601" s="1">
        <v>1.23</v>
      </c>
      <c r="K601" s="3">
        <v>2438</v>
      </c>
      <c r="L601" s="13">
        <v>2565</v>
      </c>
      <c r="M601" s="49">
        <v>233.2</v>
      </c>
      <c r="N601" s="1">
        <v>583.20000000000005</v>
      </c>
      <c r="O601" s="3">
        <v>60</v>
      </c>
      <c r="P601" s="11" t="s">
        <v>2275</v>
      </c>
      <c r="Q601" s="3">
        <v>16</v>
      </c>
      <c r="R601" s="3">
        <v>256</v>
      </c>
      <c r="S601" s="22">
        <v>19.5</v>
      </c>
      <c r="T601" s="9">
        <v>263</v>
      </c>
      <c r="U601" s="14" t="s">
        <v>576</v>
      </c>
      <c r="V601" s="12">
        <v>4</v>
      </c>
      <c r="W601" s="75">
        <v>16</v>
      </c>
      <c r="X601" s="76">
        <v>16</v>
      </c>
      <c r="Y601" s="9">
        <v>551.38</v>
      </c>
      <c r="Z601" s="3">
        <v>725.02</v>
      </c>
      <c r="AA601" s="17" t="s">
        <v>2256</v>
      </c>
      <c r="AB601" s="18" t="s">
        <v>2255</v>
      </c>
      <c r="AC601" s="46" cm="1">
        <f t="array" ref="AC601">(SUMPRODUCT((H601:O601/H$9:O$9)^H$7:O$7*H$2:O$2)+SUMPRODUCT((Q601:T601/Q$9:T$9)^Q$7:T$7*Q$2:T$2))*(0.8^(1-G601))*AC$9</f>
        <v>2.1424195907024148</v>
      </c>
      <c r="AD601" s="48" cm="1">
        <f t="array" ref="AD601">(SUMPRODUCT((H601:O601/H$9:O$9)^H$7:O$7*H$3:O$3)+SUMPRODUCT((Q601:T601/Q$9:T$9)^Q$7:T$7*Q$3:T$3))*(0.1^(1-G601))*AD$9</f>
        <v>0.44245157677229296</v>
      </c>
      <c r="AE601" s="48" cm="1">
        <f t="array" ref="AE601">(SUMPRODUCT((H601:O601/H$9:O$9)^H$7:O$7*H$4:O$4)+SUMPRODUCT((Q601:T601/Q$9:T$9)^Q$7:T$7*Q$4:T$4))*AE$9</f>
        <v>3.9123970009034768</v>
      </c>
      <c r="AF601" s="47" cm="1">
        <f t="array" ref="AF601">(SUMPRODUCT((H601:O601/H$9:O$9)^H$7:O$7*H$5:O$5)+SUMPRODUCT((Q601:T601/Q$9:T$9)^Q$7:T$7*Q$5:T$5))*AF$9</f>
        <v>2.9428126126450684</v>
      </c>
      <c r="AG601" s="50" cm="1">
        <f t="array" ref="AG601">SUMPRODUCT(AC601:AF601 * AC$3:AF$3) / SUM(AC$3:AF$3)</f>
        <v>1.5280559099762407</v>
      </c>
    </row>
    <row r="602" spans="1:33" x14ac:dyDescent="0.25">
      <c r="A602" s="81" t="s">
        <v>2252</v>
      </c>
      <c r="B602" s="20" t="s">
        <v>2254</v>
      </c>
      <c r="C602" s="4" t="s">
        <v>427</v>
      </c>
      <c r="D602" s="4" t="str">
        <f t="shared" si="9"/>
        <v>Acer</v>
      </c>
      <c r="E602" s="4" t="s">
        <v>8859</v>
      </c>
      <c r="F602" s="14" t="s">
        <v>8905</v>
      </c>
      <c r="G602" s="9">
        <v>0</v>
      </c>
      <c r="H602" s="1">
        <v>78.8</v>
      </c>
      <c r="I602" s="1">
        <v>39.4</v>
      </c>
      <c r="J602" s="1">
        <v>1.23</v>
      </c>
      <c r="K602" s="3">
        <v>2438</v>
      </c>
      <c r="L602" s="13">
        <v>2565</v>
      </c>
      <c r="M602" s="49">
        <v>233.2</v>
      </c>
      <c r="N602" s="1">
        <v>583.20000000000005</v>
      </c>
      <c r="O602" s="3">
        <v>60</v>
      </c>
      <c r="P602" s="11" t="s">
        <v>2275</v>
      </c>
      <c r="Q602" s="3">
        <v>16</v>
      </c>
      <c r="R602" s="3">
        <v>256</v>
      </c>
      <c r="S602" s="22">
        <v>19.5</v>
      </c>
      <c r="T602" s="9">
        <v>263</v>
      </c>
      <c r="U602" s="14" t="s">
        <v>576</v>
      </c>
      <c r="V602" s="12">
        <v>4</v>
      </c>
      <c r="W602" s="75">
        <v>16</v>
      </c>
      <c r="X602" s="76">
        <v>16</v>
      </c>
      <c r="Y602" s="9">
        <v>529</v>
      </c>
      <c r="Z602" s="3">
        <v>647.32000000000005</v>
      </c>
      <c r="AA602" s="17" t="s">
        <v>2253</v>
      </c>
      <c r="AB602" s="18" t="s">
        <v>2252</v>
      </c>
      <c r="AC602" s="46" cm="1">
        <f t="array" ref="AC602">(SUMPRODUCT((H602:O602/H$9:O$9)^H$7:O$7*H$2:O$2)+SUMPRODUCT((Q602:T602/Q$9:T$9)^Q$7:T$7*Q$2:T$2))*(0.8^(1-G602))*AC$9</f>
        <v>2.1424195907024148</v>
      </c>
      <c r="AD602" s="48" cm="1">
        <f t="array" ref="AD602">(SUMPRODUCT((H602:O602/H$9:O$9)^H$7:O$7*H$3:O$3)+SUMPRODUCT((Q602:T602/Q$9:T$9)^Q$7:T$7*Q$3:T$3))*(0.1^(1-G602))*AD$9</f>
        <v>0.44245157677229296</v>
      </c>
      <c r="AE602" s="48" cm="1">
        <f t="array" ref="AE602">(SUMPRODUCT((H602:O602/H$9:O$9)^H$7:O$7*H$4:O$4)+SUMPRODUCT((Q602:T602/Q$9:T$9)^Q$7:T$7*Q$4:T$4))*AE$9</f>
        <v>3.9123970009034768</v>
      </c>
      <c r="AF602" s="47" cm="1">
        <f t="array" ref="AF602">(SUMPRODUCT((H602:O602/H$9:O$9)^H$7:O$7*H$5:O$5)+SUMPRODUCT((Q602:T602/Q$9:T$9)^Q$7:T$7*Q$5:T$5))*AF$9</f>
        <v>2.9428126126450684</v>
      </c>
      <c r="AG602" s="50" cm="1">
        <f t="array" ref="AG602">SUMPRODUCT(AC602:AF602 * AC$3:AF$3) / SUM(AC$3:AF$3)</f>
        <v>1.5280559099762407</v>
      </c>
    </row>
    <row r="603" spans="1:33" x14ac:dyDescent="0.25">
      <c r="A603" s="81" t="s">
        <v>2081</v>
      </c>
      <c r="B603" s="20" t="s">
        <v>2083</v>
      </c>
      <c r="C603" s="4" t="s">
        <v>427</v>
      </c>
      <c r="D603" s="4" t="str">
        <f t="shared" si="9"/>
        <v>ASUS</v>
      </c>
      <c r="E603" s="4" t="s">
        <v>8859</v>
      </c>
      <c r="F603" s="14" t="s">
        <v>8905</v>
      </c>
      <c r="G603" s="9">
        <v>0</v>
      </c>
      <c r="H603" s="1">
        <v>77.41</v>
      </c>
      <c r="I603" s="1">
        <v>38.71</v>
      </c>
      <c r="J603" s="1">
        <v>1.21</v>
      </c>
      <c r="K603" s="3">
        <v>2438</v>
      </c>
      <c r="L603" s="13">
        <v>2520</v>
      </c>
      <c r="M603" s="49">
        <v>233.2</v>
      </c>
      <c r="N603" s="1">
        <v>583.20000000000005</v>
      </c>
      <c r="O603" s="3">
        <v>60</v>
      </c>
      <c r="P603" s="11" t="s">
        <v>2275</v>
      </c>
      <c r="Q603" s="3">
        <v>16</v>
      </c>
      <c r="R603" s="3">
        <v>256</v>
      </c>
      <c r="S603" s="22">
        <v>19.5</v>
      </c>
      <c r="T603" s="9">
        <v>263</v>
      </c>
      <c r="U603" s="14" t="s">
        <v>576</v>
      </c>
      <c r="V603" s="12">
        <v>4</v>
      </c>
      <c r="W603" s="75">
        <v>16</v>
      </c>
      <c r="X603" s="76">
        <v>16</v>
      </c>
      <c r="Y603" s="9">
        <v>485.02</v>
      </c>
      <c r="Z603" s="3">
        <v>661.46</v>
      </c>
      <c r="AA603" s="17" t="s">
        <v>2082</v>
      </c>
      <c r="AB603" s="18" t="s">
        <v>2081</v>
      </c>
      <c r="AC603" s="46" cm="1">
        <f t="array" ref="AC603">(SUMPRODUCT((H603:O603/H$9:O$9)^H$7:O$7*H$2:O$2)+SUMPRODUCT((Q603:T603/Q$9:T$9)^Q$7:T$7*Q$2:T$2))*(0.8^(1-G603))*AC$9</f>
        <v>2.1350030122780357</v>
      </c>
      <c r="AD603" s="48" cm="1">
        <f t="array" ref="AD603">(SUMPRODUCT((H603:O603/H$9:O$9)^H$7:O$7*H$3:O$3)+SUMPRODUCT((Q603:T603/Q$9:T$9)^Q$7:T$7*Q$3:T$3))*(0.1^(1-G603))*AD$9</f>
        <v>0.43691936348714439</v>
      </c>
      <c r="AE603" s="48" cm="1">
        <f t="array" ref="AE603">(SUMPRODUCT((H603:O603/H$9:O$9)^H$7:O$7*H$4:O$4)+SUMPRODUCT((Q603:T603/Q$9:T$9)^Q$7:T$7*Q$4:T$4))*AE$9</f>
        <v>3.8698423995618292</v>
      </c>
      <c r="AF603" s="47" cm="1">
        <f t="array" ref="AF603">(SUMPRODUCT((H603:O603/H$9:O$9)^H$7:O$7*H$5:O$5)+SUMPRODUCT((Q603:T603/Q$9:T$9)^Q$7:T$7*Q$5:T$5))*AF$9</f>
        <v>2.9199739661836634</v>
      </c>
      <c r="AG603" s="50" cm="1">
        <f t="array" ref="AG603">SUMPRODUCT(AC603:AF603 * AC$3:AF$3) / SUM(AC$3:AF$3)</f>
        <v>1.5152116316322335</v>
      </c>
    </row>
    <row r="604" spans="1:33" x14ac:dyDescent="0.25">
      <c r="A604" s="81" t="s">
        <v>1716</v>
      </c>
      <c r="B604" s="20" t="s">
        <v>1718</v>
      </c>
      <c r="C604" s="4" t="s">
        <v>427</v>
      </c>
      <c r="D604" s="4" t="str">
        <f t="shared" si="9"/>
        <v>ASUS</v>
      </c>
      <c r="E604" s="4" t="s">
        <v>8859</v>
      </c>
      <c r="F604" s="14" t="s">
        <v>8905</v>
      </c>
      <c r="G604" s="9">
        <v>0</v>
      </c>
      <c r="H604" s="1">
        <v>78.8</v>
      </c>
      <c r="I604" s="1">
        <v>39.4</v>
      </c>
      <c r="J604" s="1">
        <v>1.23</v>
      </c>
      <c r="K604" s="3">
        <v>2438</v>
      </c>
      <c r="L604" s="13">
        <v>2565</v>
      </c>
      <c r="M604" s="49">
        <v>233.2</v>
      </c>
      <c r="N604" s="1">
        <v>583.20000000000005</v>
      </c>
      <c r="O604" s="3">
        <v>60</v>
      </c>
      <c r="P604" s="11" t="s">
        <v>2275</v>
      </c>
      <c r="Q604" s="3">
        <v>16</v>
      </c>
      <c r="R604" s="3">
        <v>256</v>
      </c>
      <c r="S604" s="22">
        <v>19.5</v>
      </c>
      <c r="T604" s="9">
        <v>263</v>
      </c>
      <c r="U604" s="14" t="s">
        <v>576</v>
      </c>
      <c r="V604" s="12">
        <v>4</v>
      </c>
      <c r="W604" s="75">
        <v>16</v>
      </c>
      <c r="X604" s="76">
        <v>16</v>
      </c>
      <c r="Y604" s="9">
        <v>579</v>
      </c>
      <c r="Z604" s="3">
        <v>2100</v>
      </c>
      <c r="AA604" s="17" t="s">
        <v>1717</v>
      </c>
      <c r="AB604" s="18" t="s">
        <v>1716</v>
      </c>
      <c r="AC604" s="46" cm="1">
        <f t="array" ref="AC604">(SUMPRODUCT((H604:O604/H$9:O$9)^H$7:O$7*H$2:O$2)+SUMPRODUCT((Q604:T604/Q$9:T$9)^Q$7:T$7*Q$2:T$2))*(0.8^(1-G604))*AC$9</f>
        <v>2.1424195907024148</v>
      </c>
      <c r="AD604" s="48" cm="1">
        <f t="array" ref="AD604">(SUMPRODUCT((H604:O604/H$9:O$9)^H$7:O$7*H$3:O$3)+SUMPRODUCT((Q604:T604/Q$9:T$9)^Q$7:T$7*Q$3:T$3))*(0.1^(1-G604))*AD$9</f>
        <v>0.44245157677229296</v>
      </c>
      <c r="AE604" s="48" cm="1">
        <f t="array" ref="AE604">(SUMPRODUCT((H604:O604/H$9:O$9)^H$7:O$7*H$4:O$4)+SUMPRODUCT((Q604:T604/Q$9:T$9)^Q$7:T$7*Q$4:T$4))*AE$9</f>
        <v>3.9123970009034768</v>
      </c>
      <c r="AF604" s="47" cm="1">
        <f t="array" ref="AF604">(SUMPRODUCT((H604:O604/H$9:O$9)^H$7:O$7*H$5:O$5)+SUMPRODUCT((Q604:T604/Q$9:T$9)^Q$7:T$7*Q$5:T$5))*AF$9</f>
        <v>2.9428126126450684</v>
      </c>
      <c r="AG604" s="50" cm="1">
        <f t="array" ref="AG604">SUMPRODUCT(AC604:AF604 * AC$3:AF$3) / SUM(AC$3:AF$3)</f>
        <v>1.5280559099762407</v>
      </c>
    </row>
    <row r="605" spans="1:33" x14ac:dyDescent="0.25">
      <c r="A605" s="81" t="s">
        <v>1713</v>
      </c>
      <c r="B605" s="20" t="s">
        <v>1715</v>
      </c>
      <c r="C605" s="4" t="s">
        <v>427</v>
      </c>
      <c r="D605" s="4" t="str">
        <f t="shared" si="9"/>
        <v>ASUS</v>
      </c>
      <c r="E605" s="4" t="s">
        <v>8859</v>
      </c>
      <c r="F605" s="14" t="s">
        <v>8905</v>
      </c>
      <c r="G605" s="9">
        <v>0</v>
      </c>
      <c r="H605" s="1">
        <v>78.8</v>
      </c>
      <c r="I605" s="1">
        <v>39.4</v>
      </c>
      <c r="J605" s="1">
        <v>1.23</v>
      </c>
      <c r="K605" s="3">
        <v>2438</v>
      </c>
      <c r="L605" s="13">
        <v>2565</v>
      </c>
      <c r="M605" s="49">
        <v>233.2</v>
      </c>
      <c r="N605" s="1">
        <v>583.20000000000005</v>
      </c>
      <c r="O605" s="3">
        <v>60</v>
      </c>
      <c r="P605" s="11" t="s">
        <v>2275</v>
      </c>
      <c r="Q605" s="3">
        <v>16</v>
      </c>
      <c r="R605" s="3">
        <v>256</v>
      </c>
      <c r="S605" s="22">
        <v>19.5</v>
      </c>
      <c r="T605" s="9">
        <v>263</v>
      </c>
      <c r="U605" s="14" t="s">
        <v>576</v>
      </c>
      <c r="V605" s="12">
        <v>4</v>
      </c>
      <c r="W605" s="75">
        <v>16</v>
      </c>
      <c r="X605" s="76">
        <v>16</v>
      </c>
      <c r="Y605" s="9">
        <v>662.09</v>
      </c>
      <c r="Z605" s="3">
        <v>1008.27</v>
      </c>
      <c r="AA605" s="17" t="s">
        <v>1714</v>
      </c>
      <c r="AB605" s="18" t="s">
        <v>1713</v>
      </c>
      <c r="AC605" s="46" cm="1">
        <f t="array" ref="AC605">(SUMPRODUCT((H605:O605/H$9:O$9)^H$7:O$7*H$2:O$2)+SUMPRODUCT((Q605:T605/Q$9:T$9)^Q$7:T$7*Q$2:T$2))*(0.8^(1-G605))*AC$9</f>
        <v>2.1424195907024148</v>
      </c>
      <c r="AD605" s="48" cm="1">
        <f t="array" ref="AD605">(SUMPRODUCT((H605:O605/H$9:O$9)^H$7:O$7*H$3:O$3)+SUMPRODUCT((Q605:T605/Q$9:T$9)^Q$7:T$7*Q$3:T$3))*(0.1^(1-G605))*AD$9</f>
        <v>0.44245157677229296</v>
      </c>
      <c r="AE605" s="48" cm="1">
        <f t="array" ref="AE605">(SUMPRODUCT((H605:O605/H$9:O$9)^H$7:O$7*H$4:O$4)+SUMPRODUCT((Q605:T605/Q$9:T$9)^Q$7:T$7*Q$4:T$4))*AE$9</f>
        <v>3.9123970009034768</v>
      </c>
      <c r="AF605" s="47" cm="1">
        <f t="array" ref="AF605">(SUMPRODUCT((H605:O605/H$9:O$9)^H$7:O$7*H$5:O$5)+SUMPRODUCT((Q605:T605/Q$9:T$9)^Q$7:T$7*Q$5:T$5))*AF$9</f>
        <v>2.9428126126450684</v>
      </c>
      <c r="AG605" s="50" cm="1">
        <f t="array" ref="AG605">SUMPRODUCT(AC605:AF605 * AC$3:AF$3) / SUM(AC$3:AF$3)</f>
        <v>1.5280559099762407</v>
      </c>
    </row>
    <row r="606" spans="1:33" x14ac:dyDescent="0.25">
      <c r="A606" s="81" t="s">
        <v>1346</v>
      </c>
      <c r="B606" s="20" t="s">
        <v>1348</v>
      </c>
      <c r="C606" s="4" t="s">
        <v>427</v>
      </c>
      <c r="D606" s="4" t="str">
        <f t="shared" si="9"/>
        <v>GIGABYTE</v>
      </c>
      <c r="E606" s="4" t="s">
        <v>8859</v>
      </c>
      <c r="F606" s="14" t="s">
        <v>8905</v>
      </c>
      <c r="G606" s="9">
        <v>0</v>
      </c>
      <c r="H606" s="1">
        <v>78.8</v>
      </c>
      <c r="I606" s="1">
        <v>39.4</v>
      </c>
      <c r="J606" s="1">
        <v>1.23</v>
      </c>
      <c r="K606" s="3">
        <v>2438</v>
      </c>
      <c r="L606" s="13">
        <v>2565</v>
      </c>
      <c r="M606" s="49">
        <v>233.2</v>
      </c>
      <c r="N606" s="1">
        <v>583.20000000000005</v>
      </c>
      <c r="O606" s="3">
        <v>60</v>
      </c>
      <c r="P606" s="11" t="s">
        <v>2275</v>
      </c>
      <c r="Q606" s="3">
        <v>16</v>
      </c>
      <c r="R606" s="3">
        <v>256</v>
      </c>
      <c r="S606" s="22">
        <v>19.5</v>
      </c>
      <c r="T606" s="9">
        <v>263</v>
      </c>
      <c r="U606" s="14" t="s">
        <v>576</v>
      </c>
      <c r="V606" s="12">
        <v>4</v>
      </c>
      <c r="W606" s="75">
        <v>16</v>
      </c>
      <c r="X606" s="76">
        <v>16</v>
      </c>
      <c r="Y606" s="9">
        <v>501.75</v>
      </c>
      <c r="Z606" s="3">
        <v>679</v>
      </c>
      <c r="AA606" s="17" t="s">
        <v>1347</v>
      </c>
      <c r="AB606" s="18" t="s">
        <v>1346</v>
      </c>
      <c r="AC606" s="46" cm="1">
        <f t="array" ref="AC606">(SUMPRODUCT((H606:O606/H$9:O$9)^H$7:O$7*H$2:O$2)+SUMPRODUCT((Q606:T606/Q$9:T$9)^Q$7:T$7*Q$2:T$2))*(0.8^(1-G606))*AC$9</f>
        <v>2.1424195907024148</v>
      </c>
      <c r="AD606" s="48" cm="1">
        <f t="array" ref="AD606">(SUMPRODUCT((H606:O606/H$9:O$9)^H$7:O$7*H$3:O$3)+SUMPRODUCT((Q606:T606/Q$9:T$9)^Q$7:T$7*Q$3:T$3))*(0.1^(1-G606))*AD$9</f>
        <v>0.44245157677229296</v>
      </c>
      <c r="AE606" s="48" cm="1">
        <f t="array" ref="AE606">(SUMPRODUCT((H606:O606/H$9:O$9)^H$7:O$7*H$4:O$4)+SUMPRODUCT((Q606:T606/Q$9:T$9)^Q$7:T$7*Q$4:T$4))*AE$9</f>
        <v>3.9123970009034768</v>
      </c>
      <c r="AF606" s="47" cm="1">
        <f t="array" ref="AF606">(SUMPRODUCT((H606:O606/H$9:O$9)^H$7:O$7*H$5:O$5)+SUMPRODUCT((Q606:T606/Q$9:T$9)^Q$7:T$7*Q$5:T$5))*AF$9</f>
        <v>2.9428126126450684</v>
      </c>
      <c r="AG606" s="50" cm="1">
        <f t="array" ref="AG606">SUMPRODUCT(AC606:AF606 * AC$3:AF$3) / SUM(AC$3:AF$3)</f>
        <v>1.5280559099762407</v>
      </c>
    </row>
    <row r="607" spans="1:33" x14ac:dyDescent="0.25">
      <c r="A607" s="81" t="s">
        <v>2078</v>
      </c>
      <c r="B607" s="20" t="s">
        <v>2080</v>
      </c>
      <c r="C607" s="4" t="s">
        <v>427</v>
      </c>
      <c r="D607" s="4" t="str">
        <f t="shared" si="9"/>
        <v>ASUS</v>
      </c>
      <c r="E607" s="4" t="s">
        <v>8859</v>
      </c>
      <c r="F607" s="14" t="s">
        <v>8906</v>
      </c>
      <c r="G607" s="9">
        <v>0</v>
      </c>
      <c r="H607" s="1">
        <v>96.91</v>
      </c>
      <c r="I607" s="1">
        <v>48.46</v>
      </c>
      <c r="J607" s="1">
        <v>3.03</v>
      </c>
      <c r="K607" s="3">
        <v>2250</v>
      </c>
      <c r="L607" s="13">
        <v>2366</v>
      </c>
      <c r="M607" s="49">
        <v>431</v>
      </c>
      <c r="N607" s="1">
        <v>718.4</v>
      </c>
      <c r="O607" s="3">
        <v>80</v>
      </c>
      <c r="P607" s="11" t="s">
        <v>2275</v>
      </c>
      <c r="Q607" s="3">
        <v>16</v>
      </c>
      <c r="R607" s="3">
        <v>256</v>
      </c>
      <c r="S607" s="22">
        <v>18</v>
      </c>
      <c r="T607" s="9">
        <v>260</v>
      </c>
      <c r="U607" s="14" t="s">
        <v>576</v>
      </c>
      <c r="V607" s="12">
        <v>4</v>
      </c>
      <c r="W607" s="75">
        <v>16</v>
      </c>
      <c r="X607" s="76">
        <v>16</v>
      </c>
      <c r="Y607" s="9">
        <v>648.47</v>
      </c>
      <c r="Z607" s="3">
        <v>1223.9100000000001</v>
      </c>
      <c r="AA607" s="17" t="s">
        <v>2079</v>
      </c>
      <c r="AB607" s="18" t="s">
        <v>2078</v>
      </c>
      <c r="AC607" s="46" cm="1">
        <f t="array" ref="AC607">(SUMPRODUCT((H607:O607/H$9:O$9)^H$7:O$7*H$2:O$2)+SUMPRODUCT((Q607:T607/Q$9:T$9)^Q$7:T$7*Q$2:T$2))*(0.8^(1-G607))*AC$9</f>
        <v>2.5684494262435846</v>
      </c>
      <c r="AD607" s="48" cm="1">
        <f t="array" ref="AD607">(SUMPRODUCT((H607:O607/H$9:O$9)^H$7:O$7*H$3:O$3)+SUMPRODUCT((Q607:T607/Q$9:T$9)^Q$7:T$7*Q$3:T$3))*(0.1^(1-G607))*AD$9</f>
        <v>0.5414749334740282</v>
      </c>
      <c r="AE607" s="48" cm="1">
        <f t="array" ref="AE607">(SUMPRODUCT((H607:O607/H$9:O$9)^H$7:O$7*H$4:O$4)+SUMPRODUCT((Q607:T607/Q$9:T$9)^Q$7:T$7*Q$4:T$4))*AE$9</f>
        <v>6.5959519680340399</v>
      </c>
      <c r="AF607" s="47" cm="1">
        <f t="array" ref="AF607">(SUMPRODUCT((H607:O607/H$9:O$9)^H$7:O$7*H$5:O$5)+SUMPRODUCT((Q607:T607/Q$9:T$9)^Q$7:T$7*Q$5:T$5))*AF$9</f>
        <v>3.4788836894611754</v>
      </c>
      <c r="AG607" s="50" cm="1">
        <f t="array" ref="AG607">SUMPRODUCT(AC607:AF607 * AC$3:AF$3) / SUM(AC$3:AF$3)</f>
        <v>2.0415918121068137</v>
      </c>
    </row>
    <row r="608" spans="1:33" x14ac:dyDescent="0.25">
      <c r="A608" s="81" t="s">
        <v>1710</v>
      </c>
      <c r="B608" s="20" t="s">
        <v>1712</v>
      </c>
      <c r="C608" s="4" t="s">
        <v>427</v>
      </c>
      <c r="D608" s="4" t="str">
        <f t="shared" si="9"/>
        <v>ASUS</v>
      </c>
      <c r="E608" s="4" t="s">
        <v>8859</v>
      </c>
      <c r="F608" s="14" t="s">
        <v>8906</v>
      </c>
      <c r="G608" s="9">
        <v>0</v>
      </c>
      <c r="H608" s="1">
        <v>97.94</v>
      </c>
      <c r="I608" s="1">
        <v>48.97</v>
      </c>
      <c r="J608" s="1">
        <v>3.06</v>
      </c>
      <c r="K608" s="3">
        <v>2250</v>
      </c>
      <c r="L608" s="13">
        <v>2391</v>
      </c>
      <c r="M608" s="49">
        <v>431</v>
      </c>
      <c r="N608" s="1">
        <v>718.4</v>
      </c>
      <c r="O608" s="3">
        <v>80</v>
      </c>
      <c r="P608" s="11" t="s">
        <v>2275</v>
      </c>
      <c r="Q608" s="3">
        <v>16</v>
      </c>
      <c r="R608" s="3">
        <v>256</v>
      </c>
      <c r="S608" s="22">
        <v>18</v>
      </c>
      <c r="T608" s="9">
        <v>260</v>
      </c>
      <c r="U608" s="14" t="s">
        <v>576</v>
      </c>
      <c r="V608" s="12">
        <v>4</v>
      </c>
      <c r="W608" s="75">
        <v>16</v>
      </c>
      <c r="X608" s="76">
        <v>16</v>
      </c>
      <c r="Y608" s="9">
        <v>817.93</v>
      </c>
      <c r="Z608" s="3">
        <v>1183.03</v>
      </c>
      <c r="AA608" s="17" t="s">
        <v>1711</v>
      </c>
      <c r="AB608" s="18" t="s">
        <v>1710</v>
      </c>
      <c r="AC608" s="46" cm="1">
        <f t="array" ref="AC608">(SUMPRODUCT((H608:O608/H$9:O$9)^H$7:O$7*H$2:O$2)+SUMPRODUCT((Q608:T608/Q$9:T$9)^Q$7:T$7*Q$2:T$2))*(0.8^(1-G608))*AC$9</f>
        <v>2.5730814887008782</v>
      </c>
      <c r="AD608" s="48" cm="1">
        <f t="array" ref="AD608">(SUMPRODUCT((H608:O608/H$9:O$9)^H$7:O$7*H$3:O$3)+SUMPRODUCT((Q608:T608/Q$9:T$9)^Q$7:T$7*Q$3:T$3))*(0.1^(1-G608))*AD$9</f>
        <v>0.54567145441473952</v>
      </c>
      <c r="AE608" s="48" cm="1">
        <f t="array" ref="AE608">(SUMPRODUCT((H608:O608/H$9:O$9)^H$7:O$7*H$4:O$4)+SUMPRODUCT((Q608:T608/Q$9:T$9)^Q$7:T$7*Q$4:T$4))*AE$9</f>
        <v>6.6432757688909598</v>
      </c>
      <c r="AF608" s="47" cm="1">
        <f t="array" ref="AF608">(SUMPRODUCT((H608:O608/H$9:O$9)^H$7:O$7*H$5:O$5)+SUMPRODUCT((Q608:T608/Q$9:T$9)^Q$7:T$7*Q$5:T$5))*AF$9</f>
        <v>3.4949947619429484</v>
      </c>
      <c r="AG608" s="50" cm="1">
        <f t="array" ref="AG608">SUMPRODUCT(AC608:AF608 * AC$3:AF$3) / SUM(AC$3:AF$3)</f>
        <v>2.0526386018811551</v>
      </c>
    </row>
    <row r="609" spans="1:33" x14ac:dyDescent="0.25">
      <c r="A609" s="81" t="s">
        <v>1343</v>
      </c>
      <c r="B609" s="20" t="s">
        <v>1345</v>
      </c>
      <c r="C609" s="4" t="s">
        <v>427</v>
      </c>
      <c r="D609" s="4" t="str">
        <f t="shared" si="9"/>
        <v>GIGABYTE</v>
      </c>
      <c r="E609" s="4" t="s">
        <v>8859</v>
      </c>
      <c r="F609" s="14" t="s">
        <v>8906</v>
      </c>
      <c r="G609" s="9">
        <v>0</v>
      </c>
      <c r="H609" s="1">
        <v>97.94</v>
      </c>
      <c r="I609" s="1">
        <v>48.97</v>
      </c>
      <c r="J609" s="1">
        <v>3.06</v>
      </c>
      <c r="K609" s="3">
        <v>2250</v>
      </c>
      <c r="L609" s="13">
        <v>2391</v>
      </c>
      <c r="M609" s="49">
        <v>431</v>
      </c>
      <c r="N609" s="1">
        <v>718.4</v>
      </c>
      <c r="O609" s="3">
        <v>80</v>
      </c>
      <c r="P609" s="11" t="s">
        <v>2275</v>
      </c>
      <c r="Q609" s="3">
        <v>16</v>
      </c>
      <c r="R609" s="3">
        <v>256</v>
      </c>
      <c r="S609" s="22">
        <v>18</v>
      </c>
      <c r="T609" s="9">
        <v>260</v>
      </c>
      <c r="U609" s="14" t="s">
        <v>576</v>
      </c>
      <c r="V609" s="12">
        <v>4</v>
      </c>
      <c r="W609" s="75">
        <v>16</v>
      </c>
      <c r="X609" s="76">
        <v>16</v>
      </c>
      <c r="Y609" s="9">
        <v>848.28</v>
      </c>
      <c r="Z609" s="3">
        <v>848.28</v>
      </c>
      <c r="AA609" s="17" t="s">
        <v>1344</v>
      </c>
      <c r="AB609" s="18" t="s">
        <v>1343</v>
      </c>
      <c r="AC609" s="46" cm="1">
        <f t="array" ref="AC609">(SUMPRODUCT((H609:O609/H$9:O$9)^H$7:O$7*H$2:O$2)+SUMPRODUCT((Q609:T609/Q$9:T$9)^Q$7:T$7*Q$2:T$2))*(0.8^(1-G609))*AC$9</f>
        <v>2.5730814887008782</v>
      </c>
      <c r="AD609" s="48" cm="1">
        <f t="array" ref="AD609">(SUMPRODUCT((H609:O609/H$9:O$9)^H$7:O$7*H$3:O$3)+SUMPRODUCT((Q609:T609/Q$9:T$9)^Q$7:T$7*Q$3:T$3))*(0.1^(1-G609))*AD$9</f>
        <v>0.54567145441473952</v>
      </c>
      <c r="AE609" s="48" cm="1">
        <f t="array" ref="AE609">(SUMPRODUCT((H609:O609/H$9:O$9)^H$7:O$7*H$4:O$4)+SUMPRODUCT((Q609:T609/Q$9:T$9)^Q$7:T$7*Q$4:T$4))*AE$9</f>
        <v>6.6432757688909598</v>
      </c>
      <c r="AF609" s="47" cm="1">
        <f t="array" ref="AF609">(SUMPRODUCT((H609:O609/H$9:O$9)^H$7:O$7*H$5:O$5)+SUMPRODUCT((Q609:T609/Q$9:T$9)^Q$7:T$7*Q$5:T$5))*AF$9</f>
        <v>3.4949947619429484</v>
      </c>
      <c r="AG609" s="50" cm="1">
        <f t="array" ref="AG609">SUMPRODUCT(AC609:AF609 * AC$3:AF$3) / SUM(AC$3:AF$3)</f>
        <v>2.0526386018811551</v>
      </c>
    </row>
    <row r="610" spans="1:33" x14ac:dyDescent="0.25">
      <c r="A610" s="81" t="s">
        <v>2075</v>
      </c>
      <c r="B610" s="20" t="s">
        <v>2077</v>
      </c>
      <c r="C610" s="4" t="s">
        <v>427</v>
      </c>
      <c r="D610" s="4" t="str">
        <f t="shared" si="9"/>
        <v>ASUS</v>
      </c>
      <c r="E610" s="4" t="s">
        <v>8859</v>
      </c>
      <c r="F610" s="14" t="s">
        <v>8907</v>
      </c>
      <c r="G610" s="9">
        <v>0</v>
      </c>
      <c r="H610" s="1">
        <v>109.03</v>
      </c>
      <c r="I610" s="1">
        <v>54.51</v>
      </c>
      <c r="J610" s="1">
        <v>3.41</v>
      </c>
      <c r="K610" s="3">
        <v>2500</v>
      </c>
      <c r="L610" s="13">
        <v>2535</v>
      </c>
      <c r="M610" s="49">
        <v>460.8</v>
      </c>
      <c r="N610" s="1">
        <v>806.4</v>
      </c>
      <c r="O610" s="3">
        <v>84</v>
      </c>
      <c r="P610" s="11" t="s">
        <v>2275</v>
      </c>
      <c r="Q610" s="3">
        <v>20</v>
      </c>
      <c r="R610" s="3">
        <v>320</v>
      </c>
      <c r="S610" s="22">
        <v>20</v>
      </c>
      <c r="T610" s="9">
        <v>315</v>
      </c>
      <c r="U610" s="14" t="s">
        <v>583</v>
      </c>
      <c r="V610" s="12">
        <v>4</v>
      </c>
      <c r="W610" s="75">
        <v>16</v>
      </c>
      <c r="X610" s="76">
        <v>16</v>
      </c>
      <c r="Y610" s="9">
        <v>772</v>
      </c>
      <c r="Z610" s="3">
        <v>1730.66</v>
      </c>
      <c r="AA610" s="17" t="s">
        <v>2076</v>
      </c>
      <c r="AB610" s="18" t="s">
        <v>2075</v>
      </c>
      <c r="AC610" s="46" cm="1">
        <f t="array" ref="AC610">(SUMPRODUCT((H610:O610/H$9:O$9)^H$7:O$7*H$2:O$2)+SUMPRODUCT((Q610:T610/Q$9:T$9)^Q$7:T$7*Q$2:T$2))*(0.8^(1-G610))*AC$9</f>
        <v>2.7933759648805192</v>
      </c>
      <c r="AD610" s="48" cm="1">
        <f t="array" ref="AD610">(SUMPRODUCT((H610:O610/H$9:O$9)^H$7:O$7*H$3:O$3)+SUMPRODUCT((Q610:T610/Q$9:T$9)^Q$7:T$7*Q$3:T$3))*(0.1^(1-G610))*AD$9</f>
        <v>0.60139291143692786</v>
      </c>
      <c r="AE610" s="48" cm="1">
        <f t="array" ref="AE610">(SUMPRODUCT((H610:O610/H$9:O$9)^H$7:O$7*H$4:O$4)+SUMPRODUCT((Q610:T610/Q$9:T$9)^Q$7:T$7*Q$4:T$4))*AE$9</f>
        <v>7.3012632925572003</v>
      </c>
      <c r="AF610" s="47" cm="1">
        <f t="array" ref="AF610">(SUMPRODUCT((H610:O610/H$9:O$9)^H$7:O$7*H$5:O$5)+SUMPRODUCT((Q610:T610/Q$9:T$9)^Q$7:T$7*Q$5:T$5))*AF$9</f>
        <v>3.8235455321918002</v>
      </c>
      <c r="AG610" s="50" cm="1">
        <f t="array" ref="AG610">SUMPRODUCT(AC610:AF610 * AC$3:AF$3) / SUM(AC$3:AF$3)</f>
        <v>2.2481788994833689</v>
      </c>
    </row>
    <row r="611" spans="1:33" x14ac:dyDescent="0.25">
      <c r="A611" s="81" t="s">
        <v>1707</v>
      </c>
      <c r="B611" s="20" t="s">
        <v>1709</v>
      </c>
      <c r="C611" s="4" t="s">
        <v>427</v>
      </c>
      <c r="D611" s="4" t="str">
        <f t="shared" si="9"/>
        <v>ASUS</v>
      </c>
      <c r="E611" s="4" t="s">
        <v>8859</v>
      </c>
      <c r="F611" s="14" t="s">
        <v>8907</v>
      </c>
      <c r="G611" s="9">
        <v>0</v>
      </c>
      <c r="H611" s="1">
        <v>109.03</v>
      </c>
      <c r="I611" s="1">
        <v>54.51</v>
      </c>
      <c r="J611" s="1">
        <v>3.41</v>
      </c>
      <c r="K611" s="3">
        <v>2500</v>
      </c>
      <c r="L611" s="13">
        <v>2535</v>
      </c>
      <c r="M611" s="49">
        <v>460.8</v>
      </c>
      <c r="N611" s="1">
        <v>806.4</v>
      </c>
      <c r="O611" s="3">
        <v>84</v>
      </c>
      <c r="P611" s="11" t="s">
        <v>2275</v>
      </c>
      <c r="Q611" s="3">
        <v>20</v>
      </c>
      <c r="R611" s="3">
        <v>320</v>
      </c>
      <c r="S611" s="22">
        <v>20</v>
      </c>
      <c r="T611" s="9">
        <v>315</v>
      </c>
      <c r="U611" s="14" t="s">
        <v>583</v>
      </c>
      <c r="V611" s="12">
        <v>4</v>
      </c>
      <c r="W611" s="75">
        <v>16</v>
      </c>
      <c r="X611" s="76">
        <v>16</v>
      </c>
      <c r="Y611" s="9">
        <v>760</v>
      </c>
      <c r="Z611" s="3">
        <v>1256</v>
      </c>
      <c r="AA611" s="17" t="s">
        <v>1708</v>
      </c>
      <c r="AB611" s="18" t="s">
        <v>1707</v>
      </c>
      <c r="AC611" s="46" cm="1">
        <f t="array" ref="AC611">(SUMPRODUCT((H611:O611/H$9:O$9)^H$7:O$7*H$2:O$2)+SUMPRODUCT((Q611:T611/Q$9:T$9)^Q$7:T$7*Q$2:T$2))*(0.8^(1-G611))*AC$9</f>
        <v>2.7933759648805192</v>
      </c>
      <c r="AD611" s="48" cm="1">
        <f t="array" ref="AD611">(SUMPRODUCT((H611:O611/H$9:O$9)^H$7:O$7*H$3:O$3)+SUMPRODUCT((Q611:T611/Q$9:T$9)^Q$7:T$7*Q$3:T$3))*(0.1^(1-G611))*AD$9</f>
        <v>0.60139291143692786</v>
      </c>
      <c r="AE611" s="48" cm="1">
        <f t="array" ref="AE611">(SUMPRODUCT((H611:O611/H$9:O$9)^H$7:O$7*H$4:O$4)+SUMPRODUCT((Q611:T611/Q$9:T$9)^Q$7:T$7*Q$4:T$4))*AE$9</f>
        <v>7.3012632925572003</v>
      </c>
      <c r="AF611" s="47" cm="1">
        <f t="array" ref="AF611">(SUMPRODUCT((H611:O611/H$9:O$9)^H$7:O$7*H$5:O$5)+SUMPRODUCT((Q611:T611/Q$9:T$9)^Q$7:T$7*Q$5:T$5))*AF$9</f>
        <v>3.8235455321918002</v>
      </c>
      <c r="AG611" s="50" cm="1">
        <f t="array" ref="AG611">SUMPRODUCT(AC611:AF611 * AC$3:AF$3) / SUM(AC$3:AF$3)</f>
        <v>2.2481788994833689</v>
      </c>
    </row>
    <row r="612" spans="1:33" x14ac:dyDescent="0.25">
      <c r="A612" s="81" t="s">
        <v>1340</v>
      </c>
      <c r="B612" s="20" t="s">
        <v>1342</v>
      </c>
      <c r="C612" s="4" t="s">
        <v>427</v>
      </c>
      <c r="D612" s="4" t="str">
        <f t="shared" si="9"/>
        <v>GIGABYTE</v>
      </c>
      <c r="E612" s="4" t="s">
        <v>8859</v>
      </c>
      <c r="F612" s="14" t="s">
        <v>8907</v>
      </c>
      <c r="G612" s="9">
        <v>0</v>
      </c>
      <c r="H612" s="1">
        <v>109.03</v>
      </c>
      <c r="I612" s="1">
        <v>54.51</v>
      </c>
      <c r="J612" s="1">
        <v>3.41</v>
      </c>
      <c r="K612" s="3">
        <v>2500</v>
      </c>
      <c r="L612" s="13">
        <v>2535</v>
      </c>
      <c r="M612" s="49">
        <v>460.8</v>
      </c>
      <c r="N612" s="1">
        <v>806.4</v>
      </c>
      <c r="O612" s="3">
        <v>84</v>
      </c>
      <c r="P612" s="11" t="s">
        <v>2275</v>
      </c>
      <c r="Q612" s="3">
        <v>20</v>
      </c>
      <c r="R612" s="3">
        <v>320</v>
      </c>
      <c r="S612" s="22">
        <v>20</v>
      </c>
      <c r="T612" s="9">
        <v>315</v>
      </c>
      <c r="U612" s="14" t="s">
        <v>576</v>
      </c>
      <c r="V612" s="12">
        <v>4</v>
      </c>
      <c r="W612" s="75">
        <v>16</v>
      </c>
      <c r="X612" s="76">
        <v>16</v>
      </c>
      <c r="Y612" s="9">
        <v>813.4</v>
      </c>
      <c r="Z612" s="3">
        <v>1553.29</v>
      </c>
      <c r="AA612" s="17" t="s">
        <v>1341</v>
      </c>
      <c r="AB612" s="18" t="s">
        <v>1340</v>
      </c>
      <c r="AC612" s="46" cm="1">
        <f t="array" ref="AC612">(SUMPRODUCT((H612:O612/H$9:O$9)^H$7:O$7*H$2:O$2)+SUMPRODUCT((Q612:T612/Q$9:T$9)^Q$7:T$7*Q$2:T$2))*(0.8^(1-G612))*AC$9</f>
        <v>2.7933759648805192</v>
      </c>
      <c r="AD612" s="48" cm="1">
        <f t="array" ref="AD612">(SUMPRODUCT((H612:O612/H$9:O$9)^H$7:O$7*H$3:O$3)+SUMPRODUCT((Q612:T612/Q$9:T$9)^Q$7:T$7*Q$3:T$3))*(0.1^(1-G612))*AD$9</f>
        <v>0.60139291143692786</v>
      </c>
      <c r="AE612" s="48" cm="1">
        <f t="array" ref="AE612">(SUMPRODUCT((H612:O612/H$9:O$9)^H$7:O$7*H$4:O$4)+SUMPRODUCT((Q612:T612/Q$9:T$9)^Q$7:T$7*Q$4:T$4))*AE$9</f>
        <v>7.3012632925572003</v>
      </c>
      <c r="AF612" s="47" cm="1">
        <f t="array" ref="AF612">(SUMPRODUCT((H612:O612/H$9:O$9)^H$7:O$7*H$5:O$5)+SUMPRODUCT((Q612:T612/Q$9:T$9)^Q$7:T$7*Q$5:T$5))*AF$9</f>
        <v>3.8235455321918002</v>
      </c>
      <c r="AG612" s="50" cm="1">
        <f t="array" ref="AG612">SUMPRODUCT(AC612:AF612 * AC$3:AF$3) / SUM(AC$3:AF$3)</f>
        <v>2.2481788994833689</v>
      </c>
    </row>
    <row r="613" spans="1:33" x14ac:dyDescent="0.25">
      <c r="A613" s="81" t="s">
        <v>794</v>
      </c>
      <c r="B613" s="20" t="s">
        <v>450</v>
      </c>
      <c r="C613" s="4" t="s">
        <v>427</v>
      </c>
      <c r="D613" s="4" t="str">
        <f t="shared" si="9"/>
        <v>MSI</v>
      </c>
      <c r="E613" s="4" t="s">
        <v>8859</v>
      </c>
      <c r="F613" s="14" t="s">
        <v>8907</v>
      </c>
      <c r="G613" s="9">
        <v>0</v>
      </c>
      <c r="H613" s="1">
        <v>103.22</v>
      </c>
      <c r="I613" s="1">
        <v>51.61</v>
      </c>
      <c r="J613" s="1">
        <v>3.23</v>
      </c>
      <c r="K613" s="3">
        <v>2500</v>
      </c>
      <c r="L613" s="13">
        <v>2400</v>
      </c>
      <c r="M613" s="49">
        <v>460.8</v>
      </c>
      <c r="N613" s="1">
        <v>806.4</v>
      </c>
      <c r="O613" s="3">
        <v>84</v>
      </c>
      <c r="P613" s="11" t="s">
        <v>2275</v>
      </c>
      <c r="Q613" s="3">
        <v>20</v>
      </c>
      <c r="R613" s="3">
        <v>320</v>
      </c>
      <c r="S613" s="22">
        <v>20</v>
      </c>
      <c r="T613" s="9">
        <v>315</v>
      </c>
      <c r="U613" s="14" t="s">
        <v>583</v>
      </c>
      <c r="V613" s="12">
        <v>4</v>
      </c>
      <c r="W613" s="75">
        <v>16</v>
      </c>
      <c r="X613" s="76">
        <v>16</v>
      </c>
      <c r="Y613" s="9">
        <v>1793.85</v>
      </c>
      <c r="Z613" s="3">
        <v>1793.85</v>
      </c>
      <c r="AA613" s="17" t="s">
        <v>795</v>
      </c>
      <c r="AB613" s="18" t="s">
        <v>794</v>
      </c>
      <c r="AC613" s="46" cm="1">
        <f t="array" ref="AC613">(SUMPRODUCT((H613:O613/H$9:O$9)^H$7:O$7*H$2:O$2)+SUMPRODUCT((Q613:T613/Q$9:T$9)^Q$7:T$7*Q$2:T$2))*(0.8^(1-G613))*AC$9</f>
        <v>2.7679031578492084</v>
      </c>
      <c r="AD613" s="48" cm="1">
        <f t="array" ref="AD613">(SUMPRODUCT((H613:O613/H$9:O$9)^H$7:O$7*H$3:O$3)+SUMPRODUCT((Q613:T613/Q$9:T$9)^Q$7:T$7*Q$3:T$3))*(0.1^(1-G613))*AD$9</f>
        <v>0.57777620950298059</v>
      </c>
      <c r="AE613" s="48" cm="1">
        <f t="array" ref="AE613">(SUMPRODUCT((H613:O613/H$9:O$9)^H$7:O$7*H$4:O$4)+SUMPRODUCT((Q613:T613/Q$9:T$9)^Q$7:T$7*Q$4:T$4))*AE$9</f>
        <v>7.0242599982651797</v>
      </c>
      <c r="AF613" s="47" cm="1">
        <f t="array" ref="AF613">(SUMPRODUCT((H613:O613/H$9:O$9)^H$7:O$7*H$5:O$5)+SUMPRODUCT((Q613:T613/Q$9:T$9)^Q$7:T$7*Q$5:T$5))*AF$9</f>
        <v>3.7333209107093612</v>
      </c>
      <c r="AG613" s="50" cm="1">
        <f t="array" ref="AG613">SUMPRODUCT(AC613:AF613 * AC$3:AF$3) / SUM(AC$3:AF$3)</f>
        <v>2.1849974609575487</v>
      </c>
    </row>
    <row r="614" spans="1:33" x14ac:dyDescent="0.25">
      <c r="A614" s="81" t="s">
        <v>2072</v>
      </c>
      <c r="B614" s="20" t="s">
        <v>2074</v>
      </c>
      <c r="C614" s="4" t="s">
        <v>427</v>
      </c>
      <c r="D614" s="4" t="str">
        <f t="shared" si="9"/>
        <v>ASUS</v>
      </c>
      <c r="E614" s="4" t="s">
        <v>8859</v>
      </c>
      <c r="F614" s="14" t="s">
        <v>8908</v>
      </c>
      <c r="G614" s="9">
        <v>0</v>
      </c>
      <c r="H614" s="1">
        <v>128.53</v>
      </c>
      <c r="I614" s="1">
        <v>64.27</v>
      </c>
      <c r="J614" s="1">
        <v>4.0199999999999996</v>
      </c>
      <c r="K614" s="3">
        <v>2500</v>
      </c>
      <c r="L614" s="13">
        <v>2615</v>
      </c>
      <c r="M614" s="49">
        <v>480</v>
      </c>
      <c r="N614" s="1">
        <v>960</v>
      </c>
      <c r="O614" s="3">
        <v>96</v>
      </c>
      <c r="P614" s="11" t="s">
        <v>2275</v>
      </c>
      <c r="Q614" s="3">
        <v>24</v>
      </c>
      <c r="R614" s="3">
        <v>384</v>
      </c>
      <c r="S614" s="22">
        <v>20</v>
      </c>
      <c r="T614" s="9">
        <v>355</v>
      </c>
      <c r="U614" s="14" t="s">
        <v>583</v>
      </c>
      <c r="V614" s="12">
        <v>4</v>
      </c>
      <c r="W614" s="75">
        <v>16</v>
      </c>
      <c r="X614" s="76">
        <v>16</v>
      </c>
      <c r="Y614" s="9">
        <v>899</v>
      </c>
      <c r="Z614" s="3">
        <v>1357.96</v>
      </c>
      <c r="AA614" s="17" t="s">
        <v>2073</v>
      </c>
      <c r="AB614" s="18" t="s">
        <v>2072</v>
      </c>
      <c r="AC614" s="46" cm="1">
        <f t="array" ref="AC614">(SUMPRODUCT((H614:O614/H$9:O$9)^H$7:O$7*H$2:O$2)+SUMPRODUCT((Q614:T614/Q$9:T$9)^Q$7:T$7*Q$2:T$2))*(0.8^(1-G614))*AC$9</f>
        <v>3.0422156417368562</v>
      </c>
      <c r="AD614" s="48" cm="1">
        <f t="array" ref="AD614">(SUMPRODUCT((H614:O614/H$9:O$9)^H$7:O$7*H$3:O$3)+SUMPRODUCT((Q614:T614/Q$9:T$9)^Q$7:T$7*Q$3:T$3))*(0.1^(1-G614))*AD$9</f>
        <v>0.68762649995332414</v>
      </c>
      <c r="AE614" s="48" cm="1">
        <f t="array" ref="AE614">(SUMPRODUCT((H614:O614/H$9:O$9)^H$7:O$7*H$4:O$4)+SUMPRODUCT((Q614:T614/Q$9:T$9)^Q$7:T$7*Q$4:T$4))*AE$9</f>
        <v>8.3154718394959417</v>
      </c>
      <c r="AF614" s="47" cm="1">
        <f t="array" ref="AF614">(SUMPRODUCT((H614:O614/H$9:O$9)^H$7:O$7*H$5:O$5)+SUMPRODUCT((Q614:T614/Q$9:T$9)^Q$7:T$7*Q$5:T$5))*AF$9</f>
        <v>4.2792362350358566</v>
      </c>
      <c r="AG614" s="50" cm="1">
        <f t="array" ref="AG614">SUMPRODUCT(AC614:AF614 * AC$3:AF$3) / SUM(AC$3:AF$3)</f>
        <v>2.5261980171579594</v>
      </c>
    </row>
    <row r="615" spans="1:33" x14ac:dyDescent="0.25">
      <c r="A615" s="81" t="s">
        <v>1704</v>
      </c>
      <c r="B615" s="20" t="s">
        <v>1706</v>
      </c>
      <c r="C615" s="4" t="s">
        <v>427</v>
      </c>
      <c r="D615" s="4" t="str">
        <f t="shared" si="9"/>
        <v>ASUS</v>
      </c>
      <c r="E615" s="4" t="s">
        <v>8859</v>
      </c>
      <c r="F615" s="14" t="s">
        <v>8908</v>
      </c>
      <c r="G615" s="9">
        <v>0</v>
      </c>
      <c r="H615" s="1">
        <v>128.53</v>
      </c>
      <c r="I615" s="1">
        <v>64.27</v>
      </c>
      <c r="J615" s="1">
        <v>4.0199999999999996</v>
      </c>
      <c r="K615" s="3">
        <v>2500</v>
      </c>
      <c r="L615" s="13">
        <v>2615</v>
      </c>
      <c r="M615" s="49">
        <v>480</v>
      </c>
      <c r="N615" s="1">
        <v>960</v>
      </c>
      <c r="O615" s="3">
        <v>96</v>
      </c>
      <c r="P615" s="11" t="s">
        <v>2275</v>
      </c>
      <c r="Q615" s="3">
        <v>24</v>
      </c>
      <c r="R615" s="3">
        <v>384</v>
      </c>
      <c r="S615" s="22">
        <v>20</v>
      </c>
      <c r="T615" s="9">
        <v>355</v>
      </c>
      <c r="U615" s="14" t="s">
        <v>583</v>
      </c>
      <c r="V615" s="12">
        <v>4</v>
      </c>
      <c r="W615" s="75">
        <v>16</v>
      </c>
      <c r="X615" s="76">
        <v>16</v>
      </c>
      <c r="Y615" s="9">
        <v>1076.82</v>
      </c>
      <c r="Z615" s="3">
        <v>1528</v>
      </c>
      <c r="AA615" s="17" t="s">
        <v>1705</v>
      </c>
      <c r="AB615" s="18" t="s">
        <v>1704</v>
      </c>
      <c r="AC615" s="46" cm="1">
        <f t="array" ref="AC615">(SUMPRODUCT((H615:O615/H$9:O$9)^H$7:O$7*H$2:O$2)+SUMPRODUCT((Q615:T615/Q$9:T$9)^Q$7:T$7*Q$2:T$2))*(0.8^(1-G615))*AC$9</f>
        <v>3.0422156417368562</v>
      </c>
      <c r="AD615" s="48" cm="1">
        <f t="array" ref="AD615">(SUMPRODUCT((H615:O615/H$9:O$9)^H$7:O$7*H$3:O$3)+SUMPRODUCT((Q615:T615/Q$9:T$9)^Q$7:T$7*Q$3:T$3))*(0.1^(1-G615))*AD$9</f>
        <v>0.68762649995332414</v>
      </c>
      <c r="AE615" s="48" cm="1">
        <f t="array" ref="AE615">(SUMPRODUCT((H615:O615/H$9:O$9)^H$7:O$7*H$4:O$4)+SUMPRODUCT((Q615:T615/Q$9:T$9)^Q$7:T$7*Q$4:T$4))*AE$9</f>
        <v>8.3154718394959417</v>
      </c>
      <c r="AF615" s="47" cm="1">
        <f t="array" ref="AF615">(SUMPRODUCT((H615:O615/H$9:O$9)^H$7:O$7*H$5:O$5)+SUMPRODUCT((Q615:T615/Q$9:T$9)^Q$7:T$7*Q$5:T$5))*AF$9</f>
        <v>4.2792362350358566</v>
      </c>
      <c r="AG615" s="50" cm="1">
        <f t="array" ref="AG615">SUMPRODUCT(AC615:AF615 * AC$3:AF$3) / SUM(AC$3:AF$3)</f>
        <v>2.5261980171579594</v>
      </c>
    </row>
    <row r="616" spans="1:33" x14ac:dyDescent="0.25">
      <c r="A616" s="81" t="s">
        <v>1337</v>
      </c>
      <c r="B616" s="20" t="s">
        <v>1339</v>
      </c>
      <c r="C616" s="4" t="s">
        <v>427</v>
      </c>
      <c r="D616" s="4" t="str">
        <f t="shared" si="9"/>
        <v>GIGABYTE</v>
      </c>
      <c r="E616" s="4" t="s">
        <v>8859</v>
      </c>
      <c r="F616" s="14" t="s">
        <v>8908</v>
      </c>
      <c r="G616" s="9">
        <v>0</v>
      </c>
      <c r="H616" s="1">
        <v>124.11</v>
      </c>
      <c r="I616" s="1">
        <v>62.05</v>
      </c>
      <c r="J616" s="1">
        <v>3.88</v>
      </c>
      <c r="K616" s="3">
        <v>2500</v>
      </c>
      <c r="L616" s="13">
        <v>2525</v>
      </c>
      <c r="M616" s="49">
        <v>480</v>
      </c>
      <c r="N616" s="1">
        <v>960</v>
      </c>
      <c r="O616" s="3">
        <v>96</v>
      </c>
      <c r="P616" s="11" t="s">
        <v>2275</v>
      </c>
      <c r="Q616" s="3">
        <v>24</v>
      </c>
      <c r="R616" s="3">
        <v>384</v>
      </c>
      <c r="S616" s="22">
        <v>20</v>
      </c>
      <c r="T616" s="9">
        <v>355</v>
      </c>
      <c r="U616" s="14" t="s">
        <v>576</v>
      </c>
      <c r="V616" s="12">
        <v>4</v>
      </c>
      <c r="W616" s="75">
        <v>16</v>
      </c>
      <c r="X616" s="76">
        <v>16</v>
      </c>
      <c r="Y616" s="9">
        <v>1729.94</v>
      </c>
      <c r="Z616" s="3">
        <v>2054.87</v>
      </c>
      <c r="AA616" s="17" t="s">
        <v>1338</v>
      </c>
      <c r="AB616" s="18" t="s">
        <v>1337</v>
      </c>
      <c r="AC616" s="46" cm="1">
        <f t="array" ref="AC616">(SUMPRODUCT((H616:O616/H$9:O$9)^H$7:O$7*H$2:O$2)+SUMPRODUCT((Q616:T616/Q$9:T$9)^Q$7:T$7*Q$2:T$2))*(0.8^(1-G616))*AC$9</f>
        <v>3.024237933648962</v>
      </c>
      <c r="AD616" s="48" cm="1">
        <f t="array" ref="AD616">(SUMPRODUCT((H616:O616/H$9:O$9)^H$7:O$7*H$3:O$3)+SUMPRODUCT((Q616:T616/Q$9:T$9)^Q$7:T$7*Q$3:T$3))*(0.1^(1-G616))*AD$9</f>
        <v>0.67004877844711908</v>
      </c>
      <c r="AE616" s="48" cm="1">
        <f t="array" ref="AE616">(SUMPRODUCT((H616:O616/H$9:O$9)^H$7:O$7*H$4:O$4)+SUMPRODUCT((Q616:T616/Q$9:T$9)^Q$7:T$7*Q$4:T$4))*AE$9</f>
        <v>8.1073374519635699</v>
      </c>
      <c r="AF616" s="47" cm="1">
        <f t="array" ref="AF616">(SUMPRODUCT((H616:O616/H$9:O$9)^H$7:O$7*H$5:O$5)+SUMPRODUCT((Q616:T616/Q$9:T$9)^Q$7:T$7*Q$5:T$5))*AF$9</f>
        <v>4.2122132890294921</v>
      </c>
      <c r="AG616" s="50" cm="1">
        <f t="array" ref="AG616">SUMPRODUCT(AC616:AF616 * AC$3:AF$3) / SUM(AC$3:AF$3)</f>
        <v>2.4791397975796499</v>
      </c>
    </row>
  </sheetData>
  <sortState xmlns:xlrd2="http://schemas.microsoft.com/office/spreadsheetml/2017/richdata2" ref="A9:AG616">
    <sortCondition descending="1" ref="C9:C616"/>
    <sortCondition ref="A9:A616"/>
    <sortCondition ref="Q9:Q616"/>
  </sortState>
  <mergeCells count="1">
    <mergeCell ref="AC1:A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DC4C7-D836-404C-8487-216E3C0FA8B8}">
  <dimension ref="A1:AK220"/>
  <sheetViews>
    <sheetView zoomScale="85" zoomScaleNormal="85" workbookViewId="0">
      <pane xSplit="1" topLeftCell="B1" activePane="topRight" state="frozen"/>
      <selection pane="topRight" activeCell="D18" sqref="D18"/>
    </sheetView>
  </sheetViews>
  <sheetFormatPr defaultRowHeight="15.75" x14ac:dyDescent="0.25"/>
  <cols>
    <col min="1" max="1" width="27.5" style="5" customWidth="1"/>
    <col min="2" max="2" width="17.75" style="16" customWidth="1"/>
    <col min="3" max="3" width="17.375" style="95" customWidth="1"/>
    <col min="4" max="4" width="17.5" style="96" customWidth="1"/>
    <col min="5" max="6" width="17.5" style="75" customWidth="1"/>
    <col min="7" max="7" width="13.375" style="9" customWidth="1"/>
    <col min="8" max="8" width="11.375" style="3" customWidth="1"/>
    <col min="9" max="9" width="18" style="1" customWidth="1"/>
    <col min="10" max="10" width="19.625" style="10" customWidth="1"/>
    <col min="11" max="11" width="17" style="11" customWidth="1"/>
    <col min="12" max="12" width="55.125" customWidth="1"/>
    <col min="13" max="13" width="14.625" style="4" customWidth="1"/>
    <col min="14" max="14" width="11.375" style="2" customWidth="1"/>
    <col min="15" max="15" width="8.625" style="2" customWidth="1"/>
    <col min="16" max="16" width="11.625" style="13" customWidth="1"/>
    <col min="17" max="17" width="18.875" style="12" customWidth="1"/>
    <col min="18" max="18" width="16.25" style="23" customWidth="1"/>
    <col min="19" max="19" width="22.25" customWidth="1"/>
    <col min="20" max="20" width="10.875" style="13" customWidth="1"/>
    <col min="21" max="21" width="15.375" style="12" customWidth="1"/>
    <col min="22" max="22" width="14.5" style="75" customWidth="1"/>
    <col min="23" max="23" width="16.25" style="75" customWidth="1"/>
    <col min="24" max="24" width="15.25" style="76" customWidth="1"/>
    <col min="25" max="25" width="13.875" style="9" customWidth="1"/>
    <col min="26" max="26" width="13.875" style="13" customWidth="1"/>
    <col min="27" max="27" width="19.375" style="16" customWidth="1"/>
    <col min="28" max="28" width="21" style="66" customWidth="1"/>
    <col min="29" max="29" width="13" style="79" customWidth="1"/>
    <col min="30" max="30" width="13.5" style="80" customWidth="1"/>
    <col min="31" max="31" width="13.75" style="49" customWidth="1"/>
    <col min="32" max="33" width="13.75" style="1" customWidth="1"/>
    <col min="34" max="34" width="13.75" style="10" customWidth="1"/>
    <col min="35" max="35" width="9" style="50"/>
  </cols>
  <sheetData>
    <row r="1" spans="1:35" s="28" customFormat="1" ht="48" customHeight="1" x14ac:dyDescent="0.25">
      <c r="A1" s="26" t="s">
        <v>6968</v>
      </c>
      <c r="B1" s="27"/>
      <c r="G1" s="27" t="s">
        <v>441</v>
      </c>
      <c r="H1" s="30" t="s">
        <v>3</v>
      </c>
      <c r="I1" s="31" t="s">
        <v>4</v>
      </c>
      <c r="J1" s="26" t="s">
        <v>5</v>
      </c>
      <c r="K1" s="27"/>
      <c r="L1" s="30"/>
      <c r="M1" s="30"/>
      <c r="N1" s="28" t="s">
        <v>10</v>
      </c>
      <c r="O1" s="28" t="s">
        <v>11</v>
      </c>
      <c r="P1" s="29" t="s">
        <v>6</v>
      </c>
      <c r="Q1" s="32"/>
      <c r="S1" s="30" t="s">
        <v>12</v>
      </c>
      <c r="T1" s="26" t="s">
        <v>403</v>
      </c>
      <c r="U1" s="27"/>
      <c r="W1" s="30"/>
      <c r="X1" s="29"/>
      <c r="Y1" s="27"/>
      <c r="Z1" s="26"/>
      <c r="AA1" s="27"/>
      <c r="AB1" s="30"/>
      <c r="AC1" s="30"/>
      <c r="AD1" s="26"/>
      <c r="AE1" s="87" t="s">
        <v>6967</v>
      </c>
      <c r="AF1" s="88"/>
      <c r="AG1" s="88"/>
      <c r="AH1" s="89"/>
      <c r="AI1" s="33"/>
    </row>
    <row r="2" spans="1:35" s="39" customFormat="1" ht="18.75" customHeight="1" x14ac:dyDescent="0.25">
      <c r="A2" s="8" t="s">
        <v>6964</v>
      </c>
      <c r="B2" s="44"/>
      <c r="C2" s="93"/>
      <c r="D2" s="93"/>
      <c r="G2" s="44">
        <v>0.15</v>
      </c>
      <c r="H2" s="39">
        <v>0.1</v>
      </c>
      <c r="I2" s="39">
        <v>0.2</v>
      </c>
      <c r="J2" s="40">
        <v>0.25</v>
      </c>
      <c r="K2" s="44"/>
      <c r="N2" s="36">
        <v>0.05</v>
      </c>
      <c r="O2" s="36">
        <v>0.1</v>
      </c>
      <c r="P2" s="34">
        <v>0.1</v>
      </c>
      <c r="Q2" s="44"/>
      <c r="S2" s="39">
        <v>0.05</v>
      </c>
      <c r="T2" s="40">
        <v>0</v>
      </c>
      <c r="U2" s="44"/>
      <c r="X2" s="40"/>
      <c r="Y2" s="44"/>
      <c r="Z2" s="40"/>
      <c r="AA2" s="44"/>
      <c r="AD2" s="40"/>
      <c r="AE2" s="51" t="s">
        <v>6964</v>
      </c>
      <c r="AF2" s="25" t="s">
        <v>6965</v>
      </c>
      <c r="AG2" s="25" t="s">
        <v>6969</v>
      </c>
      <c r="AH2" s="52" t="s">
        <v>6966</v>
      </c>
      <c r="AI2" s="45"/>
    </row>
    <row r="3" spans="1:35" s="39" customFormat="1" ht="18.75" customHeight="1" x14ac:dyDescent="0.25">
      <c r="A3" s="8" t="s">
        <v>6965</v>
      </c>
      <c r="B3" s="44"/>
      <c r="C3" s="93"/>
      <c r="D3" s="93"/>
      <c r="G3" s="44">
        <v>0.2</v>
      </c>
      <c r="H3" s="39">
        <v>0.2</v>
      </c>
      <c r="I3" s="39">
        <v>0.1</v>
      </c>
      <c r="J3" s="40">
        <v>0.1</v>
      </c>
      <c r="K3" s="44"/>
      <c r="N3" s="36">
        <v>0.1</v>
      </c>
      <c r="O3" s="36">
        <v>0.15</v>
      </c>
      <c r="P3" s="34">
        <v>0.05</v>
      </c>
      <c r="Q3" s="44"/>
      <c r="S3" s="39">
        <v>0.05</v>
      </c>
      <c r="T3" s="40">
        <v>0.05</v>
      </c>
      <c r="U3" s="44"/>
      <c r="X3" s="40"/>
      <c r="Y3" s="44"/>
      <c r="Z3" s="40"/>
      <c r="AA3" s="44"/>
      <c r="AD3" s="40"/>
      <c r="AE3" s="37">
        <v>3</v>
      </c>
      <c r="AF3" s="38">
        <v>5</v>
      </c>
      <c r="AG3" s="38">
        <v>2</v>
      </c>
      <c r="AH3" s="41">
        <v>3</v>
      </c>
      <c r="AI3" s="45"/>
    </row>
    <row r="4" spans="1:35" s="39" customFormat="1" ht="18.75" customHeight="1" x14ac:dyDescent="0.25">
      <c r="A4" s="8" t="s">
        <v>6969</v>
      </c>
      <c r="B4" s="44"/>
      <c r="C4" s="93"/>
      <c r="D4" s="93"/>
      <c r="G4" s="44">
        <v>0.25</v>
      </c>
      <c r="H4" s="39">
        <v>0.25</v>
      </c>
      <c r="I4" s="39">
        <v>0.05</v>
      </c>
      <c r="J4" s="40">
        <v>0.05</v>
      </c>
      <c r="K4" s="44"/>
      <c r="N4" s="36">
        <v>0.1</v>
      </c>
      <c r="O4" s="36">
        <v>0.15</v>
      </c>
      <c r="P4" s="34">
        <v>0.05</v>
      </c>
      <c r="Q4" s="44"/>
      <c r="S4" s="39">
        <v>0.05</v>
      </c>
      <c r="T4" s="40">
        <v>0.05</v>
      </c>
      <c r="U4" s="44"/>
      <c r="X4" s="40"/>
      <c r="Y4" s="44"/>
      <c r="Z4" s="40"/>
      <c r="AA4" s="44"/>
      <c r="AD4" s="40"/>
      <c r="AE4" s="44"/>
      <c r="AH4" s="40"/>
      <c r="AI4" s="45"/>
    </row>
    <row r="5" spans="1:35" s="39" customFormat="1" ht="18.75" customHeight="1" x14ac:dyDescent="0.25">
      <c r="A5" s="8" t="s">
        <v>6966</v>
      </c>
      <c r="B5" s="44"/>
      <c r="C5" s="93"/>
      <c r="D5" s="93"/>
      <c r="G5" s="44">
        <v>0.2</v>
      </c>
      <c r="H5" s="39">
        <v>0.2</v>
      </c>
      <c r="I5" s="39">
        <v>0.1</v>
      </c>
      <c r="J5" s="40">
        <v>0.1</v>
      </c>
      <c r="K5" s="44"/>
      <c r="N5" s="36">
        <v>0.1</v>
      </c>
      <c r="O5" s="36">
        <v>0.15</v>
      </c>
      <c r="P5" s="34">
        <v>0.05</v>
      </c>
      <c r="Q5" s="44"/>
      <c r="S5" s="39">
        <v>0.05</v>
      </c>
      <c r="T5" s="40">
        <v>0.05</v>
      </c>
      <c r="U5" s="44"/>
      <c r="X5" s="40"/>
      <c r="Y5" s="44"/>
      <c r="Z5" s="40"/>
      <c r="AA5" s="44"/>
      <c r="AD5" s="40"/>
      <c r="AE5" s="44"/>
      <c r="AH5" s="40"/>
      <c r="AI5" s="45"/>
    </row>
    <row r="6" spans="1:35" s="36" customFormat="1" ht="18.75" customHeight="1" x14ac:dyDescent="0.25">
      <c r="A6" s="8"/>
      <c r="B6" s="35"/>
      <c r="C6" s="94"/>
      <c r="D6" s="94"/>
      <c r="G6" s="37"/>
      <c r="H6" s="38"/>
      <c r="I6" s="39"/>
      <c r="J6" s="40"/>
      <c r="K6" s="35"/>
      <c r="P6" s="34"/>
      <c r="Q6" s="35"/>
      <c r="R6" s="38"/>
      <c r="S6" s="38"/>
      <c r="T6" s="41"/>
      <c r="U6" s="37"/>
      <c r="V6" s="38"/>
      <c r="W6" s="38"/>
      <c r="X6" s="41"/>
      <c r="Y6" s="37"/>
      <c r="Z6" s="41"/>
      <c r="AA6" s="35"/>
      <c r="AD6" s="34"/>
      <c r="AE6" s="35"/>
      <c r="AH6" s="34"/>
      <c r="AI6" s="42"/>
    </row>
    <row r="7" spans="1:35" s="39" customFormat="1" ht="18.75" customHeight="1" x14ac:dyDescent="0.25">
      <c r="A7" s="8" t="s">
        <v>6970</v>
      </c>
      <c r="B7" s="44"/>
      <c r="C7" s="93"/>
      <c r="D7" s="93"/>
      <c r="G7" s="44">
        <v>0.9</v>
      </c>
      <c r="H7" s="39">
        <v>0.85</v>
      </c>
      <c r="I7" s="39">
        <v>1</v>
      </c>
      <c r="J7" s="40">
        <v>1</v>
      </c>
      <c r="K7" s="44"/>
      <c r="N7" s="36">
        <v>0.8</v>
      </c>
      <c r="O7" s="36">
        <v>0.8</v>
      </c>
      <c r="P7" s="34">
        <v>-0.5</v>
      </c>
      <c r="Q7" s="44"/>
      <c r="S7" s="39">
        <v>0.7</v>
      </c>
      <c r="T7" s="40">
        <v>1</v>
      </c>
      <c r="U7" s="44"/>
      <c r="X7" s="40"/>
      <c r="Y7" s="44"/>
      <c r="Z7" s="40"/>
      <c r="AA7" s="44"/>
      <c r="AD7" s="40"/>
      <c r="AE7" s="44"/>
      <c r="AH7" s="40"/>
      <c r="AI7" s="45"/>
    </row>
    <row r="8" spans="1:35" s="28" customFormat="1" ht="48" customHeight="1" x14ac:dyDescent="0.25">
      <c r="A8" s="26" t="s">
        <v>13</v>
      </c>
      <c r="B8" s="27" t="s">
        <v>0</v>
      </c>
      <c r="C8" s="28" t="s">
        <v>2270</v>
      </c>
      <c r="D8" s="28" t="s">
        <v>8860</v>
      </c>
      <c r="E8" s="28" t="s">
        <v>425</v>
      </c>
      <c r="F8" s="28" t="s">
        <v>426</v>
      </c>
      <c r="G8" s="27" t="s">
        <v>441</v>
      </c>
      <c r="H8" s="30" t="s">
        <v>3</v>
      </c>
      <c r="I8" s="31" t="s">
        <v>4</v>
      </c>
      <c r="J8" s="26" t="s">
        <v>5</v>
      </c>
      <c r="K8" s="27" t="s">
        <v>7</v>
      </c>
      <c r="L8" s="30" t="s">
        <v>8</v>
      </c>
      <c r="M8" s="30" t="s">
        <v>9</v>
      </c>
      <c r="N8" s="28" t="s">
        <v>10</v>
      </c>
      <c r="O8" s="28" t="s">
        <v>11</v>
      </c>
      <c r="P8" s="29" t="s">
        <v>6</v>
      </c>
      <c r="Q8" s="32" t="s">
        <v>4322</v>
      </c>
      <c r="R8" s="28" t="s">
        <v>405</v>
      </c>
      <c r="S8" s="30" t="s">
        <v>12</v>
      </c>
      <c r="T8" s="26" t="s">
        <v>403</v>
      </c>
      <c r="U8" s="27" t="s">
        <v>415</v>
      </c>
      <c r="V8" s="28" t="s">
        <v>416</v>
      </c>
      <c r="W8" s="30" t="s">
        <v>420</v>
      </c>
      <c r="X8" s="29" t="s">
        <v>417</v>
      </c>
      <c r="Y8" s="27" t="s">
        <v>1</v>
      </c>
      <c r="Z8" s="26" t="s">
        <v>2</v>
      </c>
      <c r="AA8" s="27" t="s">
        <v>414</v>
      </c>
      <c r="AB8" s="30" t="s">
        <v>2271</v>
      </c>
      <c r="AC8" s="30" t="s">
        <v>8803</v>
      </c>
      <c r="AD8" s="26" t="s">
        <v>8804</v>
      </c>
      <c r="AE8" s="32" t="s">
        <v>421</v>
      </c>
      <c r="AF8" s="28" t="s">
        <v>422</v>
      </c>
      <c r="AG8" s="28" t="s">
        <v>8794</v>
      </c>
      <c r="AH8" s="29" t="s">
        <v>423</v>
      </c>
      <c r="AI8" s="33" t="s">
        <v>440</v>
      </c>
    </row>
    <row r="9" spans="1:35" x14ac:dyDescent="0.25">
      <c r="A9" s="92" t="s">
        <v>9077</v>
      </c>
      <c r="C9" s="95" t="s">
        <v>427</v>
      </c>
      <c r="E9" s="75" t="s">
        <v>429</v>
      </c>
      <c r="F9" s="75" t="s">
        <v>7783</v>
      </c>
      <c r="G9" s="9">
        <f>AVERAGEIF('CPUs Products'!D$9:D$131,A9,'CPUs Products'!G$9:G$131)</f>
        <v>4</v>
      </c>
      <c r="H9" s="3">
        <f>AVERAGEIF('CPUs Products'!D$9:D$131,A9,'CPUs Products'!H$9:H$131)</f>
        <v>8</v>
      </c>
      <c r="I9" s="1">
        <f>AVERAGEIF('CPUs Products'!D$9:D$131,A9,'CPUs Products'!I$9:I$131)</f>
        <v>4</v>
      </c>
      <c r="J9" s="10">
        <f>AVERAGEIF('CPUs Products'!D$9:D$131,A9,'CPUs Products'!J$9:J$131)</f>
        <v>4.2</v>
      </c>
      <c r="K9" s="11" t="s">
        <v>350</v>
      </c>
      <c r="L9" s="85" t="s">
        <v>399</v>
      </c>
      <c r="M9" s="4" t="s">
        <v>248</v>
      </c>
      <c r="N9" s="2">
        <f>AVERAGEIF('CPUs Products'!D$9:D$131,A9,'CPUs Products'!N$9:N$131)</f>
        <v>2</v>
      </c>
      <c r="O9" s="2">
        <f>AVERAGEIF('CPUs Products'!D$9:D$131,A9,'CPUs Products'!O$9:O$131)</f>
        <v>8</v>
      </c>
      <c r="P9" s="13">
        <f>AVERAGEIF('CPUs Products'!D$9:D$131,A9,'CPUs Products'!P$9:P$131)</f>
        <v>65</v>
      </c>
      <c r="Q9" s="12" t="s">
        <v>406</v>
      </c>
      <c r="R9" s="3">
        <f>_xlfn.MAXIFS('CPUs Products'!R$9:R$131,'CPUs Products'!D$9:D$131,A9)</f>
        <v>128</v>
      </c>
      <c r="S9" s="75">
        <f>_xlfn.MAXIFS('CPUs Products'!S$9:S$131,'CPUs Products'!D$9:D$131,A9)</f>
        <v>3200</v>
      </c>
      <c r="T9" s="13">
        <f>AVERAGEIF('CPUs Products'!D$9:D$131,A9,'CPUs Products'!T$9:T$131)</f>
        <v>2</v>
      </c>
      <c r="U9" s="12">
        <v>3</v>
      </c>
      <c r="V9" s="75">
        <v>24</v>
      </c>
      <c r="W9" s="75">
        <v>3</v>
      </c>
      <c r="X9" s="76" t="s">
        <v>419</v>
      </c>
      <c r="Y9" s="9">
        <f>AVERAGEIF('CPUs Products'!D$9:D$131,A9,'CPUs Products'!Y$9:Y$131)</f>
        <v>119.89500000000001</v>
      </c>
      <c r="Z9" s="13">
        <f>AVERAGEIF('CPUs Products'!D$9:D$131,A9,'CPUs Products'!Z$9:Z$131)</f>
        <v>209.5</v>
      </c>
      <c r="AE9" s="49">
        <v>1</v>
      </c>
      <c r="AF9" s="1">
        <v>1</v>
      </c>
      <c r="AG9" s="1">
        <v>1</v>
      </c>
      <c r="AH9" s="10">
        <v>1</v>
      </c>
      <c r="AI9" s="50" cm="1">
        <f t="array" ref="AI9">SUMPRODUCT(AE9:AH9 * AE$3:AH$3) / SUM(AE$3:AH$3)</f>
        <v>1</v>
      </c>
    </row>
    <row r="10" spans="1:35" x14ac:dyDescent="0.25">
      <c r="A10" s="7" t="s">
        <v>9078</v>
      </c>
      <c r="C10" s="95" t="s">
        <v>427</v>
      </c>
      <c r="E10" s="75" t="s">
        <v>430</v>
      </c>
      <c r="F10" s="75" t="s">
        <v>7783</v>
      </c>
      <c r="G10" s="9">
        <f>AVERAGEIF('CPUs Products'!D$9:D$131,A10,'CPUs Products'!G$9:G$131)</f>
        <v>6</v>
      </c>
      <c r="H10" s="3">
        <f>AVERAGEIF('CPUs Products'!D$9:D$131,A10,'CPUs Products'!H$9:H$131)</f>
        <v>12</v>
      </c>
      <c r="I10" s="1">
        <f>AVERAGEIF('CPUs Products'!D$9:D$131,A10,'CPUs Products'!I$9:I$131)</f>
        <v>3.6666666666666665</v>
      </c>
      <c r="J10" s="10">
        <f>AVERAGEIF('CPUs Products'!D$9:D$131,A10,'CPUs Products'!J$9:J$131)</f>
        <v>4.4666666666666668</v>
      </c>
      <c r="K10" s="11" t="s">
        <v>350</v>
      </c>
      <c r="L10" s="85" t="s">
        <v>399</v>
      </c>
      <c r="M10" s="4" t="s">
        <v>248</v>
      </c>
      <c r="N10" s="2">
        <f>AVERAGEIF('CPUs Products'!D$9:D$131,A10,'CPUs Products'!N$9:N$131)</f>
        <v>3</v>
      </c>
      <c r="O10" s="2">
        <f>AVERAGEIF('CPUs Products'!D$9:D$131,A10,'CPUs Products'!O$9:O$131)</f>
        <v>23.111111111111111</v>
      </c>
      <c r="P10" s="13">
        <f>AVERAGEIF('CPUs Products'!D$9:D$131,A10,'CPUs Products'!P$9:P$131)</f>
        <v>65</v>
      </c>
      <c r="Q10" s="12" t="s">
        <v>406</v>
      </c>
      <c r="R10" s="3">
        <f>_xlfn.MAXIFS('CPUs Products'!R$9:R$131,'CPUs Products'!D$9:D$131,A10)</f>
        <v>128</v>
      </c>
      <c r="S10" s="75">
        <f>_xlfn.MAXIFS('CPUs Products'!S$9:S$131,'CPUs Products'!D$9:D$131,A10)</f>
        <v>3200</v>
      </c>
      <c r="T10" s="13">
        <f>AVERAGEIF('CPUs Products'!D$9:D$131,A10,'CPUs Products'!T$9:T$131)</f>
        <v>2</v>
      </c>
      <c r="U10" s="12">
        <v>3</v>
      </c>
      <c r="V10" s="75">
        <v>24</v>
      </c>
      <c r="W10" s="75">
        <v>3</v>
      </c>
      <c r="X10" s="76" t="s">
        <v>419</v>
      </c>
      <c r="Y10" s="9">
        <f>AVERAGEIF('CPUs Products'!D$9:D$131,A10,'CPUs Products'!Y$9:Y$131)</f>
        <v>124.60777777777778</v>
      </c>
      <c r="Z10" s="13">
        <f>AVERAGEIF('CPUs Products'!D$9:D$131,A10,'CPUs Products'!Z$9:Z$131)</f>
        <v>382.8533333333333</v>
      </c>
      <c r="AE10" s="49" cm="1">
        <f t="array" ref="AE10">(SUMPRODUCT((G10:J10/G$9:J$9)^G$7:J$7 * G$2:J$2) + SUMPRODUCT((N10:P10/N$9:P$9)^N$7:P$7 * N$2:P$2) + SUMPRODUCT((S10:T10/S$9:T$9)^S$7:T$7 * S$2:T$2)) * AE$9</f>
        <v>1.2592330393065245</v>
      </c>
      <c r="AF10" s="1" cm="1">
        <f t="array" ref="AF10">(SUMPRODUCT((G10:J10/G$9:J$9)^G$7:J$7 * G$3:J$3) + SUMPRODUCT((N10:P10/N$9:P$9)^N$7:P$7 * N$3:P$3) + SUMPRODUCT((S10:T10/S$9:T$9)^S$7:T$7 * S$3:T$3)) * AF$9</f>
        <v>1.4071994978062614</v>
      </c>
      <c r="AG10" s="1" cm="1">
        <f t="array" ref="AG10">(SUMPRODUCT((G10:J10/G$9:J$9)^G$7:J$7 * G$4:J$4) + SUMPRODUCT((N10:P10/N$9:P$9)^N$7:P$7 * N$4:P$4) + SUMPRODUCT((S10:T10/S$9:T$9)^S$7:T$7 * S$4:T$4)) * AF$9</f>
        <v>1.4507858605970099</v>
      </c>
      <c r="AH10" s="10" cm="1">
        <f t="array" ref="AH10">(SUMPRODUCT((G10:J10/G$9:J$9)^G$7:J$7 * G$5:J$5) + SUMPRODUCT((N10:P10/N$9:P$9)^N$7:P$7 * N$5:P$5) + SUMPRODUCT((S10:T10/S$9:T$9)^S$7:T$7 * S$5:T$5)) * AF$9</f>
        <v>1.4071994978062614</v>
      </c>
      <c r="AI10" s="50" cm="1">
        <f t="array" ref="AI10">SUMPRODUCT(AE10:AH10 * AE$3:AH$3) / SUM(AE$3:AH$3)</f>
        <v>1.3797589862741297</v>
      </c>
    </row>
    <row r="11" spans="1:35" x14ac:dyDescent="0.25">
      <c r="A11" s="7" t="s">
        <v>9079</v>
      </c>
      <c r="C11" s="95" t="s">
        <v>427</v>
      </c>
      <c r="E11" s="75" t="s">
        <v>431</v>
      </c>
      <c r="F11" s="75" t="s">
        <v>7783</v>
      </c>
      <c r="G11" s="9">
        <f>AVERAGEIF('CPUs Products'!D$9:D$131,A11,'CPUs Products'!G$9:G$131)</f>
        <v>8</v>
      </c>
      <c r="H11" s="3">
        <f>AVERAGEIF('CPUs Products'!D$9:D$131,A11,'CPUs Products'!H$9:H$131)</f>
        <v>16</v>
      </c>
      <c r="I11" s="1">
        <f>AVERAGEIF('CPUs Products'!D$9:D$131,A11,'CPUs Products'!I$9:I$131)</f>
        <v>3.5285714285714285</v>
      </c>
      <c r="J11" s="10">
        <f>AVERAGEIF('CPUs Products'!D$9:D$131,A11,'CPUs Products'!J$9:J$131)</f>
        <v>4.5714285714285712</v>
      </c>
      <c r="K11" s="11" t="s">
        <v>350</v>
      </c>
      <c r="L11" s="85" t="s">
        <v>399</v>
      </c>
      <c r="M11" s="4" t="s">
        <v>248</v>
      </c>
      <c r="N11" s="2">
        <f>AVERAGEIF('CPUs Products'!D$9:D$131,A11,'CPUs Products'!N$9:N$131)</f>
        <v>4</v>
      </c>
      <c r="O11" s="2">
        <f>AVERAGEIF('CPUs Products'!D$9:D$131,A11,'CPUs Products'!O$9:O$131)</f>
        <v>34.285714285714285</v>
      </c>
      <c r="P11" s="13">
        <f>AVERAGEIF('CPUs Products'!D$9:D$131,A11,'CPUs Products'!P$9:P$131)</f>
        <v>77.857142857142861</v>
      </c>
      <c r="Q11" s="12" t="s">
        <v>406</v>
      </c>
      <c r="R11" s="3">
        <f>_xlfn.MAXIFS('CPUs Products'!R$9:R$131,'CPUs Products'!D$9:D$131,A11)</f>
        <v>128</v>
      </c>
      <c r="S11" s="75">
        <f>_xlfn.MAXIFS('CPUs Products'!S$9:S$131,'CPUs Products'!D$9:D$131,A11)</f>
        <v>3200</v>
      </c>
      <c r="T11" s="13">
        <f>AVERAGEIF('CPUs Products'!D$9:D$131,A11,'CPUs Products'!T$9:T$131)</f>
        <v>2</v>
      </c>
      <c r="U11" s="12">
        <v>3</v>
      </c>
      <c r="V11" s="75">
        <v>24</v>
      </c>
      <c r="W11" s="75">
        <v>3</v>
      </c>
      <c r="X11" s="76" t="s">
        <v>419</v>
      </c>
      <c r="Y11" s="9">
        <f>AVERAGEIF('CPUs Products'!D$9:D$131,A11,'CPUs Products'!Y$9:Y$131)</f>
        <v>208.34285714285713</v>
      </c>
      <c r="Z11" s="13">
        <f>AVERAGEIF('CPUs Products'!D$9:D$131,A11,'CPUs Products'!Z$9:Z$131)</f>
        <v>692.98714285714266</v>
      </c>
      <c r="AE11" s="49" cm="1">
        <f t="array" ref="AE11">(SUMPRODUCT((G11:J11/G$9:J$9)^G$7:J$7 * G$2:J$2) + SUMPRODUCT((N11:P11/N$9:P$9)^N$7:P$7 * N$2:P$2) + SUMPRODUCT((S11:T11/S$9:T$9)^S$7:T$7 * S$2:T$2)) * AE$9</f>
        <v>1.4574687241877251</v>
      </c>
      <c r="AF11" s="1" cm="1">
        <f t="array" ref="AF11">(SUMPRODUCT((G11:J11/G$9:J$9)^G$7:J$7 * G$3:J$3) + SUMPRODUCT((N11:P11/N$9:P$9)^N$7:P$7 * N$3:P$3) + SUMPRODUCT((S11:T11/S$9:T$9)^S$7:T$7 * S$3:T$3)) * AF$9</f>
        <v>1.7310849076489063</v>
      </c>
      <c r="AG11" s="1" cm="1">
        <f t="array" ref="AG11">(SUMPRODUCT((G11:J11/G$9:J$9)^G$7:J$7 * G$4:J$4) + SUMPRODUCT((N11:P11/N$9:P$9)^N$7:P$7 * N$4:P$4) + SUMPRODUCT((S11:T11/S$9:T$9)^S$7:T$7 * S$4:T$4)) * AF$9</f>
        <v>1.815984341499044</v>
      </c>
      <c r="AH11" s="10" cm="1">
        <f t="array" ref="AH11">(SUMPRODUCT((G11:J11/G$9:J$9)^G$7:J$7 * G$5:J$5) + SUMPRODUCT((N11:P11/N$9:P$9)^N$7:P$7 * N$5:P$5) + SUMPRODUCT((S11:T11/S$9:T$9)^S$7:T$7 * S$5:T$5)) * AF$9</f>
        <v>1.7310849076489063</v>
      </c>
      <c r="AI11" s="50" cm="1">
        <f t="array" ref="AI11">SUMPRODUCT(AE11:AH11 * AE$3:AH$3) / SUM(AE$3:AH$3)</f>
        <v>1.6810041628271164</v>
      </c>
    </row>
    <row r="12" spans="1:35" x14ac:dyDescent="0.25">
      <c r="A12" s="7" t="s">
        <v>9080</v>
      </c>
      <c r="C12" s="95" t="s">
        <v>427</v>
      </c>
      <c r="E12" s="75" t="s">
        <v>432</v>
      </c>
      <c r="F12" s="75" t="s">
        <v>7783</v>
      </c>
      <c r="G12" s="9">
        <f>AVERAGEIF('CPUs Products'!D$9:D$131,A12,'CPUs Products'!G$9:G$131)</f>
        <v>14.666666666666666</v>
      </c>
      <c r="H12" s="3">
        <f>AVERAGEIF('CPUs Products'!D$9:D$131,A12,'CPUs Products'!H$9:H$131)</f>
        <v>29.333333333333332</v>
      </c>
      <c r="I12" s="1">
        <f>AVERAGEIF('CPUs Products'!D$9:D$131,A12,'CPUs Products'!I$9:I$131)</f>
        <v>3.4666666666666668</v>
      </c>
      <c r="J12" s="10">
        <f>AVERAGEIF('CPUs Products'!D$9:D$131,A12,'CPUs Products'!J$9:J$131)</f>
        <v>4.833333333333333</v>
      </c>
      <c r="K12" s="11" t="s">
        <v>350</v>
      </c>
      <c r="L12" s="85" t="s">
        <v>399</v>
      </c>
      <c r="M12" s="4" t="s">
        <v>248</v>
      </c>
      <c r="N12" s="2">
        <f>AVERAGEIF('CPUs Products'!D$9:D$131,A12,'CPUs Products'!N$9:N$131)</f>
        <v>7.333333333333333</v>
      </c>
      <c r="O12" s="2">
        <f>AVERAGEIF('CPUs Products'!D$9:D$131,A12,'CPUs Products'!O$9:O$131)</f>
        <v>64</v>
      </c>
      <c r="P12" s="13">
        <f>AVERAGEIF('CPUs Products'!D$9:D$131,A12,'CPUs Products'!P$9:P$131)</f>
        <v>105</v>
      </c>
      <c r="Q12" s="12" t="s">
        <v>406</v>
      </c>
      <c r="R12" s="3">
        <f>_xlfn.MAXIFS('CPUs Products'!R$9:R$131,'CPUs Products'!D$9:D$131,A12)</f>
        <v>128</v>
      </c>
      <c r="S12" s="75">
        <f>_xlfn.MAXIFS('CPUs Products'!S$9:S$131,'CPUs Products'!D$9:D$131,A12)</f>
        <v>3200</v>
      </c>
      <c r="T12" s="13">
        <f>AVERAGEIF('CPUs Products'!D$9:D$131,A12,'CPUs Products'!T$9:T$131)</f>
        <v>2</v>
      </c>
      <c r="U12" s="12">
        <v>4</v>
      </c>
      <c r="V12" s="75">
        <v>24</v>
      </c>
      <c r="W12" s="75">
        <v>4</v>
      </c>
      <c r="X12" s="76" t="s">
        <v>419</v>
      </c>
      <c r="Y12" s="9">
        <f>AVERAGEIF('CPUs Products'!D$9:D$131,A12,'CPUs Products'!Y$9:Y$131)</f>
        <v>299.27333333333331</v>
      </c>
      <c r="Z12" s="13">
        <f>AVERAGEIF('CPUs Products'!D$9:D$131,A12,'CPUs Products'!Z$9:Z$131)</f>
        <v>1005.6566666666668</v>
      </c>
      <c r="AE12" s="49" cm="1">
        <f t="array" ref="AE12">(SUMPRODUCT((G12:J12/G$9:J$9)^G$7:J$7 * G$2:J$2) + SUMPRODUCT((N12:P12/N$9:P$9)^N$7:P$7 * N$2:P$2) + SUMPRODUCT((S12:T12/S$9:T$9)^S$7:T$7 * S$2:T$2)) * AE$9</f>
        <v>2.0436198287763387</v>
      </c>
      <c r="AF12" s="1" cm="1">
        <f t="array" ref="AF12">(SUMPRODUCT((G12:J12/G$9:J$9)^G$7:J$7 * G$3:J$3) + SUMPRODUCT((N12:P12/N$9:P$9)^N$7:P$7 * N$3:P$3) + SUMPRODUCT((S12:T12/S$9:T$9)^S$7:T$7 * S$3:T$3)) * AF$9</f>
        <v>2.6630098350718572</v>
      </c>
      <c r="AG12" s="1" cm="1">
        <f t="array" ref="AG12">(SUMPRODUCT((G12:J12/G$9:J$9)^G$7:J$7 * G$4:J$4) + SUMPRODUCT((N12:P12/N$9:P$9)^N$7:P$7 * N$4:P$4) + SUMPRODUCT((S12:T12/S$9:T$9)^S$7:T$7 * S$4:T$4)) * AF$9</f>
        <v>2.8740017708856254</v>
      </c>
      <c r="AH12" s="10" cm="1">
        <f t="array" ref="AH12">(SUMPRODUCT((G12:J12/G$9:J$9)^G$7:J$7 * G$5:J$5) + SUMPRODUCT((N12:P12/N$9:P$9)^N$7:P$7 * N$5:P$5) + SUMPRODUCT((S12:T12/S$9:T$9)^S$7:T$7 * S$5:T$5)) * AF$9</f>
        <v>2.6630098350718572</v>
      </c>
      <c r="AI12" s="50" cm="1">
        <f t="array" ref="AI12">SUMPRODUCT(AE12:AH12 * AE$3:AH$3) / SUM(AE$3:AH$3)</f>
        <v>2.5525339775903939</v>
      </c>
    </row>
    <row r="13" spans="1:35" x14ac:dyDescent="0.25">
      <c r="A13" s="7" t="s">
        <v>9081</v>
      </c>
      <c r="C13" s="95" t="s">
        <v>427</v>
      </c>
      <c r="E13" s="75" t="s">
        <v>430</v>
      </c>
      <c r="F13" s="75" t="s">
        <v>6734</v>
      </c>
      <c r="G13" s="9">
        <f>AVERAGEIF('CPUs Products'!D$9:D$131,A13,'CPUs Products'!G$9:G$131)</f>
        <v>6</v>
      </c>
      <c r="H13" s="3">
        <f>AVERAGEIF('CPUs Products'!D$9:D$131,A13,'CPUs Products'!H$9:H$131)</f>
        <v>12</v>
      </c>
      <c r="I13" s="1">
        <f>AVERAGEIF('CPUs Products'!D$9:D$131,A13,'CPUs Products'!I$9:I$131)</f>
        <v>4.0199999999999996</v>
      </c>
      <c r="J13" s="10">
        <f>AVERAGEIF('CPUs Products'!D$9:D$131,A13,'CPUs Products'!J$9:J$131)</f>
        <v>5.0399999999999991</v>
      </c>
      <c r="K13" s="11" t="s">
        <v>351</v>
      </c>
      <c r="L13" s="85" t="s">
        <v>400</v>
      </c>
      <c r="M13" s="4" t="s">
        <v>223</v>
      </c>
      <c r="N13" s="2">
        <f>AVERAGEIF('CPUs Products'!D$9:D$131,A13,'CPUs Products'!N$9:N$131)</f>
        <v>6</v>
      </c>
      <c r="O13" s="2">
        <f>AVERAGEIF('CPUs Products'!D$9:D$131,A13,'CPUs Products'!O$9:O$131)</f>
        <v>44.8</v>
      </c>
      <c r="P13" s="13">
        <f>AVERAGEIF('CPUs Products'!D$9:D$131,A13,'CPUs Products'!P$9:P$131)</f>
        <v>73</v>
      </c>
      <c r="Q13" s="12" t="s">
        <v>407</v>
      </c>
      <c r="R13" s="3">
        <f>_xlfn.MAXIFS('CPUs Products'!R$9:R$131,'CPUs Products'!D$9:D$131,A13)</f>
        <v>192</v>
      </c>
      <c r="S13" s="75">
        <f>_xlfn.MAXIFS('CPUs Products'!S$9:S$131,'CPUs Products'!D$9:D$131,A13)</f>
        <v>5200</v>
      </c>
      <c r="T13" s="13">
        <f>AVERAGEIF('CPUs Products'!D$9:D$131,A13,'CPUs Products'!T$9:T$131)</f>
        <v>2</v>
      </c>
      <c r="U13" s="12">
        <v>5</v>
      </c>
      <c r="V13" s="75">
        <v>28</v>
      </c>
      <c r="W13" s="75">
        <v>4</v>
      </c>
      <c r="X13" s="76" t="s">
        <v>419</v>
      </c>
      <c r="Y13" s="9">
        <f>AVERAGEIF('CPUs Products'!D$9:D$131,A13,'CPUs Products'!Y$9:Y$131)</f>
        <v>224.76800000000003</v>
      </c>
      <c r="Z13" s="13">
        <f>AVERAGEIF('CPUs Products'!D$9:D$131,A13,'CPUs Products'!Z$9:Z$131)</f>
        <v>940.74399999999991</v>
      </c>
      <c r="AE13" s="49" cm="1">
        <f t="array" ref="AE13">(SUMPRODUCT((G13:J13/G$9:J$9)^G$7:J$7 * G$2:J$2) + SUMPRODUCT((N13:P13/N$9:P$9)^N$7:P$7 * N$2:P$2) + SUMPRODUCT((S13:T13/S$9:T$9)^S$7:T$7 * S$2:T$2)) * AE$9</f>
        <v>1.5399990799862897</v>
      </c>
      <c r="AF13" s="1" cm="1">
        <f t="array" ref="AF13">(SUMPRODUCT((G13:J13/G$9:J$9)^G$7:J$7 * G$3:J$3) + SUMPRODUCT((N13:P13/N$9:P$9)^N$7:P$7 * N$3:P$3) + SUMPRODUCT((S13:T13/S$9:T$9)^S$7:T$7 * S$3:T$3)) * AF$9</f>
        <v>1.7942885767450221</v>
      </c>
      <c r="AG13" s="1" cm="1">
        <f t="array" ref="AG13">(SUMPRODUCT((G13:J13/G$9:J$9)^G$7:J$7 * G$4:J$4) + SUMPRODUCT((N13:P13/N$9:P$9)^N$7:P$7 * N$4:P$4) + SUMPRODUCT((S13:T13/S$9:T$9)^S$7:T$7 * S$4:T$4)) * AF$9</f>
        <v>1.8266328760437072</v>
      </c>
      <c r="AH13" s="10" cm="1">
        <f t="array" ref="AH13">(SUMPRODUCT((G13:J13/G$9:J$9)^G$7:J$7 * G$5:J$5) + SUMPRODUCT((N13:P13/N$9:P$9)^N$7:P$7 * N$5:P$5) + SUMPRODUCT((S13:T13/S$9:T$9)^S$7:T$7 * S$5:T$5)) * AF$9</f>
        <v>1.7942885767450221</v>
      </c>
      <c r="AI13" s="50" cm="1">
        <f t="array" ref="AI13">SUMPRODUCT(AE13:AH13 * AE$3:AH$3) / SUM(AE$3:AH$3)</f>
        <v>1.7405824312312663</v>
      </c>
    </row>
    <row r="14" spans="1:35" x14ac:dyDescent="0.25">
      <c r="A14" s="7" t="s">
        <v>9082</v>
      </c>
      <c r="C14" s="95" t="s">
        <v>427</v>
      </c>
      <c r="E14" s="75" t="s">
        <v>431</v>
      </c>
      <c r="F14" s="75" t="s">
        <v>6734</v>
      </c>
      <c r="G14" s="9">
        <f>AVERAGEIF('CPUs Products'!D$9:D$131,A14,'CPUs Products'!G$9:G$131)</f>
        <v>8</v>
      </c>
      <c r="H14" s="3">
        <f>AVERAGEIF('CPUs Products'!D$9:D$131,A14,'CPUs Products'!H$9:H$131)</f>
        <v>16</v>
      </c>
      <c r="I14" s="1">
        <f>AVERAGEIF('CPUs Products'!D$9:D$131,A14,'CPUs Products'!I$9:I$131)</f>
        <v>4.166666666666667</v>
      </c>
      <c r="J14" s="10">
        <f>AVERAGEIF('CPUs Products'!D$9:D$131,A14,'CPUs Products'!J$9:J$131)</f>
        <v>5.2333333333333334</v>
      </c>
      <c r="K14" s="11" t="s">
        <v>351</v>
      </c>
      <c r="L14" s="85" t="s">
        <v>400</v>
      </c>
      <c r="M14" s="4" t="s">
        <v>223</v>
      </c>
      <c r="N14" s="2">
        <f>AVERAGEIF('CPUs Products'!D$9:D$131,A14,'CPUs Products'!N$9:N$131)</f>
        <v>8</v>
      </c>
      <c r="O14" s="2">
        <f>AVERAGEIF('CPUs Products'!D$9:D$131,A14,'CPUs Products'!O$9:O$131)</f>
        <v>53.333333333333336</v>
      </c>
      <c r="P14" s="13">
        <f>AVERAGEIF('CPUs Products'!D$9:D$131,A14,'CPUs Products'!P$9:P$131)</f>
        <v>96.666666666666671</v>
      </c>
      <c r="Q14" s="12" t="s">
        <v>407</v>
      </c>
      <c r="R14" s="3">
        <f>_xlfn.MAXIFS('CPUs Products'!R$9:R$131,'CPUs Products'!D$9:D$131,A14)</f>
        <v>192</v>
      </c>
      <c r="S14" s="75">
        <f>_xlfn.MAXIFS('CPUs Products'!S$9:S$131,'CPUs Products'!D$9:D$131,A14)</f>
        <v>5200</v>
      </c>
      <c r="T14" s="13">
        <f>AVERAGEIF('CPUs Products'!D$9:D$131,A14,'CPUs Products'!T$9:T$131)</f>
        <v>2</v>
      </c>
      <c r="U14" s="12">
        <v>5</v>
      </c>
      <c r="V14" s="75">
        <v>28</v>
      </c>
      <c r="W14" s="75">
        <v>4</v>
      </c>
      <c r="X14" s="76" t="s">
        <v>419</v>
      </c>
      <c r="Y14" s="9">
        <f>AVERAGEIF('CPUs Products'!D$9:D$131,A14,'CPUs Products'!Y$9:Y$131)</f>
        <v>361.22</v>
      </c>
      <c r="Z14" s="13">
        <f>AVERAGEIF('CPUs Products'!D$9:D$131,A14,'CPUs Products'!Z$9:Z$131)</f>
        <v>1090.8566666666666</v>
      </c>
      <c r="AE14" s="49" cm="1">
        <f t="array" ref="AE14">(SUMPRODUCT((G14:J14/G$9:J$9)^G$7:J$7 * G$2:J$2) + SUMPRODUCT((N14:P14/N$9:P$9)^N$7:P$7 * N$2:P$2) + SUMPRODUCT((S14:T14/S$9:T$9)^S$7:T$7 * S$2:T$2)) * AE$9</f>
        <v>1.7399812709414815</v>
      </c>
      <c r="AF14" s="1" cm="1">
        <f t="array" ref="AF14">(SUMPRODUCT((G14:J14/G$9:J$9)^G$7:J$7 * G$3:J$3) + SUMPRODUCT((N14:P14/N$9:P$9)^N$7:P$7 * N$3:P$3) + SUMPRODUCT((S14:T14/S$9:T$9)^S$7:T$7 * S$3:T$3)) * AF$9</f>
        <v>2.1111196131505268</v>
      </c>
      <c r="AG14" s="1" cm="1">
        <f t="array" ref="AG14">(SUMPRODUCT((G14:J14/G$9:J$9)^G$7:J$7 * G$4:J$4) + SUMPRODUCT((N14:P14/N$9:P$9)^N$7:P$7 * N$4:P$4) + SUMPRODUCT((S14:T14/S$9:T$9)^S$7:T$7 * S$4:T$4)) * AF$9</f>
        <v>2.1801630379303698</v>
      </c>
      <c r="AH14" s="10" cm="1">
        <f t="array" ref="AH14">(SUMPRODUCT((G14:J14/G$9:J$9)^G$7:J$7 * G$5:J$5) + SUMPRODUCT((N14:P14/N$9:P$9)^N$7:P$7 * N$5:P$5) + SUMPRODUCT((S14:T14/S$9:T$9)^S$7:T$7 * S$5:T$5)) * AF$9</f>
        <v>2.1111196131505268</v>
      </c>
      <c r="AI14" s="50" cm="1">
        <f t="array" ref="AI14">SUMPRODUCT(AE14:AH14 * AE$3:AH$3) / SUM(AE$3:AH$3)</f>
        <v>2.0360943687607227</v>
      </c>
    </row>
    <row r="15" spans="1:35" x14ac:dyDescent="0.25">
      <c r="A15" s="7" t="s">
        <v>9083</v>
      </c>
      <c r="C15" s="95" t="s">
        <v>427</v>
      </c>
      <c r="E15" s="75" t="s">
        <v>432</v>
      </c>
      <c r="F15" s="75" t="s">
        <v>6734</v>
      </c>
      <c r="G15" s="9">
        <f>AVERAGEIF('CPUs Products'!D$9:D$131,A15,'CPUs Products'!G$9:G$131)</f>
        <v>13.333333333333334</v>
      </c>
      <c r="H15" s="3">
        <f>AVERAGEIF('CPUs Products'!D$9:D$131,A15,'CPUs Products'!H$9:H$131)</f>
        <v>26.666666666666668</v>
      </c>
      <c r="I15" s="1">
        <f>AVERAGEIF('CPUs Products'!D$9:D$131,A15,'CPUs Products'!I$9:I$131)</f>
        <v>4.2</v>
      </c>
      <c r="J15" s="10">
        <f>AVERAGEIF('CPUs Products'!D$9:D$131,A15,'CPUs Products'!J$9:J$131)</f>
        <v>5.5666666666666664</v>
      </c>
      <c r="K15" s="11" t="s">
        <v>351</v>
      </c>
      <c r="L15" s="85" t="s">
        <v>400</v>
      </c>
      <c r="M15" s="4" t="s">
        <v>223</v>
      </c>
      <c r="N15" s="2">
        <f>AVERAGEIF('CPUs Products'!D$9:D$131,A15,'CPUs Products'!N$9:N$131)</f>
        <v>13.333333333333334</v>
      </c>
      <c r="O15" s="2">
        <f>AVERAGEIF('CPUs Products'!D$9:D$131,A15,'CPUs Products'!O$9:O$131)</f>
        <v>85.333333333333329</v>
      </c>
      <c r="P15" s="13">
        <f>AVERAGEIF('CPUs Products'!D$9:D$131,A15,'CPUs Products'!P$9:P$131)</f>
        <v>118.33333333333333</v>
      </c>
      <c r="Q15" s="12" t="s">
        <v>407</v>
      </c>
      <c r="R15" s="3">
        <f>_xlfn.MAXIFS('CPUs Products'!R$9:R$131,'CPUs Products'!D$9:D$131,A15)</f>
        <v>192</v>
      </c>
      <c r="S15" s="75">
        <f>_xlfn.MAXIFS('CPUs Products'!S$9:S$131,'CPUs Products'!D$9:D$131,A15)</f>
        <v>5200</v>
      </c>
      <c r="T15" s="13">
        <f>AVERAGEIF('CPUs Products'!D$9:D$131,A15,'CPUs Products'!T$9:T$131)</f>
        <v>2</v>
      </c>
      <c r="U15" s="12">
        <v>5</v>
      </c>
      <c r="V15" s="75">
        <v>28</v>
      </c>
      <c r="W15" s="75">
        <v>4</v>
      </c>
      <c r="X15" s="76" t="s">
        <v>419</v>
      </c>
      <c r="Y15" s="9">
        <f>AVERAGEIF('CPUs Products'!D$9:D$131,A15,'CPUs Products'!Y$9:Y$131)</f>
        <v>509.72166666666664</v>
      </c>
      <c r="Z15" s="13">
        <f>AVERAGEIF('CPUs Products'!D$9:D$131,A15,'CPUs Products'!Z$9:Z$131)</f>
        <v>1695.0249999999999</v>
      </c>
      <c r="AE15" s="49" cm="1">
        <f t="array" ref="AE15">(SUMPRODUCT((G15:J15/G$9:J$9)^G$7:J$7 * G$2:J$2) + SUMPRODUCT((N15:P15/N$9:P$9)^N$7:P$7 * N$2:P$2) + SUMPRODUCT((S15:T15/S$9:T$9)^S$7:T$7 * S$2:T$2)) * AE$9</f>
        <v>2.2997175123230287</v>
      </c>
      <c r="AF15" s="1" cm="1">
        <f t="array" ref="AF15">(SUMPRODUCT((G15:J15/G$9:J$9)^G$7:J$7 * G$3:J$3) + SUMPRODUCT((N15:P15/N$9:P$9)^N$7:P$7 * N$3:P$3) + SUMPRODUCT((S15:T15/S$9:T$9)^S$7:T$7 * S$3:T$3)) * AF$9</f>
        <v>2.9951496967204747</v>
      </c>
      <c r="AG15" s="1" cm="1">
        <f t="array" ref="AG15">(SUMPRODUCT((G15:J15/G$9:J$9)^G$7:J$7 * G$4:J$4) + SUMPRODUCT((N15:P15/N$9:P$9)^N$7:P$7 * N$4:P$4) + SUMPRODUCT((S15:T15/S$9:T$9)^S$7:T$7 * S$4:T$4)) * AF$9</f>
        <v>3.1632699813659362</v>
      </c>
      <c r="AH15" s="10" cm="1">
        <f t="array" ref="AH15">(SUMPRODUCT((G15:J15/G$9:J$9)^G$7:J$7 * G$5:J$5) + SUMPRODUCT((N15:P15/N$9:P$9)^N$7:P$7 * N$5:P$5) + SUMPRODUCT((S15:T15/S$9:T$9)^S$7:T$7 * S$5:T$5)) * AF$9</f>
        <v>2.9951496967204747</v>
      </c>
      <c r="AI15" s="50" cm="1">
        <f t="array" ref="AI15">SUMPRODUCT(AE15:AH15 * AE$3:AH$3) / SUM(AE$3:AH$3)</f>
        <v>2.8605300056511349</v>
      </c>
    </row>
    <row r="16" spans="1:35" x14ac:dyDescent="0.25">
      <c r="A16" s="7" t="s">
        <v>9084</v>
      </c>
      <c r="C16" s="95" t="s">
        <v>427</v>
      </c>
      <c r="E16" s="75" t="s">
        <v>430</v>
      </c>
      <c r="F16" s="75" t="s">
        <v>8795</v>
      </c>
      <c r="G16" s="9">
        <f>AVERAGEIF('CPUs Products'!D$9:D$131,A16,'CPUs Products'!G$9:G$131)</f>
        <v>6</v>
      </c>
      <c r="H16" s="3">
        <f>AVERAGEIF('CPUs Products'!D$9:D$131,A16,'CPUs Products'!H$9:H$131)</f>
        <v>12</v>
      </c>
      <c r="I16" s="1">
        <f>AVERAGEIF('CPUs Products'!D$9:D$131,A16,'CPUs Products'!I$9:I$131)</f>
        <v>3.8499999999999996</v>
      </c>
      <c r="J16" s="10">
        <f>AVERAGEIF('CPUs Products'!D$9:D$131,A16,'CPUs Products'!J$9:J$131)</f>
        <v>5.3000000000000007</v>
      </c>
      <c r="K16" s="11" t="s">
        <v>351</v>
      </c>
      <c r="L16" s="85" t="s">
        <v>400</v>
      </c>
      <c r="M16" s="4" t="s">
        <v>226</v>
      </c>
      <c r="N16" s="2">
        <f>AVERAGEIF('CPUs Products'!D$9:D$131,A16,'CPUs Products'!N$9:N$131)</f>
        <v>6</v>
      </c>
      <c r="O16" s="2">
        <f>AVERAGEIF('CPUs Products'!D$9:D$131,A16,'CPUs Products'!O$9:O$131)</f>
        <v>32</v>
      </c>
      <c r="P16" s="13">
        <f>AVERAGEIF('CPUs Products'!D$9:D$131,A16,'CPUs Products'!P$9:P$131)</f>
        <v>65</v>
      </c>
      <c r="Q16" s="12" t="s">
        <v>407</v>
      </c>
      <c r="R16" s="3">
        <f>_xlfn.MAXIFS('CPUs Products'!R$9:R$131,'CPUs Products'!D$9:D$131,A16)</f>
        <v>192</v>
      </c>
      <c r="S16" s="75">
        <f>_xlfn.MAXIFS('CPUs Products'!S$9:S$131,'CPUs Products'!D$9:D$131,A16)</f>
        <v>5600</v>
      </c>
      <c r="T16" s="13">
        <f>AVERAGEIF('CPUs Products'!D$9:D$131,A16,'CPUs Products'!T$9:T$131)</f>
        <v>2</v>
      </c>
      <c r="U16" s="12">
        <v>5</v>
      </c>
      <c r="V16" s="75">
        <v>28</v>
      </c>
      <c r="W16" s="75">
        <v>4</v>
      </c>
      <c r="X16" s="76" t="s">
        <v>419</v>
      </c>
      <c r="Y16" s="9">
        <f>AVERAGEIF('CPUs Products'!D$9:D$131,A16,'CPUs Products'!Y$9:Y$131)</f>
        <v>253.3</v>
      </c>
      <c r="Z16" s="13">
        <f>AVERAGEIF('CPUs Products'!D$9:D$131,A16,'CPUs Products'!Z$9:Z$131)</f>
        <v>691.58500000000004</v>
      </c>
      <c r="AE16" s="49" cm="1">
        <f t="array" ref="AE16">(SUMPRODUCT((G16:J16/G$9:J$9)^G$7:J$7 * G$2:J$2) + SUMPRODUCT((N16:P16/N$9:P$9)^N$7:P$7 * N$2:P$2) + SUMPRODUCT((S16:T16/S$9:T$9)^S$7:T$7 * S$2:T$2)) * AE$9</f>
        <v>1.4627161610978601</v>
      </c>
      <c r="AF16" s="1" cm="1">
        <f t="array" ref="AF16">(SUMPRODUCT((G16:J16/G$9:J$9)^G$7:J$7 * G$3:J$3) + SUMPRODUCT((N16:P16/N$9:P$9)^N$7:P$7 * N$3:P$3) + SUMPRODUCT((S16:T16/S$9:T$9)^S$7:T$7 * S$3:T$3)) * AF$9</f>
        <v>1.662332098765174</v>
      </c>
      <c r="AG16" s="1" cm="1">
        <f t="array" ref="AG16">(SUMPRODUCT((G16:J16/G$9:J$9)^G$7:J$7 * G$4:J$4) + SUMPRODUCT((N16:P16/N$9:P$9)^N$7:P$7 * N$4:P$4) + SUMPRODUCT((S16:T16/S$9:T$9)^S$7:T$7 * S$4:T$4)) * AF$9</f>
        <v>1.6937061599686207</v>
      </c>
      <c r="AH16" s="10" cm="1">
        <f t="array" ref="AH16">(SUMPRODUCT((G16:J16/G$9:J$9)^G$7:J$7 * G$5:J$5) + SUMPRODUCT((N16:P16/N$9:P$9)^N$7:P$7 * N$5:P$5) + SUMPRODUCT((S16:T16/S$9:T$9)^S$7:T$7 * S$5:T$5)) * AF$9</f>
        <v>1.662332098765174</v>
      </c>
      <c r="AI16" s="50" cm="1">
        <f t="array" ref="AI16">SUMPRODUCT(AE16:AH16 * AE$3:AH$3) / SUM(AE$3:AH$3)</f>
        <v>1.6210936610270932</v>
      </c>
    </row>
    <row r="17" spans="1:37" s="6" customFormat="1" x14ac:dyDescent="0.25">
      <c r="A17" s="7" t="s">
        <v>9085</v>
      </c>
      <c r="B17" s="16"/>
      <c r="C17" s="95" t="s">
        <v>427</v>
      </c>
      <c r="D17" s="97"/>
      <c r="E17" s="75" t="s">
        <v>431</v>
      </c>
      <c r="F17" s="75" t="s">
        <v>8795</v>
      </c>
      <c r="G17" s="9">
        <f>AVERAGEIF('CPUs Products'!D$9:D$131,A17,'CPUs Products'!G$9:G$131)</f>
        <v>8</v>
      </c>
      <c r="H17" s="3">
        <f>AVERAGEIF('CPUs Products'!D$9:D$131,A17,'CPUs Products'!H$9:H$131)</f>
        <v>16</v>
      </c>
      <c r="I17" s="1">
        <f>AVERAGEIF('CPUs Products'!D$9:D$131,A17,'CPUs Products'!I$9:I$131)</f>
        <v>4.25</v>
      </c>
      <c r="J17" s="10">
        <f>AVERAGEIF('CPUs Products'!D$9:D$131,A17,'CPUs Products'!J$9:J$131)</f>
        <v>5.35</v>
      </c>
      <c r="K17" s="11" t="s">
        <v>351</v>
      </c>
      <c r="L17" s="85" t="s">
        <v>400</v>
      </c>
      <c r="M17" s="4" t="s">
        <v>226</v>
      </c>
      <c r="N17" s="2">
        <f>AVERAGEIF('CPUs Products'!D$9:D$131,A17,'CPUs Products'!N$9:N$131)</f>
        <v>8</v>
      </c>
      <c r="O17" s="2">
        <f>AVERAGEIF('CPUs Products'!D$9:D$131,A17,'CPUs Products'!O$9:O$131)</f>
        <v>64</v>
      </c>
      <c r="P17" s="13">
        <f>AVERAGEIF('CPUs Products'!D$9:D$131,A17,'CPUs Products'!P$9:P$131)</f>
        <v>92.5</v>
      </c>
      <c r="Q17" s="12" t="s">
        <v>407</v>
      </c>
      <c r="R17" s="3">
        <f>_xlfn.MAXIFS('CPUs Products'!R$9:R$131,'CPUs Products'!D$9:D$131,A17)</f>
        <v>192</v>
      </c>
      <c r="S17" s="75">
        <f>_xlfn.MAXIFS('CPUs Products'!S$9:S$131,'CPUs Products'!D$9:D$131,A17)</f>
        <v>5600</v>
      </c>
      <c r="T17" s="13">
        <f>AVERAGEIF('CPUs Products'!D$9:D$131,A17,'CPUs Products'!T$9:T$131)</f>
        <v>2</v>
      </c>
      <c r="U17" s="12">
        <v>5</v>
      </c>
      <c r="V17" s="75">
        <v>28</v>
      </c>
      <c r="W17" s="75">
        <v>4</v>
      </c>
      <c r="X17" s="76" t="s">
        <v>419</v>
      </c>
      <c r="Y17" s="9">
        <f>AVERAGEIF('CPUs Products'!D$9:D$131,A17,'CPUs Products'!Y$9:Y$131)</f>
        <v>438.995</v>
      </c>
      <c r="Z17" s="13">
        <f>AVERAGEIF('CPUs Products'!D$9:D$131,A17,'CPUs Products'!Z$9:Z$131)</f>
        <v>648</v>
      </c>
      <c r="AA17" s="16"/>
      <c r="AB17" s="66"/>
      <c r="AC17" s="79"/>
      <c r="AD17" s="80"/>
      <c r="AE17" s="49" cm="1">
        <f t="array" ref="AE17">(SUMPRODUCT((G17:J17/G$9:J$9)^G$7:J$7 * G$2:J$2) + SUMPRODUCT((N17:P17/N$9:P$9)^N$7:P$7 * N$2:P$2) + SUMPRODUCT((S17:T17/S$9:T$9)^S$7:T$7 * S$2:T$2)) * AE$9</f>
        <v>1.8282915432230464</v>
      </c>
      <c r="AF17" s="1" cm="1">
        <f t="array" ref="AF17">(SUMPRODUCT((G17:J17/G$9:J$9)^G$7:J$7 * G$3:J$3) + SUMPRODUCT((N17:P17/N$9:P$9)^N$7:P$7 * N$3:P$3) + SUMPRODUCT((S17:T17/S$9:T$9)^S$7:T$7 * S$3:T$3)) * AF$9</f>
        <v>2.228083062918838</v>
      </c>
      <c r="AG17" s="1" cm="1">
        <f t="array" ref="AG17">(SUMPRODUCT((G17:J17/G$9:J$9)^G$7:J$7 * G$4:J$4) + SUMPRODUCT((N17:P17/N$9:P$9)^N$7:P$7 * N$4:P$4) + SUMPRODUCT((S17:T17/S$9:T$9)^S$7:T$7 * S$4:T$4)) * AF$9</f>
        <v>2.2946959321431253</v>
      </c>
      <c r="AH17" s="10" cm="1">
        <f t="array" ref="AH17">(SUMPRODUCT((G17:J17/G$9:J$9)^G$7:J$7 * G$5:J$5) + SUMPRODUCT((N17:P17/N$9:P$9)^N$7:P$7 * N$5:P$5) + SUMPRODUCT((S17:T17/S$9:T$9)^S$7:T$7 * S$5:T$5)) * AF$9</f>
        <v>2.228083062918838</v>
      </c>
      <c r="AI17" s="50" cm="1">
        <f t="array" ref="AI17">SUMPRODUCT(AE17:AH17 * AE$3:AH$3) / SUM(AE$3:AH$3)</f>
        <v>2.1460716151773918</v>
      </c>
      <c r="AJ17"/>
      <c r="AK17"/>
    </row>
    <row r="18" spans="1:37" s="6" customFormat="1" x14ac:dyDescent="0.25">
      <c r="A18" s="7" t="s">
        <v>9086</v>
      </c>
      <c r="B18" s="16"/>
      <c r="C18" s="95" t="s">
        <v>427</v>
      </c>
      <c r="D18" s="97"/>
      <c r="E18" s="75" t="s">
        <v>432</v>
      </c>
      <c r="F18" s="75" t="s">
        <v>8795</v>
      </c>
      <c r="G18" s="9">
        <f>AVERAGEIF('CPUs Products'!D$9:D$131,A18,'CPUs Products'!G$9:G$131)</f>
        <v>14</v>
      </c>
      <c r="H18" s="3">
        <f>AVERAGEIF('CPUs Products'!D$9:D$131,A18,'CPUs Products'!H$9:H$131)</f>
        <v>28</v>
      </c>
      <c r="I18" s="1">
        <f>AVERAGEIF('CPUs Products'!D$9:D$131,A18,'CPUs Products'!I$9:I$131)</f>
        <v>4.3499999999999996</v>
      </c>
      <c r="J18" s="10">
        <f>AVERAGEIF('CPUs Products'!D$9:D$131,A18,'CPUs Products'!J$9:J$131)</f>
        <v>5.65</v>
      </c>
      <c r="K18" s="11" t="s">
        <v>351</v>
      </c>
      <c r="L18" s="85" t="s">
        <v>400</v>
      </c>
      <c r="M18" s="4" t="s">
        <v>226</v>
      </c>
      <c r="N18" s="2">
        <f>AVERAGEIF('CPUs Products'!D$9:D$131,A18,'CPUs Products'!N$9:N$131)</f>
        <v>14</v>
      </c>
      <c r="O18" s="2">
        <f>AVERAGEIF('CPUs Products'!D$9:D$131,A18,'CPUs Products'!O$9:O$131)</f>
        <v>64</v>
      </c>
      <c r="P18" s="13">
        <f>AVERAGEIF('CPUs Products'!D$9:D$131,A18,'CPUs Products'!P$9:P$131)</f>
        <v>145</v>
      </c>
      <c r="Q18" s="12" t="s">
        <v>407</v>
      </c>
      <c r="R18" s="3">
        <f>_xlfn.MAXIFS('CPUs Products'!R$9:R$131,'CPUs Products'!D$9:D$131,A18)</f>
        <v>192</v>
      </c>
      <c r="S18" s="75">
        <f>_xlfn.MAXIFS('CPUs Products'!S$9:S$131,'CPUs Products'!D$9:D$131,A18)</f>
        <v>5600</v>
      </c>
      <c r="T18" s="13">
        <f>AVERAGEIF('CPUs Products'!D$9:D$131,A18,'CPUs Products'!T$9:T$131)</f>
        <v>2</v>
      </c>
      <c r="U18" s="12">
        <v>5</v>
      </c>
      <c r="V18" s="75">
        <v>28</v>
      </c>
      <c r="W18" s="75">
        <v>4</v>
      </c>
      <c r="X18" s="76" t="s">
        <v>419</v>
      </c>
      <c r="Y18" s="9">
        <f>AVERAGEIF('CPUs Products'!D$9:D$131,A18,'CPUs Products'!Y$9:Y$131)</f>
        <v>542.68499999999995</v>
      </c>
      <c r="Z18" s="13">
        <f>AVERAGEIF('CPUs Products'!D$9:D$131,A18,'CPUs Products'!Z$9:Z$131)</f>
        <v>1473.74</v>
      </c>
      <c r="AA18" s="16"/>
      <c r="AB18" s="66"/>
      <c r="AC18" s="79"/>
      <c r="AD18" s="80"/>
      <c r="AE18" s="49" cm="1">
        <f t="array" ref="AE18">(SUMPRODUCT((G18:J18/G$9:J$9)^G$7:J$7 * G$2:J$2) + SUMPRODUCT((N18:P18/N$9:P$9)^N$7:P$7 * N$2:P$2) + SUMPRODUCT((S18:T18/S$9:T$9)^S$7:T$7 * S$2:T$2)) * AE$9</f>
        <v>2.2129297420131242</v>
      </c>
      <c r="AF18" s="1" cm="1">
        <f t="array" ref="AF18">(SUMPRODUCT((G18:J18/G$9:J$9)^G$7:J$7 * G$3:J$3) + SUMPRODUCT((N18:P18/N$9:P$9)^N$7:P$7 * N$3:P$3) + SUMPRODUCT((S18:T18/S$9:T$9)^S$7:T$7 * S$3:T$3)) * AF$9</f>
        <v>2.8644169805625017</v>
      </c>
      <c r="AG18" s="1" cm="1">
        <f t="array" ref="AG18">(SUMPRODUCT((G18:J18/G$9:J$9)^G$7:J$7 * G$4:J$4) + SUMPRODUCT((N18:P18/N$9:P$9)^N$7:P$7 * N$4:P$4) + SUMPRODUCT((S18:T18/S$9:T$9)^S$7:T$7 * S$4:T$4)) * AF$9</f>
        <v>3.0421943495819104</v>
      </c>
      <c r="AH18" s="10" cm="1">
        <f t="array" ref="AH18">(SUMPRODUCT((G18:J18/G$9:J$9)^G$7:J$7 * G$5:J$5) + SUMPRODUCT((N18:P18/N$9:P$9)^N$7:P$7 * N$5:P$5) + SUMPRODUCT((S18:T18/S$9:T$9)^S$7:T$7 * S$5:T$5)) * AF$9</f>
        <v>2.8644169805625017</v>
      </c>
      <c r="AI18" s="50" cm="1">
        <f t="array" ref="AI18">SUMPRODUCT(AE18:AH18 * AE$3:AH$3) / SUM(AE$3:AH$3)</f>
        <v>2.7414241361310161</v>
      </c>
      <c r="AJ18"/>
      <c r="AK18"/>
    </row>
    <row r="19" spans="1:37" s="6" customFormat="1" x14ac:dyDescent="0.25">
      <c r="A19" s="7" t="s">
        <v>9087</v>
      </c>
      <c r="B19" s="16"/>
      <c r="C19" s="95" t="s">
        <v>428</v>
      </c>
      <c r="D19" s="97"/>
      <c r="E19" s="75" t="s">
        <v>437</v>
      </c>
      <c r="F19" s="75">
        <v>200</v>
      </c>
      <c r="G19" s="9">
        <f>AVERAGEIF('CPUs Products'!D$9:D$131,A19,'CPUs Products'!G$9:G$131)</f>
        <v>12.666666666666666</v>
      </c>
      <c r="H19" s="3">
        <f>AVERAGEIF('CPUs Products'!D$9:D$131,A19,'CPUs Products'!H$9:H$131)</f>
        <v>12.666666666666666</v>
      </c>
      <c r="I19" s="1">
        <f>AVERAGEIF('CPUs Products'!D$9:D$131,A19,'CPUs Products'!I$9:I$131)</f>
        <v>3.65</v>
      </c>
      <c r="J19" s="10">
        <f>AVERAGEIF('CPUs Products'!D$9:D$131,A19,'CPUs Products'!J$9:J$131)</f>
        <v>5.05</v>
      </c>
      <c r="K19" s="11" t="s">
        <v>398</v>
      </c>
      <c r="L19" s="85" t="s">
        <v>355</v>
      </c>
      <c r="M19" s="4" t="s">
        <v>402</v>
      </c>
      <c r="N19" s="2">
        <f>AVERAGEIF('CPUs Products'!D$9:D$131,A19,'CPUs Products'!N$9:N$131)</f>
        <v>24.666666666666668</v>
      </c>
      <c r="O19" s="2">
        <f>AVERAGEIF('CPUs Products'!D$9:D$131,A19,'CPUs Products'!O$9:O$131)</f>
        <v>22.666666666666668</v>
      </c>
      <c r="P19" s="13">
        <f>AVERAGEIF('CPUs Products'!D$9:D$131,A19,'CPUs Products'!P$9:P$131)</f>
        <v>85</v>
      </c>
      <c r="Q19" s="12" t="s">
        <v>407</v>
      </c>
      <c r="R19" s="3">
        <f>_xlfn.MAXIFS('CPUs Products'!R$9:R$131,'CPUs Products'!D$9:D$131,A19)</f>
        <v>192</v>
      </c>
      <c r="S19" s="75" t="s">
        <v>6971</v>
      </c>
      <c r="T19" s="13">
        <f>AVERAGEIF('CPUs Products'!D$9:D$131,A19,'CPUs Products'!T$9:T$131)</f>
        <v>2</v>
      </c>
      <c r="U19" s="12">
        <v>5</v>
      </c>
      <c r="V19" s="75">
        <v>24</v>
      </c>
      <c r="W19" s="75">
        <v>4</v>
      </c>
      <c r="X19" s="76" t="s">
        <v>193</v>
      </c>
      <c r="Y19" s="9">
        <f>AVERAGEIF('CPUs Products'!D$9:D$131,A19,'CPUs Products'!Y$9:Y$131)</f>
        <v>288.55833333333334</v>
      </c>
      <c r="Z19" s="13">
        <f>AVERAGEIF('CPUs Products'!D$9:D$131,A19,'CPUs Products'!Z$9:Z$131)</f>
        <v>410.95000000000005</v>
      </c>
      <c r="AA19" s="16"/>
      <c r="AB19" s="66"/>
      <c r="AC19" s="79"/>
      <c r="AD19" s="80"/>
      <c r="AE19" s="49" cm="1">
        <f t="array" ref="AE19">(SUMPRODUCT((G19:J19/G$9:J$9)^G$7:J$7 * G$2:J$2) + SUMPRODUCT((N19:P19/N$9:P$9)^N$7:P$7 * N$2:P$2) + (VALUE(TRIM(MID(S19,FIND(",",S19)+1,LEN(S19))))/S$9)^S$7 * S$2 + (T19/T$9)^T$7 * T$2) * AE$9</f>
        <v>1.8260067820688479</v>
      </c>
      <c r="AF19" s="1" cm="1">
        <f t="array" ref="AF19">(SUMPRODUCT((G19:J19/G$9:J$9)^G$7:J$7 * G$3:J$3) + SUMPRODUCT((N19:P19/N$9:P$9)^N$7:P$7 * N$3:P$3) + (VALUE(TRIM(MID(S19,FIND(",",S19)+1,LEN(S19))))/S$9)^S$7 * S$3 + (T19/T$9)^T$7 * T$3) * AE$9</f>
        <v>2.3376952154024693</v>
      </c>
      <c r="AG19" s="1" cm="1">
        <f t="array" ref="AG19">(SUMPRODUCT((G19:J19/G$9:J$9)^G$7:J$7 * G$4:J$4) + SUMPRODUCT((N19:P19/N$9:P$9)^N$7:P$7 * N$4:P$4) + (VALUE(TRIM(MID(S19,FIND(",",S19)+1,LEN(S19))))/S$9)^S$7 * S$4 + (T19/T$9)^T$7 * T$4) * AE$9</f>
        <v>2.4469398745815174</v>
      </c>
      <c r="AH19" s="10" cm="1">
        <f t="array" ref="AH19">(SUMPRODUCT((G19:J19/G$9:J$9)^G$7:J$7 * G$5:J$5) + SUMPRODUCT((N19:P19/N$9:P$9)^N$7:P$7 * N$5:P$5) + (VALUE(TRIM(MID(S19,FIND(",",S19)+1,LEN(S19))))/S$9)^S$7 * S$5 + (T19/T$9)^T$7 * T$5) * AE$9</f>
        <v>2.3376952154024693</v>
      </c>
      <c r="AI19" s="50" cm="1">
        <f t="array" ref="AI19">SUMPRODUCT(AE19:AH19 * AE$3:AH$3) / SUM(AE$3:AH$3)</f>
        <v>2.2364201398914867</v>
      </c>
      <c r="AJ19"/>
      <c r="AK19"/>
    </row>
    <row r="20" spans="1:37" s="6" customFormat="1" x14ac:dyDescent="0.25">
      <c r="A20" s="7" t="s">
        <v>9088</v>
      </c>
      <c r="B20" s="16"/>
      <c r="C20" s="95" t="s">
        <v>428</v>
      </c>
      <c r="D20" s="97"/>
      <c r="E20" s="75" t="s">
        <v>438</v>
      </c>
      <c r="F20" s="75">
        <v>200</v>
      </c>
      <c r="G20" s="9">
        <f>AVERAGEIF('CPUs Products'!D$9:D$131,A20,'CPUs Products'!G$9:G$131)</f>
        <v>20</v>
      </c>
      <c r="H20" s="3">
        <f>AVERAGEIF('CPUs Products'!D$9:D$131,A20,'CPUs Products'!H$9:H$131)</f>
        <v>20</v>
      </c>
      <c r="I20" s="1">
        <f>AVERAGEIF('CPUs Products'!D$9:D$131,A20,'CPUs Products'!I$9:I$131)</f>
        <v>2.82</v>
      </c>
      <c r="J20" s="10">
        <f>AVERAGEIF('CPUs Products'!D$9:D$131,A20,'CPUs Products'!J$9:J$131)</f>
        <v>5.3800000000000008</v>
      </c>
      <c r="K20" s="11" t="s">
        <v>398</v>
      </c>
      <c r="L20" s="85" t="s">
        <v>355</v>
      </c>
      <c r="M20" s="4" t="s">
        <v>402</v>
      </c>
      <c r="N20" s="2">
        <f>AVERAGEIF('CPUs Products'!D$9:D$131,A20,'CPUs Products'!N$9:N$131)</f>
        <v>36</v>
      </c>
      <c r="O20" s="2">
        <f>AVERAGEIF('CPUs Products'!D$9:D$131,A20,'CPUs Products'!O$9:O$131)</f>
        <v>30</v>
      </c>
      <c r="P20" s="13">
        <f>AVERAGEIF('CPUs Products'!D$9:D$131,A20,'CPUs Products'!P$9:P$131)</f>
        <v>83</v>
      </c>
      <c r="Q20" s="12" t="s">
        <v>407</v>
      </c>
      <c r="R20" s="3">
        <f>_xlfn.MAXIFS('CPUs Products'!R$9:R$131,'CPUs Products'!D$9:D$131,A20)</f>
        <v>192</v>
      </c>
      <c r="S20" s="75">
        <v>5600</v>
      </c>
      <c r="T20" s="13">
        <f>AVERAGEIF('CPUs Products'!D$9:D$131,A20,'CPUs Products'!T$9:T$131)</f>
        <v>2</v>
      </c>
      <c r="U20" s="12">
        <v>5</v>
      </c>
      <c r="V20" s="75">
        <v>24</v>
      </c>
      <c r="W20" s="75">
        <v>4</v>
      </c>
      <c r="X20" s="76" t="s">
        <v>193</v>
      </c>
      <c r="Y20" s="9">
        <f>AVERAGEIF('CPUs Products'!D$9:D$131,A20,'CPUs Products'!Y$9:Y$131)</f>
        <v>390.82399999999996</v>
      </c>
      <c r="Z20" s="13">
        <f>AVERAGEIF('CPUs Products'!D$9:D$131,A20,'CPUs Products'!Z$9:Z$131)</f>
        <v>580.74</v>
      </c>
      <c r="AA20" s="16"/>
      <c r="AB20" s="66"/>
      <c r="AC20" s="79"/>
      <c r="AD20" s="80"/>
      <c r="AE20" s="49" cm="1">
        <f t="array" ref="AE20">(SUMPRODUCT((G20:J20/G$9:J$9)^G$7:J$7 * G$2:J$2) + SUMPRODUCT((N20:P20/N$9:P$9)^N$7:P$7 * N$2:P$2) + SUMPRODUCT((S20:T20/S$9:T$9)^S$7:T$7 * S$2:T$2)) * AE$9</f>
        <v>2.272879451613993</v>
      </c>
      <c r="AF20" s="1" cm="1">
        <f t="array" ref="AF20">(SUMPRODUCT((G20:J20/G$9:J$9)^G$7:J$7 * G$3:J$3) + SUMPRODUCT((N20:P20/N$9:P$9)^N$7:P$7 * N$3:P$3) + SUMPRODUCT((S20:T20/S$9:T$9)^S$7:T$7 * S$3:T$3)) * AF$9</f>
        <v>3.0955443582356357</v>
      </c>
      <c r="AG20" s="1" cm="1">
        <f t="array" ref="AG20">(SUMPRODUCT((G20:J20/G$9:J$9)^G$7:J$7 * G$4:J$4) + SUMPRODUCT((N20:P20/N$9:P$9)^N$7:P$7 * N$4:P$4) + SUMPRODUCT((S20:T20/S$9:T$9)^S$7:T$7 * S$4:T$4)) * AF$9</f>
        <v>3.3180296569926648</v>
      </c>
      <c r="AH20" s="10" cm="1">
        <f t="array" ref="AH20">(SUMPRODUCT((G20:J20/G$9:J$9)^G$7:J$7 * G$5:J$5) + SUMPRODUCT((N20:P20/N$9:P$9)^N$7:P$7 * N$5:P$5) + SUMPRODUCT((S20:T20/S$9:T$9)^S$7:T$7 * S$5:T$5)) * AF$9</f>
        <v>3.0955443582356357</v>
      </c>
      <c r="AI20" s="50" cm="1">
        <f t="array" ref="AI20">SUMPRODUCT(AE20:AH20 * AE$3:AH$3) / SUM(AE$3:AH$3)</f>
        <v>2.9399271180547992</v>
      </c>
      <c r="AK20"/>
    </row>
    <row r="21" spans="1:37" s="6" customFormat="1" x14ac:dyDescent="0.25">
      <c r="A21" s="7" t="s">
        <v>9089</v>
      </c>
      <c r="B21" s="16"/>
      <c r="C21" s="95" t="s">
        <v>428</v>
      </c>
      <c r="D21" s="97"/>
      <c r="E21" s="75" t="s">
        <v>439</v>
      </c>
      <c r="F21" s="75">
        <v>200</v>
      </c>
      <c r="G21" s="9">
        <f>AVERAGEIF('CPUs Products'!D$9:D$131,A21,'CPUs Products'!G$9:G$131)</f>
        <v>24</v>
      </c>
      <c r="H21" s="3">
        <f>AVERAGEIF('CPUs Products'!D$9:D$131,A21,'CPUs Products'!H$9:H$131)</f>
        <v>24</v>
      </c>
      <c r="I21" s="1">
        <f>AVERAGEIF('CPUs Products'!D$9:D$131,A21,'CPUs Products'!I$9:I$131)</f>
        <v>2.5333333333333332</v>
      </c>
      <c r="J21" s="10">
        <f>AVERAGEIF('CPUs Products'!D$9:D$131,A21,'CPUs Products'!J$9:J$131)</f>
        <v>5.5666666666666673</v>
      </c>
      <c r="K21" s="11" t="s">
        <v>398</v>
      </c>
      <c r="L21" s="85" t="s">
        <v>355</v>
      </c>
      <c r="M21" s="4" t="s">
        <v>402</v>
      </c>
      <c r="N21" s="2">
        <f>AVERAGEIF('CPUs Products'!D$9:D$131,A21,'CPUs Products'!N$9:N$131)</f>
        <v>40</v>
      </c>
      <c r="O21" s="2">
        <f>AVERAGEIF('CPUs Products'!D$9:D$131,A21,'CPUs Products'!O$9:O$131)</f>
        <v>36</v>
      </c>
      <c r="P21" s="13">
        <f>AVERAGEIF('CPUs Products'!D$9:D$131,A21,'CPUs Products'!P$9:P$131)</f>
        <v>75</v>
      </c>
      <c r="Q21" s="12" t="s">
        <v>407</v>
      </c>
      <c r="R21" s="3">
        <f>_xlfn.MAXIFS('CPUs Products'!R$9:R$131,'CPUs Products'!D$9:D$131,A21)</f>
        <v>192</v>
      </c>
      <c r="S21" s="75">
        <v>5600</v>
      </c>
      <c r="T21" s="13">
        <f>AVERAGEIF('CPUs Products'!D$9:D$131,A21,'CPUs Products'!T$9:T$131)</f>
        <v>2</v>
      </c>
      <c r="U21" s="12">
        <v>5</v>
      </c>
      <c r="V21" s="75">
        <v>24</v>
      </c>
      <c r="W21" s="75">
        <v>4</v>
      </c>
      <c r="X21" s="76" t="s">
        <v>193</v>
      </c>
      <c r="Y21" s="9">
        <f>AVERAGEIF('CPUs Products'!D$9:D$131,A21,'CPUs Products'!Y$9:Y$131)</f>
        <v>641.33333333333337</v>
      </c>
      <c r="Z21" s="13">
        <f>AVERAGEIF('CPUs Products'!D$9:D$131,A21,'CPUs Products'!Z$9:Z$131)</f>
        <v>905.9666666666667</v>
      </c>
      <c r="AA21" s="16"/>
      <c r="AB21" s="66"/>
      <c r="AC21" s="79"/>
      <c r="AD21" s="80"/>
      <c r="AE21" s="49" cm="1">
        <f t="array" ref="AE21">(SUMPRODUCT((G21:J21/G$9:J$9)^G$7:J$7 * G$2:J$2) + SUMPRODUCT((N21:P21/N$9:P$9)^N$7:P$7 * N$2:P$2) + SUMPRODUCT((S21:T21/S$9:T$9)^S$7:T$7 * S$2:T$2)) * AE$9</f>
        <v>2.5142485074655134</v>
      </c>
      <c r="AF21" s="1" cm="1">
        <f t="array" ref="AF21">(SUMPRODUCT((G21:J21/G$9:J$9)^G$7:J$7 * G$3:J$3) + SUMPRODUCT((N21:P21/N$9:P$9)^N$7:P$7 * N$3:P$3) + SUMPRODUCT((S21:T21/S$9:T$9)^S$7:T$7 * S$3:T$3)) * AF$9</f>
        <v>3.4765953885698573</v>
      </c>
      <c r="AG21" s="1" cm="1">
        <f t="array" ref="AG21">(SUMPRODUCT((G21:J21/G$9:J$9)^G$7:J$7 * G$4:J$4) + SUMPRODUCT((N21:P21/N$9:P$9)^N$7:P$7 * N$4:P$4) + SUMPRODUCT((S21:T21/S$9:T$9)^S$7:T$7 * S$4:T$4)) * AF$9</f>
        <v>3.7566570538387829</v>
      </c>
      <c r="AH21" s="10" cm="1">
        <f t="array" ref="AH21">(SUMPRODUCT((G21:J21/G$9:J$9)^G$7:J$7 * G$5:J$5) + SUMPRODUCT((N21:P21/N$9:P$9)^N$7:P$7 * N$5:P$5) + SUMPRODUCT((S21:T21/S$9:T$9)^S$7:T$7 * S$5:T$5)) * AF$9</f>
        <v>3.4765953885698573</v>
      </c>
      <c r="AI21" s="50" cm="1">
        <f t="array" ref="AI21">SUMPRODUCT(AE21:AH21 * AE$3:AH$3) / SUM(AE$3:AH$3)</f>
        <v>3.2976017491256124</v>
      </c>
      <c r="AK21"/>
    </row>
    <row r="22" spans="1:37" s="6" customFormat="1" x14ac:dyDescent="0.25">
      <c r="A22" s="7" t="s">
        <v>9090</v>
      </c>
      <c r="B22" s="16"/>
      <c r="C22" s="95" t="s">
        <v>428</v>
      </c>
      <c r="D22" s="97"/>
      <c r="E22" s="75" t="s">
        <v>433</v>
      </c>
      <c r="F22" s="75" t="s">
        <v>9074</v>
      </c>
      <c r="G22" s="9">
        <f>AVERAGEIF('CPUs Products'!D$9:D$131,A22,'CPUs Products'!G$9:G$131)</f>
        <v>4</v>
      </c>
      <c r="H22" s="3">
        <f>AVERAGEIF('CPUs Products'!D$9:D$131,A22,'CPUs Products'!H$9:H$131)</f>
        <v>8</v>
      </c>
      <c r="I22" s="1">
        <f>AVERAGEIF('CPUs Products'!D$9:D$131,A22,'CPUs Products'!I$9:I$131)</f>
        <v>2.7750000000000004</v>
      </c>
      <c r="J22" s="10">
        <f>AVERAGEIF('CPUs Products'!D$9:D$131,A22,'CPUs Products'!J$9:J$131)</f>
        <v>4.2249999999999996</v>
      </c>
      <c r="K22" s="11" t="s">
        <v>352</v>
      </c>
      <c r="L22" s="85" t="s">
        <v>17</v>
      </c>
      <c r="M22" s="4" t="s">
        <v>165</v>
      </c>
      <c r="N22" s="2">
        <f>AVERAGEIF('CPUs Products'!D$9:D$131,A22,'CPUs Products'!N$9:N$131)</f>
        <v>5</v>
      </c>
      <c r="O22" s="2">
        <f>AVERAGEIF('CPUs Products'!D$9:D$131,A22,'CPUs Products'!O$9:O$131)</f>
        <v>12</v>
      </c>
      <c r="P22" s="13">
        <f>AVERAGEIF('CPUs Products'!D$9:D$131,A22,'CPUs Products'!P$9:P$131)</f>
        <v>47</v>
      </c>
      <c r="Q22" s="12" t="s">
        <v>408</v>
      </c>
      <c r="R22" s="3">
        <f>_xlfn.MAXIFS('CPUs Products'!R$9:R$131,'CPUs Products'!D$9:D$131,A22)</f>
        <v>128</v>
      </c>
      <c r="S22" s="75" t="s">
        <v>412</v>
      </c>
      <c r="T22" s="13">
        <f>AVERAGEIF('CPUs Products'!D$9:D$131,A22,'CPUs Products'!T$9:T$131)</f>
        <v>2</v>
      </c>
      <c r="U22" s="12" t="s">
        <v>2285</v>
      </c>
      <c r="V22" s="75" t="s">
        <v>418</v>
      </c>
      <c r="W22" s="75">
        <v>4</v>
      </c>
      <c r="X22" s="76" t="s">
        <v>193</v>
      </c>
      <c r="Y22" s="9">
        <f>AVERAGEIF('CPUs Products'!D$9:D$131,A22,'CPUs Products'!Y$9:Y$131)</f>
        <v>117.22749999999999</v>
      </c>
      <c r="Z22" s="13">
        <f>AVERAGEIF('CPUs Products'!D$9:D$131,A22,'CPUs Products'!Z$9:Z$131)</f>
        <v>192.5625</v>
      </c>
      <c r="AA22" s="16"/>
      <c r="AB22" s="66"/>
      <c r="AC22" s="79"/>
      <c r="AD22" s="80"/>
      <c r="AE22" s="49" cm="1">
        <f t="array" ref="AE22">(SUMPRODUCT((G22:J22/G$9:J$9)^G$7:J$7 * G$2:J$2) + SUMPRODUCT((N22:P22/N$9:P$9)^N$7:P$7 * N$2:P$2) + (VALUE(TRIM(MID(S22,FIND(",",S22)+1,LEN(S22))))/S$9)^S$7 * S$2 + (T22/T$9)^T$7 * T$2) * AE$9</f>
        <v>1.0666336106736956</v>
      </c>
      <c r="AF22" s="1" cm="1">
        <f t="array" ref="AF22">(SUMPRODUCT((G22:J22/G$9:J$9)^G$7:J$7 * G$3:J$3) + SUMPRODUCT((N22:P22/N$9:P$9)^N$7:P$7 * N$3:P$3) + (VALUE(TRIM(MID(S22,FIND(",",S22)+1,LEN(S22))))/S$9)^S$7 * S$3 + (T22/T$9)^T$7 * T$3) * AE$9</f>
        <v>1.160792939921732</v>
      </c>
      <c r="AG22" s="1" cm="1">
        <f t="array" ref="AG22">(SUMPRODUCT((G22:J22/G$9:J$9)^G$7:J$7 * G$4:J$4) + SUMPRODUCT((N22:P22/N$9:P$9)^N$7:P$7 * N$4:P$4) + (VALUE(TRIM(MID(S22,FIND(",",S22)+1,LEN(S22))))/S$9)^S$7 * S$4 + (T22/T$9)^T$7 * T$4) * AE$9</f>
        <v>1.1758078208741132</v>
      </c>
      <c r="AH22" s="10" cm="1">
        <f t="array" ref="AH22">(SUMPRODUCT((G22:J22/G$9:J$9)^G$7:J$7 * G$5:J$5) + SUMPRODUCT((N22:P22/N$9:P$9)^N$7:P$7 * N$5:P$5) + (VALUE(TRIM(MID(S22,FIND(",",S22)+1,LEN(S22))))/S$9)^S$7 * S$5 + (T22/T$9)^T$7 * T$5) * AE$9</f>
        <v>1.160792939921732</v>
      </c>
      <c r="AI22" s="50" cm="1">
        <f t="array" ref="AI22">SUMPRODUCT(AE22:AH22 * AE$3:AH$3) / SUM(AE$3:AH$3)</f>
        <v>1.1413738456263975</v>
      </c>
      <c r="AK22"/>
    </row>
    <row r="23" spans="1:37" s="6" customFormat="1" x14ac:dyDescent="0.25">
      <c r="A23" s="7" t="s">
        <v>9091</v>
      </c>
      <c r="B23" s="16"/>
      <c r="C23" s="95" t="s">
        <v>428</v>
      </c>
      <c r="D23" s="97"/>
      <c r="E23" s="75" t="s">
        <v>434</v>
      </c>
      <c r="F23" s="75" t="s">
        <v>9074</v>
      </c>
      <c r="G23" s="9">
        <f>AVERAGEIF('CPUs Products'!D$9:D$131,A23,'CPUs Products'!G$9:G$131)</f>
        <v>6.8888888888888893</v>
      </c>
      <c r="H23" s="3">
        <f>AVERAGEIF('CPUs Products'!D$9:D$131,A23,'CPUs Products'!H$9:H$131)</f>
        <v>12.888888888888889</v>
      </c>
      <c r="I23" s="1">
        <f>AVERAGEIF('CPUs Products'!D$9:D$131,A23,'CPUs Products'!I$9:I$131)</f>
        <v>2.7333333333333334</v>
      </c>
      <c r="J23" s="10">
        <f>AVERAGEIF('CPUs Products'!D$9:D$131,A23,'CPUs Products'!J$9:J$131)</f>
        <v>4.5777777777777784</v>
      </c>
      <c r="K23" s="11" t="s">
        <v>352</v>
      </c>
      <c r="L23" s="85" t="s">
        <v>17</v>
      </c>
      <c r="M23" s="4" t="s">
        <v>165</v>
      </c>
      <c r="N23" s="2">
        <f>AVERAGEIF('CPUs Products'!D$9:D$131,A23,'CPUs Products'!N$9:N$131)</f>
        <v>7.9444444444444446</v>
      </c>
      <c r="O23" s="2">
        <f>AVERAGEIF('CPUs Products'!D$9:D$131,A23,'CPUs Products'!O$9:O$131)</f>
        <v>18.444444444444443</v>
      </c>
      <c r="P23" s="13">
        <f>AVERAGEIF('CPUs Products'!D$9:D$131,A23,'CPUs Products'!P$9:P$131)</f>
        <v>68.333333333333329</v>
      </c>
      <c r="Q23" s="12" t="s">
        <v>408</v>
      </c>
      <c r="R23" s="3">
        <f>_xlfn.MAXIFS('CPUs Products'!R$9:R$131,'CPUs Products'!D$9:D$131,A23)</f>
        <v>128</v>
      </c>
      <c r="S23" s="75" t="s">
        <v>412</v>
      </c>
      <c r="T23" s="13">
        <f>AVERAGEIF('CPUs Products'!D$9:D$131,A23,'CPUs Products'!T$9:T$131)</f>
        <v>2</v>
      </c>
      <c r="U23" s="12" t="s">
        <v>2285</v>
      </c>
      <c r="V23" s="75" t="s">
        <v>418</v>
      </c>
      <c r="W23" s="75">
        <v>4</v>
      </c>
      <c r="X23" s="76" t="s">
        <v>193</v>
      </c>
      <c r="Y23" s="9">
        <f>AVERAGEIF('CPUs Products'!D$9:D$131,A23,'CPUs Products'!Y$9:Y$131)</f>
        <v>202.7177777777778</v>
      </c>
      <c r="Z23" s="13">
        <f>AVERAGEIF('CPUs Products'!D$9:D$131,A23,'CPUs Products'!Z$9:Z$131)</f>
        <v>545.35777777777776</v>
      </c>
      <c r="AA23" s="16"/>
      <c r="AB23" s="66"/>
      <c r="AC23" s="79"/>
      <c r="AD23" s="80"/>
      <c r="AE23" s="49" cm="1">
        <f t="array" ref="AE23">(SUMPRODUCT((G23:J23/G$9:J$9)^G$7:J$7 * G$2:J$2) + SUMPRODUCT((N23:P23/N$9:P$9)^N$7:P$7 * N$2:P$2) + (VALUE(TRIM(MID(S23,FIND(",",S23)+1,LEN(S23))))/S$9)^S$7 * S$2 + (T23/T$9)^T$7 * T$2) * AE$9</f>
        <v>1.3135593346880192</v>
      </c>
      <c r="AF23" s="1" cm="1">
        <f t="array" ref="AF23">(SUMPRODUCT((G23:J23/G$9:J$9)^G$7:J$7 * G$3:J$3) + SUMPRODUCT((N23:P23/N$9:P$9)^N$7:P$7 * N$3:P$3) + (VALUE(TRIM(MID(S23,FIND(",",S23)+1,LEN(S23))))/S$9)^S$7 * S$3 + (T23/T$9)^T$7 * T$3) * AE$9</f>
        <v>1.5627824309095859</v>
      </c>
      <c r="AG23" s="1" cm="1">
        <f t="array" ref="AG23">(SUMPRODUCT((G23:J23/G$9:J$9)^G$7:J$7 * G$4:J$4) + SUMPRODUCT((N23:P23/N$9:P$9)^N$7:P$7 * N$4:P$4) + (VALUE(TRIM(MID(S23,FIND(",",S23)+1,LEN(S23))))/S$9)^S$7 * S$4 + (T23/T$9)^T$7 * T$4) * AE$9</f>
        <v>1.6306673767803732</v>
      </c>
      <c r="AH23" s="10" cm="1">
        <f t="array" ref="AH23">(SUMPRODUCT((G23:J23/G$9:J$9)^G$7:J$7 * G$5:J$5) + SUMPRODUCT((N23:P23/N$9:P$9)^N$7:P$7 * N$5:P$5) + (VALUE(TRIM(MID(S23,FIND(",",S23)+1,LEN(S23))))/S$9)^S$7 * S$5 + (T23/T$9)^T$7 * T$5) * AE$9</f>
        <v>1.5627824309095859</v>
      </c>
      <c r="AI23" s="50" cm="1">
        <f t="array" ref="AI23">SUMPRODUCT(AE23:AH23 * AE$3:AH$3) / SUM(AE$3:AH$3)</f>
        <v>1.5157132465308838</v>
      </c>
      <c r="AK23"/>
    </row>
    <row r="24" spans="1:37" s="6" customFormat="1" x14ac:dyDescent="0.25">
      <c r="A24" s="7" t="s">
        <v>9092</v>
      </c>
      <c r="B24" s="16"/>
      <c r="C24" s="95" t="s">
        <v>428</v>
      </c>
      <c r="D24" s="97"/>
      <c r="E24" s="75" t="s">
        <v>435</v>
      </c>
      <c r="F24" s="75" t="s">
        <v>9074</v>
      </c>
      <c r="G24" s="9">
        <f>AVERAGEIF('CPUs Products'!D$9:D$131,A24,'CPUs Products'!G$9:G$131)</f>
        <v>12</v>
      </c>
      <c r="H24" s="3">
        <f>AVERAGEIF('CPUs Products'!D$9:D$131,A24,'CPUs Products'!H$9:H$131)</f>
        <v>20</v>
      </c>
      <c r="I24" s="1">
        <f>AVERAGEIF('CPUs Products'!D$9:D$131,A24,'CPUs Products'!I$9:I$131)</f>
        <v>2.56</v>
      </c>
      <c r="J24" s="10">
        <f>AVERAGEIF('CPUs Products'!D$9:D$131,A24,'CPUs Products'!J$9:J$131)</f>
        <v>4.9000000000000004</v>
      </c>
      <c r="K24" s="11" t="s">
        <v>352</v>
      </c>
      <c r="L24" s="85" t="s">
        <v>17</v>
      </c>
      <c r="M24" s="4" t="s">
        <v>165</v>
      </c>
      <c r="N24" s="2">
        <f>AVERAGEIF('CPUs Products'!D$9:D$131,A24,'CPUs Products'!N$9:N$131)</f>
        <v>12</v>
      </c>
      <c r="O24" s="2">
        <f>AVERAGEIF('CPUs Products'!D$9:D$131,A24,'CPUs Products'!O$9:O$131)</f>
        <v>25</v>
      </c>
      <c r="P24" s="13">
        <f>AVERAGEIF('CPUs Products'!D$9:D$131,A24,'CPUs Products'!P$9:P$131)</f>
        <v>83</v>
      </c>
      <c r="Q24" s="12" t="s">
        <v>408</v>
      </c>
      <c r="R24" s="3">
        <f>_xlfn.MAXIFS('CPUs Products'!R$9:R$131,'CPUs Products'!D$9:D$131,A24)</f>
        <v>128</v>
      </c>
      <c r="S24" s="75" t="s">
        <v>412</v>
      </c>
      <c r="T24" s="13">
        <f>AVERAGEIF('CPUs Products'!D$9:D$131,A24,'CPUs Products'!T$9:T$131)</f>
        <v>2</v>
      </c>
      <c r="U24" s="12" t="s">
        <v>2285</v>
      </c>
      <c r="V24" s="75" t="s">
        <v>418</v>
      </c>
      <c r="W24" s="75">
        <v>4</v>
      </c>
      <c r="X24" s="76" t="s">
        <v>193</v>
      </c>
      <c r="Y24" s="9">
        <f>AVERAGEIF('CPUs Products'!D$9:D$131,A24,'CPUs Products'!Y$9:Y$131)</f>
        <v>263.77800000000002</v>
      </c>
      <c r="Z24" s="13">
        <f>AVERAGEIF('CPUs Products'!D$9:D$131,A24,'CPUs Products'!Z$9:Z$131)</f>
        <v>526.71600000000012</v>
      </c>
      <c r="AA24" s="16"/>
      <c r="AB24" s="66"/>
      <c r="AC24" s="79"/>
      <c r="AD24" s="80"/>
      <c r="AE24" s="49" cm="1">
        <f t="array" ref="AE24">(SUMPRODUCT((G24:J24/G$9:J$9)^G$7:J$7 * G$2:J$2) + SUMPRODUCT((N24:P24/N$9:P$9)^N$7:P$7 * N$2:P$2) + (VALUE(TRIM(MID(S24,FIND(",",S24)+1,LEN(S24))))/S$9)^S$7 * S$2 + (T24/T$9)^T$7 * T$2) * AE$9</f>
        <v>1.6541138027273039</v>
      </c>
      <c r="AF24" s="1" cm="1">
        <f t="array" ref="AF24">(SUMPRODUCT((G24:J24/G$9:J$9)^G$7:J$7 * G$3:J$3) + SUMPRODUCT((N24:P24/N$9:P$9)^N$7:P$7 * N$3:P$3) + (VALUE(TRIM(MID(S24,FIND(",",S24)+1,LEN(S24))))/S$9)^S$7 * S$3 + (T24/T$9)^T$7 * T$3) * AE$9</f>
        <v>2.1072126847023571</v>
      </c>
      <c r="AG24" s="1" cm="1">
        <f t="array" ref="AG24">(SUMPRODUCT((G24:J24/G$9:J$9)^G$7:J$7 * G$4:J$4) + SUMPRODUCT((N24:P24/N$9:P$9)^N$7:P$7 * N$4:P$4) + (VALUE(TRIM(MID(S24,FIND(",",S24)+1,LEN(S24))))/S$9)^S$7 * S$4 + (T24/T$9)^T$7 * T$4) * AE$9</f>
        <v>2.26022105751959</v>
      </c>
      <c r="AH24" s="10" cm="1">
        <f t="array" ref="AH24">(SUMPRODUCT((G24:J24/G$9:J$9)^G$7:J$7 * G$5:J$5) + SUMPRODUCT((N24:P24/N$9:P$9)^N$7:P$7 * N$5:P$5) + (VALUE(TRIM(MID(S24,FIND(",",S24)+1,LEN(S24))))/S$9)^S$7 * S$5 + (T24/T$9)^T$7 * T$5) * AE$9</f>
        <v>2.1072126847023571</v>
      </c>
      <c r="AI24" s="50" cm="1">
        <f t="array" ref="AI24">SUMPRODUCT(AE24:AH24 * AE$3:AH$3) / SUM(AE$3:AH$3)</f>
        <v>2.0261911539107653</v>
      </c>
      <c r="AK24"/>
    </row>
    <row r="25" spans="1:37" s="6" customFormat="1" x14ac:dyDescent="0.25">
      <c r="A25" s="7" t="s">
        <v>9093</v>
      </c>
      <c r="B25" s="16"/>
      <c r="C25" s="95" t="s">
        <v>428</v>
      </c>
      <c r="D25" s="97"/>
      <c r="E25" s="75" t="s">
        <v>436</v>
      </c>
      <c r="F25" s="75" t="s">
        <v>9074</v>
      </c>
      <c r="G25" s="9">
        <f>AVERAGEIF('CPUs Products'!D$9:D$131,A25,'CPUs Products'!G$9:G$131)</f>
        <v>16</v>
      </c>
      <c r="H25" s="3">
        <f>AVERAGEIF('CPUs Products'!D$9:D$131,A25,'CPUs Products'!H$9:H$131)</f>
        <v>24</v>
      </c>
      <c r="I25" s="1">
        <f>AVERAGEIF('CPUs Products'!D$9:D$131,A25,'CPUs Products'!I$9:I$131)</f>
        <v>2.92</v>
      </c>
      <c r="J25" s="10">
        <f>AVERAGEIF('CPUs Products'!D$9:D$131,A25,'CPUs Products'!J$9:J$131)</f>
        <v>5.22</v>
      </c>
      <c r="K25" s="11" t="s">
        <v>352</v>
      </c>
      <c r="L25" s="85" t="s">
        <v>17</v>
      </c>
      <c r="M25" s="4" t="s">
        <v>165</v>
      </c>
      <c r="N25" s="2">
        <f>AVERAGEIF('CPUs Products'!D$9:D$131,A25,'CPUs Products'!N$9:N$131)</f>
        <v>14</v>
      </c>
      <c r="O25" s="2">
        <f>AVERAGEIF('CPUs Products'!D$9:D$131,A25,'CPUs Products'!O$9:O$131)</f>
        <v>30</v>
      </c>
      <c r="P25" s="13">
        <f>AVERAGEIF('CPUs Products'!D$9:D$131,A25,'CPUs Products'!P$9:P$131)</f>
        <v>106</v>
      </c>
      <c r="Q25" s="12" t="s">
        <v>408</v>
      </c>
      <c r="R25" s="3">
        <f>_xlfn.MAXIFS('CPUs Products'!R$9:R$131,'CPUs Products'!D$9:D$131,A25)</f>
        <v>128</v>
      </c>
      <c r="S25" s="75" t="s">
        <v>412</v>
      </c>
      <c r="T25" s="13">
        <f>AVERAGEIF('CPUs Products'!D$9:D$131,A25,'CPUs Products'!T$9:T$131)</f>
        <v>2</v>
      </c>
      <c r="U25" s="12" t="s">
        <v>2285</v>
      </c>
      <c r="V25" s="75" t="s">
        <v>418</v>
      </c>
      <c r="W25" s="75">
        <v>4</v>
      </c>
      <c r="X25" s="76" t="s">
        <v>193</v>
      </c>
      <c r="Y25" s="9">
        <f>AVERAGEIF('CPUs Products'!D$9:D$131,A25,'CPUs Products'!Y$9:Y$131)</f>
        <v>397.9</v>
      </c>
      <c r="Z25" s="13">
        <f>AVERAGEIF('CPUs Products'!D$9:D$131,A25,'CPUs Products'!Z$9:Z$131)</f>
        <v>987.202</v>
      </c>
      <c r="AA25" s="16"/>
      <c r="AB25" s="66"/>
      <c r="AC25" s="79"/>
      <c r="AD25" s="80"/>
      <c r="AE25" s="49" cm="1">
        <f t="array" ref="AE25">(SUMPRODUCT((G25:J25/G$9:J$9)^G$7:J$7 * G$2:J$2) + SUMPRODUCT((N25:P25/N$9:P$9)^N$7:P$7 * N$2:P$2) + (VALUE(TRIM(MID(S25,FIND(",",S25)+1,LEN(S25))))/S$9)^S$7 * S$2 + (T25/T$9)^T$7 * T$2) * AE$9</f>
        <v>1.9032361024674604</v>
      </c>
      <c r="AF25" s="1" cm="1">
        <f t="array" ref="AF25">(SUMPRODUCT((G25:J25/G$9:J$9)^G$7:J$7 * G$3:J$3) + SUMPRODUCT((N25:P25/N$9:P$9)^N$7:P$7 * N$3:P$3) + (VALUE(TRIM(MID(S25,FIND(",",S25)+1,LEN(S25))))/S$9)^S$7 * S$3 + (T25/T$9)^T$7 * T$3) * AE$9</f>
        <v>2.4642932248183902</v>
      </c>
      <c r="AG25" s="1" cm="1">
        <f t="array" ref="AG25">(SUMPRODUCT((G25:J25/G$9:J$9)^G$7:J$7 * G$4:J$4) + SUMPRODUCT((N25:P25/N$9:P$9)^N$7:P$7 * N$4:P$4) + (VALUE(TRIM(MID(S25,FIND(",",S25)+1,LEN(S25))))/S$9)^S$7 * S$4 + (T25/T$9)^T$7 * T$4) * AE$9</f>
        <v>2.6669710129168105</v>
      </c>
      <c r="AH25" s="10" cm="1">
        <f t="array" ref="AH25">(SUMPRODUCT((G25:J25/G$9:J$9)^G$7:J$7 * G$5:J$5) + SUMPRODUCT((N25:P25/N$9:P$9)^N$7:P$7 * N$5:P$5) + (VALUE(TRIM(MID(S25,FIND(",",S25)+1,LEN(S25))))/S$9)^S$7 * S$5 + (T25/T$9)^T$7 * T$5) * AE$9</f>
        <v>2.4642932248183902</v>
      </c>
      <c r="AI25" s="50" cm="1">
        <f t="array" ref="AI25">SUMPRODUCT(AE25:AH25 * AE$3:AH$3) / SUM(AE$3:AH$3)</f>
        <v>2.365999702444856</v>
      </c>
      <c r="AK25"/>
    </row>
    <row r="26" spans="1:37" s="6" customFormat="1" x14ac:dyDescent="0.25">
      <c r="A26" s="7" t="s">
        <v>9094</v>
      </c>
      <c r="B26" s="16"/>
      <c r="C26" s="95" t="s">
        <v>428</v>
      </c>
      <c r="D26" s="97"/>
      <c r="E26" s="75" t="s">
        <v>433</v>
      </c>
      <c r="F26" s="75" t="s">
        <v>9075</v>
      </c>
      <c r="G26" s="9">
        <f>AVERAGEIF('CPUs Products'!D$9:D$131,A26,'CPUs Products'!G$9:G$131)</f>
        <v>4</v>
      </c>
      <c r="H26" s="3">
        <f>AVERAGEIF('CPUs Products'!D$9:D$131,A26,'CPUs Products'!H$9:H$131)</f>
        <v>8</v>
      </c>
      <c r="I26" s="1">
        <f>AVERAGEIF('CPUs Products'!D$9:D$131,A26,'CPUs Products'!I$9:I$131)</f>
        <v>3.1</v>
      </c>
      <c r="J26" s="10">
        <f>AVERAGEIF('CPUs Products'!D$9:D$131,A26,'CPUs Products'!J$9:J$131)</f>
        <v>4.3999999999999995</v>
      </c>
      <c r="K26" s="11" t="s">
        <v>352</v>
      </c>
      <c r="L26" s="85" t="s">
        <v>17</v>
      </c>
      <c r="M26" s="4" t="s">
        <v>165</v>
      </c>
      <c r="N26" s="2">
        <f>AVERAGEIF('CPUs Products'!D$9:D$131,A26,'CPUs Products'!N$9:N$131)</f>
        <v>5</v>
      </c>
      <c r="O26" s="2">
        <f>AVERAGEIF('CPUs Products'!D$9:D$131,A26,'CPUs Products'!O$9:O$131)</f>
        <v>12</v>
      </c>
      <c r="P26" s="13">
        <f>AVERAGEIF('CPUs Products'!D$9:D$131,A26,'CPUs Products'!P$9:P$131)</f>
        <v>51</v>
      </c>
      <c r="Q26" s="12" t="s">
        <v>408</v>
      </c>
      <c r="R26" s="3">
        <f>_xlfn.MAXIFS('CPUs Products'!R$9:R$131,'CPUs Products'!D$9:D$131,A26)</f>
        <v>192</v>
      </c>
      <c r="S26" s="75" t="s">
        <v>412</v>
      </c>
      <c r="T26" s="13">
        <f>AVERAGEIF('CPUs Products'!D$9:D$131,A26,'CPUs Products'!T$9:T$131)</f>
        <v>2</v>
      </c>
      <c r="U26" s="12" t="s">
        <v>2285</v>
      </c>
      <c r="V26" s="75" t="s">
        <v>418</v>
      </c>
      <c r="W26" s="75">
        <v>4</v>
      </c>
      <c r="X26" s="76" t="s">
        <v>193</v>
      </c>
      <c r="Y26" s="9">
        <f>AVERAGEIF('CPUs Products'!D$9:D$131,A26,'CPUs Products'!Y$9:Y$131)</f>
        <v>121.50333333333333</v>
      </c>
      <c r="Z26" s="13">
        <f>AVERAGEIF('CPUs Products'!D$9:D$131,A26,'CPUs Products'!Z$9:Z$131)</f>
        <v>203.55666666666664</v>
      </c>
      <c r="AA26" s="16"/>
      <c r="AB26" s="66"/>
      <c r="AC26" s="79"/>
      <c r="AD26" s="80"/>
      <c r="AE26" s="49" cm="1">
        <f t="array" ref="AE26">(SUMPRODUCT((G26:J26/G$9:J$9)^G$7:J$7 * G$2:J$2) + SUMPRODUCT((N26:P26/N$9:P$9)^N$7:P$7 * N$2:P$2) + (VALUE(TRIM(MID(S26,FIND(",",S26)+1,LEN(S26))))/S$9)^S$7 * S$2 + (T26/T$9)^T$7 * T$2) * AE$9</f>
        <v>1.0885943511218517</v>
      </c>
      <c r="AF26" s="1" cm="1">
        <f t="array" ref="AF26">(SUMPRODUCT((G26:J26/G$9:J$9)^G$7:J$7 * G$3:J$3) + SUMPRODUCT((N26:P26/N$9:P$9)^N$7:P$7 * N$3:P$3) + (VALUE(TRIM(MID(S26,FIND(",",S26)+1,LEN(S26))))/S$9)^S$7 * S$3 + (T26/T$9)^T$7 * T$3) * AE$9</f>
        <v>1.1707316434791435</v>
      </c>
      <c r="AG26" s="1" cm="1">
        <f t="array" ref="AG26">(SUMPRODUCT((G26:J26/G$9:J$9)^G$7:J$7 * G$4:J$4) + SUMPRODUCT((N26:P26/N$9:P$9)^N$7:P$7 * N$4:P$4) + (VALUE(TRIM(MID(S26,FIND(",",S26)+1,LEN(S26))))/S$9)^S$7 * S$4 + (T26/T$9)^T$7 * T$4) * AE$9</f>
        <v>1.1796006910981911</v>
      </c>
      <c r="AH26" s="10" cm="1">
        <f t="array" ref="AH26">(SUMPRODUCT((G26:J26/G$9:J$9)^G$7:J$7 * G$5:J$5) + SUMPRODUCT((N26:P26/N$9:P$9)^N$7:P$7 * N$5:P$5) + (VALUE(TRIM(MID(S26,FIND(",",S26)+1,LEN(S26))))/S$9)^S$7 * S$5 + (T26/T$9)^T$7 * T$5) * AE$9</f>
        <v>1.1707316434791435</v>
      </c>
      <c r="AI26" s="50" cm="1">
        <f t="array" ref="AI26">SUMPRODUCT(AE26:AH26 * AE$3:AH$3) / SUM(AE$3:AH$3)</f>
        <v>1.1531413525688525</v>
      </c>
      <c r="AK26"/>
    </row>
    <row r="27" spans="1:37" s="6" customFormat="1" x14ac:dyDescent="0.25">
      <c r="A27" s="7" t="s">
        <v>9095</v>
      </c>
      <c r="B27" s="16"/>
      <c r="C27" s="95" t="s">
        <v>428</v>
      </c>
      <c r="D27" s="97"/>
      <c r="E27" s="75" t="s">
        <v>434</v>
      </c>
      <c r="F27" s="75" t="s">
        <v>9075</v>
      </c>
      <c r="G27" s="9">
        <f>AVERAGEIF('CPUs Products'!D$9:D$131,A27,'CPUs Products'!G$9:G$131)</f>
        <v>13</v>
      </c>
      <c r="H27" s="3">
        <f>AVERAGEIF('CPUs Products'!D$9:D$131,A27,'CPUs Products'!H$9:H$131)</f>
        <v>19</v>
      </c>
      <c r="I27" s="1">
        <f>AVERAGEIF('CPUs Products'!D$9:D$131,A27,'CPUs Products'!I$9:I$131)</f>
        <v>2.5750000000000002</v>
      </c>
      <c r="J27" s="10">
        <f>AVERAGEIF('CPUs Products'!D$9:D$131,A27,'CPUs Products'!J$9:J$131)</f>
        <v>4.8250000000000002</v>
      </c>
      <c r="K27" s="11" t="s">
        <v>352</v>
      </c>
      <c r="L27" s="85" t="s">
        <v>17</v>
      </c>
      <c r="M27" s="4" t="s">
        <v>401</v>
      </c>
      <c r="N27" s="2">
        <f>AVERAGEIF('CPUs Products'!D$9:D$131,A27,'CPUs Products'!N$9:N$131)</f>
        <v>13.125</v>
      </c>
      <c r="O27" s="2">
        <f>AVERAGEIF('CPUs Products'!D$9:D$131,A27,'CPUs Products'!O$9:O$131)</f>
        <v>23</v>
      </c>
      <c r="P27" s="13">
        <f>AVERAGEIF('CPUs Products'!D$9:D$131,A27,'CPUs Products'!P$9:P$131)</f>
        <v>72.5</v>
      </c>
      <c r="Q27" s="12" t="s">
        <v>408</v>
      </c>
      <c r="R27" s="3">
        <f>_xlfn.MAXIFS('CPUs Products'!R$9:R$131,'CPUs Products'!D$9:D$131,A27)</f>
        <v>192</v>
      </c>
      <c r="S27" s="75" t="s">
        <v>412</v>
      </c>
      <c r="T27" s="13">
        <f>AVERAGEIF('CPUs Products'!D$9:D$131,A27,'CPUs Products'!T$9:T$131)</f>
        <v>2</v>
      </c>
      <c r="U27" s="12" t="s">
        <v>2285</v>
      </c>
      <c r="V27" s="75" t="s">
        <v>418</v>
      </c>
      <c r="W27" s="75">
        <v>4</v>
      </c>
      <c r="X27" s="76" t="s">
        <v>193</v>
      </c>
      <c r="Y27" s="9">
        <f>AVERAGEIF('CPUs Products'!D$9:D$131,A27,'CPUs Products'!Y$9:Y$131)</f>
        <v>231.76875000000001</v>
      </c>
      <c r="Z27" s="13">
        <f>AVERAGEIF('CPUs Products'!D$9:D$131,A27,'CPUs Products'!Z$9:Z$131)</f>
        <v>372.30500000000006</v>
      </c>
      <c r="AA27" s="16"/>
      <c r="AB27" s="66"/>
      <c r="AC27" s="79"/>
      <c r="AD27" s="80"/>
      <c r="AE27" s="49" cm="1">
        <f t="array" ref="AE27">(SUMPRODUCT((G27:J27/G$9:J$9)^G$7:J$7 * G$2:J$2) + SUMPRODUCT((N27:P27/N$9:P$9)^N$7:P$7 * N$2:P$2) + (VALUE(TRIM(MID(S27,FIND(",",S27)+1,LEN(S27))))/S$9)^S$7 * S$2 + (T27/T$9)^T$7 * T$2) * AE$9</f>
        <v>1.6769369776927499</v>
      </c>
      <c r="AF27" s="1" cm="1">
        <f t="array" ref="AF27">(SUMPRODUCT((G27:J27/G$9:J$9)^G$7:J$7 * G$3:J$3) + SUMPRODUCT((N27:P27/N$9:P$9)^N$7:P$7 * N$3:P$3) + (VALUE(TRIM(MID(S27,FIND(",",S27)+1,LEN(S27))))/S$9)^S$7 * S$3 + (T27/T$9)^T$7 * T$3) * AE$9</f>
        <v>2.1375398765981388</v>
      </c>
      <c r="AG27" s="1" cm="1">
        <f t="array" ref="AG27">(SUMPRODUCT((G27:J27/G$9:J$9)^G$7:J$7 * G$4:J$4) + SUMPRODUCT((N27:P27/N$9:P$9)^N$7:P$7 * N$4:P$4) + (VALUE(TRIM(MID(S27,FIND(",",S27)+1,LEN(S27))))/S$9)^S$7 * S$4 + (T27/T$9)^T$7 * T$4) * AE$9</f>
        <v>2.2966443781090136</v>
      </c>
      <c r="AH27" s="10" cm="1">
        <f t="array" ref="AH27">(SUMPRODUCT((G27:J27/G$9:J$9)^G$7:J$7 * G$5:J$5) + SUMPRODUCT((N27:P27/N$9:P$9)^N$7:P$7 * N$5:P$5) + (VALUE(TRIM(MID(S27,FIND(",",S27)+1,LEN(S27))))/S$9)^S$7 * S$5 + (T27/T$9)^T$7 * T$5) * AE$9</f>
        <v>2.1375398765981388</v>
      </c>
      <c r="AI27" s="50" cm="1">
        <f t="array" ref="AI27">SUMPRODUCT(AE27:AH27 * AE$3:AH$3) / SUM(AE$3:AH$3)</f>
        <v>2.0557245155447221</v>
      </c>
      <c r="AJ27"/>
      <c r="AK27"/>
    </row>
    <row r="28" spans="1:37" s="6" customFormat="1" x14ac:dyDescent="0.25">
      <c r="A28" s="7" t="s">
        <v>9096</v>
      </c>
      <c r="B28" s="16"/>
      <c r="C28" s="95" t="s">
        <v>428</v>
      </c>
      <c r="D28" s="97"/>
      <c r="E28" s="75" t="s">
        <v>435</v>
      </c>
      <c r="F28" s="75" t="s">
        <v>9075</v>
      </c>
      <c r="G28" s="9">
        <f>AVERAGEIF('CPUs Products'!D$9:D$131,A28,'CPUs Products'!G$9:G$131)</f>
        <v>16</v>
      </c>
      <c r="H28" s="3">
        <f>AVERAGEIF('CPUs Products'!D$9:D$131,A28,'CPUs Products'!H$9:H$131)</f>
        <v>24</v>
      </c>
      <c r="I28" s="1">
        <f>AVERAGEIF('CPUs Products'!D$9:D$131,A28,'CPUs Products'!I$9:I$131)</f>
        <v>2.48</v>
      </c>
      <c r="J28" s="10">
        <f>AVERAGEIF('CPUs Products'!D$9:D$131,A28,'CPUs Products'!J$9:J$131)</f>
        <v>5.2200000000000006</v>
      </c>
      <c r="K28" s="11" t="s">
        <v>352</v>
      </c>
      <c r="L28" s="85" t="s">
        <v>17</v>
      </c>
      <c r="M28" s="4" t="s">
        <v>401</v>
      </c>
      <c r="N28" s="2">
        <f>AVERAGEIF('CPUs Products'!D$9:D$131,A28,'CPUs Products'!N$9:N$131)</f>
        <v>24</v>
      </c>
      <c r="O28" s="2">
        <f>AVERAGEIF('CPUs Products'!D$9:D$131,A28,'CPUs Products'!O$9:O$131)</f>
        <v>30</v>
      </c>
      <c r="P28" s="13">
        <f>AVERAGEIF('CPUs Products'!D$9:D$131,A28,'CPUs Products'!P$9:P$131)</f>
        <v>83</v>
      </c>
      <c r="Q28" s="12" t="s">
        <v>408</v>
      </c>
      <c r="R28" s="3">
        <f>_xlfn.MAXIFS('CPUs Products'!R$9:R$131,'CPUs Products'!D$9:D$131,A28)</f>
        <v>192</v>
      </c>
      <c r="S28" s="75" t="s">
        <v>413</v>
      </c>
      <c r="T28" s="13">
        <f>AVERAGEIF('CPUs Products'!D$9:D$131,A28,'CPUs Products'!T$9:T$131)</f>
        <v>2</v>
      </c>
      <c r="U28" s="12" t="s">
        <v>2285</v>
      </c>
      <c r="V28" s="75" t="s">
        <v>418</v>
      </c>
      <c r="W28" s="75">
        <v>4</v>
      </c>
      <c r="X28" s="76" t="s">
        <v>193</v>
      </c>
      <c r="Y28" s="9">
        <f>AVERAGEIF('CPUs Products'!D$9:D$131,A28,'CPUs Products'!Y$9:Y$131)</f>
        <v>368.32</v>
      </c>
      <c r="Z28" s="13">
        <f>AVERAGEIF('CPUs Products'!D$9:D$131,A28,'CPUs Products'!Z$9:Z$131)</f>
        <v>561.03800000000001</v>
      </c>
      <c r="AA28" s="16"/>
      <c r="AB28" s="66"/>
      <c r="AC28" s="79"/>
      <c r="AD28" s="80"/>
      <c r="AE28" s="49" cm="1">
        <f t="array" ref="AE28">(SUMPRODUCT((G28:J28/G$9:J$9)^G$7:J$7 * G$2:J$2) + SUMPRODUCT((N28:P28/N$9:P$9)^N$7:P$7 * N$2:P$2) + (VALUE(TRIM(MID(S28,FIND(",",S28)+1,LEN(S28))))/S$9)^S$7 * S$2 + (T28/T$9)^T$7 * T$2) * AE$9</f>
        <v>2.0268450186776041</v>
      </c>
      <c r="AF28" s="1" cm="1">
        <f t="array" ref="AF28">(SUMPRODUCT((G28:J28/G$9:J$9)^G$7:J$7 * G$3:J$3) + SUMPRODUCT((N28:P28/N$9:P$9)^N$7:P$7 * N$3:P$3) + (VALUE(TRIM(MID(S28,FIND(",",S28)+1,LEN(S28))))/S$9)^S$7 * S$3 + (T28/T$9)^T$7 * T$3) * AE$9</f>
        <v>2.721663323542896</v>
      </c>
      <c r="AG28" s="1" cm="1">
        <f t="array" ref="AG28">(SUMPRODUCT((G28:J28/G$9:J$9)^G$7:J$7 * G$4:J$4) + SUMPRODUCT((N28:P28/N$9:P$9)^N$7:P$7 * N$4:P$4) + (VALUE(TRIM(MID(S28,FIND(",",S28)+1,LEN(S28))))/S$9)^S$7 * S$4 + (T28/T$9)^T$7 * T$4) * AE$9</f>
        <v>2.9298411116413159</v>
      </c>
      <c r="AH28" s="10" cm="1">
        <f t="array" ref="AH28">(SUMPRODUCT((G28:J28/G$9:J$9)^G$7:J$7 * G$5:J$5) + SUMPRODUCT((N28:P28/N$9:P$9)^N$7:P$7 * N$5:P$5) + (VALUE(TRIM(MID(S28,FIND(",",S28)+1,LEN(S28))))/S$9)^S$7 * S$5 + (T28/T$9)^T$7 * T$5) * AE$9</f>
        <v>2.721663323542896</v>
      </c>
      <c r="AI28" s="50" cm="1">
        <f t="array" ref="AI28">SUMPRODUCT(AE28:AH28 * AE$3:AH$3) / SUM(AE$3:AH$3)</f>
        <v>2.5933479898198928</v>
      </c>
      <c r="AJ28"/>
      <c r="AK28"/>
    </row>
    <row r="29" spans="1:37" s="6" customFormat="1" x14ac:dyDescent="0.25">
      <c r="A29" s="7" t="s">
        <v>9097</v>
      </c>
      <c r="B29" s="16"/>
      <c r="C29" s="95" t="s">
        <v>428</v>
      </c>
      <c r="D29" s="97"/>
      <c r="E29" s="75" t="s">
        <v>436</v>
      </c>
      <c r="F29" s="75" t="s">
        <v>9075</v>
      </c>
      <c r="G29" s="9">
        <f>AVERAGEIF('CPUs Products'!D$9:D$131,A29,'CPUs Products'!G$9:G$131)</f>
        <v>24</v>
      </c>
      <c r="H29" s="3">
        <f>AVERAGEIF('CPUs Products'!D$9:D$131,A29,'CPUs Products'!H$9:H$131)</f>
        <v>32</v>
      </c>
      <c r="I29" s="1">
        <f>AVERAGEIF('CPUs Products'!D$9:D$131,A29,'CPUs Products'!I$9:I$131)</f>
        <v>2.3833333333333333</v>
      </c>
      <c r="J29" s="10">
        <f>AVERAGEIF('CPUs Products'!D$9:D$131,A29,'CPUs Products'!J$9:J$131)</f>
        <v>5.6833333333333336</v>
      </c>
      <c r="K29" s="11" t="s">
        <v>352</v>
      </c>
      <c r="L29" s="85" t="s">
        <v>17</v>
      </c>
      <c r="M29" s="4" t="s">
        <v>401</v>
      </c>
      <c r="N29" s="2">
        <f>AVERAGEIF('CPUs Products'!D$9:D$131,A29,'CPUs Products'!N$9:N$131)</f>
        <v>32</v>
      </c>
      <c r="O29" s="2">
        <f>AVERAGEIF('CPUs Products'!D$9:D$131,A29,'CPUs Products'!O$9:O$131)</f>
        <v>36</v>
      </c>
      <c r="P29" s="13">
        <f>AVERAGEIF('CPUs Products'!D$9:D$131,A29,'CPUs Products'!P$9:P$131)</f>
        <v>94.166666666666671</v>
      </c>
      <c r="Q29" s="12" t="s">
        <v>408</v>
      </c>
      <c r="R29" s="3">
        <f>_xlfn.MAXIFS('CPUs Products'!R$9:R$131,'CPUs Products'!D$9:D$131,A29)</f>
        <v>192</v>
      </c>
      <c r="S29" s="75" t="s">
        <v>413</v>
      </c>
      <c r="T29" s="13">
        <f>AVERAGEIF('CPUs Products'!D$9:D$131,A29,'CPUs Products'!T$9:T$131)</f>
        <v>2</v>
      </c>
      <c r="U29" s="12" t="s">
        <v>2285</v>
      </c>
      <c r="V29" s="75" t="s">
        <v>418</v>
      </c>
      <c r="W29" s="75">
        <v>4</v>
      </c>
      <c r="X29" s="76" t="s">
        <v>193</v>
      </c>
      <c r="Y29" s="9">
        <f>AVERAGEIF('CPUs Products'!D$9:D$131,A29,'CPUs Products'!Y$9:Y$131)</f>
        <v>531.35166666666669</v>
      </c>
      <c r="Z29" s="13">
        <f>AVERAGEIF('CPUs Products'!D$9:D$131,A29,'CPUs Products'!Z$9:Z$131)</f>
        <v>1112.3316666666667</v>
      </c>
      <c r="AA29" s="16"/>
      <c r="AB29" s="66"/>
      <c r="AC29" s="79"/>
      <c r="AD29" s="80"/>
      <c r="AE29" s="49" cm="1">
        <f t="array" ref="AE29">(SUMPRODUCT((G29:J29/G$9:J$9)^G$7:J$7 * G$2:J$2) + SUMPRODUCT((N29:P29/N$9:P$9)^N$7:P$7 * N$2:P$2) + (VALUE(TRIM(MID(S29,FIND(",",S29)+1,LEN(S29))))/S$9)^S$7 * S$2 + (T29/T$9)^T$7 * T$2) * AE$9</f>
        <v>2.4843591995242575</v>
      </c>
      <c r="AF29" s="1" cm="1">
        <f t="array" ref="AF29">(SUMPRODUCT((G29:J29/G$9:J$9)^G$7:J$7 * G$3:J$3) + SUMPRODUCT((N29:P29/N$9:P$9)^N$7:P$7 * N$3:P$3) + (VALUE(TRIM(MID(S29,FIND(",",S29)+1,LEN(S29))))/S$9)^S$7 * S$3 + (T29/T$9)^T$7 * T$3) * AE$9</f>
        <v>3.4319747357410009</v>
      </c>
      <c r="AG29" s="1" cm="1">
        <f t="array" ref="AG29">(SUMPRODUCT((G29:J29/G$9:J$9)^G$7:J$7 * G$4:J$4) + SUMPRODUCT((N29:P29/N$9:P$9)^N$7:P$7 * N$4:P$4) + (VALUE(TRIM(MID(S29,FIND(",",S29)+1,LEN(S29))))/S$9)^S$7 * S$4 + (T29/T$9)^T$7 * T$4) * AE$9</f>
        <v>3.7477624588102323</v>
      </c>
      <c r="AH29" s="10" cm="1">
        <f t="array" ref="AH29">(SUMPRODUCT((G29:J29/G$9:J$9)^G$7:J$7 * G$5:J$5) + SUMPRODUCT((N29:P29/N$9:P$9)^N$7:P$7 * N$5:P$5) + (VALUE(TRIM(MID(S29,FIND(",",S29)+1,LEN(S29))))/S$9)^S$7 * S$5 + (T29/T$9)^T$7 * T$5) * AE$9</f>
        <v>3.4319747357410009</v>
      </c>
      <c r="AI29" s="50" cm="1">
        <f t="array" ref="AI29">SUMPRODUCT(AE29:AH29 * AE$3:AH$3) / SUM(AE$3:AH$3)</f>
        <v>3.2618769540093266</v>
      </c>
      <c r="AJ29"/>
      <c r="AK29"/>
    </row>
    <row r="30" spans="1:37" s="6" customFormat="1" x14ac:dyDescent="0.25">
      <c r="A30" s="7" t="s">
        <v>9098</v>
      </c>
      <c r="B30" s="16"/>
      <c r="C30" s="95" t="s">
        <v>428</v>
      </c>
      <c r="D30" s="97"/>
      <c r="E30" s="75" t="s">
        <v>433</v>
      </c>
      <c r="F30" s="75" t="s">
        <v>9076</v>
      </c>
      <c r="G30" s="9">
        <f>AVERAGEIF('CPUs Products'!D$9:D$131,A30,'CPUs Products'!G$9:G$131)</f>
        <v>4</v>
      </c>
      <c r="H30" s="3">
        <f>AVERAGEIF('CPUs Products'!D$9:D$131,A30,'CPUs Products'!H$9:H$131)</f>
        <v>8</v>
      </c>
      <c r="I30" s="1">
        <f>AVERAGEIF('CPUs Products'!D$9:D$131,A30,'CPUs Products'!I$9:I$131)</f>
        <v>3.2333333333333329</v>
      </c>
      <c r="J30" s="10">
        <f>AVERAGEIF('CPUs Products'!D$9:D$131,A30,'CPUs Products'!J$9:J$131)</f>
        <v>4.6000000000000005</v>
      </c>
      <c r="K30" s="11" t="s">
        <v>352</v>
      </c>
      <c r="L30" s="85" t="s">
        <v>17</v>
      </c>
      <c r="M30" s="4" t="s">
        <v>165</v>
      </c>
      <c r="N30" s="2">
        <f>AVERAGEIF('CPUs Products'!D$9:D$131,A30,'CPUs Products'!N$9:N$131)</f>
        <v>5</v>
      </c>
      <c r="O30" s="2">
        <f>AVERAGEIF('CPUs Products'!D$9:D$131,A30,'CPUs Products'!O$9:O$131)</f>
        <v>12</v>
      </c>
      <c r="P30" s="13">
        <f>AVERAGEIF('CPUs Products'!D$9:D$131,A30,'CPUs Products'!P$9:P$131)</f>
        <v>51</v>
      </c>
      <c r="Q30" s="12" t="s">
        <v>408</v>
      </c>
      <c r="R30" s="3">
        <f>_xlfn.MAXIFS('CPUs Products'!R$9:R$131,'CPUs Products'!D$9:D$131,A30)</f>
        <v>192</v>
      </c>
      <c r="S30" s="75" t="s">
        <v>412</v>
      </c>
      <c r="T30" s="13">
        <f>AVERAGEIF('CPUs Products'!D$9:D$131,A30,'CPUs Products'!T$9:T$131)</f>
        <v>2</v>
      </c>
      <c r="U30" s="12" t="s">
        <v>2285</v>
      </c>
      <c r="V30" s="75" t="s">
        <v>418</v>
      </c>
      <c r="W30" s="75">
        <v>4</v>
      </c>
      <c r="X30" s="76" t="s">
        <v>193</v>
      </c>
      <c r="Y30" s="9">
        <f>AVERAGEIF('CPUs Products'!D$9:D$131,A30,'CPUs Products'!Y$9:Y$131)</f>
        <v>121.60666666666668</v>
      </c>
      <c r="Z30" s="13">
        <f>AVERAGEIF('CPUs Products'!D$9:D$131,A30,'CPUs Products'!Z$9:Z$131)</f>
        <v>218.72333333333333</v>
      </c>
      <c r="AA30" s="16"/>
      <c r="AB30" s="66"/>
      <c r="AC30" s="79"/>
      <c r="AD30" s="80"/>
      <c r="AE30" s="49" cm="1">
        <f t="array" ref="AE30">(SUMPRODUCT((G30:J30/G$9:J$9)^G$7:J$7 * G$2:J$2) + SUMPRODUCT((N30:P30/N$9:P$9)^N$7:P$7 * N$2:P$2) + (VALUE(TRIM(MID(S30,FIND(",",S30)+1,LEN(S30))))/S$9)^S$7 * S$2 + (T30/T$9)^T$7 * T$2) * AE$9</f>
        <v>1.1071657796932803</v>
      </c>
      <c r="AF30" s="1" cm="1">
        <f t="array" ref="AF30">(SUMPRODUCT((G30:J30/G$9:J$9)^G$7:J$7 * G$3:J$3) + SUMPRODUCT((N30:P30/N$9:P$9)^N$7:P$7 * N$3:P$3) + (VALUE(TRIM(MID(S30,FIND(",",S30)+1,LEN(S30))))/S$9)^S$7 * S$3 + (T30/T$9)^T$7 * T$3) * AE$9</f>
        <v>1.1788268815743816</v>
      </c>
      <c r="AG30" s="1" cm="1">
        <f t="array" ref="AG30">(SUMPRODUCT((G30:J30/G$9:J$9)^G$7:J$7 * G$4:J$4) + SUMPRODUCT((N30:P30/N$9:P$9)^N$7:P$7 * N$4:P$4) + (VALUE(TRIM(MID(S30,FIND(",",S30)+1,LEN(S30))))/S$9)^S$7 * S$4 + (T30/T$9)^T$7 * T$4) * AE$9</f>
        <v>1.18364831014581</v>
      </c>
      <c r="AH30" s="10" cm="1">
        <f t="array" ref="AH30">(SUMPRODUCT((G30:J30/G$9:J$9)^G$7:J$7 * G$5:J$5) + SUMPRODUCT((N30:P30/N$9:P$9)^N$7:P$7 * N$5:P$5) + (VALUE(TRIM(MID(S30,FIND(",",S30)+1,LEN(S30))))/S$9)^S$7 * S$5 + (T30/T$9)^T$7 * T$5) * AE$9</f>
        <v>1.1788268815743816</v>
      </c>
      <c r="AI30" s="50" cm="1">
        <f t="array" ref="AI30">SUMPRODUCT(AE30:AH30 * AE$3:AH$3) / SUM(AE$3:AH$3)</f>
        <v>1.1630314624589626</v>
      </c>
      <c r="AK30"/>
    </row>
    <row r="31" spans="1:37" s="6" customFormat="1" x14ac:dyDescent="0.25">
      <c r="A31" s="7" t="s">
        <v>9099</v>
      </c>
      <c r="B31" s="16"/>
      <c r="C31" s="95" t="s">
        <v>428</v>
      </c>
      <c r="D31" s="97"/>
      <c r="E31" s="75" t="s">
        <v>434</v>
      </c>
      <c r="F31" s="75" t="s">
        <v>9076</v>
      </c>
      <c r="G31" s="9">
        <f>AVERAGEIF('CPUs Products'!D$9:D$131,A31,'CPUs Products'!G$9:G$131)</f>
        <v>12.666666666666666</v>
      </c>
      <c r="H31" s="3">
        <f>AVERAGEIF('CPUs Products'!D$9:D$131,A31,'CPUs Products'!H$9:H$131)</f>
        <v>18.666666666666668</v>
      </c>
      <c r="I31" s="1">
        <f>AVERAGEIF('CPUs Products'!D$9:D$131,A31,'CPUs Products'!I$9:I$131)</f>
        <v>2.4777777777777779</v>
      </c>
      <c r="J31" s="10">
        <f>AVERAGEIF('CPUs Products'!D$9:D$131,A31,'CPUs Products'!J$9:J$131)</f>
        <v>4.9555555555555548</v>
      </c>
      <c r="K31" s="11" t="s">
        <v>352</v>
      </c>
      <c r="L31" s="85" t="s">
        <v>17</v>
      </c>
      <c r="M31" s="4" t="s">
        <v>401</v>
      </c>
      <c r="N31" s="2">
        <f>AVERAGEIF('CPUs Products'!D$9:D$131,A31,'CPUs Products'!N$9:N$131)</f>
        <v>14.611111111111111</v>
      </c>
      <c r="O31" s="2">
        <f>AVERAGEIF('CPUs Products'!D$9:D$131,A31,'CPUs Products'!O$9:O$131)</f>
        <v>22.666666666666668</v>
      </c>
      <c r="P31" s="13">
        <f>AVERAGEIF('CPUs Products'!D$9:D$131,A31,'CPUs Products'!P$9:P$131)</f>
        <v>68.333333333333329</v>
      </c>
      <c r="Q31" s="12" t="s">
        <v>408</v>
      </c>
      <c r="R31" s="3">
        <f>_xlfn.MAXIFS('CPUs Products'!R$9:R$131,'CPUs Products'!D$9:D$131,A31)</f>
        <v>192</v>
      </c>
      <c r="S31" s="75" t="s">
        <v>412</v>
      </c>
      <c r="T31" s="13">
        <f>AVERAGEIF('CPUs Products'!D$9:D$131,A31,'CPUs Products'!T$9:T$131)</f>
        <v>2</v>
      </c>
      <c r="U31" s="12" t="s">
        <v>2285</v>
      </c>
      <c r="V31" s="75" t="s">
        <v>418</v>
      </c>
      <c r="W31" s="75">
        <v>4</v>
      </c>
      <c r="X31" s="76" t="s">
        <v>193</v>
      </c>
      <c r="Y31" s="9">
        <f>AVERAGEIF('CPUs Products'!D$9:D$131,A31,'CPUs Products'!Y$9:Y$131)</f>
        <v>229.66888888888883</v>
      </c>
      <c r="Z31" s="13">
        <f>AVERAGEIF('CPUs Products'!D$9:D$131,A31,'CPUs Products'!Z$9:Z$131)</f>
        <v>575.98444444444442</v>
      </c>
      <c r="AA31" s="16"/>
      <c r="AB31" s="66"/>
      <c r="AC31" s="79"/>
      <c r="AD31" s="80"/>
      <c r="AE31" s="49" cm="1">
        <f t="array" ref="AE31">(SUMPRODUCT((G31:J31/G$9:J$9)^G$7:J$7 * G$2:J$2) + SUMPRODUCT((N31:P31/N$9:P$9)^N$7:P$7 * N$2:P$2) + (VALUE(TRIM(MID(S31,FIND(",",S31)+1,LEN(S31))))/S$9)^S$7 * S$2 + (T31/T$9)^T$7 * T$2) * AE$9</f>
        <v>1.6870421480790814</v>
      </c>
      <c r="AF31" s="1" cm="1">
        <f t="array" ref="AF31">(SUMPRODUCT((G31:J31/G$9:J$9)^G$7:J$7 * G$3:J$3) + SUMPRODUCT((N31:P31/N$9:P$9)^N$7:P$7 * N$3:P$3) + (VALUE(TRIM(MID(S31,FIND(",",S31)+1,LEN(S31))))/S$9)^S$7 * S$3 + (T31/T$9)^T$7 * T$3) * AE$9</f>
        <v>2.1563679709925458</v>
      </c>
      <c r="AG31" s="1" cm="1">
        <f t="array" ref="AG31">(SUMPRODUCT((G31:J31/G$9:J$9)^G$7:J$7 * G$4:J$4) + SUMPRODUCT((N31:P31/N$9:P$9)^N$7:P$7 * N$4:P$4) + (VALUE(TRIM(MID(S31,FIND(",",S31)+1,LEN(S31))))/S$9)^S$7 * S$4 + (T31/T$9)^T$7 * T$4) * AE$9</f>
        <v>2.3102387346827689</v>
      </c>
      <c r="AH31" s="10" cm="1">
        <f t="array" ref="AH31">(SUMPRODUCT((G31:J31/G$9:J$9)^G$7:J$7 * G$5:J$5) + SUMPRODUCT((N31:P31/N$9:P$9)^N$7:P$7 * N$5:P$5) + (VALUE(TRIM(MID(S31,FIND(",",S31)+1,LEN(S31))))/S$9)^S$7 * S$5 + (T31/T$9)^T$7 * T$5) * AE$9</f>
        <v>2.1563679709925458</v>
      </c>
      <c r="AI31" s="50" cm="1">
        <f t="array" ref="AI31">SUMPRODUCT(AE31:AH31 * AE$3:AH$3) / SUM(AE$3:AH$3)</f>
        <v>2.0717344370417807</v>
      </c>
      <c r="AK31"/>
    </row>
    <row r="32" spans="1:37" s="6" customFormat="1" x14ac:dyDescent="0.25">
      <c r="A32" s="7" t="s">
        <v>9100</v>
      </c>
      <c r="B32" s="16"/>
      <c r="C32" s="95" t="s">
        <v>428</v>
      </c>
      <c r="D32" s="97"/>
      <c r="E32" s="75" t="s">
        <v>435</v>
      </c>
      <c r="F32" s="75" t="s">
        <v>9076</v>
      </c>
      <c r="G32" s="9">
        <f>AVERAGEIF('CPUs Products'!D$9:D$131,A32,'CPUs Products'!G$9:G$131)</f>
        <v>20</v>
      </c>
      <c r="H32" s="3">
        <f>AVERAGEIF('CPUs Products'!D$9:D$131,A32,'CPUs Products'!H$9:H$131)</f>
        <v>28</v>
      </c>
      <c r="I32" s="1">
        <f>AVERAGEIF('CPUs Products'!D$9:D$131,A32,'CPUs Products'!I$9:I$131)</f>
        <v>2.46</v>
      </c>
      <c r="J32" s="10">
        <f>AVERAGEIF('CPUs Products'!D$9:D$131,A32,'CPUs Products'!J$9:J$131)</f>
        <v>5.4399999999999995</v>
      </c>
      <c r="K32" s="11" t="s">
        <v>352</v>
      </c>
      <c r="L32" s="85" t="s">
        <v>17</v>
      </c>
      <c r="M32" s="4" t="s">
        <v>401</v>
      </c>
      <c r="N32" s="2">
        <f>AVERAGEIF('CPUs Products'!D$9:D$131,A32,'CPUs Products'!N$9:N$131)</f>
        <v>28</v>
      </c>
      <c r="O32" s="2">
        <f>AVERAGEIF('CPUs Products'!D$9:D$131,A32,'CPUs Products'!O$9:O$131)</f>
        <v>33</v>
      </c>
      <c r="P32" s="13">
        <f>AVERAGEIF('CPUs Products'!D$9:D$131,A32,'CPUs Products'!P$9:P$131)</f>
        <v>83</v>
      </c>
      <c r="Q32" s="12" t="s">
        <v>408</v>
      </c>
      <c r="R32" s="3">
        <f>_xlfn.MAXIFS('CPUs Products'!R$9:R$131,'CPUs Products'!D$9:D$131,A32)</f>
        <v>192</v>
      </c>
      <c r="S32" s="75" t="s">
        <v>413</v>
      </c>
      <c r="T32" s="13">
        <f>AVERAGEIF('CPUs Products'!D$9:D$131,A32,'CPUs Products'!T$9:T$131)</f>
        <v>2</v>
      </c>
      <c r="U32" s="12" t="s">
        <v>2285</v>
      </c>
      <c r="V32" s="75" t="s">
        <v>418</v>
      </c>
      <c r="W32" s="75">
        <v>4</v>
      </c>
      <c r="X32" s="76" t="s">
        <v>193</v>
      </c>
      <c r="Y32" s="9">
        <f>AVERAGEIF('CPUs Products'!D$9:D$131,A32,'CPUs Products'!Y$9:Y$131)</f>
        <v>372.07600000000002</v>
      </c>
      <c r="Z32" s="13">
        <f>AVERAGEIF('CPUs Products'!D$9:D$131,A32,'CPUs Products'!Z$9:Z$131)</f>
        <v>552.78</v>
      </c>
      <c r="AA32" s="16"/>
      <c r="AB32" s="66"/>
      <c r="AC32" s="79"/>
      <c r="AD32" s="80"/>
      <c r="AE32" s="49" cm="1">
        <f t="array" ref="AE32">(SUMPRODUCT((G32:J32/G$9:J$9)^G$7:J$7 * G$2:J$2) + SUMPRODUCT((N32:P32/N$9:P$9)^N$7:P$7 * N$2:P$2) + (VALUE(TRIM(MID(S32,FIND(",",S32)+1,LEN(S32))))/S$9)^S$7 * S$2 + (T32/T$9)^T$7 * T$2) * AE$9</f>
        <v>2.2614508866795293</v>
      </c>
      <c r="AF32" s="1" cm="1">
        <f t="array" ref="AF32">(SUMPRODUCT((G32:J32/G$9:J$9)^G$7:J$7 * G$3:J$3) + SUMPRODUCT((N32:P32/N$9:P$9)^N$7:P$7 * N$3:P$3) + (VALUE(TRIM(MID(S32,FIND(",",S32)+1,LEN(S32))))/S$9)^S$7 * S$3 + (T32/T$9)^T$7 * T$3) * AE$9</f>
        <v>3.0825681717098887</v>
      </c>
      <c r="AG32" s="1" cm="1">
        <f t="array" ref="AG32">(SUMPRODUCT((G32:J32/G$9:J$9)^G$7:J$7 * G$4:J$4) + SUMPRODUCT((N32:P32/N$9:P$9)^N$7:P$7 * N$4:P$4) + (VALUE(TRIM(MID(S32,FIND(",",S32)+1,LEN(S32))))/S$9)^S$7 * S$4 + (T32/T$9)^T$7 * T$4) * AE$9</f>
        <v>3.344911227957811</v>
      </c>
      <c r="AH32" s="10" cm="1">
        <f t="array" ref="AH32">(SUMPRODUCT((G32:J32/G$9:J$9)^G$7:J$7 * G$5:J$5) + SUMPRODUCT((N32:P32/N$9:P$9)^N$7:P$7 * N$5:P$5) + (VALUE(TRIM(MID(S32,FIND(",",S32)+1,LEN(S32))))/S$9)^S$7 * S$5 + (T32/T$9)^T$7 * T$5) * AE$9</f>
        <v>3.0825681717098887</v>
      </c>
      <c r="AI32" s="50" cm="1">
        <f t="array" ref="AI32">SUMPRODUCT(AE32:AH32 * AE$3:AH$3) / SUM(AE$3:AH$3)</f>
        <v>2.9334400376641012</v>
      </c>
      <c r="AK32"/>
    </row>
    <row r="33" spans="1:37" s="6" customFormat="1" x14ac:dyDescent="0.25">
      <c r="A33" s="7" t="s">
        <v>9101</v>
      </c>
      <c r="B33" s="16"/>
      <c r="C33" s="95" t="s">
        <v>428</v>
      </c>
      <c r="D33" s="97"/>
      <c r="E33" s="75" t="s">
        <v>436</v>
      </c>
      <c r="F33" s="75" t="s">
        <v>9076</v>
      </c>
      <c r="G33" s="9">
        <f>AVERAGEIF('CPUs Products'!D$9:D$131,A33,'CPUs Products'!G$9:G$131)</f>
        <v>24</v>
      </c>
      <c r="H33" s="3">
        <f>AVERAGEIF('CPUs Products'!D$9:D$131,A33,'CPUs Products'!H$9:H$131)</f>
        <v>32</v>
      </c>
      <c r="I33" s="1">
        <f>AVERAGEIF('CPUs Products'!D$9:D$131,A33,'CPUs Products'!I$9:I$131)</f>
        <v>2.4500000000000002</v>
      </c>
      <c r="J33" s="10">
        <f>AVERAGEIF('CPUs Products'!D$9:D$131,A33,'CPUs Products'!J$9:J$131)</f>
        <v>5.8833333333333329</v>
      </c>
      <c r="K33" s="11" t="s">
        <v>352</v>
      </c>
      <c r="L33" s="85" t="s">
        <v>17</v>
      </c>
      <c r="M33" s="4" t="s">
        <v>401</v>
      </c>
      <c r="N33" s="2">
        <f>AVERAGEIF('CPUs Products'!D$9:D$131,A33,'CPUs Products'!N$9:N$131)</f>
        <v>32</v>
      </c>
      <c r="O33" s="2">
        <f>AVERAGEIF('CPUs Products'!D$9:D$131,A33,'CPUs Products'!O$9:O$131)</f>
        <v>36</v>
      </c>
      <c r="P33" s="13">
        <f>AVERAGEIF('CPUs Products'!D$9:D$131,A33,'CPUs Products'!P$9:P$131)</f>
        <v>94.166666666666671</v>
      </c>
      <c r="Q33" s="12" t="s">
        <v>408</v>
      </c>
      <c r="R33" s="3">
        <f>_xlfn.MAXIFS('CPUs Products'!R$9:R$131,'CPUs Products'!D$9:D$131,A33)</f>
        <v>192</v>
      </c>
      <c r="S33" s="75" t="s">
        <v>413</v>
      </c>
      <c r="T33" s="13">
        <f>AVERAGEIF('CPUs Products'!D$9:D$131,A33,'CPUs Products'!T$9:T$131)</f>
        <v>2</v>
      </c>
      <c r="U33" s="12" t="s">
        <v>2285</v>
      </c>
      <c r="V33" s="75" t="s">
        <v>418</v>
      </c>
      <c r="W33" s="75">
        <v>4</v>
      </c>
      <c r="X33" s="76" t="s">
        <v>193</v>
      </c>
      <c r="Y33" s="9">
        <f>AVERAGEIF('CPUs Products'!D$9:D$131,A33,'CPUs Products'!Y$9:Y$131)</f>
        <v>592.18666666666661</v>
      </c>
      <c r="Z33" s="13">
        <f>AVERAGEIF('CPUs Products'!D$9:D$131,A33,'CPUs Products'!Z$9:Z$131)</f>
        <v>1597.0633333333333</v>
      </c>
      <c r="AA33" s="16"/>
      <c r="AB33" s="66"/>
      <c r="AC33" s="79"/>
      <c r="AD33" s="80"/>
      <c r="AE33" s="49" cm="1">
        <f t="array" ref="AE33">(SUMPRODUCT((G33:J33/G$9:J$9)^G$7:J$7 * G$2:J$2) + SUMPRODUCT((N33:P33/N$9:P$9)^N$7:P$7 * N$2:P$2) + (VALUE(TRIM(MID(S33,FIND(",",S33)+1,LEN(S33))))/S$9)^S$7 * S$2 + (T33/T$9)^T$7 * T$2) * AE$9</f>
        <v>2.4995972947623528</v>
      </c>
      <c r="AF33" s="1" cm="1">
        <f t="array" ref="AF33">(SUMPRODUCT((G33:J33/G$9:J$9)^G$7:J$7 * G$3:J$3) + SUMPRODUCT((N33:P33/N$9:P$9)^N$7:P$7 * N$3:P$3) + (VALUE(TRIM(MID(S33,FIND(",",S33)+1,LEN(S33))))/S$9)^S$7 * S$3 + (T33/T$9)^T$7 * T$3) * AE$9</f>
        <v>3.4384033071695721</v>
      </c>
      <c r="AG33" s="1" cm="1">
        <f t="array" ref="AG33">(SUMPRODUCT((G33:J33/G$9:J$9)^G$7:J$7 * G$4:J$4) + SUMPRODUCT((N33:P33/N$9:P$9)^N$7:P$7 * N$4:P$4) + (VALUE(TRIM(MID(S33,FIND(",",S33)+1,LEN(S33))))/S$9)^S$7 * S$4 + (T33/T$9)^T$7 * T$4) * AE$9</f>
        <v>3.7509767445245181</v>
      </c>
      <c r="AH33" s="10" cm="1">
        <f t="array" ref="AH33">(SUMPRODUCT((G33:J33/G$9:J$9)^G$7:J$7 * G$5:J$5) + SUMPRODUCT((N33:P33/N$9:P$9)^N$7:P$7 * N$5:P$5) + (VALUE(TRIM(MID(S33,FIND(",",S33)+1,LEN(S33))))/S$9)^S$7 * S$5 + (T33/T$9)^T$7 * T$5) * AE$9</f>
        <v>3.4384033071695721</v>
      </c>
      <c r="AI33" s="50" cm="1">
        <f t="array" ref="AI33">SUMPRODUCT(AE33:AH33 * AE$3:AH$3) / SUM(AE$3:AH$3)</f>
        <v>3.2698439869763596</v>
      </c>
      <c r="AK33"/>
    </row>
    <row r="34" spans="1:37" s="6" customFormat="1" x14ac:dyDescent="0.25">
      <c r="A34"/>
      <c r="B34"/>
      <c r="C34" s="97"/>
      <c r="D34" s="97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 s="7"/>
      <c r="AB34"/>
      <c r="AC34"/>
      <c r="AD34"/>
      <c r="AE34"/>
      <c r="AF34"/>
      <c r="AG34"/>
      <c r="AH34"/>
      <c r="AI34"/>
      <c r="AK34"/>
    </row>
    <row r="35" spans="1:37" s="6" customFormat="1" x14ac:dyDescent="0.25">
      <c r="A35"/>
      <c r="B35"/>
      <c r="C35" s="97"/>
      <c r="D35" s="97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 s="7"/>
      <c r="AB35"/>
      <c r="AC35"/>
      <c r="AD35"/>
      <c r="AE35"/>
      <c r="AF35"/>
      <c r="AG35"/>
      <c r="AH35"/>
      <c r="AI35"/>
      <c r="AJ35"/>
      <c r="AK35"/>
    </row>
    <row r="36" spans="1:37" s="6" customFormat="1" x14ac:dyDescent="0.25">
      <c r="A36"/>
      <c r="B36"/>
      <c r="C36" s="97"/>
      <c r="D36" s="97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 s="7"/>
      <c r="AB36"/>
      <c r="AC36"/>
      <c r="AD36"/>
      <c r="AE36"/>
      <c r="AF36"/>
      <c r="AG36"/>
      <c r="AH36"/>
      <c r="AI36"/>
      <c r="AJ36"/>
      <c r="AK36"/>
    </row>
    <row r="37" spans="1:37" s="6" customFormat="1" x14ac:dyDescent="0.25">
      <c r="A37"/>
      <c r="B37"/>
      <c r="C37" s="97"/>
      <c r="D37" s="9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 s="7"/>
      <c r="AB37"/>
      <c r="AC37"/>
      <c r="AD37"/>
      <c r="AE37"/>
      <c r="AF37"/>
      <c r="AG37"/>
      <c r="AH37"/>
      <c r="AI37"/>
      <c r="AJ37"/>
      <c r="AK37"/>
    </row>
    <row r="38" spans="1:37" s="6" customFormat="1" x14ac:dyDescent="0.25">
      <c r="A38"/>
      <c r="B38"/>
      <c r="C38" s="97"/>
      <c r="D38" s="97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 s="7"/>
      <c r="AB38"/>
      <c r="AC38"/>
      <c r="AD38"/>
      <c r="AE38"/>
      <c r="AF38"/>
      <c r="AG38"/>
      <c r="AH38"/>
      <c r="AI38"/>
      <c r="AK38"/>
    </row>
    <row r="39" spans="1:37" s="6" customFormat="1" x14ac:dyDescent="0.25">
      <c r="A39"/>
      <c r="B39"/>
      <c r="C39" s="97"/>
      <c r="D39" s="97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 s="7"/>
      <c r="AB39"/>
      <c r="AC39"/>
      <c r="AD39"/>
      <c r="AE39"/>
      <c r="AF39"/>
      <c r="AG39"/>
      <c r="AH39"/>
      <c r="AI39"/>
      <c r="AK39"/>
    </row>
    <row r="40" spans="1:37" s="6" customFormat="1" x14ac:dyDescent="0.25">
      <c r="A40"/>
      <c r="B40"/>
      <c r="C40" s="97"/>
      <c r="D40" s="97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 s="7"/>
      <c r="AB40"/>
      <c r="AC40"/>
      <c r="AD40"/>
      <c r="AE40"/>
      <c r="AF40"/>
      <c r="AG40"/>
      <c r="AH40"/>
      <c r="AI40"/>
      <c r="AK40"/>
    </row>
    <row r="41" spans="1:37" s="6" customFormat="1" x14ac:dyDescent="0.25">
      <c r="A41"/>
      <c r="B41"/>
      <c r="C41" s="97"/>
      <c r="D41" s="97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 s="7"/>
      <c r="AB41"/>
      <c r="AC41"/>
      <c r="AD41"/>
      <c r="AE41"/>
      <c r="AF41"/>
      <c r="AG41"/>
      <c r="AH41"/>
      <c r="AI41"/>
      <c r="AK41"/>
    </row>
    <row r="42" spans="1:37" s="6" customFormat="1" x14ac:dyDescent="0.25">
      <c r="A42"/>
      <c r="B42"/>
      <c r="C42" s="97"/>
      <c r="D42" s="97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 s="7"/>
      <c r="AB42"/>
      <c r="AC42"/>
      <c r="AD42"/>
      <c r="AE42"/>
      <c r="AF42"/>
      <c r="AG42"/>
      <c r="AH42"/>
      <c r="AI42"/>
      <c r="AK42"/>
    </row>
    <row r="43" spans="1:37" s="6" customFormat="1" x14ac:dyDescent="0.25">
      <c r="A43"/>
      <c r="B43"/>
      <c r="C43" s="97"/>
      <c r="D43" s="97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 s="7"/>
      <c r="AB43"/>
      <c r="AC43"/>
      <c r="AD43"/>
      <c r="AE43"/>
      <c r="AF43"/>
      <c r="AG43"/>
      <c r="AH43"/>
      <c r="AI43"/>
      <c r="AK43"/>
    </row>
    <row r="44" spans="1:37" s="6" customFormat="1" x14ac:dyDescent="0.25">
      <c r="A44"/>
      <c r="B44"/>
      <c r="C44" s="97"/>
      <c r="D44" s="97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 s="7"/>
      <c r="AB44"/>
      <c r="AC44"/>
      <c r="AD44"/>
      <c r="AE44"/>
      <c r="AF44"/>
      <c r="AG44"/>
      <c r="AH44"/>
      <c r="AI44"/>
      <c r="AJ44"/>
      <c r="AK44"/>
    </row>
    <row r="45" spans="1:37" s="6" customFormat="1" x14ac:dyDescent="0.25">
      <c r="A45"/>
      <c r="B45"/>
      <c r="C45" s="97"/>
      <c r="D45" s="97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 s="7"/>
      <c r="AB45"/>
      <c r="AC45"/>
      <c r="AD45"/>
      <c r="AE45"/>
      <c r="AF45"/>
      <c r="AG45"/>
      <c r="AH45"/>
      <c r="AI45"/>
      <c r="AJ45"/>
      <c r="AK45"/>
    </row>
    <row r="46" spans="1:37" s="6" customFormat="1" x14ac:dyDescent="0.25">
      <c r="A46"/>
      <c r="B46"/>
      <c r="C46" s="97"/>
      <c r="D46" s="97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 s="7"/>
      <c r="AB46"/>
      <c r="AC46"/>
      <c r="AD46"/>
      <c r="AE46"/>
      <c r="AF46"/>
      <c r="AG46"/>
      <c r="AH46"/>
      <c r="AI46"/>
      <c r="AK46"/>
    </row>
    <row r="47" spans="1:37" s="6" customFormat="1" x14ac:dyDescent="0.25">
      <c r="A47"/>
      <c r="B47"/>
      <c r="C47" s="97"/>
      <c r="D47" s="9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 s="7"/>
      <c r="AB47"/>
      <c r="AC47"/>
      <c r="AD47"/>
      <c r="AE47"/>
      <c r="AF47"/>
      <c r="AG47"/>
      <c r="AH47"/>
      <c r="AI47"/>
      <c r="AK47"/>
    </row>
    <row r="48" spans="1:37" s="6" customFormat="1" x14ac:dyDescent="0.25">
      <c r="A48"/>
      <c r="B48"/>
      <c r="C48" s="97"/>
      <c r="D48" s="97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 s="7"/>
      <c r="AB48"/>
      <c r="AC48"/>
      <c r="AD48"/>
      <c r="AE48"/>
      <c r="AF48"/>
      <c r="AG48"/>
      <c r="AH48"/>
      <c r="AI48"/>
      <c r="AJ48"/>
      <c r="AK48"/>
    </row>
    <row r="49" spans="1:37" s="6" customFormat="1" x14ac:dyDescent="0.25">
      <c r="A49"/>
      <c r="B49"/>
      <c r="C49" s="97"/>
      <c r="D49" s="97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 s="7"/>
      <c r="AB49"/>
      <c r="AC49"/>
      <c r="AD49"/>
      <c r="AE49"/>
      <c r="AF49"/>
      <c r="AG49"/>
      <c r="AH49"/>
      <c r="AI49"/>
      <c r="AJ49"/>
      <c r="AK49"/>
    </row>
    <row r="50" spans="1:37" s="6" customFormat="1" x14ac:dyDescent="0.25">
      <c r="A50"/>
      <c r="B50"/>
      <c r="C50" s="97"/>
      <c r="D50" s="97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 s="7"/>
      <c r="AB50"/>
      <c r="AC50"/>
      <c r="AD50"/>
      <c r="AE50"/>
      <c r="AF50"/>
      <c r="AG50"/>
      <c r="AH50"/>
      <c r="AI50"/>
      <c r="AK50"/>
    </row>
    <row r="51" spans="1:37" s="6" customFormat="1" x14ac:dyDescent="0.25">
      <c r="A51"/>
      <c r="B51"/>
      <c r="C51" s="97"/>
      <c r="D51" s="97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 s="7"/>
      <c r="AB51"/>
      <c r="AC51"/>
      <c r="AD51"/>
      <c r="AE51"/>
      <c r="AF51"/>
      <c r="AG51"/>
      <c r="AH51"/>
      <c r="AI51"/>
      <c r="AK51"/>
    </row>
    <row r="52" spans="1:37" s="6" customFormat="1" x14ac:dyDescent="0.25">
      <c r="A52"/>
      <c r="B52"/>
      <c r="C52" s="97"/>
      <c r="D52" s="97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 s="7"/>
      <c r="AB52"/>
      <c r="AC52"/>
      <c r="AD52"/>
      <c r="AE52"/>
      <c r="AF52"/>
      <c r="AG52"/>
      <c r="AH52"/>
      <c r="AI52"/>
      <c r="AK52"/>
    </row>
    <row r="53" spans="1:37" s="6" customFormat="1" x14ac:dyDescent="0.25">
      <c r="A53"/>
      <c r="B53"/>
      <c r="C53" s="97"/>
      <c r="D53" s="97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 s="7"/>
      <c r="AB53"/>
      <c r="AC53"/>
      <c r="AD53"/>
      <c r="AE53"/>
      <c r="AF53"/>
      <c r="AG53"/>
      <c r="AH53"/>
      <c r="AI53"/>
      <c r="AK53"/>
    </row>
    <row r="54" spans="1:37" s="6" customFormat="1" x14ac:dyDescent="0.25">
      <c r="A54"/>
      <c r="B54"/>
      <c r="C54" s="97"/>
      <c r="D54" s="97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 s="7"/>
      <c r="AB54"/>
      <c r="AC54"/>
      <c r="AD54"/>
      <c r="AE54"/>
      <c r="AF54"/>
      <c r="AG54"/>
      <c r="AH54"/>
      <c r="AI54"/>
      <c r="AK54"/>
    </row>
    <row r="55" spans="1:37" s="6" customFormat="1" x14ac:dyDescent="0.25">
      <c r="A55"/>
      <c r="B55"/>
      <c r="C55" s="97"/>
      <c r="D55" s="97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 s="7"/>
      <c r="AB55"/>
      <c r="AC55"/>
      <c r="AD55"/>
      <c r="AE55"/>
      <c r="AF55"/>
      <c r="AG55"/>
      <c r="AH55"/>
      <c r="AI55"/>
      <c r="AK55"/>
    </row>
    <row r="56" spans="1:37" s="6" customFormat="1" x14ac:dyDescent="0.25">
      <c r="A56"/>
      <c r="B56"/>
      <c r="C56" s="97"/>
      <c r="D56" s="97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 s="7"/>
      <c r="AB56"/>
      <c r="AC56"/>
      <c r="AD56"/>
      <c r="AE56"/>
      <c r="AF56"/>
      <c r="AG56"/>
      <c r="AH56"/>
      <c r="AI56"/>
      <c r="AJ56"/>
      <c r="AK56"/>
    </row>
    <row r="57" spans="1:37" s="6" customFormat="1" x14ac:dyDescent="0.25">
      <c r="A57"/>
      <c r="B57"/>
      <c r="C57" s="97"/>
      <c r="D57" s="9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 s="7"/>
      <c r="AB57"/>
      <c r="AC57"/>
      <c r="AD57"/>
      <c r="AE57"/>
      <c r="AF57"/>
      <c r="AG57"/>
      <c r="AH57"/>
      <c r="AI57"/>
      <c r="AJ57"/>
      <c r="AK57"/>
    </row>
    <row r="58" spans="1:37" s="6" customFormat="1" x14ac:dyDescent="0.25">
      <c r="A58"/>
      <c r="B58"/>
      <c r="C58" s="97"/>
      <c r="D58" s="97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 s="7"/>
      <c r="AB58"/>
      <c r="AC58"/>
      <c r="AD58"/>
      <c r="AE58"/>
      <c r="AF58"/>
      <c r="AG58"/>
      <c r="AH58"/>
      <c r="AI58"/>
      <c r="AJ58"/>
      <c r="AK58"/>
    </row>
    <row r="59" spans="1:37" s="6" customFormat="1" x14ac:dyDescent="0.25">
      <c r="A59"/>
      <c r="B59"/>
      <c r="C59" s="97"/>
      <c r="D59" s="97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 s="7"/>
      <c r="AB59"/>
      <c r="AC59"/>
      <c r="AD59"/>
      <c r="AE59"/>
      <c r="AF59"/>
      <c r="AG59"/>
      <c r="AH59"/>
      <c r="AI59"/>
      <c r="AJ59"/>
      <c r="AK59"/>
    </row>
    <row r="60" spans="1:37" s="6" customFormat="1" x14ac:dyDescent="0.25">
      <c r="A60"/>
      <c r="B60"/>
      <c r="C60" s="97"/>
      <c r="D60" s="97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 s="7"/>
      <c r="AB60"/>
      <c r="AC60"/>
      <c r="AD60"/>
      <c r="AE60"/>
      <c r="AF60"/>
      <c r="AG60"/>
      <c r="AH60"/>
      <c r="AI60"/>
      <c r="AJ60"/>
      <c r="AK60"/>
    </row>
    <row r="61" spans="1:37" s="6" customFormat="1" x14ac:dyDescent="0.25">
      <c r="A61"/>
      <c r="B61"/>
      <c r="C61" s="97"/>
      <c r="D61" s="97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 s="7"/>
      <c r="AB61"/>
      <c r="AC61"/>
      <c r="AD61"/>
      <c r="AE61"/>
      <c r="AF61"/>
      <c r="AG61"/>
      <c r="AH61"/>
      <c r="AI61"/>
      <c r="AK61"/>
    </row>
    <row r="62" spans="1:37" s="6" customFormat="1" x14ac:dyDescent="0.25">
      <c r="A62"/>
      <c r="B62"/>
      <c r="C62" s="97"/>
      <c r="D62" s="97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 s="7"/>
      <c r="AB62"/>
      <c r="AC62"/>
      <c r="AD62"/>
      <c r="AE62"/>
      <c r="AF62"/>
      <c r="AG62"/>
      <c r="AH62"/>
      <c r="AI62"/>
      <c r="AK62"/>
    </row>
    <row r="63" spans="1:37" s="6" customFormat="1" x14ac:dyDescent="0.25">
      <c r="A63"/>
      <c r="B63"/>
      <c r="C63" s="97"/>
      <c r="D63" s="97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 s="7"/>
      <c r="AB63"/>
      <c r="AC63"/>
      <c r="AD63"/>
      <c r="AE63"/>
      <c r="AF63"/>
      <c r="AG63"/>
      <c r="AH63"/>
      <c r="AI63"/>
      <c r="AK63"/>
    </row>
    <row r="64" spans="1:37" s="6" customFormat="1" x14ac:dyDescent="0.25">
      <c r="A64"/>
      <c r="B64"/>
      <c r="C64" s="97"/>
      <c r="D64" s="97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 s="7"/>
      <c r="AB64"/>
      <c r="AC64"/>
      <c r="AD64"/>
      <c r="AE64"/>
      <c r="AF64"/>
      <c r="AG64"/>
      <c r="AH64"/>
      <c r="AI64"/>
      <c r="AJ64"/>
      <c r="AK64"/>
    </row>
    <row r="65" spans="1:37" s="6" customFormat="1" x14ac:dyDescent="0.25">
      <c r="A65"/>
      <c r="B65"/>
      <c r="C65" s="97"/>
      <c r="D65" s="97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 s="7"/>
      <c r="AB65"/>
      <c r="AC65"/>
      <c r="AD65"/>
      <c r="AE65"/>
      <c r="AF65"/>
      <c r="AG65"/>
      <c r="AH65"/>
      <c r="AI65"/>
      <c r="AJ65"/>
      <c r="AK65"/>
    </row>
    <row r="66" spans="1:37" s="6" customFormat="1" x14ac:dyDescent="0.25">
      <c r="A66"/>
      <c r="B66"/>
      <c r="C66" s="97"/>
      <c r="D66" s="97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 s="7"/>
      <c r="AB66"/>
      <c r="AC66"/>
      <c r="AD66"/>
      <c r="AE66"/>
      <c r="AF66"/>
      <c r="AG66"/>
      <c r="AH66"/>
      <c r="AI66"/>
      <c r="AJ66"/>
      <c r="AK66"/>
    </row>
    <row r="67" spans="1:37" s="6" customFormat="1" x14ac:dyDescent="0.25">
      <c r="A67"/>
      <c r="B67"/>
      <c r="C67" s="97"/>
      <c r="D67" s="9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 s="7"/>
      <c r="AB67"/>
      <c r="AC67"/>
      <c r="AD67"/>
      <c r="AE67"/>
      <c r="AF67"/>
      <c r="AG67"/>
      <c r="AH67"/>
      <c r="AI67"/>
      <c r="AJ67"/>
      <c r="AK67"/>
    </row>
    <row r="68" spans="1:37" s="6" customFormat="1" x14ac:dyDescent="0.25">
      <c r="A68"/>
      <c r="B68"/>
      <c r="C68" s="97"/>
      <c r="D68" s="97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 s="7"/>
      <c r="AB68"/>
      <c r="AC68"/>
      <c r="AD68"/>
      <c r="AE68"/>
      <c r="AF68"/>
      <c r="AG68"/>
      <c r="AH68"/>
      <c r="AI68"/>
      <c r="AK68"/>
    </row>
    <row r="69" spans="1:37" s="6" customFormat="1" x14ac:dyDescent="0.25">
      <c r="A69"/>
      <c r="B69"/>
      <c r="C69" s="97"/>
      <c r="D69" s="97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 s="7"/>
      <c r="AB69"/>
      <c r="AC69"/>
      <c r="AD69"/>
      <c r="AE69"/>
      <c r="AF69"/>
      <c r="AG69"/>
      <c r="AH69"/>
      <c r="AI69"/>
      <c r="AK69"/>
    </row>
    <row r="70" spans="1:37" s="6" customFormat="1" x14ac:dyDescent="0.25">
      <c r="A70"/>
      <c r="B70"/>
      <c r="C70" s="97"/>
      <c r="D70" s="97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 s="7"/>
      <c r="AB70"/>
      <c r="AC70"/>
      <c r="AD70"/>
      <c r="AE70"/>
      <c r="AF70"/>
      <c r="AG70"/>
      <c r="AH70"/>
      <c r="AI70"/>
      <c r="AK70"/>
    </row>
    <row r="71" spans="1:37" s="6" customFormat="1" x14ac:dyDescent="0.25">
      <c r="A71"/>
      <c r="B71"/>
      <c r="C71" s="97"/>
      <c r="D71" s="97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 s="7"/>
      <c r="AB71"/>
      <c r="AC71"/>
      <c r="AD71"/>
      <c r="AE71"/>
      <c r="AF71"/>
      <c r="AG71"/>
      <c r="AH71"/>
      <c r="AI71"/>
      <c r="AK71"/>
    </row>
    <row r="72" spans="1:37" s="6" customFormat="1" x14ac:dyDescent="0.25">
      <c r="A72"/>
      <c r="B72"/>
      <c r="C72" s="97"/>
      <c r="D72" s="97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 s="7"/>
      <c r="AB72"/>
      <c r="AC72"/>
      <c r="AD72"/>
      <c r="AE72"/>
      <c r="AF72"/>
      <c r="AG72"/>
      <c r="AH72"/>
      <c r="AI72"/>
      <c r="AK72"/>
    </row>
    <row r="73" spans="1:37" s="6" customFormat="1" x14ac:dyDescent="0.25">
      <c r="A73"/>
      <c r="B73"/>
      <c r="C73" s="97"/>
      <c r="D73" s="97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 s="7"/>
      <c r="AB73"/>
      <c r="AC73"/>
      <c r="AD73"/>
      <c r="AE73"/>
      <c r="AF73"/>
      <c r="AG73"/>
      <c r="AH73"/>
      <c r="AI73"/>
      <c r="AK73"/>
    </row>
    <row r="74" spans="1:37" s="6" customFormat="1" x14ac:dyDescent="0.25">
      <c r="A74"/>
      <c r="B74"/>
      <c r="C74" s="97"/>
      <c r="D74" s="97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 s="7"/>
      <c r="AB74"/>
      <c r="AC74"/>
      <c r="AD74"/>
      <c r="AE74"/>
      <c r="AF74"/>
      <c r="AG74"/>
      <c r="AH74"/>
      <c r="AI74"/>
      <c r="AK74"/>
    </row>
    <row r="75" spans="1:37" s="6" customFormat="1" x14ac:dyDescent="0.25">
      <c r="A75"/>
      <c r="B75"/>
      <c r="C75" s="97"/>
      <c r="D75" s="97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 s="7"/>
      <c r="AB75"/>
      <c r="AC75"/>
      <c r="AD75"/>
      <c r="AE75"/>
      <c r="AF75"/>
      <c r="AG75"/>
      <c r="AH75"/>
      <c r="AI75"/>
      <c r="AK75"/>
    </row>
    <row r="76" spans="1:37" s="6" customFormat="1" x14ac:dyDescent="0.25">
      <c r="A76"/>
      <c r="B76"/>
      <c r="C76" s="97"/>
      <c r="D76" s="97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 s="7"/>
      <c r="AB76"/>
      <c r="AC76"/>
      <c r="AD76"/>
      <c r="AE76"/>
      <c r="AF76"/>
      <c r="AG76"/>
      <c r="AH76"/>
      <c r="AI76"/>
      <c r="AK76"/>
    </row>
    <row r="77" spans="1:37" s="6" customFormat="1" x14ac:dyDescent="0.25">
      <c r="A77"/>
      <c r="B77"/>
      <c r="C77" s="97"/>
      <c r="D77" s="9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 s="7"/>
      <c r="AB77"/>
      <c r="AC77"/>
      <c r="AD77"/>
      <c r="AE77"/>
      <c r="AF77"/>
      <c r="AG77"/>
      <c r="AH77"/>
      <c r="AI77"/>
      <c r="AJ77"/>
      <c r="AK77"/>
    </row>
    <row r="78" spans="1:37" s="6" customFormat="1" x14ac:dyDescent="0.25">
      <c r="A78"/>
      <c r="B78"/>
      <c r="C78" s="97"/>
      <c r="D78" s="97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 s="7"/>
      <c r="AB78"/>
      <c r="AC78"/>
      <c r="AD78"/>
      <c r="AE78"/>
      <c r="AF78"/>
      <c r="AG78"/>
      <c r="AH78"/>
      <c r="AI78"/>
      <c r="AJ78"/>
      <c r="AK78"/>
    </row>
    <row r="79" spans="1:37" s="6" customFormat="1" x14ac:dyDescent="0.25">
      <c r="A79"/>
      <c r="B79"/>
      <c r="C79" s="97"/>
      <c r="D79" s="97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 s="7"/>
      <c r="AB79"/>
      <c r="AC79"/>
      <c r="AD79"/>
      <c r="AE79"/>
      <c r="AF79"/>
      <c r="AG79"/>
      <c r="AH79"/>
      <c r="AI79"/>
      <c r="AJ79"/>
      <c r="AK79"/>
    </row>
    <row r="80" spans="1:37" s="6" customFormat="1" x14ac:dyDescent="0.25">
      <c r="A80"/>
      <c r="B80"/>
      <c r="C80" s="97"/>
      <c r="D80" s="97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 s="7"/>
      <c r="AB80"/>
      <c r="AC80"/>
      <c r="AD80"/>
      <c r="AE80"/>
      <c r="AF80"/>
      <c r="AG80"/>
      <c r="AH80"/>
      <c r="AI80"/>
      <c r="AJ80"/>
      <c r="AK80"/>
    </row>
    <row r="81" spans="1:37" s="6" customFormat="1" x14ac:dyDescent="0.25">
      <c r="A81"/>
      <c r="B81"/>
      <c r="C81" s="97"/>
      <c r="D81" s="97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 s="7"/>
      <c r="AB81"/>
      <c r="AC81"/>
      <c r="AD81"/>
      <c r="AE81"/>
      <c r="AF81"/>
      <c r="AG81"/>
      <c r="AH81"/>
      <c r="AI81"/>
      <c r="AJ81"/>
      <c r="AK81"/>
    </row>
    <row r="82" spans="1:37" s="6" customFormat="1" x14ac:dyDescent="0.25">
      <c r="A82"/>
      <c r="B82"/>
      <c r="C82" s="97"/>
      <c r="D82" s="97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 s="7"/>
      <c r="AB82"/>
      <c r="AC82"/>
      <c r="AD82"/>
      <c r="AE82"/>
      <c r="AF82"/>
      <c r="AG82"/>
      <c r="AH82"/>
      <c r="AI82"/>
      <c r="AK82"/>
    </row>
    <row r="83" spans="1:37" s="6" customFormat="1" x14ac:dyDescent="0.25">
      <c r="A83"/>
      <c r="B83"/>
      <c r="C83" s="97"/>
      <c r="D83" s="97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 s="7"/>
      <c r="AB83"/>
      <c r="AC83"/>
      <c r="AD83"/>
      <c r="AE83"/>
      <c r="AF83"/>
      <c r="AG83"/>
      <c r="AH83"/>
      <c r="AI83"/>
      <c r="AK83"/>
    </row>
    <row r="84" spans="1:37" s="6" customFormat="1" x14ac:dyDescent="0.25">
      <c r="A84"/>
      <c r="B84"/>
      <c r="C84" s="97"/>
      <c r="D84" s="97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 s="7"/>
      <c r="AB84"/>
      <c r="AC84"/>
      <c r="AD84"/>
      <c r="AE84"/>
      <c r="AF84"/>
      <c r="AG84"/>
      <c r="AH84"/>
      <c r="AI84"/>
      <c r="AK84"/>
    </row>
    <row r="85" spans="1:37" s="6" customFormat="1" x14ac:dyDescent="0.25">
      <c r="A85"/>
      <c r="B85"/>
      <c r="C85" s="97"/>
      <c r="D85" s="97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 s="7"/>
      <c r="AB85"/>
      <c r="AC85"/>
      <c r="AD85"/>
      <c r="AE85"/>
      <c r="AF85"/>
      <c r="AG85"/>
      <c r="AH85"/>
      <c r="AI85"/>
      <c r="AK85"/>
    </row>
    <row r="86" spans="1:37" s="6" customFormat="1" x14ac:dyDescent="0.25">
      <c r="A86"/>
      <c r="B86"/>
      <c r="C86" s="97"/>
      <c r="D86" s="97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 s="7"/>
      <c r="AB86"/>
      <c r="AC86"/>
      <c r="AD86"/>
      <c r="AE86"/>
      <c r="AF86"/>
      <c r="AG86"/>
      <c r="AH86"/>
      <c r="AI86"/>
      <c r="AK86"/>
    </row>
    <row r="87" spans="1:37" s="6" customFormat="1" x14ac:dyDescent="0.25">
      <c r="A87"/>
      <c r="B87"/>
      <c r="C87" s="97"/>
      <c r="D87" s="9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 s="7"/>
      <c r="AB87"/>
      <c r="AC87"/>
      <c r="AD87"/>
      <c r="AE87"/>
      <c r="AF87"/>
      <c r="AG87"/>
      <c r="AH87"/>
      <c r="AI87"/>
      <c r="AJ87"/>
      <c r="AK87"/>
    </row>
    <row r="88" spans="1:37" s="6" customFormat="1" x14ac:dyDescent="0.25">
      <c r="A88"/>
      <c r="B88"/>
      <c r="C88" s="97"/>
      <c r="D88" s="97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 s="7"/>
      <c r="AB88"/>
      <c r="AC88"/>
      <c r="AD88"/>
      <c r="AE88"/>
      <c r="AF88"/>
      <c r="AG88"/>
      <c r="AH88"/>
      <c r="AI88"/>
      <c r="AJ88"/>
      <c r="AK88"/>
    </row>
    <row r="89" spans="1:37" s="6" customFormat="1" x14ac:dyDescent="0.25">
      <c r="A89"/>
      <c r="B89"/>
      <c r="C89" s="97"/>
      <c r="D89" s="97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 s="7"/>
      <c r="AB89"/>
      <c r="AC89"/>
      <c r="AD89"/>
      <c r="AE89"/>
      <c r="AF89"/>
      <c r="AG89"/>
      <c r="AH89"/>
      <c r="AI89"/>
      <c r="AJ89"/>
      <c r="AK89"/>
    </row>
    <row r="90" spans="1:37" s="6" customFormat="1" x14ac:dyDescent="0.25">
      <c r="A90"/>
      <c r="B90"/>
      <c r="C90" s="97"/>
      <c r="D90" s="97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 s="7"/>
      <c r="AB90"/>
      <c r="AC90"/>
      <c r="AD90"/>
      <c r="AE90"/>
      <c r="AF90"/>
      <c r="AG90"/>
      <c r="AH90"/>
      <c r="AI90"/>
      <c r="AK90"/>
    </row>
    <row r="91" spans="1:37" s="6" customFormat="1" x14ac:dyDescent="0.25">
      <c r="A91"/>
      <c r="B91"/>
      <c r="C91" s="97"/>
      <c r="D91" s="97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 s="7"/>
      <c r="AB91"/>
      <c r="AC91"/>
      <c r="AD91"/>
      <c r="AE91"/>
      <c r="AF91"/>
      <c r="AG91"/>
      <c r="AH91"/>
      <c r="AI91"/>
      <c r="AK91"/>
    </row>
    <row r="92" spans="1:37" s="6" customFormat="1" x14ac:dyDescent="0.25">
      <c r="A92"/>
      <c r="B92"/>
      <c r="C92" s="97"/>
      <c r="D92" s="97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 s="7"/>
      <c r="AB92"/>
      <c r="AC92"/>
      <c r="AD92"/>
      <c r="AE92"/>
      <c r="AF92"/>
      <c r="AG92"/>
      <c r="AH92"/>
      <c r="AI92"/>
      <c r="AK92"/>
    </row>
    <row r="93" spans="1:37" s="6" customFormat="1" x14ac:dyDescent="0.25">
      <c r="A93"/>
      <c r="B93"/>
      <c r="C93" s="97"/>
      <c r="D93" s="97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 s="7"/>
      <c r="AB93"/>
      <c r="AC93"/>
      <c r="AD93"/>
      <c r="AE93"/>
      <c r="AF93"/>
      <c r="AG93"/>
      <c r="AH93"/>
      <c r="AI93"/>
      <c r="AK93"/>
    </row>
    <row r="94" spans="1:37" s="6" customFormat="1" x14ac:dyDescent="0.25">
      <c r="A94"/>
      <c r="B94"/>
      <c r="C94" s="97"/>
      <c r="D94" s="97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 s="7"/>
      <c r="AB94"/>
      <c r="AC94"/>
      <c r="AD94"/>
      <c r="AE94"/>
      <c r="AF94"/>
      <c r="AG94"/>
      <c r="AH94"/>
      <c r="AI94"/>
      <c r="AK94"/>
    </row>
    <row r="95" spans="1:37" s="6" customFormat="1" x14ac:dyDescent="0.25">
      <c r="A95"/>
      <c r="B95"/>
      <c r="C95" s="97"/>
      <c r="D95" s="97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 s="7"/>
      <c r="AB95"/>
      <c r="AC95"/>
      <c r="AD95"/>
      <c r="AE95"/>
      <c r="AF95"/>
      <c r="AG95"/>
      <c r="AH95"/>
      <c r="AI95"/>
      <c r="AK95"/>
    </row>
    <row r="96" spans="1:37" s="6" customFormat="1" x14ac:dyDescent="0.25">
      <c r="A96"/>
      <c r="B96"/>
      <c r="C96" s="97"/>
      <c r="D96" s="97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 s="7"/>
      <c r="AB96"/>
      <c r="AC96"/>
      <c r="AD96"/>
      <c r="AE96"/>
      <c r="AF96"/>
      <c r="AG96"/>
      <c r="AH96"/>
      <c r="AI96"/>
      <c r="AK96"/>
    </row>
    <row r="97" spans="1:37" s="6" customFormat="1" x14ac:dyDescent="0.25">
      <c r="A97"/>
      <c r="B97"/>
      <c r="C97" s="97"/>
      <c r="D97" s="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 s="7"/>
      <c r="AB97"/>
      <c r="AC97"/>
      <c r="AD97"/>
      <c r="AE97"/>
      <c r="AF97"/>
      <c r="AG97"/>
      <c r="AH97"/>
      <c r="AI97"/>
      <c r="AK97"/>
    </row>
    <row r="98" spans="1:37" s="6" customFormat="1" x14ac:dyDescent="0.25">
      <c r="A98"/>
      <c r="B98"/>
      <c r="C98" s="97"/>
      <c r="D98" s="97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 s="7"/>
      <c r="AB98"/>
      <c r="AC98"/>
      <c r="AD98"/>
      <c r="AE98"/>
      <c r="AF98"/>
      <c r="AG98"/>
      <c r="AH98"/>
      <c r="AI98"/>
      <c r="AJ98"/>
      <c r="AK98"/>
    </row>
    <row r="99" spans="1:37" s="6" customFormat="1" x14ac:dyDescent="0.25">
      <c r="A99"/>
      <c r="B99"/>
      <c r="C99" s="97"/>
      <c r="D99" s="97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 s="7"/>
      <c r="AB99"/>
      <c r="AC99"/>
      <c r="AD99"/>
      <c r="AE99"/>
      <c r="AF99"/>
      <c r="AG99"/>
      <c r="AH99"/>
      <c r="AI99"/>
      <c r="AJ99"/>
      <c r="AK99"/>
    </row>
    <row r="100" spans="1:37" s="6" customFormat="1" x14ac:dyDescent="0.25">
      <c r="A100"/>
      <c r="B100"/>
      <c r="C100" s="97"/>
      <c r="D100" s="97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 s="7"/>
      <c r="AB100"/>
      <c r="AC100"/>
      <c r="AD100"/>
      <c r="AE100"/>
      <c r="AF100"/>
      <c r="AG100"/>
      <c r="AH100"/>
      <c r="AI100"/>
      <c r="AJ100"/>
      <c r="AK100"/>
    </row>
    <row r="101" spans="1:37" s="6" customFormat="1" x14ac:dyDescent="0.25">
      <c r="A101"/>
      <c r="B101"/>
      <c r="C101" s="97"/>
      <c r="D101" s="97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 s="7"/>
      <c r="AB101"/>
      <c r="AC101"/>
      <c r="AD101"/>
      <c r="AE101"/>
      <c r="AF101"/>
      <c r="AG101"/>
      <c r="AH101"/>
      <c r="AI101"/>
      <c r="AJ101"/>
      <c r="AK101"/>
    </row>
    <row r="102" spans="1:37" s="6" customFormat="1" x14ac:dyDescent="0.25">
      <c r="A102"/>
      <c r="B102"/>
      <c r="C102" s="97"/>
      <c r="D102" s="97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 s="7"/>
      <c r="AB102"/>
      <c r="AC102"/>
      <c r="AD102"/>
      <c r="AE102"/>
      <c r="AF102"/>
      <c r="AG102"/>
      <c r="AH102"/>
      <c r="AI102"/>
      <c r="AJ102"/>
      <c r="AK102"/>
    </row>
    <row r="103" spans="1:37" s="6" customFormat="1" x14ac:dyDescent="0.25">
      <c r="A103"/>
      <c r="B103"/>
      <c r="C103" s="97"/>
      <c r="D103" s="97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 s="7"/>
      <c r="AB103"/>
      <c r="AC103"/>
      <c r="AD103"/>
      <c r="AE103"/>
      <c r="AF103"/>
      <c r="AG103"/>
      <c r="AH103"/>
      <c r="AI103"/>
      <c r="AK103"/>
    </row>
    <row r="104" spans="1:37" s="6" customFormat="1" x14ac:dyDescent="0.25">
      <c r="A104"/>
      <c r="B104"/>
      <c r="C104" s="97"/>
      <c r="D104" s="97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 s="7"/>
      <c r="AB104"/>
      <c r="AC104"/>
      <c r="AD104"/>
      <c r="AE104"/>
      <c r="AF104"/>
      <c r="AG104"/>
      <c r="AH104"/>
      <c r="AI104"/>
      <c r="AK104"/>
    </row>
    <row r="105" spans="1:37" s="6" customFormat="1" x14ac:dyDescent="0.25">
      <c r="A105"/>
      <c r="B105"/>
      <c r="C105" s="97"/>
      <c r="D105" s="97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 s="7"/>
      <c r="AB105"/>
      <c r="AC105"/>
      <c r="AD105"/>
      <c r="AE105"/>
      <c r="AF105"/>
      <c r="AG105"/>
      <c r="AH105"/>
      <c r="AI105"/>
      <c r="AK105"/>
    </row>
    <row r="106" spans="1:37" s="6" customFormat="1" x14ac:dyDescent="0.25">
      <c r="A106"/>
      <c r="B106"/>
      <c r="C106" s="97"/>
      <c r="D106" s="97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 s="7"/>
      <c r="AB106"/>
      <c r="AC106"/>
      <c r="AD106"/>
      <c r="AE106"/>
      <c r="AF106"/>
      <c r="AG106"/>
      <c r="AH106"/>
      <c r="AI106"/>
      <c r="AK106"/>
    </row>
    <row r="107" spans="1:37" s="6" customFormat="1" x14ac:dyDescent="0.25">
      <c r="A107"/>
      <c r="B107"/>
      <c r="C107" s="97"/>
      <c r="D107" s="9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 s="7"/>
      <c r="AB107"/>
      <c r="AC107"/>
      <c r="AD107"/>
      <c r="AE107"/>
      <c r="AF107"/>
      <c r="AG107"/>
      <c r="AH107"/>
      <c r="AI107"/>
      <c r="AK107"/>
    </row>
    <row r="108" spans="1:37" s="6" customFormat="1" x14ac:dyDescent="0.25">
      <c r="A108"/>
      <c r="B108"/>
      <c r="C108" s="97"/>
      <c r="D108" s="97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 s="7"/>
      <c r="AB108"/>
      <c r="AC108"/>
      <c r="AD108"/>
      <c r="AE108"/>
      <c r="AF108"/>
      <c r="AG108"/>
      <c r="AH108"/>
      <c r="AI108"/>
      <c r="AK108"/>
    </row>
    <row r="109" spans="1:37" s="6" customFormat="1" x14ac:dyDescent="0.25">
      <c r="A109"/>
      <c r="B109"/>
      <c r="C109" s="97"/>
      <c r="D109" s="97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 s="7"/>
      <c r="AB109"/>
      <c r="AC109"/>
      <c r="AD109"/>
      <c r="AE109"/>
      <c r="AF109"/>
      <c r="AG109"/>
      <c r="AH109"/>
      <c r="AI109"/>
      <c r="AJ109"/>
      <c r="AK109"/>
    </row>
    <row r="110" spans="1:37" s="6" customFormat="1" x14ac:dyDescent="0.25">
      <c r="A110"/>
      <c r="B110"/>
      <c r="C110" s="97"/>
      <c r="D110" s="97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 s="7"/>
      <c r="AB110"/>
      <c r="AC110"/>
      <c r="AD110"/>
      <c r="AE110"/>
      <c r="AF110"/>
      <c r="AG110"/>
      <c r="AH110"/>
      <c r="AI110"/>
      <c r="AJ110"/>
      <c r="AK110"/>
    </row>
    <row r="111" spans="1:37" s="6" customFormat="1" x14ac:dyDescent="0.25">
      <c r="A111"/>
      <c r="B111"/>
      <c r="C111" s="97"/>
      <c r="D111" s="97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 s="7"/>
      <c r="AB111"/>
      <c r="AC111"/>
      <c r="AD111"/>
      <c r="AE111"/>
      <c r="AF111"/>
      <c r="AG111"/>
      <c r="AH111"/>
      <c r="AI111"/>
      <c r="AJ111"/>
      <c r="AK111"/>
    </row>
    <row r="112" spans="1:37" s="6" customFormat="1" x14ac:dyDescent="0.25">
      <c r="A112"/>
      <c r="B112"/>
      <c r="C112" s="97"/>
      <c r="D112" s="97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 s="7"/>
      <c r="AB112"/>
      <c r="AC112"/>
      <c r="AD112"/>
      <c r="AE112"/>
      <c r="AF112"/>
      <c r="AG112"/>
      <c r="AH112"/>
      <c r="AI112"/>
      <c r="AK112"/>
    </row>
    <row r="113" spans="1:37" s="6" customFormat="1" x14ac:dyDescent="0.25">
      <c r="A113"/>
      <c r="B113"/>
      <c r="C113" s="97"/>
      <c r="D113" s="97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 s="7"/>
      <c r="AB113"/>
      <c r="AC113"/>
      <c r="AD113"/>
      <c r="AE113"/>
      <c r="AF113"/>
      <c r="AG113"/>
      <c r="AH113"/>
      <c r="AI113"/>
      <c r="AK113"/>
    </row>
    <row r="114" spans="1:37" s="6" customFormat="1" x14ac:dyDescent="0.25">
      <c r="A114"/>
      <c r="B114"/>
      <c r="C114" s="97"/>
      <c r="D114" s="97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 s="7"/>
      <c r="AB114"/>
      <c r="AC114"/>
      <c r="AD114"/>
      <c r="AE114"/>
      <c r="AF114"/>
      <c r="AG114"/>
      <c r="AH114"/>
      <c r="AI114"/>
      <c r="AK114"/>
    </row>
    <row r="115" spans="1:37" s="6" customFormat="1" x14ac:dyDescent="0.25">
      <c r="A115"/>
      <c r="B115"/>
      <c r="C115" s="97"/>
      <c r="D115" s="97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 s="7"/>
      <c r="AB115"/>
      <c r="AC115"/>
      <c r="AD115"/>
      <c r="AE115"/>
      <c r="AF115"/>
      <c r="AG115"/>
      <c r="AH115"/>
      <c r="AI115"/>
      <c r="AK115"/>
    </row>
    <row r="116" spans="1:37" s="6" customFormat="1" x14ac:dyDescent="0.25">
      <c r="A116"/>
      <c r="B116"/>
      <c r="C116" s="97"/>
      <c r="D116" s="97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 s="7"/>
      <c r="AB116"/>
      <c r="AC116"/>
      <c r="AD116"/>
      <c r="AE116"/>
      <c r="AF116"/>
      <c r="AG116"/>
      <c r="AH116"/>
      <c r="AI116"/>
      <c r="AK116"/>
    </row>
    <row r="117" spans="1:37" s="6" customFormat="1" x14ac:dyDescent="0.25">
      <c r="A117"/>
      <c r="B117"/>
      <c r="C117" s="97"/>
      <c r="D117" s="9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 s="7"/>
      <c r="AB117"/>
      <c r="AC117"/>
      <c r="AD117"/>
      <c r="AE117"/>
      <c r="AF117"/>
      <c r="AG117"/>
      <c r="AH117"/>
      <c r="AI117"/>
      <c r="AK117"/>
    </row>
    <row r="118" spans="1:37" s="6" customFormat="1" x14ac:dyDescent="0.25">
      <c r="A118"/>
      <c r="B118"/>
      <c r="C118" s="97"/>
      <c r="D118" s="97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 s="7"/>
      <c r="AB118"/>
      <c r="AC118"/>
      <c r="AD118"/>
      <c r="AE118"/>
      <c r="AF118"/>
      <c r="AG118"/>
      <c r="AH118"/>
      <c r="AI118"/>
      <c r="AK118"/>
    </row>
    <row r="119" spans="1:37" s="6" customFormat="1" x14ac:dyDescent="0.25">
      <c r="A119"/>
      <c r="B119"/>
      <c r="C119" s="97"/>
      <c r="D119" s="97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 s="7"/>
      <c r="AB119"/>
      <c r="AC119"/>
      <c r="AD119"/>
      <c r="AE119"/>
      <c r="AF119"/>
      <c r="AG119"/>
      <c r="AH119"/>
      <c r="AI119"/>
      <c r="AK119"/>
    </row>
    <row r="120" spans="1:37" s="6" customFormat="1" x14ac:dyDescent="0.25">
      <c r="A120"/>
      <c r="B120"/>
      <c r="C120" s="97"/>
      <c r="D120" s="97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 s="7"/>
      <c r="AB120"/>
      <c r="AC120"/>
      <c r="AD120"/>
      <c r="AE120"/>
      <c r="AF120"/>
      <c r="AG120"/>
      <c r="AH120"/>
      <c r="AI120"/>
      <c r="AK120"/>
    </row>
    <row r="121" spans="1:37" s="6" customFormat="1" x14ac:dyDescent="0.25">
      <c r="A121"/>
      <c r="B121"/>
      <c r="C121" s="97"/>
      <c r="D121" s="97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 s="7"/>
      <c r="AB121"/>
      <c r="AC121"/>
      <c r="AD121"/>
      <c r="AE121"/>
      <c r="AF121"/>
      <c r="AG121"/>
      <c r="AH121"/>
      <c r="AI121"/>
      <c r="AJ121"/>
      <c r="AK121"/>
    </row>
    <row r="122" spans="1:37" s="6" customFormat="1" x14ac:dyDescent="0.25">
      <c r="A122"/>
      <c r="B122"/>
      <c r="C122" s="97"/>
      <c r="D122" s="97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 s="7"/>
      <c r="AB122"/>
      <c r="AC122"/>
      <c r="AD122"/>
      <c r="AE122"/>
      <c r="AF122"/>
      <c r="AG122"/>
      <c r="AH122"/>
      <c r="AI122"/>
      <c r="AJ122"/>
      <c r="AK122"/>
    </row>
    <row r="123" spans="1:37" s="6" customFormat="1" x14ac:dyDescent="0.25">
      <c r="A123"/>
      <c r="B123"/>
      <c r="C123" s="97"/>
      <c r="D123" s="97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 s="7"/>
      <c r="AB123"/>
      <c r="AC123"/>
      <c r="AD123"/>
      <c r="AE123"/>
      <c r="AF123"/>
      <c r="AG123"/>
      <c r="AH123"/>
      <c r="AI123"/>
      <c r="AJ123"/>
      <c r="AK123"/>
    </row>
    <row r="124" spans="1:37" s="6" customFormat="1" x14ac:dyDescent="0.25">
      <c r="A124"/>
      <c r="B124"/>
      <c r="C124" s="97"/>
      <c r="D124" s="97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 s="7"/>
      <c r="AB124"/>
      <c r="AC124"/>
      <c r="AD124"/>
      <c r="AE124"/>
      <c r="AF124"/>
      <c r="AG124"/>
      <c r="AH124"/>
      <c r="AI124"/>
      <c r="AJ124"/>
      <c r="AK124"/>
    </row>
    <row r="125" spans="1:37" s="6" customFormat="1" x14ac:dyDescent="0.25">
      <c r="A125"/>
      <c r="B125"/>
      <c r="C125" s="97"/>
      <c r="D125" s="97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 s="7"/>
      <c r="AB125"/>
      <c r="AC125"/>
      <c r="AD125"/>
      <c r="AE125"/>
      <c r="AF125"/>
      <c r="AG125"/>
      <c r="AH125"/>
      <c r="AI125"/>
      <c r="AJ125"/>
      <c r="AK125"/>
    </row>
    <row r="126" spans="1:37" s="6" customFormat="1" x14ac:dyDescent="0.25">
      <c r="A126"/>
      <c r="B126"/>
      <c r="C126" s="97"/>
      <c r="D126" s="97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 s="7"/>
      <c r="AB126"/>
      <c r="AC126"/>
      <c r="AD126"/>
      <c r="AE126"/>
      <c r="AF126"/>
      <c r="AG126"/>
      <c r="AH126"/>
      <c r="AI126"/>
      <c r="AK126"/>
    </row>
    <row r="127" spans="1:37" s="6" customFormat="1" x14ac:dyDescent="0.25">
      <c r="A127"/>
      <c r="B127"/>
      <c r="C127" s="97"/>
      <c r="D127" s="9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 s="7"/>
      <c r="AB127"/>
      <c r="AC127"/>
      <c r="AD127"/>
      <c r="AE127"/>
      <c r="AF127"/>
      <c r="AG127"/>
      <c r="AH127"/>
      <c r="AI127"/>
      <c r="AK127"/>
    </row>
    <row r="128" spans="1:37" s="6" customFormat="1" x14ac:dyDescent="0.25">
      <c r="A128"/>
      <c r="B128"/>
      <c r="C128" s="97"/>
      <c r="D128" s="97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 s="7"/>
      <c r="AB128"/>
      <c r="AC128"/>
      <c r="AD128"/>
      <c r="AE128"/>
      <c r="AF128"/>
      <c r="AG128"/>
      <c r="AH128"/>
      <c r="AI128"/>
      <c r="AK128"/>
    </row>
    <row r="129" spans="1:37" s="6" customFormat="1" x14ac:dyDescent="0.25">
      <c r="A129"/>
      <c r="B129"/>
      <c r="C129" s="97"/>
      <c r="D129" s="97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 s="7"/>
      <c r="AB129"/>
      <c r="AC129"/>
      <c r="AD129"/>
      <c r="AE129"/>
      <c r="AF129"/>
      <c r="AG129"/>
      <c r="AH129"/>
      <c r="AI129"/>
      <c r="AK129"/>
    </row>
    <row r="130" spans="1:37" s="6" customFormat="1" x14ac:dyDescent="0.25">
      <c r="A130"/>
      <c r="B130"/>
      <c r="C130" s="97"/>
      <c r="D130" s="97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 s="7"/>
      <c r="AB130"/>
      <c r="AC130"/>
      <c r="AD130"/>
      <c r="AE130"/>
      <c r="AF130"/>
      <c r="AG130"/>
      <c r="AH130"/>
      <c r="AI130"/>
      <c r="AK130"/>
    </row>
    <row r="131" spans="1:37" s="6" customFormat="1" x14ac:dyDescent="0.25">
      <c r="A131"/>
      <c r="B131"/>
      <c r="C131" s="97"/>
      <c r="D131" s="97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 s="7"/>
      <c r="AB131"/>
      <c r="AC131"/>
      <c r="AD131"/>
      <c r="AE131"/>
      <c r="AF131"/>
      <c r="AG131"/>
      <c r="AH131"/>
      <c r="AI131"/>
      <c r="AK131"/>
    </row>
    <row r="132" spans="1:37" s="6" customFormat="1" x14ac:dyDescent="0.25">
      <c r="A132"/>
      <c r="B132"/>
      <c r="C132" s="97"/>
      <c r="D132" s="97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 s="7"/>
      <c r="AB132"/>
      <c r="AC132"/>
      <c r="AD132"/>
      <c r="AE132"/>
      <c r="AF132"/>
      <c r="AG132"/>
      <c r="AH132"/>
      <c r="AI132"/>
      <c r="AJ132"/>
      <c r="AK132"/>
    </row>
    <row r="133" spans="1:37" s="6" customFormat="1" x14ac:dyDescent="0.25">
      <c r="A133"/>
      <c r="B133"/>
      <c r="C133" s="97"/>
      <c r="D133" s="97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 s="7"/>
      <c r="AB133"/>
      <c r="AC133"/>
      <c r="AD133"/>
      <c r="AE133"/>
      <c r="AF133"/>
      <c r="AG133"/>
      <c r="AH133"/>
      <c r="AI133"/>
      <c r="AJ133"/>
      <c r="AK133"/>
    </row>
    <row r="134" spans="1:37" s="6" customFormat="1" x14ac:dyDescent="0.25">
      <c r="A134"/>
      <c r="B134"/>
      <c r="C134" s="97"/>
      <c r="D134" s="97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 s="7"/>
      <c r="AB134"/>
      <c r="AC134"/>
      <c r="AD134"/>
      <c r="AE134"/>
      <c r="AF134"/>
      <c r="AG134"/>
      <c r="AH134"/>
      <c r="AI134"/>
      <c r="AJ134"/>
      <c r="AK134"/>
    </row>
    <row r="135" spans="1:37" s="6" customFormat="1" x14ac:dyDescent="0.25">
      <c r="A135"/>
      <c r="B135"/>
      <c r="C135" s="97"/>
      <c r="D135" s="97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 s="7"/>
      <c r="AB135"/>
      <c r="AC135"/>
      <c r="AD135"/>
      <c r="AE135"/>
      <c r="AF135"/>
      <c r="AG135"/>
      <c r="AH135"/>
      <c r="AI135"/>
      <c r="AJ135"/>
      <c r="AK135"/>
    </row>
    <row r="136" spans="1:37" s="6" customFormat="1" x14ac:dyDescent="0.25">
      <c r="A136"/>
      <c r="B136"/>
      <c r="C136" s="97"/>
      <c r="D136" s="97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 s="7"/>
      <c r="AB136"/>
      <c r="AC136"/>
      <c r="AD136"/>
      <c r="AE136"/>
      <c r="AF136"/>
      <c r="AG136"/>
      <c r="AH136"/>
      <c r="AI136"/>
      <c r="AJ136"/>
      <c r="AK136"/>
    </row>
    <row r="137" spans="1:37" s="6" customFormat="1" x14ac:dyDescent="0.25">
      <c r="A137"/>
      <c r="B137"/>
      <c r="C137" s="97"/>
      <c r="D137" s="9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 s="7"/>
      <c r="AB137"/>
      <c r="AC137"/>
      <c r="AD137"/>
      <c r="AE137"/>
      <c r="AF137"/>
      <c r="AG137"/>
      <c r="AH137"/>
      <c r="AI137"/>
      <c r="AJ137"/>
      <c r="AK137"/>
    </row>
    <row r="138" spans="1:37" s="6" customFormat="1" x14ac:dyDescent="0.25">
      <c r="A138"/>
      <c r="B138"/>
      <c r="C138" s="97"/>
      <c r="D138" s="97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 s="7"/>
      <c r="AB138"/>
      <c r="AC138"/>
      <c r="AD138"/>
      <c r="AE138"/>
      <c r="AF138"/>
      <c r="AG138"/>
      <c r="AH138"/>
      <c r="AI138"/>
      <c r="AJ138"/>
      <c r="AK138"/>
    </row>
    <row r="139" spans="1:37" s="6" customFormat="1" x14ac:dyDescent="0.25">
      <c r="A139"/>
      <c r="B139"/>
      <c r="C139" s="97"/>
      <c r="D139" s="97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 s="7"/>
      <c r="AB139"/>
      <c r="AC139"/>
      <c r="AD139"/>
      <c r="AE139"/>
      <c r="AF139"/>
      <c r="AG139"/>
      <c r="AH139"/>
      <c r="AI139"/>
      <c r="AJ139"/>
      <c r="AK139"/>
    </row>
    <row r="140" spans="1:37" s="6" customFormat="1" x14ac:dyDescent="0.25">
      <c r="A140"/>
      <c r="B140"/>
      <c r="C140" s="97"/>
      <c r="D140" s="97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 s="7"/>
      <c r="AB140"/>
      <c r="AC140"/>
      <c r="AD140"/>
      <c r="AE140"/>
      <c r="AF140"/>
      <c r="AG140"/>
      <c r="AH140"/>
      <c r="AI140"/>
      <c r="AJ140"/>
      <c r="AK140"/>
    </row>
    <row r="141" spans="1:37" s="6" customFormat="1" x14ac:dyDescent="0.25">
      <c r="A141"/>
      <c r="B141"/>
      <c r="C141" s="97"/>
      <c r="D141" s="97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 s="7"/>
      <c r="AB141"/>
      <c r="AC141"/>
      <c r="AD141"/>
      <c r="AE141"/>
      <c r="AF141"/>
      <c r="AG141"/>
      <c r="AH141"/>
      <c r="AI141"/>
      <c r="AJ141"/>
      <c r="AK141"/>
    </row>
    <row r="142" spans="1:37" s="6" customFormat="1" x14ac:dyDescent="0.25">
      <c r="A142"/>
      <c r="B142"/>
      <c r="C142" s="97"/>
      <c r="D142" s="97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 s="7"/>
      <c r="AB142"/>
      <c r="AC142"/>
      <c r="AD142"/>
      <c r="AE142"/>
      <c r="AF142"/>
      <c r="AG142"/>
      <c r="AH142"/>
      <c r="AI142"/>
      <c r="AJ142"/>
      <c r="AK142"/>
    </row>
    <row r="143" spans="1:37" s="6" customFormat="1" x14ac:dyDescent="0.25">
      <c r="A143"/>
      <c r="B143"/>
      <c r="C143" s="97"/>
      <c r="D143" s="97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 s="7"/>
      <c r="AB143"/>
      <c r="AC143"/>
      <c r="AD143"/>
      <c r="AE143"/>
      <c r="AF143"/>
      <c r="AG143"/>
      <c r="AH143"/>
      <c r="AI143"/>
      <c r="AJ143"/>
      <c r="AK143"/>
    </row>
    <row r="144" spans="1:37" s="6" customFormat="1" x14ac:dyDescent="0.25">
      <c r="A144"/>
      <c r="B144"/>
      <c r="C144" s="97"/>
      <c r="D144" s="97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 s="7"/>
      <c r="AB144"/>
      <c r="AC144"/>
      <c r="AD144"/>
      <c r="AE144"/>
      <c r="AF144"/>
      <c r="AG144"/>
      <c r="AH144"/>
      <c r="AI144"/>
      <c r="AJ144"/>
      <c r="AK144"/>
    </row>
    <row r="145" spans="1:37" s="6" customFormat="1" x14ac:dyDescent="0.25">
      <c r="A145"/>
      <c r="B145"/>
      <c r="C145" s="97"/>
      <c r="D145" s="97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 s="7"/>
      <c r="AB145"/>
      <c r="AC145"/>
      <c r="AD145"/>
      <c r="AE145"/>
      <c r="AF145"/>
      <c r="AG145"/>
      <c r="AH145"/>
      <c r="AI145"/>
      <c r="AJ145"/>
      <c r="AK145"/>
    </row>
    <row r="146" spans="1:37" s="6" customFormat="1" x14ac:dyDescent="0.25">
      <c r="A146"/>
      <c r="B146"/>
      <c r="C146" s="97"/>
      <c r="D146" s="97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 s="7"/>
      <c r="AB146"/>
      <c r="AC146"/>
      <c r="AD146"/>
      <c r="AE146"/>
      <c r="AF146"/>
      <c r="AG146"/>
      <c r="AH146"/>
      <c r="AI146"/>
      <c r="AJ146"/>
      <c r="AK146"/>
    </row>
    <row r="147" spans="1:37" s="6" customFormat="1" x14ac:dyDescent="0.25">
      <c r="A147"/>
      <c r="B147"/>
      <c r="C147" s="97"/>
      <c r="D147" s="9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 s="7"/>
      <c r="AB147"/>
      <c r="AC147"/>
      <c r="AD147"/>
      <c r="AE147"/>
      <c r="AF147"/>
      <c r="AG147"/>
      <c r="AH147"/>
      <c r="AI147"/>
      <c r="AJ147"/>
      <c r="AK147"/>
    </row>
    <row r="148" spans="1:37" s="6" customFormat="1" x14ac:dyDescent="0.25">
      <c r="A148"/>
      <c r="B148"/>
      <c r="C148" s="97"/>
      <c r="D148" s="97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 s="7"/>
      <c r="AB148"/>
      <c r="AC148"/>
      <c r="AD148"/>
      <c r="AE148"/>
      <c r="AF148"/>
      <c r="AG148"/>
      <c r="AH148"/>
      <c r="AI148"/>
      <c r="AJ148"/>
      <c r="AK148"/>
    </row>
    <row r="149" spans="1:37" s="6" customFormat="1" x14ac:dyDescent="0.25">
      <c r="A149"/>
      <c r="B149"/>
      <c r="C149" s="97"/>
      <c r="D149" s="97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 s="7"/>
      <c r="AB149"/>
      <c r="AC149"/>
      <c r="AD149"/>
      <c r="AE149"/>
      <c r="AF149"/>
      <c r="AG149"/>
      <c r="AH149"/>
      <c r="AI149"/>
      <c r="AJ149"/>
      <c r="AK149"/>
    </row>
    <row r="150" spans="1:37" s="6" customFormat="1" x14ac:dyDescent="0.25">
      <c r="A150"/>
      <c r="B150"/>
      <c r="C150" s="97"/>
      <c r="D150" s="97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 s="7"/>
      <c r="AB150"/>
      <c r="AC150"/>
      <c r="AD150"/>
      <c r="AE150"/>
      <c r="AF150"/>
      <c r="AG150"/>
      <c r="AH150"/>
      <c r="AI150"/>
      <c r="AJ150"/>
      <c r="AK150"/>
    </row>
    <row r="151" spans="1:37" s="6" customFormat="1" x14ac:dyDescent="0.25">
      <c r="A151"/>
      <c r="B151"/>
      <c r="C151" s="97"/>
      <c r="D151" s="97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 s="7"/>
      <c r="AB151"/>
      <c r="AC151"/>
      <c r="AD151"/>
      <c r="AE151"/>
      <c r="AF151"/>
      <c r="AG151"/>
      <c r="AH151"/>
      <c r="AI151"/>
      <c r="AJ151"/>
      <c r="AK151"/>
    </row>
    <row r="152" spans="1:37" s="6" customFormat="1" x14ac:dyDescent="0.25">
      <c r="A152"/>
      <c r="B152"/>
      <c r="C152" s="97"/>
      <c r="D152" s="97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 s="7"/>
      <c r="AB152"/>
      <c r="AC152"/>
      <c r="AD152"/>
      <c r="AE152"/>
      <c r="AF152"/>
      <c r="AG152"/>
      <c r="AH152"/>
      <c r="AI152"/>
      <c r="AJ152"/>
      <c r="AK152"/>
    </row>
    <row r="153" spans="1:37" s="6" customFormat="1" x14ac:dyDescent="0.25">
      <c r="A153"/>
      <c r="B153"/>
      <c r="C153" s="97"/>
      <c r="D153" s="97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 s="7"/>
      <c r="AB153"/>
      <c r="AC153"/>
      <c r="AD153"/>
      <c r="AE153"/>
      <c r="AF153"/>
      <c r="AG153"/>
      <c r="AH153"/>
      <c r="AI153"/>
      <c r="AJ153"/>
      <c r="AK153"/>
    </row>
    <row r="154" spans="1:37" s="6" customFormat="1" x14ac:dyDescent="0.25">
      <c r="A154"/>
      <c r="B154"/>
      <c r="C154" s="97"/>
      <c r="D154" s="97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 s="7"/>
      <c r="AB154"/>
      <c r="AC154"/>
      <c r="AD154"/>
      <c r="AE154"/>
      <c r="AF154"/>
      <c r="AG154"/>
      <c r="AH154"/>
      <c r="AI154"/>
      <c r="AJ154"/>
      <c r="AK154"/>
    </row>
    <row r="155" spans="1:37" s="6" customFormat="1" x14ac:dyDescent="0.25">
      <c r="A155"/>
      <c r="B155"/>
      <c r="C155" s="97"/>
      <c r="D155" s="97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 s="7"/>
      <c r="AB155"/>
      <c r="AC155"/>
      <c r="AD155"/>
      <c r="AE155"/>
      <c r="AF155"/>
      <c r="AG155"/>
      <c r="AH155"/>
      <c r="AI155"/>
      <c r="AJ155"/>
      <c r="AK155"/>
    </row>
    <row r="156" spans="1:37" s="6" customFormat="1" x14ac:dyDescent="0.25">
      <c r="A156"/>
      <c r="B156"/>
      <c r="C156" s="97"/>
      <c r="D156" s="97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 s="7"/>
      <c r="AB156"/>
      <c r="AC156"/>
      <c r="AD156"/>
      <c r="AE156"/>
      <c r="AF156"/>
      <c r="AG156"/>
      <c r="AH156"/>
      <c r="AI156"/>
      <c r="AJ156"/>
      <c r="AK156"/>
    </row>
    <row r="157" spans="1:37" s="6" customFormat="1" x14ac:dyDescent="0.25">
      <c r="A157"/>
      <c r="B157"/>
      <c r="C157" s="97"/>
      <c r="D157" s="9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 s="7"/>
      <c r="AB157"/>
      <c r="AC157"/>
      <c r="AD157"/>
      <c r="AE157"/>
      <c r="AF157"/>
      <c r="AG157"/>
      <c r="AH157"/>
      <c r="AI157"/>
      <c r="AJ157"/>
      <c r="AK157"/>
    </row>
    <row r="158" spans="1:37" s="6" customFormat="1" x14ac:dyDescent="0.25">
      <c r="A158"/>
      <c r="B158"/>
      <c r="C158" s="97"/>
      <c r="D158" s="97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 s="7"/>
      <c r="AB158"/>
      <c r="AC158"/>
      <c r="AD158"/>
      <c r="AE158"/>
      <c r="AF158"/>
      <c r="AG158"/>
      <c r="AH158"/>
      <c r="AI158"/>
      <c r="AJ158"/>
      <c r="AK158"/>
    </row>
    <row r="159" spans="1:37" s="6" customFormat="1" x14ac:dyDescent="0.25">
      <c r="A159"/>
      <c r="B159"/>
      <c r="C159" s="97"/>
      <c r="D159" s="97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 s="7"/>
      <c r="AB159"/>
      <c r="AC159"/>
      <c r="AD159"/>
      <c r="AE159"/>
      <c r="AF159"/>
      <c r="AG159"/>
      <c r="AH159"/>
      <c r="AI159"/>
      <c r="AJ159"/>
      <c r="AK159"/>
    </row>
    <row r="160" spans="1:37" s="6" customFormat="1" x14ac:dyDescent="0.25">
      <c r="A160"/>
      <c r="B160"/>
      <c r="C160" s="97"/>
      <c r="D160" s="97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 s="7"/>
      <c r="AB160"/>
      <c r="AC160"/>
      <c r="AD160"/>
      <c r="AE160"/>
      <c r="AF160"/>
      <c r="AG160"/>
      <c r="AH160"/>
      <c r="AI160"/>
      <c r="AJ160"/>
      <c r="AK160"/>
    </row>
    <row r="161" spans="1:37" s="6" customFormat="1" x14ac:dyDescent="0.25">
      <c r="A161"/>
      <c r="B161"/>
      <c r="C161" s="97"/>
      <c r="D161" s="97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 s="7"/>
      <c r="AB161"/>
      <c r="AC161"/>
      <c r="AD161"/>
      <c r="AE161"/>
      <c r="AF161"/>
      <c r="AG161"/>
      <c r="AH161"/>
      <c r="AI161"/>
      <c r="AJ161"/>
      <c r="AK161"/>
    </row>
    <row r="162" spans="1:37" s="6" customFormat="1" x14ac:dyDescent="0.25">
      <c r="A162"/>
      <c r="B162"/>
      <c r="C162" s="97"/>
      <c r="D162" s="97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 s="7"/>
      <c r="AB162"/>
      <c r="AC162"/>
      <c r="AD162"/>
      <c r="AE162"/>
      <c r="AF162"/>
      <c r="AG162"/>
      <c r="AH162"/>
      <c r="AI162"/>
      <c r="AJ162"/>
      <c r="AK162"/>
    </row>
    <row r="163" spans="1:37" s="6" customFormat="1" x14ac:dyDescent="0.25">
      <c r="A163"/>
      <c r="B163"/>
      <c r="C163" s="97"/>
      <c r="D163" s="97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 s="7"/>
      <c r="AB163"/>
      <c r="AC163"/>
      <c r="AD163"/>
      <c r="AE163"/>
      <c r="AF163"/>
      <c r="AG163"/>
      <c r="AH163"/>
      <c r="AI163"/>
      <c r="AJ163"/>
      <c r="AK163"/>
    </row>
    <row r="164" spans="1:37" s="6" customFormat="1" x14ac:dyDescent="0.25">
      <c r="A164"/>
      <c r="B164"/>
      <c r="C164" s="97"/>
      <c r="D164" s="97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 s="7"/>
      <c r="AB164"/>
      <c r="AC164"/>
      <c r="AD164"/>
      <c r="AE164"/>
      <c r="AF164"/>
      <c r="AG164"/>
      <c r="AH164"/>
      <c r="AI164"/>
      <c r="AJ164"/>
      <c r="AK164"/>
    </row>
    <row r="165" spans="1:37" s="6" customFormat="1" x14ac:dyDescent="0.25">
      <c r="A165"/>
      <c r="B165"/>
      <c r="C165" s="97"/>
      <c r="D165" s="97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 s="7"/>
      <c r="AB165"/>
      <c r="AC165"/>
      <c r="AD165"/>
      <c r="AE165"/>
      <c r="AF165"/>
      <c r="AG165"/>
      <c r="AH165"/>
      <c r="AI165"/>
      <c r="AJ165"/>
      <c r="AK165"/>
    </row>
    <row r="166" spans="1:37" s="6" customFormat="1" x14ac:dyDescent="0.25">
      <c r="A166"/>
      <c r="B166"/>
      <c r="C166" s="97"/>
      <c r="D166" s="97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 s="7"/>
      <c r="AB166"/>
      <c r="AC166"/>
      <c r="AD166"/>
      <c r="AE166"/>
      <c r="AF166"/>
      <c r="AG166"/>
      <c r="AH166"/>
      <c r="AI166"/>
      <c r="AJ166"/>
      <c r="AK166"/>
    </row>
    <row r="167" spans="1:37" s="6" customFormat="1" x14ac:dyDescent="0.25">
      <c r="A167"/>
      <c r="B167"/>
      <c r="C167" s="97"/>
      <c r="D167" s="9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 s="7"/>
      <c r="AB167"/>
      <c r="AC167"/>
      <c r="AD167"/>
      <c r="AE167"/>
      <c r="AF167"/>
      <c r="AG167"/>
      <c r="AH167"/>
      <c r="AI167"/>
      <c r="AJ167"/>
      <c r="AK167"/>
    </row>
    <row r="168" spans="1:37" s="6" customFormat="1" x14ac:dyDescent="0.25">
      <c r="A168"/>
      <c r="B168"/>
      <c r="C168" s="97"/>
      <c r="D168" s="97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 s="7"/>
      <c r="AB168"/>
      <c r="AC168"/>
      <c r="AD168"/>
      <c r="AE168"/>
      <c r="AF168"/>
      <c r="AG168"/>
      <c r="AH168"/>
      <c r="AI168"/>
      <c r="AJ168"/>
      <c r="AK168"/>
    </row>
    <row r="169" spans="1:37" s="6" customFormat="1" x14ac:dyDescent="0.25">
      <c r="A169"/>
      <c r="B169"/>
      <c r="C169" s="97"/>
      <c r="D169" s="97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 s="7"/>
      <c r="AB169"/>
      <c r="AC169"/>
      <c r="AD169"/>
      <c r="AE169"/>
      <c r="AF169"/>
      <c r="AG169"/>
      <c r="AH169"/>
      <c r="AI169"/>
      <c r="AJ169"/>
      <c r="AK169"/>
    </row>
    <row r="170" spans="1:37" s="6" customFormat="1" x14ac:dyDescent="0.25">
      <c r="A170"/>
      <c r="B170"/>
      <c r="C170" s="97"/>
      <c r="D170" s="97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 s="7"/>
      <c r="AB170"/>
      <c r="AC170"/>
      <c r="AD170"/>
      <c r="AE170"/>
      <c r="AF170"/>
      <c r="AG170"/>
      <c r="AH170"/>
      <c r="AI170"/>
      <c r="AJ170"/>
      <c r="AK170"/>
    </row>
    <row r="171" spans="1:37" s="6" customFormat="1" x14ac:dyDescent="0.25">
      <c r="A171"/>
      <c r="B171"/>
      <c r="C171" s="97"/>
      <c r="D171" s="97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 s="7"/>
      <c r="AB171"/>
      <c r="AC171"/>
      <c r="AD171"/>
      <c r="AE171"/>
      <c r="AF171"/>
      <c r="AG171"/>
      <c r="AH171"/>
      <c r="AI171"/>
      <c r="AJ171"/>
      <c r="AK171"/>
    </row>
    <row r="172" spans="1:37" s="6" customFormat="1" x14ac:dyDescent="0.25">
      <c r="A172"/>
      <c r="B172"/>
      <c r="C172" s="97"/>
      <c r="D172" s="97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 s="7"/>
      <c r="AB172"/>
      <c r="AC172"/>
      <c r="AD172"/>
      <c r="AE172"/>
      <c r="AF172"/>
      <c r="AG172"/>
      <c r="AH172"/>
      <c r="AI172"/>
      <c r="AJ172"/>
      <c r="AK172"/>
    </row>
    <row r="173" spans="1:37" s="6" customFormat="1" x14ac:dyDescent="0.25">
      <c r="A173"/>
      <c r="B173"/>
      <c r="C173" s="97"/>
      <c r="D173" s="97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 s="7"/>
      <c r="AB173"/>
      <c r="AC173"/>
      <c r="AD173"/>
      <c r="AE173"/>
      <c r="AF173"/>
      <c r="AG173"/>
      <c r="AH173"/>
      <c r="AI173"/>
      <c r="AJ173"/>
      <c r="AK173"/>
    </row>
    <row r="174" spans="1:37" s="6" customFormat="1" x14ac:dyDescent="0.25">
      <c r="A174"/>
      <c r="B174"/>
      <c r="C174" s="97"/>
      <c r="D174" s="97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 s="7"/>
      <c r="AB174"/>
      <c r="AC174"/>
      <c r="AD174"/>
      <c r="AE174"/>
      <c r="AF174"/>
      <c r="AG174"/>
      <c r="AH174"/>
      <c r="AI174"/>
      <c r="AJ174"/>
      <c r="AK174"/>
    </row>
    <row r="175" spans="1:37" s="6" customFormat="1" x14ac:dyDescent="0.25">
      <c r="A175"/>
      <c r="B175"/>
      <c r="C175" s="97"/>
      <c r="D175" s="97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 s="7"/>
      <c r="AB175"/>
      <c r="AC175"/>
      <c r="AD175"/>
      <c r="AE175"/>
      <c r="AF175"/>
      <c r="AG175"/>
      <c r="AH175"/>
      <c r="AI175"/>
      <c r="AJ175"/>
      <c r="AK175"/>
    </row>
    <row r="176" spans="1:37" s="6" customFormat="1" x14ac:dyDescent="0.25">
      <c r="A176"/>
      <c r="B176"/>
      <c r="C176" s="97"/>
      <c r="D176" s="97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 s="7"/>
      <c r="AB176"/>
      <c r="AC176"/>
      <c r="AD176"/>
      <c r="AE176"/>
      <c r="AF176"/>
      <c r="AG176"/>
      <c r="AH176"/>
      <c r="AI176"/>
      <c r="AJ176"/>
      <c r="AK176"/>
    </row>
    <row r="177" spans="1:37" s="6" customFormat="1" x14ac:dyDescent="0.25">
      <c r="A177"/>
      <c r="B177"/>
      <c r="C177" s="97"/>
      <c r="D177" s="9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 s="7"/>
      <c r="AB177"/>
      <c r="AC177"/>
      <c r="AD177"/>
      <c r="AE177"/>
      <c r="AF177"/>
      <c r="AG177"/>
      <c r="AH177"/>
      <c r="AI177"/>
      <c r="AJ177"/>
      <c r="AK177"/>
    </row>
    <row r="178" spans="1:37" s="6" customFormat="1" x14ac:dyDescent="0.25">
      <c r="A178"/>
      <c r="B178"/>
      <c r="C178" s="97"/>
      <c r="D178" s="97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 s="7"/>
      <c r="AB178"/>
      <c r="AC178"/>
      <c r="AD178"/>
      <c r="AE178"/>
      <c r="AF178"/>
      <c r="AG178"/>
      <c r="AH178"/>
      <c r="AI178"/>
      <c r="AJ178"/>
      <c r="AK178"/>
    </row>
    <row r="179" spans="1:37" s="6" customFormat="1" x14ac:dyDescent="0.25">
      <c r="A179"/>
      <c r="B179"/>
      <c r="C179" s="97"/>
      <c r="D179" s="97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 s="7"/>
      <c r="AB179"/>
      <c r="AC179"/>
      <c r="AD179"/>
      <c r="AE179"/>
      <c r="AF179"/>
      <c r="AG179"/>
      <c r="AH179"/>
      <c r="AI179"/>
      <c r="AJ179"/>
      <c r="AK179"/>
    </row>
    <row r="180" spans="1:37" s="6" customFormat="1" x14ac:dyDescent="0.25">
      <c r="A180"/>
      <c r="B180"/>
      <c r="C180" s="97"/>
      <c r="D180" s="97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 s="7"/>
      <c r="AB180"/>
      <c r="AC180"/>
      <c r="AD180"/>
      <c r="AE180"/>
      <c r="AF180"/>
      <c r="AG180"/>
      <c r="AH180"/>
      <c r="AI180"/>
      <c r="AJ180"/>
      <c r="AK180"/>
    </row>
    <row r="181" spans="1:37" s="6" customFormat="1" x14ac:dyDescent="0.25">
      <c r="A181"/>
      <c r="B181"/>
      <c r="C181" s="97"/>
      <c r="D181" s="97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 s="7"/>
      <c r="AB181"/>
      <c r="AC181"/>
      <c r="AD181"/>
      <c r="AE181"/>
      <c r="AF181"/>
      <c r="AG181"/>
      <c r="AH181"/>
      <c r="AI181"/>
      <c r="AJ181"/>
      <c r="AK181"/>
    </row>
    <row r="182" spans="1:37" s="6" customFormat="1" x14ac:dyDescent="0.25">
      <c r="A182"/>
      <c r="B182"/>
      <c r="C182" s="97"/>
      <c r="D182" s="97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 s="7"/>
      <c r="AB182"/>
      <c r="AC182"/>
      <c r="AD182"/>
      <c r="AE182"/>
      <c r="AF182"/>
      <c r="AG182"/>
      <c r="AH182"/>
      <c r="AI182"/>
      <c r="AJ182"/>
      <c r="AK182"/>
    </row>
    <row r="183" spans="1:37" s="6" customFormat="1" x14ac:dyDescent="0.25">
      <c r="A183"/>
      <c r="B183"/>
      <c r="C183" s="97"/>
      <c r="D183" s="97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 s="7"/>
      <c r="AB183"/>
      <c r="AC183"/>
      <c r="AD183"/>
      <c r="AE183"/>
      <c r="AF183"/>
      <c r="AG183"/>
      <c r="AH183"/>
      <c r="AI183"/>
      <c r="AJ183"/>
      <c r="AK183"/>
    </row>
    <row r="184" spans="1:37" s="6" customFormat="1" x14ac:dyDescent="0.25">
      <c r="A184"/>
      <c r="B184"/>
      <c r="C184" s="97"/>
      <c r="D184" s="97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 s="7"/>
      <c r="AB184"/>
      <c r="AC184"/>
      <c r="AD184"/>
      <c r="AE184"/>
      <c r="AF184"/>
      <c r="AG184"/>
      <c r="AH184"/>
      <c r="AI184"/>
      <c r="AJ184"/>
      <c r="AK184"/>
    </row>
    <row r="185" spans="1:37" s="6" customFormat="1" x14ac:dyDescent="0.25">
      <c r="A185"/>
      <c r="B185"/>
      <c r="C185" s="97"/>
      <c r="D185" s="97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 s="7"/>
      <c r="AB185"/>
      <c r="AC185"/>
      <c r="AD185"/>
      <c r="AE185"/>
      <c r="AF185"/>
      <c r="AG185"/>
      <c r="AH185"/>
      <c r="AI185"/>
      <c r="AJ185"/>
      <c r="AK185"/>
    </row>
    <row r="186" spans="1:37" s="6" customFormat="1" x14ac:dyDescent="0.25">
      <c r="A186"/>
      <c r="B186"/>
      <c r="C186" s="97"/>
      <c r="D186" s="97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 s="7"/>
      <c r="AB186"/>
      <c r="AC186"/>
      <c r="AD186"/>
      <c r="AE186"/>
      <c r="AF186"/>
      <c r="AG186"/>
      <c r="AH186"/>
      <c r="AI186"/>
      <c r="AJ186"/>
      <c r="AK186"/>
    </row>
    <row r="187" spans="1:37" s="6" customFormat="1" x14ac:dyDescent="0.25">
      <c r="A187"/>
      <c r="B187"/>
      <c r="C187" s="97"/>
      <c r="D187" s="9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 s="7"/>
      <c r="AB187"/>
      <c r="AC187"/>
      <c r="AD187"/>
      <c r="AE187"/>
      <c r="AF187"/>
      <c r="AG187"/>
      <c r="AH187"/>
      <c r="AI187"/>
      <c r="AJ187"/>
      <c r="AK187"/>
    </row>
    <row r="188" spans="1:37" s="6" customFormat="1" x14ac:dyDescent="0.25">
      <c r="A188"/>
      <c r="B188"/>
      <c r="C188" s="97"/>
      <c r="D188" s="97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 s="7"/>
      <c r="AB188"/>
      <c r="AC188"/>
      <c r="AD188"/>
      <c r="AE188"/>
      <c r="AF188"/>
      <c r="AG188"/>
      <c r="AH188"/>
      <c r="AI188"/>
      <c r="AJ188"/>
      <c r="AK188"/>
    </row>
    <row r="189" spans="1:37" s="6" customFormat="1" x14ac:dyDescent="0.25">
      <c r="A189"/>
      <c r="B189"/>
      <c r="C189" s="97"/>
      <c r="D189" s="97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 s="7"/>
      <c r="AB189"/>
      <c r="AC189"/>
      <c r="AD189"/>
      <c r="AE189"/>
      <c r="AF189"/>
      <c r="AG189"/>
      <c r="AH189"/>
      <c r="AI189"/>
      <c r="AJ189"/>
      <c r="AK189"/>
    </row>
    <row r="190" spans="1:37" s="6" customFormat="1" x14ac:dyDescent="0.25">
      <c r="A190"/>
      <c r="B190"/>
      <c r="C190" s="97"/>
      <c r="D190" s="97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 s="7"/>
      <c r="AB190"/>
      <c r="AC190"/>
      <c r="AD190"/>
      <c r="AE190"/>
      <c r="AF190"/>
      <c r="AG190"/>
      <c r="AH190"/>
      <c r="AI190"/>
      <c r="AJ190"/>
      <c r="AK190"/>
    </row>
    <row r="191" spans="1:37" s="6" customFormat="1" x14ac:dyDescent="0.25">
      <c r="A191"/>
      <c r="B191"/>
      <c r="C191" s="97"/>
      <c r="D191" s="97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 s="7"/>
      <c r="AB191"/>
      <c r="AC191"/>
      <c r="AD191"/>
      <c r="AE191"/>
      <c r="AF191"/>
      <c r="AG191"/>
      <c r="AH191"/>
      <c r="AI191"/>
      <c r="AJ191"/>
      <c r="AK191"/>
    </row>
    <row r="192" spans="1:37" s="6" customFormat="1" x14ac:dyDescent="0.25">
      <c r="A192"/>
      <c r="B192"/>
      <c r="C192" s="97"/>
      <c r="D192" s="97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 s="7"/>
      <c r="AB192"/>
      <c r="AC192"/>
      <c r="AD192"/>
      <c r="AE192"/>
      <c r="AF192"/>
      <c r="AG192"/>
      <c r="AH192"/>
      <c r="AI192"/>
      <c r="AJ192"/>
      <c r="AK192"/>
    </row>
    <row r="193" spans="1:37" s="6" customFormat="1" x14ac:dyDescent="0.25">
      <c r="A193"/>
      <c r="B193"/>
      <c r="C193" s="97"/>
      <c r="D193" s="97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 s="7"/>
      <c r="AB193"/>
      <c r="AC193"/>
      <c r="AD193"/>
      <c r="AE193"/>
      <c r="AF193"/>
      <c r="AG193"/>
      <c r="AH193"/>
      <c r="AI193"/>
      <c r="AJ193"/>
      <c r="AK193"/>
    </row>
    <row r="194" spans="1:37" s="6" customFormat="1" x14ac:dyDescent="0.25">
      <c r="A194"/>
      <c r="B194"/>
      <c r="C194" s="97"/>
      <c r="D194" s="97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 s="7"/>
      <c r="AB194"/>
      <c r="AC194"/>
      <c r="AD194"/>
      <c r="AE194"/>
      <c r="AF194"/>
      <c r="AG194"/>
      <c r="AH194"/>
      <c r="AI194"/>
      <c r="AJ194"/>
      <c r="AK194"/>
    </row>
    <row r="195" spans="1:37" s="6" customFormat="1" x14ac:dyDescent="0.25">
      <c r="A195"/>
      <c r="B195"/>
      <c r="C195" s="97"/>
      <c r="D195" s="97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 s="7"/>
      <c r="AB195"/>
      <c r="AC195"/>
      <c r="AD195"/>
      <c r="AE195"/>
      <c r="AF195"/>
      <c r="AG195"/>
      <c r="AH195"/>
      <c r="AI195"/>
      <c r="AJ195"/>
      <c r="AK195"/>
    </row>
    <row r="196" spans="1:37" s="6" customFormat="1" x14ac:dyDescent="0.25">
      <c r="A196"/>
      <c r="B196"/>
      <c r="C196" s="97"/>
      <c r="D196" s="97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 s="7"/>
      <c r="AB196"/>
      <c r="AC196"/>
      <c r="AD196"/>
      <c r="AE196"/>
      <c r="AF196"/>
      <c r="AG196"/>
      <c r="AH196"/>
      <c r="AI196"/>
      <c r="AJ196"/>
      <c r="AK196"/>
    </row>
    <row r="197" spans="1:37" s="6" customFormat="1" x14ac:dyDescent="0.25">
      <c r="A197"/>
      <c r="B197"/>
      <c r="C197" s="97"/>
      <c r="D197" s="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 s="7"/>
      <c r="AB197"/>
      <c r="AC197"/>
      <c r="AD197"/>
      <c r="AE197"/>
      <c r="AF197"/>
      <c r="AG197"/>
      <c r="AH197"/>
      <c r="AI197"/>
      <c r="AJ197"/>
      <c r="AK197"/>
    </row>
    <row r="198" spans="1:37" s="6" customFormat="1" x14ac:dyDescent="0.25">
      <c r="A198"/>
      <c r="B198"/>
      <c r="C198" s="97"/>
      <c r="D198" s="97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 s="7"/>
      <c r="AB198"/>
      <c r="AC198"/>
      <c r="AD198"/>
      <c r="AE198"/>
      <c r="AF198"/>
      <c r="AG198"/>
      <c r="AH198"/>
      <c r="AI198"/>
      <c r="AJ198"/>
      <c r="AK198"/>
    </row>
    <row r="199" spans="1:37" s="6" customFormat="1" x14ac:dyDescent="0.25">
      <c r="A199"/>
      <c r="B199"/>
      <c r="C199" s="97"/>
      <c r="D199" s="97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 s="7"/>
      <c r="AB199"/>
      <c r="AC199"/>
      <c r="AD199"/>
      <c r="AE199"/>
      <c r="AF199"/>
      <c r="AG199"/>
      <c r="AH199"/>
      <c r="AI199"/>
      <c r="AJ199"/>
      <c r="AK199"/>
    </row>
    <row r="200" spans="1:37" s="6" customFormat="1" x14ac:dyDescent="0.25">
      <c r="A200"/>
      <c r="B200"/>
      <c r="C200" s="97"/>
      <c r="D200" s="97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 s="7"/>
      <c r="AB200"/>
      <c r="AC200"/>
      <c r="AD200"/>
      <c r="AE200"/>
      <c r="AF200"/>
      <c r="AG200"/>
      <c r="AH200"/>
      <c r="AI200"/>
      <c r="AJ200"/>
      <c r="AK200"/>
    </row>
    <row r="201" spans="1:37" s="6" customFormat="1" x14ac:dyDescent="0.25">
      <c r="A201"/>
      <c r="B201"/>
      <c r="C201" s="97"/>
      <c r="D201" s="97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 s="7"/>
      <c r="AB201"/>
      <c r="AC201"/>
      <c r="AD201"/>
      <c r="AE201"/>
      <c r="AF201"/>
      <c r="AG201"/>
      <c r="AH201"/>
      <c r="AI201"/>
      <c r="AJ201"/>
      <c r="AK201"/>
    </row>
    <row r="202" spans="1:37" s="6" customFormat="1" x14ac:dyDescent="0.25">
      <c r="A202"/>
      <c r="B202"/>
      <c r="C202" s="97"/>
      <c r="D202" s="97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 s="7"/>
      <c r="AB202"/>
      <c r="AC202"/>
      <c r="AD202"/>
      <c r="AE202"/>
      <c r="AF202"/>
      <c r="AG202"/>
      <c r="AH202"/>
      <c r="AI202"/>
      <c r="AJ202"/>
      <c r="AK202"/>
    </row>
    <row r="203" spans="1:37" s="6" customFormat="1" x14ac:dyDescent="0.25">
      <c r="A203"/>
      <c r="B203"/>
      <c r="C203" s="97"/>
      <c r="D203" s="97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 s="7"/>
      <c r="AB203"/>
      <c r="AC203"/>
      <c r="AD203"/>
      <c r="AE203"/>
      <c r="AF203"/>
      <c r="AG203"/>
      <c r="AH203"/>
      <c r="AI203"/>
      <c r="AJ203"/>
      <c r="AK203"/>
    </row>
    <row r="204" spans="1:37" s="6" customFormat="1" x14ac:dyDescent="0.25">
      <c r="A204"/>
      <c r="B204"/>
      <c r="C204" s="97"/>
      <c r="D204" s="97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 s="7"/>
      <c r="AB204"/>
      <c r="AC204"/>
      <c r="AD204"/>
      <c r="AE204"/>
      <c r="AF204"/>
      <c r="AG204"/>
      <c r="AH204"/>
      <c r="AI204"/>
      <c r="AJ204"/>
      <c r="AK204"/>
    </row>
    <row r="205" spans="1:37" s="6" customFormat="1" x14ac:dyDescent="0.25">
      <c r="A205"/>
      <c r="B205"/>
      <c r="C205" s="97"/>
      <c r="D205" s="97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 s="7"/>
      <c r="AB205"/>
      <c r="AC205"/>
      <c r="AD205"/>
      <c r="AE205"/>
      <c r="AF205"/>
      <c r="AG205"/>
      <c r="AH205"/>
      <c r="AI205"/>
      <c r="AJ205"/>
      <c r="AK205"/>
    </row>
    <row r="206" spans="1:37" s="6" customFormat="1" x14ac:dyDescent="0.25">
      <c r="A206"/>
      <c r="B206"/>
      <c r="C206" s="97"/>
      <c r="D206" s="97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 s="7"/>
      <c r="AB206"/>
      <c r="AC206"/>
      <c r="AD206"/>
      <c r="AE206"/>
      <c r="AF206"/>
      <c r="AG206"/>
      <c r="AH206"/>
      <c r="AI206"/>
      <c r="AJ206"/>
      <c r="AK206"/>
    </row>
    <row r="207" spans="1:37" s="6" customFormat="1" x14ac:dyDescent="0.25">
      <c r="A207"/>
      <c r="B207"/>
      <c r="C207" s="97"/>
      <c r="D207" s="9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 s="7"/>
      <c r="AB207"/>
      <c r="AC207"/>
      <c r="AD207"/>
      <c r="AE207"/>
      <c r="AF207"/>
      <c r="AG207"/>
      <c r="AH207"/>
      <c r="AI207"/>
      <c r="AJ207"/>
      <c r="AK207"/>
    </row>
    <row r="208" spans="1:37" s="6" customFormat="1" x14ac:dyDescent="0.25">
      <c r="A208"/>
      <c r="B208"/>
      <c r="C208" s="97"/>
      <c r="D208" s="97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 s="7"/>
      <c r="AB208"/>
      <c r="AC208"/>
      <c r="AD208"/>
      <c r="AE208"/>
      <c r="AF208"/>
      <c r="AG208"/>
      <c r="AH208"/>
      <c r="AI208"/>
      <c r="AJ208"/>
      <c r="AK208"/>
    </row>
    <row r="209" spans="1:37" s="6" customFormat="1" x14ac:dyDescent="0.25">
      <c r="A209"/>
      <c r="B209"/>
      <c r="C209" s="97"/>
      <c r="D209" s="97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 s="7"/>
      <c r="AB209"/>
      <c r="AC209"/>
      <c r="AD209"/>
      <c r="AE209"/>
      <c r="AF209"/>
      <c r="AG209"/>
      <c r="AH209"/>
      <c r="AI209"/>
      <c r="AJ209"/>
      <c r="AK209"/>
    </row>
    <row r="210" spans="1:37" s="6" customFormat="1" x14ac:dyDescent="0.25">
      <c r="A210"/>
      <c r="B210"/>
      <c r="C210" s="97"/>
      <c r="D210" s="97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 s="7"/>
      <c r="AB210"/>
      <c r="AC210"/>
      <c r="AD210"/>
      <c r="AE210"/>
      <c r="AF210"/>
      <c r="AG210"/>
      <c r="AH210"/>
      <c r="AI210"/>
      <c r="AJ210"/>
      <c r="AK210"/>
    </row>
    <row r="211" spans="1:37" s="6" customFormat="1" x14ac:dyDescent="0.25">
      <c r="A211"/>
      <c r="B211"/>
      <c r="C211" s="97"/>
      <c r="D211" s="97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 s="7"/>
      <c r="AB211"/>
      <c r="AC211"/>
      <c r="AD211"/>
      <c r="AE211"/>
      <c r="AF211"/>
      <c r="AG211"/>
      <c r="AH211"/>
      <c r="AI211"/>
      <c r="AJ211"/>
      <c r="AK211"/>
    </row>
    <row r="212" spans="1:37" s="6" customFormat="1" x14ac:dyDescent="0.25">
      <c r="A212"/>
      <c r="B212"/>
      <c r="C212" s="97"/>
      <c r="D212" s="97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 s="7"/>
      <c r="AB212"/>
      <c r="AC212"/>
      <c r="AD212"/>
      <c r="AE212"/>
      <c r="AF212"/>
      <c r="AG212"/>
      <c r="AH212"/>
      <c r="AI212"/>
      <c r="AJ212"/>
      <c r="AK212"/>
    </row>
    <row r="213" spans="1:37" s="6" customFormat="1" x14ac:dyDescent="0.25">
      <c r="A213"/>
      <c r="B213"/>
      <c r="C213" s="97"/>
      <c r="D213" s="97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 s="7"/>
      <c r="AB213"/>
      <c r="AC213"/>
      <c r="AD213"/>
      <c r="AE213"/>
      <c r="AF213"/>
      <c r="AG213"/>
      <c r="AH213"/>
      <c r="AI213"/>
      <c r="AJ213"/>
      <c r="AK213"/>
    </row>
    <row r="214" spans="1:37" s="6" customFormat="1" x14ac:dyDescent="0.25">
      <c r="A214"/>
      <c r="B214"/>
      <c r="C214" s="97"/>
      <c r="D214" s="97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 s="7"/>
      <c r="AB214"/>
      <c r="AC214"/>
      <c r="AD214"/>
      <c r="AE214"/>
      <c r="AF214"/>
      <c r="AG214"/>
      <c r="AH214"/>
      <c r="AI214"/>
      <c r="AJ214"/>
      <c r="AK214"/>
    </row>
    <row r="215" spans="1:37" s="6" customFormat="1" x14ac:dyDescent="0.25">
      <c r="A215"/>
      <c r="B215"/>
      <c r="C215" s="97"/>
      <c r="D215" s="97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 s="7"/>
      <c r="AB215"/>
      <c r="AC215"/>
      <c r="AD215"/>
      <c r="AE215"/>
      <c r="AF215"/>
      <c r="AG215"/>
      <c r="AH215"/>
      <c r="AI215"/>
      <c r="AJ215"/>
      <c r="AK215"/>
    </row>
    <row r="216" spans="1:37" s="6" customFormat="1" x14ac:dyDescent="0.25">
      <c r="A216"/>
      <c r="B216"/>
      <c r="C216" s="97"/>
      <c r="D216" s="97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 s="7"/>
      <c r="AB216"/>
      <c r="AC216"/>
      <c r="AD216"/>
      <c r="AE216"/>
      <c r="AF216"/>
      <c r="AG216"/>
      <c r="AH216"/>
      <c r="AI216"/>
      <c r="AJ216"/>
      <c r="AK216"/>
    </row>
    <row r="217" spans="1:37" s="6" customFormat="1" x14ac:dyDescent="0.25">
      <c r="A217"/>
      <c r="B217"/>
      <c r="C217" s="97"/>
      <c r="D217" s="9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 s="7"/>
      <c r="AB217"/>
      <c r="AC217"/>
      <c r="AD217"/>
      <c r="AE217"/>
      <c r="AF217"/>
      <c r="AG217"/>
      <c r="AH217"/>
      <c r="AI217"/>
      <c r="AJ217"/>
      <c r="AK217"/>
    </row>
    <row r="218" spans="1:37" s="6" customFormat="1" x14ac:dyDescent="0.25">
      <c r="A218"/>
      <c r="B218"/>
      <c r="C218" s="97"/>
      <c r="D218" s="97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 s="7"/>
      <c r="AB218"/>
      <c r="AC218"/>
      <c r="AD218"/>
      <c r="AE218"/>
      <c r="AF218"/>
      <c r="AG218"/>
      <c r="AH218"/>
      <c r="AI218"/>
      <c r="AJ218"/>
      <c r="AK218"/>
    </row>
    <row r="219" spans="1:37" s="6" customFormat="1" x14ac:dyDescent="0.25">
      <c r="A219"/>
      <c r="B219"/>
      <c r="C219" s="97"/>
      <c r="D219" s="97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 s="7"/>
      <c r="AB219"/>
      <c r="AC219"/>
      <c r="AD219"/>
      <c r="AE219"/>
      <c r="AF219"/>
      <c r="AG219"/>
      <c r="AH219"/>
      <c r="AI219"/>
      <c r="AJ219"/>
      <c r="AK219"/>
    </row>
    <row r="220" spans="1:37" s="6" customFormat="1" x14ac:dyDescent="0.25">
      <c r="A220"/>
      <c r="B220"/>
      <c r="C220" s="97"/>
      <c r="D220" s="97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 s="7"/>
      <c r="AB220"/>
      <c r="AC220"/>
      <c r="AD220"/>
      <c r="AE220"/>
      <c r="AF220"/>
      <c r="AG220"/>
      <c r="AH220"/>
      <c r="AI220"/>
      <c r="AJ220"/>
      <c r="AK220"/>
    </row>
  </sheetData>
  <mergeCells count="1">
    <mergeCell ref="AE1:A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BA60E-D3A8-4308-8F8B-A5A4C90618CB}">
  <dimension ref="A1:AJ220"/>
  <sheetViews>
    <sheetView zoomScale="85" zoomScaleNormal="85" workbookViewId="0">
      <pane xSplit="1" topLeftCell="B1" activePane="topRight" state="frozen"/>
      <selection pane="topRight" activeCell="A9" sqref="A9:A1048576"/>
    </sheetView>
  </sheetViews>
  <sheetFormatPr defaultRowHeight="15.75" x14ac:dyDescent="0.25"/>
  <cols>
    <col min="1" max="1" width="27.5" style="5" customWidth="1"/>
    <col min="2" max="2" width="17.75" style="16" customWidth="1"/>
    <col min="3" max="3" width="17.5" style="4" customWidth="1"/>
    <col min="4" max="4" width="17.5" style="90" customWidth="1"/>
    <col min="5" max="5" width="17.5" style="75" customWidth="1"/>
    <col min="6" max="6" width="17.5" style="4" customWidth="1"/>
    <col min="7" max="7" width="13.375" style="9" customWidth="1"/>
    <col min="8" max="8" width="11.375" style="3" customWidth="1"/>
    <col min="9" max="9" width="18" style="1" customWidth="1"/>
    <col min="10" max="10" width="19.625" style="1" customWidth="1"/>
    <col min="11" max="11" width="17" style="11" customWidth="1"/>
    <col min="12" max="12" width="55.125" customWidth="1"/>
    <col min="13" max="13" width="14.625" style="4" customWidth="1"/>
    <col min="14" max="14" width="11.375" style="2" customWidth="1"/>
    <col min="15" max="15" width="8.625" style="2" customWidth="1"/>
    <col min="16" max="16" width="11.625" style="12" customWidth="1"/>
    <col min="17" max="17" width="18.875" style="12" customWidth="1"/>
    <col min="18" max="18" width="16.25" style="12" customWidth="1"/>
    <col min="19" max="19" width="22.25" style="12" customWidth="1"/>
    <col min="20" max="20" width="10.875" style="12" customWidth="1"/>
    <col min="21" max="21" width="15.375" style="12" customWidth="1"/>
    <col min="22" max="22" width="14.5" style="75" customWidth="1"/>
    <col min="23" max="23" width="16.25" style="75" customWidth="1"/>
    <col min="24" max="24" width="15.25" style="12" customWidth="1"/>
    <col min="25" max="25" width="13.875" style="9" customWidth="1"/>
    <col min="26" max="26" width="13.875" style="3" customWidth="1"/>
    <col min="27" max="27" width="19.375" style="66" customWidth="1"/>
    <col min="28" max="28" width="21" style="66" customWidth="1"/>
    <col min="29" max="29" width="13" style="79" customWidth="1"/>
    <col min="30" max="30" width="13.5" style="80" customWidth="1"/>
    <col min="31" max="31" width="13.75" style="49" customWidth="1"/>
    <col min="32" max="33" width="13.75" style="1" customWidth="1"/>
    <col min="34" max="34" width="13.75" style="10" customWidth="1"/>
    <col min="35" max="35" width="9" style="50"/>
    <col min="36" max="36" width="9" style="12"/>
  </cols>
  <sheetData>
    <row r="1" spans="1:36" s="28" customFormat="1" ht="48" customHeight="1" x14ac:dyDescent="0.25">
      <c r="A1" s="26" t="s">
        <v>6968</v>
      </c>
      <c r="B1" s="27"/>
      <c r="G1" s="27" t="s">
        <v>441</v>
      </c>
      <c r="H1" s="30" t="s">
        <v>3</v>
      </c>
      <c r="I1" s="31" t="s">
        <v>4</v>
      </c>
      <c r="J1" s="26" t="s">
        <v>5</v>
      </c>
      <c r="K1" s="27"/>
      <c r="L1" s="30"/>
      <c r="M1" s="30"/>
      <c r="N1" s="28" t="s">
        <v>10</v>
      </c>
      <c r="O1" s="28" t="s">
        <v>11</v>
      </c>
      <c r="P1" s="29" t="s">
        <v>6</v>
      </c>
      <c r="Q1" s="32"/>
      <c r="S1" s="30" t="s">
        <v>12</v>
      </c>
      <c r="T1" s="26" t="s">
        <v>403</v>
      </c>
      <c r="U1" s="27"/>
      <c r="W1" s="30"/>
      <c r="X1" s="29"/>
      <c r="Y1" s="27"/>
      <c r="Z1" s="30"/>
      <c r="AA1" s="30"/>
      <c r="AB1" s="30"/>
      <c r="AC1" s="30"/>
      <c r="AD1" s="26"/>
      <c r="AE1" s="87" t="s">
        <v>6967</v>
      </c>
      <c r="AF1" s="88"/>
      <c r="AG1" s="88"/>
      <c r="AH1" s="89"/>
      <c r="AI1" s="33"/>
      <c r="AJ1" s="32"/>
    </row>
    <row r="2" spans="1:36" s="39" customFormat="1" ht="18.75" customHeight="1" x14ac:dyDescent="0.25">
      <c r="A2" s="8" t="s">
        <v>6964</v>
      </c>
      <c r="B2" s="44"/>
      <c r="G2" s="44">
        <v>0.15</v>
      </c>
      <c r="H2" s="39">
        <v>0.1</v>
      </c>
      <c r="I2" s="39">
        <v>0.2</v>
      </c>
      <c r="J2" s="40">
        <v>0.25</v>
      </c>
      <c r="K2" s="44"/>
      <c r="N2" s="36">
        <v>0.05</v>
      </c>
      <c r="O2" s="36">
        <v>0.1</v>
      </c>
      <c r="P2" s="34">
        <v>0.1</v>
      </c>
      <c r="Q2" s="44"/>
      <c r="S2" s="39">
        <v>0.05</v>
      </c>
      <c r="T2" s="40">
        <v>0</v>
      </c>
      <c r="U2" s="44"/>
      <c r="X2" s="40"/>
      <c r="Y2" s="44"/>
      <c r="AD2" s="40"/>
      <c r="AE2" s="51" t="s">
        <v>6964</v>
      </c>
      <c r="AF2" s="25" t="s">
        <v>6965</v>
      </c>
      <c r="AG2" s="25" t="s">
        <v>6969</v>
      </c>
      <c r="AH2" s="52" t="s">
        <v>6966</v>
      </c>
      <c r="AI2" s="45"/>
      <c r="AJ2" s="44"/>
    </row>
    <row r="3" spans="1:36" s="39" customFormat="1" ht="18.75" customHeight="1" x14ac:dyDescent="0.25">
      <c r="A3" s="8" t="s">
        <v>6965</v>
      </c>
      <c r="B3" s="44"/>
      <c r="G3" s="44">
        <v>0.2</v>
      </c>
      <c r="H3" s="39">
        <v>0.2</v>
      </c>
      <c r="I3" s="39">
        <v>0.1</v>
      </c>
      <c r="J3" s="40">
        <v>0.1</v>
      </c>
      <c r="K3" s="44"/>
      <c r="N3" s="36">
        <v>0.1</v>
      </c>
      <c r="O3" s="36">
        <v>0.15</v>
      </c>
      <c r="P3" s="34">
        <v>0.05</v>
      </c>
      <c r="Q3" s="44"/>
      <c r="S3" s="39">
        <v>0.05</v>
      </c>
      <c r="T3" s="40">
        <v>0.05</v>
      </c>
      <c r="U3" s="44"/>
      <c r="X3" s="40"/>
      <c r="Y3" s="44"/>
      <c r="AD3" s="40"/>
      <c r="AE3" s="37">
        <v>3</v>
      </c>
      <c r="AF3" s="38">
        <v>5</v>
      </c>
      <c r="AG3" s="38">
        <v>2</v>
      </c>
      <c r="AH3" s="41">
        <v>3</v>
      </c>
      <c r="AI3" s="45"/>
      <c r="AJ3" s="44"/>
    </row>
    <row r="4" spans="1:36" s="39" customFormat="1" ht="18.75" customHeight="1" x14ac:dyDescent="0.25">
      <c r="A4" s="8" t="s">
        <v>6969</v>
      </c>
      <c r="B4" s="44"/>
      <c r="G4" s="44">
        <v>0.25</v>
      </c>
      <c r="H4" s="39">
        <v>0.25</v>
      </c>
      <c r="I4" s="39">
        <v>0.05</v>
      </c>
      <c r="J4" s="40">
        <v>0.05</v>
      </c>
      <c r="K4" s="44"/>
      <c r="N4" s="36">
        <v>0.1</v>
      </c>
      <c r="O4" s="36">
        <v>0.15</v>
      </c>
      <c r="P4" s="34">
        <v>0.05</v>
      </c>
      <c r="Q4" s="44"/>
      <c r="S4" s="39">
        <v>0.05</v>
      </c>
      <c r="T4" s="40">
        <v>0.05</v>
      </c>
      <c r="U4" s="44"/>
      <c r="X4" s="40"/>
      <c r="Y4" s="44"/>
      <c r="AD4" s="40"/>
      <c r="AE4" s="44"/>
      <c r="AH4" s="40"/>
      <c r="AI4" s="45"/>
      <c r="AJ4" s="44"/>
    </row>
    <row r="5" spans="1:36" s="39" customFormat="1" ht="18.75" customHeight="1" x14ac:dyDescent="0.25">
      <c r="A5" s="8" t="s">
        <v>6966</v>
      </c>
      <c r="B5" s="44"/>
      <c r="G5" s="44">
        <v>0.2</v>
      </c>
      <c r="H5" s="39">
        <v>0.2</v>
      </c>
      <c r="I5" s="39">
        <v>0.1</v>
      </c>
      <c r="J5" s="40">
        <v>0.1</v>
      </c>
      <c r="K5" s="44"/>
      <c r="N5" s="36">
        <v>0.1</v>
      </c>
      <c r="O5" s="36">
        <v>0.15</v>
      </c>
      <c r="P5" s="34">
        <v>0.05</v>
      </c>
      <c r="Q5" s="44"/>
      <c r="S5" s="39">
        <v>0.05</v>
      </c>
      <c r="T5" s="40">
        <v>0.05</v>
      </c>
      <c r="U5" s="44"/>
      <c r="X5" s="40"/>
      <c r="Y5" s="44"/>
      <c r="AD5" s="40"/>
      <c r="AE5" s="44"/>
      <c r="AH5" s="40"/>
      <c r="AI5" s="45"/>
      <c r="AJ5" s="44"/>
    </row>
    <row r="6" spans="1:36" s="36" customFormat="1" ht="18.75" customHeight="1" x14ac:dyDescent="0.25">
      <c r="A6" s="8"/>
      <c r="B6" s="35"/>
      <c r="G6" s="37"/>
      <c r="H6" s="38"/>
      <c r="I6" s="39"/>
      <c r="J6" s="40"/>
      <c r="K6" s="35"/>
      <c r="P6" s="34"/>
      <c r="Q6" s="35"/>
      <c r="R6" s="38"/>
      <c r="S6" s="38"/>
      <c r="T6" s="41"/>
      <c r="U6" s="37"/>
      <c r="V6" s="38"/>
      <c r="W6" s="38"/>
      <c r="X6" s="41"/>
      <c r="Y6" s="37"/>
      <c r="Z6" s="38"/>
      <c r="AD6" s="34"/>
      <c r="AE6" s="35"/>
      <c r="AH6" s="34"/>
      <c r="AI6" s="42"/>
      <c r="AJ6" s="35"/>
    </row>
    <row r="7" spans="1:36" s="39" customFormat="1" ht="18.75" customHeight="1" x14ac:dyDescent="0.25">
      <c r="A7" s="8" t="s">
        <v>6970</v>
      </c>
      <c r="B7" s="44"/>
      <c r="G7" s="44">
        <v>0.9</v>
      </c>
      <c r="H7" s="39">
        <v>0.85</v>
      </c>
      <c r="I7" s="39">
        <v>1</v>
      </c>
      <c r="J7" s="40">
        <v>1</v>
      </c>
      <c r="K7" s="44"/>
      <c r="N7" s="36">
        <v>0.8</v>
      </c>
      <c r="O7" s="36">
        <v>0.8</v>
      </c>
      <c r="P7" s="34">
        <v>-0.5</v>
      </c>
      <c r="Q7" s="44"/>
      <c r="S7" s="39">
        <v>0.7</v>
      </c>
      <c r="T7" s="40">
        <v>1</v>
      </c>
      <c r="U7" s="44"/>
      <c r="X7" s="40"/>
      <c r="Y7" s="44"/>
      <c r="AD7" s="40"/>
      <c r="AE7" s="44"/>
      <c r="AH7" s="40"/>
      <c r="AI7" s="45"/>
      <c r="AJ7" s="44"/>
    </row>
    <row r="8" spans="1:36" s="28" customFormat="1" ht="48" customHeight="1" x14ac:dyDescent="0.25">
      <c r="A8" s="26" t="s">
        <v>13</v>
      </c>
      <c r="B8" s="27" t="s">
        <v>0</v>
      </c>
      <c r="C8" s="28" t="s">
        <v>2270</v>
      </c>
      <c r="D8" s="28" t="s">
        <v>8860</v>
      </c>
      <c r="E8" s="28" t="s">
        <v>425</v>
      </c>
      <c r="F8" s="28" t="s">
        <v>426</v>
      </c>
      <c r="G8" s="27" t="s">
        <v>441</v>
      </c>
      <c r="H8" s="30" t="s">
        <v>3</v>
      </c>
      <c r="I8" s="31" t="s">
        <v>4</v>
      </c>
      <c r="J8" s="26" t="s">
        <v>5</v>
      </c>
      <c r="K8" s="27" t="s">
        <v>7</v>
      </c>
      <c r="L8" s="30" t="s">
        <v>8</v>
      </c>
      <c r="M8" s="30" t="s">
        <v>9</v>
      </c>
      <c r="N8" s="28" t="s">
        <v>10</v>
      </c>
      <c r="O8" s="28" t="s">
        <v>11</v>
      </c>
      <c r="P8" s="29" t="s">
        <v>6</v>
      </c>
      <c r="Q8" s="32" t="s">
        <v>4322</v>
      </c>
      <c r="R8" s="28" t="s">
        <v>405</v>
      </c>
      <c r="S8" s="30" t="s">
        <v>12</v>
      </c>
      <c r="T8" s="26" t="s">
        <v>403</v>
      </c>
      <c r="U8" s="27" t="s">
        <v>415</v>
      </c>
      <c r="V8" s="28" t="s">
        <v>416</v>
      </c>
      <c r="W8" s="30" t="s">
        <v>420</v>
      </c>
      <c r="X8" s="29" t="s">
        <v>417</v>
      </c>
      <c r="Y8" s="27" t="s">
        <v>1</v>
      </c>
      <c r="Z8" s="30" t="s">
        <v>2</v>
      </c>
      <c r="AA8" s="30" t="s">
        <v>414</v>
      </c>
      <c r="AB8" s="30" t="s">
        <v>2271</v>
      </c>
      <c r="AC8" s="30" t="s">
        <v>8803</v>
      </c>
      <c r="AD8" s="26" t="s">
        <v>8804</v>
      </c>
      <c r="AE8" s="32" t="s">
        <v>421</v>
      </c>
      <c r="AF8" s="28" t="s">
        <v>422</v>
      </c>
      <c r="AG8" s="28" t="s">
        <v>8794</v>
      </c>
      <c r="AH8" s="29" t="s">
        <v>423</v>
      </c>
      <c r="AI8" s="33" t="s">
        <v>440</v>
      </c>
      <c r="AJ8" s="32"/>
    </row>
    <row r="9" spans="1:36" s="84" customFormat="1" x14ac:dyDescent="0.25">
      <c r="A9" s="5" t="s">
        <v>346</v>
      </c>
      <c r="B9" s="16" t="s">
        <v>347</v>
      </c>
      <c r="C9" s="4" t="s">
        <v>427</v>
      </c>
      <c r="D9" s="90" t="s">
        <v>9077</v>
      </c>
      <c r="E9" s="75" t="s">
        <v>429</v>
      </c>
      <c r="F9" s="4" t="s">
        <v>7783</v>
      </c>
      <c r="G9" s="9">
        <v>4</v>
      </c>
      <c r="H9" s="3">
        <v>8</v>
      </c>
      <c r="I9" s="1">
        <v>4</v>
      </c>
      <c r="J9" s="1">
        <v>4.2</v>
      </c>
      <c r="K9" s="11" t="s">
        <v>350</v>
      </c>
      <c r="L9" s="85" t="s">
        <v>399</v>
      </c>
      <c r="M9" s="4" t="s">
        <v>248</v>
      </c>
      <c r="N9" s="2">
        <v>2</v>
      </c>
      <c r="O9" s="2">
        <v>8</v>
      </c>
      <c r="P9" s="12">
        <v>65</v>
      </c>
      <c r="Q9" s="12" t="s">
        <v>406</v>
      </c>
      <c r="R9" s="12">
        <v>128</v>
      </c>
      <c r="S9" s="12">
        <v>3200</v>
      </c>
      <c r="T9" s="12">
        <v>2</v>
      </c>
      <c r="U9" s="12">
        <v>3</v>
      </c>
      <c r="V9" s="75">
        <v>24</v>
      </c>
      <c r="W9" s="75">
        <v>3</v>
      </c>
      <c r="X9" s="12">
        <v>4</v>
      </c>
      <c r="Y9" s="9">
        <v>118.89</v>
      </c>
      <c r="Z9" s="3">
        <v>250</v>
      </c>
      <c r="AA9" s="66" t="s">
        <v>348</v>
      </c>
      <c r="AB9" s="66" t="s">
        <v>346</v>
      </c>
      <c r="AC9" s="79" t="s">
        <v>8799</v>
      </c>
      <c r="AD9" s="80" t="s">
        <v>8800</v>
      </c>
      <c r="AE9" s="49">
        <v>1</v>
      </c>
      <c r="AF9" s="1">
        <v>1</v>
      </c>
      <c r="AG9" s="1">
        <v>1</v>
      </c>
      <c r="AH9" s="10">
        <v>1</v>
      </c>
      <c r="AI9" s="50" cm="1">
        <f t="array" ref="AI9">SUMPRODUCT(AE9:AH9 * AE$3:AH$3) / SUM(AE$3:AH$3)</f>
        <v>1</v>
      </c>
      <c r="AJ9" s="12"/>
    </row>
    <row r="10" spans="1:36" s="84" customFormat="1" x14ac:dyDescent="0.25">
      <c r="A10" s="5" t="s">
        <v>343</v>
      </c>
      <c r="B10" s="16" t="s">
        <v>344</v>
      </c>
      <c r="C10" s="4" t="s">
        <v>427</v>
      </c>
      <c r="D10" s="90" t="s">
        <v>9077</v>
      </c>
      <c r="E10" s="75" t="s">
        <v>429</v>
      </c>
      <c r="F10" s="4" t="s">
        <v>7783</v>
      </c>
      <c r="G10" s="9">
        <v>4</v>
      </c>
      <c r="H10" s="75">
        <v>8</v>
      </c>
      <c r="I10" s="1">
        <v>4</v>
      </c>
      <c r="J10" s="1">
        <v>4.2</v>
      </c>
      <c r="K10" s="11" t="s">
        <v>350</v>
      </c>
      <c r="L10" s="85" t="s">
        <v>399</v>
      </c>
      <c r="M10" s="4" t="s">
        <v>248</v>
      </c>
      <c r="N10" s="2">
        <v>2</v>
      </c>
      <c r="O10" s="2">
        <v>8</v>
      </c>
      <c r="P10" s="12">
        <v>65</v>
      </c>
      <c r="Q10" s="12" t="s">
        <v>406</v>
      </c>
      <c r="R10" s="12">
        <v>128</v>
      </c>
      <c r="S10" s="12">
        <v>3200</v>
      </c>
      <c r="T10" s="12">
        <v>2</v>
      </c>
      <c r="U10" s="12">
        <v>3</v>
      </c>
      <c r="V10" s="75">
        <v>24</v>
      </c>
      <c r="W10" s="75">
        <v>3</v>
      </c>
      <c r="X10" s="12">
        <v>4</v>
      </c>
      <c r="Y10" s="9">
        <v>120.9</v>
      </c>
      <c r="Z10" s="3">
        <v>169</v>
      </c>
      <c r="AA10" s="66" t="s">
        <v>345</v>
      </c>
      <c r="AB10" s="66" t="s">
        <v>343</v>
      </c>
      <c r="AC10" s="79" t="s">
        <v>8801</v>
      </c>
      <c r="AD10" s="80" t="s">
        <v>8802</v>
      </c>
      <c r="AE10" s="49" cm="1">
        <f t="array" ref="AE10">(SUMPRODUCT((G10:J10/G$9:J$9)^G$7:J$7 * G$2:J$2) + SUMPRODUCT((N10:P10/N$9:P$9)^N$7:P$7 * N$2:P$2) + SUMPRODUCT((S10:T10/S$9:T$9)^S$7:T$7 * S$2:T$2)) * AE$9</f>
        <v>1</v>
      </c>
      <c r="AF10" s="1" cm="1">
        <f t="array" ref="AF10">(SUMPRODUCT((G10:J10/G$9:J$9)^G$7:J$7 * G$3:J$3) + SUMPRODUCT((N10:P10/N$9:P$9)^N$7:P$7 * N$3:P$3) + SUMPRODUCT((S10:T10/S$9:T$9)^S$7:T$7 * S$3:T$3)) * AF$9</f>
        <v>0.99999999999999989</v>
      </c>
      <c r="AG10" s="1" cm="1">
        <f t="array" ref="AG10">(SUMPRODUCT((G10:J10/G$9:J$9)^G$7:J$7 * G$4:J$4) + SUMPRODUCT((N10:P10/N$9:P$9)^N$7:P$7 * N$4:P$4) + SUMPRODUCT((S10:T10/S$9:T$9)^S$7:T$7 * S$4:T$4)) * AF$9</f>
        <v>1.0000000000000002</v>
      </c>
      <c r="AH10" s="10" cm="1">
        <f t="array" ref="AH10">(SUMPRODUCT((G10:J10/G$9:J$9)^G$7:J$7 * G$5:J$5) + SUMPRODUCT((N10:P10/N$9:P$9)^N$7:P$7 * N$5:P$5) + SUMPRODUCT((S10:T10/S$9:T$9)^S$7:T$7 * S$5:T$5)) * AF$9</f>
        <v>0.99999999999999989</v>
      </c>
      <c r="AI10" s="50" cm="1">
        <f t="array" ref="AI10">SUMPRODUCT(AE10:AH10 * AE$3:AH$3) / SUM(AE$3:AH$3)</f>
        <v>1</v>
      </c>
      <c r="AJ10" s="12"/>
    </row>
    <row r="11" spans="1:36" x14ac:dyDescent="0.25">
      <c r="A11" s="5" t="s">
        <v>340</v>
      </c>
      <c r="B11" s="16" t="s">
        <v>341</v>
      </c>
      <c r="C11" s="4" t="s">
        <v>427</v>
      </c>
      <c r="D11" s="90" t="s">
        <v>9078</v>
      </c>
      <c r="E11" s="75" t="s">
        <v>430</v>
      </c>
      <c r="F11" s="4" t="s">
        <v>7783</v>
      </c>
      <c r="G11" s="9">
        <v>6</v>
      </c>
      <c r="H11" s="3">
        <v>12</v>
      </c>
      <c r="I11" s="1">
        <v>3.6</v>
      </c>
      <c r="J11" s="1">
        <v>4.2</v>
      </c>
      <c r="K11" s="11" t="s">
        <v>350</v>
      </c>
      <c r="L11" s="85" t="s">
        <v>399</v>
      </c>
      <c r="M11" s="4" t="s">
        <v>248</v>
      </c>
      <c r="N11" s="2">
        <v>3</v>
      </c>
      <c r="O11" s="2">
        <v>16</v>
      </c>
      <c r="P11" s="12">
        <v>65</v>
      </c>
      <c r="Q11" s="12" t="s">
        <v>406</v>
      </c>
      <c r="R11" s="12">
        <v>128</v>
      </c>
      <c r="S11" s="12">
        <v>3200</v>
      </c>
      <c r="T11" s="12">
        <v>2</v>
      </c>
      <c r="U11" s="12">
        <v>3</v>
      </c>
      <c r="V11" s="75">
        <v>24</v>
      </c>
      <c r="W11" s="75">
        <v>3</v>
      </c>
      <c r="X11" s="12">
        <v>4</v>
      </c>
      <c r="Y11" s="9">
        <v>86.64</v>
      </c>
      <c r="Z11" s="3">
        <v>188.46</v>
      </c>
      <c r="AA11" s="66" t="s">
        <v>342</v>
      </c>
      <c r="AB11" s="66" t="s">
        <v>340</v>
      </c>
      <c r="AC11" s="79" t="s">
        <v>8799</v>
      </c>
      <c r="AD11" s="80" t="s">
        <v>8800</v>
      </c>
      <c r="AE11" s="49" cm="1">
        <f t="array" ref="AE11">(SUMPRODUCT((G11:J11/G$9:J$9)^G$7:J$7 * G$2:J$2) + SUMPRODUCT((N11:P11/N$9:P$9)^N$7:P$7 * N$2:P$2) + SUMPRODUCT((S11:T11/S$9:T$9)^S$7:T$7 * S$2:T$2)) * AE$9</f>
        <v>1.1804766421771411</v>
      </c>
      <c r="AF11" s="1" cm="1">
        <f t="array" ref="AF11">(SUMPRODUCT((G11:J11/G$9:J$9)^G$7:J$7 * G$3:J$3) + SUMPRODUCT((N11:P11/N$9:P$9)^N$7:P$7 * N$3:P$3) + SUMPRODUCT((S11:T11/S$9:T$9)^S$7:T$7 * S$3:T$3)) * AF$9</f>
        <v>1.3098585529058369</v>
      </c>
      <c r="AG11" s="1" cm="1">
        <f t="array" ref="AG11">(SUMPRODUCT((G11:J11/G$9:J$9)^G$7:J$7 * G$4:J$4) + SUMPRODUCT((N11:P11/N$9:P$9)^N$7:P$7 * N$4:P$4) + SUMPRODUCT((S11:T11/S$9:T$9)^S$7:T$7 * S$4:T$4)) * AF$9</f>
        <v>1.3574528522045219</v>
      </c>
      <c r="AH11" s="10" cm="1">
        <f t="array" ref="AH11">(SUMPRODUCT((G11:J11/G$9:J$9)^G$7:J$7 * G$5:J$5) + SUMPRODUCT((N11:P11/N$9:P$9)^N$7:P$7 * N$5:P$5) + SUMPRODUCT((S11:T11/S$9:T$9)^S$7:T$7 * S$5:T$5)) * AF$9</f>
        <v>1.3098585529058369</v>
      </c>
      <c r="AI11" s="50" cm="1">
        <f t="array" ref="AI11">SUMPRODUCT(AE11:AH11 * AE$3:AH$3) / SUM(AE$3:AH$3)</f>
        <v>1.2873233887836277</v>
      </c>
    </row>
    <row r="12" spans="1:36" x14ac:dyDescent="0.25">
      <c r="A12" s="5" t="s">
        <v>337</v>
      </c>
      <c r="B12" s="16" t="s">
        <v>338</v>
      </c>
      <c r="C12" s="4" t="s">
        <v>427</v>
      </c>
      <c r="D12" s="90" t="s">
        <v>9078</v>
      </c>
      <c r="E12" s="75" t="s">
        <v>430</v>
      </c>
      <c r="F12" s="4" t="s">
        <v>7783</v>
      </c>
      <c r="G12" s="9">
        <v>6</v>
      </c>
      <c r="H12" s="3">
        <v>12</v>
      </c>
      <c r="I12" s="1">
        <v>3.6</v>
      </c>
      <c r="J12" s="1">
        <v>4.4000000000000004</v>
      </c>
      <c r="K12" s="11" t="s">
        <v>350</v>
      </c>
      <c r="L12" s="85" t="s">
        <v>399</v>
      </c>
      <c r="M12" s="4" t="s">
        <v>248</v>
      </c>
      <c r="N12" s="2">
        <v>3</v>
      </c>
      <c r="O12" s="2">
        <v>16</v>
      </c>
      <c r="P12" s="12">
        <v>65</v>
      </c>
      <c r="Q12" s="12" t="s">
        <v>406</v>
      </c>
      <c r="R12" s="12">
        <v>128</v>
      </c>
      <c r="S12" s="12">
        <v>3200</v>
      </c>
      <c r="T12" s="12">
        <v>2</v>
      </c>
      <c r="U12" s="12">
        <v>3</v>
      </c>
      <c r="V12" s="75">
        <v>24</v>
      </c>
      <c r="W12" s="75">
        <v>3</v>
      </c>
      <c r="X12" s="12">
        <v>4</v>
      </c>
      <c r="Y12" s="9">
        <v>114.9</v>
      </c>
      <c r="Z12" s="3">
        <v>174.9</v>
      </c>
      <c r="AA12" s="66" t="s">
        <v>339</v>
      </c>
      <c r="AB12" s="66" t="s">
        <v>337</v>
      </c>
      <c r="AC12" s="79" t="s">
        <v>8799</v>
      </c>
      <c r="AD12" s="80" t="s">
        <v>8800</v>
      </c>
      <c r="AE12" s="49" cm="1">
        <f t="array" ref="AE12">(SUMPRODUCT((G12:J12/G$9:J$9)^G$7:J$7 * G$2:J$2) + SUMPRODUCT((N12:P12/N$9:P$9)^N$7:P$7 * N$2:P$2) + SUMPRODUCT((S12:T12/S$9:T$9)^S$7:T$7 * S$2:T$2)) * AE$9</f>
        <v>1.192381404081903</v>
      </c>
      <c r="AF12" s="1" cm="1">
        <f t="array" ref="AF12">(SUMPRODUCT((G12:J12/G$9:J$9)^G$7:J$7 * G$3:J$3) + SUMPRODUCT((N12:P12/N$9:P$9)^N$7:P$7 * N$3:P$3) + SUMPRODUCT((S12:T12/S$9:T$9)^S$7:T$7 * S$3:T$3)) * AF$9</f>
        <v>1.3146204576677416</v>
      </c>
      <c r="AG12" s="1" cm="1">
        <f t="array" ref="AG12">(SUMPRODUCT((G12:J12/G$9:J$9)^G$7:J$7 * G$4:J$4) + SUMPRODUCT((N12:P12/N$9:P$9)^N$7:P$7 * N$4:P$4) + SUMPRODUCT((S12:T12/S$9:T$9)^S$7:T$7 * S$4:T$4)) * AF$9</f>
        <v>1.3598338045854743</v>
      </c>
      <c r="AH12" s="10" cm="1">
        <f t="array" ref="AH12">(SUMPRODUCT((G12:J12/G$9:J$9)^G$7:J$7 * G$5:J$5) + SUMPRODUCT((N12:P12/N$9:P$9)^N$7:P$7 * N$5:P$5) + SUMPRODUCT((S12:T12/S$9:T$9)^S$7:T$7 * S$5:T$5)) * AF$9</f>
        <v>1.3146204576677416</v>
      </c>
      <c r="AI12" s="50" cm="1">
        <f t="array" ref="AI12">SUMPRODUCT(AE12:AH12 * AE$3:AH$3) / SUM(AE$3:AH$3)</f>
        <v>1.2933673448275835</v>
      </c>
    </row>
    <row r="13" spans="1:36" x14ac:dyDescent="0.25">
      <c r="A13" s="5" t="s">
        <v>334</v>
      </c>
      <c r="B13" s="16" t="s">
        <v>335</v>
      </c>
      <c r="C13" s="4" t="s">
        <v>427</v>
      </c>
      <c r="D13" s="90" t="s">
        <v>9078</v>
      </c>
      <c r="E13" s="75" t="s">
        <v>430</v>
      </c>
      <c r="F13" s="4" t="s">
        <v>7783</v>
      </c>
      <c r="G13" s="9">
        <v>6</v>
      </c>
      <c r="H13" s="75">
        <v>12</v>
      </c>
      <c r="I13" s="1">
        <v>3.5</v>
      </c>
      <c r="J13" s="1">
        <v>4.4000000000000004</v>
      </c>
      <c r="K13" s="11" t="s">
        <v>350</v>
      </c>
      <c r="L13" s="85" t="s">
        <v>399</v>
      </c>
      <c r="M13" s="4" t="s">
        <v>248</v>
      </c>
      <c r="N13" s="2">
        <v>3</v>
      </c>
      <c r="O13" s="2">
        <v>32</v>
      </c>
      <c r="P13" s="12">
        <v>65</v>
      </c>
      <c r="Q13" s="12" t="s">
        <v>406</v>
      </c>
      <c r="R13" s="12">
        <v>128</v>
      </c>
      <c r="S13" s="12">
        <v>3200</v>
      </c>
      <c r="T13" s="12">
        <v>2</v>
      </c>
      <c r="U13" s="12">
        <v>4</v>
      </c>
      <c r="V13" s="75">
        <v>24</v>
      </c>
      <c r="W13" s="75">
        <v>4</v>
      </c>
      <c r="X13" s="12">
        <v>4</v>
      </c>
      <c r="Y13" s="9">
        <v>118.23</v>
      </c>
      <c r="Z13" s="3">
        <v>599.5</v>
      </c>
      <c r="AA13" s="66" t="s">
        <v>336</v>
      </c>
      <c r="AB13" s="66" t="s">
        <v>334</v>
      </c>
      <c r="AC13" s="79" t="s">
        <v>8799</v>
      </c>
      <c r="AD13" s="80" t="s">
        <v>8800</v>
      </c>
      <c r="AE13" s="49" cm="1">
        <f t="array" ref="AE13">(SUMPRODUCT((G13:J13/G$9:J$9)^G$7:J$7 * G$2:J$2) + SUMPRODUCT((N13:P13/N$9:P$9)^N$7:P$7 * N$2:P$2) + SUMPRODUCT((S13:T13/S$9:T$9)^S$7:T$7 * S$2:T$2)) * AE$9</f>
        <v>1.3164146047247576</v>
      </c>
      <c r="AF13" s="1" cm="1">
        <f t="array" ref="AF13">(SUMPRODUCT((G13:J13/G$9:J$9)^G$7:J$7 * G$3:J$3) + SUMPRODUCT((N13:P13/N$9:P$9)^N$7:P$7 * N$3:P$3) + SUMPRODUCT((S13:T13/S$9:T$9)^S$7:T$7 * S$3:T$3)) * AF$9</f>
        <v>1.5056702586320239</v>
      </c>
      <c r="AG13" s="1" cm="1">
        <f t="array" ref="AG13">(SUMPRODUCT((G13:J13/G$9:J$9)^G$7:J$7 * G$4:J$4) + SUMPRODUCT((N13:P13/N$9:P$9)^N$7:P$7 * N$4:P$4) + SUMPRODUCT((S13:T13/S$9:T$9)^S$7:T$7 * S$4:T$4)) * AF$9</f>
        <v>1.5521336055497563</v>
      </c>
      <c r="AH13" s="10" cm="1">
        <f t="array" ref="AH13">(SUMPRODUCT((G13:J13/G$9:J$9)^G$7:J$7 * G$5:J$5) + SUMPRODUCT((N13:P13/N$9:P$9)^N$7:P$7 * N$5:P$5) + SUMPRODUCT((S13:T13/S$9:T$9)^S$7:T$7 * S$5:T$5)) * AF$9</f>
        <v>1.5056702586320239</v>
      </c>
      <c r="AI13" s="50" cm="1">
        <f t="array" ref="AI13">SUMPRODUCT(AE13:AH13 * AE$3:AH$3) / SUM(AE$3:AH$3)</f>
        <v>1.4691440841792287</v>
      </c>
    </row>
    <row r="14" spans="1:36" x14ac:dyDescent="0.25">
      <c r="A14" s="5" t="s">
        <v>331</v>
      </c>
      <c r="B14" s="16" t="s">
        <v>332</v>
      </c>
      <c r="C14" s="4" t="s">
        <v>427</v>
      </c>
      <c r="D14" s="90" t="s">
        <v>9078</v>
      </c>
      <c r="E14" s="75" t="s">
        <v>430</v>
      </c>
      <c r="F14" s="4" t="s">
        <v>7783</v>
      </c>
      <c r="G14" s="9">
        <v>6</v>
      </c>
      <c r="H14" s="3">
        <v>12</v>
      </c>
      <c r="I14" s="1">
        <v>3.9</v>
      </c>
      <c r="J14" s="1">
        <v>4.4000000000000004</v>
      </c>
      <c r="K14" s="11" t="s">
        <v>350</v>
      </c>
      <c r="L14" s="85" t="s">
        <v>399</v>
      </c>
      <c r="M14" s="4" t="s">
        <v>248</v>
      </c>
      <c r="N14" s="2">
        <v>3</v>
      </c>
      <c r="O14" s="2">
        <v>16</v>
      </c>
      <c r="P14" s="12">
        <v>65</v>
      </c>
      <c r="Q14" s="12" t="s">
        <v>406</v>
      </c>
      <c r="R14" s="12">
        <v>128</v>
      </c>
      <c r="S14" s="12">
        <v>3200</v>
      </c>
      <c r="T14" s="12">
        <v>2</v>
      </c>
      <c r="U14" s="12">
        <v>3</v>
      </c>
      <c r="V14" s="75">
        <v>24</v>
      </c>
      <c r="W14" s="75">
        <v>3</v>
      </c>
      <c r="X14" s="12">
        <v>4</v>
      </c>
      <c r="Y14" s="9">
        <v>136.9</v>
      </c>
      <c r="Z14" s="3">
        <v>641.41</v>
      </c>
      <c r="AA14" s="66" t="s">
        <v>333</v>
      </c>
      <c r="AB14" s="66" t="s">
        <v>331</v>
      </c>
      <c r="AC14" s="79" t="s">
        <v>8799</v>
      </c>
      <c r="AD14" s="80" t="s">
        <v>8800</v>
      </c>
      <c r="AE14" s="49" cm="1">
        <f t="array" ref="AE14">(SUMPRODUCT((G14:J14/G$9:J$9)^G$7:J$7 * G$2:J$2) + SUMPRODUCT((N14:P14/N$9:P$9)^N$7:P$7 * N$2:P$2) + SUMPRODUCT((S14:T14/S$9:T$9)^S$7:T$7 * S$2:T$2)) * AE$9</f>
        <v>1.2073814040819029</v>
      </c>
      <c r="AF14" s="1" cm="1">
        <f t="array" ref="AF14">(SUMPRODUCT((G14:J14/G$9:J$9)^G$7:J$7 * G$3:J$3) + SUMPRODUCT((N14:P14/N$9:P$9)^N$7:P$7 * N$3:P$3) + SUMPRODUCT((S14:T14/S$9:T$9)^S$7:T$7 * S$3:T$3)) * AF$9</f>
        <v>1.3221204576677417</v>
      </c>
      <c r="AG14" s="1" cm="1">
        <f t="array" ref="AG14">(SUMPRODUCT((G14:J14/G$9:J$9)^G$7:J$7 * G$4:J$4) + SUMPRODUCT((N14:P14/N$9:P$9)^N$7:P$7 * N$4:P$4) + SUMPRODUCT((S14:T14/S$9:T$9)^S$7:T$7 * S$4:T$4)) * AF$9</f>
        <v>1.3635838045854742</v>
      </c>
      <c r="AH14" s="10" cm="1">
        <f t="array" ref="AH14">(SUMPRODUCT((G14:J14/G$9:J$9)^G$7:J$7 * G$5:J$5) + SUMPRODUCT((N14:P14/N$9:P$9)^N$7:P$7 * N$5:P$5) + SUMPRODUCT((S14:T14/S$9:T$9)^S$7:T$7 * S$5:T$5)) * AF$9</f>
        <v>1.3221204576677417</v>
      </c>
      <c r="AI14" s="50" cm="1">
        <f t="array" ref="AI14">SUMPRODUCT(AE14:AH14 * AE$3:AH$3) / SUM(AE$3:AH$3)</f>
        <v>1.3020211909814301</v>
      </c>
    </row>
    <row r="15" spans="1:36" x14ac:dyDescent="0.25">
      <c r="A15" s="5" t="s">
        <v>328</v>
      </c>
      <c r="B15" s="16" t="s">
        <v>329</v>
      </c>
      <c r="C15" s="4" t="s">
        <v>427</v>
      </c>
      <c r="D15" s="90" t="s">
        <v>9078</v>
      </c>
      <c r="E15" s="75" t="s">
        <v>430</v>
      </c>
      <c r="F15" s="4" t="s">
        <v>7783</v>
      </c>
      <c r="G15" s="9">
        <v>6</v>
      </c>
      <c r="H15" s="3">
        <v>12</v>
      </c>
      <c r="I15" s="1">
        <v>3.6</v>
      </c>
      <c r="J15" s="1">
        <v>4.5999999999999996</v>
      </c>
      <c r="K15" s="11" t="s">
        <v>350</v>
      </c>
      <c r="L15" s="85" t="s">
        <v>399</v>
      </c>
      <c r="M15" s="4" t="s">
        <v>248</v>
      </c>
      <c r="N15" s="2">
        <v>3</v>
      </c>
      <c r="O15" s="2">
        <v>16</v>
      </c>
      <c r="P15" s="12">
        <v>65</v>
      </c>
      <c r="Q15" s="12" t="s">
        <v>406</v>
      </c>
      <c r="R15" s="12">
        <v>128</v>
      </c>
      <c r="S15" s="12">
        <v>3200</v>
      </c>
      <c r="T15" s="12">
        <v>2</v>
      </c>
      <c r="U15" s="12">
        <v>3</v>
      </c>
      <c r="V15" s="75">
        <v>24</v>
      </c>
      <c r="W15" s="75">
        <v>3</v>
      </c>
      <c r="X15" s="12">
        <v>4</v>
      </c>
      <c r="Y15" s="9">
        <v>126.69</v>
      </c>
      <c r="Z15" s="3">
        <v>580.76</v>
      </c>
      <c r="AA15" s="66" t="s">
        <v>330</v>
      </c>
      <c r="AB15" s="66" t="s">
        <v>328</v>
      </c>
      <c r="AC15" s="79" t="s">
        <v>8799</v>
      </c>
      <c r="AD15" s="80" t="s">
        <v>8800</v>
      </c>
      <c r="AE15" s="49" cm="1">
        <f t="array" ref="AE15">(SUMPRODUCT((G15:J15/G$9:J$9)^G$7:J$7 * G$2:J$2) + SUMPRODUCT((N15:P15/N$9:P$9)^N$7:P$7 * N$2:P$2) + SUMPRODUCT((S15:T15/S$9:T$9)^S$7:T$7 * S$2:T$2)) * AE$9</f>
        <v>1.2042861659866648</v>
      </c>
      <c r="AF15" s="1" cm="1">
        <f t="array" ref="AF15">(SUMPRODUCT((G15:J15/G$9:J$9)^G$7:J$7 * G$3:J$3) + SUMPRODUCT((N15:P15/N$9:P$9)^N$7:P$7 * N$3:P$3) + SUMPRODUCT((S15:T15/S$9:T$9)^S$7:T$7 * S$3:T$3)) * AF$9</f>
        <v>1.3193823624296463</v>
      </c>
      <c r="AG15" s="1" cm="1">
        <f t="array" ref="AG15">(SUMPRODUCT((G15:J15/G$9:J$9)^G$7:J$7 * G$4:J$4) + SUMPRODUCT((N15:P15/N$9:P$9)^N$7:P$7 * N$4:P$4) + SUMPRODUCT((S15:T15/S$9:T$9)^S$7:T$7 * S$4:T$4)) * AF$9</f>
        <v>1.3622147569664267</v>
      </c>
      <c r="AH15" s="10" cm="1">
        <f t="array" ref="AH15">(SUMPRODUCT((G15:J15/G$9:J$9)^G$7:J$7 * G$5:J$5) + SUMPRODUCT((N15:P15/N$9:P$9)^N$7:P$7 * N$5:P$5) + SUMPRODUCT((S15:T15/S$9:T$9)^S$7:T$7 * S$5:T$5)) * AF$9</f>
        <v>1.3193823624296463</v>
      </c>
      <c r="AI15" s="50" cm="1">
        <f t="array" ref="AI15">SUMPRODUCT(AE15:AH15 * AE$3:AH$3) / SUM(AE$3:AH$3)</f>
        <v>1.29941130087154</v>
      </c>
    </row>
    <row r="16" spans="1:36" x14ac:dyDescent="0.25">
      <c r="A16" s="5" t="s">
        <v>325</v>
      </c>
      <c r="B16" s="16" t="s">
        <v>326</v>
      </c>
      <c r="C16" s="4" t="s">
        <v>427</v>
      </c>
      <c r="D16" s="90" t="s">
        <v>9078</v>
      </c>
      <c r="E16" s="75" t="s">
        <v>430</v>
      </c>
      <c r="F16" s="4" t="s">
        <v>7783</v>
      </c>
      <c r="G16" s="9">
        <v>6</v>
      </c>
      <c r="H16" s="75">
        <v>12</v>
      </c>
      <c r="I16" s="1">
        <v>3.5</v>
      </c>
      <c r="J16" s="1">
        <v>4.5</v>
      </c>
      <c r="K16" s="11" t="s">
        <v>350</v>
      </c>
      <c r="L16" s="85" t="s">
        <v>399</v>
      </c>
      <c r="M16" s="4" t="s">
        <v>248</v>
      </c>
      <c r="N16" s="2">
        <v>3</v>
      </c>
      <c r="O16" s="2">
        <v>32</v>
      </c>
      <c r="P16" s="12">
        <v>65</v>
      </c>
      <c r="Q16" s="12" t="s">
        <v>406</v>
      </c>
      <c r="R16" s="12">
        <v>128</v>
      </c>
      <c r="S16" s="12">
        <v>3200</v>
      </c>
      <c r="T16" s="12">
        <v>2</v>
      </c>
      <c r="U16" s="12">
        <v>4</v>
      </c>
      <c r="V16" s="75">
        <v>24</v>
      </c>
      <c r="W16" s="75">
        <v>4</v>
      </c>
      <c r="X16" s="12">
        <v>4</v>
      </c>
      <c r="Y16" s="9">
        <v>127.65</v>
      </c>
      <c r="Z16" s="3">
        <v>194.9</v>
      </c>
      <c r="AA16" s="66" t="s">
        <v>327</v>
      </c>
      <c r="AB16" s="66" t="s">
        <v>325</v>
      </c>
      <c r="AC16" s="79" t="s">
        <v>8799</v>
      </c>
      <c r="AD16" s="80" t="s">
        <v>8800</v>
      </c>
      <c r="AE16" s="49" cm="1">
        <f t="array" ref="AE16">(SUMPRODUCT((G16:J16/G$9:J$9)^G$7:J$7 * G$2:J$2) + SUMPRODUCT((N16:P16/N$9:P$9)^N$7:P$7 * N$2:P$2) + SUMPRODUCT((S16:T16/S$9:T$9)^S$7:T$7 * S$2:T$2)) * AE$9</f>
        <v>1.3223669856771385</v>
      </c>
      <c r="AF16" s="1" cm="1">
        <f t="array" ref="AF16">(SUMPRODUCT((G16:J16/G$9:J$9)^G$7:J$7 * G$3:J$3) + SUMPRODUCT((N16:P16/N$9:P$9)^N$7:P$7 * N$3:P$3) + SUMPRODUCT((S16:T16/S$9:T$9)^S$7:T$7 * S$3:T$3)) * AF$9</f>
        <v>1.5080512110129762</v>
      </c>
      <c r="AG16" s="1" cm="1">
        <f t="array" ref="AG16">(SUMPRODUCT((G16:J16/G$9:J$9)^G$7:J$7 * G$4:J$4) + SUMPRODUCT((N16:P16/N$9:P$9)^N$7:P$7 * N$4:P$4) + SUMPRODUCT((S16:T16/S$9:T$9)^S$7:T$7 * S$4:T$4)) * AF$9</f>
        <v>1.5533240817402325</v>
      </c>
      <c r="AH16" s="10" cm="1">
        <f t="array" ref="AH16">(SUMPRODUCT((G16:J16/G$9:J$9)^G$7:J$7 * G$5:J$5) + SUMPRODUCT((N16:P16/N$9:P$9)^N$7:P$7 * N$5:P$5) + SUMPRODUCT((S16:T16/S$9:T$9)^S$7:T$7 * S$5:T$5)) * AF$9</f>
        <v>1.5080512110129762</v>
      </c>
      <c r="AI16" s="50" cm="1">
        <f t="array" ref="AI16">SUMPRODUCT(AE16:AH16 * AE$3:AH$3) / SUM(AE$3:AH$3)</f>
        <v>1.4721660622012069</v>
      </c>
    </row>
    <row r="17" spans="1:36" x14ac:dyDescent="0.25">
      <c r="A17" s="5" t="s">
        <v>322</v>
      </c>
      <c r="B17" s="16" t="s">
        <v>323</v>
      </c>
      <c r="C17" s="4" t="s">
        <v>427</v>
      </c>
      <c r="D17" s="90" t="s">
        <v>9078</v>
      </c>
      <c r="E17" s="75" t="s">
        <v>430</v>
      </c>
      <c r="F17" s="4" t="s">
        <v>7783</v>
      </c>
      <c r="G17" s="9">
        <v>6</v>
      </c>
      <c r="H17" s="3">
        <v>12</v>
      </c>
      <c r="I17" s="1">
        <v>3.7</v>
      </c>
      <c r="J17" s="1">
        <v>4.5999999999999996</v>
      </c>
      <c r="K17" s="11" t="s">
        <v>350</v>
      </c>
      <c r="L17" s="85" t="s">
        <v>399</v>
      </c>
      <c r="M17" s="4" t="s">
        <v>248</v>
      </c>
      <c r="N17" s="2">
        <v>3</v>
      </c>
      <c r="O17" s="2">
        <v>32</v>
      </c>
      <c r="P17" s="12">
        <v>65</v>
      </c>
      <c r="Q17" s="12" t="s">
        <v>406</v>
      </c>
      <c r="R17" s="12">
        <v>128</v>
      </c>
      <c r="S17" s="12">
        <v>3200</v>
      </c>
      <c r="T17" s="12">
        <v>2</v>
      </c>
      <c r="U17" s="12">
        <v>4</v>
      </c>
      <c r="V17" s="75">
        <v>24</v>
      </c>
      <c r="W17" s="75">
        <v>4</v>
      </c>
      <c r="X17" s="12">
        <v>4</v>
      </c>
      <c r="Y17" s="9">
        <v>126.89</v>
      </c>
      <c r="Z17" s="3">
        <v>636.85</v>
      </c>
      <c r="AA17" s="66" t="s">
        <v>324</v>
      </c>
      <c r="AB17" s="66" t="s">
        <v>322</v>
      </c>
      <c r="AC17" s="79" t="s">
        <v>8799</v>
      </c>
      <c r="AD17" s="80" t="s">
        <v>8800</v>
      </c>
      <c r="AE17" s="49" cm="1">
        <f t="array" ref="AE17">(SUMPRODUCT((G17:J17/G$9:J$9)^G$7:J$7 * G$2:J$2) + SUMPRODUCT((N17:P17/N$9:P$9)^N$7:P$7 * N$2:P$2) + SUMPRODUCT((S17:T17/S$9:T$9)^S$7:T$7 * S$2:T$2)) * AE$9</f>
        <v>1.3383193666295194</v>
      </c>
      <c r="AF17" s="1" cm="1">
        <f t="array" ref="AF17">(SUMPRODUCT((G17:J17/G$9:J$9)^G$7:J$7 * G$3:J$3) + SUMPRODUCT((N17:P17/N$9:P$9)^N$7:P$7 * N$3:P$3) + SUMPRODUCT((S17:T17/S$9:T$9)^S$7:T$7 * S$3:T$3)) * AF$9</f>
        <v>1.5154321633939285</v>
      </c>
      <c r="AG17" s="1" cm="1">
        <f t="array" ref="AG17">(SUMPRODUCT((G17:J17/G$9:J$9)^G$7:J$7 * G$4:J$4) + SUMPRODUCT((N17:P17/N$9:P$9)^N$7:P$7 * N$4:P$4) + SUMPRODUCT((S17:T17/S$9:T$9)^S$7:T$7 * S$4:T$4)) * AF$9</f>
        <v>1.5570145579307089</v>
      </c>
      <c r="AH17" s="10" cm="1">
        <f t="array" ref="AH17">(SUMPRODUCT((G17:J17/G$9:J$9)^G$7:J$7 * G$5:J$5) + SUMPRODUCT((N17:P17/N$9:P$9)^N$7:P$7 * N$5:P$5) + SUMPRODUCT((S17:T17/S$9:T$9)^S$7:T$7 * S$5:T$5)) * AF$9</f>
        <v>1.5154321633939285</v>
      </c>
      <c r="AI17" s="50" cm="1">
        <f t="array" ref="AI17">SUMPRODUCT(AE17:AH17 * AE$3:AH$3) / SUM(AE$3:AH$3)</f>
        <v>1.4809572709924157</v>
      </c>
    </row>
    <row r="18" spans="1:36" x14ac:dyDescent="0.25">
      <c r="A18" s="5" t="s">
        <v>319</v>
      </c>
      <c r="B18" s="16" t="s">
        <v>320</v>
      </c>
      <c r="C18" s="4" t="s">
        <v>427</v>
      </c>
      <c r="D18" s="90" t="s">
        <v>9078</v>
      </c>
      <c r="E18" s="75" t="s">
        <v>430</v>
      </c>
      <c r="F18" s="4" t="s">
        <v>7783</v>
      </c>
      <c r="G18" s="9">
        <v>6</v>
      </c>
      <c r="H18" s="3">
        <v>12</v>
      </c>
      <c r="I18" s="1">
        <v>3.7</v>
      </c>
      <c r="J18" s="1">
        <v>4.7</v>
      </c>
      <c r="K18" s="11" t="s">
        <v>350</v>
      </c>
      <c r="L18" s="85" t="s">
        <v>399</v>
      </c>
      <c r="M18" s="4" t="s">
        <v>248</v>
      </c>
      <c r="N18" s="2">
        <v>3</v>
      </c>
      <c r="O18" s="2">
        <v>32</v>
      </c>
      <c r="P18" s="12">
        <v>65</v>
      </c>
      <c r="Q18" s="12" t="s">
        <v>406</v>
      </c>
      <c r="R18" s="12">
        <v>128</v>
      </c>
      <c r="S18" s="12">
        <v>3200</v>
      </c>
      <c r="T18" s="12">
        <v>2</v>
      </c>
      <c r="U18" s="12">
        <v>4</v>
      </c>
      <c r="V18" s="75">
        <v>24</v>
      </c>
      <c r="W18" s="75">
        <v>4</v>
      </c>
      <c r="X18" s="12">
        <v>4</v>
      </c>
      <c r="Y18" s="9">
        <v>142.57</v>
      </c>
      <c r="Z18" s="3">
        <v>239.9</v>
      </c>
      <c r="AA18" s="66" t="s">
        <v>321</v>
      </c>
      <c r="AB18" s="66" t="s">
        <v>319</v>
      </c>
      <c r="AC18" s="79" t="s">
        <v>8799</v>
      </c>
      <c r="AD18" s="80" t="s">
        <v>8800</v>
      </c>
      <c r="AE18" s="49" cm="1">
        <f t="array" ref="AE18">(SUMPRODUCT((G18:J18/G$9:J$9)^G$7:J$7 * G$2:J$2) + SUMPRODUCT((N18:P18/N$9:P$9)^N$7:P$7 * N$2:P$2) + SUMPRODUCT((S18:T18/S$9:T$9)^S$7:T$7 * S$2:T$2)) * AE$9</f>
        <v>1.3442717475819006</v>
      </c>
      <c r="AF18" s="1" cm="1">
        <f t="array" ref="AF18">(SUMPRODUCT((G18:J18/G$9:J$9)^G$7:J$7 * G$3:J$3) + SUMPRODUCT((N18:P18/N$9:P$9)^N$7:P$7 * N$3:P$3) + SUMPRODUCT((S18:T18/S$9:T$9)^S$7:T$7 * S$3:T$3)) * AF$9</f>
        <v>1.5178131157748811</v>
      </c>
      <c r="AG18" s="1" cm="1">
        <f t="array" ref="AG18">(SUMPRODUCT((G18:J18/G$9:J$9)^G$7:J$7 * G$4:J$4) + SUMPRODUCT((N18:P18/N$9:P$9)^N$7:P$7 * N$4:P$4) + SUMPRODUCT((S18:T18/S$9:T$9)^S$7:T$7 * S$4:T$4)) * AF$9</f>
        <v>1.5582050341211851</v>
      </c>
      <c r="AH18" s="10" cm="1">
        <f t="array" ref="AH18">(SUMPRODUCT((G18:J18/G$9:J$9)^G$7:J$7 * G$5:J$5) + SUMPRODUCT((N18:P18/N$9:P$9)^N$7:P$7 * N$5:P$5) + SUMPRODUCT((S18:T18/S$9:T$9)^S$7:T$7 * S$5:T$5)) * AF$9</f>
        <v>1.5178131157748811</v>
      </c>
      <c r="AI18" s="50" cm="1">
        <f t="array" ref="AI18">SUMPRODUCT(AE18:AH18 * AE$3:AH$3) / SUM(AE$3:AH$3)</f>
        <v>1.4839792490143939</v>
      </c>
    </row>
    <row r="19" spans="1:36" x14ac:dyDescent="0.25">
      <c r="A19" s="5" t="s">
        <v>298</v>
      </c>
      <c r="B19" s="16" t="s">
        <v>299</v>
      </c>
      <c r="C19" s="4" t="s">
        <v>427</v>
      </c>
      <c r="D19" s="90" t="s">
        <v>9078</v>
      </c>
      <c r="E19" s="75" t="s">
        <v>430</v>
      </c>
      <c r="F19" s="4" t="s">
        <v>7783</v>
      </c>
      <c r="G19" s="9">
        <v>6</v>
      </c>
      <c r="H19" s="75">
        <v>12</v>
      </c>
      <c r="I19" s="1">
        <v>3.9</v>
      </c>
      <c r="J19" s="1">
        <v>4.4000000000000004</v>
      </c>
      <c r="K19" s="11" t="s">
        <v>350</v>
      </c>
      <c r="L19" s="85" t="s">
        <v>399</v>
      </c>
      <c r="M19" s="4" t="s">
        <v>248</v>
      </c>
      <c r="N19" s="2">
        <v>3</v>
      </c>
      <c r="O19" s="2">
        <v>16</v>
      </c>
      <c r="P19" s="12">
        <v>65</v>
      </c>
      <c r="Q19" s="12" t="s">
        <v>406</v>
      </c>
      <c r="R19" s="12">
        <v>128</v>
      </c>
      <c r="S19" s="12">
        <v>3200</v>
      </c>
      <c r="T19" s="12">
        <v>2</v>
      </c>
      <c r="U19" s="12">
        <v>3</v>
      </c>
      <c r="V19" s="75">
        <v>24</v>
      </c>
      <c r="W19" s="75">
        <v>3</v>
      </c>
      <c r="X19" s="12">
        <v>4</v>
      </c>
      <c r="Y19" s="9">
        <v>141</v>
      </c>
      <c r="Z19" s="3">
        <v>189</v>
      </c>
      <c r="AA19" s="66" t="s">
        <v>300</v>
      </c>
      <c r="AB19" s="66" t="s">
        <v>298</v>
      </c>
      <c r="AC19" s="79" t="s">
        <v>8801</v>
      </c>
      <c r="AD19" s="80" t="s">
        <v>8802</v>
      </c>
      <c r="AE19" s="49" cm="1">
        <f t="array" ref="AE19">(SUMPRODUCT((G19:J19/G$9:J$9)^G$7:J$7 * G$2:J$2) + SUMPRODUCT((N19:P19/N$9:P$9)^N$7:P$7 * N$2:P$2) + SUMPRODUCT((S19:T19/S$9:T$9)^S$7:T$7 * S$2:T$2)) * AE$9</f>
        <v>1.2073814040819029</v>
      </c>
      <c r="AF19" s="1" cm="1">
        <f t="array" ref="AF19">(SUMPRODUCT((G19:J19/G$9:J$9)^G$7:J$7 * G$3:J$3) + SUMPRODUCT((N19:P19/N$9:P$9)^N$7:P$7 * N$3:P$3) + SUMPRODUCT((S19:T19/S$9:T$9)^S$7:T$7 * S$3:T$3)) * AF$9</f>
        <v>1.3221204576677417</v>
      </c>
      <c r="AG19" s="1" cm="1">
        <f t="array" ref="AG19">(SUMPRODUCT((G19:J19/G$9:J$9)^G$7:J$7 * G$4:J$4) + SUMPRODUCT((N19:P19/N$9:P$9)^N$7:P$7 * N$4:P$4) + SUMPRODUCT((S19:T19/S$9:T$9)^S$7:T$7 * S$4:T$4)) * AF$9</f>
        <v>1.3635838045854742</v>
      </c>
      <c r="AH19" s="10" cm="1">
        <f t="array" ref="AH19">(SUMPRODUCT((G19:J19/G$9:J$9)^G$7:J$7 * G$5:J$5) + SUMPRODUCT((N19:P19/N$9:P$9)^N$7:P$7 * N$5:P$5) + SUMPRODUCT((S19:T19/S$9:T$9)^S$7:T$7 * S$5:T$5)) * AF$9</f>
        <v>1.3221204576677417</v>
      </c>
      <c r="AI19" s="50" cm="1">
        <f t="array" ref="AI19">SUMPRODUCT(AE19:AH19 * AE$3:AH$3) / SUM(AE$3:AH$3)</f>
        <v>1.3020211909814301</v>
      </c>
    </row>
    <row r="20" spans="1:36" s="83" customFormat="1" x14ac:dyDescent="0.25">
      <c r="A20" s="5" t="s">
        <v>292</v>
      </c>
      <c r="B20" s="16" t="s">
        <v>293</v>
      </c>
      <c r="C20" s="4" t="s">
        <v>427</v>
      </c>
      <c r="D20" s="90" t="s">
        <v>9079</v>
      </c>
      <c r="E20" s="75" t="s">
        <v>431</v>
      </c>
      <c r="F20" s="4" t="s">
        <v>7783</v>
      </c>
      <c r="G20" s="9">
        <v>8</v>
      </c>
      <c r="H20" s="3">
        <v>16</v>
      </c>
      <c r="I20" s="1">
        <v>3.7</v>
      </c>
      <c r="J20" s="1">
        <v>4.5999999999999996</v>
      </c>
      <c r="K20" s="11" t="s">
        <v>350</v>
      </c>
      <c r="L20" s="85" t="s">
        <v>399</v>
      </c>
      <c r="M20" s="4" t="s">
        <v>248</v>
      </c>
      <c r="N20" s="2">
        <v>4</v>
      </c>
      <c r="O20" s="2">
        <v>16</v>
      </c>
      <c r="P20" s="12">
        <v>65</v>
      </c>
      <c r="Q20" s="12" t="s">
        <v>406</v>
      </c>
      <c r="R20" s="12">
        <v>128</v>
      </c>
      <c r="S20" s="12">
        <v>3200</v>
      </c>
      <c r="T20" s="12">
        <v>2</v>
      </c>
      <c r="U20" s="12">
        <v>3</v>
      </c>
      <c r="V20" s="75">
        <v>24</v>
      </c>
      <c r="W20" s="75">
        <v>3</v>
      </c>
      <c r="X20" s="12">
        <v>4</v>
      </c>
      <c r="Y20" s="9">
        <v>143.15</v>
      </c>
      <c r="Z20" s="3">
        <v>625.64</v>
      </c>
      <c r="AA20" s="66" t="s">
        <v>294</v>
      </c>
      <c r="AB20" s="66" t="s">
        <v>292</v>
      </c>
      <c r="AC20" s="79" t="s">
        <v>8799</v>
      </c>
      <c r="AD20" s="80" t="s">
        <v>8800</v>
      </c>
      <c r="AE20" s="49" cm="1">
        <f t="array" ref="AE20">(SUMPRODUCT((G20:J20/G$9:J$9)^G$7:J$7 * G$2:J$2) + SUMPRODUCT((N20:P20/N$9:P$9)^N$7:P$7 * N$2:P$2) + SUMPRODUCT((S20:T20/S$9:T$9)^S$7:T$7 * S$2:T$2)) * AE$9</f>
        <v>1.3301346827815694</v>
      </c>
      <c r="AF20" s="1" cm="1">
        <f t="array" ref="AF20">(SUMPRODUCT((G20:J20/G$9:J$9)^G$7:J$7 * G$3:J$3) + SUMPRODUCT((N20:P20/N$9:P$9)^N$7:P$7 * N$3:P$3) + SUMPRODUCT((S20:T20/S$9:T$9)^S$7:T$7 * S$3:T$3)) * AF$9</f>
        <v>1.5210124728309269</v>
      </c>
      <c r="AG20" s="1" cm="1">
        <f t="array" ref="AG20">(SUMPRODUCT((G20:J20/G$9:J$9)^G$7:J$7 * G$4:J$4) + SUMPRODUCT((N20:P20/N$9:P$9)^N$7:P$7 * N$4:P$4) + SUMPRODUCT((S20:T20/S$9:T$9)^S$7:T$7 * S$4:T$4)) * AF$9</f>
        <v>1.6034289134837858</v>
      </c>
      <c r="AH20" s="10" cm="1">
        <f t="array" ref="AH20">(SUMPRODUCT((G20:J20/G$9:J$9)^G$7:J$7 * G$5:J$5) + SUMPRODUCT((N20:P20/N$9:P$9)^N$7:P$7 * N$5:P$5) + SUMPRODUCT((S20:T20/S$9:T$9)^S$7:T$7 * S$5:T$5)) * AF$9</f>
        <v>1.5210124728309269</v>
      </c>
      <c r="AI20" s="50" cm="1">
        <f t="array" ref="AI20">SUMPRODUCT(AE20:AH20 * AE$3:AH$3) / SUM(AE$3:AH$3)</f>
        <v>1.4896432044584382</v>
      </c>
      <c r="AJ20" s="12"/>
    </row>
    <row r="21" spans="1:36" s="83" customFormat="1" x14ac:dyDescent="0.25">
      <c r="A21" s="5" t="s">
        <v>289</v>
      </c>
      <c r="B21" s="16" t="s">
        <v>290</v>
      </c>
      <c r="C21" s="4" t="s">
        <v>427</v>
      </c>
      <c r="D21" s="90" t="s">
        <v>9079</v>
      </c>
      <c r="E21" s="75" t="s">
        <v>431</v>
      </c>
      <c r="F21" s="4" t="s">
        <v>7783</v>
      </c>
      <c r="G21" s="9">
        <v>8</v>
      </c>
      <c r="H21" s="3">
        <v>16</v>
      </c>
      <c r="I21" s="1">
        <v>3.8</v>
      </c>
      <c r="J21" s="1">
        <v>4.5999999999999996</v>
      </c>
      <c r="K21" s="11" t="s">
        <v>350</v>
      </c>
      <c r="L21" s="85" t="s">
        <v>399</v>
      </c>
      <c r="M21" s="4" t="s">
        <v>248</v>
      </c>
      <c r="N21" s="2">
        <v>4</v>
      </c>
      <c r="O21" s="2">
        <v>16</v>
      </c>
      <c r="P21" s="12">
        <v>65</v>
      </c>
      <c r="Q21" s="12" t="s">
        <v>406</v>
      </c>
      <c r="R21" s="12">
        <v>128</v>
      </c>
      <c r="S21" s="12">
        <v>3200</v>
      </c>
      <c r="T21" s="12">
        <v>2</v>
      </c>
      <c r="U21" s="12">
        <v>3</v>
      </c>
      <c r="V21" s="75">
        <v>24</v>
      </c>
      <c r="W21" s="75">
        <v>3</v>
      </c>
      <c r="X21" s="12">
        <v>4</v>
      </c>
      <c r="Y21" s="9">
        <v>159.87</v>
      </c>
      <c r="Z21" s="3">
        <v>769.82</v>
      </c>
      <c r="AA21" s="66" t="s">
        <v>291</v>
      </c>
      <c r="AB21" s="66" t="s">
        <v>289</v>
      </c>
      <c r="AC21" s="79" t="s">
        <v>8799</v>
      </c>
      <c r="AD21" s="80" t="s">
        <v>8800</v>
      </c>
      <c r="AE21" s="49" cm="1">
        <f t="array" ref="AE21">(SUMPRODUCT((G21:J21/G$9:J$9)^G$7:J$7 * G$2:J$2) + SUMPRODUCT((N21:P21/N$9:P$9)^N$7:P$7 * N$2:P$2) + SUMPRODUCT((S21:T21/S$9:T$9)^S$7:T$7 * S$2:T$2)) * AE$9</f>
        <v>1.3351346827815693</v>
      </c>
      <c r="AF21" s="1" cm="1">
        <f t="array" ref="AF21">(SUMPRODUCT((G21:J21/G$9:J$9)^G$7:J$7 * G$3:J$3) + SUMPRODUCT((N21:P21/N$9:P$9)^N$7:P$7 * N$3:P$3) + SUMPRODUCT((S21:T21/S$9:T$9)^S$7:T$7 * S$3:T$3)) * AF$9</f>
        <v>1.5235124728309268</v>
      </c>
      <c r="AG21" s="1" cm="1">
        <f t="array" ref="AG21">(SUMPRODUCT((G21:J21/G$9:J$9)^G$7:J$7 * G$4:J$4) + SUMPRODUCT((N21:P21/N$9:P$9)^N$7:P$7 * N$4:P$4) + SUMPRODUCT((S21:T21/S$9:T$9)^S$7:T$7 * S$4:T$4)) * AF$9</f>
        <v>1.6046789134837858</v>
      </c>
      <c r="AH21" s="10" cm="1">
        <f t="array" ref="AH21">(SUMPRODUCT((G21:J21/G$9:J$9)^G$7:J$7 * G$5:J$5) + SUMPRODUCT((N21:P21/N$9:P$9)^N$7:P$7 * N$5:P$5) + SUMPRODUCT((S21:T21/S$9:T$9)^S$7:T$7 * S$5:T$5)) * AF$9</f>
        <v>1.5235124728309268</v>
      </c>
      <c r="AI21" s="50" cm="1">
        <f t="array" ref="AI21">SUMPRODUCT(AE21:AH21 * AE$3:AH$3) / SUM(AE$3:AH$3)</f>
        <v>1.4925278198430534</v>
      </c>
      <c r="AJ21" s="12"/>
    </row>
    <row r="22" spans="1:36" s="83" customFormat="1" x14ac:dyDescent="0.25">
      <c r="A22" s="5" t="s">
        <v>286</v>
      </c>
      <c r="B22" s="16" t="s">
        <v>287</v>
      </c>
      <c r="C22" s="4" t="s">
        <v>427</v>
      </c>
      <c r="D22" s="90" t="s">
        <v>9079</v>
      </c>
      <c r="E22" s="75" t="s">
        <v>431</v>
      </c>
      <c r="F22" s="4" t="s">
        <v>7783</v>
      </c>
      <c r="G22" s="9">
        <v>8</v>
      </c>
      <c r="H22" s="75">
        <v>16</v>
      </c>
      <c r="I22" s="1">
        <v>3.4</v>
      </c>
      <c r="J22" s="1">
        <v>4.5999999999999996</v>
      </c>
      <c r="K22" s="11" t="s">
        <v>350</v>
      </c>
      <c r="L22" s="85" t="s">
        <v>399</v>
      </c>
      <c r="M22" s="4" t="s">
        <v>248</v>
      </c>
      <c r="N22" s="2">
        <v>4</v>
      </c>
      <c r="O22" s="2">
        <v>32</v>
      </c>
      <c r="P22" s="12">
        <v>65</v>
      </c>
      <c r="Q22" s="12" t="s">
        <v>406</v>
      </c>
      <c r="R22" s="12">
        <v>128</v>
      </c>
      <c r="S22" s="12">
        <v>3200</v>
      </c>
      <c r="T22" s="12">
        <v>2</v>
      </c>
      <c r="U22" s="12">
        <v>4</v>
      </c>
      <c r="V22" s="75">
        <v>24</v>
      </c>
      <c r="W22" s="75">
        <v>4</v>
      </c>
      <c r="X22" s="12">
        <v>4</v>
      </c>
      <c r="Y22" s="9">
        <v>159.09</v>
      </c>
      <c r="Z22" s="3">
        <v>763.87</v>
      </c>
      <c r="AA22" s="66" t="s">
        <v>288</v>
      </c>
      <c r="AB22" s="66" t="s">
        <v>286</v>
      </c>
      <c r="AC22" s="79" t="s">
        <v>8799</v>
      </c>
      <c r="AD22" s="80" t="s">
        <v>8802</v>
      </c>
      <c r="AE22" s="49" cm="1">
        <f t="array" ref="AE22">(SUMPRODUCT((G22:J22/G$9:J$9)^G$7:J$7 * G$2:J$2) + SUMPRODUCT((N22:P22/N$9:P$9)^N$7:P$7 * N$2:P$2) + SUMPRODUCT((S22:T22/S$9:T$9)^S$7:T$7 * S$2:T$2)) * AE$9</f>
        <v>1.4441678834244243</v>
      </c>
      <c r="AF22" s="1" cm="1">
        <f t="array" ref="AF22">(SUMPRODUCT((G22:J22/G$9:J$9)^G$7:J$7 * G$3:J$3) + SUMPRODUCT((N22:P22/N$9:P$9)^N$7:P$7 * N$3:P$3) + SUMPRODUCT((S22:T22/S$9:T$9)^S$7:T$7 * S$3:T$3)) * AF$9</f>
        <v>1.707062273795209</v>
      </c>
      <c r="AG22" s="1" cm="1">
        <f t="array" ref="AG22">(SUMPRODUCT((G22:J22/G$9:J$9)^G$7:J$7 * G$4:J$4) + SUMPRODUCT((N22:P22/N$9:P$9)^N$7:P$7 * N$4:P$4) + SUMPRODUCT((S22:T22/S$9:T$9)^S$7:T$7 * S$4:T$4)) * AF$9</f>
        <v>1.7932287144480679</v>
      </c>
      <c r="AH22" s="10" cm="1">
        <f t="array" ref="AH22">(SUMPRODUCT((G22:J22/G$9:J$9)^G$7:J$7 * G$5:J$5) + SUMPRODUCT((N22:P22/N$9:P$9)^N$7:P$7 * N$5:P$5) + SUMPRODUCT((S22:T22/S$9:T$9)^S$7:T$7 * S$5:T$5)) * AF$9</f>
        <v>1.707062273795209</v>
      </c>
      <c r="AI22" s="50" cm="1">
        <f t="array" ref="AI22">SUMPRODUCT(AE22:AH22 * AE$3:AH$3) / SUM(AE$3:AH$3)</f>
        <v>1.6596507130408524</v>
      </c>
      <c r="AJ22" s="12"/>
    </row>
    <row r="23" spans="1:36" s="83" customFormat="1" x14ac:dyDescent="0.25">
      <c r="A23" s="5" t="s">
        <v>283</v>
      </c>
      <c r="B23" s="16" t="s">
        <v>284</v>
      </c>
      <c r="C23" s="4" t="s">
        <v>427</v>
      </c>
      <c r="D23" s="90" t="s">
        <v>9079</v>
      </c>
      <c r="E23" s="75" t="s">
        <v>431</v>
      </c>
      <c r="F23" s="4" t="s">
        <v>7783</v>
      </c>
      <c r="G23" s="9">
        <v>8</v>
      </c>
      <c r="H23" s="3">
        <v>16</v>
      </c>
      <c r="I23" s="1">
        <v>3</v>
      </c>
      <c r="J23" s="1">
        <v>4.0999999999999996</v>
      </c>
      <c r="K23" s="11" t="s">
        <v>350</v>
      </c>
      <c r="L23" s="85" t="s">
        <v>399</v>
      </c>
      <c r="M23" s="4" t="s">
        <v>248</v>
      </c>
      <c r="N23" s="2">
        <v>4</v>
      </c>
      <c r="O23" s="2">
        <v>96</v>
      </c>
      <c r="P23" s="12">
        <v>105</v>
      </c>
      <c r="Q23" s="12" t="s">
        <v>406</v>
      </c>
      <c r="R23" s="12">
        <v>128</v>
      </c>
      <c r="S23" s="12">
        <v>3200</v>
      </c>
      <c r="T23" s="12">
        <v>2</v>
      </c>
      <c r="U23" s="12">
        <v>4</v>
      </c>
      <c r="V23" s="75">
        <v>24</v>
      </c>
      <c r="W23" s="75">
        <v>4</v>
      </c>
      <c r="X23" s="12">
        <v>4</v>
      </c>
      <c r="Y23" s="9">
        <v>238.66</v>
      </c>
      <c r="Z23" s="3">
        <v>1054.2</v>
      </c>
      <c r="AA23" s="66" t="s">
        <v>285</v>
      </c>
      <c r="AB23" s="66" t="s">
        <v>283</v>
      </c>
      <c r="AC23" s="79" t="s">
        <v>8799</v>
      </c>
      <c r="AD23" s="80" t="s">
        <v>8802</v>
      </c>
      <c r="AE23" s="49" cm="1">
        <f t="array" ref="AE23">(SUMPRODUCT((G23:J23/G$9:J$9)^G$7:J$7 * G$2:J$2) + SUMPRODUCT((N23:P23/N$9:P$9)^N$7:P$7 * N$2:P$2) + SUMPRODUCT((S23:T23/S$9:T$9)^S$7:T$7 * S$2:T$2)) * AE$9</f>
        <v>1.7999794548792309</v>
      </c>
      <c r="AF23" s="1" cm="1">
        <f t="array" ref="AF23">(SUMPRODUCT((G23:J23/G$9:J$9)^G$7:J$7 * G$3:J$3) + SUMPRODUCT((N23:P23/N$9:P$9)^N$7:P$7 * N$3:P$3) + SUMPRODUCT((S23:T23/S$9:T$9)^S$7:T$7 * S$3:T$3)) * AF$9</f>
        <v>2.3148381469685702</v>
      </c>
      <c r="AG23" s="1" cm="1">
        <f t="array" ref="AG23">(SUMPRODUCT((G23:J23/G$9:J$9)^G$7:J$7 * G$4:J$4) + SUMPRODUCT((N23:P23/N$9:P$9)^N$7:P$7 * N$4:P$4) + SUMPRODUCT((S23:T23/S$9:T$9)^S$7:T$7 * S$4:T$4)) * AF$9</f>
        <v>2.41195696857381</v>
      </c>
      <c r="AH23" s="10" cm="1">
        <f t="array" ref="AH23">(SUMPRODUCT((G23:J23/G$9:J$9)^G$7:J$7 * G$5:J$5) + SUMPRODUCT((N23:P23/N$9:P$9)^N$7:P$7 * N$5:P$5) + SUMPRODUCT((S23:T23/S$9:T$9)^S$7:T$7 * S$5:T$5)) * AF$9</f>
        <v>2.3148381469685702</v>
      </c>
      <c r="AI23" s="50" cm="1">
        <f t="array" ref="AI23">SUMPRODUCT(AE23:AH23 * AE$3:AH$3) / SUM(AE$3:AH$3)</f>
        <v>2.2109659598102978</v>
      </c>
      <c r="AJ23" s="12"/>
    </row>
    <row r="24" spans="1:36" s="83" customFormat="1" x14ac:dyDescent="0.25">
      <c r="A24" s="5" t="s">
        <v>280</v>
      </c>
      <c r="B24" s="16" t="s">
        <v>281</v>
      </c>
      <c r="C24" s="4" t="s">
        <v>427</v>
      </c>
      <c r="D24" s="90" t="s">
        <v>9079</v>
      </c>
      <c r="E24" s="75" t="s">
        <v>431</v>
      </c>
      <c r="F24" s="4" t="s">
        <v>7783</v>
      </c>
      <c r="G24" s="9">
        <v>8</v>
      </c>
      <c r="H24" s="3">
        <v>16</v>
      </c>
      <c r="I24" s="1">
        <v>3.8</v>
      </c>
      <c r="J24" s="1">
        <v>4.7</v>
      </c>
      <c r="K24" s="11" t="s">
        <v>350</v>
      </c>
      <c r="L24" s="85" t="s">
        <v>399</v>
      </c>
      <c r="M24" s="4" t="s">
        <v>248</v>
      </c>
      <c r="N24" s="2">
        <v>4</v>
      </c>
      <c r="O24" s="2">
        <v>32</v>
      </c>
      <c r="P24" s="12">
        <v>105</v>
      </c>
      <c r="Q24" s="12" t="s">
        <v>406</v>
      </c>
      <c r="R24" s="12">
        <v>128</v>
      </c>
      <c r="S24" s="12">
        <v>3200</v>
      </c>
      <c r="T24" s="12">
        <v>2</v>
      </c>
      <c r="U24" s="12">
        <v>4</v>
      </c>
      <c r="V24" s="75">
        <v>24</v>
      </c>
      <c r="W24" s="75">
        <v>4</v>
      </c>
      <c r="X24" s="12">
        <v>4</v>
      </c>
      <c r="Y24" s="9">
        <v>169.89</v>
      </c>
      <c r="Z24" s="3">
        <v>787.58</v>
      </c>
      <c r="AA24" s="66" t="s">
        <v>282</v>
      </c>
      <c r="AB24" s="66" t="s">
        <v>280</v>
      </c>
      <c r="AC24" s="79" t="s">
        <v>8799</v>
      </c>
      <c r="AD24" s="80" t="s">
        <v>8802</v>
      </c>
      <c r="AE24" s="49" cm="1">
        <f t="array" ref="AE24">(SUMPRODUCT((G24:J24/G$9:J$9)^G$7:J$7 * G$2:J$2) + SUMPRODUCT((N24:P24/N$9:P$9)^N$7:P$7 * N$2:P$2) + SUMPRODUCT((S24:T24/S$9:T$9)^S$7:T$7 * S$2:T$2)) * AE$9</f>
        <v>1.4487998436237495</v>
      </c>
      <c r="AF24" s="1" cm="1">
        <f t="array" ref="AF24">(SUMPRODUCT((G24:J24/G$9:J$9)^G$7:J$7 * G$3:J$3) + SUMPRODUCT((N24:P24/N$9:P$9)^N$7:P$7 * N$3:P$3) + SUMPRODUCT((S24:T24/S$9:T$9)^S$7:T$7 * S$3:T$3)) * AF$9</f>
        <v>1.7087830157996335</v>
      </c>
      <c r="AG24" s="1" cm="1">
        <f t="array" ref="AG24">(SUMPRODUCT((G24:J24/G$9:J$9)^G$7:J$7 * G$4:J$4) + SUMPRODUCT((N24:P24/N$9:P$9)^N$7:P$7 * N$4:P$4) + SUMPRODUCT((S24:T24/S$9:T$9)^S$7:T$7 * S$4:T$4)) * AF$9</f>
        <v>1.7887589802620163</v>
      </c>
      <c r="AH24" s="10" cm="1">
        <f t="array" ref="AH24">(SUMPRODUCT((G24:J24/G$9:J$9)^G$7:J$7 * G$5:J$5) + SUMPRODUCT((N24:P24/N$9:P$9)^N$7:P$7 * N$5:P$5) + SUMPRODUCT((S24:T24/S$9:T$9)^S$7:T$7 * S$5:T$5)) * AF$9</f>
        <v>1.7087830157996335</v>
      </c>
      <c r="AI24" s="50" cm="1">
        <f t="array" ref="AI24">SUMPRODUCT(AE24:AH24 * AE$3:AH$3) / SUM(AE$3:AH$3)</f>
        <v>1.6610908936763347</v>
      </c>
      <c r="AJ24" s="12"/>
    </row>
    <row r="25" spans="1:36" s="83" customFormat="1" x14ac:dyDescent="0.25">
      <c r="A25" s="5" t="s">
        <v>277</v>
      </c>
      <c r="B25" s="16" t="s">
        <v>278</v>
      </c>
      <c r="C25" s="4" t="s">
        <v>427</v>
      </c>
      <c r="D25" s="90" t="s">
        <v>9079</v>
      </c>
      <c r="E25" s="75" t="s">
        <v>431</v>
      </c>
      <c r="F25" s="4" t="s">
        <v>7783</v>
      </c>
      <c r="G25" s="9">
        <v>8</v>
      </c>
      <c r="H25" s="75">
        <v>16</v>
      </c>
      <c r="I25" s="1">
        <v>3.8</v>
      </c>
      <c r="J25" s="1">
        <v>4.8</v>
      </c>
      <c r="K25" s="11" t="s">
        <v>350</v>
      </c>
      <c r="L25" s="85" t="s">
        <v>399</v>
      </c>
      <c r="M25" s="4" t="s">
        <v>248</v>
      </c>
      <c r="N25" s="2">
        <v>4</v>
      </c>
      <c r="O25" s="2">
        <v>32</v>
      </c>
      <c r="P25" s="12">
        <v>105</v>
      </c>
      <c r="Q25" s="12" t="s">
        <v>406</v>
      </c>
      <c r="R25" s="12">
        <v>128</v>
      </c>
      <c r="S25" s="12">
        <v>3200</v>
      </c>
      <c r="T25" s="12">
        <v>2</v>
      </c>
      <c r="U25" s="12">
        <v>4</v>
      </c>
      <c r="V25" s="75">
        <v>24</v>
      </c>
      <c r="W25" s="75">
        <v>4</v>
      </c>
      <c r="X25" s="12">
        <v>4</v>
      </c>
      <c r="Y25" s="9">
        <v>193.67</v>
      </c>
      <c r="Z25" s="3">
        <v>344.9</v>
      </c>
      <c r="AA25" s="66" t="s">
        <v>279</v>
      </c>
      <c r="AB25" s="66" t="s">
        <v>277</v>
      </c>
      <c r="AC25" s="79" t="s">
        <v>8799</v>
      </c>
      <c r="AD25" s="80" t="s">
        <v>8800</v>
      </c>
      <c r="AE25" s="49" cm="1">
        <f t="array" ref="AE25">(SUMPRODUCT((G25:J25/G$9:J$9)^G$7:J$7 * G$2:J$2) + SUMPRODUCT((N25:P25/N$9:P$9)^N$7:P$7 * N$2:P$2) + SUMPRODUCT((S25:T25/S$9:T$9)^S$7:T$7 * S$2:T$2)) * AE$9</f>
        <v>1.4547522245761304</v>
      </c>
      <c r="AF25" s="1" cm="1">
        <f t="array" ref="AF25">(SUMPRODUCT((G25:J25/G$9:J$9)^G$7:J$7 * G$3:J$3) + SUMPRODUCT((N25:P25/N$9:P$9)^N$7:P$7 * N$3:P$3) + SUMPRODUCT((S25:T25/S$9:T$9)^S$7:T$7 * S$3:T$3)) * AF$9</f>
        <v>1.7111639681805859</v>
      </c>
      <c r="AG25" s="1" cm="1">
        <f t="array" ref="AG25">(SUMPRODUCT((G25:J25/G$9:J$9)^G$7:J$7 * G$4:J$4) + SUMPRODUCT((N25:P25/N$9:P$9)^N$7:P$7 * N$4:P$4) + SUMPRODUCT((S25:T25/S$9:T$9)^S$7:T$7 * S$4:T$4)) * AF$9</f>
        <v>1.7899494564524925</v>
      </c>
      <c r="AH25" s="10" cm="1">
        <f t="array" ref="AH25">(SUMPRODUCT((G25:J25/G$9:J$9)^G$7:J$7 * G$5:J$5) + SUMPRODUCT((N25:P25/N$9:P$9)^N$7:P$7 * N$5:P$5) + SUMPRODUCT((S25:T25/S$9:T$9)^S$7:T$7 * S$5:T$5)) * AF$9</f>
        <v>1.7111639681805859</v>
      </c>
      <c r="AI25" s="50" cm="1">
        <f t="array" ref="AI25">SUMPRODUCT(AE25:AH25 * AE$3:AH$3) / SUM(AE$3:AH$3)</f>
        <v>1.6641128716983125</v>
      </c>
      <c r="AJ25" s="12"/>
    </row>
    <row r="26" spans="1:36" s="83" customFormat="1" x14ac:dyDescent="0.25">
      <c r="A26" s="5" t="s">
        <v>258</v>
      </c>
      <c r="B26" s="16" t="s">
        <v>259</v>
      </c>
      <c r="C26" s="4" t="s">
        <v>427</v>
      </c>
      <c r="D26" s="90" t="s">
        <v>9079</v>
      </c>
      <c r="E26" s="75" t="s">
        <v>431</v>
      </c>
      <c r="F26" s="4" t="s">
        <v>7783</v>
      </c>
      <c r="G26" s="9">
        <v>8</v>
      </c>
      <c r="H26" s="3">
        <v>16</v>
      </c>
      <c r="I26" s="1">
        <v>3.2</v>
      </c>
      <c r="J26" s="1">
        <v>4.5999999999999996</v>
      </c>
      <c r="K26" s="11" t="s">
        <v>350</v>
      </c>
      <c r="L26" s="85" t="s">
        <v>399</v>
      </c>
      <c r="M26" s="4" t="s">
        <v>248</v>
      </c>
      <c r="N26" s="2">
        <v>4</v>
      </c>
      <c r="O26" s="2">
        <v>16</v>
      </c>
      <c r="P26" s="12">
        <v>35</v>
      </c>
      <c r="Q26" s="12" t="s">
        <v>406</v>
      </c>
      <c r="R26" s="12">
        <v>128</v>
      </c>
      <c r="S26" s="12">
        <v>3200</v>
      </c>
      <c r="T26" s="12">
        <v>2</v>
      </c>
      <c r="U26" s="12">
        <v>3</v>
      </c>
      <c r="V26" s="75">
        <v>24</v>
      </c>
      <c r="W26" s="75">
        <v>3</v>
      </c>
      <c r="X26" s="12">
        <v>4</v>
      </c>
      <c r="Y26" s="9">
        <v>394.07</v>
      </c>
      <c r="Z26" s="3">
        <v>504.9</v>
      </c>
      <c r="AA26" s="66" t="s">
        <v>261</v>
      </c>
      <c r="AB26" s="66" t="s">
        <v>258</v>
      </c>
      <c r="AC26" s="79" t="s">
        <v>8801</v>
      </c>
      <c r="AD26" s="80" t="s">
        <v>8802</v>
      </c>
      <c r="AE26" s="49" cm="1">
        <f t="array" ref="AE26">(SUMPRODUCT((G26:J26/G$9:J$9)^G$7:J$7 * G$2:J$2) + SUMPRODUCT((N26:P26/N$9:P$9)^N$7:P$7 * N$2:P$2) + SUMPRODUCT((S26:T26/S$9:T$9)^S$7:T$7 * S$2:T$2)) * AE$9</f>
        <v>1.3414117115554187</v>
      </c>
      <c r="AF26" s="1" cm="1">
        <f t="array" ref="AF26">(SUMPRODUCT((G26:J26/G$9:J$9)^G$7:J$7 * G$3:J$3) + SUMPRODUCT((N26:P26/N$9:P$9)^N$7:P$7 * N$3:P$3) + SUMPRODUCT((S26:T26/S$9:T$9)^S$7:T$7 * S$3:T$3)) * AF$9</f>
        <v>1.5266509872178515</v>
      </c>
      <c r="AG26" s="1" cm="1">
        <f t="array" ref="AG26">(SUMPRODUCT((G26:J26/G$9:J$9)^G$7:J$7 * G$4:J$4) + SUMPRODUCT((N26:P26/N$9:P$9)^N$7:P$7 * N$4:P$4) + SUMPRODUCT((S26:T26/S$9:T$9)^S$7:T$7 * S$4:T$4)) * AF$9</f>
        <v>1.6153174278707103</v>
      </c>
      <c r="AH26" s="10" cm="1">
        <f t="array" ref="AH26">(SUMPRODUCT((G26:J26/G$9:J$9)^G$7:J$7 * G$5:J$5) + SUMPRODUCT((N26:P26/N$9:P$9)^N$7:P$7 * N$5:P$5) + SUMPRODUCT((S26:T26/S$9:T$9)^S$7:T$7 * S$5:T$5)) * AF$9</f>
        <v>1.5266509872178515</v>
      </c>
      <c r="AI26" s="50" cm="1">
        <f t="array" ref="AI26">SUMPRODUCT(AE26:AH26 * AE$3:AH$3) / SUM(AE$3:AH$3)</f>
        <v>1.4975444529346531</v>
      </c>
      <c r="AJ26" s="12"/>
    </row>
    <row r="27" spans="1:36" x14ac:dyDescent="0.25">
      <c r="A27" s="5" t="s">
        <v>255</v>
      </c>
      <c r="B27" s="16" t="s">
        <v>256</v>
      </c>
      <c r="C27" s="4" t="s">
        <v>427</v>
      </c>
      <c r="D27" s="90" t="s">
        <v>9080</v>
      </c>
      <c r="E27" s="75" t="s">
        <v>432</v>
      </c>
      <c r="F27" s="4" t="s">
        <v>7783</v>
      </c>
      <c r="G27" s="9">
        <v>12</v>
      </c>
      <c r="H27" s="3">
        <v>24</v>
      </c>
      <c r="I27" s="1">
        <v>3.7</v>
      </c>
      <c r="J27" s="1">
        <v>4.8</v>
      </c>
      <c r="K27" s="11" t="s">
        <v>350</v>
      </c>
      <c r="L27" s="85" t="s">
        <v>399</v>
      </c>
      <c r="M27" s="4" t="s">
        <v>248</v>
      </c>
      <c r="N27" s="2">
        <v>6</v>
      </c>
      <c r="O27" s="2">
        <v>64</v>
      </c>
      <c r="P27" s="12">
        <v>105</v>
      </c>
      <c r="Q27" s="12" t="s">
        <v>406</v>
      </c>
      <c r="R27" s="12">
        <v>128</v>
      </c>
      <c r="S27" s="12">
        <v>3200</v>
      </c>
      <c r="T27" s="12">
        <v>2</v>
      </c>
      <c r="U27" s="12">
        <v>4</v>
      </c>
      <c r="V27" s="75">
        <v>24</v>
      </c>
      <c r="W27" s="75">
        <v>4</v>
      </c>
      <c r="X27" s="12">
        <v>4</v>
      </c>
      <c r="Y27" s="9">
        <v>248.89</v>
      </c>
      <c r="Z27" s="3">
        <v>1098.42</v>
      </c>
      <c r="AA27" s="66" t="s">
        <v>257</v>
      </c>
      <c r="AB27" s="66" t="s">
        <v>255</v>
      </c>
      <c r="AC27" s="79" t="s">
        <v>8799</v>
      </c>
      <c r="AD27" s="80" t="s">
        <v>8802</v>
      </c>
      <c r="AE27" s="49" cm="1">
        <f t="array" ref="AE27">(SUMPRODUCT((G27:J27/G$9:J$9)^G$7:J$7 * G$2:J$2) + SUMPRODUCT((N27:P27/N$9:P$9)^N$7:P$7 * N$2:P$2) + SUMPRODUCT((S27:T27/S$9:T$9)^S$7:T$7 * S$2:T$2)) * AE$9</f>
        <v>1.9052106356268708</v>
      </c>
      <c r="AF27" s="1" cm="1">
        <f t="array" ref="AF27">(SUMPRODUCT((G27:J27/G$9:J$9)^G$7:J$7 * G$3:J$3) + SUMPRODUCT((N27:P27/N$9:P$9)^N$7:P$7 * N$3:P$3) + SUMPRODUCT((S27:T27/S$9:T$9)^S$7:T$7 * S$3:T$3)) * AF$9</f>
        <v>2.42506992513366</v>
      </c>
      <c r="AG27" s="1" cm="1">
        <f t="array" ref="AG27">(SUMPRODUCT((G27:J27/G$9:J$9)^G$7:J$7 * G$4:J$4) + SUMPRODUCT((N27:P27/N$9:P$9)^N$7:P$7 * N$4:P$4) + SUMPRODUCT((S27:T27/S$9:T$9)^S$7:T$7 * S$4:T$4)) * AF$9</f>
        <v>2.5832813695489691</v>
      </c>
      <c r="AH27" s="10" cm="1">
        <f t="array" ref="AH27">(SUMPRODUCT((G27:J27/G$9:J$9)^G$7:J$7 * G$5:J$5) + SUMPRODUCT((N27:P27/N$9:P$9)^N$7:P$7 * N$5:P$5) + SUMPRODUCT((S27:T27/S$9:T$9)^S$7:T$7 * S$5:T$5)) * AF$9</f>
        <v>2.42506992513366</v>
      </c>
      <c r="AI27" s="50" cm="1">
        <f t="array" ref="AI27">SUMPRODUCT(AE27:AH27 * AE$3:AH$3) / SUM(AE$3:AH$3)</f>
        <v>2.3294426190036792</v>
      </c>
    </row>
    <row r="28" spans="1:36" x14ac:dyDescent="0.25">
      <c r="A28" s="5" t="s">
        <v>252</v>
      </c>
      <c r="B28" s="16" t="s">
        <v>253</v>
      </c>
      <c r="C28" s="4" t="s">
        <v>427</v>
      </c>
      <c r="D28" s="90" t="s">
        <v>9080</v>
      </c>
      <c r="E28" s="75" t="s">
        <v>432</v>
      </c>
      <c r="F28" s="4" t="s">
        <v>7783</v>
      </c>
      <c r="G28" s="9">
        <v>16</v>
      </c>
      <c r="H28" s="75">
        <v>32</v>
      </c>
      <c r="I28" s="1">
        <v>3.3</v>
      </c>
      <c r="J28" s="1">
        <v>4.8</v>
      </c>
      <c r="K28" s="11" t="s">
        <v>350</v>
      </c>
      <c r="L28" s="85" t="s">
        <v>399</v>
      </c>
      <c r="M28" s="4" t="s">
        <v>248</v>
      </c>
      <c r="N28" s="2">
        <v>8</v>
      </c>
      <c r="O28" s="2">
        <v>64</v>
      </c>
      <c r="P28" s="12">
        <v>105</v>
      </c>
      <c r="Q28" s="12" t="s">
        <v>406</v>
      </c>
      <c r="R28" s="12">
        <v>128</v>
      </c>
      <c r="S28" s="12">
        <v>3200</v>
      </c>
      <c r="T28" s="12">
        <v>2</v>
      </c>
      <c r="U28" s="12">
        <v>4</v>
      </c>
      <c r="V28" s="75">
        <v>24</v>
      </c>
      <c r="W28" s="75">
        <v>4</v>
      </c>
      <c r="X28" s="12">
        <v>4</v>
      </c>
      <c r="Y28" s="9">
        <v>334.7</v>
      </c>
      <c r="Z28" s="3">
        <v>537</v>
      </c>
      <c r="AA28" s="66" t="s">
        <v>254</v>
      </c>
      <c r="AB28" s="66" t="s">
        <v>252</v>
      </c>
      <c r="AC28" s="79" t="s">
        <v>8799</v>
      </c>
      <c r="AD28" s="80" t="s">
        <v>8802</v>
      </c>
      <c r="AE28" s="49" cm="1">
        <f t="array" ref="AE28">(SUMPRODUCT((G28:J28/G$9:J$9)^G$7:J$7 * G$2:J$2) + SUMPRODUCT((N28:P28/N$9:P$9)^N$7:P$7 * N$2:P$2) + SUMPRODUCT((S28:T28/S$9:T$9)^S$7:T$7 * S$2:T$2)) * AE$9</f>
        <v>2.1059999824415963</v>
      </c>
      <c r="AF28" s="1" cm="1">
        <f t="array" ref="AF28">(SUMPRODUCT((G28:J28/G$9:J$9)^G$7:J$7 * G$3:J$3) + SUMPRODUCT((N28:P28/N$9:P$9)^N$7:P$7 * N$3:P$3) + SUMPRODUCT((S28:T28/S$9:T$9)^S$7:T$7 * S$3:T$3)) * AF$9</f>
        <v>2.7772159313968907</v>
      </c>
      <c r="AG28" s="1" cm="1">
        <f t="array" ref="AG28">(SUMPRODUCT((G28:J28/G$9:J$9)^G$7:J$7 * G$4:J$4) + SUMPRODUCT((N28:P28/N$9:P$9)^N$7:P$7 * N$4:P$4) + SUMPRODUCT((S28:T28/S$9:T$9)^S$7:T$7 * S$4:T$4)) * AF$9</f>
        <v>3.0153836661845053</v>
      </c>
      <c r="AH28" s="10" cm="1">
        <f t="array" ref="AH28">(SUMPRODUCT((G28:J28/G$9:J$9)^G$7:J$7 * G$5:J$5) + SUMPRODUCT((N28:P28/N$9:P$9)^N$7:P$7 * N$5:P$5) + SUMPRODUCT((S28:T28/S$9:T$9)^S$7:T$7 * S$5:T$5)) * AF$9</f>
        <v>2.7772159313968907</v>
      </c>
      <c r="AI28" s="50" cm="1">
        <f t="array" ref="AI28">SUMPRODUCT(AE28:AH28 * AE$3:AH$3) / SUM(AE$3:AH$3)</f>
        <v>2.6589611331437633</v>
      </c>
    </row>
    <row r="29" spans="1:36" x14ac:dyDescent="0.25">
      <c r="A29" s="5" t="s">
        <v>249</v>
      </c>
      <c r="B29" s="16" t="s">
        <v>250</v>
      </c>
      <c r="C29" s="4" t="s">
        <v>427</v>
      </c>
      <c r="D29" s="90" t="s">
        <v>9080</v>
      </c>
      <c r="E29" s="75" t="s">
        <v>432</v>
      </c>
      <c r="F29" s="4" t="s">
        <v>7783</v>
      </c>
      <c r="G29" s="9">
        <v>16</v>
      </c>
      <c r="H29" s="3">
        <v>32</v>
      </c>
      <c r="I29" s="1">
        <v>3.4</v>
      </c>
      <c r="J29" s="1">
        <v>4.9000000000000004</v>
      </c>
      <c r="K29" s="11" t="s">
        <v>350</v>
      </c>
      <c r="L29" s="85" t="s">
        <v>399</v>
      </c>
      <c r="M29" s="4" t="s">
        <v>248</v>
      </c>
      <c r="N29" s="2">
        <v>8</v>
      </c>
      <c r="O29" s="2">
        <v>64</v>
      </c>
      <c r="P29" s="12">
        <v>105</v>
      </c>
      <c r="Q29" s="12" t="s">
        <v>406</v>
      </c>
      <c r="R29" s="12">
        <v>128</v>
      </c>
      <c r="S29" s="12">
        <v>3200</v>
      </c>
      <c r="T29" s="12">
        <v>2</v>
      </c>
      <c r="U29" s="12">
        <v>4</v>
      </c>
      <c r="V29" s="75">
        <v>24</v>
      </c>
      <c r="W29" s="75">
        <v>4</v>
      </c>
      <c r="X29" s="12">
        <v>4</v>
      </c>
      <c r="Y29" s="9">
        <v>314.23</v>
      </c>
      <c r="Z29" s="3">
        <v>1381.55</v>
      </c>
      <c r="AA29" s="66" t="s">
        <v>251</v>
      </c>
      <c r="AB29" s="66" t="s">
        <v>249</v>
      </c>
      <c r="AC29" s="79" t="s">
        <v>8799</v>
      </c>
      <c r="AD29" s="80" t="s">
        <v>8802</v>
      </c>
      <c r="AE29" s="49" cm="1">
        <f t="array" ref="AE29">(SUMPRODUCT((G29:J29/G$9:J$9)^G$7:J$7 * G$2:J$2) + SUMPRODUCT((N29:P29/N$9:P$9)^N$7:P$7 * N$2:P$2) + SUMPRODUCT((S29:T29/S$9:T$9)^S$7:T$7 * S$2:T$2)) * AE$9</f>
        <v>2.1169523633939771</v>
      </c>
      <c r="AF29" s="1" cm="1">
        <f t="array" ref="AF29">(SUMPRODUCT((G29:J29/G$9:J$9)^G$7:J$7 * G$3:J$3) + SUMPRODUCT((N29:P29/N$9:P$9)^N$7:P$7 * N$3:P$3) + SUMPRODUCT((S29:T29/S$9:T$9)^S$7:T$7 * S$3:T$3)) * AF$9</f>
        <v>2.7820968837778426</v>
      </c>
      <c r="AG29" s="1" cm="1">
        <f t="array" ref="AG29">(SUMPRODUCT((G29:J29/G$9:J$9)^G$7:J$7 * G$4:J$4) + SUMPRODUCT((N29:P29/N$9:P$9)^N$7:P$7 * N$4:P$4) + SUMPRODUCT((S29:T29/S$9:T$9)^S$7:T$7 * S$4:T$4)) * AF$9</f>
        <v>3.0178241423749812</v>
      </c>
      <c r="AH29" s="10" cm="1">
        <f t="array" ref="AH29">(SUMPRODUCT((G29:J29/G$9:J$9)^G$7:J$7 * G$5:J$5) + SUMPRODUCT((N29:P29/N$9:P$9)^N$7:P$7 * N$5:P$5) + SUMPRODUCT((S29:T29/S$9:T$9)^S$7:T$7 * S$5:T$5)) * AF$9</f>
        <v>2.7820968837778426</v>
      </c>
      <c r="AI29" s="50" cm="1">
        <f t="array" ref="AI29">SUMPRODUCT(AE29:AH29 * AE$3:AH$3) / SUM(AE$3:AH$3)</f>
        <v>2.664867726550356</v>
      </c>
    </row>
    <row r="30" spans="1:36" s="83" customFormat="1" x14ac:dyDescent="0.25">
      <c r="A30" s="5" t="s">
        <v>316</v>
      </c>
      <c r="B30" s="16" t="s">
        <v>317</v>
      </c>
      <c r="C30" s="4" t="s">
        <v>427</v>
      </c>
      <c r="D30" s="90" t="s">
        <v>9081</v>
      </c>
      <c r="E30" s="75" t="s">
        <v>430</v>
      </c>
      <c r="F30" s="4" t="s">
        <v>6734</v>
      </c>
      <c r="G30" s="9">
        <v>6</v>
      </c>
      <c r="H30" s="3">
        <v>12</v>
      </c>
      <c r="I30" s="1">
        <v>3.7</v>
      </c>
      <c r="J30" s="1">
        <v>5</v>
      </c>
      <c r="K30" s="11" t="s">
        <v>351</v>
      </c>
      <c r="L30" s="85" t="s">
        <v>400</v>
      </c>
      <c r="M30" s="4" t="s">
        <v>223</v>
      </c>
      <c r="N30" s="2">
        <v>6</v>
      </c>
      <c r="O30" s="2">
        <v>32</v>
      </c>
      <c r="P30" s="12">
        <v>65</v>
      </c>
      <c r="Q30" s="12" t="s">
        <v>407</v>
      </c>
      <c r="R30" s="12">
        <v>192</v>
      </c>
      <c r="S30" s="12">
        <v>5200</v>
      </c>
      <c r="T30" s="12">
        <v>2</v>
      </c>
      <c r="U30" s="12">
        <v>5</v>
      </c>
      <c r="V30" s="75">
        <v>28</v>
      </c>
      <c r="W30" s="75">
        <v>4</v>
      </c>
      <c r="X30" s="12">
        <v>4</v>
      </c>
      <c r="Y30" s="9">
        <v>158.96</v>
      </c>
      <c r="Z30" s="3">
        <v>702.6</v>
      </c>
      <c r="AA30" s="66" t="s">
        <v>318</v>
      </c>
      <c r="AB30" s="66" t="s">
        <v>316</v>
      </c>
      <c r="AC30" s="79" t="s">
        <v>8801</v>
      </c>
      <c r="AD30" s="80" t="s">
        <v>8802</v>
      </c>
      <c r="AE30" s="49" cm="1">
        <f t="array" ref="AE30">(SUMPRODUCT((G30:J30/G$9:J$9)^G$7:J$7 * G$2:J$2) + SUMPRODUCT((N30:P30/N$9:P$9)^N$7:P$7 * N$2:P$2) + SUMPRODUCT((S30:T30/S$9:T$9)^S$7:T$7 * S$2:T$2)) * AE$9</f>
        <v>1.4336192588235772</v>
      </c>
      <c r="AF30" s="1" cm="1">
        <f t="array" ref="AF30">(SUMPRODUCT((G30:J30/G$9:J$9)^G$7:J$7 * G$3:J$3) + SUMPRODUCT((N30:P30/N$9:P$9)^N$7:P$7 * N$3:P$3) + SUMPRODUCT((S30:T30/S$9:T$9)^S$7:T$7 * S$3:T$3)) * AF$9</f>
        <v>1.6476994822051769</v>
      </c>
      <c r="AG30" s="1" cm="1">
        <f t="array" ref="AG30">(SUMPRODUCT((G30:J30/G$9:J$9)^G$7:J$7 * G$4:J$4) + SUMPRODUCT((N30:P30/N$9:P$9)^N$7:P$7 * N$4:P$4) + SUMPRODUCT((S30:T30/S$9:T$9)^S$7:T$7 * S$4:T$4)) * AF$9</f>
        <v>1.6845199719800523</v>
      </c>
      <c r="AH30" s="10" cm="1">
        <f t="array" ref="AH30">(SUMPRODUCT((G30:J30/G$9:J$9)^G$7:J$7 * G$5:J$5) + SUMPRODUCT((N30:P30/N$9:P$9)^N$7:P$7 * N$5:P$5) + SUMPRODUCT((S30:T30/S$9:T$9)^S$7:T$7 * S$5:T$5)) * AF$9</f>
        <v>1.6476994822051769</v>
      </c>
      <c r="AI30" s="50" cm="1">
        <f t="array" ref="AI30">SUMPRODUCT(AE30:AH30 * AE$3:AH$3) / SUM(AE$3:AH$3)</f>
        <v>1.6039610444670962</v>
      </c>
      <c r="AJ30" s="12"/>
    </row>
    <row r="31" spans="1:36" s="83" customFormat="1" x14ac:dyDescent="0.25">
      <c r="A31" s="5" t="s">
        <v>313</v>
      </c>
      <c r="B31" s="16" t="s">
        <v>314</v>
      </c>
      <c r="C31" s="4" t="s">
        <v>427</v>
      </c>
      <c r="D31" s="90" t="s">
        <v>9081</v>
      </c>
      <c r="E31" s="75" t="s">
        <v>430</v>
      </c>
      <c r="F31" s="4" t="s">
        <v>6734</v>
      </c>
      <c r="G31" s="9">
        <v>6</v>
      </c>
      <c r="H31" s="75">
        <v>12</v>
      </c>
      <c r="I31" s="1">
        <v>3.8</v>
      </c>
      <c r="J31" s="1">
        <v>5.0999999999999996</v>
      </c>
      <c r="K31" s="11" t="s">
        <v>351</v>
      </c>
      <c r="L31" s="85" t="s">
        <v>400</v>
      </c>
      <c r="M31" s="4" t="s">
        <v>223</v>
      </c>
      <c r="N31" s="2">
        <v>6</v>
      </c>
      <c r="O31" s="2">
        <v>32</v>
      </c>
      <c r="P31" s="12">
        <v>65</v>
      </c>
      <c r="Q31" s="12" t="s">
        <v>407</v>
      </c>
      <c r="R31" s="12">
        <v>192</v>
      </c>
      <c r="S31" s="12">
        <v>5200</v>
      </c>
      <c r="T31" s="12">
        <v>2</v>
      </c>
      <c r="U31" s="12">
        <v>5</v>
      </c>
      <c r="V31" s="75">
        <v>28</v>
      </c>
      <c r="W31" s="75">
        <v>4</v>
      </c>
      <c r="X31" s="12">
        <v>4</v>
      </c>
      <c r="Y31" s="9">
        <v>204.48</v>
      </c>
      <c r="Z31" s="3">
        <v>312</v>
      </c>
      <c r="AA31" s="66" t="s">
        <v>315</v>
      </c>
      <c r="AB31" s="66" t="s">
        <v>313</v>
      </c>
      <c r="AC31" s="79" t="s">
        <v>8799</v>
      </c>
      <c r="AD31" s="80" t="s">
        <v>8800</v>
      </c>
      <c r="AE31" s="49" cm="1">
        <f t="array" ref="AE31">(SUMPRODUCT((G31:J31/G$9:J$9)^G$7:J$7 * G$2:J$2) + SUMPRODUCT((N31:P31/N$9:P$9)^N$7:P$7 * N$2:P$2) + SUMPRODUCT((S31:T31/S$9:T$9)^S$7:T$7 * S$2:T$2)) * AE$9</f>
        <v>1.444571639775958</v>
      </c>
      <c r="AF31" s="1" cm="1">
        <f t="array" ref="AF31">(SUMPRODUCT((G31:J31/G$9:J$9)^G$7:J$7 * G$3:J$3) + SUMPRODUCT((N31:P31/N$9:P$9)^N$7:P$7 * N$3:P$3) + SUMPRODUCT((S31:T31/S$9:T$9)^S$7:T$7 * S$3:T$3)) * AF$9</f>
        <v>1.6525804345861292</v>
      </c>
      <c r="AG31" s="1" cm="1">
        <f t="array" ref="AG31">(SUMPRODUCT((G31:J31/G$9:J$9)^G$7:J$7 * G$4:J$4) + SUMPRODUCT((N31:P31/N$9:P$9)^N$7:P$7 * N$4:P$4) + SUMPRODUCT((S31:T31/S$9:T$9)^S$7:T$7 * S$4:T$4)) * AF$9</f>
        <v>1.6869604481705285</v>
      </c>
      <c r="AH31" s="10" cm="1">
        <f t="array" ref="AH31">(SUMPRODUCT((G31:J31/G$9:J$9)^G$7:J$7 * G$5:J$5) + SUMPRODUCT((N31:P31/N$9:P$9)^N$7:P$7 * N$5:P$5) + SUMPRODUCT((S31:T31/S$9:T$9)^S$7:T$7 * S$5:T$5)) * AF$9</f>
        <v>1.6525804345861292</v>
      </c>
      <c r="AI31" s="50" cm="1">
        <f t="array" ref="AI31">SUMPRODUCT(AE31:AH31 * AE$3:AH$3) / SUM(AE$3:AH$3)</f>
        <v>1.6098676378736896</v>
      </c>
      <c r="AJ31" s="12"/>
    </row>
    <row r="32" spans="1:36" s="83" customFormat="1" x14ac:dyDescent="0.25">
      <c r="A32" s="5" t="s">
        <v>310</v>
      </c>
      <c r="B32" s="16" t="s">
        <v>311</v>
      </c>
      <c r="C32" s="4" t="s">
        <v>427</v>
      </c>
      <c r="D32" s="90" t="s">
        <v>9081</v>
      </c>
      <c r="E32" s="75" t="s">
        <v>430</v>
      </c>
      <c r="F32" s="4" t="s">
        <v>6734</v>
      </c>
      <c r="G32" s="9">
        <v>6</v>
      </c>
      <c r="H32" s="3">
        <v>12</v>
      </c>
      <c r="I32" s="1">
        <v>4.7</v>
      </c>
      <c r="J32" s="1">
        <v>5.3</v>
      </c>
      <c r="K32" s="11" t="s">
        <v>351</v>
      </c>
      <c r="L32" s="85" t="s">
        <v>400</v>
      </c>
      <c r="M32" s="4" t="s">
        <v>223</v>
      </c>
      <c r="N32" s="2">
        <v>6</v>
      </c>
      <c r="O32" s="2">
        <v>32</v>
      </c>
      <c r="P32" s="12">
        <v>105</v>
      </c>
      <c r="Q32" s="12" t="s">
        <v>407</v>
      </c>
      <c r="R32" s="12">
        <v>192</v>
      </c>
      <c r="S32" s="12">
        <v>5200</v>
      </c>
      <c r="T32" s="12">
        <v>2</v>
      </c>
      <c r="U32" s="12">
        <v>5</v>
      </c>
      <c r="V32" s="75">
        <v>28</v>
      </c>
      <c r="W32" s="75">
        <v>4</v>
      </c>
      <c r="X32" s="12">
        <v>4</v>
      </c>
      <c r="Y32" s="9">
        <v>214.4</v>
      </c>
      <c r="Z32" s="3">
        <v>972.23</v>
      </c>
      <c r="AA32" s="66" t="s">
        <v>312</v>
      </c>
      <c r="AB32" s="66" t="s">
        <v>310</v>
      </c>
      <c r="AC32" s="79" t="s">
        <v>8799</v>
      </c>
      <c r="AD32" s="80" t="s">
        <v>8802</v>
      </c>
      <c r="AE32" s="49" cm="1">
        <f t="array" ref="AE32">(SUMPRODUCT((G32:J32/G$9:J$9)^G$7:J$7 * G$2:J$2) + SUMPRODUCT((N32:P32/N$9:P$9)^N$7:P$7 * N$2:P$2) + SUMPRODUCT((S32:T32/S$9:T$9)^S$7:T$7 * S$2:T$2)) * AE$9</f>
        <v>1.4801559809276645</v>
      </c>
      <c r="AF32" s="1" cm="1">
        <f t="array" ref="AF32">(SUMPRODUCT((G32:J32/G$9:J$9)^G$7:J$7 * G$3:J$3) + SUMPRODUCT((N32:P32/N$9:P$9)^N$7:P$7 * N$3:P$3) + SUMPRODUCT((S32:T32/S$9:T$9)^S$7:T$7 * S$3:T$3)) * AF$9</f>
        <v>1.6691821289715063</v>
      </c>
      <c r="AG32" s="1" cm="1">
        <f t="array" ref="AG32">(SUMPRODUCT((G32:J32/G$9:J$9)^G$7:J$7 * G$4:J$4) + SUMPRODUCT((N32:P32/N$9:P$9)^N$7:P$7 * N$4:P$4) + SUMPRODUCT((S32:T32/S$9:T$9)^S$7:T$7 * S$4:T$4)) * AF$9</f>
        <v>1.689931190174953</v>
      </c>
      <c r="AH32" s="10" cm="1">
        <f t="array" ref="AH32">(SUMPRODUCT((G32:J32/G$9:J$9)^G$7:J$7 * G$5:J$5) + SUMPRODUCT((N32:P32/N$9:P$9)^N$7:P$7 * N$5:P$5) + SUMPRODUCT((S32:T32/S$9:T$9)^S$7:T$7 * S$5:T$5)) * AF$9</f>
        <v>1.6691821289715063</v>
      </c>
      <c r="AI32" s="50" cm="1">
        <f t="array" ref="AI32">SUMPRODUCT(AE32:AH32 * AE$3:AH$3) / SUM(AE$3:AH$3)</f>
        <v>1.6287528734542269</v>
      </c>
      <c r="AJ32" s="12"/>
    </row>
    <row r="33" spans="1:36" s="83" customFormat="1" x14ac:dyDescent="0.25">
      <c r="A33" s="5" t="s">
        <v>307</v>
      </c>
      <c r="B33" s="16" t="s">
        <v>308</v>
      </c>
      <c r="C33" s="4" t="s">
        <v>427</v>
      </c>
      <c r="D33" s="90" t="s">
        <v>9081</v>
      </c>
      <c r="E33" s="75" t="s">
        <v>430</v>
      </c>
      <c r="F33" s="4" t="s">
        <v>6734</v>
      </c>
      <c r="G33" s="9">
        <v>6</v>
      </c>
      <c r="H33" s="3">
        <v>12</v>
      </c>
      <c r="I33" s="1">
        <v>4.0999999999999996</v>
      </c>
      <c r="J33" s="1">
        <v>4.7</v>
      </c>
      <c r="K33" s="11" t="s">
        <v>351</v>
      </c>
      <c r="L33" s="85" t="s">
        <v>400</v>
      </c>
      <c r="M33" s="4" t="s">
        <v>223</v>
      </c>
      <c r="N33" s="2">
        <v>6</v>
      </c>
      <c r="O33" s="2">
        <v>96</v>
      </c>
      <c r="P33" s="12">
        <v>65</v>
      </c>
      <c r="Q33" s="12" t="s">
        <v>407</v>
      </c>
      <c r="R33" s="12">
        <v>128</v>
      </c>
      <c r="S33" s="12">
        <v>5200</v>
      </c>
      <c r="T33" s="12">
        <v>2</v>
      </c>
      <c r="U33" s="12">
        <v>5</v>
      </c>
      <c r="V33" s="75">
        <v>28</v>
      </c>
      <c r="W33" s="75">
        <v>4</v>
      </c>
      <c r="X33" s="12">
        <v>4</v>
      </c>
      <c r="Y33" s="9">
        <v>299</v>
      </c>
      <c r="Z33" s="3">
        <v>389.73</v>
      </c>
      <c r="AA33" s="66" t="s">
        <v>309</v>
      </c>
      <c r="AB33" s="66" t="s">
        <v>307</v>
      </c>
      <c r="AC33" s="79" t="s">
        <v>8799</v>
      </c>
      <c r="AD33" s="80" t="s">
        <v>8802</v>
      </c>
      <c r="AE33" s="49" cm="1">
        <f t="array" ref="AE33">(SUMPRODUCT((G33:J33/G$9:J$9)^G$7:J$7 * G$2:J$2) + SUMPRODUCT((N33:P33/N$9:P$9)^N$7:P$7 * N$2:P$2) + SUMPRODUCT((S33:T33/S$9:T$9)^S$7:T$7 * S$2:T$2)) * AE$9</f>
        <v>1.862656012936202</v>
      </c>
      <c r="AF33" s="1" cm="1">
        <f t="array" ref="AF33">(SUMPRODUCT((G33:J33/G$9:J$9)^G$7:J$7 * G$3:J$3) + SUMPRODUCT((N33:P33/N$9:P$9)^N$7:P$7 * N$3:P$3) + SUMPRODUCT((S33:T33/S$9:T$9)^S$7:T$7 * S$3:T$3)) * AF$9</f>
        <v>2.2908974705169709</v>
      </c>
      <c r="AG33" s="1" cm="1">
        <f t="array" ref="AG33">(SUMPRODUCT((G33:J33/G$9:J$9)^G$7:J$7 * G$4:J$4) + SUMPRODUCT((N33:P33/N$9:P$9)^N$7:P$7 * N$4:P$4) + SUMPRODUCT((S33:T33/S$9:T$9)^S$7:T$7 * S$4:T$4)) * AF$9</f>
        <v>2.326289388863275</v>
      </c>
      <c r="AH33" s="10" cm="1">
        <f t="array" ref="AH33">(SUMPRODUCT((G33:J33/G$9:J$9)^G$7:J$7 * G$5:J$5) + SUMPRODUCT((N33:P33/N$9:P$9)^N$7:P$7 * N$5:P$5) + SUMPRODUCT((S33:T33/S$9:T$9)^S$7:T$7 * S$5:T$5)) * AF$9</f>
        <v>2.2908974705169709</v>
      </c>
      <c r="AI33" s="50" cm="1">
        <f t="array" ref="AI33">SUMPRODUCT(AE33:AH33 * AE$3:AH$3) / SUM(AE$3:AH$3)</f>
        <v>2.1975174292823785</v>
      </c>
      <c r="AJ33" s="12"/>
    </row>
    <row r="34" spans="1:36" s="83" customFormat="1" x14ac:dyDescent="0.25">
      <c r="A34" s="5" t="s">
        <v>295</v>
      </c>
      <c r="B34" s="16" t="s">
        <v>296</v>
      </c>
      <c r="C34" s="4" t="s">
        <v>427</v>
      </c>
      <c r="D34" s="90" t="s">
        <v>9081</v>
      </c>
      <c r="E34" s="75" t="s">
        <v>430</v>
      </c>
      <c r="F34" s="4" t="s">
        <v>6734</v>
      </c>
      <c r="G34" s="9">
        <v>6</v>
      </c>
      <c r="H34" s="75">
        <v>12</v>
      </c>
      <c r="I34" s="1">
        <v>3.8</v>
      </c>
      <c r="J34" s="1">
        <v>5.0999999999999996</v>
      </c>
      <c r="K34" s="11" t="s">
        <v>351</v>
      </c>
      <c r="L34" s="85" t="s">
        <v>400</v>
      </c>
      <c r="M34" s="4" t="s">
        <v>223</v>
      </c>
      <c r="N34" s="2">
        <v>6</v>
      </c>
      <c r="O34" s="2">
        <v>32</v>
      </c>
      <c r="P34" s="12">
        <v>65</v>
      </c>
      <c r="Q34" s="12" t="s">
        <v>407</v>
      </c>
      <c r="R34" s="12">
        <v>192</v>
      </c>
      <c r="S34" s="12">
        <v>5200</v>
      </c>
      <c r="T34" s="12">
        <v>2</v>
      </c>
      <c r="U34" s="12">
        <v>5</v>
      </c>
      <c r="V34" s="75">
        <v>28</v>
      </c>
      <c r="W34" s="75">
        <v>4</v>
      </c>
      <c r="X34" s="12">
        <v>4</v>
      </c>
      <c r="Y34" s="9">
        <v>247</v>
      </c>
      <c r="Z34" s="3">
        <v>2327.16</v>
      </c>
      <c r="AA34" s="66" t="s">
        <v>297</v>
      </c>
      <c r="AB34" s="66" t="s">
        <v>295</v>
      </c>
      <c r="AC34" s="79" t="s">
        <v>8801</v>
      </c>
      <c r="AD34" s="80" t="s">
        <v>8802</v>
      </c>
      <c r="AE34" s="49" cm="1">
        <f t="array" ref="AE34">(SUMPRODUCT((G34:J34/G$9:J$9)^G$7:J$7 * G$2:J$2) + SUMPRODUCT((N34:P34/N$9:P$9)^N$7:P$7 * N$2:P$2) + SUMPRODUCT((S34:T34/S$9:T$9)^S$7:T$7 * S$2:T$2)) * AE$9</f>
        <v>1.444571639775958</v>
      </c>
      <c r="AF34" s="1" cm="1">
        <f t="array" ref="AF34">(SUMPRODUCT((G34:J34/G$9:J$9)^G$7:J$7 * G$3:J$3) + SUMPRODUCT((N34:P34/N$9:P$9)^N$7:P$7 * N$3:P$3) + SUMPRODUCT((S34:T34/S$9:T$9)^S$7:T$7 * S$3:T$3)) * AF$9</f>
        <v>1.6525804345861292</v>
      </c>
      <c r="AG34" s="1" cm="1">
        <f t="array" ref="AG34">(SUMPRODUCT((G34:J34/G$9:J$9)^G$7:J$7 * G$4:J$4) + SUMPRODUCT((N34:P34/N$9:P$9)^N$7:P$7 * N$4:P$4) + SUMPRODUCT((S34:T34/S$9:T$9)^S$7:T$7 * S$4:T$4)) * AF$9</f>
        <v>1.6869604481705285</v>
      </c>
      <c r="AH34" s="10" cm="1">
        <f t="array" ref="AH34">(SUMPRODUCT((G34:J34/G$9:J$9)^G$7:J$7 * G$5:J$5) + SUMPRODUCT((N34:P34/N$9:P$9)^N$7:P$7 * N$5:P$5) + SUMPRODUCT((S34:T34/S$9:T$9)^S$7:T$7 * S$5:T$5)) * AF$9</f>
        <v>1.6525804345861292</v>
      </c>
      <c r="AI34" s="50" cm="1">
        <f t="array" ref="AI34">SUMPRODUCT(AE34:AH34 * AE$3:AH$3) / SUM(AE$3:AH$3)</f>
        <v>1.6098676378736896</v>
      </c>
      <c r="AJ34" s="12"/>
    </row>
    <row r="35" spans="1:36" x14ac:dyDescent="0.25">
      <c r="A35" s="5" t="s">
        <v>274</v>
      </c>
      <c r="B35" s="16" t="s">
        <v>275</v>
      </c>
      <c r="C35" s="4" t="s">
        <v>427</v>
      </c>
      <c r="D35" s="90" t="s">
        <v>9082</v>
      </c>
      <c r="E35" s="75" t="s">
        <v>431</v>
      </c>
      <c r="F35" s="4" t="s">
        <v>6734</v>
      </c>
      <c r="G35" s="9">
        <v>8</v>
      </c>
      <c r="H35" s="3">
        <v>16</v>
      </c>
      <c r="I35" s="1">
        <v>3.8</v>
      </c>
      <c r="J35" s="1">
        <v>5.3</v>
      </c>
      <c r="K35" s="11" t="s">
        <v>351</v>
      </c>
      <c r="L35" s="85" t="s">
        <v>400</v>
      </c>
      <c r="M35" s="4" t="s">
        <v>223</v>
      </c>
      <c r="N35" s="2">
        <v>8</v>
      </c>
      <c r="O35" s="2">
        <v>32</v>
      </c>
      <c r="P35" s="12">
        <v>65</v>
      </c>
      <c r="Q35" s="12" t="s">
        <v>407</v>
      </c>
      <c r="R35" s="12">
        <v>192</v>
      </c>
      <c r="S35" s="12">
        <v>5200</v>
      </c>
      <c r="T35" s="12">
        <v>2</v>
      </c>
      <c r="U35" s="12">
        <v>5</v>
      </c>
      <c r="V35" s="75">
        <v>28</v>
      </c>
      <c r="W35" s="75">
        <v>4</v>
      </c>
      <c r="X35" s="12">
        <v>4</v>
      </c>
      <c r="Y35" s="9">
        <v>305.10000000000002</v>
      </c>
      <c r="Z35" s="3">
        <v>469.9</v>
      </c>
      <c r="AA35" s="66" t="s">
        <v>276</v>
      </c>
      <c r="AB35" s="66" t="s">
        <v>274</v>
      </c>
      <c r="AC35" s="79" t="s">
        <v>8799</v>
      </c>
      <c r="AD35" s="80" t="s">
        <v>8800</v>
      </c>
      <c r="AE35" s="49" cm="1">
        <f t="array" ref="AE35">(SUMPRODUCT((G35:J35/G$9:J$9)^G$7:J$7 * G$2:J$2) + SUMPRODUCT((N35:P35/N$9:P$9)^N$7:P$7 * N$2:P$2) + SUMPRODUCT((S35:T35/S$9:T$9)^S$7:T$7 * S$2:T$2)) * AE$9</f>
        <v>1.5905883778941472</v>
      </c>
      <c r="AF35" s="1" cm="1">
        <f t="array" ref="AF35">(SUMPRODUCT((G35:J35/G$9:J$9)^G$7:J$7 * G$3:J$3) + SUMPRODUCT((N35:P35/N$9:P$9)^N$7:P$7 * N$3:P$3) + SUMPRODUCT((S35:T35/S$9:T$9)^S$7:T$7 * S$3:T$3)) * AF$9</f>
        <v>1.8829993685863591</v>
      </c>
      <c r="AG35" s="1" cm="1">
        <f t="array" ref="AG35">(SUMPRODUCT((G35:J35/G$9:J$9)^G$7:J$7 * G$4:J$4) + SUMPRODUCT((N35:P35/N$9:P$9)^N$7:P$7 * N$4:P$4) + SUMPRODUCT((S35:T35/S$9:T$9)^S$7:T$7 * S$4:T$4)) * AF$9</f>
        <v>1.9558324759058847</v>
      </c>
      <c r="AH35" s="10" cm="1">
        <f t="array" ref="AH35">(SUMPRODUCT((G35:J35/G$9:J$9)^G$7:J$7 * G$5:J$5) + SUMPRODUCT((N35:P35/N$9:P$9)^N$7:P$7 * N$5:P$5) + SUMPRODUCT((S35:T35/S$9:T$9)^S$7:T$7 * S$5:T$5)) * AF$9</f>
        <v>1.8829993685863591</v>
      </c>
      <c r="AI35" s="50" cm="1">
        <f t="array" ref="AI35">SUMPRODUCT(AE35:AH35 * AE$3:AH$3) / SUM(AE$3:AH$3)</f>
        <v>1.826725002629622</v>
      </c>
    </row>
    <row r="36" spans="1:36" x14ac:dyDescent="0.25">
      <c r="A36" s="5" t="s">
        <v>271</v>
      </c>
      <c r="B36" s="16" t="s">
        <v>272</v>
      </c>
      <c r="C36" s="4" t="s">
        <v>427</v>
      </c>
      <c r="D36" s="90" t="s">
        <v>9082</v>
      </c>
      <c r="E36" s="75" t="s">
        <v>431</v>
      </c>
      <c r="F36" s="4" t="s">
        <v>6734</v>
      </c>
      <c r="G36" s="9">
        <v>8</v>
      </c>
      <c r="H36" s="3">
        <v>16</v>
      </c>
      <c r="I36" s="1">
        <v>4.5</v>
      </c>
      <c r="J36" s="1">
        <v>5.4</v>
      </c>
      <c r="K36" s="11" t="s">
        <v>351</v>
      </c>
      <c r="L36" s="85" t="s">
        <v>400</v>
      </c>
      <c r="M36" s="4" t="s">
        <v>223</v>
      </c>
      <c r="N36" s="2">
        <v>8</v>
      </c>
      <c r="O36" s="2">
        <v>32</v>
      </c>
      <c r="P36" s="12">
        <v>105</v>
      </c>
      <c r="Q36" s="12" t="s">
        <v>407</v>
      </c>
      <c r="R36" s="12">
        <v>192</v>
      </c>
      <c r="S36" s="12">
        <v>5200</v>
      </c>
      <c r="T36" s="12">
        <v>2</v>
      </c>
      <c r="U36" s="12">
        <v>5</v>
      </c>
      <c r="V36" s="75">
        <v>28</v>
      </c>
      <c r="W36" s="75">
        <v>4</v>
      </c>
      <c r="X36" s="12">
        <v>4</v>
      </c>
      <c r="Y36" s="9">
        <v>309.86</v>
      </c>
      <c r="Z36" s="3">
        <v>584.9</v>
      </c>
      <c r="AA36" s="66" t="s">
        <v>273</v>
      </c>
      <c r="AB36" s="66" t="s">
        <v>271</v>
      </c>
      <c r="AC36" s="79" t="s">
        <v>8799</v>
      </c>
      <c r="AD36" s="80" t="s">
        <v>8802</v>
      </c>
      <c r="AE36" s="49" cm="1">
        <f t="array" ref="AE36">(SUMPRODUCT((G36:J36/G$9:J$9)^G$7:J$7 * G$2:J$2) + SUMPRODUCT((N36:P36/N$9:P$9)^N$7:P$7 * N$2:P$2) + SUMPRODUCT((S36:T36/S$9:T$9)^S$7:T$7 * S$2:T$2)) * AE$9</f>
        <v>1.6102203380934725</v>
      </c>
      <c r="AF36" s="1" cm="1">
        <f t="array" ref="AF36">(SUMPRODUCT((G36:J36/G$9:J$9)^G$7:J$7 * G$3:J$3) + SUMPRODUCT((N36:P36/N$9:P$9)^N$7:P$7 * N$3:P$3) + SUMPRODUCT((S36:T36/S$9:T$9)^S$7:T$7 * S$3:T$3)) * AF$9</f>
        <v>1.8922201105907837</v>
      </c>
      <c r="AG36" s="1" cm="1">
        <f t="array" ref="AG36">(SUMPRODUCT((G36:J36/G$9:J$9)^G$7:J$7 * G$4:J$4) + SUMPRODUCT((N36:P36/N$9:P$9)^N$7:P$7 * N$4:P$4) + SUMPRODUCT((S36:T36/S$9:T$9)^S$7:T$7 * S$4:T$4)) * AF$9</f>
        <v>1.9551127417198331</v>
      </c>
      <c r="AH36" s="10" cm="1">
        <f t="array" ref="AH36">(SUMPRODUCT((G36:J36/G$9:J$9)^G$7:J$7 * G$5:J$5) + SUMPRODUCT((N36:P36/N$9:P$9)^N$7:P$7 * N$5:P$5) + SUMPRODUCT((S36:T36/S$9:T$9)^S$7:T$7 * S$5:T$5)) * AF$9</f>
        <v>1.8922201105907837</v>
      </c>
      <c r="AI36" s="50" cm="1">
        <f t="array" ref="AI36">SUMPRODUCT(AE36:AH36 * AE$3:AH$3) / SUM(AE$3:AH$3)</f>
        <v>1.8368190294189501</v>
      </c>
    </row>
    <row r="37" spans="1:36" x14ac:dyDescent="0.25">
      <c r="A37" s="5" t="s">
        <v>268</v>
      </c>
      <c r="B37" s="16" t="s">
        <v>269</v>
      </c>
      <c r="C37" s="4" t="s">
        <v>427</v>
      </c>
      <c r="D37" s="90" t="s">
        <v>9082</v>
      </c>
      <c r="E37" s="75" t="s">
        <v>431</v>
      </c>
      <c r="F37" s="4" t="s">
        <v>6734</v>
      </c>
      <c r="G37" s="9">
        <v>8</v>
      </c>
      <c r="H37" s="75">
        <v>16</v>
      </c>
      <c r="I37" s="1">
        <v>4.2</v>
      </c>
      <c r="J37" s="1">
        <v>5</v>
      </c>
      <c r="K37" s="11" t="s">
        <v>351</v>
      </c>
      <c r="L37" s="85" t="s">
        <v>400</v>
      </c>
      <c r="M37" s="4" t="s">
        <v>223</v>
      </c>
      <c r="N37" s="2">
        <v>8</v>
      </c>
      <c r="O37" s="2">
        <v>96</v>
      </c>
      <c r="P37" s="12">
        <v>120</v>
      </c>
      <c r="Q37" s="12" t="s">
        <v>407</v>
      </c>
      <c r="R37" s="12">
        <v>192</v>
      </c>
      <c r="S37" s="12">
        <v>5200</v>
      </c>
      <c r="T37" s="12">
        <v>2</v>
      </c>
      <c r="U37" s="12">
        <v>5</v>
      </c>
      <c r="V37" s="75">
        <v>28</v>
      </c>
      <c r="W37" s="75">
        <v>4</v>
      </c>
      <c r="X37" s="12">
        <v>4</v>
      </c>
      <c r="Y37" s="9">
        <v>468.7</v>
      </c>
      <c r="Z37" s="3">
        <v>2217.77</v>
      </c>
      <c r="AA37" s="66" t="s">
        <v>270</v>
      </c>
      <c r="AB37" s="66" t="s">
        <v>268</v>
      </c>
      <c r="AC37" s="79" t="s">
        <v>8799</v>
      </c>
      <c r="AD37" s="80" t="s">
        <v>8802</v>
      </c>
      <c r="AE37" s="49" cm="1">
        <f t="array" ref="AE37">(SUMPRODUCT((G37:J37/G$9:J$9)^G$7:J$7 * G$2:J$2) + SUMPRODUCT((N37:P37/N$9:P$9)^N$7:P$7 * N$2:P$2) + SUMPRODUCT((S37:T37/S$9:T$9)^S$7:T$7 * S$2:T$2)) * AE$9</f>
        <v>1.9932231392261703</v>
      </c>
      <c r="AF37" s="1" cm="1">
        <f t="array" ref="AF37">(SUMPRODUCT((G37:J37/G$9:J$9)^G$7:J$7 * G$3:J$3) + SUMPRODUCT((N37:P37/N$9:P$9)^N$7:P$7 * N$3:P$3) + SUMPRODUCT((S37:T37/S$9:T$9)^S$7:T$7 * S$3:T$3)) * AF$9</f>
        <v>2.5129963605078527</v>
      </c>
      <c r="AG37" s="1" cm="1">
        <f t="array" ref="AG37">(SUMPRODUCT((G37:J37/G$9:J$9)^G$7:J$7 * G$4:J$4) + SUMPRODUCT((N37:P37/N$9:P$9)^N$7:P$7 * N$4:P$4) + SUMPRODUCT((S37:T37/S$9:T$9)^S$7:T$7 * S$4:T$4)) * AF$9</f>
        <v>2.5844008963988068</v>
      </c>
      <c r="AH37" s="10" cm="1">
        <f t="array" ref="AH37">(SUMPRODUCT((G37:J37/G$9:J$9)^G$7:J$7 * G$5:J$5) + SUMPRODUCT((N37:P37/N$9:P$9)^N$7:P$7 * N$5:P$5) + SUMPRODUCT((S37:T37/S$9:T$9)^S$7:T$7 * S$5:T$5)) * AF$9</f>
        <v>2.5129963605078527</v>
      </c>
      <c r="AI37" s="50" cm="1">
        <f t="array" ref="AI37">SUMPRODUCT(AE37:AH37 * AE$3:AH$3) / SUM(AE$3:AH$3)</f>
        <v>2.4040340072722262</v>
      </c>
    </row>
    <row r="38" spans="1:36" s="83" customFormat="1" x14ac:dyDescent="0.25">
      <c r="A38" s="5" t="s">
        <v>245</v>
      </c>
      <c r="B38" s="16" t="s">
        <v>246</v>
      </c>
      <c r="C38" s="4" t="s">
        <v>427</v>
      </c>
      <c r="D38" s="90" t="s">
        <v>9083</v>
      </c>
      <c r="E38" s="75" t="s">
        <v>432</v>
      </c>
      <c r="F38" s="4" t="s">
        <v>6734</v>
      </c>
      <c r="G38" s="9">
        <v>12</v>
      </c>
      <c r="H38" s="3">
        <v>24</v>
      </c>
      <c r="I38" s="1">
        <v>3.7</v>
      </c>
      <c r="J38" s="1">
        <v>5.4</v>
      </c>
      <c r="K38" s="11" t="s">
        <v>351</v>
      </c>
      <c r="L38" s="85" t="s">
        <v>400</v>
      </c>
      <c r="M38" s="4" t="s">
        <v>223</v>
      </c>
      <c r="N38" s="2">
        <v>12</v>
      </c>
      <c r="O38" s="2">
        <v>64</v>
      </c>
      <c r="P38" s="12">
        <v>65</v>
      </c>
      <c r="Q38" s="12" t="s">
        <v>407</v>
      </c>
      <c r="R38" s="12">
        <v>192</v>
      </c>
      <c r="S38" s="12">
        <v>5200</v>
      </c>
      <c r="T38" s="12">
        <v>2</v>
      </c>
      <c r="U38" s="12">
        <v>5</v>
      </c>
      <c r="V38" s="75">
        <v>28</v>
      </c>
      <c r="W38" s="75">
        <v>4</v>
      </c>
      <c r="X38" s="12">
        <v>4</v>
      </c>
      <c r="Y38" s="9">
        <v>349.83</v>
      </c>
      <c r="Z38" s="3">
        <v>1590.19</v>
      </c>
      <c r="AA38" s="66" t="s">
        <v>247</v>
      </c>
      <c r="AB38" s="66" t="s">
        <v>245</v>
      </c>
      <c r="AC38" s="79" t="s">
        <v>8799</v>
      </c>
      <c r="AD38" s="80" t="s">
        <v>8800</v>
      </c>
      <c r="AE38" s="49" cm="1">
        <f t="array" ref="AE38">(SUMPRODUCT((G38:J38/G$9:J$9)^G$7:J$7 * G$2:J$2) + SUMPRODUCT((N38:P38/N$9:P$9)^N$7:P$7 * N$2:P$2) + SUMPRODUCT((S38:T38/S$9:T$9)^S$7:T$7 * S$2:T$2)) * AE$9</f>
        <v>2.0717194709432798</v>
      </c>
      <c r="AF38" s="1" cm="1">
        <f t="array" ref="AF38">(SUMPRODUCT((G38:J38/G$9:J$9)^G$7:J$7 * G$3:J$3) + SUMPRODUCT((N38:P38/N$9:P$9)^N$7:P$7 * N$3:P$3) + SUMPRODUCT((S38:T38/S$9:T$9)^S$7:T$7 * S$3:T$3)) * AF$9</f>
        <v>2.6487268800124095</v>
      </c>
      <c r="AG38" s="1" cm="1">
        <f t="array" ref="AG38">(SUMPRODUCT((G38:J38/G$9:J$9)^G$7:J$7 * G$4:J$4) + SUMPRODUCT((N38:P38/N$9:P$9)^N$7:P$7 * N$4:P$4) + SUMPRODUCT((S38:T38/S$9:T$9)^S$7:T$7 * S$4:T$4)) * AF$9</f>
        <v>2.7997954672848615</v>
      </c>
      <c r="AH38" s="10" cm="1">
        <f t="array" ref="AH38">(SUMPRODUCT((G38:J38/G$9:J$9)^G$7:J$7 * G$5:J$5) + SUMPRODUCT((N38:P38/N$9:P$9)^N$7:P$7 * N$5:P$5) + SUMPRODUCT((S38:T38/S$9:T$9)^S$7:T$7 * S$5:T$5)) * AF$9</f>
        <v>2.6487268800124095</v>
      </c>
      <c r="AI38" s="50" cm="1">
        <f t="array" ref="AI38">SUMPRODUCT(AE38:AH38 * AE$3:AH$3) / SUM(AE$3:AH$3)</f>
        <v>2.5388126451922184</v>
      </c>
      <c r="AJ38" s="12"/>
    </row>
    <row r="39" spans="1:36" s="83" customFormat="1" x14ac:dyDescent="0.25">
      <c r="A39" s="5" t="s">
        <v>242</v>
      </c>
      <c r="B39" s="16" t="s">
        <v>243</v>
      </c>
      <c r="C39" s="4" t="s">
        <v>427</v>
      </c>
      <c r="D39" s="90" t="s">
        <v>9083</v>
      </c>
      <c r="E39" s="75" t="s">
        <v>432</v>
      </c>
      <c r="F39" s="4" t="s">
        <v>6734</v>
      </c>
      <c r="G39" s="9">
        <v>12</v>
      </c>
      <c r="H39" s="3">
        <v>24</v>
      </c>
      <c r="I39" s="1">
        <v>4.7</v>
      </c>
      <c r="J39" s="1">
        <v>5.6</v>
      </c>
      <c r="K39" s="11" t="s">
        <v>351</v>
      </c>
      <c r="L39" s="85" t="s">
        <v>400</v>
      </c>
      <c r="M39" s="4" t="s">
        <v>223</v>
      </c>
      <c r="N39" s="2">
        <v>12</v>
      </c>
      <c r="O39" s="2">
        <v>64</v>
      </c>
      <c r="P39" s="12">
        <v>170</v>
      </c>
      <c r="Q39" s="12" t="s">
        <v>407</v>
      </c>
      <c r="R39" s="12">
        <v>192</v>
      </c>
      <c r="S39" s="12">
        <v>5200</v>
      </c>
      <c r="T39" s="12">
        <v>2</v>
      </c>
      <c r="U39" s="12">
        <v>5</v>
      </c>
      <c r="V39" s="75">
        <v>28</v>
      </c>
      <c r="W39" s="75">
        <v>4</v>
      </c>
      <c r="X39" s="12">
        <v>4</v>
      </c>
      <c r="Y39" s="9">
        <v>382.96</v>
      </c>
      <c r="Z39" s="3">
        <v>1689.6</v>
      </c>
      <c r="AA39" s="66" t="s">
        <v>244</v>
      </c>
      <c r="AB39" s="66" t="s">
        <v>242</v>
      </c>
      <c r="AC39" s="79" t="s">
        <v>8799</v>
      </c>
      <c r="AD39" s="80" t="s">
        <v>8802</v>
      </c>
      <c r="AE39" s="49" cm="1">
        <f t="array" ref="AE39">(SUMPRODUCT((G39:J39/G$9:J$9)^G$7:J$7 * G$2:J$2) + SUMPRODUCT((N39:P39/N$9:P$9)^N$7:P$7 * N$2:P$2) + SUMPRODUCT((S39:T39/S$9:T$9)^S$7:T$7 * S$2:T$2)) * AE$9</f>
        <v>2.0954589270881261</v>
      </c>
      <c r="AF39" s="1" cm="1">
        <f t="array" ref="AF39">(SUMPRODUCT((G39:J39/G$9:J$9)^G$7:J$7 * G$3:J$3) + SUMPRODUCT((N39:P39/N$9:P$9)^N$7:P$7 * N$3:P$3) + SUMPRODUCT((S39:T39/S$9:T$9)^S$7:T$7 * S$3:T$3)) * AF$9</f>
        <v>2.659406131894356</v>
      </c>
      <c r="AG39" s="1" cm="1">
        <f t="array" ref="AG39">(SUMPRODUCT((G39:J39/G$9:J$9)^G$7:J$7 * G$4:J$4) + SUMPRODUCT((N39:P39/N$9:P$9)^N$7:P$7 * N$4:P$4) + SUMPRODUCT((S39:T39/S$9:T$9)^S$7:T$7 * S$4:T$4)) * AF$9</f>
        <v>2.7955937667858564</v>
      </c>
      <c r="AH39" s="10" cm="1">
        <f t="array" ref="AH39">(SUMPRODUCT((G39:J39/G$9:J$9)^G$7:J$7 * G$5:J$5) + SUMPRODUCT((N39:P39/N$9:P$9)^N$7:P$7 * N$5:P$5) + SUMPRODUCT((S39:T39/S$9:T$9)^S$7:T$7 * S$5:T$5)) * AF$9</f>
        <v>2.659406131894356</v>
      </c>
      <c r="AI39" s="50" cm="1">
        <f t="array" ref="AI39">SUMPRODUCT(AE39:AH39 * AE$3:AH$3) / SUM(AE$3:AH$3)</f>
        <v>2.5502164130762259</v>
      </c>
      <c r="AJ39" s="12"/>
    </row>
    <row r="40" spans="1:36" s="83" customFormat="1" x14ac:dyDescent="0.25">
      <c r="A40" s="5" t="s">
        <v>239</v>
      </c>
      <c r="B40" s="16" t="s">
        <v>240</v>
      </c>
      <c r="C40" s="4" t="s">
        <v>427</v>
      </c>
      <c r="D40" s="90" t="s">
        <v>9083</v>
      </c>
      <c r="E40" s="75" t="s">
        <v>432</v>
      </c>
      <c r="F40" s="4" t="s">
        <v>6734</v>
      </c>
      <c r="G40" s="9">
        <v>12</v>
      </c>
      <c r="H40" s="75">
        <v>24</v>
      </c>
      <c r="I40" s="1">
        <v>4.4000000000000004</v>
      </c>
      <c r="J40" s="1">
        <v>5.6</v>
      </c>
      <c r="K40" s="11" t="s">
        <v>351</v>
      </c>
      <c r="L40" s="85" t="s">
        <v>400</v>
      </c>
      <c r="M40" s="4" t="s">
        <v>223</v>
      </c>
      <c r="N40" s="2">
        <v>12</v>
      </c>
      <c r="O40" s="2">
        <v>128</v>
      </c>
      <c r="P40" s="12">
        <v>120</v>
      </c>
      <c r="Q40" s="12" t="s">
        <v>407</v>
      </c>
      <c r="R40" s="12">
        <v>192</v>
      </c>
      <c r="S40" s="12">
        <v>5200</v>
      </c>
      <c r="T40" s="12">
        <v>2</v>
      </c>
      <c r="U40" s="12">
        <v>5</v>
      </c>
      <c r="V40" s="75">
        <v>28</v>
      </c>
      <c r="W40" s="75">
        <v>4</v>
      </c>
      <c r="X40" s="12">
        <v>4</v>
      </c>
      <c r="Y40" s="9">
        <v>647.07000000000005</v>
      </c>
      <c r="Z40" s="3">
        <v>801.88</v>
      </c>
      <c r="AA40" s="66" t="s">
        <v>241</v>
      </c>
      <c r="AB40" s="66" t="s">
        <v>239</v>
      </c>
      <c r="AC40" s="79" t="s">
        <v>8799</v>
      </c>
      <c r="AD40" s="80" t="s">
        <v>8802</v>
      </c>
      <c r="AE40" s="49" cm="1">
        <f t="array" ref="AE40">(SUMPRODUCT((G40:J40/G$9:J$9)^G$7:J$7 * G$2:J$2) + SUMPRODUCT((N40:P40/N$9:P$9)^N$7:P$7 * N$2:P$2) + SUMPRODUCT((S40:T40/S$9:T$9)^S$7:T$7 * S$2:T$2)) * AE$9</f>
        <v>2.4833777597559106</v>
      </c>
      <c r="AF40" s="1" cm="1">
        <f t="array" ref="AF40">(SUMPRODUCT((G40:J40/G$9:J$9)^G$7:J$7 * G$3:J$3) + SUMPRODUCT((N40:P40/N$9:P$9)^N$7:P$7 * N$3:P$3) + SUMPRODUCT((S40:T40/S$9:T$9)^S$7:T$7 * S$3:T$3)) * AF$9</f>
        <v>3.2445210679167187</v>
      </c>
      <c r="AG40" s="1" cm="1">
        <f t="array" ref="AG40">(SUMPRODUCT((G40:J40/G$9:J$9)^G$7:J$7 * G$4:J$4) + SUMPRODUCT((N40:P40/N$9:P$9)^N$7:P$7 * N$4:P$4) + SUMPRODUCT((S40:T40/S$9:T$9)^S$7:T$7 * S$4:T$4)) * AF$9</f>
        <v>3.3844587028082187</v>
      </c>
      <c r="AH40" s="10" cm="1">
        <f t="array" ref="AH40">(SUMPRODUCT((G40:J40/G$9:J$9)^G$7:J$7 * G$5:J$5) + SUMPRODUCT((N40:P40/N$9:P$9)^N$7:P$7 * N$5:P$5) + SUMPRODUCT((S40:T40/S$9:T$9)^S$7:T$7 * S$5:T$5)) * AF$9</f>
        <v>3.2445210679167187</v>
      </c>
      <c r="AI40" s="50" cm="1">
        <f t="array" ref="AI40">SUMPRODUCT(AE40:AH40 * AE$3:AH$3) / SUM(AE$3:AH$3)</f>
        <v>3.090401479093686</v>
      </c>
      <c r="AJ40" s="12"/>
    </row>
    <row r="41" spans="1:36" s="83" customFormat="1" x14ac:dyDescent="0.25">
      <c r="A41" s="5" t="s">
        <v>236</v>
      </c>
      <c r="B41" s="16" t="s">
        <v>237</v>
      </c>
      <c r="C41" s="4" t="s">
        <v>427</v>
      </c>
      <c r="D41" s="90" t="s">
        <v>9083</v>
      </c>
      <c r="E41" s="75" t="s">
        <v>432</v>
      </c>
      <c r="F41" s="4" t="s">
        <v>6734</v>
      </c>
      <c r="G41" s="9">
        <v>16</v>
      </c>
      <c r="H41" s="3">
        <v>32</v>
      </c>
      <c r="I41" s="1">
        <v>4.5</v>
      </c>
      <c r="J41" s="1">
        <v>5.7</v>
      </c>
      <c r="K41" s="11" t="s">
        <v>351</v>
      </c>
      <c r="L41" s="85" t="s">
        <v>400</v>
      </c>
      <c r="M41" s="4" t="s">
        <v>223</v>
      </c>
      <c r="N41" s="2">
        <v>16</v>
      </c>
      <c r="O41" s="2">
        <v>64</v>
      </c>
      <c r="P41" s="12">
        <v>170</v>
      </c>
      <c r="Q41" s="12" t="s">
        <v>407</v>
      </c>
      <c r="R41" s="12">
        <v>192</v>
      </c>
      <c r="S41" s="12">
        <v>5200</v>
      </c>
      <c r="T41" s="12">
        <v>2</v>
      </c>
      <c r="U41" s="12">
        <v>5</v>
      </c>
      <c r="V41" s="75">
        <v>28</v>
      </c>
      <c r="W41" s="75">
        <v>4</v>
      </c>
      <c r="X41" s="12">
        <v>4</v>
      </c>
      <c r="Y41" s="9">
        <v>514.83000000000004</v>
      </c>
      <c r="Z41" s="3">
        <v>2336.79</v>
      </c>
      <c r="AA41" s="66" t="s">
        <v>238</v>
      </c>
      <c r="AB41" s="66" t="s">
        <v>236</v>
      </c>
      <c r="AC41" s="79" t="s">
        <v>8799</v>
      </c>
      <c r="AD41" s="80" t="s">
        <v>8802</v>
      </c>
      <c r="AE41" s="49" cm="1">
        <f t="array" ref="AE41">(SUMPRODUCT((G41:J41/G$9:J$9)^G$7:J$7 * G$2:J$2) + SUMPRODUCT((N41:P41/N$9:P$9)^N$7:P$7 * N$2:P$2) + SUMPRODUCT((S41:T41/S$9:T$9)^S$7:T$7 * S$2:T$2)) * AE$9</f>
        <v>2.3352936789913326</v>
      </c>
      <c r="AF41" s="1" cm="1">
        <f t="array" ref="AF41">(SUMPRODUCT((G41:J41/G$9:J$9)^G$7:J$7 * G$3:J$3) + SUMPRODUCT((N41:P41/N$9:P$9)^N$7:P$7 * N$3:P$3) + SUMPRODUCT((S41:T41/S$9:T$9)^S$7:T$7 * S$3:T$3)) * AF$9</f>
        <v>3.0651191388107386</v>
      </c>
      <c r="AG41" s="1" cm="1">
        <f t="array" ref="AG41">(SUMPRODUCT((G41:J41/G$9:J$9)^G$7:J$7 * G$4:J$4) + SUMPRODUCT((N41:P41/N$9:P$9)^N$7:P$7 * N$4:P$4) + SUMPRODUCT((S41:T41/S$9:T$9)^S$7:T$7 * S$4:T$4)) * AF$9</f>
        <v>3.2775725878840674</v>
      </c>
      <c r="AH41" s="10" cm="1">
        <f t="array" ref="AH41">(SUMPRODUCT((G41:J41/G$9:J$9)^G$7:J$7 * G$5:J$5) + SUMPRODUCT((N41:P41/N$9:P$9)^N$7:P$7 * N$5:P$5) + SUMPRODUCT((S41:T41/S$9:T$9)^S$7:T$7 * S$5:T$5)) * AF$9</f>
        <v>3.0651191388107386</v>
      </c>
      <c r="AI41" s="50" cm="1">
        <f t="array" ref="AI41">SUMPRODUCT(AE41:AH41 * AE$3:AH$3) / SUM(AE$3:AH$3)</f>
        <v>2.9293830248636956</v>
      </c>
      <c r="AJ41" s="12"/>
    </row>
    <row r="42" spans="1:36" s="83" customFormat="1" x14ac:dyDescent="0.25">
      <c r="A42" s="5" t="s">
        <v>233</v>
      </c>
      <c r="B42" s="16" t="s">
        <v>234</v>
      </c>
      <c r="C42" s="4" t="s">
        <v>427</v>
      </c>
      <c r="D42" s="90" t="s">
        <v>9083</v>
      </c>
      <c r="E42" s="75" t="s">
        <v>432</v>
      </c>
      <c r="F42" s="4" t="s">
        <v>6734</v>
      </c>
      <c r="G42" s="9">
        <v>16</v>
      </c>
      <c r="H42" s="3">
        <v>32</v>
      </c>
      <c r="I42" s="1">
        <v>4.2</v>
      </c>
      <c r="J42" s="1">
        <v>5.7</v>
      </c>
      <c r="K42" s="11" t="s">
        <v>351</v>
      </c>
      <c r="L42" s="85" t="s">
        <v>400</v>
      </c>
      <c r="M42" s="4" t="s">
        <v>223</v>
      </c>
      <c r="N42" s="2">
        <v>16</v>
      </c>
      <c r="O42" s="2">
        <v>128</v>
      </c>
      <c r="P42" s="12">
        <v>120</v>
      </c>
      <c r="Q42" s="12" t="s">
        <v>407</v>
      </c>
      <c r="R42" s="12">
        <v>192</v>
      </c>
      <c r="S42" s="12">
        <v>5200</v>
      </c>
      <c r="T42" s="12">
        <v>2</v>
      </c>
      <c r="U42" s="12">
        <v>5</v>
      </c>
      <c r="V42" s="75">
        <v>28</v>
      </c>
      <c r="W42" s="75">
        <v>4</v>
      </c>
      <c r="X42" s="12">
        <v>4</v>
      </c>
      <c r="Y42" s="9">
        <v>748.9</v>
      </c>
      <c r="Z42" s="3">
        <v>3202.69</v>
      </c>
      <c r="AA42" s="66" t="s">
        <v>235</v>
      </c>
      <c r="AB42" s="66" t="s">
        <v>233</v>
      </c>
      <c r="AC42" s="79" t="s">
        <v>8799</v>
      </c>
      <c r="AD42" s="80" t="s">
        <v>8802</v>
      </c>
      <c r="AE42" s="49" cm="1">
        <f t="array" ref="AE42">(SUMPRODUCT((G42:J42/G$9:J$9)^G$7:J$7 * G$2:J$2) + SUMPRODUCT((N42:P42/N$9:P$9)^N$7:P$7 * N$2:P$2) + SUMPRODUCT((S42:T42/S$9:T$9)^S$7:T$7 * S$2:T$2)) * AE$9</f>
        <v>2.723212511659117</v>
      </c>
      <c r="AF42" s="1" cm="1">
        <f t="array" ref="AF42">(SUMPRODUCT((G42:J42/G$9:J$9)^G$7:J$7 * G$3:J$3) + SUMPRODUCT((N42:P42/N$9:P$9)^N$7:P$7 * N$3:P$3) + SUMPRODUCT((S42:T42/S$9:T$9)^S$7:T$7 * S$3:T$3)) * AF$9</f>
        <v>3.6502340748331012</v>
      </c>
      <c r="AG42" s="1" cm="1">
        <f t="array" ref="AG42">(SUMPRODUCT((G42:J42/G$9:J$9)^G$7:J$7 * G$4:J$4) + SUMPRODUCT((N42:P42/N$9:P$9)^N$7:P$7 * N$4:P$4) + SUMPRODUCT((S42:T42/S$9:T$9)^S$7:T$7 * S$4:T$4)) * AF$9</f>
        <v>3.8664375239064301</v>
      </c>
      <c r="AH42" s="10" cm="1">
        <f t="array" ref="AH42">(SUMPRODUCT((G42:J42/G$9:J$9)^G$7:J$7 * G$5:J$5) + SUMPRODUCT((N42:P42/N$9:P$9)^N$7:P$7 * N$5:P$5) + SUMPRODUCT((S42:T42/S$9:T$9)^S$7:T$7 * S$5:T$5)) * AF$9</f>
        <v>3.6502340748331012</v>
      </c>
      <c r="AI42" s="50" cm="1">
        <f t="array" ref="AI42">SUMPRODUCT(AE42:AH42 * AE$3:AH$3) / SUM(AE$3:AH$3)</f>
        <v>3.4695680908811557</v>
      </c>
      <c r="AJ42" s="12"/>
    </row>
    <row r="43" spans="1:36" s="83" customFormat="1" x14ac:dyDescent="0.25">
      <c r="A43" s="5" t="s">
        <v>221</v>
      </c>
      <c r="B43" s="16" t="s">
        <v>222</v>
      </c>
      <c r="C43" s="4" t="s">
        <v>427</v>
      </c>
      <c r="D43" s="90" t="s">
        <v>9083</v>
      </c>
      <c r="E43" s="75" t="s">
        <v>432</v>
      </c>
      <c r="F43" s="4" t="s">
        <v>6734</v>
      </c>
      <c r="G43" s="9">
        <v>12</v>
      </c>
      <c r="H43" s="75">
        <v>24</v>
      </c>
      <c r="I43" s="1">
        <v>3.7</v>
      </c>
      <c r="J43" s="1">
        <v>5.4</v>
      </c>
      <c r="K43" s="11" t="s">
        <v>351</v>
      </c>
      <c r="L43" s="85" t="s">
        <v>400</v>
      </c>
      <c r="M43" s="4" t="s">
        <v>223</v>
      </c>
      <c r="N43" s="2">
        <v>12</v>
      </c>
      <c r="O43" s="2">
        <v>64</v>
      </c>
      <c r="P43" s="12">
        <v>65</v>
      </c>
      <c r="Q43" s="12" t="s">
        <v>407</v>
      </c>
      <c r="R43" s="12">
        <v>192</v>
      </c>
      <c r="S43" s="12">
        <v>5200</v>
      </c>
      <c r="T43" s="12">
        <v>2</v>
      </c>
      <c r="U43" s="12">
        <v>5</v>
      </c>
      <c r="V43" s="75">
        <v>28</v>
      </c>
      <c r="W43" s="75">
        <v>4</v>
      </c>
      <c r="X43" s="12">
        <v>4</v>
      </c>
      <c r="Y43" s="9">
        <v>414.74</v>
      </c>
      <c r="Z43" s="3">
        <v>549</v>
      </c>
      <c r="AA43" s="66" t="s">
        <v>224</v>
      </c>
      <c r="AB43" s="66" t="s">
        <v>221</v>
      </c>
      <c r="AC43" s="79" t="s">
        <v>8801</v>
      </c>
      <c r="AD43" s="80" t="s">
        <v>8802</v>
      </c>
      <c r="AE43" s="49" cm="1">
        <f t="array" ref="AE43">(SUMPRODUCT((G43:J43/G$9:J$9)^G$7:J$7 * G$2:J$2) + SUMPRODUCT((N43:P43/N$9:P$9)^N$7:P$7 * N$2:P$2) + SUMPRODUCT((S43:T43/S$9:T$9)^S$7:T$7 * S$2:T$2)) * AE$9</f>
        <v>2.0717194709432798</v>
      </c>
      <c r="AF43" s="1" cm="1">
        <f t="array" ref="AF43">(SUMPRODUCT((G43:J43/G$9:J$9)^G$7:J$7 * G$3:J$3) + SUMPRODUCT((N43:P43/N$9:P$9)^N$7:P$7 * N$3:P$3) + SUMPRODUCT((S43:T43/S$9:T$9)^S$7:T$7 * S$3:T$3)) * AF$9</f>
        <v>2.6487268800124095</v>
      </c>
      <c r="AG43" s="1" cm="1">
        <f t="array" ref="AG43">(SUMPRODUCT((G43:J43/G$9:J$9)^G$7:J$7 * G$4:J$4) + SUMPRODUCT((N43:P43/N$9:P$9)^N$7:P$7 * N$4:P$4) + SUMPRODUCT((S43:T43/S$9:T$9)^S$7:T$7 * S$4:T$4)) * AF$9</f>
        <v>2.7997954672848615</v>
      </c>
      <c r="AH43" s="10" cm="1">
        <f t="array" ref="AH43">(SUMPRODUCT((G43:J43/G$9:J$9)^G$7:J$7 * G$5:J$5) + SUMPRODUCT((N43:P43/N$9:P$9)^N$7:P$7 * N$5:P$5) + SUMPRODUCT((S43:T43/S$9:T$9)^S$7:T$7 * S$5:T$5)) * AF$9</f>
        <v>2.6487268800124095</v>
      </c>
      <c r="AI43" s="50" cm="1">
        <f t="array" ref="AI43">SUMPRODUCT(AE43:AH43 * AE$3:AH$3) / SUM(AE$3:AH$3)</f>
        <v>2.5388126451922184</v>
      </c>
      <c r="AJ43" s="12"/>
    </row>
    <row r="44" spans="1:36" x14ac:dyDescent="0.25">
      <c r="A44" s="5" t="s">
        <v>304</v>
      </c>
      <c r="B44" s="16" t="s">
        <v>305</v>
      </c>
      <c r="C44" s="4" t="s">
        <v>427</v>
      </c>
      <c r="D44" s="90" t="s">
        <v>9084</v>
      </c>
      <c r="E44" s="75" t="s">
        <v>430</v>
      </c>
      <c r="F44" s="4" t="s">
        <v>8795</v>
      </c>
      <c r="G44" s="9">
        <v>6</v>
      </c>
      <c r="H44" s="3">
        <v>12</v>
      </c>
      <c r="I44" s="1">
        <v>3.8</v>
      </c>
      <c r="J44" s="1">
        <v>5.2</v>
      </c>
      <c r="K44" s="11" t="s">
        <v>351</v>
      </c>
      <c r="L44" s="85" t="s">
        <v>400</v>
      </c>
      <c r="M44" s="4" t="s">
        <v>226</v>
      </c>
      <c r="N44" s="2">
        <v>6</v>
      </c>
      <c r="O44" s="2">
        <v>32</v>
      </c>
      <c r="P44" s="12">
        <v>65</v>
      </c>
      <c r="Q44" s="12" t="s">
        <v>407</v>
      </c>
      <c r="R44" s="12">
        <v>192</v>
      </c>
      <c r="S44" s="12">
        <v>5600</v>
      </c>
      <c r="T44" s="12">
        <v>2</v>
      </c>
      <c r="U44" s="12">
        <v>5</v>
      </c>
      <c r="V44" s="75">
        <v>28</v>
      </c>
      <c r="W44" s="75">
        <v>4</v>
      </c>
      <c r="X44" s="12">
        <v>4</v>
      </c>
      <c r="Y44" s="9">
        <v>256.3</v>
      </c>
      <c r="Z44" s="3">
        <v>287.39</v>
      </c>
      <c r="AA44" s="66" t="s">
        <v>306</v>
      </c>
      <c r="AB44" s="66" t="s">
        <v>304</v>
      </c>
      <c r="AC44" s="79" t="s">
        <v>8799</v>
      </c>
      <c r="AD44" s="80" t="s">
        <v>8800</v>
      </c>
      <c r="AE44" s="49" cm="1">
        <f t="array" ref="AE44">(SUMPRODUCT((G44:J44/G$9:J$9)^G$7:J$7 * G$2:J$2) + SUMPRODUCT((N44:P44/N$9:P$9)^N$7:P$7 * N$2:P$2) + SUMPRODUCT((S44:T44/S$9:T$9)^S$7:T$7 * S$2:T$2)) * AE$9</f>
        <v>1.454263780145479</v>
      </c>
      <c r="AF44" s="1" cm="1">
        <f t="array" ref="AF44">(SUMPRODUCT((G44:J44/G$9:J$9)^G$7:J$7 * G$3:J$3) + SUMPRODUCT((N44:P44/N$9:P$9)^N$7:P$7 * N$3:P$3) + SUMPRODUCT((S44:T44/S$9:T$9)^S$7:T$7 * S$3:T$3)) * AF$9</f>
        <v>1.6587011463842216</v>
      </c>
      <c r="AG44" s="1" cm="1">
        <f t="array" ref="AG44">(SUMPRODUCT((G44:J44/G$9:J$9)^G$7:J$7 * G$4:J$4) + SUMPRODUCT((N44:P44/N$9:P$9)^N$7:P$7 * N$4:P$4) + SUMPRODUCT((S44:T44/S$9:T$9)^S$7:T$7 * S$4:T$4)) * AF$9</f>
        <v>1.6918906837781447</v>
      </c>
      <c r="AH44" s="10" cm="1">
        <f t="array" ref="AH44">(SUMPRODUCT((G44:J44/G$9:J$9)^G$7:J$7 * G$5:J$5) + SUMPRODUCT((N44:P44/N$9:P$9)^N$7:P$7 * N$5:P$5) + SUMPRODUCT((S44:T44/S$9:T$9)^S$7:T$7 * S$5:T$5)) * AF$9</f>
        <v>1.6587011463842216</v>
      </c>
      <c r="AI44" s="50" cm="1">
        <f t="array" ref="AI44">SUMPRODUCT(AE44:AH44 * AE$3:AH$3) / SUM(AE$3:AH$3)</f>
        <v>1.6166293753128078</v>
      </c>
    </row>
    <row r="45" spans="1:36" x14ac:dyDescent="0.25">
      <c r="A45" s="5" t="s">
        <v>301</v>
      </c>
      <c r="B45" s="16" t="s">
        <v>302</v>
      </c>
      <c r="C45" s="4" t="s">
        <v>427</v>
      </c>
      <c r="D45" s="90" t="s">
        <v>9084</v>
      </c>
      <c r="E45" s="75" t="s">
        <v>430</v>
      </c>
      <c r="F45" s="4" t="s">
        <v>8795</v>
      </c>
      <c r="G45" s="9">
        <v>6</v>
      </c>
      <c r="H45" s="3">
        <v>12</v>
      </c>
      <c r="I45" s="1">
        <v>3.9</v>
      </c>
      <c r="J45" s="1">
        <v>5.4</v>
      </c>
      <c r="K45" s="11" t="s">
        <v>351</v>
      </c>
      <c r="L45" s="85" t="s">
        <v>400</v>
      </c>
      <c r="M45" s="4" t="s">
        <v>226</v>
      </c>
      <c r="N45" s="2">
        <v>6</v>
      </c>
      <c r="O45" s="2">
        <v>32</v>
      </c>
      <c r="P45" s="12">
        <v>65</v>
      </c>
      <c r="Q45" s="12" t="s">
        <v>407</v>
      </c>
      <c r="R45" s="12">
        <v>192</v>
      </c>
      <c r="S45" s="12">
        <v>5600</v>
      </c>
      <c r="T45" s="12">
        <v>2</v>
      </c>
      <c r="U45" s="12">
        <v>5</v>
      </c>
      <c r="V45" s="75">
        <v>28</v>
      </c>
      <c r="W45" s="75">
        <v>4</v>
      </c>
      <c r="X45" s="12">
        <v>4</v>
      </c>
      <c r="Y45" s="9">
        <v>250.3</v>
      </c>
      <c r="Z45" s="3">
        <v>1095.78</v>
      </c>
      <c r="AA45" s="66" t="s">
        <v>303</v>
      </c>
      <c r="AB45" s="66" t="s">
        <v>301</v>
      </c>
      <c r="AC45" s="79" t="s">
        <v>8799</v>
      </c>
      <c r="AD45" s="80" t="s">
        <v>8802</v>
      </c>
      <c r="AE45" s="49" cm="1">
        <f t="array" ref="AE45">(SUMPRODUCT((G45:J45/G$9:J$9)^G$7:J$7 * G$2:J$2) + SUMPRODUCT((N45:P45/N$9:P$9)^N$7:P$7 * N$2:P$2) + SUMPRODUCT((S45:T45/S$9:T$9)^S$7:T$7 * S$2:T$2)) * AE$9</f>
        <v>1.4711685420502409</v>
      </c>
      <c r="AF45" s="1" cm="1">
        <f t="array" ref="AF45">(SUMPRODUCT((G45:J45/G$9:J$9)^G$7:J$7 * G$3:J$3) + SUMPRODUCT((N45:P45/N$9:P$9)^N$7:P$7 * N$3:P$3) + SUMPRODUCT((S45:T45/S$9:T$9)^S$7:T$7 * S$3:T$3)) * AF$9</f>
        <v>1.6659630511461265</v>
      </c>
      <c r="AG45" s="1" cm="1">
        <f t="array" ref="AG45">(SUMPRODUCT((G45:J45/G$9:J$9)^G$7:J$7 * G$4:J$4) + SUMPRODUCT((N45:P45/N$9:P$9)^N$7:P$7 * N$4:P$4) + SUMPRODUCT((S45:T45/S$9:T$9)^S$7:T$7 * S$4:T$4)) * AF$9</f>
        <v>1.695521636159097</v>
      </c>
      <c r="AH45" s="10" cm="1">
        <f t="array" ref="AH45">(SUMPRODUCT((G45:J45/G$9:J$9)^G$7:J$7 * G$5:J$5) + SUMPRODUCT((N45:P45/N$9:P$9)^N$7:P$7 * N$5:P$5) + SUMPRODUCT((S45:T45/S$9:T$9)^S$7:T$7 * S$5:T$5)) * AF$9</f>
        <v>1.6659630511461265</v>
      </c>
      <c r="AI45" s="50" cm="1">
        <f t="array" ref="AI45">SUMPRODUCT(AE45:AH45 * AE$3:AH$3) / SUM(AE$3:AH$3)</f>
        <v>1.625557946741379</v>
      </c>
    </row>
    <row r="46" spans="1:36" s="83" customFormat="1" x14ac:dyDescent="0.25">
      <c r="A46" s="5" t="s">
        <v>265</v>
      </c>
      <c r="B46" s="16" t="s">
        <v>266</v>
      </c>
      <c r="C46" s="4" t="s">
        <v>427</v>
      </c>
      <c r="D46" s="90" t="s">
        <v>9085</v>
      </c>
      <c r="E46" s="75" t="s">
        <v>431</v>
      </c>
      <c r="F46" s="4" t="s">
        <v>8795</v>
      </c>
      <c r="G46" s="9">
        <v>8</v>
      </c>
      <c r="H46" s="75">
        <v>16</v>
      </c>
      <c r="I46" s="1">
        <v>3.8</v>
      </c>
      <c r="J46" s="1">
        <v>5.5</v>
      </c>
      <c r="K46" s="11" t="s">
        <v>351</v>
      </c>
      <c r="L46" s="85" t="s">
        <v>400</v>
      </c>
      <c r="M46" s="4" t="s">
        <v>226</v>
      </c>
      <c r="N46" s="2">
        <v>8</v>
      </c>
      <c r="O46" s="2">
        <v>32</v>
      </c>
      <c r="P46" s="12">
        <v>65</v>
      </c>
      <c r="Q46" s="12" t="s">
        <v>407</v>
      </c>
      <c r="R46" s="12">
        <v>192</v>
      </c>
      <c r="S46" s="12">
        <v>5600</v>
      </c>
      <c r="T46" s="12">
        <v>2</v>
      </c>
      <c r="U46" s="12">
        <v>5</v>
      </c>
      <c r="V46" s="75">
        <v>28</v>
      </c>
      <c r="W46" s="75">
        <v>4</v>
      </c>
      <c r="X46" s="12">
        <v>4</v>
      </c>
      <c r="Y46" s="9">
        <v>328.99</v>
      </c>
      <c r="Z46" s="3">
        <v>497</v>
      </c>
      <c r="AA46" s="66" t="s">
        <v>267</v>
      </c>
      <c r="AB46" s="66" t="s">
        <v>265</v>
      </c>
      <c r="AC46" s="79" t="s">
        <v>8799</v>
      </c>
      <c r="AD46" s="80" t="s">
        <v>8802</v>
      </c>
      <c r="AE46" s="49" cm="1">
        <f t="array" ref="AE46">(SUMPRODUCT((G46:J46/G$9:J$9)^G$7:J$7 * G$2:J$2) + SUMPRODUCT((N46:P46/N$9:P$9)^N$7:P$7 * N$2:P$2) + SUMPRODUCT((S46:T46/S$9:T$9)^S$7:T$7 * S$2:T$2)) * AE$9</f>
        <v>1.6062328992160488</v>
      </c>
      <c r="AF46" s="1" cm="1">
        <f t="array" ref="AF46">(SUMPRODUCT((G46:J46/G$9:J$9)^G$7:J$7 * G$3:J$3) + SUMPRODUCT((N46:P46/N$9:P$9)^N$7:P$7 * N$3:P$3) + SUMPRODUCT((S46:T46/S$9:T$9)^S$7:T$7 * S$3:T$3)) * AF$9</f>
        <v>1.8915010327654038</v>
      </c>
      <c r="AG46" s="1" cm="1">
        <f t="array" ref="AG46">(SUMPRODUCT((G46:J46/G$9:J$9)^G$7:J$7 * G$4:J$4) + SUMPRODUCT((N46:P46/N$9:P$9)^N$7:P$7 * N$4:P$4) + SUMPRODUCT((S46:T46/S$9:T$9)^S$7:T$7 * S$4:T$4)) * AF$9</f>
        <v>1.9619531877039771</v>
      </c>
      <c r="AH46" s="10" cm="1">
        <f t="array" ref="AH46">(SUMPRODUCT((G46:J46/G$9:J$9)^G$7:J$7 * G$5:J$5) + SUMPRODUCT((N46:P46/N$9:P$9)^N$7:P$7 * N$5:P$5) + SUMPRODUCT((S46:T46/S$9:T$9)^S$7:T$7 * S$5:T$5)) * AF$9</f>
        <v>1.8915010327654038</v>
      </c>
      <c r="AI46" s="50" cm="1">
        <f t="array" ref="AI46">SUMPRODUCT(AE46:AH46 * AE$3:AH$3) / SUM(AE$3:AH$3)</f>
        <v>1.836508718090718</v>
      </c>
      <c r="AJ46" s="12"/>
    </row>
    <row r="47" spans="1:36" s="83" customFormat="1" x14ac:dyDescent="0.25">
      <c r="A47" s="5" t="s">
        <v>262</v>
      </c>
      <c r="B47" s="16" t="s">
        <v>263</v>
      </c>
      <c r="C47" s="4" t="s">
        <v>427</v>
      </c>
      <c r="D47" s="90" t="s">
        <v>9085</v>
      </c>
      <c r="E47" s="75" t="s">
        <v>431</v>
      </c>
      <c r="F47" s="4" t="s">
        <v>8795</v>
      </c>
      <c r="G47" s="9">
        <v>8</v>
      </c>
      <c r="H47" s="3">
        <v>16</v>
      </c>
      <c r="I47" s="1">
        <v>4.7</v>
      </c>
      <c r="J47" s="1">
        <v>5.2</v>
      </c>
      <c r="K47" s="11" t="s">
        <v>351</v>
      </c>
      <c r="L47" s="85" t="s">
        <v>400</v>
      </c>
      <c r="M47" s="4" t="s">
        <v>226</v>
      </c>
      <c r="N47" s="2">
        <v>8</v>
      </c>
      <c r="O47" s="2">
        <v>96</v>
      </c>
      <c r="P47" s="12">
        <v>120</v>
      </c>
      <c r="Q47" s="12" t="s">
        <v>407</v>
      </c>
      <c r="R47" s="12">
        <v>192</v>
      </c>
      <c r="S47" s="12">
        <v>5600</v>
      </c>
      <c r="T47" s="12">
        <v>2</v>
      </c>
      <c r="U47" s="12">
        <v>5</v>
      </c>
      <c r="V47" s="75">
        <v>28</v>
      </c>
      <c r="W47" s="75">
        <v>4</v>
      </c>
      <c r="X47" s="12">
        <v>4</v>
      </c>
      <c r="Y47" s="9">
        <v>549</v>
      </c>
      <c r="Z47" s="3">
        <v>799</v>
      </c>
      <c r="AA47" s="66" t="s">
        <v>264</v>
      </c>
      <c r="AB47" s="66" t="s">
        <v>262</v>
      </c>
      <c r="AC47" s="79" t="s">
        <v>8799</v>
      </c>
      <c r="AD47" s="80" t="s">
        <v>8802</v>
      </c>
      <c r="AE47" s="49" cm="1">
        <f t="array" ref="AE47">(SUMPRODUCT((G47:J47/G$9:J$9)^G$7:J$7 * G$2:J$2) + SUMPRODUCT((N47:P47/N$9:P$9)^N$7:P$7 * N$2:P$2) + SUMPRODUCT((S47:T47/S$9:T$9)^S$7:T$7 * S$2:T$2)) * AE$9</f>
        <v>2.0338676605480721</v>
      </c>
      <c r="AF47" s="1" cm="1">
        <f t="array" ref="AF47">(SUMPRODUCT((G47:J47/G$9:J$9)^G$7:J$7 * G$3:J$3) + SUMPRODUCT((N47:P47/N$9:P$9)^N$7:P$7 * N$3:P$3) + SUMPRODUCT((S47:T47/S$9:T$9)^S$7:T$7 * S$3:T$3)) * AF$9</f>
        <v>2.5339980246868969</v>
      </c>
      <c r="AG47" s="1" cm="1">
        <f t="array" ref="AG47">(SUMPRODUCT((G47:J47/G$9:J$9)^G$7:J$7 * G$4:J$4) + SUMPRODUCT((N47:P47/N$9:P$9)^N$7:P$7 * N$4:P$4) + SUMPRODUCT((S47:T47/S$9:T$9)^S$7:T$7 * S$4:T$4)) * AF$9</f>
        <v>2.5967716081968986</v>
      </c>
      <c r="AH47" s="10" cm="1">
        <f t="array" ref="AH47">(SUMPRODUCT((G47:J47/G$9:J$9)^G$7:J$7 * G$5:J$5) + SUMPRODUCT((N47:P47/N$9:P$9)^N$7:P$7 * N$5:P$5) + SUMPRODUCT((S47:T47/S$9:T$9)^S$7:T$7 * S$5:T$5)) * AF$9</f>
        <v>2.5339980246868969</v>
      </c>
      <c r="AI47" s="50" cm="1">
        <f t="array" ref="AI47">SUMPRODUCT(AE47:AH47 * AE$3:AH$3) / SUM(AE$3:AH$3)</f>
        <v>2.4282407996563995</v>
      </c>
      <c r="AJ47" s="12"/>
    </row>
    <row r="48" spans="1:36" x14ac:dyDescent="0.25">
      <c r="A48" s="5" t="s">
        <v>230</v>
      </c>
      <c r="B48" s="16" t="s">
        <v>231</v>
      </c>
      <c r="C48" s="4" t="s">
        <v>427</v>
      </c>
      <c r="D48" s="90" t="s">
        <v>9086</v>
      </c>
      <c r="E48" s="75" t="s">
        <v>432</v>
      </c>
      <c r="F48" s="4" t="s">
        <v>8795</v>
      </c>
      <c r="G48" s="9">
        <v>12</v>
      </c>
      <c r="H48" s="3">
        <v>24</v>
      </c>
      <c r="I48" s="1">
        <v>4.4000000000000004</v>
      </c>
      <c r="J48" s="1">
        <v>5.6</v>
      </c>
      <c r="K48" s="11" t="s">
        <v>351</v>
      </c>
      <c r="L48" s="85" t="s">
        <v>400</v>
      </c>
      <c r="M48" s="4" t="s">
        <v>226</v>
      </c>
      <c r="N48" s="2">
        <v>12</v>
      </c>
      <c r="O48" s="2">
        <v>64</v>
      </c>
      <c r="P48" s="12">
        <v>120</v>
      </c>
      <c r="Q48" s="12" t="s">
        <v>407</v>
      </c>
      <c r="R48" s="12">
        <v>192</v>
      </c>
      <c r="S48" s="12">
        <v>5600</v>
      </c>
      <c r="T48" s="12">
        <v>2</v>
      </c>
      <c r="U48" s="12">
        <v>5</v>
      </c>
      <c r="V48" s="75">
        <v>28</v>
      </c>
      <c r="W48" s="75">
        <v>4</v>
      </c>
      <c r="X48" s="12">
        <v>4</v>
      </c>
      <c r="Y48" s="9">
        <v>435.99</v>
      </c>
      <c r="Z48" s="3">
        <v>2012.58</v>
      </c>
      <c r="AA48" s="66" t="s">
        <v>232</v>
      </c>
      <c r="AB48" s="66" t="s">
        <v>230</v>
      </c>
      <c r="AC48" s="79" t="s">
        <v>8799</v>
      </c>
      <c r="AD48" s="80" t="s">
        <v>8802</v>
      </c>
      <c r="AE48" s="49" cm="1">
        <f t="array" ref="AE48">(SUMPRODUCT((G48:J48/G$9:J$9)^G$7:J$7 * G$2:J$2) + SUMPRODUCT((N48:P48/N$9:P$9)^N$7:P$7 * N$2:P$2) + SUMPRODUCT((S48:T48/S$9:T$9)^S$7:T$7 * S$2:T$2)) * AE$9</f>
        <v>2.09596199948458</v>
      </c>
      <c r="AF48" s="1" cm="1">
        <f t="array" ref="AF48">(SUMPRODUCT((G48:J48/G$9:J$9)^G$7:J$7 * G$3:J$3) + SUMPRODUCT((N48:P48/N$9:P$9)^N$7:P$7 * N$3:P$3) + SUMPRODUCT((S48:T48/S$9:T$9)^S$7:T$7 * S$3:T$3)) * AF$9</f>
        <v>2.6615275478011533</v>
      </c>
      <c r="AG48" s="1" cm="1">
        <f t="array" ref="AG48">(SUMPRODUCT((G48:J48/G$9:J$9)^G$7:J$7 * G$4:J$4) + SUMPRODUCT((N48:P48/N$9:P$9)^N$7:P$7 * N$4:P$4) + SUMPRODUCT((S48:T48/S$9:T$9)^S$7:T$7 * S$4:T$4)) * AF$9</f>
        <v>2.8014651826926533</v>
      </c>
      <c r="AH48" s="10" cm="1">
        <f t="array" ref="AH48">(SUMPRODUCT((G48:J48/G$9:J$9)^G$7:J$7 * G$5:J$5) + SUMPRODUCT((N48:P48/N$9:P$9)^N$7:P$7 * N$5:P$5) + SUMPRODUCT((S48:T48/S$9:T$9)^S$7:T$7 * S$5:T$5)) * AF$9</f>
        <v>2.6615275478011533</v>
      </c>
      <c r="AI48" s="50" cm="1">
        <f t="array" ref="AI48">SUMPRODUCT(AE48:AH48 * AE$3:AH$3) / SUM(AE$3:AH$3)</f>
        <v>2.5525412881729443</v>
      </c>
    </row>
    <row r="49" spans="1:36" x14ac:dyDescent="0.25">
      <c r="A49" s="5" t="s">
        <v>227</v>
      </c>
      <c r="B49" s="16" t="s">
        <v>228</v>
      </c>
      <c r="C49" s="4" t="s">
        <v>427</v>
      </c>
      <c r="D49" s="90" t="s">
        <v>9086</v>
      </c>
      <c r="E49" s="75" t="s">
        <v>432</v>
      </c>
      <c r="F49" s="4" t="s">
        <v>8795</v>
      </c>
      <c r="G49" s="9">
        <v>16</v>
      </c>
      <c r="H49" s="75">
        <v>32</v>
      </c>
      <c r="I49" s="1">
        <v>4.3</v>
      </c>
      <c r="J49" s="1">
        <v>5.7</v>
      </c>
      <c r="K49" s="11" t="s">
        <v>351</v>
      </c>
      <c r="L49" s="85" t="s">
        <v>400</v>
      </c>
      <c r="M49" s="4" t="s">
        <v>226</v>
      </c>
      <c r="N49" s="2">
        <v>16</v>
      </c>
      <c r="O49" s="2">
        <v>64</v>
      </c>
      <c r="P49" s="12">
        <v>170</v>
      </c>
      <c r="Q49" s="12" t="s">
        <v>407</v>
      </c>
      <c r="R49" s="12">
        <v>192</v>
      </c>
      <c r="S49" s="12">
        <v>5600</v>
      </c>
      <c r="T49" s="12">
        <v>2</v>
      </c>
      <c r="U49" s="12">
        <v>5</v>
      </c>
      <c r="V49" s="75">
        <v>28</v>
      </c>
      <c r="W49" s="75">
        <v>4</v>
      </c>
      <c r="X49" s="12">
        <v>4</v>
      </c>
      <c r="Y49" s="9">
        <v>649.38</v>
      </c>
      <c r="Z49" s="3">
        <v>934.9</v>
      </c>
      <c r="AA49" s="66" t="s">
        <v>229</v>
      </c>
      <c r="AB49" s="66" t="s">
        <v>227</v>
      </c>
      <c r="AC49" s="79" t="s">
        <v>8799</v>
      </c>
      <c r="AD49" s="80" t="s">
        <v>8802</v>
      </c>
      <c r="AE49" s="49" cm="1">
        <f t="array" ref="AE49">(SUMPRODUCT((G49:J49/G$9:J$9)^G$7:J$7 * G$2:J$2) + SUMPRODUCT((N49:P49/N$9:P$9)^N$7:P$7 * N$2:P$2) + SUMPRODUCT((S49:T49/S$9:T$9)^S$7:T$7 * S$2:T$2)) * AE$9</f>
        <v>2.3290334384084725</v>
      </c>
      <c r="AF49" s="1" cm="1">
        <f t="array" ref="AF49">(SUMPRODUCT((G49:J49/G$9:J$9)^G$7:J$7 * G$3:J$3) + SUMPRODUCT((N49:P49/N$9:P$9)^N$7:P$7 * N$3:P$3) + SUMPRODUCT((S49:T49/S$9:T$9)^S$7:T$7 * S$3:T$3)) * AF$9</f>
        <v>3.0638588982278785</v>
      </c>
      <c r="AG49" s="1" cm="1">
        <f t="array" ref="AG49">(SUMPRODUCT((G49:J49/G$9:J$9)^G$7:J$7 * G$4:J$4) + SUMPRODUCT((N49:P49/N$9:P$9)^N$7:P$7 * N$4:P$4) + SUMPRODUCT((S49:T49/S$9:T$9)^S$7:T$7 * S$4:T$4)) * AF$9</f>
        <v>3.2788123473012076</v>
      </c>
      <c r="AH49" s="10" cm="1">
        <f t="array" ref="AH49">(SUMPRODUCT((G49:J49/G$9:J$9)^G$7:J$7 * G$5:J$5) + SUMPRODUCT((N49:P49/N$9:P$9)^N$7:P$7 * N$5:P$5) + SUMPRODUCT((S49:T49/S$9:T$9)^S$7:T$7 * S$5:T$5)) * AF$9</f>
        <v>3.0638588982278785</v>
      </c>
      <c r="AI49" s="50" cm="1">
        <f t="array" ref="AI49">SUMPRODUCT(AE49:AH49 * AE$3:AH$3) / SUM(AE$3:AH$3)</f>
        <v>2.9273535535116051</v>
      </c>
    </row>
    <row r="50" spans="1:36" s="83" customFormat="1" x14ac:dyDescent="0.25">
      <c r="A50" s="5" t="s">
        <v>393</v>
      </c>
      <c r="B50" s="16" t="s">
        <v>394</v>
      </c>
      <c r="C50" s="4" t="s">
        <v>428</v>
      </c>
      <c r="D50" s="90" t="s">
        <v>9087</v>
      </c>
      <c r="E50" s="75" t="s">
        <v>437</v>
      </c>
      <c r="F50" s="4">
        <v>200</v>
      </c>
      <c r="G50" s="12">
        <v>10</v>
      </c>
      <c r="H50" s="3">
        <v>10</v>
      </c>
      <c r="I50" s="1">
        <v>3.3</v>
      </c>
      <c r="J50" s="1">
        <v>4.9000000000000004</v>
      </c>
      <c r="K50" s="11" t="s">
        <v>398</v>
      </c>
      <c r="L50" s="85" t="s">
        <v>355</v>
      </c>
      <c r="M50" s="4" t="s">
        <v>402</v>
      </c>
      <c r="N50" s="2">
        <v>22</v>
      </c>
      <c r="O50" s="2">
        <v>20</v>
      </c>
      <c r="P50" s="12">
        <v>65</v>
      </c>
      <c r="Q50" s="12" t="s">
        <v>407</v>
      </c>
      <c r="R50" s="12">
        <v>192</v>
      </c>
      <c r="S50" s="12" t="s">
        <v>6971</v>
      </c>
      <c r="T50" s="12">
        <v>2</v>
      </c>
      <c r="U50" s="12">
        <v>5</v>
      </c>
      <c r="V50" s="75">
        <v>24</v>
      </c>
      <c r="W50" s="75">
        <v>4</v>
      </c>
      <c r="X50" s="12">
        <v>8</v>
      </c>
      <c r="Y50" s="9">
        <v>255.3</v>
      </c>
      <c r="Z50" s="3">
        <v>396</v>
      </c>
      <c r="AA50" s="66" t="s">
        <v>395</v>
      </c>
      <c r="AB50" s="66" t="s">
        <v>393</v>
      </c>
      <c r="AC50" s="79" t="s">
        <v>8799</v>
      </c>
      <c r="AD50" s="80" t="s">
        <v>8800</v>
      </c>
      <c r="AE50" s="49" cm="1">
        <f t="array" ref="AE50">(SUMPRODUCT((G50:J50/G$9:J$9)^G$7:J$7 * G$2:J$2) + SUMPRODUCT((N50:P50/N$9:P$9)^N$7:P$7 * N$2:P$2) + (VALUE(TRIM(MID(S50,FIND(",",S50)+1,LEN(S50))))/S$9)^S$7 * S$2 + (T50/T$9)^T$7 * T$2) * AE$9</f>
        <v>1.6495559958707164</v>
      </c>
      <c r="AF50" s="1" cm="1">
        <f t="array" ref="AF50">(SUMPRODUCT((G50:J50/G$9:J$9)^G$7:J$7 * G$3:J$3) + SUMPRODUCT((N50:P50/N$9:P$9)^N$7:P$7 * N$3:P$3) + (VALUE(TRIM(MID(S50,FIND(",",S50)+1,LEN(S50))))/S$9)^S$7 * S$3 + (T50/T$9)^T$7 * T$3) * AE$9</f>
        <v>2.0715400503750381</v>
      </c>
      <c r="AG50" s="1" cm="1">
        <f t="array" ref="AG50">(SUMPRODUCT((G50:J50/G$9:J$9)^G$7:J$7 * G$4:J$4) + SUMPRODUCT((N50:P50/N$9:P$9)^N$7:P$7 * N$4:P$4) + (VALUE(TRIM(MID(S50,FIND(",",S50)+1,LEN(S50))))/S$9)^S$7 * S$4 + (T50/T$9)^T$7 * T$4) * AE$9</f>
        <v>2.1464548116779087</v>
      </c>
      <c r="AH50" s="10" cm="1">
        <f t="array" ref="AH50">(SUMPRODUCT((G50:J50/G$9:J$9)^G$7:J$7 * G$5:J$5) + SUMPRODUCT((N50:P50/N$9:P$9)^N$7:P$7 * N$5:P$5) + (VALUE(TRIM(MID(S50,FIND(",",S50)+1,LEN(S50))))/S$9)^S$7 * S$5 + (T50/T$9)^T$7 * T$5) * AE$9</f>
        <v>2.0715400503750381</v>
      </c>
      <c r="AI50" s="50" cm="1">
        <f t="array" ref="AI50">SUMPRODUCT(AE50:AH50 * AE$3:AH$3) / SUM(AE$3:AH$3)</f>
        <v>1.985684462612944</v>
      </c>
      <c r="AJ50" s="12"/>
    </row>
    <row r="51" spans="1:36" s="83" customFormat="1" x14ac:dyDescent="0.25">
      <c r="A51" s="5" t="s">
        <v>390</v>
      </c>
      <c r="B51" s="16" t="s">
        <v>391</v>
      </c>
      <c r="C51" s="4" t="s">
        <v>428</v>
      </c>
      <c r="D51" s="90" t="s">
        <v>9087</v>
      </c>
      <c r="E51" s="75" t="s">
        <v>437</v>
      </c>
      <c r="F51" s="4">
        <v>200</v>
      </c>
      <c r="G51" s="12">
        <v>10</v>
      </c>
      <c r="H51" s="3">
        <v>10</v>
      </c>
      <c r="I51" s="1">
        <v>3.3</v>
      </c>
      <c r="J51" s="1">
        <v>4.9000000000000004</v>
      </c>
      <c r="K51" s="11" t="s">
        <v>398</v>
      </c>
      <c r="L51" s="85" t="s">
        <v>355</v>
      </c>
      <c r="M51" s="4" t="s">
        <v>402</v>
      </c>
      <c r="N51" s="2">
        <v>22</v>
      </c>
      <c r="O51" s="2">
        <v>20</v>
      </c>
      <c r="P51" s="12">
        <v>65</v>
      </c>
      <c r="Q51" s="12" t="s">
        <v>407</v>
      </c>
      <c r="R51" s="12">
        <v>192</v>
      </c>
      <c r="S51" s="12">
        <v>5600</v>
      </c>
      <c r="T51" s="12">
        <v>2</v>
      </c>
      <c r="U51" s="12">
        <v>5</v>
      </c>
      <c r="V51" s="75">
        <v>24</v>
      </c>
      <c r="W51" s="75">
        <v>4</v>
      </c>
      <c r="X51" s="12">
        <v>8</v>
      </c>
      <c r="Y51" s="9">
        <v>254.05</v>
      </c>
      <c r="Z51" s="3">
        <v>366</v>
      </c>
      <c r="AA51" s="66" t="s">
        <v>392</v>
      </c>
      <c r="AB51" s="66" t="s">
        <v>390</v>
      </c>
      <c r="AC51" s="79" t="s">
        <v>8799</v>
      </c>
      <c r="AD51" s="80" t="s">
        <v>8800</v>
      </c>
      <c r="AE51" s="49" cm="1">
        <f t="array" ref="AE51">(SUMPRODUCT((G51:J51/G$9:J$9)^G$7:J$7 * G$2:J$2) + SUMPRODUCT((N51:P51/N$9:P$9)^N$7:P$7 * N$2:P$2) + SUMPRODUCT((S51:T51/S$9:T$9)^S$7:T$7 * S$2:T$2)) * AE$9</f>
        <v>1.6423077431338615</v>
      </c>
      <c r="AF51" s="1" cm="1">
        <f t="array" ref="AF51">(SUMPRODUCT((G51:J51/G$9:J$9)^G$7:J$7 * G$3:J$3) + SUMPRODUCT((N51:P51/N$9:P$9)^N$7:P$7 * N$3:P$3) + SUMPRODUCT((S51:T51/S$9:T$9)^S$7:T$7 * S$3:T$3)) * AF$9</f>
        <v>2.0642917976381834</v>
      </c>
      <c r="AG51" s="1" cm="1">
        <f t="array" ref="AG51">(SUMPRODUCT((G51:J51/G$9:J$9)^G$7:J$7 * G$4:J$4) + SUMPRODUCT((N51:P51/N$9:P$9)^N$7:P$7 * N$4:P$4) + SUMPRODUCT((S51:T51/S$9:T$9)^S$7:T$7 * S$4:T$4)) * AF$9</f>
        <v>2.139206558941054</v>
      </c>
      <c r="AH51" s="10" cm="1">
        <f t="array" ref="AH51">(SUMPRODUCT((G51:J51/G$9:J$9)^G$7:J$7 * G$5:J$5) + SUMPRODUCT((N51:P51/N$9:P$9)^N$7:P$7 * N$5:P$5) + SUMPRODUCT((S51:T51/S$9:T$9)^S$7:T$7 * S$5:T$5)) * AF$9</f>
        <v>2.0642917976381834</v>
      </c>
      <c r="AI51" s="50" cm="1">
        <f t="array" ref="AI51">SUMPRODUCT(AE51:AH51 * AE$3:AH$3) / SUM(AE$3:AH$3)</f>
        <v>1.9784362098760893</v>
      </c>
      <c r="AJ51" s="12"/>
    </row>
    <row r="52" spans="1:36" s="83" customFormat="1" x14ac:dyDescent="0.25">
      <c r="A52" s="5" t="s">
        <v>387</v>
      </c>
      <c r="B52" s="16" t="s">
        <v>388</v>
      </c>
      <c r="C52" s="4" t="s">
        <v>428</v>
      </c>
      <c r="D52" s="90" t="s">
        <v>9087</v>
      </c>
      <c r="E52" s="75" t="s">
        <v>437</v>
      </c>
      <c r="F52" s="4">
        <v>200</v>
      </c>
      <c r="G52" s="12">
        <v>14</v>
      </c>
      <c r="H52" s="75">
        <v>14</v>
      </c>
      <c r="I52" s="1">
        <v>3.4</v>
      </c>
      <c r="J52" s="1">
        <v>5</v>
      </c>
      <c r="K52" s="11" t="s">
        <v>398</v>
      </c>
      <c r="L52" s="85" t="s">
        <v>355</v>
      </c>
      <c r="M52" s="4" t="s">
        <v>402</v>
      </c>
      <c r="N52" s="2">
        <v>26</v>
      </c>
      <c r="O52" s="2">
        <v>24</v>
      </c>
      <c r="P52" s="12">
        <v>65</v>
      </c>
      <c r="Q52" s="12" t="s">
        <v>407</v>
      </c>
      <c r="R52" s="12">
        <v>192</v>
      </c>
      <c r="S52" s="12">
        <v>5600</v>
      </c>
      <c r="T52" s="12">
        <v>2</v>
      </c>
      <c r="U52" s="12">
        <v>5</v>
      </c>
      <c r="V52" s="75">
        <v>24</v>
      </c>
      <c r="W52" s="75">
        <v>4</v>
      </c>
      <c r="X52" s="12">
        <v>8</v>
      </c>
      <c r="Y52" s="9">
        <v>292.39999999999998</v>
      </c>
      <c r="Z52" s="3">
        <v>404.9</v>
      </c>
      <c r="AA52" s="66" t="s">
        <v>389</v>
      </c>
      <c r="AB52" s="66" t="s">
        <v>387</v>
      </c>
      <c r="AC52" s="79" t="s">
        <v>8799</v>
      </c>
      <c r="AD52" s="80" t="s">
        <v>8800</v>
      </c>
      <c r="AE52" s="49" cm="1">
        <f t="array" ref="AE52">(SUMPRODUCT((G52:J52/G$9:J$9)^G$7:J$7 * G$2:J$2) + SUMPRODUCT((N52:P52/N$9:P$9)^N$7:P$7 * N$2:P$2) + SUMPRODUCT((S52:T52/S$9:T$9)^S$7:T$7 * S$2:T$2)) * AE$9</f>
        <v>1.8956679824220211</v>
      </c>
      <c r="AF52" s="1" cm="1">
        <f t="array" ref="AF52">(SUMPRODUCT((G52:J52/G$9:J$9)^G$7:J$7 * G$3:J$3) + SUMPRODUCT((N52:P52/N$9:P$9)^N$7:P$7 * N$3:P$3) + SUMPRODUCT((S52:T52/S$9:T$9)^S$7:T$7 * S$3:T$3)) * AF$9</f>
        <v>2.4569686806873987</v>
      </c>
      <c r="AG52" s="1" cm="1">
        <f t="array" ref="AG52">(SUMPRODUCT((G52:J52/G$9:J$9)^G$7:J$7 * G$4:J$4) + SUMPRODUCT((N52:P52/N$9:P$9)^N$7:P$7 * N$4:P$4) + SUMPRODUCT((S52:T52/S$9:T$9)^S$7:T$7 * S$4:T$4)) * AF$9</f>
        <v>2.5897940360998293</v>
      </c>
      <c r="AH52" s="10" cm="1">
        <f t="array" ref="AH52">(SUMPRODUCT((G52:J52/G$9:J$9)^G$7:J$7 * G$5:J$5) + SUMPRODUCT((N52:P52/N$9:P$9)^N$7:P$7 * N$5:P$5) + SUMPRODUCT((S52:T52/S$9:T$9)^S$7:T$7 * S$5:T$5)) * AF$9</f>
        <v>2.4569686806873987</v>
      </c>
      <c r="AI52" s="50" cm="1">
        <f t="array" ref="AI52">SUMPRODUCT(AE52:AH52 * AE$3:AH$3) / SUM(AE$3:AH$3)</f>
        <v>2.3478724203819161</v>
      </c>
      <c r="AJ52" s="12"/>
    </row>
    <row r="53" spans="1:36" s="83" customFormat="1" x14ac:dyDescent="0.25">
      <c r="A53" s="5" t="s">
        <v>384</v>
      </c>
      <c r="B53" s="16" t="s">
        <v>385</v>
      </c>
      <c r="C53" s="4" t="s">
        <v>428</v>
      </c>
      <c r="D53" s="90" t="s">
        <v>9087</v>
      </c>
      <c r="E53" s="75" t="s">
        <v>437</v>
      </c>
      <c r="F53" s="4">
        <v>200</v>
      </c>
      <c r="G53" s="12">
        <v>14</v>
      </c>
      <c r="H53" s="3">
        <v>14</v>
      </c>
      <c r="I53" s="1">
        <v>3.5</v>
      </c>
      <c r="J53" s="1">
        <v>5.0999999999999996</v>
      </c>
      <c r="K53" s="11" t="s">
        <v>398</v>
      </c>
      <c r="L53" s="85" t="s">
        <v>355</v>
      </c>
      <c r="M53" s="4" t="s">
        <v>402</v>
      </c>
      <c r="N53" s="2">
        <v>26</v>
      </c>
      <c r="O53" s="2">
        <v>24</v>
      </c>
      <c r="P53" s="12">
        <v>65</v>
      </c>
      <c r="Q53" s="12" t="s">
        <v>407</v>
      </c>
      <c r="R53" s="12">
        <v>192</v>
      </c>
      <c r="S53" s="12">
        <v>5600</v>
      </c>
      <c r="T53" s="12">
        <v>2</v>
      </c>
      <c r="U53" s="12">
        <v>5</v>
      </c>
      <c r="V53" s="75">
        <v>24</v>
      </c>
      <c r="W53" s="75">
        <v>4</v>
      </c>
      <c r="X53" s="12">
        <v>8</v>
      </c>
      <c r="Y53" s="9">
        <v>316.89999999999998</v>
      </c>
      <c r="Z53" s="3">
        <v>384.9</v>
      </c>
      <c r="AA53" s="66" t="s">
        <v>386</v>
      </c>
      <c r="AB53" s="66" t="s">
        <v>384</v>
      </c>
      <c r="AC53" s="79" t="s">
        <v>8801</v>
      </c>
      <c r="AD53" s="80" t="s">
        <v>8802</v>
      </c>
      <c r="AE53" s="49" cm="1">
        <f t="array" ref="AE53">(SUMPRODUCT((G53:J53/G$9:J$9)^G$7:J$7 * G$2:J$2) + SUMPRODUCT((N53:P53/N$9:P$9)^N$7:P$7 * N$2:P$2) + SUMPRODUCT((S53:T53/S$9:T$9)^S$7:T$7 * S$2:T$2)) * AE$9</f>
        <v>1.9066203633744019</v>
      </c>
      <c r="AF53" s="1" cm="1">
        <f t="array" ref="AF53">(SUMPRODUCT((G53:J53/G$9:J$9)^G$7:J$7 * G$3:J$3) + SUMPRODUCT((N53:P53/N$9:P$9)^N$7:P$7 * N$3:P$3) + SUMPRODUCT((S53:T53/S$9:T$9)^S$7:T$7 * S$3:T$3)) * AF$9</f>
        <v>2.4618496330683515</v>
      </c>
      <c r="AG53" s="1" cm="1">
        <f t="array" ref="AG53">(SUMPRODUCT((G53:J53/G$9:J$9)^G$7:J$7 * G$4:J$4) + SUMPRODUCT((N53:P53/N$9:P$9)^N$7:P$7 * N$4:P$4) + SUMPRODUCT((S53:T53/S$9:T$9)^S$7:T$7 * S$4:T$4)) * AF$9</f>
        <v>2.5922345122903057</v>
      </c>
      <c r="AH53" s="10" cm="1">
        <f t="array" ref="AH53">(SUMPRODUCT((G53:J53/G$9:J$9)^G$7:J$7 * G$5:J$5) + SUMPRODUCT((N53:P53/N$9:P$9)^N$7:P$7 * N$5:P$5) + SUMPRODUCT((S53:T53/S$9:T$9)^S$7:T$7 * S$5:T$5)) * AF$9</f>
        <v>2.4618496330683515</v>
      </c>
      <c r="AI53" s="50" cm="1">
        <f t="array" ref="AI53">SUMPRODUCT(AE53:AH53 * AE$3:AH$3) / SUM(AE$3:AH$3)</f>
        <v>2.3537790137885102</v>
      </c>
      <c r="AJ53" s="12"/>
    </row>
    <row r="54" spans="1:36" s="83" customFormat="1" x14ac:dyDescent="0.25">
      <c r="A54" s="5" t="s">
        <v>381</v>
      </c>
      <c r="B54" s="16" t="s">
        <v>382</v>
      </c>
      <c r="C54" s="4" t="s">
        <v>428</v>
      </c>
      <c r="D54" s="90" t="s">
        <v>9087</v>
      </c>
      <c r="E54" s="75" t="s">
        <v>437</v>
      </c>
      <c r="F54" s="4">
        <v>200</v>
      </c>
      <c r="G54" s="12">
        <v>14</v>
      </c>
      <c r="H54" s="3">
        <v>14</v>
      </c>
      <c r="I54" s="1">
        <v>4.2</v>
      </c>
      <c r="J54" s="1">
        <v>5.2</v>
      </c>
      <c r="K54" s="11" t="s">
        <v>398</v>
      </c>
      <c r="L54" s="85" t="s">
        <v>355</v>
      </c>
      <c r="M54" s="4" t="s">
        <v>402</v>
      </c>
      <c r="N54" s="2">
        <v>26</v>
      </c>
      <c r="O54" s="2">
        <v>24</v>
      </c>
      <c r="P54" s="12">
        <v>125</v>
      </c>
      <c r="Q54" s="12" t="s">
        <v>407</v>
      </c>
      <c r="R54" s="12">
        <v>192</v>
      </c>
      <c r="S54" s="12">
        <v>5600</v>
      </c>
      <c r="T54" s="12">
        <v>2</v>
      </c>
      <c r="U54" s="12">
        <v>5</v>
      </c>
      <c r="V54" s="75">
        <v>24</v>
      </c>
      <c r="W54" s="75">
        <v>4</v>
      </c>
      <c r="X54" s="12">
        <v>8</v>
      </c>
      <c r="Y54" s="9">
        <v>319.99</v>
      </c>
      <c r="Z54" s="3">
        <v>499</v>
      </c>
      <c r="AA54" s="66" t="s">
        <v>383</v>
      </c>
      <c r="AB54" s="66" t="s">
        <v>381</v>
      </c>
      <c r="AC54" s="79" t="s">
        <v>8799</v>
      </c>
      <c r="AD54" s="80" t="s">
        <v>8802</v>
      </c>
      <c r="AE54" s="49" cm="1">
        <f t="array" ref="AE54">(SUMPRODUCT((G54:J54/G$9:J$9)^G$7:J$7 * G$2:J$2) + SUMPRODUCT((N54:P54/N$9:P$9)^N$7:P$7 * N$2:P$2) + SUMPRODUCT((S54:T54/S$9:T$9)^S$7:T$7 * S$2:T$2)) * AE$9</f>
        <v>1.9196837698360627</v>
      </c>
      <c r="AF54" s="1" cm="1">
        <f t="array" ref="AF54">(SUMPRODUCT((G54:J54/G$9:J$9)^G$7:J$7 * G$3:J$3) + SUMPRODUCT((N54:P54/N$9:P$9)^N$7:P$7 * N$3:P$3) + SUMPRODUCT((S54:T54/S$9:T$9)^S$7:T$7 * S$3:T$3)) * AF$9</f>
        <v>2.4677860982039435</v>
      </c>
      <c r="AG54" s="1" cm="1">
        <f t="array" ref="AG54">(SUMPRODUCT((G54:J54/G$9:J$9)^G$7:J$7 * G$4:J$4) + SUMPRODUCT((N54:P54/N$9:P$9)^N$7:P$7 * N$4:P$4) + SUMPRODUCT((S54:T54/S$9:T$9)^S$7:T$7 * S$4:T$4)) * AF$9</f>
        <v>2.5882305012354214</v>
      </c>
      <c r="AH54" s="10" cm="1">
        <f t="array" ref="AH54">(SUMPRODUCT((G54:J54/G$9:J$9)^G$7:J$7 * G$5:J$5) + SUMPRODUCT((N54:P54/N$9:P$9)^N$7:P$7 * N$5:P$5) + SUMPRODUCT((S54:T54/S$9:T$9)^S$7:T$7 * S$5:T$5)) * AF$9</f>
        <v>2.4677860982039435</v>
      </c>
      <c r="AI54" s="50" cm="1">
        <f t="array" ref="AI54">SUMPRODUCT(AE54:AH54 * AE$3:AH$3) / SUM(AE$3:AH$3)</f>
        <v>2.3598308536623525</v>
      </c>
      <c r="AJ54" s="12"/>
    </row>
    <row r="55" spans="1:36" s="83" customFormat="1" x14ac:dyDescent="0.25">
      <c r="A55" s="5" t="s">
        <v>378</v>
      </c>
      <c r="B55" s="16" t="s">
        <v>379</v>
      </c>
      <c r="C55" s="4" t="s">
        <v>428</v>
      </c>
      <c r="D55" s="90" t="s">
        <v>9087</v>
      </c>
      <c r="E55" s="75" t="s">
        <v>437</v>
      </c>
      <c r="F55" s="4">
        <v>200</v>
      </c>
      <c r="G55" s="12">
        <v>14</v>
      </c>
      <c r="H55" s="75">
        <v>14</v>
      </c>
      <c r="I55" s="1">
        <v>4.2</v>
      </c>
      <c r="J55" s="1">
        <v>5.2</v>
      </c>
      <c r="K55" s="11" t="s">
        <v>398</v>
      </c>
      <c r="L55" s="85" t="s">
        <v>355</v>
      </c>
      <c r="M55" s="4" t="s">
        <v>402</v>
      </c>
      <c r="N55" s="2">
        <v>26</v>
      </c>
      <c r="O55" s="2">
        <v>24</v>
      </c>
      <c r="P55" s="12">
        <v>125</v>
      </c>
      <c r="Q55" s="12" t="s">
        <v>407</v>
      </c>
      <c r="R55" s="12">
        <v>192</v>
      </c>
      <c r="S55" s="12">
        <v>5600</v>
      </c>
      <c r="T55" s="12">
        <v>2</v>
      </c>
      <c r="U55" s="12">
        <v>5</v>
      </c>
      <c r="V55" s="75">
        <v>24</v>
      </c>
      <c r="W55" s="75">
        <v>4</v>
      </c>
      <c r="X55" s="12">
        <v>8</v>
      </c>
      <c r="Y55" s="9">
        <v>292.70999999999998</v>
      </c>
      <c r="Z55" s="3">
        <v>414.9</v>
      </c>
      <c r="AA55" s="66" t="s">
        <v>380</v>
      </c>
      <c r="AB55" s="66" t="s">
        <v>378</v>
      </c>
      <c r="AC55" s="79" t="s">
        <v>8799</v>
      </c>
      <c r="AD55" s="80" t="s">
        <v>8802</v>
      </c>
      <c r="AE55" s="49" cm="1">
        <f t="array" ref="AE55">(SUMPRODUCT((G55:J55/G$9:J$9)^G$7:J$7 * G$2:J$2) + SUMPRODUCT((N55:P55/N$9:P$9)^N$7:P$7 * N$2:P$2) + SUMPRODUCT((S55:T55/S$9:T$9)^S$7:T$7 * S$2:T$2)) * AE$9</f>
        <v>1.9196837698360627</v>
      </c>
      <c r="AF55" s="1" cm="1">
        <f t="array" ref="AF55">(SUMPRODUCT((G55:J55/G$9:J$9)^G$7:J$7 * G$3:J$3) + SUMPRODUCT((N55:P55/N$9:P$9)^N$7:P$7 * N$3:P$3) + SUMPRODUCT((S55:T55/S$9:T$9)^S$7:T$7 * S$3:T$3)) * AF$9</f>
        <v>2.4677860982039435</v>
      </c>
      <c r="AG55" s="1" cm="1">
        <f t="array" ref="AG55">(SUMPRODUCT((G55:J55/G$9:J$9)^G$7:J$7 * G$4:J$4) + SUMPRODUCT((N55:P55/N$9:P$9)^N$7:P$7 * N$4:P$4) + SUMPRODUCT((S55:T55/S$9:T$9)^S$7:T$7 * S$4:T$4)) * AF$9</f>
        <v>2.5882305012354214</v>
      </c>
      <c r="AH55" s="10" cm="1">
        <f t="array" ref="AH55">(SUMPRODUCT((G55:J55/G$9:J$9)^G$7:J$7 * G$5:J$5) + SUMPRODUCT((N55:P55/N$9:P$9)^N$7:P$7 * N$5:P$5) + SUMPRODUCT((S55:T55/S$9:T$9)^S$7:T$7 * S$5:T$5)) * AF$9</f>
        <v>2.4677860982039435</v>
      </c>
      <c r="AI55" s="50" cm="1">
        <f t="array" ref="AI55">SUMPRODUCT(AE55:AH55 * AE$3:AH$3) / SUM(AE$3:AH$3)</f>
        <v>2.3598308536623525</v>
      </c>
      <c r="AJ55" s="12"/>
    </row>
    <row r="56" spans="1:36" x14ac:dyDescent="0.25">
      <c r="A56" s="5" t="s">
        <v>375</v>
      </c>
      <c r="B56" s="16" t="s">
        <v>376</v>
      </c>
      <c r="C56" s="4" t="s">
        <v>428</v>
      </c>
      <c r="D56" s="90" t="s">
        <v>9088</v>
      </c>
      <c r="E56" s="75" t="s">
        <v>438</v>
      </c>
      <c r="F56" s="4">
        <v>200</v>
      </c>
      <c r="G56" s="12">
        <v>20</v>
      </c>
      <c r="H56" s="3">
        <v>20</v>
      </c>
      <c r="I56" s="1">
        <v>2.4</v>
      </c>
      <c r="J56" s="1">
        <v>5.3</v>
      </c>
      <c r="K56" s="11" t="s">
        <v>398</v>
      </c>
      <c r="L56" s="85" t="s">
        <v>355</v>
      </c>
      <c r="M56" s="4" t="s">
        <v>402</v>
      </c>
      <c r="N56" s="2">
        <v>36</v>
      </c>
      <c r="O56" s="2">
        <v>30</v>
      </c>
      <c r="P56" s="12">
        <v>65</v>
      </c>
      <c r="Q56" s="12" t="s">
        <v>407</v>
      </c>
      <c r="R56" s="12">
        <v>192</v>
      </c>
      <c r="S56" s="12">
        <v>5600</v>
      </c>
      <c r="T56" s="12">
        <v>2</v>
      </c>
      <c r="U56" s="12">
        <v>5</v>
      </c>
      <c r="V56" s="75">
        <v>24</v>
      </c>
      <c r="W56" s="75">
        <v>4</v>
      </c>
      <c r="X56" s="12">
        <v>8</v>
      </c>
      <c r="Y56" s="9">
        <v>371.52</v>
      </c>
      <c r="Z56" s="3">
        <v>559.9</v>
      </c>
      <c r="AA56" s="66" t="s">
        <v>377</v>
      </c>
      <c r="AB56" s="66" t="s">
        <v>375</v>
      </c>
      <c r="AC56" s="79" t="s">
        <v>8799</v>
      </c>
      <c r="AD56" s="80" t="s">
        <v>8800</v>
      </c>
      <c r="AE56" s="49" cm="1">
        <f t="array" ref="AE56">(SUMPRODUCT((G56:J56/G$9:J$9)^G$7:J$7 * G$2:J$2) + SUMPRODUCT((N56:P56/N$9:P$9)^N$7:P$7 * N$2:P$2) + SUMPRODUCT((S56:T56/S$9:T$9)^S$7:T$7 * S$2:T$2)) * AE$9</f>
        <v>2.2586227712932745</v>
      </c>
      <c r="AF56" s="1" cm="1">
        <f t="array" ref="AF56">(SUMPRODUCT((G56:J56/G$9:J$9)^G$7:J$7 * G$3:J$3) + SUMPRODUCT((N56:P56/N$9:P$9)^N$7:P$7 * N$3:P$3) + SUMPRODUCT((S56:T56/S$9:T$9)^S$7:T$7 * S$3:T$3)) * AF$9</f>
        <v>3.0888922085514672</v>
      </c>
      <c r="AG56" s="1" cm="1">
        <f t="array" ref="AG56">(SUMPRODUCT((G56:J56/G$9:J$9)^G$7:J$7 * G$4:J$4) + SUMPRODUCT((N56:P56/N$9:P$9)^N$7:P$7 * N$4:P$4) + SUMPRODUCT((S56:T56/S$9:T$9)^S$7:T$7 * S$4:T$4)) * AF$9</f>
        <v>3.3175798882608767</v>
      </c>
      <c r="AH56" s="10" cm="1">
        <f t="array" ref="AH56">(SUMPRODUCT((G56:J56/G$9:J$9)^G$7:J$7 * G$5:J$5) + SUMPRODUCT((N56:P56/N$9:P$9)^N$7:P$7 * N$5:P$5) + SUMPRODUCT((S56:T56/S$9:T$9)^S$7:T$7 * S$5:T$5)) * AF$9</f>
        <v>3.0888922085514672</v>
      </c>
      <c r="AI56" s="50" cm="1">
        <f t="array" ref="AI56">SUMPRODUCT(AE56:AH56 * AE$3:AH$3) / SUM(AE$3:AH$3)</f>
        <v>2.9324742891394853</v>
      </c>
    </row>
    <row r="57" spans="1:36" x14ac:dyDescent="0.25">
      <c r="A57" s="5" t="s">
        <v>372</v>
      </c>
      <c r="B57" s="16" t="s">
        <v>373</v>
      </c>
      <c r="C57" s="4" t="s">
        <v>428</v>
      </c>
      <c r="D57" s="90" t="s">
        <v>9088</v>
      </c>
      <c r="E57" s="75" t="s">
        <v>438</v>
      </c>
      <c r="F57" s="4">
        <v>200</v>
      </c>
      <c r="G57" s="12">
        <v>20</v>
      </c>
      <c r="H57" s="3">
        <v>20</v>
      </c>
      <c r="I57" s="1">
        <v>2.4</v>
      </c>
      <c r="J57" s="1">
        <v>5.3</v>
      </c>
      <c r="K57" s="11" t="s">
        <v>398</v>
      </c>
      <c r="L57" s="85" t="s">
        <v>355</v>
      </c>
      <c r="M57" s="4" t="s">
        <v>402</v>
      </c>
      <c r="N57" s="2">
        <v>36</v>
      </c>
      <c r="O57" s="2">
        <v>30</v>
      </c>
      <c r="P57" s="12">
        <v>65</v>
      </c>
      <c r="Q57" s="12" t="s">
        <v>407</v>
      </c>
      <c r="R57" s="12">
        <v>192</v>
      </c>
      <c r="S57" s="12">
        <v>5600</v>
      </c>
      <c r="T57" s="12">
        <v>2</v>
      </c>
      <c r="U57" s="12">
        <v>5</v>
      </c>
      <c r="V57" s="75">
        <v>24</v>
      </c>
      <c r="W57" s="75">
        <v>4</v>
      </c>
      <c r="X57" s="12">
        <v>8</v>
      </c>
      <c r="Y57" s="9">
        <v>355.81</v>
      </c>
      <c r="Z57" s="3">
        <v>534.9</v>
      </c>
      <c r="AA57" s="66" t="s">
        <v>374</v>
      </c>
      <c r="AB57" s="66" t="s">
        <v>372</v>
      </c>
      <c r="AC57" s="79" t="s">
        <v>8799</v>
      </c>
      <c r="AD57" s="80" t="s">
        <v>8800</v>
      </c>
      <c r="AE57" s="49" cm="1">
        <f t="array" ref="AE57">(SUMPRODUCT((G57:J57/G$9:J$9)^G$7:J$7 * G$2:J$2) + SUMPRODUCT((N57:P57/N$9:P$9)^N$7:P$7 * N$2:P$2) + SUMPRODUCT((S57:T57/S$9:T$9)^S$7:T$7 * S$2:T$2)) * AE$9</f>
        <v>2.2586227712932745</v>
      </c>
      <c r="AF57" s="1" cm="1">
        <f t="array" ref="AF57">(SUMPRODUCT((G57:J57/G$9:J$9)^G$7:J$7 * G$3:J$3) + SUMPRODUCT((N57:P57/N$9:P$9)^N$7:P$7 * N$3:P$3) + SUMPRODUCT((S57:T57/S$9:T$9)^S$7:T$7 * S$3:T$3)) * AF$9</f>
        <v>3.0888922085514672</v>
      </c>
      <c r="AG57" s="1" cm="1">
        <f t="array" ref="AG57">(SUMPRODUCT((G57:J57/G$9:J$9)^G$7:J$7 * G$4:J$4) + SUMPRODUCT((N57:P57/N$9:P$9)^N$7:P$7 * N$4:P$4) + SUMPRODUCT((S57:T57/S$9:T$9)^S$7:T$7 * S$4:T$4)) * AF$9</f>
        <v>3.3175798882608767</v>
      </c>
      <c r="AH57" s="10" cm="1">
        <f t="array" ref="AH57">(SUMPRODUCT((G57:J57/G$9:J$9)^G$7:J$7 * G$5:J$5) + SUMPRODUCT((N57:P57/N$9:P$9)^N$7:P$7 * N$5:P$5) + SUMPRODUCT((S57:T57/S$9:T$9)^S$7:T$7 * S$5:T$5)) * AF$9</f>
        <v>3.0888922085514672</v>
      </c>
      <c r="AI57" s="50" cm="1">
        <f t="array" ref="AI57">SUMPRODUCT(AE57:AH57 * AE$3:AH$3) / SUM(AE$3:AH$3)</f>
        <v>2.9324742891394853</v>
      </c>
    </row>
    <row r="58" spans="1:36" x14ac:dyDescent="0.25">
      <c r="A58" s="5" t="s">
        <v>369</v>
      </c>
      <c r="B58" s="16" t="s">
        <v>370</v>
      </c>
      <c r="C58" s="4" t="s">
        <v>428</v>
      </c>
      <c r="D58" s="90" t="s">
        <v>9088</v>
      </c>
      <c r="E58" s="75" t="s">
        <v>438</v>
      </c>
      <c r="F58" s="4">
        <v>200</v>
      </c>
      <c r="G58" s="12">
        <v>20</v>
      </c>
      <c r="H58" s="75">
        <v>20</v>
      </c>
      <c r="I58" s="1">
        <v>3.9</v>
      </c>
      <c r="J58" s="1">
        <v>5.5</v>
      </c>
      <c r="K58" s="11" t="s">
        <v>398</v>
      </c>
      <c r="L58" s="85" t="s">
        <v>355</v>
      </c>
      <c r="M58" s="4" t="s">
        <v>402</v>
      </c>
      <c r="N58" s="2">
        <v>36</v>
      </c>
      <c r="O58" s="2">
        <v>30</v>
      </c>
      <c r="P58" s="12">
        <v>125</v>
      </c>
      <c r="Q58" s="12" t="s">
        <v>407</v>
      </c>
      <c r="R58" s="12">
        <v>192</v>
      </c>
      <c r="S58" s="12">
        <v>5600</v>
      </c>
      <c r="T58" s="12">
        <v>2</v>
      </c>
      <c r="U58" s="12">
        <v>5</v>
      </c>
      <c r="V58" s="75">
        <v>24</v>
      </c>
      <c r="W58" s="75">
        <v>4</v>
      </c>
      <c r="X58" s="12">
        <v>8</v>
      </c>
      <c r="Y58" s="9">
        <v>399.9</v>
      </c>
      <c r="Z58" s="3">
        <v>606</v>
      </c>
      <c r="AA58" s="66" t="s">
        <v>371</v>
      </c>
      <c r="AB58" s="66" t="s">
        <v>369</v>
      </c>
      <c r="AC58" s="79" t="s">
        <v>8799</v>
      </c>
      <c r="AD58" s="80" t="s">
        <v>8802</v>
      </c>
      <c r="AE58" s="49" cm="1">
        <f t="array" ref="AE58">(SUMPRODUCT((G58:J58/G$9:J$9)^G$7:J$7 * G$2:J$2) + SUMPRODUCT((N58:P58/N$9:P$9)^N$7:P$7 * N$2:P$2) + SUMPRODUCT((S58:T58/S$9:T$9)^S$7:T$7 * S$2:T$2)) * AE$9</f>
        <v>2.3176385587073161</v>
      </c>
      <c r="AF58" s="1" cm="1">
        <f t="array" ref="AF58">(SUMPRODUCT((G58:J58/G$9:J$9)^G$7:J$7 * G$3:J$3) + SUMPRODUCT((N58:P58/N$9:P$9)^N$7:P$7 * N$3:P$3) + SUMPRODUCT((S58:T58/S$9:T$9)^S$7:T$7 * S$3:T$3)) * AF$9</f>
        <v>3.1172096260680116</v>
      </c>
      <c r="AG58" s="1" cm="1">
        <f t="array" ref="AG58">(SUMPRODUCT((G58:J58/G$9:J$9)^G$7:J$7 * G$4:J$4) + SUMPRODUCT((N58:P58/N$9:P$9)^N$7:P$7 * N$4:P$4) + SUMPRODUCT((S58:T58/S$9:T$9)^S$7:T$7 * S$4:T$4)) * AF$9</f>
        <v>3.3247663533964689</v>
      </c>
      <c r="AH58" s="10" cm="1">
        <f t="array" ref="AH58">(SUMPRODUCT((G58:J58/G$9:J$9)^G$7:J$7 * G$5:J$5) + SUMPRODUCT((N58:P58/N$9:P$9)^N$7:P$7 * N$5:P$5) + SUMPRODUCT((S58:T58/S$9:T$9)^S$7:T$7 * S$5:T$5)) * AF$9</f>
        <v>3.1172096260680116</v>
      </c>
      <c r="AI58" s="50" cm="1">
        <f t="array" ref="AI58">SUMPRODUCT(AE58:AH58 * AE$3:AH$3) / SUM(AE$3:AH$3)</f>
        <v>2.9646250301122299</v>
      </c>
    </row>
    <row r="59" spans="1:36" x14ac:dyDescent="0.25">
      <c r="A59" s="5" t="s">
        <v>366</v>
      </c>
      <c r="B59" s="16" t="s">
        <v>367</v>
      </c>
      <c r="C59" s="4" t="s">
        <v>428</v>
      </c>
      <c r="D59" s="90" t="s">
        <v>9088</v>
      </c>
      <c r="E59" s="75" t="s">
        <v>438</v>
      </c>
      <c r="F59" s="4">
        <v>200</v>
      </c>
      <c r="G59" s="12">
        <v>20</v>
      </c>
      <c r="H59" s="3">
        <v>20</v>
      </c>
      <c r="I59" s="1">
        <v>3.9</v>
      </c>
      <c r="J59" s="1">
        <v>5.5</v>
      </c>
      <c r="K59" s="11" t="s">
        <v>398</v>
      </c>
      <c r="L59" s="85" t="s">
        <v>355</v>
      </c>
      <c r="M59" s="4" t="s">
        <v>402</v>
      </c>
      <c r="N59" s="2">
        <v>36</v>
      </c>
      <c r="O59" s="2">
        <v>30</v>
      </c>
      <c r="P59" s="12">
        <v>125</v>
      </c>
      <c r="Q59" s="12" t="s">
        <v>407</v>
      </c>
      <c r="R59" s="12">
        <v>192</v>
      </c>
      <c r="S59" s="12">
        <v>5600</v>
      </c>
      <c r="T59" s="12">
        <v>2</v>
      </c>
      <c r="U59" s="12">
        <v>5</v>
      </c>
      <c r="V59" s="75">
        <v>24</v>
      </c>
      <c r="W59" s="75">
        <v>4</v>
      </c>
      <c r="X59" s="12">
        <v>8</v>
      </c>
      <c r="Y59" s="9">
        <v>379.89</v>
      </c>
      <c r="Z59" s="3">
        <v>603</v>
      </c>
      <c r="AA59" s="66" t="s">
        <v>368</v>
      </c>
      <c r="AB59" s="66" t="s">
        <v>366</v>
      </c>
      <c r="AC59" s="79" t="s">
        <v>8799</v>
      </c>
      <c r="AD59" s="80" t="s">
        <v>8802</v>
      </c>
      <c r="AE59" s="49" cm="1">
        <f t="array" ref="AE59">(SUMPRODUCT((G59:J59/G$9:J$9)^G$7:J$7 * G$2:J$2) + SUMPRODUCT((N59:P59/N$9:P$9)^N$7:P$7 * N$2:P$2) + SUMPRODUCT((S59:T59/S$9:T$9)^S$7:T$7 * S$2:T$2)) * AE$9</f>
        <v>2.3176385587073161</v>
      </c>
      <c r="AF59" s="1" cm="1">
        <f t="array" ref="AF59">(SUMPRODUCT((G59:J59/G$9:J$9)^G$7:J$7 * G$3:J$3) + SUMPRODUCT((N59:P59/N$9:P$9)^N$7:P$7 * N$3:P$3) + SUMPRODUCT((S59:T59/S$9:T$9)^S$7:T$7 * S$3:T$3)) * AF$9</f>
        <v>3.1172096260680116</v>
      </c>
      <c r="AG59" s="1" cm="1">
        <f t="array" ref="AG59">(SUMPRODUCT((G59:J59/G$9:J$9)^G$7:J$7 * G$4:J$4) + SUMPRODUCT((N59:P59/N$9:P$9)^N$7:P$7 * N$4:P$4) + SUMPRODUCT((S59:T59/S$9:T$9)^S$7:T$7 * S$4:T$4)) * AF$9</f>
        <v>3.3247663533964689</v>
      </c>
      <c r="AH59" s="10" cm="1">
        <f t="array" ref="AH59">(SUMPRODUCT((G59:J59/G$9:J$9)^G$7:J$7 * G$5:J$5) + SUMPRODUCT((N59:P59/N$9:P$9)^N$7:P$7 * N$5:P$5) + SUMPRODUCT((S59:T59/S$9:T$9)^S$7:T$7 * S$5:T$5)) * AF$9</f>
        <v>3.1172096260680116</v>
      </c>
      <c r="AI59" s="50" cm="1">
        <f t="array" ref="AI59">SUMPRODUCT(AE59:AH59 * AE$3:AH$3) / SUM(AE$3:AH$3)</f>
        <v>2.9646250301122299</v>
      </c>
    </row>
    <row r="60" spans="1:36" x14ac:dyDescent="0.25">
      <c r="A60" s="5" t="s">
        <v>363</v>
      </c>
      <c r="B60" s="16" t="s">
        <v>364</v>
      </c>
      <c r="C60" s="4" t="s">
        <v>428</v>
      </c>
      <c r="D60" s="90" t="s">
        <v>9088</v>
      </c>
      <c r="E60" s="75" t="s">
        <v>438</v>
      </c>
      <c r="F60" s="4">
        <v>200</v>
      </c>
      <c r="G60" s="12">
        <v>20</v>
      </c>
      <c r="H60" s="3">
        <v>20</v>
      </c>
      <c r="I60" s="1">
        <v>1.5</v>
      </c>
      <c r="J60" s="1">
        <v>5.3</v>
      </c>
      <c r="K60" s="11" t="s">
        <v>398</v>
      </c>
      <c r="L60" s="85" t="s">
        <v>355</v>
      </c>
      <c r="M60" s="4" t="s">
        <v>402</v>
      </c>
      <c r="N60" s="2">
        <v>36</v>
      </c>
      <c r="O60" s="2">
        <v>30</v>
      </c>
      <c r="P60" s="12">
        <v>35</v>
      </c>
      <c r="Q60" s="12" t="s">
        <v>407</v>
      </c>
      <c r="R60" s="12">
        <v>192</v>
      </c>
      <c r="S60" s="12">
        <v>5600</v>
      </c>
      <c r="T60" s="12">
        <v>2</v>
      </c>
      <c r="U60" s="12">
        <v>5</v>
      </c>
      <c r="V60" s="75">
        <v>24</v>
      </c>
      <c r="W60" s="75">
        <v>4</v>
      </c>
      <c r="X60" s="12">
        <v>8</v>
      </c>
      <c r="Y60" s="9">
        <v>447</v>
      </c>
      <c r="Z60" s="3">
        <v>599.9</v>
      </c>
      <c r="AA60" s="66" t="s">
        <v>365</v>
      </c>
      <c r="AB60" s="66" t="s">
        <v>363</v>
      </c>
      <c r="AC60" s="79" t="s">
        <v>8801</v>
      </c>
      <c r="AD60" s="80" t="s">
        <v>8802</v>
      </c>
      <c r="AE60" s="49" cm="1">
        <f t="array" ref="AE60">(SUMPRODUCT((G60:J60/G$9:J$9)^G$7:J$7 * G$2:J$2) + SUMPRODUCT((N60:P60/N$9:P$9)^N$7:P$7 * N$2:P$2) + SUMPRODUCT((S60:T60/S$9:T$9)^S$7:T$7 * S$2:T$2)) * AE$9</f>
        <v>2.2498998000671238</v>
      </c>
      <c r="AF60" s="1" cm="1">
        <f t="array" ref="AF60">(SUMPRODUCT((G60:J60/G$9:J$9)^G$7:J$7 * G$3:J$3) + SUMPRODUCT((N60:P60/N$9:P$9)^N$7:P$7 * N$3:P$3) + SUMPRODUCT((S60:T60/S$9:T$9)^S$7:T$7 * S$3:T$3)) * AF$9</f>
        <v>3.0845307229383918</v>
      </c>
      <c r="AG60" s="1" cm="1">
        <f t="array" ref="AG60">(SUMPRODUCT((G60:J60/G$9:J$9)^G$7:J$7 * G$4:J$4) + SUMPRODUCT((N60:P60/N$9:P$9)^N$7:P$7 * N$4:P$4) + SUMPRODUCT((S60:T60/S$9:T$9)^S$7:T$7 * S$4:T$4)) * AF$9</f>
        <v>3.3244684026478017</v>
      </c>
      <c r="AH60" s="10" cm="1">
        <f t="array" ref="AH60">(SUMPRODUCT((G60:J60/G$9:J$9)^G$7:J$7 * G$5:J$5) + SUMPRODUCT((N60:P60/N$9:P$9)^N$7:P$7 * N$5:P$5) + SUMPRODUCT((S60:T60/S$9:T$9)^S$7:T$7 * S$5:T$5)) * AF$9</f>
        <v>3.0845307229383918</v>
      </c>
      <c r="AI60" s="50" cm="1">
        <f t="array" ref="AI60">SUMPRODUCT(AE60:AH60 * AE$3:AH$3) / SUM(AE$3:AH$3)</f>
        <v>2.9288370760772393</v>
      </c>
    </row>
    <row r="61" spans="1:36" s="83" customFormat="1" x14ac:dyDescent="0.25">
      <c r="A61" s="5" t="s">
        <v>360</v>
      </c>
      <c r="B61" s="16" t="s">
        <v>361</v>
      </c>
      <c r="C61" s="4" t="s">
        <v>428</v>
      </c>
      <c r="D61" s="90" t="s">
        <v>9089</v>
      </c>
      <c r="E61" s="75" t="s">
        <v>439</v>
      </c>
      <c r="F61" s="4">
        <v>200</v>
      </c>
      <c r="G61" s="9">
        <v>24</v>
      </c>
      <c r="H61" s="75">
        <v>24</v>
      </c>
      <c r="I61" s="1">
        <v>2.5</v>
      </c>
      <c r="J61" s="1">
        <v>5.6</v>
      </c>
      <c r="K61" s="11" t="s">
        <v>398</v>
      </c>
      <c r="L61" s="85" t="s">
        <v>355</v>
      </c>
      <c r="M61" s="4" t="s">
        <v>402</v>
      </c>
      <c r="N61" s="2">
        <v>40</v>
      </c>
      <c r="O61" s="2">
        <v>36</v>
      </c>
      <c r="P61" s="12">
        <v>65</v>
      </c>
      <c r="Q61" s="12" t="s">
        <v>407</v>
      </c>
      <c r="R61" s="12">
        <v>192</v>
      </c>
      <c r="S61" s="12">
        <v>5600</v>
      </c>
      <c r="T61" s="12">
        <v>2</v>
      </c>
      <c r="U61" s="12">
        <v>5</v>
      </c>
      <c r="V61" s="75">
        <v>24</v>
      </c>
      <c r="W61" s="75">
        <v>4</v>
      </c>
      <c r="X61" s="12">
        <v>8</v>
      </c>
      <c r="Y61" s="9">
        <v>635.01</v>
      </c>
      <c r="Z61" s="3">
        <v>899</v>
      </c>
      <c r="AA61" s="66" t="s">
        <v>362</v>
      </c>
      <c r="AB61" s="66" t="s">
        <v>360</v>
      </c>
      <c r="AC61" s="79" t="s">
        <v>8799</v>
      </c>
      <c r="AD61" s="80" t="s">
        <v>8800</v>
      </c>
      <c r="AE61" s="49" cm="1">
        <f t="array" ref="AE61">(SUMPRODUCT((G61:J61/G$9:J$9)^G$7:J$7 * G$2:J$2) + SUMPRODUCT((N61:P61/N$9:P$9)^N$7:P$7 * N$2:P$2) + SUMPRODUCT((S61:T61/S$9:T$9)^S$7:T$7 * S$2:T$2)) * AE$9</f>
        <v>2.5214710341578472</v>
      </c>
      <c r="AF61" s="1" cm="1">
        <f t="array" ref="AF61">(SUMPRODUCT((G61:J61/G$9:J$9)^G$7:J$7 * G$3:J$3) + SUMPRODUCT((N61:P61/N$9:P$9)^N$7:P$7 * N$3:P$3) + SUMPRODUCT((S61:T61/S$9:T$9)^S$7:T$7 * S$3:T$3)) * AF$9</f>
        <v>3.4800082392176117</v>
      </c>
      <c r="AG61" s="1" cm="1">
        <f t="array" ref="AG61">(SUMPRODUCT((G61:J61/G$9:J$9)^G$7:J$7 * G$4:J$4) + SUMPRODUCT((N61:P61/N$9:P$9)^N$7:P$7 * N$4:P$4) + SUMPRODUCT((S61:T61/S$9:T$9)^S$7:T$7 * S$4:T$4)) * AF$9</f>
        <v>3.7600897457563787</v>
      </c>
      <c r="AH61" s="10" cm="1">
        <f t="array" ref="AH61">(SUMPRODUCT((G61:J61/G$9:J$9)^G$7:J$7 * G$5:J$5) + SUMPRODUCT((N61:P61/N$9:P$9)^N$7:P$7 * N$5:P$5) + SUMPRODUCT((S61:T61/S$9:T$9)^S$7:T$7 * S$5:T$5)) * AF$9</f>
        <v>3.4800082392176117</v>
      </c>
      <c r="AI61" s="50" cm="1">
        <f t="array" ref="AI61">SUMPRODUCT(AE61:AH61 * AE$3:AH$3) / SUM(AE$3:AH$3)</f>
        <v>3.3018968082867066</v>
      </c>
      <c r="AJ61" s="12"/>
    </row>
    <row r="62" spans="1:36" s="83" customFormat="1" x14ac:dyDescent="0.25">
      <c r="A62" s="5" t="s">
        <v>357</v>
      </c>
      <c r="B62" s="16" t="s">
        <v>358</v>
      </c>
      <c r="C62" s="4" t="s">
        <v>428</v>
      </c>
      <c r="D62" s="90" t="s">
        <v>9089</v>
      </c>
      <c r="E62" s="75" t="s">
        <v>439</v>
      </c>
      <c r="F62" s="4">
        <v>200</v>
      </c>
      <c r="G62" s="9">
        <v>24</v>
      </c>
      <c r="H62" s="3">
        <v>24</v>
      </c>
      <c r="I62" s="1">
        <v>3.7</v>
      </c>
      <c r="J62" s="1">
        <v>5.7</v>
      </c>
      <c r="K62" s="11" t="s">
        <v>398</v>
      </c>
      <c r="L62" s="85" t="s">
        <v>355</v>
      </c>
      <c r="M62" s="4" t="s">
        <v>402</v>
      </c>
      <c r="N62" s="2">
        <v>40</v>
      </c>
      <c r="O62" s="2">
        <v>36</v>
      </c>
      <c r="P62" s="12">
        <v>125</v>
      </c>
      <c r="Q62" s="12" t="s">
        <v>407</v>
      </c>
      <c r="R62" s="12">
        <v>192</v>
      </c>
      <c r="S62" s="12">
        <v>5600</v>
      </c>
      <c r="T62" s="12">
        <v>2</v>
      </c>
      <c r="U62" s="12">
        <v>5</v>
      </c>
      <c r="V62" s="75">
        <v>24</v>
      </c>
      <c r="W62" s="75">
        <v>4</v>
      </c>
      <c r="X62" s="12">
        <v>8</v>
      </c>
      <c r="Y62" s="9">
        <v>645.99</v>
      </c>
      <c r="Z62" s="3">
        <v>964</v>
      </c>
      <c r="AA62" s="66" t="s">
        <v>359</v>
      </c>
      <c r="AB62" s="66" t="s">
        <v>357</v>
      </c>
      <c r="AC62" s="79" t="s">
        <v>8799</v>
      </c>
      <c r="AD62" s="80" t="s">
        <v>8802</v>
      </c>
      <c r="AE62" s="49" cm="1">
        <f t="array" ref="AE62">(SUMPRODUCT((G62:J62/G$9:J$9)^G$7:J$7 * G$2:J$2) + SUMPRODUCT((N62:P62/N$9:P$9)^N$7:P$7 * N$2:P$2) + SUMPRODUCT((S62:T62/S$9:T$9)^S$7:T$7 * S$2:T$2)) * AE$9</f>
        <v>2.5595344406195086</v>
      </c>
      <c r="AF62" s="1" cm="1">
        <f t="array" ref="AF62">(SUMPRODUCT((G62:J62/G$9:J$9)^G$7:J$7 * G$3:J$3) + SUMPRODUCT((N62:P62/N$9:P$9)^N$7:P$7 * N$3:P$3) + SUMPRODUCT((S62:T62/S$9:T$9)^S$7:T$7 * S$3:T$3)) * AF$9</f>
        <v>3.4984447043532039</v>
      </c>
      <c r="AG62" s="1" cm="1">
        <f t="array" ref="AG62">(SUMPRODUCT((G62:J62/G$9:J$9)^G$7:J$7 * G$4:J$4) + SUMPRODUCT((N62:P62/N$9:P$9)^N$7:P$7 * N$4:P$4) + SUMPRODUCT((S62:T62/S$9:T$9)^S$7:T$7 * S$4:T$4)) * AF$9</f>
        <v>3.7623357347014945</v>
      </c>
      <c r="AH62" s="10" cm="1">
        <f t="array" ref="AH62">(SUMPRODUCT((G62:J62/G$9:J$9)^G$7:J$7 * G$5:J$5) + SUMPRODUCT((N62:P62/N$9:P$9)^N$7:P$7 * N$5:P$5) + SUMPRODUCT((S62:T62/S$9:T$9)^S$7:T$7 * S$5:T$5)) * AF$9</f>
        <v>3.4984447043532039</v>
      </c>
      <c r="AI62" s="50" cm="1">
        <f t="array" ref="AI62">SUMPRODUCT(AE62:AH62 * AE$3:AH$3) / SUM(AE$3:AH$3)</f>
        <v>3.3223717250836269</v>
      </c>
      <c r="AJ62" s="12"/>
    </row>
    <row r="63" spans="1:36" s="83" customFormat="1" x14ac:dyDescent="0.25">
      <c r="A63" s="5" t="s">
        <v>353</v>
      </c>
      <c r="B63" s="16" t="s">
        <v>354</v>
      </c>
      <c r="C63" s="4" t="s">
        <v>428</v>
      </c>
      <c r="D63" s="90" t="s">
        <v>9089</v>
      </c>
      <c r="E63" s="75" t="s">
        <v>439</v>
      </c>
      <c r="F63" s="4">
        <v>200</v>
      </c>
      <c r="G63" s="9">
        <v>24</v>
      </c>
      <c r="H63" s="3">
        <v>24</v>
      </c>
      <c r="I63" s="1">
        <v>1.4</v>
      </c>
      <c r="J63" s="1">
        <v>5.4</v>
      </c>
      <c r="K63" s="11" t="s">
        <v>398</v>
      </c>
      <c r="L63" s="85" t="s">
        <v>355</v>
      </c>
      <c r="M63" s="4" t="s">
        <v>402</v>
      </c>
      <c r="N63" s="2">
        <v>40</v>
      </c>
      <c r="O63" s="2">
        <v>36</v>
      </c>
      <c r="P63" s="12">
        <v>35</v>
      </c>
      <c r="Q63" s="12" t="s">
        <v>407</v>
      </c>
      <c r="R63" s="12">
        <v>192</v>
      </c>
      <c r="S63" s="12">
        <v>5600</v>
      </c>
      <c r="T63" s="12">
        <v>2</v>
      </c>
      <c r="U63" s="12">
        <v>5</v>
      </c>
      <c r="V63" s="75">
        <v>24</v>
      </c>
      <c r="W63" s="75">
        <v>4</v>
      </c>
      <c r="X63" s="12">
        <v>8</v>
      </c>
      <c r="Y63" s="9">
        <v>643</v>
      </c>
      <c r="Z63" s="3">
        <v>854.9</v>
      </c>
      <c r="AA63" s="66" t="s">
        <v>356</v>
      </c>
      <c r="AB63" s="66" t="s">
        <v>353</v>
      </c>
      <c r="AC63" s="79" t="s">
        <v>8801</v>
      </c>
      <c r="AD63" s="80" t="s">
        <v>8802</v>
      </c>
      <c r="AE63" s="49" cm="1">
        <f t="array" ref="AE63">(SUMPRODUCT((G63:J63/G$9:J$9)^G$7:J$7 * G$2:J$2) + SUMPRODUCT((N63:P63/N$9:P$9)^N$7:P$7 * N$2:P$2) + SUMPRODUCT((S63:T63/S$9:T$9)^S$7:T$7 * S$2:T$2)) * AE$9</f>
        <v>2.4908433010269349</v>
      </c>
      <c r="AF63" s="1" cm="1">
        <f t="array" ref="AF63">(SUMPRODUCT((G63:J63/G$9:J$9)^G$7:J$7 * G$3:J$3) + SUMPRODUCT((N63:P63/N$9:P$9)^N$7:P$7 * N$3:P$3) + SUMPRODUCT((S63:T63/S$9:T$9)^S$7:T$7 * S$3:T$3)) * AF$9</f>
        <v>3.4658848488426317</v>
      </c>
      <c r="AG63" s="1" cm="1">
        <f t="array" ref="AG63">(SUMPRODUCT((G63:J63/G$9:J$9)^G$7:J$7 * G$4:J$4) + SUMPRODUCT((N63:P63/N$9:P$9)^N$7:P$7 * N$4:P$4) + SUMPRODUCT((S63:T63/S$9:T$9)^S$7:T$7 * S$4:T$4)) * AF$9</f>
        <v>3.762097307762351</v>
      </c>
      <c r="AH63" s="10" cm="1">
        <f t="array" ref="AH63">(SUMPRODUCT((G63:J63/G$9:J$9)^G$7:J$7 * G$5:J$5) + SUMPRODUCT((N63:P63/N$9:P$9)^N$7:P$7 * N$5:P$5) + SUMPRODUCT((S63:T63/S$9:T$9)^S$7:T$7 * S$5:T$5)) * AF$9</f>
        <v>3.4658848488426317</v>
      </c>
      <c r="AI63" s="50" cm="1">
        <f t="array" ref="AI63">SUMPRODUCT(AE63:AH63 * AE$3:AH$3) / SUM(AE$3:AH$3)</f>
        <v>3.2864464084112734</v>
      </c>
      <c r="AJ63" s="12"/>
    </row>
    <row r="64" spans="1:36" x14ac:dyDescent="0.25">
      <c r="A64" s="5" t="s">
        <v>218</v>
      </c>
      <c r="B64" s="16" t="s">
        <v>220</v>
      </c>
      <c r="C64" s="4" t="s">
        <v>428</v>
      </c>
      <c r="D64" s="90" t="s">
        <v>9090</v>
      </c>
      <c r="E64" s="75" t="s">
        <v>433</v>
      </c>
      <c r="F64" s="4" t="s">
        <v>9074</v>
      </c>
      <c r="G64" s="9">
        <v>4</v>
      </c>
      <c r="H64" s="75">
        <v>8</v>
      </c>
      <c r="I64" s="1">
        <v>3.3</v>
      </c>
      <c r="J64" s="1">
        <v>4.3</v>
      </c>
      <c r="K64" s="11" t="s">
        <v>352</v>
      </c>
      <c r="L64" s="85" t="s">
        <v>17</v>
      </c>
      <c r="M64" s="4" t="s">
        <v>165</v>
      </c>
      <c r="N64" s="2">
        <v>5</v>
      </c>
      <c r="O64" s="2">
        <v>12</v>
      </c>
      <c r="P64" s="12">
        <v>60</v>
      </c>
      <c r="Q64" s="12" t="s">
        <v>408</v>
      </c>
      <c r="R64" s="12">
        <v>128</v>
      </c>
      <c r="S64" s="12" t="s">
        <v>412</v>
      </c>
      <c r="T64" s="12">
        <v>2</v>
      </c>
      <c r="U64" s="12" t="s">
        <v>2285</v>
      </c>
      <c r="V64" s="75" t="s">
        <v>418</v>
      </c>
      <c r="W64" s="75">
        <v>4</v>
      </c>
      <c r="X64" s="12">
        <v>8</v>
      </c>
      <c r="Y64" s="9">
        <v>117.86</v>
      </c>
      <c r="Z64" s="3">
        <v>176</v>
      </c>
      <c r="AA64" s="66" t="s">
        <v>219</v>
      </c>
      <c r="AB64" s="66" t="s">
        <v>218</v>
      </c>
      <c r="AC64" s="79" t="s">
        <v>8799</v>
      </c>
      <c r="AD64" s="80" t="s">
        <v>8800</v>
      </c>
      <c r="AE64" s="49" cm="1">
        <f t="array" ref="AE64">(SUMPRODUCT((G64:J64/G$9:J$9)^G$7:J$7 * G$2:J$2) + SUMPRODUCT((N64:P64/N$9:P$9)^N$7:P$7 * N$2:P$2) + (VALUE(TRIM(MID(S64,FIND(",",S64)+1,LEN(S64))))/S$9)^S$7 * S$2 + (T64/T$9)^T$7 * T$2) * AE$9</f>
        <v>1.0838310805703477</v>
      </c>
      <c r="AF64" s="1" cm="1">
        <f t="array" ref="AF64">(SUMPRODUCT((G64:J64/G$9:J$9)^G$7:J$7 * G$3:J$3) + SUMPRODUCT((N64:P64/N$9:P$9)^N$7:P$7 * N$3:P$3) + (VALUE(TRIM(MID(S64,FIND(",",S64)+1,LEN(S64))))/S$9)^S$7 * S$3 + (T64/T$9)^T$7 * T$3) * AE$9</f>
        <v>1.1689452462986296</v>
      </c>
      <c r="AG64" s="1" cm="1">
        <f t="array" ref="AG64">(SUMPRODUCT((G64:J64/G$9:J$9)^G$7:J$7 * G$4:J$4) + SUMPRODUCT((N64:P64/N$9:P$9)^N$7:P$7 * N$4:P$4) + (VALUE(TRIM(MID(S64,FIND(",",S64)+1,LEN(S64))))/S$9)^S$7 * S$4 + (T64/T$9)^T$7 * T$4) * AE$9</f>
        <v>1.1765047701081535</v>
      </c>
      <c r="AH64" s="10" cm="1">
        <f t="array" ref="AH64">(SUMPRODUCT((G64:J64/G$9:J$9)^G$7:J$7 * G$5:J$5) + SUMPRODUCT((N64:P64/N$9:P$9)^N$7:P$7 * N$5:P$5) + (VALUE(TRIM(MID(S64,FIND(",",S64)+1,LEN(S64))))/S$9)^S$7 * S$5 + (T64/T$9)^T$7 * T$5) * AE$9</f>
        <v>1.1689452462986296</v>
      </c>
      <c r="AI64" s="50" cm="1">
        <f t="array" ref="AI64">SUMPRODUCT(AE64:AH64 * AE$3:AH$3) / SUM(AE$3:AH$3)</f>
        <v>1.1504665194089527</v>
      </c>
    </row>
    <row r="65" spans="1:36" x14ac:dyDescent="0.25">
      <c r="A65" s="5" t="s">
        <v>215</v>
      </c>
      <c r="B65" s="16" t="s">
        <v>217</v>
      </c>
      <c r="C65" s="4" t="s">
        <v>428</v>
      </c>
      <c r="D65" s="90" t="s">
        <v>9090</v>
      </c>
      <c r="E65" s="75" t="s">
        <v>433</v>
      </c>
      <c r="F65" s="4" t="s">
        <v>9074</v>
      </c>
      <c r="G65" s="9">
        <v>4</v>
      </c>
      <c r="H65" s="3">
        <v>8</v>
      </c>
      <c r="I65" s="1">
        <v>3.3</v>
      </c>
      <c r="J65" s="1">
        <v>4.3</v>
      </c>
      <c r="K65" s="11" t="s">
        <v>352</v>
      </c>
      <c r="L65" s="85" t="s">
        <v>17</v>
      </c>
      <c r="M65" s="4" t="s">
        <v>165</v>
      </c>
      <c r="N65" s="2">
        <v>5</v>
      </c>
      <c r="O65" s="2">
        <v>12</v>
      </c>
      <c r="P65" s="12">
        <v>58</v>
      </c>
      <c r="Q65" s="12" t="s">
        <v>408</v>
      </c>
      <c r="R65" s="12">
        <v>128</v>
      </c>
      <c r="S65" s="12" t="s">
        <v>412</v>
      </c>
      <c r="T65" s="12">
        <v>2</v>
      </c>
      <c r="U65" s="12" t="s">
        <v>2285</v>
      </c>
      <c r="V65" s="75" t="s">
        <v>418</v>
      </c>
      <c r="W65" s="75">
        <v>4</v>
      </c>
      <c r="X65" s="12">
        <v>8</v>
      </c>
      <c r="Y65" s="9">
        <v>63.97</v>
      </c>
      <c r="Z65" s="3">
        <v>145.35</v>
      </c>
      <c r="AA65" s="66" t="s">
        <v>216</v>
      </c>
      <c r="AB65" s="66" t="s">
        <v>215</v>
      </c>
      <c r="AC65" s="79" t="s">
        <v>8799</v>
      </c>
      <c r="AD65" s="80" t="s">
        <v>8800</v>
      </c>
      <c r="AE65" s="49" cm="1">
        <f t="array" ref="AE65">(SUMPRODUCT((G65:J65/G$9:J$9)^G$7:J$7 * G$2:J$2) + SUMPRODUCT((N65:P65/N$9:P$9)^N$7:P$7 * N$2:P$2) + (VALUE(TRIM(MID(S65,FIND(",",S65)+1,LEN(S65))))/S$9)^S$7 * S$2 + (T65/T$9)^T$7 * T$2) * AE$9</f>
        <v>1.0856104111695153</v>
      </c>
      <c r="AF65" s="1" cm="1">
        <f t="array" ref="AF65">(SUMPRODUCT((G65:J65/G$9:J$9)^G$7:J$7 * G$3:J$3) + SUMPRODUCT((N65:P65/N$9:P$9)^N$7:P$7 * N$3:P$3) + (VALUE(TRIM(MID(S65,FIND(",",S65)+1,LEN(S65))))/S$9)^S$7 * S$3 + (T65/T$9)^T$7 * T$3) * AE$9</f>
        <v>1.1698349115982134</v>
      </c>
      <c r="AG65" s="1" cm="1">
        <f t="array" ref="AG65">(SUMPRODUCT((G65:J65/G$9:J$9)^G$7:J$7 * G$4:J$4) + SUMPRODUCT((N65:P65/N$9:P$9)^N$7:P$7 * N$4:P$4) + (VALUE(TRIM(MID(S65,FIND(",",S65)+1,LEN(S65))))/S$9)^S$7 * S$4 + (T65/T$9)^T$7 * T$4) * AE$9</f>
        <v>1.1773944354077372</v>
      </c>
      <c r="AH65" s="10" cm="1">
        <f t="array" ref="AH65">(SUMPRODUCT((G65:J65/G$9:J$9)^G$7:J$7 * G$5:J$5) + SUMPRODUCT((N65:P65/N$9:P$9)^N$7:P$7 * N$5:P$5) + (VALUE(TRIM(MID(S65,FIND(",",S65)+1,LEN(S65))))/S$9)^S$7 * S$5 + (T65/T$9)^T$7 * T$5) * AE$9</f>
        <v>1.1698349115982134</v>
      </c>
      <c r="AI65" s="50" cm="1">
        <f t="array" ref="AI65">SUMPRODUCT(AE65:AH65 * AE$3:AH$3) / SUM(AE$3:AH$3)</f>
        <v>1.1515614920853636</v>
      </c>
    </row>
    <row r="66" spans="1:36" x14ac:dyDescent="0.25">
      <c r="A66" s="5" t="s">
        <v>212</v>
      </c>
      <c r="B66" s="16" t="s">
        <v>214</v>
      </c>
      <c r="C66" s="4" t="s">
        <v>428</v>
      </c>
      <c r="D66" s="90" t="s">
        <v>9090</v>
      </c>
      <c r="E66" s="75" t="s">
        <v>433</v>
      </c>
      <c r="F66" s="4" t="s">
        <v>9074</v>
      </c>
      <c r="G66" s="9">
        <v>4</v>
      </c>
      <c r="H66" s="3">
        <v>8</v>
      </c>
      <c r="I66" s="1">
        <v>2.2000000000000002</v>
      </c>
      <c r="J66" s="1">
        <v>4.0999999999999996</v>
      </c>
      <c r="K66" s="11" t="s">
        <v>352</v>
      </c>
      <c r="L66" s="85" t="s">
        <v>17</v>
      </c>
      <c r="M66" s="4" t="s">
        <v>165</v>
      </c>
      <c r="N66" s="2">
        <v>5</v>
      </c>
      <c r="O66" s="2">
        <v>12</v>
      </c>
      <c r="P66" s="12">
        <v>35</v>
      </c>
      <c r="Q66" s="12" t="s">
        <v>408</v>
      </c>
      <c r="R66" s="12">
        <v>128</v>
      </c>
      <c r="S66" s="12" t="s">
        <v>412</v>
      </c>
      <c r="T66" s="12">
        <v>2</v>
      </c>
      <c r="U66" s="12" t="s">
        <v>2285</v>
      </c>
      <c r="V66" s="75" t="s">
        <v>418</v>
      </c>
      <c r="W66" s="75">
        <v>4</v>
      </c>
      <c r="X66" s="12">
        <v>8</v>
      </c>
      <c r="Y66" s="9">
        <v>104.52</v>
      </c>
      <c r="Z66" s="3">
        <v>189.9</v>
      </c>
      <c r="AA66" s="66" t="s">
        <v>213</v>
      </c>
      <c r="AB66" s="66" t="s">
        <v>212</v>
      </c>
      <c r="AC66" s="79" t="s">
        <v>8801</v>
      </c>
      <c r="AD66" s="80" t="s">
        <v>8802</v>
      </c>
      <c r="AE66" s="49" cm="1">
        <f t="array" ref="AE66">(SUMPRODUCT((G66:J66/G$9:J$9)^G$7:J$7 * G$2:J$2) + SUMPRODUCT((N66:P66/N$9:P$9)^N$7:P$7 * N$2:P$2) + (VALUE(TRIM(MID(S66,FIND(",",S66)+1,LEN(S66))))/S$9)^S$7 * S$2 + (T66/T$9)^T$7 * T$2) * AE$9</f>
        <v>1.0491200474661282</v>
      </c>
      <c r="AF66" s="1" cm="1">
        <f t="array" ref="AF66">(SUMPRODUCT((G66:J66/G$9:J$9)^G$7:J$7 * G$3:J$3) + SUMPRODUCT((N66:P66/N$9:P$9)^N$7:P$7 * N$3:P$3) + (VALUE(TRIM(MID(S66,FIND(",",S66)+1,LEN(S66))))/S$9)^S$7 * S$3 + (T66/T$9)^T$7 * T$3) * AE$9</f>
        <v>1.152780205936996</v>
      </c>
      <c r="AG66" s="1" cm="1">
        <f t="array" ref="AG66">(SUMPRODUCT((G66:J66/G$9:J$9)^G$7:J$7 * G$4:J$4) + SUMPRODUCT((N66:P66/N$9:P$9)^N$7:P$7 * N$4:P$4) + (VALUE(TRIM(MID(S66,FIND(",",S66)+1,LEN(S66))))/S$9)^S$7 * S$4 + (T66/T$9)^T$7 * T$4) * AE$9</f>
        <v>1.1764706821274722</v>
      </c>
      <c r="AH66" s="10" cm="1">
        <f t="array" ref="AH66">(SUMPRODUCT((G66:J66/G$9:J$9)^G$7:J$7 * G$5:J$5) + SUMPRODUCT((N66:P66/N$9:P$9)^N$7:P$7 * N$5:P$5) + (VALUE(TRIM(MID(S66,FIND(",",S66)+1,LEN(S66))))/S$9)^S$7 * S$5 + (T66/T$9)^T$7 * T$5) * AE$9</f>
        <v>1.152780205936996</v>
      </c>
      <c r="AI66" s="50" cm="1">
        <f t="array" ref="AI66">SUMPRODUCT(AE66:AH66 * AE$3:AH$3) / SUM(AE$3:AH$3)</f>
        <v>1.1325033195499459</v>
      </c>
    </row>
    <row r="67" spans="1:36" x14ac:dyDescent="0.25">
      <c r="A67" s="5" t="s">
        <v>209</v>
      </c>
      <c r="B67" s="16" t="s">
        <v>211</v>
      </c>
      <c r="C67" s="4" t="s">
        <v>428</v>
      </c>
      <c r="D67" s="90" t="s">
        <v>9090</v>
      </c>
      <c r="E67" s="75" t="s">
        <v>433</v>
      </c>
      <c r="F67" s="4" t="s">
        <v>9074</v>
      </c>
      <c r="G67" s="9">
        <v>4</v>
      </c>
      <c r="H67" s="75">
        <v>8</v>
      </c>
      <c r="I67" s="1">
        <v>2.2999999999999998</v>
      </c>
      <c r="J67" s="1">
        <v>4.2</v>
      </c>
      <c r="K67" s="11" t="s">
        <v>352</v>
      </c>
      <c r="L67" s="85" t="s">
        <v>17</v>
      </c>
      <c r="M67" s="4" t="s">
        <v>165</v>
      </c>
      <c r="N67" s="2">
        <v>5</v>
      </c>
      <c r="O67" s="2">
        <v>12</v>
      </c>
      <c r="P67" s="12">
        <v>35</v>
      </c>
      <c r="Q67" s="12" t="s">
        <v>408</v>
      </c>
      <c r="R67" s="12">
        <v>128</v>
      </c>
      <c r="S67" s="12" t="s">
        <v>412</v>
      </c>
      <c r="T67" s="12">
        <v>2</v>
      </c>
      <c r="U67" s="12" t="s">
        <v>2285</v>
      </c>
      <c r="V67" s="75" t="s">
        <v>418</v>
      </c>
      <c r="W67" s="75">
        <v>4</v>
      </c>
      <c r="X67" s="12">
        <v>8</v>
      </c>
      <c r="Y67" s="9">
        <v>182.56</v>
      </c>
      <c r="Z67" s="3">
        <v>259</v>
      </c>
      <c r="AA67" s="66" t="s">
        <v>210</v>
      </c>
      <c r="AB67" s="66" t="s">
        <v>209</v>
      </c>
      <c r="AC67" s="79" t="s">
        <v>8801</v>
      </c>
      <c r="AD67" s="80" t="s">
        <v>8802</v>
      </c>
      <c r="AE67" s="49" cm="1">
        <f t="array" ref="AE67">(SUMPRODUCT((G67:J67/G$9:J$9)^G$7:J$7 * G$2:J$2) + SUMPRODUCT((N67:P67/N$9:P$9)^N$7:P$7 * N$2:P$2) + (VALUE(TRIM(MID(S67,FIND(",",S67)+1,LEN(S67))))/S$9)^S$7 * S$2 + (T67/T$9)^T$7 * T$2) * AE$9</f>
        <v>1.0600724284185095</v>
      </c>
      <c r="AF67" s="1" cm="1">
        <f t="array" ref="AF67">(SUMPRODUCT((G67:J67/G$9:J$9)^G$7:J$7 * G$3:J$3) + SUMPRODUCT((N67:P67/N$9:P$9)^N$7:P$7 * N$3:P$3) + (VALUE(TRIM(MID(S67,FIND(",",S67)+1,LEN(S67))))/S$9)^S$7 * S$3 + (T67/T$9)^T$7 * T$3) * AE$9</f>
        <v>1.1576611583179484</v>
      </c>
      <c r="AG67" s="1" cm="1">
        <f t="array" ref="AG67">(SUMPRODUCT((G67:J67/G$9:J$9)^G$7:J$7 * G$4:J$4) + SUMPRODUCT((N67:P67/N$9:P$9)^N$7:P$7 * N$4:P$4) + (VALUE(TRIM(MID(S67,FIND(",",S67)+1,LEN(S67))))/S$9)^S$7 * S$4 + (T67/T$9)^T$7 * T$4) * AE$9</f>
        <v>1.1789111583179486</v>
      </c>
      <c r="AH67" s="10" cm="1">
        <f t="array" ref="AH67">(SUMPRODUCT((G67:J67/G$9:J$9)^G$7:J$7 * G$5:J$5) + SUMPRODUCT((N67:P67/N$9:P$9)^N$7:P$7 * N$5:P$5) + (VALUE(TRIM(MID(S67,FIND(",",S67)+1,LEN(S67))))/S$9)^S$7 * S$5 + (T67/T$9)^T$7 * T$5) * AE$9</f>
        <v>1.1576611583179484</v>
      </c>
      <c r="AI67" s="50" cm="1">
        <f t="array" ref="AI67">SUMPRODUCT(AE67:AH67 * AE$3:AH$3) / SUM(AE$3:AH$3)</f>
        <v>1.1384099129565395</v>
      </c>
    </row>
    <row r="68" spans="1:36" s="83" customFormat="1" x14ac:dyDescent="0.25">
      <c r="A68" s="5" t="s">
        <v>187</v>
      </c>
      <c r="B68" s="16" t="s">
        <v>189</v>
      </c>
      <c r="C68" s="4" t="s">
        <v>428</v>
      </c>
      <c r="D68" s="90" t="s">
        <v>9091</v>
      </c>
      <c r="E68" s="75" t="s">
        <v>434</v>
      </c>
      <c r="F68" s="4" t="s">
        <v>9074</v>
      </c>
      <c r="G68" s="9">
        <v>6</v>
      </c>
      <c r="H68" s="3">
        <v>12</v>
      </c>
      <c r="I68" s="1">
        <v>2.5</v>
      </c>
      <c r="J68" s="1">
        <v>4.4000000000000004</v>
      </c>
      <c r="K68" s="11" t="s">
        <v>352</v>
      </c>
      <c r="L68" s="85" t="s">
        <v>17</v>
      </c>
      <c r="M68" s="4" t="s">
        <v>165</v>
      </c>
      <c r="N68" s="2">
        <v>7.5</v>
      </c>
      <c r="O68" s="2">
        <v>18</v>
      </c>
      <c r="P68" s="12">
        <v>65</v>
      </c>
      <c r="Q68" s="12" t="s">
        <v>408</v>
      </c>
      <c r="R68" s="12">
        <v>128</v>
      </c>
      <c r="S68" s="12" t="s">
        <v>412</v>
      </c>
      <c r="T68" s="12">
        <v>2</v>
      </c>
      <c r="U68" s="12" t="s">
        <v>2285</v>
      </c>
      <c r="V68" s="75" t="s">
        <v>418</v>
      </c>
      <c r="W68" s="75">
        <v>4</v>
      </c>
      <c r="X68" s="12">
        <v>8</v>
      </c>
      <c r="Y68" s="9">
        <v>151.9</v>
      </c>
      <c r="Z68" s="3">
        <v>376.3</v>
      </c>
      <c r="AA68" s="66" t="s">
        <v>188</v>
      </c>
      <c r="AB68" s="66" t="s">
        <v>187</v>
      </c>
      <c r="AC68" s="79" t="s">
        <v>8799</v>
      </c>
      <c r="AD68" s="80" t="s">
        <v>8800</v>
      </c>
      <c r="AE68" s="49" cm="1">
        <f t="array" ref="AE68">(SUMPRODUCT((G68:J68/G$9:J$9)^G$7:J$7 * G$2:J$2) + SUMPRODUCT((N68:P68/N$9:P$9)^N$7:P$7 * N$2:P$2) + (VALUE(TRIM(MID(S68,FIND(",",S68)+1,LEN(S68))))/S$9)^S$7 * S$2 + (T68/T$9)^T$7 * T$2) * AE$9</f>
        <v>1.2457814162666003</v>
      </c>
      <c r="AF68" s="1" cm="1">
        <f t="array" ref="AF68">(SUMPRODUCT((G68:J68/G$9:J$9)^G$7:J$7 * G$3:J$3) + SUMPRODUCT((N68:P68/N$9:P$9)^N$7:P$7 * N$3:P$3) + (VALUE(TRIM(MID(S68,FIND(",",S68)+1,LEN(S68))))/S$9)^S$7 * S$3 + (T68/T$9)^T$7 * T$3) * AE$9</f>
        <v>1.478908638822648</v>
      </c>
      <c r="AG68" s="1" cm="1">
        <f t="array" ref="AG68">(SUMPRODUCT((G68:J68/G$9:J$9)^G$7:J$7 * G$4:J$4) + SUMPRODUCT((N68:P68/N$9:P$9)^N$7:P$7 * N$4:P$4) + (VALUE(TRIM(MID(S68,FIND(",",S68)+1,LEN(S68))))/S$9)^S$7 * S$4 + (T68/T$9)^T$7 * T$4) * AE$9</f>
        <v>1.5378719857403806</v>
      </c>
      <c r="AH68" s="10" cm="1">
        <f t="array" ref="AH68">(SUMPRODUCT((G68:J68/G$9:J$9)^G$7:J$7 * G$5:J$5) + SUMPRODUCT((N68:P68/N$9:P$9)^N$7:P$7 * N$5:P$5) + (VALUE(TRIM(MID(S68,FIND(",",S68)+1,LEN(S68))))/S$9)^S$7 * S$5 + (T68/T$9)^T$7 * T$5) * AE$9</f>
        <v>1.478908638822648</v>
      </c>
      <c r="AI68" s="50" cm="1">
        <f t="array" ref="AI68">SUMPRODUCT(AE68:AH68 * AE$3:AH$3) / SUM(AE$3:AH$3)</f>
        <v>1.4341813331432112</v>
      </c>
      <c r="AJ68" s="12"/>
    </row>
    <row r="69" spans="1:36" s="83" customFormat="1" x14ac:dyDescent="0.25">
      <c r="A69" s="5" t="s">
        <v>184</v>
      </c>
      <c r="B69" s="16" t="s">
        <v>186</v>
      </c>
      <c r="C69" s="4" t="s">
        <v>428</v>
      </c>
      <c r="D69" s="90" t="s">
        <v>9091</v>
      </c>
      <c r="E69" s="75" t="s">
        <v>434</v>
      </c>
      <c r="F69" s="4" t="s">
        <v>9074</v>
      </c>
      <c r="G69" s="9">
        <v>6</v>
      </c>
      <c r="H69" s="3">
        <v>12</v>
      </c>
      <c r="I69" s="1">
        <v>2.5</v>
      </c>
      <c r="J69" s="1">
        <v>4.4000000000000004</v>
      </c>
      <c r="K69" s="11" t="s">
        <v>352</v>
      </c>
      <c r="L69" s="85" t="s">
        <v>17</v>
      </c>
      <c r="M69" s="4" t="s">
        <v>165</v>
      </c>
      <c r="N69" s="2">
        <v>7.5</v>
      </c>
      <c r="O69" s="2">
        <v>18</v>
      </c>
      <c r="P69" s="12">
        <v>65</v>
      </c>
      <c r="Q69" s="12" t="s">
        <v>408</v>
      </c>
      <c r="R69" s="12">
        <v>128</v>
      </c>
      <c r="S69" s="12" t="s">
        <v>412</v>
      </c>
      <c r="T69" s="12">
        <v>2</v>
      </c>
      <c r="U69" s="12" t="s">
        <v>2285</v>
      </c>
      <c r="V69" s="75" t="s">
        <v>418</v>
      </c>
      <c r="W69" s="75">
        <v>4</v>
      </c>
      <c r="X69" s="12">
        <v>8</v>
      </c>
      <c r="Y69" s="9">
        <v>116.85</v>
      </c>
      <c r="Z69" s="3">
        <v>525.79</v>
      </c>
      <c r="AA69" s="66" t="s">
        <v>185</v>
      </c>
      <c r="AB69" s="66" t="s">
        <v>184</v>
      </c>
      <c r="AC69" s="79" t="s">
        <v>8799</v>
      </c>
      <c r="AD69" s="80" t="s">
        <v>8800</v>
      </c>
      <c r="AE69" s="49" cm="1">
        <f t="array" ref="AE69">(SUMPRODUCT((G69:J69/G$9:J$9)^G$7:J$7 * G$2:J$2) + SUMPRODUCT((N69:P69/N$9:P$9)^N$7:P$7 * N$2:P$2) + (VALUE(TRIM(MID(S69,FIND(",",S69)+1,LEN(S69))))/S$9)^S$7 * S$2 + (T69/T$9)^T$7 * T$2) * AE$9</f>
        <v>1.2457814162666003</v>
      </c>
      <c r="AF69" s="1" cm="1">
        <f t="array" ref="AF69">(SUMPRODUCT((G69:J69/G$9:J$9)^G$7:J$7 * G$3:J$3) + SUMPRODUCT((N69:P69/N$9:P$9)^N$7:P$7 * N$3:P$3) + (VALUE(TRIM(MID(S69,FIND(",",S69)+1,LEN(S69))))/S$9)^S$7 * S$3 + (T69/T$9)^T$7 * T$3) * AE$9</f>
        <v>1.478908638822648</v>
      </c>
      <c r="AG69" s="1" cm="1">
        <f t="array" ref="AG69">(SUMPRODUCT((G69:J69/G$9:J$9)^G$7:J$7 * G$4:J$4) + SUMPRODUCT((N69:P69/N$9:P$9)^N$7:P$7 * N$4:P$4) + (VALUE(TRIM(MID(S69,FIND(",",S69)+1,LEN(S69))))/S$9)^S$7 * S$4 + (T69/T$9)^T$7 * T$4) * AE$9</f>
        <v>1.5378719857403806</v>
      </c>
      <c r="AH69" s="10" cm="1">
        <f t="array" ref="AH69">(SUMPRODUCT((G69:J69/G$9:J$9)^G$7:J$7 * G$5:J$5) + SUMPRODUCT((N69:P69/N$9:P$9)^N$7:P$7 * N$5:P$5) + (VALUE(TRIM(MID(S69,FIND(",",S69)+1,LEN(S69))))/S$9)^S$7 * S$5 + (T69/T$9)^T$7 * T$5) * AE$9</f>
        <v>1.478908638822648</v>
      </c>
      <c r="AI69" s="50" cm="1">
        <f t="array" ref="AI69">SUMPRODUCT(AE69:AH69 * AE$3:AH$3) / SUM(AE$3:AH$3)</f>
        <v>1.4341813331432112</v>
      </c>
      <c r="AJ69" s="12"/>
    </row>
    <row r="70" spans="1:36" s="83" customFormat="1" x14ac:dyDescent="0.25">
      <c r="A70" s="5" t="s">
        <v>181</v>
      </c>
      <c r="B70" s="16" t="s">
        <v>183</v>
      </c>
      <c r="C70" s="4" t="s">
        <v>428</v>
      </c>
      <c r="D70" s="90" t="s">
        <v>9091</v>
      </c>
      <c r="E70" s="75" t="s">
        <v>434</v>
      </c>
      <c r="F70" s="4" t="s">
        <v>9074</v>
      </c>
      <c r="G70" s="9">
        <v>6</v>
      </c>
      <c r="H70" s="75">
        <v>12</v>
      </c>
      <c r="I70" s="1">
        <v>1.8</v>
      </c>
      <c r="J70" s="1">
        <v>4.2</v>
      </c>
      <c r="K70" s="11" t="s">
        <v>352</v>
      </c>
      <c r="L70" s="85" t="s">
        <v>17</v>
      </c>
      <c r="M70" s="4" t="s">
        <v>165</v>
      </c>
      <c r="N70" s="2">
        <v>7.5</v>
      </c>
      <c r="O70" s="2">
        <v>18</v>
      </c>
      <c r="P70" s="12">
        <v>35</v>
      </c>
      <c r="Q70" s="12" t="s">
        <v>408</v>
      </c>
      <c r="R70" s="12">
        <v>128</v>
      </c>
      <c r="S70" s="12" t="s">
        <v>412</v>
      </c>
      <c r="T70" s="12">
        <v>2</v>
      </c>
      <c r="U70" s="12" t="s">
        <v>2285</v>
      </c>
      <c r="V70" s="75" t="s">
        <v>418</v>
      </c>
      <c r="W70" s="75">
        <v>4</v>
      </c>
      <c r="X70" s="12">
        <v>8</v>
      </c>
      <c r="Y70" s="9">
        <v>189.53</v>
      </c>
      <c r="Z70" s="3">
        <v>277.99</v>
      </c>
      <c r="AA70" s="66" t="s">
        <v>182</v>
      </c>
      <c r="AB70" s="66" t="s">
        <v>181</v>
      </c>
      <c r="AC70" s="79" t="s">
        <v>8801</v>
      </c>
      <c r="AD70" s="80" t="s">
        <v>8802</v>
      </c>
      <c r="AE70" s="49" cm="1">
        <f t="array" ref="AE70">(SUMPRODUCT((G70:J70/G$9:J$9)^G$7:J$7 * G$2:J$2) + SUMPRODUCT((N70:P70/N$9:P$9)^N$7:P$7 * N$2:P$2) + (VALUE(TRIM(MID(S70,FIND(",",S70)+1,LEN(S70))))/S$9)^S$7 * S$2 + (T70/T$9)^T$7 * T$2) * AE$9</f>
        <v>1.235153683135688</v>
      </c>
      <c r="AF70" s="1" cm="1">
        <f t="array" ref="AF70">(SUMPRODUCT((G70:J70/G$9:J$9)^G$7:J$7 * G$3:J$3) + SUMPRODUCT((N70:P70/N$9:P$9)^N$7:P$7 * N$3:P$3) + (VALUE(TRIM(MID(S70,FIND(",",S70)+1,LEN(S70))))/S$9)^S$7 * S$3 + (T70/T$9)^T$7 * T$3) * AE$9</f>
        <v>1.4747852484476678</v>
      </c>
      <c r="AG70" s="1" cm="1">
        <f t="array" ref="AG70">(SUMPRODUCT((G70:J70/G$9:J$9)^G$7:J$7 * G$4:J$4) + SUMPRODUCT((N70:P70/N$9:P$9)^N$7:P$7 * N$4:P$4) + (VALUE(TRIM(MID(S70,FIND(",",S70)+1,LEN(S70))))/S$9)^S$7 * S$4 + (T70/T$9)^T$7 * T$4) * AE$9</f>
        <v>1.5448795477463528</v>
      </c>
      <c r="AH70" s="10" cm="1">
        <f t="array" ref="AH70">(SUMPRODUCT((G70:J70/G$9:J$9)^G$7:J$7 * G$5:J$5) + SUMPRODUCT((N70:P70/N$9:P$9)^N$7:P$7 * N$5:P$5) + (VALUE(TRIM(MID(S70,FIND(",",S70)+1,LEN(S70))))/S$9)^S$7 * S$5 + (T70/T$9)^T$7 * T$5) * AE$9</f>
        <v>1.4747852484476678</v>
      </c>
      <c r="AI70" s="50" cm="1">
        <f t="array" ref="AI70">SUMPRODUCT(AE70:AH70 * AE$3:AH$3) / SUM(AE$3:AH$3)</f>
        <v>1.4302693948062395</v>
      </c>
      <c r="AJ70" s="12"/>
    </row>
    <row r="71" spans="1:36" s="83" customFormat="1" x14ac:dyDescent="0.25">
      <c r="A71" s="5" t="s">
        <v>178</v>
      </c>
      <c r="B71" s="16" t="s">
        <v>180</v>
      </c>
      <c r="C71" s="4" t="s">
        <v>428</v>
      </c>
      <c r="D71" s="90" t="s">
        <v>9091</v>
      </c>
      <c r="E71" s="75" t="s">
        <v>434</v>
      </c>
      <c r="F71" s="4" t="s">
        <v>9074</v>
      </c>
      <c r="G71" s="9">
        <v>6</v>
      </c>
      <c r="H71" s="3">
        <v>12</v>
      </c>
      <c r="I71" s="1">
        <v>3</v>
      </c>
      <c r="J71" s="1">
        <v>4.5999999999999996</v>
      </c>
      <c r="K71" s="11" t="s">
        <v>352</v>
      </c>
      <c r="L71" s="85" t="s">
        <v>17</v>
      </c>
      <c r="M71" s="4" t="s">
        <v>165</v>
      </c>
      <c r="N71" s="2">
        <v>7.5</v>
      </c>
      <c r="O71" s="2">
        <v>18</v>
      </c>
      <c r="P71" s="12">
        <v>65</v>
      </c>
      <c r="Q71" s="12" t="s">
        <v>408</v>
      </c>
      <c r="R71" s="12">
        <v>128</v>
      </c>
      <c r="S71" s="12" t="s">
        <v>412</v>
      </c>
      <c r="T71" s="12">
        <v>2</v>
      </c>
      <c r="U71" s="12" t="s">
        <v>2285</v>
      </c>
      <c r="V71" s="75" t="s">
        <v>418</v>
      </c>
      <c r="W71" s="75">
        <v>4</v>
      </c>
      <c r="X71" s="12">
        <v>8</v>
      </c>
      <c r="Y71" s="9">
        <v>202.42</v>
      </c>
      <c r="Z71" s="3">
        <v>861.38</v>
      </c>
      <c r="AA71" s="66" t="s">
        <v>179</v>
      </c>
      <c r="AB71" s="66" t="s">
        <v>178</v>
      </c>
      <c r="AC71" s="79" t="s">
        <v>8799</v>
      </c>
      <c r="AD71" s="80" t="s">
        <v>8800</v>
      </c>
      <c r="AE71" s="49" cm="1">
        <f t="array" ref="AE71">(SUMPRODUCT((G71:J71/G$9:J$9)^G$7:J$7 * G$2:J$2) + SUMPRODUCT((N71:P71/N$9:P$9)^N$7:P$7 * N$2:P$2) + (VALUE(TRIM(MID(S71,FIND(",",S71)+1,LEN(S71))))/S$9)^S$7 * S$2 + (T71/T$9)^T$7 * T$2) * AE$9</f>
        <v>1.2826861781713621</v>
      </c>
      <c r="AF71" s="1" cm="1">
        <f t="array" ref="AF71">(SUMPRODUCT((G71:J71/G$9:J$9)^G$7:J$7 * G$3:J$3) + SUMPRODUCT((N71:P71/N$9:P$9)^N$7:P$7 * N$3:P$3) + (VALUE(TRIM(MID(S71,FIND(",",S71)+1,LEN(S71))))/S$9)^S$7 * S$3 + (T71/T$9)^T$7 * T$3) * AE$9</f>
        <v>1.4961705435845529</v>
      </c>
      <c r="AG71" s="1" cm="1">
        <f t="array" ref="AG71">(SUMPRODUCT((G71:J71/G$9:J$9)^G$7:J$7 * G$4:J$4) + SUMPRODUCT((N71:P71/N$9:P$9)^N$7:P$7 * N$4:P$4) + (VALUE(TRIM(MID(S71,FIND(",",S71)+1,LEN(S71))))/S$9)^S$7 * S$4 + (T71/T$9)^T$7 * T$4) * AE$9</f>
        <v>1.5465029381213331</v>
      </c>
      <c r="AH71" s="10" cm="1">
        <f t="array" ref="AH71">(SUMPRODUCT((G71:J71/G$9:J$9)^G$7:J$7 * G$5:J$5) + SUMPRODUCT((N71:P71/N$9:P$9)^N$7:P$7 * N$5:P$5) + (VALUE(TRIM(MID(S71,FIND(",",S71)+1,LEN(S71))))/S$9)^S$7 * S$5 + (T71/T$9)^T$7 * T$5) * AE$9</f>
        <v>1.4961705435845529</v>
      </c>
      <c r="AI71" s="50" cm="1">
        <f t="array" ref="AI71">SUMPRODUCT(AE71:AH71 * AE$3:AH$3) / SUM(AE$3:AH$3)</f>
        <v>1.4546483661102441</v>
      </c>
      <c r="AJ71" s="12"/>
    </row>
    <row r="72" spans="1:36" s="83" customFormat="1" x14ac:dyDescent="0.25">
      <c r="A72" s="5" t="s">
        <v>175</v>
      </c>
      <c r="B72" s="16" t="s">
        <v>177</v>
      </c>
      <c r="C72" s="4" t="s">
        <v>428</v>
      </c>
      <c r="D72" s="90" t="s">
        <v>9091</v>
      </c>
      <c r="E72" s="75" t="s">
        <v>434</v>
      </c>
      <c r="F72" s="4" t="s">
        <v>9074</v>
      </c>
      <c r="G72" s="9">
        <v>6</v>
      </c>
      <c r="H72" s="3">
        <v>12</v>
      </c>
      <c r="I72" s="1">
        <v>2</v>
      </c>
      <c r="J72" s="1">
        <v>4.4000000000000004</v>
      </c>
      <c r="K72" s="11" t="s">
        <v>352</v>
      </c>
      <c r="L72" s="85" t="s">
        <v>17</v>
      </c>
      <c r="M72" s="4" t="s">
        <v>165</v>
      </c>
      <c r="N72" s="2">
        <v>7.5</v>
      </c>
      <c r="O72" s="2">
        <v>18</v>
      </c>
      <c r="P72" s="12">
        <v>35</v>
      </c>
      <c r="Q72" s="12" t="s">
        <v>408</v>
      </c>
      <c r="R72" s="12">
        <v>128</v>
      </c>
      <c r="S72" s="12" t="s">
        <v>412</v>
      </c>
      <c r="T72" s="12">
        <v>2</v>
      </c>
      <c r="U72" s="12" t="s">
        <v>2285</v>
      </c>
      <c r="V72" s="75" t="s">
        <v>418</v>
      </c>
      <c r="W72" s="75">
        <v>4</v>
      </c>
      <c r="X72" s="12">
        <v>8</v>
      </c>
      <c r="Y72" s="9">
        <v>254.3</v>
      </c>
      <c r="Z72" s="3">
        <v>314.89999999999998</v>
      </c>
      <c r="AA72" s="66" t="s">
        <v>176</v>
      </c>
      <c r="AB72" s="66" t="s">
        <v>175</v>
      </c>
      <c r="AC72" s="79" t="s">
        <v>8801</v>
      </c>
      <c r="AD72" s="80" t="s">
        <v>8802</v>
      </c>
      <c r="AE72" s="49" cm="1">
        <f t="array" ref="AE72">(SUMPRODUCT((G72:J72/G$9:J$9)^G$7:J$7 * G$2:J$2) + SUMPRODUCT((N72:P72/N$9:P$9)^N$7:P$7 * N$2:P$2) + (VALUE(TRIM(MID(S72,FIND(",",S72)+1,LEN(S72))))/S$9)^S$7 * S$2 + (T72/T$9)^T$7 * T$2) * AE$9</f>
        <v>1.2570584450404496</v>
      </c>
      <c r="AF72" s="1" cm="1">
        <f t="array" ref="AF72">(SUMPRODUCT((G72:J72/G$9:J$9)^G$7:J$7 * G$3:J$3) + SUMPRODUCT((N72:P72/N$9:P$9)^N$7:P$7 * N$3:P$3) + (VALUE(TRIM(MID(S72,FIND(",",S72)+1,LEN(S72))))/S$9)^S$7 * S$3 + (T72/T$9)^T$7 * T$3) * AE$9</f>
        <v>1.4845471532095724</v>
      </c>
      <c r="AG72" s="1" cm="1">
        <f t="array" ref="AG72">(SUMPRODUCT((G72:J72/G$9:J$9)^G$7:J$7 * G$4:J$4) + SUMPRODUCT((N72:P72/N$9:P$9)^N$7:P$7 * N$4:P$4) + (VALUE(TRIM(MID(S72,FIND(",",S72)+1,LEN(S72))))/S$9)^S$7 * S$4 + (T72/T$9)^T$7 * T$4) * AE$9</f>
        <v>1.5497605001273052</v>
      </c>
      <c r="AH72" s="10" cm="1">
        <f t="array" ref="AH72">(SUMPRODUCT((G72:J72/G$9:J$9)^G$7:J$7 * G$5:J$5) + SUMPRODUCT((N72:P72/N$9:P$9)^N$7:P$7 * N$5:P$5) + (VALUE(TRIM(MID(S72,FIND(",",S72)+1,LEN(S72))))/S$9)^S$7 * S$5 + (T72/T$9)^T$7 * T$5) * AE$9</f>
        <v>1.4845471532095724</v>
      </c>
      <c r="AI72" s="50" cm="1">
        <f t="array" ref="AI72">SUMPRODUCT(AE72:AH72 * AE$3:AH$3) / SUM(AE$3:AH$3)</f>
        <v>1.442082581619426</v>
      </c>
      <c r="AJ72" s="12"/>
    </row>
    <row r="73" spans="1:36" s="83" customFormat="1" x14ac:dyDescent="0.25">
      <c r="A73" s="5" t="s">
        <v>172</v>
      </c>
      <c r="B73" s="16" t="s">
        <v>174</v>
      </c>
      <c r="C73" s="4" t="s">
        <v>428</v>
      </c>
      <c r="D73" s="90" t="s">
        <v>9091</v>
      </c>
      <c r="E73" s="75" t="s">
        <v>434</v>
      </c>
      <c r="F73" s="4" t="s">
        <v>9074</v>
      </c>
      <c r="G73" s="9">
        <v>6</v>
      </c>
      <c r="H73" s="75">
        <v>12</v>
      </c>
      <c r="I73" s="1">
        <v>3.3</v>
      </c>
      <c r="J73" s="1">
        <v>4.8</v>
      </c>
      <c r="K73" s="11" t="s">
        <v>352</v>
      </c>
      <c r="L73" s="85" t="s">
        <v>17</v>
      </c>
      <c r="M73" s="4" t="s">
        <v>165</v>
      </c>
      <c r="N73" s="2">
        <v>7.5</v>
      </c>
      <c r="O73" s="2">
        <v>18</v>
      </c>
      <c r="P73" s="12">
        <v>65</v>
      </c>
      <c r="Q73" s="12" t="s">
        <v>408</v>
      </c>
      <c r="R73" s="12">
        <v>128</v>
      </c>
      <c r="S73" s="12" t="s">
        <v>412</v>
      </c>
      <c r="T73" s="12">
        <v>2</v>
      </c>
      <c r="U73" s="12" t="s">
        <v>2285</v>
      </c>
      <c r="V73" s="75" t="s">
        <v>418</v>
      </c>
      <c r="W73" s="75">
        <v>4</v>
      </c>
      <c r="X73" s="12">
        <v>8</v>
      </c>
      <c r="Y73" s="9">
        <v>284.89999999999998</v>
      </c>
      <c r="Z73" s="3">
        <v>659.36</v>
      </c>
      <c r="AA73" s="66" t="s">
        <v>173</v>
      </c>
      <c r="AB73" s="66" t="s">
        <v>172</v>
      </c>
      <c r="AC73" s="79" t="s">
        <v>8799</v>
      </c>
      <c r="AD73" s="80" t="s">
        <v>8800</v>
      </c>
      <c r="AE73" s="49" cm="1">
        <f t="array" ref="AE73">(SUMPRODUCT((G73:J73/G$9:J$9)^G$7:J$7 * G$2:J$2) + SUMPRODUCT((N73:P73/N$9:P$9)^N$7:P$7 * N$2:P$2) + (VALUE(TRIM(MID(S73,FIND(",",S73)+1,LEN(S73))))/S$9)^S$7 * S$2 + (T73/T$9)^T$7 * T$2) * AE$9</f>
        <v>1.3095909400761241</v>
      </c>
      <c r="AF73" s="1" cm="1">
        <f t="array" ref="AF73">(SUMPRODUCT((G73:J73/G$9:J$9)^G$7:J$7 * G$3:J$3) + SUMPRODUCT((N73:P73/N$9:P$9)^N$7:P$7 * N$3:P$3) + (VALUE(TRIM(MID(S73,FIND(",",S73)+1,LEN(S73))))/S$9)^S$7 * S$3 + (T73/T$9)^T$7 * T$3) * AE$9</f>
        <v>1.5084324483464575</v>
      </c>
      <c r="AG73" s="1" cm="1">
        <f t="array" ref="AG73">(SUMPRODUCT((G73:J73/G$9:J$9)^G$7:J$7 * G$4:J$4) + SUMPRODUCT((N73:P73/N$9:P$9)^N$7:P$7 * N$4:P$4) + (VALUE(TRIM(MID(S73,FIND(",",S73)+1,LEN(S73))))/S$9)^S$7 * S$4 + (T73/T$9)^T$7 * T$4) * AE$9</f>
        <v>1.5526338905022852</v>
      </c>
      <c r="AH73" s="10" cm="1">
        <f t="array" ref="AH73">(SUMPRODUCT((G73:J73/G$9:J$9)^G$7:J$7 * G$5:J$5) + SUMPRODUCT((N73:P73/N$9:P$9)^N$7:P$7 * N$5:P$5) + (VALUE(TRIM(MID(S73,FIND(",",S73)+1,LEN(S73))))/S$9)^S$7 * S$5 + (T73/T$9)^T$7 * T$5) * AE$9</f>
        <v>1.5084324483464575</v>
      </c>
      <c r="AI73" s="50" cm="1">
        <f t="array" ref="AI73">SUMPRODUCT(AE73:AH73 * AE$3:AH$3) / SUM(AE$3:AH$3)</f>
        <v>1.4693461683080464</v>
      </c>
      <c r="AJ73" s="12"/>
    </row>
    <row r="74" spans="1:36" s="83" customFormat="1" x14ac:dyDescent="0.25">
      <c r="A74" s="5" t="s">
        <v>169</v>
      </c>
      <c r="B74" s="16" t="s">
        <v>171</v>
      </c>
      <c r="C74" s="4" t="s">
        <v>428</v>
      </c>
      <c r="D74" s="90" t="s">
        <v>9091</v>
      </c>
      <c r="E74" s="75" t="s">
        <v>434</v>
      </c>
      <c r="F74" s="4" t="s">
        <v>9074</v>
      </c>
      <c r="G74" s="9">
        <v>10</v>
      </c>
      <c r="H74" s="3">
        <v>16</v>
      </c>
      <c r="I74" s="1">
        <v>3.7</v>
      </c>
      <c r="J74" s="1">
        <v>4.9000000000000004</v>
      </c>
      <c r="K74" s="11" t="s">
        <v>352</v>
      </c>
      <c r="L74" s="85" t="s">
        <v>17</v>
      </c>
      <c r="M74" s="4" t="s">
        <v>165</v>
      </c>
      <c r="N74" s="2">
        <v>9.5</v>
      </c>
      <c r="O74" s="2">
        <v>20</v>
      </c>
      <c r="P74" s="12">
        <v>125</v>
      </c>
      <c r="Q74" s="12" t="s">
        <v>408</v>
      </c>
      <c r="R74" s="12">
        <v>128</v>
      </c>
      <c r="S74" s="12" t="s">
        <v>412</v>
      </c>
      <c r="T74" s="12">
        <v>2</v>
      </c>
      <c r="U74" s="12" t="s">
        <v>2285</v>
      </c>
      <c r="V74" s="75" t="s">
        <v>418</v>
      </c>
      <c r="W74" s="75">
        <v>4</v>
      </c>
      <c r="X74" s="12">
        <v>8</v>
      </c>
      <c r="Y74" s="9">
        <v>168.49</v>
      </c>
      <c r="Z74" s="3">
        <v>728.33</v>
      </c>
      <c r="AA74" s="66" t="s">
        <v>170</v>
      </c>
      <c r="AB74" s="66" t="s">
        <v>169</v>
      </c>
      <c r="AC74" s="79" t="s">
        <v>8799</v>
      </c>
      <c r="AD74" s="80" t="s">
        <v>8802</v>
      </c>
      <c r="AE74" s="49" cm="1">
        <f t="array" ref="AE74">(SUMPRODUCT((G74:J74/G$9:J$9)^G$7:J$7 * G$2:J$2) + SUMPRODUCT((N74:P74/N$9:P$9)^N$7:P$7 * N$2:P$2) + (VALUE(TRIM(MID(S74,FIND(",",S74)+1,LEN(S74))))/S$9)^S$7 * S$2 + (T74/T$9)^T$7 * T$2) * AE$9</f>
        <v>1.5196526096814198</v>
      </c>
      <c r="AF74" s="1" cm="1">
        <f t="array" ref="AF74">(SUMPRODUCT((G74:J74/G$9:J$9)^G$7:J$7 * G$3:J$3) + SUMPRODUCT((N74:P74/N$9:P$9)^N$7:P$7 * N$3:P$3) + (VALUE(TRIM(MID(S74,FIND(",",S74)+1,LEN(S74))))/S$9)^S$7 * S$3 + (T74/T$9)^T$7 * T$3) * AE$9</f>
        <v>1.8383819173709821</v>
      </c>
      <c r="AG74" s="1" cm="1">
        <f t="array" ref="AG74">(SUMPRODUCT((G74:J74/G$9:J$9)^G$7:J$7 * G$4:J$4) + SUMPRODUCT((N74:P74/N$9:P$9)^N$7:P$7 * N$4:P$4) + (VALUE(TRIM(MID(S74,FIND(",",S74)+1,LEN(S74))))/S$9)^S$7 * S$4 + (T74/T$9)^T$7 * T$4) * AE$9</f>
        <v>1.9379790723681667</v>
      </c>
      <c r="AH74" s="10" cm="1">
        <f t="array" ref="AH74">(SUMPRODUCT((G74:J74/G$9:J$9)^G$7:J$7 * G$5:J$5) + SUMPRODUCT((N74:P74/N$9:P$9)^N$7:P$7 * N$5:P$5) + (VALUE(TRIM(MID(S74,FIND(",",S74)+1,LEN(S74))))/S$9)^S$7 * S$5 + (T74/T$9)^T$7 * T$5) * AE$9</f>
        <v>1.8383819173709821</v>
      </c>
      <c r="AI74" s="50" cm="1">
        <f t="array" ref="AI74">SUMPRODUCT(AE74:AH74 * AE$3:AH$3) / SUM(AE$3:AH$3)</f>
        <v>1.7801516394421883</v>
      </c>
      <c r="AJ74" s="12"/>
    </row>
    <row r="75" spans="1:36" s="83" customFormat="1" x14ac:dyDescent="0.25">
      <c r="A75" s="5" t="s">
        <v>166</v>
      </c>
      <c r="B75" s="16" t="s">
        <v>168</v>
      </c>
      <c r="C75" s="4" t="s">
        <v>428</v>
      </c>
      <c r="D75" s="90" t="s">
        <v>9091</v>
      </c>
      <c r="E75" s="75" t="s">
        <v>434</v>
      </c>
      <c r="F75" s="4" t="s">
        <v>9074</v>
      </c>
      <c r="G75" s="9">
        <v>10</v>
      </c>
      <c r="H75" s="3">
        <v>16</v>
      </c>
      <c r="I75" s="1">
        <v>3.7</v>
      </c>
      <c r="J75" s="1">
        <v>4.9000000000000004</v>
      </c>
      <c r="K75" s="11" t="s">
        <v>352</v>
      </c>
      <c r="L75" s="85" t="s">
        <v>17</v>
      </c>
      <c r="M75" s="4" t="s">
        <v>165</v>
      </c>
      <c r="N75" s="2">
        <v>9.5</v>
      </c>
      <c r="O75" s="2">
        <v>20</v>
      </c>
      <c r="P75" s="12">
        <v>125</v>
      </c>
      <c r="Q75" s="12" t="s">
        <v>408</v>
      </c>
      <c r="R75" s="12">
        <v>128</v>
      </c>
      <c r="S75" s="12" t="s">
        <v>412</v>
      </c>
      <c r="T75" s="12">
        <v>2</v>
      </c>
      <c r="U75" s="12" t="s">
        <v>2285</v>
      </c>
      <c r="V75" s="75" t="s">
        <v>418</v>
      </c>
      <c r="W75" s="75">
        <v>4</v>
      </c>
      <c r="X75" s="12">
        <v>8</v>
      </c>
      <c r="Y75" s="9">
        <v>169.9</v>
      </c>
      <c r="Z75" s="3">
        <v>765.17</v>
      </c>
      <c r="AA75" s="66" t="s">
        <v>167</v>
      </c>
      <c r="AB75" s="66" t="s">
        <v>166</v>
      </c>
      <c r="AC75" s="79" t="s">
        <v>8799</v>
      </c>
      <c r="AD75" s="80" t="s">
        <v>8802</v>
      </c>
      <c r="AE75" s="49" cm="1">
        <f t="array" ref="AE75">(SUMPRODUCT((G75:J75/G$9:J$9)^G$7:J$7 * G$2:J$2) + SUMPRODUCT((N75:P75/N$9:P$9)^N$7:P$7 * N$2:P$2) + (VALUE(TRIM(MID(S75,FIND(",",S75)+1,LEN(S75))))/S$9)^S$7 * S$2 + (T75/T$9)^T$7 * T$2) * AE$9</f>
        <v>1.5196526096814198</v>
      </c>
      <c r="AF75" s="1" cm="1">
        <f t="array" ref="AF75">(SUMPRODUCT((G75:J75/G$9:J$9)^G$7:J$7 * G$3:J$3) + SUMPRODUCT((N75:P75/N$9:P$9)^N$7:P$7 * N$3:P$3) + (VALUE(TRIM(MID(S75,FIND(",",S75)+1,LEN(S75))))/S$9)^S$7 * S$3 + (T75/T$9)^T$7 * T$3) * AE$9</f>
        <v>1.8383819173709821</v>
      </c>
      <c r="AG75" s="1" cm="1">
        <f t="array" ref="AG75">(SUMPRODUCT((G75:J75/G$9:J$9)^G$7:J$7 * G$4:J$4) + SUMPRODUCT((N75:P75/N$9:P$9)^N$7:P$7 * N$4:P$4) + (VALUE(TRIM(MID(S75,FIND(",",S75)+1,LEN(S75))))/S$9)^S$7 * S$4 + (T75/T$9)^T$7 * T$4) * AE$9</f>
        <v>1.9379790723681667</v>
      </c>
      <c r="AH75" s="10" cm="1">
        <f t="array" ref="AH75">(SUMPRODUCT((G75:J75/G$9:J$9)^G$7:J$7 * G$5:J$5) + SUMPRODUCT((N75:P75/N$9:P$9)^N$7:P$7 * N$5:P$5) + (VALUE(TRIM(MID(S75,FIND(",",S75)+1,LEN(S75))))/S$9)^S$7 * S$5 + (T75/T$9)^T$7 * T$5) * AE$9</f>
        <v>1.8383819173709821</v>
      </c>
      <c r="AI75" s="50" cm="1">
        <f t="array" ref="AI75">SUMPRODUCT(AE75:AH75 * AE$3:AH$3) / SUM(AE$3:AH$3)</f>
        <v>1.7801516394421883</v>
      </c>
      <c r="AJ75" s="12"/>
    </row>
    <row r="76" spans="1:36" s="83" customFormat="1" x14ac:dyDescent="0.25">
      <c r="A76" s="5" t="s">
        <v>162</v>
      </c>
      <c r="B76" s="16" t="s">
        <v>164</v>
      </c>
      <c r="C76" s="4" t="s">
        <v>428</v>
      </c>
      <c r="D76" s="90" t="s">
        <v>9091</v>
      </c>
      <c r="E76" s="75" t="s">
        <v>434</v>
      </c>
      <c r="F76" s="4" t="s">
        <v>9074</v>
      </c>
      <c r="G76" s="9">
        <v>6</v>
      </c>
      <c r="H76" s="75">
        <v>12</v>
      </c>
      <c r="I76" s="1">
        <v>2.1</v>
      </c>
      <c r="J76" s="1">
        <v>4.5999999999999996</v>
      </c>
      <c r="K76" s="11" t="s">
        <v>352</v>
      </c>
      <c r="L76" s="85" t="s">
        <v>17</v>
      </c>
      <c r="M76" s="4" t="s">
        <v>165</v>
      </c>
      <c r="N76" s="2">
        <v>7.5</v>
      </c>
      <c r="O76" s="2">
        <v>18</v>
      </c>
      <c r="P76" s="12">
        <v>35</v>
      </c>
      <c r="Q76" s="12" t="s">
        <v>408</v>
      </c>
      <c r="R76" s="12">
        <v>128</v>
      </c>
      <c r="S76" s="12" t="s">
        <v>412</v>
      </c>
      <c r="T76" s="12">
        <v>2</v>
      </c>
      <c r="U76" s="12" t="s">
        <v>2285</v>
      </c>
      <c r="V76" s="75" t="s">
        <v>418</v>
      </c>
      <c r="W76" s="75">
        <v>4</v>
      </c>
      <c r="X76" s="12">
        <v>8</v>
      </c>
      <c r="Y76" s="9">
        <v>286.17</v>
      </c>
      <c r="Z76" s="3">
        <v>399</v>
      </c>
      <c r="AA76" s="66" t="s">
        <v>163</v>
      </c>
      <c r="AB76" s="66" t="s">
        <v>162</v>
      </c>
      <c r="AC76" s="79" t="s">
        <v>8801</v>
      </c>
      <c r="AD76" s="80" t="s">
        <v>8802</v>
      </c>
      <c r="AE76" s="49" cm="1">
        <f t="array" ref="AE76">(SUMPRODUCT((G76:J76/G$9:J$9)^G$7:J$7 * G$2:J$2) + SUMPRODUCT((N76:P76/N$9:P$9)^N$7:P$7 * N$2:P$2) + (VALUE(TRIM(MID(S76,FIND(",",S76)+1,LEN(S76))))/S$9)^S$7 * S$2 + (T76/T$9)^T$7 * T$2) * AE$9</f>
        <v>1.2739632069452118</v>
      </c>
      <c r="AF76" s="1" cm="1">
        <f t="array" ref="AF76">(SUMPRODUCT((G76:J76/G$9:J$9)^G$7:J$7 * G$3:J$3) + SUMPRODUCT((N76:P76/N$9:P$9)^N$7:P$7 * N$3:P$3) + (VALUE(TRIM(MID(S76,FIND(",",S76)+1,LEN(S76))))/S$9)^S$7 * S$3 + (T76/T$9)^T$7 * T$3) * AE$9</f>
        <v>1.4918090579714771</v>
      </c>
      <c r="AG76" s="1" cm="1">
        <f t="array" ref="AG76">(SUMPRODUCT((G76:J76/G$9:J$9)^G$7:J$7 * G$4:J$4) + SUMPRODUCT((N76:P76/N$9:P$9)^N$7:P$7 * N$4:P$4) + (VALUE(TRIM(MID(S76,FIND(",",S76)+1,LEN(S76))))/S$9)^S$7 * S$4 + (T76/T$9)^T$7 * T$4) * AE$9</f>
        <v>1.5533914525082577</v>
      </c>
      <c r="AH76" s="10" cm="1">
        <f t="array" ref="AH76">(SUMPRODUCT((G76:J76/G$9:J$9)^G$7:J$7 * G$5:J$5) + SUMPRODUCT((N76:P76/N$9:P$9)^N$7:P$7 * N$5:P$5) + (VALUE(TRIM(MID(S76,FIND(",",S76)+1,LEN(S76))))/S$9)^S$7 * S$5 + (T76/T$9)^T$7 * T$5) * AE$9</f>
        <v>1.4918090579714771</v>
      </c>
      <c r="AI76" s="50" cm="1">
        <f t="array" ref="AI76">SUMPRODUCT(AE76:AH76 * AE$3:AH$3) / SUM(AE$3:AH$3)</f>
        <v>1.4510111530479977</v>
      </c>
      <c r="AJ76" s="12"/>
    </row>
    <row r="77" spans="1:36" x14ac:dyDescent="0.25">
      <c r="A77" s="5" t="s">
        <v>108</v>
      </c>
      <c r="B77" s="16" t="s">
        <v>110</v>
      </c>
      <c r="C77" s="4" t="s">
        <v>428</v>
      </c>
      <c r="D77" s="90" t="s">
        <v>9092</v>
      </c>
      <c r="E77" s="75" t="s">
        <v>435</v>
      </c>
      <c r="F77" s="4" t="s">
        <v>9074</v>
      </c>
      <c r="G77" s="9">
        <v>12</v>
      </c>
      <c r="H77" s="3">
        <v>20</v>
      </c>
      <c r="I77" s="1">
        <v>2.1</v>
      </c>
      <c r="J77" s="1">
        <v>4.9000000000000004</v>
      </c>
      <c r="K77" s="11" t="s">
        <v>352</v>
      </c>
      <c r="L77" s="85" t="s">
        <v>17</v>
      </c>
      <c r="M77" s="4" t="s">
        <v>165</v>
      </c>
      <c r="N77" s="2">
        <v>12</v>
      </c>
      <c r="O77" s="2">
        <v>25</v>
      </c>
      <c r="P77" s="12">
        <v>65</v>
      </c>
      <c r="Q77" s="12" t="s">
        <v>408</v>
      </c>
      <c r="R77" s="12">
        <v>128</v>
      </c>
      <c r="S77" s="12" t="s">
        <v>412</v>
      </c>
      <c r="T77" s="12">
        <v>2</v>
      </c>
      <c r="U77" s="12" t="s">
        <v>2285</v>
      </c>
      <c r="V77" s="75" t="s">
        <v>418</v>
      </c>
      <c r="W77" s="75">
        <v>4</v>
      </c>
      <c r="X77" s="12">
        <v>8</v>
      </c>
      <c r="Y77" s="9">
        <v>299.60000000000002</v>
      </c>
      <c r="Z77" s="3">
        <v>472</v>
      </c>
      <c r="AA77" s="66" t="s">
        <v>109</v>
      </c>
      <c r="AB77" s="66" t="s">
        <v>108</v>
      </c>
      <c r="AC77" s="79" t="s">
        <v>8799</v>
      </c>
      <c r="AD77" s="80" t="s">
        <v>8800</v>
      </c>
      <c r="AE77" s="49" cm="1">
        <f t="array" ref="AE77">(SUMPRODUCT((G77:J77/G$9:J$9)^G$7:J$7 * G$2:J$2) + SUMPRODUCT((N77:P77/N$9:P$9)^N$7:P$7 * N$2:P$2) + (VALUE(TRIM(MID(S77,FIND(",",S77)+1,LEN(S77))))/S$9)^S$7 * S$2 + (T77/T$9)^T$7 * T$2) * AE$9</f>
        <v>1.64261902716849</v>
      </c>
      <c r="AF77" s="1" cm="1">
        <f t="array" ref="AF77">(SUMPRODUCT((G77:J77/G$9:J$9)^G$7:J$7 * G$3:J$3) + SUMPRODUCT((N77:P77/N$9:P$9)^N$7:P$7 * N$3:P$3) + (VALUE(TRIM(MID(S77,FIND(",",S77)+1,LEN(S77))))/S$9)^S$7 * S$3 + (T77/T$9)^T$7 * T$3) * AE$9</f>
        <v>2.1014652969229499</v>
      </c>
      <c r="AG77" s="1" cm="1">
        <f t="array" ref="AG77">(SUMPRODUCT((G77:J77/G$9:J$9)^G$7:J$7 * G$4:J$4) + SUMPRODUCT((N77:P77/N$9:P$9)^N$7:P$7 * N$4:P$4) + (VALUE(TRIM(MID(S77,FIND(",",S77)+1,LEN(S77))))/S$9)^S$7 * S$4 + (T77/T$9)^T$7 * T$4) * AE$9</f>
        <v>2.2602236697401832</v>
      </c>
      <c r="AH77" s="10" cm="1">
        <f t="array" ref="AH77">(SUMPRODUCT((G77:J77/G$9:J$9)^G$7:J$7 * G$5:J$5) + SUMPRODUCT((N77:P77/N$9:P$9)^N$7:P$7 * N$5:P$5) + (VALUE(TRIM(MID(S77,FIND(",",S77)+1,LEN(S77))))/S$9)^S$7 * S$5 + (T77/T$9)^T$7 * T$5) * AE$9</f>
        <v>2.1014652969229499</v>
      </c>
      <c r="AI77" s="50" cm="1">
        <f t="array" ref="AI77">SUMPRODUCT(AE77:AH77 * AE$3:AH$3) / SUM(AE$3:AH$3)</f>
        <v>2.0200020612591874</v>
      </c>
    </row>
    <row r="78" spans="1:36" x14ac:dyDescent="0.25">
      <c r="A78" s="5" t="s">
        <v>105</v>
      </c>
      <c r="B78" s="16" t="s">
        <v>107</v>
      </c>
      <c r="C78" s="4" t="s">
        <v>428</v>
      </c>
      <c r="D78" s="90" t="s">
        <v>9092</v>
      </c>
      <c r="E78" s="75" t="s">
        <v>435</v>
      </c>
      <c r="F78" s="4" t="s">
        <v>9074</v>
      </c>
      <c r="G78" s="9">
        <v>12</v>
      </c>
      <c r="H78" s="3">
        <v>20</v>
      </c>
      <c r="I78" s="1">
        <v>2.1</v>
      </c>
      <c r="J78" s="1">
        <v>4.9000000000000004</v>
      </c>
      <c r="K78" s="11" t="s">
        <v>352</v>
      </c>
      <c r="L78" s="85" t="s">
        <v>17</v>
      </c>
      <c r="M78" s="4" t="s">
        <v>165</v>
      </c>
      <c r="N78" s="2">
        <v>12</v>
      </c>
      <c r="O78" s="2">
        <v>25</v>
      </c>
      <c r="P78" s="12">
        <v>65</v>
      </c>
      <c r="Q78" s="12" t="s">
        <v>408</v>
      </c>
      <c r="R78" s="12">
        <v>128</v>
      </c>
      <c r="S78" s="12" t="s">
        <v>412</v>
      </c>
      <c r="T78" s="12">
        <v>2</v>
      </c>
      <c r="U78" s="12" t="s">
        <v>2285</v>
      </c>
      <c r="V78" s="75" t="s">
        <v>418</v>
      </c>
      <c r="W78" s="75">
        <v>4</v>
      </c>
      <c r="X78" s="12">
        <v>8</v>
      </c>
      <c r="Y78" s="9">
        <v>249.9</v>
      </c>
      <c r="Z78" s="3">
        <v>436.61</v>
      </c>
      <c r="AA78" s="66" t="s">
        <v>106</v>
      </c>
      <c r="AB78" s="66" t="s">
        <v>105</v>
      </c>
      <c r="AC78" s="79" t="s">
        <v>8799</v>
      </c>
      <c r="AD78" s="80" t="s">
        <v>8800</v>
      </c>
      <c r="AE78" s="49" cm="1">
        <f t="array" ref="AE78">(SUMPRODUCT((G78:J78/G$9:J$9)^G$7:J$7 * G$2:J$2) + SUMPRODUCT((N78:P78/N$9:P$9)^N$7:P$7 * N$2:P$2) + (VALUE(TRIM(MID(S78,FIND(",",S78)+1,LEN(S78))))/S$9)^S$7 * S$2 + (T78/T$9)^T$7 * T$2) * AE$9</f>
        <v>1.64261902716849</v>
      </c>
      <c r="AF78" s="1" cm="1">
        <f t="array" ref="AF78">(SUMPRODUCT((G78:J78/G$9:J$9)^G$7:J$7 * G$3:J$3) + SUMPRODUCT((N78:P78/N$9:P$9)^N$7:P$7 * N$3:P$3) + (VALUE(TRIM(MID(S78,FIND(",",S78)+1,LEN(S78))))/S$9)^S$7 * S$3 + (T78/T$9)^T$7 * T$3) * AE$9</f>
        <v>2.1014652969229499</v>
      </c>
      <c r="AG78" s="1" cm="1">
        <f t="array" ref="AG78">(SUMPRODUCT((G78:J78/G$9:J$9)^G$7:J$7 * G$4:J$4) + SUMPRODUCT((N78:P78/N$9:P$9)^N$7:P$7 * N$4:P$4) + (VALUE(TRIM(MID(S78,FIND(",",S78)+1,LEN(S78))))/S$9)^S$7 * S$4 + (T78/T$9)^T$7 * T$4) * AE$9</f>
        <v>2.2602236697401832</v>
      </c>
      <c r="AH78" s="10" cm="1">
        <f t="array" ref="AH78">(SUMPRODUCT((G78:J78/G$9:J$9)^G$7:J$7 * G$5:J$5) + SUMPRODUCT((N78:P78/N$9:P$9)^N$7:P$7 * N$5:P$5) + (VALUE(TRIM(MID(S78,FIND(",",S78)+1,LEN(S78))))/S$9)^S$7 * S$5 + (T78/T$9)^T$7 * T$5) * AE$9</f>
        <v>2.1014652969229499</v>
      </c>
      <c r="AI78" s="50" cm="1">
        <f t="array" ref="AI78">SUMPRODUCT(AE78:AH78 * AE$3:AH$3) / SUM(AE$3:AH$3)</f>
        <v>2.0200020612591874</v>
      </c>
    </row>
    <row r="79" spans="1:36" x14ac:dyDescent="0.25">
      <c r="A79" s="5" t="s">
        <v>102</v>
      </c>
      <c r="B79" s="16" t="s">
        <v>104</v>
      </c>
      <c r="C79" s="4" t="s">
        <v>428</v>
      </c>
      <c r="D79" s="90" t="s">
        <v>9092</v>
      </c>
      <c r="E79" s="75" t="s">
        <v>435</v>
      </c>
      <c r="F79" s="4" t="s">
        <v>9074</v>
      </c>
      <c r="G79" s="9">
        <v>12</v>
      </c>
      <c r="H79" s="75">
        <v>20</v>
      </c>
      <c r="I79" s="1">
        <v>3.6</v>
      </c>
      <c r="J79" s="1">
        <v>5</v>
      </c>
      <c r="K79" s="11" t="s">
        <v>352</v>
      </c>
      <c r="L79" s="85" t="s">
        <v>17</v>
      </c>
      <c r="M79" s="4" t="s">
        <v>165</v>
      </c>
      <c r="N79" s="2">
        <v>12</v>
      </c>
      <c r="O79" s="2">
        <v>25</v>
      </c>
      <c r="P79" s="12">
        <v>125</v>
      </c>
      <c r="Q79" s="12" t="s">
        <v>408</v>
      </c>
      <c r="R79" s="12">
        <v>128</v>
      </c>
      <c r="S79" s="12" t="s">
        <v>412</v>
      </c>
      <c r="T79" s="12">
        <v>2</v>
      </c>
      <c r="U79" s="12" t="s">
        <v>2285</v>
      </c>
      <c r="V79" s="75" t="s">
        <v>418</v>
      </c>
      <c r="W79" s="75">
        <v>4</v>
      </c>
      <c r="X79" s="12">
        <v>8</v>
      </c>
      <c r="Y79" s="9">
        <v>240.58</v>
      </c>
      <c r="Z79" s="3">
        <v>408.23</v>
      </c>
      <c r="AA79" s="66" t="s">
        <v>103</v>
      </c>
      <c r="AB79" s="66" t="s">
        <v>102</v>
      </c>
      <c r="AC79" s="79" t="s">
        <v>8799</v>
      </c>
      <c r="AD79" s="80" t="s">
        <v>8802</v>
      </c>
      <c r="AE79" s="49" cm="1">
        <f t="array" ref="AE79">(SUMPRODUCT((G79:J79/G$9:J$9)^G$7:J$7 * G$2:J$2) + SUMPRODUCT((N79:P79/N$9:P$9)^N$7:P$7 * N$2:P$2) + (VALUE(TRIM(MID(S79,FIND(",",S79)+1,LEN(S79))))/S$9)^S$7 * S$2 + (T79/T$9)^T$7 * T$2) * AE$9</f>
        <v>1.695682433630151</v>
      </c>
      <c r="AF79" s="1" cm="1">
        <f t="array" ref="AF79">(SUMPRODUCT((G79:J79/G$9:J$9)^G$7:J$7 * G$3:J$3) + SUMPRODUCT((N79:P79/N$9:P$9)^N$7:P$7 * N$3:P$3) + (VALUE(TRIM(MID(S79,FIND(",",S79)+1,LEN(S79))))/S$9)^S$7 * S$3 + (T79/T$9)^T$7 * T$3) * AE$9</f>
        <v>2.1274017620585424</v>
      </c>
      <c r="AG79" s="1" cm="1">
        <f t="array" ref="AG79">(SUMPRODUCT((G79:J79/G$9:J$9)^G$7:J$7 * G$4:J$4) + SUMPRODUCT((N79:P79/N$9:P$9)^N$7:P$7 * N$4:P$4) + (VALUE(TRIM(MID(S79,FIND(",",S79)+1,LEN(S79))))/S$9)^S$7 * S$4 + (T79/T$9)^T$7 * T$4) * AE$9</f>
        <v>2.2662196586852992</v>
      </c>
      <c r="AH79" s="10" cm="1">
        <f t="array" ref="AH79">(SUMPRODUCT((G79:J79/G$9:J$9)^G$7:J$7 * G$5:J$5) + SUMPRODUCT((N79:P79/N$9:P$9)^N$7:P$7 * N$5:P$5) + (VALUE(TRIM(MID(S79,FIND(",",S79)+1,LEN(S79))))/S$9)^S$7 * S$5 + (T79/T$9)^T$7 * T$5) * AE$9</f>
        <v>2.1274017620585424</v>
      </c>
      <c r="AI79" s="50" cm="1">
        <f t="array" ref="AI79">SUMPRODUCT(AE79:AH79 * AE$3:AH$3) / SUM(AE$3:AH$3)</f>
        <v>2.0491308242099531</v>
      </c>
    </row>
    <row r="80" spans="1:36" x14ac:dyDescent="0.25">
      <c r="A80" s="5" t="s">
        <v>99</v>
      </c>
      <c r="B80" s="16" t="s">
        <v>101</v>
      </c>
      <c r="C80" s="4" t="s">
        <v>428</v>
      </c>
      <c r="D80" s="90" t="s">
        <v>9092</v>
      </c>
      <c r="E80" s="75" t="s">
        <v>435</v>
      </c>
      <c r="F80" s="4" t="s">
        <v>9074</v>
      </c>
      <c r="G80" s="9">
        <v>12</v>
      </c>
      <c r="H80" s="3">
        <v>20</v>
      </c>
      <c r="I80" s="1">
        <v>3.6</v>
      </c>
      <c r="J80" s="1">
        <v>5</v>
      </c>
      <c r="K80" s="11" t="s">
        <v>352</v>
      </c>
      <c r="L80" s="85" t="s">
        <v>17</v>
      </c>
      <c r="M80" s="4" t="s">
        <v>165</v>
      </c>
      <c r="N80" s="2">
        <v>12</v>
      </c>
      <c r="O80" s="2">
        <v>25</v>
      </c>
      <c r="P80" s="12">
        <v>125</v>
      </c>
      <c r="Q80" s="12" t="s">
        <v>408</v>
      </c>
      <c r="R80" s="12">
        <v>128</v>
      </c>
      <c r="S80" s="12" t="s">
        <v>412</v>
      </c>
      <c r="T80" s="12">
        <v>2</v>
      </c>
      <c r="U80" s="12" t="s">
        <v>2285</v>
      </c>
      <c r="V80" s="75" t="s">
        <v>418</v>
      </c>
      <c r="W80" s="75">
        <v>4</v>
      </c>
      <c r="X80" s="12">
        <v>8</v>
      </c>
      <c r="Y80" s="9">
        <v>224.97</v>
      </c>
      <c r="Z80" s="3">
        <v>560.9</v>
      </c>
      <c r="AA80" s="66" t="s">
        <v>100</v>
      </c>
      <c r="AB80" s="66" t="s">
        <v>99</v>
      </c>
      <c r="AC80" s="79" t="s">
        <v>8799</v>
      </c>
      <c r="AD80" s="80" t="s">
        <v>8802</v>
      </c>
      <c r="AE80" s="49" cm="1">
        <f t="array" ref="AE80">(SUMPRODUCT((G80:J80/G$9:J$9)^G$7:J$7 * G$2:J$2) + SUMPRODUCT((N80:P80/N$9:P$9)^N$7:P$7 * N$2:P$2) + (VALUE(TRIM(MID(S80,FIND(",",S80)+1,LEN(S80))))/S$9)^S$7 * S$2 + (T80/T$9)^T$7 * T$2) * AE$9</f>
        <v>1.695682433630151</v>
      </c>
      <c r="AF80" s="1" cm="1">
        <f t="array" ref="AF80">(SUMPRODUCT((G80:J80/G$9:J$9)^G$7:J$7 * G$3:J$3) + SUMPRODUCT((N80:P80/N$9:P$9)^N$7:P$7 * N$3:P$3) + (VALUE(TRIM(MID(S80,FIND(",",S80)+1,LEN(S80))))/S$9)^S$7 * S$3 + (T80/T$9)^T$7 * T$3) * AE$9</f>
        <v>2.1274017620585424</v>
      </c>
      <c r="AG80" s="1" cm="1">
        <f t="array" ref="AG80">(SUMPRODUCT((G80:J80/G$9:J$9)^G$7:J$7 * G$4:J$4) + SUMPRODUCT((N80:P80/N$9:P$9)^N$7:P$7 * N$4:P$4) + (VALUE(TRIM(MID(S80,FIND(",",S80)+1,LEN(S80))))/S$9)^S$7 * S$4 + (T80/T$9)^T$7 * T$4) * AE$9</f>
        <v>2.2662196586852992</v>
      </c>
      <c r="AH80" s="10" cm="1">
        <f t="array" ref="AH80">(SUMPRODUCT((G80:J80/G$9:J$9)^G$7:J$7 * G$5:J$5) + SUMPRODUCT((N80:P80/N$9:P$9)^N$7:P$7 * N$5:P$5) + (VALUE(TRIM(MID(S80,FIND(",",S80)+1,LEN(S80))))/S$9)^S$7 * S$5 + (T80/T$9)^T$7 * T$5) * AE$9</f>
        <v>2.1274017620585424</v>
      </c>
      <c r="AI80" s="50" cm="1">
        <f t="array" ref="AI80">SUMPRODUCT(AE80:AH80 * AE$3:AH$3) / SUM(AE$3:AH$3)</f>
        <v>2.0491308242099531</v>
      </c>
    </row>
    <row r="81" spans="1:36" x14ac:dyDescent="0.25">
      <c r="A81" s="5" t="s">
        <v>96</v>
      </c>
      <c r="B81" s="16" t="s">
        <v>98</v>
      </c>
      <c r="C81" s="4" t="s">
        <v>428</v>
      </c>
      <c r="D81" s="90" t="s">
        <v>9092</v>
      </c>
      <c r="E81" s="75" t="s">
        <v>435</v>
      </c>
      <c r="F81" s="4" t="s">
        <v>9074</v>
      </c>
      <c r="G81" s="9">
        <v>12</v>
      </c>
      <c r="H81" s="3">
        <v>20</v>
      </c>
      <c r="I81" s="1">
        <v>1.4</v>
      </c>
      <c r="J81" s="1">
        <v>4.7</v>
      </c>
      <c r="K81" s="11" t="s">
        <v>352</v>
      </c>
      <c r="L81" s="85" t="s">
        <v>17</v>
      </c>
      <c r="M81" s="4" t="s">
        <v>165</v>
      </c>
      <c r="N81" s="2">
        <v>12</v>
      </c>
      <c r="O81" s="2">
        <v>25</v>
      </c>
      <c r="P81" s="12">
        <v>35</v>
      </c>
      <c r="Q81" s="12" t="s">
        <v>408</v>
      </c>
      <c r="R81" s="12">
        <v>128</v>
      </c>
      <c r="S81" s="12" t="s">
        <v>412</v>
      </c>
      <c r="T81" s="12">
        <v>2</v>
      </c>
      <c r="U81" s="12" t="s">
        <v>2285</v>
      </c>
      <c r="V81" s="75" t="s">
        <v>418</v>
      </c>
      <c r="W81" s="75">
        <v>4</v>
      </c>
      <c r="X81" s="12">
        <v>8</v>
      </c>
      <c r="Y81" s="9">
        <v>303.83999999999997</v>
      </c>
      <c r="Z81" s="3">
        <v>755.84</v>
      </c>
      <c r="AA81" s="66" t="s">
        <v>97</v>
      </c>
      <c r="AB81" s="66" t="s">
        <v>96</v>
      </c>
      <c r="AC81" s="79" t="s">
        <v>8801</v>
      </c>
      <c r="AD81" s="80" t="s">
        <v>8802</v>
      </c>
      <c r="AE81" s="49" cm="1">
        <f t="array" ref="AE81">(SUMPRODUCT((G81:J81/G$9:J$9)^G$7:J$7 * G$2:J$2) + SUMPRODUCT((N81:P81/N$9:P$9)^N$7:P$7 * N$2:P$2) + (VALUE(TRIM(MID(S81,FIND(",",S81)+1,LEN(S81))))/S$9)^S$7 * S$2 + (T81/T$9)^T$7 * T$2) * AE$9</f>
        <v>1.6319912940375776</v>
      </c>
      <c r="AF81" s="1" cm="1">
        <f t="array" ref="AF81">(SUMPRODUCT((G81:J81/G$9:J$9)^G$7:J$7 * G$3:J$3) + SUMPRODUCT((N81:P81/N$9:P$9)^N$7:P$7 * N$3:P$3) + (VALUE(TRIM(MID(S81,FIND(",",S81)+1,LEN(S81))))/S$9)^S$7 * S$3 + (T81/T$9)^T$7 * T$3) * AE$9</f>
        <v>2.0973419065479697</v>
      </c>
      <c r="AG81" s="1" cm="1">
        <f t="array" ref="AG81">(SUMPRODUCT((G81:J81/G$9:J$9)^G$7:J$7 * G$4:J$4) + SUMPRODUCT((N81:P81/N$9:P$9)^N$7:P$7 * N$4:P$4) + (VALUE(TRIM(MID(S81,FIND(",",S81)+1,LEN(S81))))/S$9)^S$7 * S$4 + (T81/T$9)^T$7 * T$4) * AE$9</f>
        <v>2.2672312317461554</v>
      </c>
      <c r="AH81" s="10" cm="1">
        <f t="array" ref="AH81">(SUMPRODUCT((G81:J81/G$9:J$9)^G$7:J$7 * G$5:J$5) + SUMPRODUCT((N81:P81/N$9:P$9)^N$7:P$7 * N$5:P$5) + (VALUE(TRIM(MID(S81,FIND(",",S81)+1,LEN(S81))))/S$9)^S$7 * S$5 + (T81/T$9)^T$7 * T$5) * AE$9</f>
        <v>2.0973419065479697</v>
      </c>
      <c r="AI81" s="50" cm="1">
        <f t="array" ref="AI81">SUMPRODUCT(AE81:AH81 * AE$3:AH$3) / SUM(AE$3:AH$3)</f>
        <v>2.0160901229222152</v>
      </c>
    </row>
    <row r="82" spans="1:36" s="83" customFormat="1" x14ac:dyDescent="0.25">
      <c r="A82" s="5" t="s">
        <v>63</v>
      </c>
      <c r="B82" s="16" t="s">
        <v>65</v>
      </c>
      <c r="C82" s="4" t="s">
        <v>428</v>
      </c>
      <c r="D82" s="90" t="s">
        <v>9093</v>
      </c>
      <c r="E82" s="75" t="s">
        <v>436</v>
      </c>
      <c r="F82" s="4" t="s">
        <v>9074</v>
      </c>
      <c r="G82" s="9">
        <v>16</v>
      </c>
      <c r="H82" s="75">
        <v>24</v>
      </c>
      <c r="I82" s="1">
        <v>2.4</v>
      </c>
      <c r="J82" s="1">
        <v>5.0999999999999996</v>
      </c>
      <c r="K82" s="11" t="s">
        <v>352</v>
      </c>
      <c r="L82" s="85" t="s">
        <v>17</v>
      </c>
      <c r="M82" s="4" t="s">
        <v>165</v>
      </c>
      <c r="N82" s="2">
        <v>14</v>
      </c>
      <c r="O82" s="2">
        <v>30</v>
      </c>
      <c r="P82" s="12">
        <v>65</v>
      </c>
      <c r="Q82" s="12" t="s">
        <v>408</v>
      </c>
      <c r="R82" s="12">
        <v>128</v>
      </c>
      <c r="S82" s="12" t="s">
        <v>412</v>
      </c>
      <c r="T82" s="12">
        <v>2</v>
      </c>
      <c r="U82" s="12" t="s">
        <v>2285</v>
      </c>
      <c r="V82" s="75" t="s">
        <v>418</v>
      </c>
      <c r="W82" s="75">
        <v>4</v>
      </c>
      <c r="X82" s="12">
        <v>8</v>
      </c>
      <c r="Y82" s="9">
        <v>444.9</v>
      </c>
      <c r="Z82" s="3">
        <v>598</v>
      </c>
      <c r="AA82" s="66" t="s">
        <v>64</v>
      </c>
      <c r="AB82" s="66" t="s">
        <v>63</v>
      </c>
      <c r="AC82" s="79" t="s">
        <v>8799</v>
      </c>
      <c r="AD82" s="80" t="s">
        <v>8800</v>
      </c>
      <c r="AE82" s="49" cm="1">
        <f t="array" ref="AE82">(SUMPRODUCT((G82:J82/G$9:J$9)^G$7:J$7 * G$2:J$2) + SUMPRODUCT((N82:P82/N$9:P$9)^N$7:P$7 * N$2:P$2) + (VALUE(TRIM(MID(S82,FIND(",",S82)+1,LEN(S82))))/S$9)^S$7 * S$2 + (T82/T$9)^T$7 * T$2) * AE$9</f>
        <v>1.8917856756285762</v>
      </c>
      <c r="AF82" s="1" cm="1">
        <f t="array" ref="AF82">(SUMPRODUCT((G82:J82/G$9:J$9)^G$7:J$7 * G$3:J$3) + SUMPRODUCT((N82:P82/N$9:P$9)^N$7:P$7 * N$3:P$3) + (VALUE(TRIM(MID(S82,FIND(",",S82)+1,LEN(S82))))/S$9)^S$7 * S$3 + (T82/T$9)^T$7 * T$3) * AE$9</f>
        <v>2.459282297113234</v>
      </c>
      <c r="AG82" s="1" cm="1">
        <f t="array" ref="AG82">(SUMPRODUCT((G82:J82/G$9:J$9)^G$7:J$7 * G$4:J$4) + SUMPRODUCT((N82:P82/N$9:P$9)^N$7:P$7 * N$4:P$4) + (VALUE(TRIM(MID(S82,FIND(",",S82)+1,LEN(S82))))/S$9)^S$7 * S$4 + (T82/T$9)^T$7 * T$4) * AE$9</f>
        <v>2.6698886566402256</v>
      </c>
      <c r="AH82" s="10" cm="1">
        <f t="array" ref="AH82">(SUMPRODUCT((G82:J82/G$9:J$9)^G$7:J$7 * G$5:J$5) + SUMPRODUCT((N82:P82/N$9:P$9)^N$7:P$7 * N$5:P$5) + (VALUE(TRIM(MID(S82,FIND(",",S82)+1,LEN(S82))))/S$9)^S$7 * S$5 + (T82/T$9)^T$7 * T$5) * AE$9</f>
        <v>2.459282297113234</v>
      </c>
      <c r="AI82" s="50" cm="1">
        <f t="array" ref="AI82">SUMPRODUCT(AE82:AH82 * AE$3:AH$3) / SUM(AE$3:AH$3)</f>
        <v>2.3607225166978503</v>
      </c>
      <c r="AJ82" s="12"/>
    </row>
    <row r="83" spans="1:36" s="83" customFormat="1" x14ac:dyDescent="0.25">
      <c r="A83" s="5" t="s">
        <v>60</v>
      </c>
      <c r="B83" s="16" t="s">
        <v>62</v>
      </c>
      <c r="C83" s="4" t="s">
        <v>428</v>
      </c>
      <c r="D83" s="90" t="s">
        <v>9093</v>
      </c>
      <c r="E83" s="75" t="s">
        <v>436</v>
      </c>
      <c r="F83" s="4" t="s">
        <v>9074</v>
      </c>
      <c r="G83" s="9">
        <v>16</v>
      </c>
      <c r="H83" s="3">
        <v>24</v>
      </c>
      <c r="I83" s="1">
        <v>2.4</v>
      </c>
      <c r="J83" s="1">
        <v>5.0999999999999996</v>
      </c>
      <c r="K83" s="11" t="s">
        <v>352</v>
      </c>
      <c r="L83" s="85" t="s">
        <v>17</v>
      </c>
      <c r="M83" s="4" t="s">
        <v>165</v>
      </c>
      <c r="N83" s="2">
        <v>14</v>
      </c>
      <c r="O83" s="2">
        <v>30</v>
      </c>
      <c r="P83" s="12">
        <v>65</v>
      </c>
      <c r="Q83" s="12" t="s">
        <v>408</v>
      </c>
      <c r="R83" s="12">
        <v>128</v>
      </c>
      <c r="S83" s="12" t="s">
        <v>412</v>
      </c>
      <c r="T83" s="12">
        <v>2</v>
      </c>
      <c r="U83" s="12" t="s">
        <v>2285</v>
      </c>
      <c r="V83" s="75" t="s">
        <v>418</v>
      </c>
      <c r="W83" s="75">
        <v>4</v>
      </c>
      <c r="X83" s="12">
        <v>8</v>
      </c>
      <c r="Y83" s="9">
        <v>408.93</v>
      </c>
      <c r="Z83" s="3">
        <v>724.52</v>
      </c>
      <c r="AA83" s="66" t="s">
        <v>61</v>
      </c>
      <c r="AB83" s="66" t="s">
        <v>60</v>
      </c>
      <c r="AC83" s="79" t="s">
        <v>8799</v>
      </c>
      <c r="AD83" s="80" t="s">
        <v>8800</v>
      </c>
      <c r="AE83" s="49" cm="1">
        <f t="array" ref="AE83">(SUMPRODUCT((G83:J83/G$9:J$9)^G$7:J$7 * G$2:J$2) + SUMPRODUCT((N83:P83/N$9:P$9)^N$7:P$7 * N$2:P$2) + (VALUE(TRIM(MID(S83,FIND(",",S83)+1,LEN(S83))))/S$9)^S$7 * S$2 + (T83/T$9)^T$7 * T$2) * AE$9</f>
        <v>1.8917856756285762</v>
      </c>
      <c r="AF83" s="1" cm="1">
        <f t="array" ref="AF83">(SUMPRODUCT((G83:J83/G$9:J$9)^G$7:J$7 * G$3:J$3) + SUMPRODUCT((N83:P83/N$9:P$9)^N$7:P$7 * N$3:P$3) + (VALUE(TRIM(MID(S83,FIND(",",S83)+1,LEN(S83))))/S$9)^S$7 * S$3 + (T83/T$9)^T$7 * T$3) * AE$9</f>
        <v>2.459282297113234</v>
      </c>
      <c r="AG83" s="1" cm="1">
        <f t="array" ref="AG83">(SUMPRODUCT((G83:J83/G$9:J$9)^G$7:J$7 * G$4:J$4) + SUMPRODUCT((N83:P83/N$9:P$9)^N$7:P$7 * N$4:P$4) + (VALUE(TRIM(MID(S83,FIND(",",S83)+1,LEN(S83))))/S$9)^S$7 * S$4 + (T83/T$9)^T$7 * T$4) * AE$9</f>
        <v>2.6698886566402256</v>
      </c>
      <c r="AH83" s="10" cm="1">
        <f t="array" ref="AH83">(SUMPRODUCT((G83:J83/G$9:J$9)^G$7:J$7 * G$5:J$5) + SUMPRODUCT((N83:P83/N$9:P$9)^N$7:P$7 * N$5:P$5) + (VALUE(TRIM(MID(S83,FIND(",",S83)+1,LEN(S83))))/S$9)^S$7 * S$5 + (T83/T$9)^T$7 * T$5) * AE$9</f>
        <v>2.459282297113234</v>
      </c>
      <c r="AI83" s="50" cm="1">
        <f t="array" ref="AI83">SUMPRODUCT(AE83:AH83 * AE$3:AH$3) / SUM(AE$3:AH$3)</f>
        <v>2.3607225166978503</v>
      </c>
      <c r="AJ83" s="12"/>
    </row>
    <row r="84" spans="1:36" s="83" customFormat="1" x14ac:dyDescent="0.25">
      <c r="A84" s="5" t="s">
        <v>57</v>
      </c>
      <c r="B84" s="16" t="s">
        <v>59</v>
      </c>
      <c r="C84" s="4" t="s">
        <v>428</v>
      </c>
      <c r="D84" s="90" t="s">
        <v>9093</v>
      </c>
      <c r="E84" s="75" t="s">
        <v>436</v>
      </c>
      <c r="F84" s="4" t="s">
        <v>9074</v>
      </c>
      <c r="G84" s="9">
        <v>16</v>
      </c>
      <c r="H84" s="3">
        <v>24</v>
      </c>
      <c r="I84" s="1">
        <v>3.2</v>
      </c>
      <c r="J84" s="1">
        <v>5.2</v>
      </c>
      <c r="K84" s="11" t="s">
        <v>352</v>
      </c>
      <c r="L84" s="85" t="s">
        <v>17</v>
      </c>
      <c r="M84" s="4" t="s">
        <v>165</v>
      </c>
      <c r="N84" s="2">
        <v>14</v>
      </c>
      <c r="O84" s="2">
        <v>30</v>
      </c>
      <c r="P84" s="12">
        <v>125</v>
      </c>
      <c r="Q84" s="12" t="s">
        <v>408</v>
      </c>
      <c r="R84" s="12">
        <v>128</v>
      </c>
      <c r="S84" s="12" t="s">
        <v>412</v>
      </c>
      <c r="T84" s="12">
        <v>2</v>
      </c>
      <c r="U84" s="12" t="s">
        <v>2285</v>
      </c>
      <c r="V84" s="75" t="s">
        <v>418</v>
      </c>
      <c r="W84" s="75">
        <v>4</v>
      </c>
      <c r="X84" s="12">
        <v>8</v>
      </c>
      <c r="Y84" s="9">
        <v>347.41</v>
      </c>
      <c r="Z84" s="3">
        <v>1483.41</v>
      </c>
      <c r="AA84" s="66" t="s">
        <v>58</v>
      </c>
      <c r="AB84" s="66" t="s">
        <v>57</v>
      </c>
      <c r="AC84" s="79" t="s">
        <v>8799</v>
      </c>
      <c r="AD84" s="80" t="s">
        <v>8802</v>
      </c>
      <c r="AE84" s="49" cm="1">
        <f t="array" ref="AE84">(SUMPRODUCT((G84:J84/G$9:J$9)^G$7:J$7 * G$2:J$2) + SUMPRODUCT((N84:P84/N$9:P$9)^N$7:P$7 * N$2:P$2) + (VALUE(TRIM(MID(S84,FIND(",",S84)+1,LEN(S84))))/S$9)^S$7 * S$2 + (T84/T$9)^T$7 * T$2) * AE$9</f>
        <v>1.9098490820902372</v>
      </c>
      <c r="AF84" s="1" cm="1">
        <f t="array" ref="AF84">(SUMPRODUCT((G84:J84/G$9:J$9)^G$7:J$7 * G$3:J$3) + SUMPRODUCT((N84:P84/N$9:P$9)^N$7:P$7 * N$3:P$3) + (VALUE(TRIM(MID(S84,FIND(",",S84)+1,LEN(S84))))/S$9)^S$7 * S$3 + (T84/T$9)^T$7 * T$3) * AE$9</f>
        <v>2.4677187622488264</v>
      </c>
      <c r="AG84" s="1" cm="1">
        <f t="array" ref="AG84">(SUMPRODUCT((G84:J84/G$9:J$9)^G$7:J$7 * G$4:J$4) + SUMPRODUCT((N84:P84/N$9:P$9)^N$7:P$7 * N$4:P$4) + (VALUE(TRIM(MID(S84,FIND(",",S84)+1,LEN(S84))))/S$9)^S$7 * S$4 + (T84/T$9)^T$7 * T$4) * AE$9</f>
        <v>2.6671346455853415</v>
      </c>
      <c r="AH84" s="10" cm="1">
        <f t="array" ref="AH84">(SUMPRODUCT((G84:J84/G$9:J$9)^G$7:J$7 * G$5:J$5) + SUMPRODUCT((N84:P84/N$9:P$9)^N$7:P$7 * N$5:P$5) + (VALUE(TRIM(MID(S84,FIND(",",S84)+1,LEN(S84))))/S$9)^S$7 * S$5 + (T84/T$9)^T$7 * T$5) * AE$9</f>
        <v>2.4677187622488264</v>
      </c>
      <c r="AI84" s="50" cm="1">
        <f t="array" ref="AI84">SUMPRODUCT(AE84:AH84 * AE$3:AH$3) / SUM(AE$3:AH$3)</f>
        <v>2.3696589719563081</v>
      </c>
      <c r="AJ84" s="12"/>
    </row>
    <row r="85" spans="1:36" s="83" customFormat="1" x14ac:dyDescent="0.25">
      <c r="A85" s="5" t="s">
        <v>54</v>
      </c>
      <c r="B85" s="16" t="s">
        <v>56</v>
      </c>
      <c r="C85" s="4" t="s">
        <v>428</v>
      </c>
      <c r="D85" s="90" t="s">
        <v>9093</v>
      </c>
      <c r="E85" s="75" t="s">
        <v>436</v>
      </c>
      <c r="F85" s="4" t="s">
        <v>9074</v>
      </c>
      <c r="G85" s="9">
        <v>16</v>
      </c>
      <c r="H85" s="75">
        <v>24</v>
      </c>
      <c r="I85" s="1">
        <v>3.2</v>
      </c>
      <c r="J85" s="1">
        <v>5.2</v>
      </c>
      <c r="K85" s="11" t="s">
        <v>352</v>
      </c>
      <c r="L85" s="85" t="s">
        <v>17</v>
      </c>
      <c r="M85" s="4" t="s">
        <v>165</v>
      </c>
      <c r="N85" s="2">
        <v>14</v>
      </c>
      <c r="O85" s="2">
        <v>30</v>
      </c>
      <c r="P85" s="12">
        <v>125</v>
      </c>
      <c r="Q85" s="12" t="s">
        <v>408</v>
      </c>
      <c r="R85" s="12">
        <v>128</v>
      </c>
      <c r="S85" s="12" t="s">
        <v>412</v>
      </c>
      <c r="T85" s="12">
        <v>2</v>
      </c>
      <c r="U85" s="12" t="s">
        <v>2285</v>
      </c>
      <c r="V85" s="75" t="s">
        <v>418</v>
      </c>
      <c r="W85" s="75">
        <v>4</v>
      </c>
      <c r="X85" s="12">
        <v>8</v>
      </c>
      <c r="Y85" s="9">
        <v>328.36</v>
      </c>
      <c r="Z85" s="3">
        <v>1386.28</v>
      </c>
      <c r="AA85" s="66" t="s">
        <v>55</v>
      </c>
      <c r="AB85" s="66" t="s">
        <v>54</v>
      </c>
      <c r="AC85" s="79" t="s">
        <v>8799</v>
      </c>
      <c r="AD85" s="80" t="s">
        <v>8802</v>
      </c>
      <c r="AE85" s="49" cm="1">
        <f t="array" ref="AE85">(SUMPRODUCT((G85:J85/G$9:J$9)^G$7:J$7 * G$2:J$2) + SUMPRODUCT((N85:P85/N$9:P$9)^N$7:P$7 * N$2:P$2) + (VALUE(TRIM(MID(S85,FIND(",",S85)+1,LEN(S85))))/S$9)^S$7 * S$2 + (T85/T$9)^T$7 * T$2) * AE$9</f>
        <v>1.9098490820902372</v>
      </c>
      <c r="AF85" s="1" cm="1">
        <f t="array" ref="AF85">(SUMPRODUCT((G85:J85/G$9:J$9)^G$7:J$7 * G$3:J$3) + SUMPRODUCT((N85:P85/N$9:P$9)^N$7:P$7 * N$3:P$3) + (VALUE(TRIM(MID(S85,FIND(",",S85)+1,LEN(S85))))/S$9)^S$7 * S$3 + (T85/T$9)^T$7 * T$3) * AE$9</f>
        <v>2.4677187622488264</v>
      </c>
      <c r="AG85" s="1" cm="1">
        <f t="array" ref="AG85">(SUMPRODUCT((G85:J85/G$9:J$9)^G$7:J$7 * G$4:J$4) + SUMPRODUCT((N85:P85/N$9:P$9)^N$7:P$7 * N$4:P$4) + (VALUE(TRIM(MID(S85,FIND(",",S85)+1,LEN(S85))))/S$9)^S$7 * S$4 + (T85/T$9)^T$7 * T$4) * AE$9</f>
        <v>2.6671346455853415</v>
      </c>
      <c r="AH85" s="10" cm="1">
        <f t="array" ref="AH85">(SUMPRODUCT((G85:J85/G$9:J$9)^G$7:J$7 * G$5:J$5) + SUMPRODUCT((N85:P85/N$9:P$9)^N$7:P$7 * N$5:P$5) + (VALUE(TRIM(MID(S85,FIND(",",S85)+1,LEN(S85))))/S$9)^S$7 * S$5 + (T85/T$9)^T$7 * T$5) * AE$9</f>
        <v>2.4677187622488264</v>
      </c>
      <c r="AI85" s="50" cm="1">
        <f t="array" ref="AI85">SUMPRODUCT(AE85:AH85 * AE$3:AH$3) / SUM(AE$3:AH$3)</f>
        <v>2.3696589719563081</v>
      </c>
      <c r="AJ85" s="12"/>
    </row>
    <row r="86" spans="1:36" s="83" customFormat="1" x14ac:dyDescent="0.25">
      <c r="A86" s="5" t="s">
        <v>51</v>
      </c>
      <c r="B86" s="16" t="s">
        <v>53</v>
      </c>
      <c r="C86" s="4" t="s">
        <v>428</v>
      </c>
      <c r="D86" s="90" t="s">
        <v>9093</v>
      </c>
      <c r="E86" s="75" t="s">
        <v>436</v>
      </c>
      <c r="F86" s="4" t="s">
        <v>9074</v>
      </c>
      <c r="G86" s="9">
        <v>16</v>
      </c>
      <c r="H86" s="3">
        <v>24</v>
      </c>
      <c r="I86" s="1">
        <v>3.4</v>
      </c>
      <c r="J86" s="1">
        <v>5.5</v>
      </c>
      <c r="K86" s="11" t="s">
        <v>352</v>
      </c>
      <c r="L86" s="85" t="s">
        <v>17</v>
      </c>
      <c r="M86" s="4" t="s">
        <v>165</v>
      </c>
      <c r="N86" s="2">
        <v>14</v>
      </c>
      <c r="O86" s="2">
        <v>30</v>
      </c>
      <c r="P86" s="12">
        <v>150</v>
      </c>
      <c r="Q86" s="12" t="s">
        <v>408</v>
      </c>
      <c r="R86" s="12">
        <v>128</v>
      </c>
      <c r="S86" s="12" t="s">
        <v>412</v>
      </c>
      <c r="T86" s="12">
        <v>2</v>
      </c>
      <c r="U86" s="12" t="s">
        <v>2285</v>
      </c>
      <c r="V86" s="75" t="s">
        <v>418</v>
      </c>
      <c r="W86" s="75">
        <v>4</v>
      </c>
      <c r="X86" s="12">
        <v>8</v>
      </c>
      <c r="Y86" s="9">
        <v>459.9</v>
      </c>
      <c r="Z86" s="3">
        <v>743.8</v>
      </c>
      <c r="AA86" s="66" t="s">
        <v>52</v>
      </c>
      <c r="AB86" s="66" t="s">
        <v>51</v>
      </c>
      <c r="AC86" s="79" t="s">
        <v>8799</v>
      </c>
      <c r="AD86" s="80" t="s">
        <v>8802</v>
      </c>
      <c r="AE86" s="49" cm="1">
        <f t="array" ref="AE86">(SUMPRODUCT((G86:J86/G$9:J$9)^G$7:J$7 * G$2:J$2) + SUMPRODUCT((N86:P86/N$9:P$9)^N$7:P$7 * N$2:P$2) + (VALUE(TRIM(MID(S86,FIND(",",S86)+1,LEN(S86))))/S$9)^S$7 * S$2 + (T86/T$9)^T$7 * T$2) * AE$9</f>
        <v>1.9314232582985387</v>
      </c>
      <c r="AF86" s="1" cm="1">
        <f t="array" ref="AF86">(SUMPRODUCT((G86:J86/G$9:J$9)^G$7:J$7 * G$3:J$3) + SUMPRODUCT((N86:P86/N$9:P$9)^N$7:P$7 * N$3:P$3) + (VALUE(TRIM(MID(S86,FIND(",",S86)+1,LEN(S86))))/S$9)^S$7 * S$3 + (T86/T$9)^T$7 * T$3) * AE$9</f>
        <v>2.4767201360672626</v>
      </c>
      <c r="AG86" s="1" cm="1">
        <f t="array" ref="AG86">(SUMPRODUCT((G86:J86/G$9:J$9)^G$7:J$7 * G$4:J$4) + SUMPRODUCT((N86:P86/N$9:P$9)^N$7:P$7 * N$4:P$4) + (VALUE(TRIM(MID(S86,FIND(",",S86)+1,LEN(S86))))/S$9)^S$7 * S$4 + (T86/T$9)^T$7 * T$4) * AE$9</f>
        <v>2.6700645908323493</v>
      </c>
      <c r="AH86" s="10" cm="1">
        <f t="array" ref="AH86">(SUMPRODUCT((G86:J86/G$9:J$9)^G$7:J$7 * G$5:J$5) + SUMPRODUCT((N86:P86/N$9:P$9)^N$7:P$7 * N$5:P$5) + (VALUE(TRIM(MID(S86,FIND(",",S86)+1,LEN(S86))))/S$9)^S$7 * S$5 + (T86/T$9)^T$7 * T$5) * AE$9</f>
        <v>2.4767201360672626</v>
      </c>
      <c r="AI86" s="50" cm="1">
        <f t="array" ref="AI86">SUMPRODUCT(AE86:AH86 * AE$3:AH$3) / SUM(AE$3:AH$3)</f>
        <v>2.3806276957768011</v>
      </c>
      <c r="AJ86" s="12"/>
    </row>
    <row r="87" spans="1:36" x14ac:dyDescent="0.25">
      <c r="A87" s="5" t="s">
        <v>206</v>
      </c>
      <c r="B87" s="16" t="s">
        <v>208</v>
      </c>
      <c r="C87" s="4" t="s">
        <v>428</v>
      </c>
      <c r="D87" s="90" t="s">
        <v>9094</v>
      </c>
      <c r="E87" s="75" t="s">
        <v>433</v>
      </c>
      <c r="F87" s="4" t="s">
        <v>9075</v>
      </c>
      <c r="G87" s="9">
        <v>4</v>
      </c>
      <c r="H87" s="3">
        <v>8</v>
      </c>
      <c r="I87" s="1">
        <v>3.4</v>
      </c>
      <c r="J87" s="1">
        <v>4.5</v>
      </c>
      <c r="K87" s="11" t="s">
        <v>352</v>
      </c>
      <c r="L87" s="85" t="s">
        <v>17</v>
      </c>
      <c r="M87" s="4" t="s">
        <v>165</v>
      </c>
      <c r="N87" s="2">
        <v>5</v>
      </c>
      <c r="O87" s="2">
        <v>12</v>
      </c>
      <c r="P87" s="12">
        <v>60</v>
      </c>
      <c r="Q87" s="12" t="s">
        <v>408</v>
      </c>
      <c r="R87" s="12">
        <v>192</v>
      </c>
      <c r="S87" s="12" t="s">
        <v>412</v>
      </c>
      <c r="T87" s="12">
        <v>2</v>
      </c>
      <c r="U87" s="12" t="s">
        <v>2285</v>
      </c>
      <c r="V87" s="75" t="s">
        <v>418</v>
      </c>
      <c r="W87" s="75">
        <v>4</v>
      </c>
      <c r="X87" s="12">
        <v>8</v>
      </c>
      <c r="Y87" s="9">
        <v>124.99</v>
      </c>
      <c r="Z87" s="3">
        <v>256</v>
      </c>
      <c r="AA87" s="66" t="s">
        <v>207</v>
      </c>
      <c r="AB87" s="66" t="s">
        <v>206</v>
      </c>
      <c r="AC87" s="79" t="s">
        <v>8799</v>
      </c>
      <c r="AD87" s="80" t="s">
        <v>8800</v>
      </c>
      <c r="AE87" s="49" cm="1">
        <f t="array" ref="AE87">(SUMPRODUCT((G87:J87/G$9:J$9)^G$7:J$7 * G$2:J$2) + SUMPRODUCT((N87:P87/N$9:P$9)^N$7:P$7 * N$2:P$2) + (VALUE(TRIM(MID(S87,FIND(",",S87)+1,LEN(S87))))/S$9)^S$7 * S$2 + (T87/T$9)^T$7 * T$2) * AE$9</f>
        <v>1.1007358424751095</v>
      </c>
      <c r="AF87" s="1" cm="1">
        <f t="array" ref="AF87">(SUMPRODUCT((G87:J87/G$9:J$9)^G$7:J$7 * G$3:J$3) + SUMPRODUCT((N87:P87/N$9:P$9)^N$7:P$7 * N$3:P$3) + (VALUE(TRIM(MID(S87,FIND(",",S87)+1,LEN(S87))))/S$9)^S$7 * S$3 + (T87/T$9)^T$7 * T$3) * AE$9</f>
        <v>1.1762071510605343</v>
      </c>
      <c r="AG87" s="1" cm="1">
        <f t="array" ref="AG87">(SUMPRODUCT((G87:J87/G$9:J$9)^G$7:J$7 * G$4:J$4) + SUMPRODUCT((N87:P87/N$9:P$9)^N$7:P$7 * N$4:P$4) + (VALUE(TRIM(MID(S87,FIND(",",S87)+1,LEN(S87))))/S$9)^S$7 * S$4 + (T87/T$9)^T$7 * T$4) * AE$9</f>
        <v>1.1801357224891056</v>
      </c>
      <c r="AH87" s="10" cm="1">
        <f t="array" ref="AH87">(SUMPRODUCT((G87:J87/G$9:J$9)^G$7:J$7 * G$5:J$5) + SUMPRODUCT((N87:P87/N$9:P$9)^N$7:P$7 * N$5:P$5) + (VALUE(TRIM(MID(S87,FIND(",",S87)+1,LEN(S87))))/S$9)^S$7 * S$5 + (T87/T$9)^T$7 * T$5) * AE$9</f>
        <v>1.1762071510605343</v>
      </c>
      <c r="AI87" s="50" cm="1">
        <f t="array" ref="AI87">SUMPRODUCT(AE87:AH87 * AE$3:AH$3) / SUM(AE$3:AH$3)</f>
        <v>1.1593950908375241</v>
      </c>
    </row>
    <row r="88" spans="1:36" x14ac:dyDescent="0.25">
      <c r="A88" s="5" t="s">
        <v>203</v>
      </c>
      <c r="B88" s="16" t="s">
        <v>205</v>
      </c>
      <c r="C88" s="4" t="s">
        <v>428</v>
      </c>
      <c r="D88" s="90" t="s">
        <v>9094</v>
      </c>
      <c r="E88" s="75" t="s">
        <v>433</v>
      </c>
      <c r="F88" s="4" t="s">
        <v>9075</v>
      </c>
      <c r="G88" s="9">
        <v>4</v>
      </c>
      <c r="H88" s="75">
        <v>8</v>
      </c>
      <c r="I88" s="1">
        <v>3.4</v>
      </c>
      <c r="J88" s="1">
        <v>4.5</v>
      </c>
      <c r="K88" s="11" t="s">
        <v>352</v>
      </c>
      <c r="L88" s="85" t="s">
        <v>17</v>
      </c>
      <c r="M88" s="4" t="s">
        <v>165</v>
      </c>
      <c r="N88" s="2">
        <v>5</v>
      </c>
      <c r="O88" s="2">
        <v>12</v>
      </c>
      <c r="P88" s="12">
        <v>58</v>
      </c>
      <c r="Q88" s="12" t="s">
        <v>408</v>
      </c>
      <c r="R88" s="12">
        <v>192</v>
      </c>
      <c r="S88" s="12" t="s">
        <v>412</v>
      </c>
      <c r="T88" s="12">
        <v>2</v>
      </c>
      <c r="U88" s="12" t="s">
        <v>2285</v>
      </c>
      <c r="V88" s="75" t="s">
        <v>418</v>
      </c>
      <c r="W88" s="75">
        <v>4</v>
      </c>
      <c r="X88" s="12">
        <v>8</v>
      </c>
      <c r="Y88" s="9">
        <v>85.63</v>
      </c>
      <c r="Z88" s="3">
        <v>159.77000000000001</v>
      </c>
      <c r="AA88" s="66" t="s">
        <v>204</v>
      </c>
      <c r="AB88" s="66" t="s">
        <v>203</v>
      </c>
      <c r="AC88" s="79" t="s">
        <v>8799</v>
      </c>
      <c r="AD88" s="80" t="s">
        <v>8800</v>
      </c>
      <c r="AE88" s="49" cm="1">
        <f t="array" ref="AE88">(SUMPRODUCT((G88:J88/G$9:J$9)^G$7:J$7 * G$2:J$2) + SUMPRODUCT((N88:P88/N$9:P$9)^N$7:P$7 * N$2:P$2) + (VALUE(TRIM(MID(S88,FIND(",",S88)+1,LEN(S88))))/S$9)^S$7 * S$2 + (T88/T$9)^T$7 * T$2) * AE$9</f>
        <v>1.102515173074277</v>
      </c>
      <c r="AF88" s="1" cm="1">
        <f t="array" ref="AF88">(SUMPRODUCT((G88:J88/G$9:J$9)^G$7:J$7 * G$3:J$3) + SUMPRODUCT((N88:P88/N$9:P$9)^N$7:P$7 * N$3:P$3) + (VALUE(TRIM(MID(S88,FIND(",",S88)+1,LEN(S88))))/S$9)^S$7 * S$3 + (T88/T$9)^T$7 * T$3) * AE$9</f>
        <v>1.1770968163601181</v>
      </c>
      <c r="AG88" s="1" cm="1">
        <f t="array" ref="AG88">(SUMPRODUCT((G88:J88/G$9:J$9)^G$7:J$7 * G$4:J$4) + SUMPRODUCT((N88:P88/N$9:P$9)^N$7:P$7 * N$4:P$4) + (VALUE(TRIM(MID(S88,FIND(",",S88)+1,LEN(S88))))/S$9)^S$7 * S$4 + (T88/T$9)^T$7 * T$4) * AE$9</f>
        <v>1.1810253877886894</v>
      </c>
      <c r="AH88" s="10" cm="1">
        <f t="array" ref="AH88">(SUMPRODUCT((G88:J88/G$9:J$9)^G$7:J$7 * G$5:J$5) + SUMPRODUCT((N88:P88/N$9:P$9)^N$7:P$7 * N$5:P$5) + (VALUE(TRIM(MID(S88,FIND(",",S88)+1,LEN(S88))))/S$9)^S$7 * S$5 + (T88/T$9)^T$7 * T$5) * AE$9</f>
        <v>1.1770968163601181</v>
      </c>
      <c r="AI88" s="50" cm="1">
        <f t="array" ref="AI88">SUMPRODUCT(AE88:AH88 * AE$3:AH$3) / SUM(AE$3:AH$3)</f>
        <v>1.160490063513935</v>
      </c>
    </row>
    <row r="89" spans="1:36" x14ac:dyDescent="0.25">
      <c r="A89" s="5" t="s">
        <v>200</v>
      </c>
      <c r="B89" s="16" t="s">
        <v>202</v>
      </c>
      <c r="C89" s="4" t="s">
        <v>428</v>
      </c>
      <c r="D89" s="90" t="s">
        <v>9094</v>
      </c>
      <c r="E89" s="75" t="s">
        <v>433</v>
      </c>
      <c r="F89" s="4" t="s">
        <v>9075</v>
      </c>
      <c r="G89" s="9">
        <v>4</v>
      </c>
      <c r="H89" s="3">
        <v>8</v>
      </c>
      <c r="I89" s="1">
        <v>2.5</v>
      </c>
      <c r="J89" s="1">
        <v>4.2</v>
      </c>
      <c r="K89" s="11" t="s">
        <v>352</v>
      </c>
      <c r="L89" s="85" t="s">
        <v>17</v>
      </c>
      <c r="M89" s="4" t="s">
        <v>165</v>
      </c>
      <c r="N89" s="2">
        <v>5</v>
      </c>
      <c r="O89" s="2">
        <v>12</v>
      </c>
      <c r="P89" s="12">
        <v>35</v>
      </c>
      <c r="Q89" s="12" t="s">
        <v>408</v>
      </c>
      <c r="R89" s="12">
        <v>192</v>
      </c>
      <c r="S89" s="12" t="s">
        <v>412</v>
      </c>
      <c r="T89" s="12">
        <v>2</v>
      </c>
      <c r="U89" s="12" t="s">
        <v>2285</v>
      </c>
      <c r="V89" s="75" t="s">
        <v>418</v>
      </c>
      <c r="W89" s="75">
        <v>4</v>
      </c>
      <c r="X89" s="12">
        <v>8</v>
      </c>
      <c r="Y89" s="9">
        <v>153.88999999999999</v>
      </c>
      <c r="Z89" s="3">
        <v>194.9</v>
      </c>
      <c r="AA89" s="66" t="s">
        <v>201</v>
      </c>
      <c r="AB89" s="66" t="s">
        <v>200</v>
      </c>
      <c r="AC89" s="79" t="s">
        <v>8801</v>
      </c>
      <c r="AD89" s="80" t="s">
        <v>8802</v>
      </c>
      <c r="AE89" s="49" cm="1">
        <f t="array" ref="AE89">(SUMPRODUCT((G89:J89/G$9:J$9)^G$7:J$7 * G$2:J$2) + SUMPRODUCT((N89:P89/N$9:P$9)^N$7:P$7 * N$2:P$2) + (VALUE(TRIM(MID(S89,FIND(",",S89)+1,LEN(S89))))/S$9)^S$7 * S$2 + (T89/T$9)^T$7 * T$2) * AE$9</f>
        <v>1.0700724284185092</v>
      </c>
      <c r="AF89" s="1" cm="1">
        <f t="array" ref="AF89">(SUMPRODUCT((G89:J89/G$9:J$9)^G$7:J$7 * G$3:J$3) + SUMPRODUCT((N89:P89/N$9:P$9)^N$7:P$7 * N$3:P$3) + (VALUE(TRIM(MID(S89,FIND(",",S89)+1,LEN(S89))))/S$9)^S$7 * S$3 + (T89/T$9)^T$7 * T$3) * AE$9</f>
        <v>1.1626611583179487</v>
      </c>
      <c r="AG89" s="1" cm="1">
        <f t="array" ref="AG89">(SUMPRODUCT((G89:J89/G$9:J$9)^G$7:J$7 * G$4:J$4) + SUMPRODUCT((N89:P89/N$9:P$9)^N$7:P$7 * N$4:P$4) + (VALUE(TRIM(MID(S89,FIND(",",S89)+1,LEN(S89))))/S$9)^S$7 * S$4 + (T89/T$9)^T$7 * T$4) * AE$9</f>
        <v>1.1814111583179485</v>
      </c>
      <c r="AH89" s="10" cm="1">
        <f t="array" ref="AH89">(SUMPRODUCT((G89:J89/G$9:J$9)^G$7:J$7 * G$5:J$5) + SUMPRODUCT((N89:P89/N$9:P$9)^N$7:P$7 * N$5:P$5) + (VALUE(TRIM(MID(S89,FIND(",",S89)+1,LEN(S89))))/S$9)^S$7 * S$5 + (T89/T$9)^T$7 * T$5) * AE$9</f>
        <v>1.1626611583179487</v>
      </c>
      <c r="AI89" s="50" cm="1">
        <f t="array" ref="AI89">SUMPRODUCT(AE89:AH89 * AE$3:AH$3) / SUM(AE$3:AH$3)</f>
        <v>1.1441791437257705</v>
      </c>
    </row>
    <row r="90" spans="1:36" s="83" customFormat="1" x14ac:dyDescent="0.25">
      <c r="A90" s="5" t="s">
        <v>159</v>
      </c>
      <c r="B90" s="16" t="s">
        <v>161</v>
      </c>
      <c r="C90" s="4" t="s">
        <v>428</v>
      </c>
      <c r="D90" s="90" t="s">
        <v>9095</v>
      </c>
      <c r="E90" s="75" t="s">
        <v>434</v>
      </c>
      <c r="F90" s="4" t="s">
        <v>9075</v>
      </c>
      <c r="G90" s="9">
        <v>10</v>
      </c>
      <c r="H90" s="3">
        <v>16</v>
      </c>
      <c r="I90" s="1">
        <v>2.5</v>
      </c>
      <c r="J90" s="1">
        <v>4.5999999999999996</v>
      </c>
      <c r="K90" s="11" t="s">
        <v>352</v>
      </c>
      <c r="L90" s="85" t="s">
        <v>17</v>
      </c>
      <c r="M90" s="4" t="s">
        <v>401</v>
      </c>
      <c r="N90" s="2">
        <v>9.5</v>
      </c>
      <c r="O90" s="2">
        <v>20</v>
      </c>
      <c r="P90" s="12">
        <v>65</v>
      </c>
      <c r="Q90" s="12" t="s">
        <v>408</v>
      </c>
      <c r="R90" s="12">
        <v>192</v>
      </c>
      <c r="S90" s="12" t="s">
        <v>412</v>
      </c>
      <c r="T90" s="12">
        <v>2</v>
      </c>
      <c r="U90" s="12" t="s">
        <v>2285</v>
      </c>
      <c r="V90" s="75" t="s">
        <v>418</v>
      </c>
      <c r="W90" s="75">
        <v>4</v>
      </c>
      <c r="X90" s="12">
        <v>8</v>
      </c>
      <c r="Y90" s="9">
        <v>202.05</v>
      </c>
      <c r="Z90" s="3">
        <v>311.31</v>
      </c>
      <c r="AA90" s="66" t="s">
        <v>160</v>
      </c>
      <c r="AB90" s="66" t="s">
        <v>159</v>
      </c>
      <c r="AC90" s="79" t="s">
        <v>8801</v>
      </c>
      <c r="AD90" s="80" t="s">
        <v>8802</v>
      </c>
      <c r="AE90" s="49" cm="1">
        <f t="array" ref="AE90">(SUMPRODUCT((G90:J90/G$9:J$9)^G$7:J$7 * G$2:J$2) + SUMPRODUCT((N90:P90/N$9:P$9)^N$7:P$7 * N$2:P$2) + (VALUE(TRIM(MID(S90,FIND(",",S90)+1,LEN(S90))))/S$9)^S$7 * S$2 + (T90/T$9)^T$7 * T$2) * AE$9</f>
        <v>1.469684441314997</v>
      </c>
      <c r="AF90" s="1" cm="1">
        <f t="array" ref="AF90">(SUMPRODUCT((G90:J90/G$9:J$9)^G$7:J$7 * G$3:J$3) + SUMPRODUCT((N90:P90/N$9:P$9)^N$7:P$7 * N$3:P$3) + (VALUE(TRIM(MID(S90,FIND(",",S90)+1,LEN(S90))))/S$9)^S$7 * S$3 + (T90/T$9)^T$7 * T$3) * AE$9</f>
        <v>1.8151835474734848</v>
      </c>
      <c r="AG90" s="1" cm="1">
        <f t="array" ref="AG90">(SUMPRODUCT((G90:J90/G$9:J$9)^G$7:J$7 * G$4:J$4) + SUMPRODUCT((N90:P90/N$9:P$9)^N$7:P$7 * N$4:P$4) + (VALUE(TRIM(MID(S90,FIND(",",S90)+1,LEN(S90))))/S$9)^S$7 * S$4 + (T90/T$9)^T$7 * T$4) * AE$9</f>
        <v>1.933352131042098</v>
      </c>
      <c r="AH90" s="10" cm="1">
        <f t="array" ref="AH90">(SUMPRODUCT((G90:J90/G$9:J$9)^G$7:J$7 * G$5:J$5) + SUMPRODUCT((N90:P90/N$9:P$9)^N$7:P$7 * N$5:P$5) + (VALUE(TRIM(MID(S90,FIND(",",S90)+1,LEN(S90))))/S$9)^S$7 * S$5 + (T90/T$9)^T$7 * T$5) * AE$9</f>
        <v>1.8151835474734848</v>
      </c>
      <c r="AI90" s="50" cm="1">
        <f t="array" ref="AI90">SUMPRODUCT(AE90:AH90 * AE$3:AH$3) / SUM(AE$3:AH$3)</f>
        <v>1.7536327666013125</v>
      </c>
      <c r="AJ90" s="12"/>
    </row>
    <row r="91" spans="1:36" s="83" customFormat="1" x14ac:dyDescent="0.25">
      <c r="A91" s="5" t="s">
        <v>156</v>
      </c>
      <c r="B91" s="16" t="s">
        <v>158</v>
      </c>
      <c r="C91" s="4" t="s">
        <v>428</v>
      </c>
      <c r="D91" s="90" t="s">
        <v>9095</v>
      </c>
      <c r="E91" s="75" t="s">
        <v>434</v>
      </c>
      <c r="F91" s="4" t="s">
        <v>9075</v>
      </c>
      <c r="G91" s="9">
        <v>10</v>
      </c>
      <c r="H91" s="75">
        <v>16</v>
      </c>
      <c r="I91" s="1">
        <v>2.5</v>
      </c>
      <c r="J91" s="1">
        <v>4.5999999999999996</v>
      </c>
      <c r="K91" s="11" t="s">
        <v>352</v>
      </c>
      <c r="L91" s="85" t="s">
        <v>17</v>
      </c>
      <c r="M91" s="4" t="s">
        <v>401</v>
      </c>
      <c r="N91" s="2">
        <v>9.5</v>
      </c>
      <c r="O91" s="2">
        <v>20</v>
      </c>
      <c r="P91" s="12">
        <v>65</v>
      </c>
      <c r="Q91" s="12" t="s">
        <v>408</v>
      </c>
      <c r="R91" s="12">
        <v>192</v>
      </c>
      <c r="S91" s="12" t="s">
        <v>412</v>
      </c>
      <c r="T91" s="12">
        <v>2</v>
      </c>
      <c r="U91" s="12" t="s">
        <v>2285</v>
      </c>
      <c r="V91" s="75" t="s">
        <v>418</v>
      </c>
      <c r="W91" s="75">
        <v>4</v>
      </c>
      <c r="X91" s="12">
        <v>8</v>
      </c>
      <c r="Y91" s="9">
        <v>120.09</v>
      </c>
      <c r="Z91" s="3">
        <v>204.9</v>
      </c>
      <c r="AA91" s="66" t="s">
        <v>157</v>
      </c>
      <c r="AB91" s="66" t="s">
        <v>156</v>
      </c>
      <c r="AC91" s="79" t="s">
        <v>8801</v>
      </c>
      <c r="AD91" s="80" t="s">
        <v>8802</v>
      </c>
      <c r="AE91" s="49" cm="1">
        <f t="array" ref="AE91">(SUMPRODUCT((G91:J91/G$9:J$9)^G$7:J$7 * G$2:J$2) + SUMPRODUCT((N91:P91/N$9:P$9)^N$7:P$7 * N$2:P$2) + (VALUE(TRIM(MID(S91,FIND(",",S91)+1,LEN(S91))))/S$9)^S$7 * S$2 + (T91/T$9)^T$7 * T$2) * AE$9</f>
        <v>1.469684441314997</v>
      </c>
      <c r="AF91" s="1" cm="1">
        <f t="array" ref="AF91">(SUMPRODUCT((G91:J91/G$9:J$9)^G$7:J$7 * G$3:J$3) + SUMPRODUCT((N91:P91/N$9:P$9)^N$7:P$7 * N$3:P$3) + (VALUE(TRIM(MID(S91,FIND(",",S91)+1,LEN(S91))))/S$9)^S$7 * S$3 + (T91/T$9)^T$7 * T$3) * AE$9</f>
        <v>1.8151835474734848</v>
      </c>
      <c r="AG91" s="1" cm="1">
        <f t="array" ref="AG91">(SUMPRODUCT((G91:J91/G$9:J$9)^G$7:J$7 * G$4:J$4) + SUMPRODUCT((N91:P91/N$9:P$9)^N$7:P$7 * N$4:P$4) + (VALUE(TRIM(MID(S91,FIND(",",S91)+1,LEN(S91))))/S$9)^S$7 * S$4 + (T91/T$9)^T$7 * T$4) * AE$9</f>
        <v>1.933352131042098</v>
      </c>
      <c r="AH91" s="10" cm="1">
        <f t="array" ref="AH91">(SUMPRODUCT((G91:J91/G$9:J$9)^G$7:J$7 * G$5:J$5) + SUMPRODUCT((N91:P91/N$9:P$9)^N$7:P$7 * N$5:P$5) + (VALUE(TRIM(MID(S91,FIND(",",S91)+1,LEN(S91))))/S$9)^S$7 * S$5 + (T91/T$9)^T$7 * T$5) * AE$9</f>
        <v>1.8151835474734848</v>
      </c>
      <c r="AI91" s="50" cm="1">
        <f t="array" ref="AI91">SUMPRODUCT(AE91:AH91 * AE$3:AH$3) / SUM(AE$3:AH$3)</f>
        <v>1.7536327666013125</v>
      </c>
      <c r="AJ91" s="12"/>
    </row>
    <row r="92" spans="1:36" s="83" customFormat="1" x14ac:dyDescent="0.25">
      <c r="A92" s="5" t="s">
        <v>153</v>
      </c>
      <c r="B92" s="16" t="s">
        <v>155</v>
      </c>
      <c r="C92" s="4" t="s">
        <v>428</v>
      </c>
      <c r="D92" s="90" t="s">
        <v>9095</v>
      </c>
      <c r="E92" s="75" t="s">
        <v>434</v>
      </c>
      <c r="F92" s="4" t="s">
        <v>9075</v>
      </c>
      <c r="G92" s="9">
        <v>14</v>
      </c>
      <c r="H92" s="3">
        <v>20</v>
      </c>
      <c r="I92" s="1">
        <v>2.5</v>
      </c>
      <c r="J92" s="1">
        <v>4.8</v>
      </c>
      <c r="K92" s="11" t="s">
        <v>352</v>
      </c>
      <c r="L92" s="85" t="s">
        <v>17</v>
      </c>
      <c r="M92" s="4" t="s">
        <v>165</v>
      </c>
      <c r="N92" s="2">
        <v>11.5</v>
      </c>
      <c r="O92" s="2">
        <v>24</v>
      </c>
      <c r="P92" s="12">
        <v>65</v>
      </c>
      <c r="Q92" s="12" t="s">
        <v>408</v>
      </c>
      <c r="R92" s="12">
        <v>192</v>
      </c>
      <c r="S92" s="12" t="s">
        <v>412</v>
      </c>
      <c r="T92" s="12">
        <v>2</v>
      </c>
      <c r="U92" s="12" t="s">
        <v>2285</v>
      </c>
      <c r="V92" s="75" t="s">
        <v>418</v>
      </c>
      <c r="W92" s="75">
        <v>4</v>
      </c>
      <c r="X92" s="12">
        <v>8</v>
      </c>
      <c r="Y92" s="9">
        <v>206.04</v>
      </c>
      <c r="Z92" s="3">
        <v>385</v>
      </c>
      <c r="AA92" s="66" t="s">
        <v>154</v>
      </c>
      <c r="AB92" s="66" t="s">
        <v>153</v>
      </c>
      <c r="AC92" s="79" t="s">
        <v>8799</v>
      </c>
      <c r="AD92" s="80" t="s">
        <v>8800</v>
      </c>
      <c r="AE92" s="49" cm="1">
        <f t="array" ref="AE92">(SUMPRODUCT((G92:J92/G$9:J$9)^G$7:J$7 * G$2:J$2) + SUMPRODUCT((N92:P92/N$9:P$9)^N$7:P$7 * N$2:P$2) + (VALUE(TRIM(MID(S92,FIND(",",S92)+1,LEN(S92))))/S$9)^S$7 * S$2 + (T92/T$9)^T$7 * T$2) * AE$9</f>
        <v>1.701655820717126</v>
      </c>
      <c r="AF92" s="1" cm="1">
        <f t="array" ref="AF92">(SUMPRODUCT((G92:J92/G$9:J$9)^G$7:J$7 * G$3:J$3) + SUMPRODUCT((N92:P92/N$9:P$9)^N$7:P$7 * N$3:P$3) + (VALUE(TRIM(MID(S92,FIND(",",S92)+1,LEN(S92))))/S$9)^S$7 * S$3 + (T92/T$9)^T$7 * T$3) * AE$9</f>
        <v>2.16305890122683</v>
      </c>
      <c r="AG92" s="1" cm="1">
        <f t="array" ref="AG92">(SUMPRODUCT((G92:J92/G$9:J$9)^G$7:J$7 * G$4:J$4) + SUMPRODUCT((N92:P92/N$9:P$9)^N$7:P$7 * N$4:P$4) + (VALUE(TRIM(MID(S92,FIND(",",S92)+1,LEN(S92))))/S$9)^S$7 * S$4 + (T92/T$9)^T$7 * T$4) * AE$9</f>
        <v>2.3380082746601065</v>
      </c>
      <c r="AH92" s="10" cm="1">
        <f t="array" ref="AH92">(SUMPRODUCT((G92:J92/G$9:J$9)^G$7:J$7 * G$5:J$5) + SUMPRODUCT((N92:P92/N$9:P$9)^N$7:P$7 * N$5:P$5) + (VALUE(TRIM(MID(S92,FIND(",",S92)+1,LEN(S92))))/S$9)^S$7 * S$5 + (T92/T$9)^T$7 * T$5) * AE$9</f>
        <v>2.16305890122683</v>
      </c>
      <c r="AI92" s="50" cm="1">
        <f t="array" ref="AI92">SUMPRODUCT(AE92:AH92 * AE$3:AH$3) / SUM(AE$3:AH$3)</f>
        <v>2.0834965554835563</v>
      </c>
      <c r="AJ92" s="12"/>
    </row>
    <row r="93" spans="1:36" s="83" customFormat="1" x14ac:dyDescent="0.25">
      <c r="A93" s="5" t="s">
        <v>150</v>
      </c>
      <c r="B93" s="16" t="s">
        <v>152</v>
      </c>
      <c r="C93" s="4" t="s">
        <v>428</v>
      </c>
      <c r="D93" s="90" t="s">
        <v>9095</v>
      </c>
      <c r="E93" s="75" t="s">
        <v>434</v>
      </c>
      <c r="F93" s="4" t="s">
        <v>9075</v>
      </c>
      <c r="G93" s="9">
        <v>14</v>
      </c>
      <c r="H93" s="3">
        <v>20</v>
      </c>
      <c r="I93" s="1">
        <v>1.6</v>
      </c>
      <c r="J93" s="1">
        <v>4.5999999999999996</v>
      </c>
      <c r="K93" s="11" t="s">
        <v>352</v>
      </c>
      <c r="L93" s="85" t="s">
        <v>17</v>
      </c>
      <c r="M93" s="4" t="s">
        <v>165</v>
      </c>
      <c r="N93" s="2">
        <v>11.5</v>
      </c>
      <c r="O93" s="2">
        <v>24</v>
      </c>
      <c r="P93" s="12">
        <v>35</v>
      </c>
      <c r="Q93" s="12" t="s">
        <v>408</v>
      </c>
      <c r="R93" s="12">
        <v>192</v>
      </c>
      <c r="S93" s="12" t="s">
        <v>412</v>
      </c>
      <c r="T93" s="12">
        <v>2</v>
      </c>
      <c r="U93" s="12" t="s">
        <v>2285</v>
      </c>
      <c r="V93" s="75" t="s">
        <v>418</v>
      </c>
      <c r="W93" s="75">
        <v>4</v>
      </c>
      <c r="X93" s="12">
        <v>8</v>
      </c>
      <c r="Y93" s="9">
        <v>254.97</v>
      </c>
      <c r="Z93" s="3">
        <v>329.9</v>
      </c>
      <c r="AA93" s="66" t="s">
        <v>151</v>
      </c>
      <c r="AB93" s="66" t="s">
        <v>150</v>
      </c>
      <c r="AC93" s="79" t="s">
        <v>8801</v>
      </c>
      <c r="AD93" s="80" t="s">
        <v>8802</v>
      </c>
      <c r="AE93" s="49" cm="1">
        <f t="array" ref="AE93">(SUMPRODUCT((G93:J93/G$9:J$9)^G$7:J$7 * G$2:J$2) + SUMPRODUCT((N93:P93/N$9:P$9)^N$7:P$7 * N$2:P$2) + (VALUE(TRIM(MID(S93,FIND(",",S93)+1,LEN(S93))))/S$9)^S$7 * S$2 + (T93/T$9)^T$7 * T$2) * AE$9</f>
        <v>1.6810280875862134</v>
      </c>
      <c r="AF93" s="1" cm="1">
        <f t="array" ref="AF93">(SUMPRODUCT((G93:J93/G$9:J$9)^G$7:J$7 * G$3:J$3) + SUMPRODUCT((N93:P93/N$9:P$9)^N$7:P$7 * N$3:P$3) + (VALUE(TRIM(MID(S93,FIND(",",S93)+1,LEN(S93))))/S$9)^S$7 * S$3 + (T93/T$9)^T$7 * T$3) * AE$9</f>
        <v>2.1539355108518499</v>
      </c>
      <c r="AG93" s="1" cm="1">
        <f t="array" ref="AG93">(SUMPRODUCT((G93:J93/G$9:J$9)^G$7:J$7 * G$4:J$4) + SUMPRODUCT((N93:P93/N$9:P$9)^N$7:P$7 * N$4:P$4) + (VALUE(TRIM(MID(S93,FIND(",",S93)+1,LEN(S93))))/S$9)^S$7 * S$4 + (T93/T$9)^T$7 * T$4) * AE$9</f>
        <v>2.3425158366660788</v>
      </c>
      <c r="AH93" s="10" cm="1">
        <f t="array" ref="AH93">(SUMPRODUCT((G93:J93/G$9:J$9)^G$7:J$7 * G$5:J$5) + SUMPRODUCT((N93:P93/N$9:P$9)^N$7:P$7 * N$5:P$5) + (VALUE(TRIM(MID(S93,FIND(",",S93)+1,LEN(S93))))/S$9)^S$7 * S$5 + (T93/T$9)^T$7 * T$5) * AE$9</f>
        <v>2.1539355108518499</v>
      </c>
      <c r="AI93" s="50" cm="1">
        <f t="array" ref="AI93">SUMPRODUCT(AE93:AH93 * AE$3:AH$3) / SUM(AE$3:AH$3)</f>
        <v>2.0738153863773539</v>
      </c>
      <c r="AJ93" s="12"/>
    </row>
    <row r="94" spans="1:36" s="83" customFormat="1" x14ac:dyDescent="0.25">
      <c r="A94" s="5" t="s">
        <v>147</v>
      </c>
      <c r="B94" s="16" t="s">
        <v>149</v>
      </c>
      <c r="C94" s="4" t="s">
        <v>428</v>
      </c>
      <c r="D94" s="90" t="s">
        <v>9095</v>
      </c>
      <c r="E94" s="75" t="s">
        <v>434</v>
      </c>
      <c r="F94" s="4" t="s">
        <v>9075</v>
      </c>
      <c r="G94" s="9">
        <v>14</v>
      </c>
      <c r="H94" s="75">
        <v>20</v>
      </c>
      <c r="I94" s="1">
        <v>2.7</v>
      </c>
      <c r="J94" s="1">
        <v>5</v>
      </c>
      <c r="K94" s="11" t="s">
        <v>352</v>
      </c>
      <c r="L94" s="85" t="s">
        <v>17</v>
      </c>
      <c r="M94" s="4" t="s">
        <v>165</v>
      </c>
      <c r="N94" s="2">
        <v>11.5</v>
      </c>
      <c r="O94" s="2">
        <v>24</v>
      </c>
      <c r="P94" s="12">
        <v>65</v>
      </c>
      <c r="Q94" s="12" t="s">
        <v>408</v>
      </c>
      <c r="R94" s="12">
        <v>192</v>
      </c>
      <c r="S94" s="12" t="s">
        <v>413</v>
      </c>
      <c r="T94" s="12">
        <v>2</v>
      </c>
      <c r="U94" s="12" t="s">
        <v>2285</v>
      </c>
      <c r="V94" s="75" t="s">
        <v>418</v>
      </c>
      <c r="W94" s="75">
        <v>4</v>
      </c>
      <c r="X94" s="12">
        <v>8</v>
      </c>
      <c r="Y94" s="9">
        <v>279</v>
      </c>
      <c r="Z94" s="3">
        <v>425</v>
      </c>
      <c r="AA94" s="66" t="s">
        <v>148</v>
      </c>
      <c r="AB94" s="66" t="s">
        <v>147</v>
      </c>
      <c r="AC94" s="79" t="s">
        <v>8801</v>
      </c>
      <c r="AD94" s="80" t="s">
        <v>8802</v>
      </c>
      <c r="AE94" s="49" cm="1">
        <f t="array" ref="AE94">(SUMPRODUCT((G94:J94/G$9:J$9)^G$7:J$7 * G$2:J$2) + SUMPRODUCT((N94:P94/N$9:P$9)^N$7:P$7 * N$2:P$2) + (VALUE(TRIM(MID(S94,FIND(",",S94)+1,LEN(S94))))/S$9)^S$7 * S$2 + (T94/T$9)^T$7 * T$2) * AE$9</f>
        <v>1.73112750752349</v>
      </c>
      <c r="AF94" s="1" cm="1">
        <f t="array" ref="AF94">(SUMPRODUCT((G94:J94/G$9:J$9)^G$7:J$7 * G$3:J$3) + SUMPRODUCT((N94:P94/N$9:P$9)^N$7:P$7 * N$3:P$3) + (VALUE(TRIM(MID(S94,FIND(",",S94)+1,LEN(S94))))/S$9)^S$7 * S$3 + (T94/T$9)^T$7 * T$3) * AE$9</f>
        <v>2.1803877308903368</v>
      </c>
      <c r="AG94" s="1" cm="1">
        <f t="array" ref="AG94">(SUMPRODUCT((G94:J94/G$9:J$9)^G$7:J$7 * G$4:J$4) + SUMPRODUCT((N94:P94/N$9:P$9)^N$7:P$7 * N$4:P$4) + (VALUE(TRIM(MID(S94,FIND(",",S94)+1,LEN(S94))))/S$9)^S$7 * S$4 + (T94/T$9)^T$7 * T$4) * AE$9</f>
        <v>2.3504561519426606</v>
      </c>
      <c r="AH94" s="10" cm="1">
        <f t="array" ref="AH94">(SUMPRODUCT((G94:J94/G$9:J$9)^G$7:J$7 * G$5:J$5) + SUMPRODUCT((N94:P94/N$9:P$9)^N$7:P$7 * N$5:P$5) + (VALUE(TRIM(MID(S94,FIND(",",S94)+1,LEN(S94))))/S$9)^S$7 * S$5 + (T94/T$9)^T$7 * T$5) * AE$9</f>
        <v>2.1803877308903368</v>
      </c>
      <c r="AI94" s="50" cm="1">
        <f t="array" ref="AI94">SUMPRODUCT(AE94:AH94 * AE$3:AH$3) / SUM(AE$3:AH$3)</f>
        <v>2.1028766671983452</v>
      </c>
      <c r="AJ94" s="12"/>
    </row>
    <row r="95" spans="1:36" s="83" customFormat="1" x14ac:dyDescent="0.25">
      <c r="A95" s="5" t="s">
        <v>144</v>
      </c>
      <c r="B95" s="16" t="s">
        <v>146</v>
      </c>
      <c r="C95" s="4" t="s">
        <v>428</v>
      </c>
      <c r="D95" s="90" t="s">
        <v>9095</v>
      </c>
      <c r="E95" s="75" t="s">
        <v>434</v>
      </c>
      <c r="F95" s="4" t="s">
        <v>9075</v>
      </c>
      <c r="G95" s="9">
        <v>14</v>
      </c>
      <c r="H95" s="3">
        <v>20</v>
      </c>
      <c r="I95" s="1">
        <v>3.5</v>
      </c>
      <c r="J95" s="1">
        <v>5.0999999999999996</v>
      </c>
      <c r="K95" s="11" t="s">
        <v>352</v>
      </c>
      <c r="L95" s="85" t="s">
        <v>17</v>
      </c>
      <c r="M95" s="4" t="s">
        <v>401</v>
      </c>
      <c r="N95" s="2">
        <v>20</v>
      </c>
      <c r="O95" s="2">
        <v>24</v>
      </c>
      <c r="P95" s="12">
        <v>125</v>
      </c>
      <c r="Q95" s="12" t="s">
        <v>408</v>
      </c>
      <c r="R95" s="12">
        <v>192</v>
      </c>
      <c r="S95" s="12" t="s">
        <v>413</v>
      </c>
      <c r="T95" s="12">
        <v>2</v>
      </c>
      <c r="U95" s="12" t="s">
        <v>2285</v>
      </c>
      <c r="V95" s="75" t="s">
        <v>418</v>
      </c>
      <c r="W95" s="75">
        <v>4</v>
      </c>
      <c r="X95" s="12">
        <v>8</v>
      </c>
      <c r="Y95" s="9">
        <v>295</v>
      </c>
      <c r="Z95" s="3">
        <v>457.09</v>
      </c>
      <c r="AA95" s="66" t="s">
        <v>145</v>
      </c>
      <c r="AB95" s="66" t="s">
        <v>144</v>
      </c>
      <c r="AC95" s="79" t="s">
        <v>8799</v>
      </c>
      <c r="AD95" s="80" t="s">
        <v>8802</v>
      </c>
      <c r="AE95" s="49" cm="1">
        <f t="array" ref="AE95">(SUMPRODUCT((G95:J95/G$9:J$9)^G$7:J$7 * G$2:J$2) + SUMPRODUCT((N95:P95/N$9:P$9)^N$7:P$7 * N$2:P$2) + (VALUE(TRIM(MID(S95,FIND(",",S95)+1,LEN(S95))))/S$9)^S$7 * S$2 + (T95/T$9)^T$7 * T$2) * AE$9</f>
        <v>1.8620393363015926</v>
      </c>
      <c r="AF95" s="1" cm="1">
        <f t="array" ref="AF95">(SUMPRODUCT((G95:J95/G$9:J$9)^G$7:J$7 * G$3:J$3) + SUMPRODUCT((N95:P95/N$9:P$9)^N$7:P$7 * N$3:P$3) + (VALUE(TRIM(MID(S95,FIND(",",S95)+1,LEN(S95))))/S$9)^S$7 * S$3 + (T95/T$9)^T$7 * T$3) * AE$9</f>
        <v>2.4145210406588125</v>
      </c>
      <c r="AG95" s="1" cm="1">
        <f t="array" ref="AG95">(SUMPRODUCT((G95:J95/G$9:J$9)^G$7:J$7 * G$4:J$4) + SUMPRODUCT((N95:P95/N$9:P$9)^N$7:P$7 * N$4:P$4) + (VALUE(TRIM(MID(S95,FIND(",",S95)+1,LEN(S95))))/S$9)^S$7 * S$4 + (T95/T$9)^T$7 * T$4) * AE$9</f>
        <v>2.5733989855206603</v>
      </c>
      <c r="AH95" s="10" cm="1">
        <f t="array" ref="AH95">(SUMPRODUCT((G95:J95/G$9:J$9)^G$7:J$7 * G$5:J$5) + SUMPRODUCT((N95:P95/N$9:P$9)^N$7:P$7 * N$5:P$5) + (VALUE(TRIM(MID(S95,FIND(",",S95)+1,LEN(S95))))/S$9)^S$7 * S$5 + (T95/T$9)^T$7 * T$5) * AE$9</f>
        <v>2.4145210406588125</v>
      </c>
      <c r="AI95" s="50" cm="1">
        <f t="array" ref="AI95">SUMPRODUCT(AE95:AH95 * AE$3:AH$3) / SUM(AE$3:AH$3)</f>
        <v>2.3114680234781995</v>
      </c>
      <c r="AJ95" s="12"/>
    </row>
    <row r="96" spans="1:36" s="83" customFormat="1" x14ac:dyDescent="0.25">
      <c r="A96" s="5" t="s">
        <v>141</v>
      </c>
      <c r="B96" s="16" t="s">
        <v>143</v>
      </c>
      <c r="C96" s="4" t="s">
        <v>428</v>
      </c>
      <c r="D96" s="90" t="s">
        <v>9095</v>
      </c>
      <c r="E96" s="75" t="s">
        <v>434</v>
      </c>
      <c r="F96" s="4" t="s">
        <v>9075</v>
      </c>
      <c r="G96" s="9">
        <v>14</v>
      </c>
      <c r="H96" s="3">
        <v>20</v>
      </c>
      <c r="I96" s="1">
        <v>3.5</v>
      </c>
      <c r="J96" s="1">
        <v>5.0999999999999996</v>
      </c>
      <c r="K96" s="11" t="s">
        <v>352</v>
      </c>
      <c r="L96" s="85" t="s">
        <v>17</v>
      </c>
      <c r="M96" s="4" t="s">
        <v>401</v>
      </c>
      <c r="N96" s="2">
        <v>20</v>
      </c>
      <c r="O96" s="2">
        <v>24</v>
      </c>
      <c r="P96" s="12">
        <v>125</v>
      </c>
      <c r="Q96" s="12" t="s">
        <v>408</v>
      </c>
      <c r="R96" s="12">
        <v>192</v>
      </c>
      <c r="S96" s="12" t="s">
        <v>413</v>
      </c>
      <c r="T96" s="12">
        <v>2</v>
      </c>
      <c r="U96" s="12" t="s">
        <v>2285</v>
      </c>
      <c r="V96" s="75" t="s">
        <v>418</v>
      </c>
      <c r="W96" s="75">
        <v>4</v>
      </c>
      <c r="X96" s="12">
        <v>8</v>
      </c>
      <c r="Y96" s="9">
        <v>218.6</v>
      </c>
      <c r="Z96" s="3">
        <v>495.34</v>
      </c>
      <c r="AA96" s="66" t="s">
        <v>142</v>
      </c>
      <c r="AB96" s="66" t="s">
        <v>141</v>
      </c>
      <c r="AC96" s="79" t="s">
        <v>8799</v>
      </c>
      <c r="AD96" s="80" t="s">
        <v>8802</v>
      </c>
      <c r="AE96" s="49" cm="1">
        <f t="array" ref="AE96">(SUMPRODUCT((G96:J96/G$9:J$9)^G$7:J$7 * G$2:J$2) + SUMPRODUCT((N96:P96/N$9:P$9)^N$7:P$7 * N$2:P$2) + (VALUE(TRIM(MID(S96,FIND(",",S96)+1,LEN(S96))))/S$9)^S$7 * S$2 + (T96/T$9)^T$7 * T$2) * AE$9</f>
        <v>1.8620393363015926</v>
      </c>
      <c r="AF96" s="1" cm="1">
        <f t="array" ref="AF96">(SUMPRODUCT((G96:J96/G$9:J$9)^G$7:J$7 * G$3:J$3) + SUMPRODUCT((N96:P96/N$9:P$9)^N$7:P$7 * N$3:P$3) + (VALUE(TRIM(MID(S96,FIND(",",S96)+1,LEN(S96))))/S$9)^S$7 * S$3 + (T96/T$9)^T$7 * T$3) * AE$9</f>
        <v>2.4145210406588125</v>
      </c>
      <c r="AG96" s="1" cm="1">
        <f t="array" ref="AG96">(SUMPRODUCT((G96:J96/G$9:J$9)^G$7:J$7 * G$4:J$4) + SUMPRODUCT((N96:P96/N$9:P$9)^N$7:P$7 * N$4:P$4) + (VALUE(TRIM(MID(S96,FIND(",",S96)+1,LEN(S96))))/S$9)^S$7 * S$4 + (T96/T$9)^T$7 * T$4) * AE$9</f>
        <v>2.5733989855206603</v>
      </c>
      <c r="AH96" s="10" cm="1">
        <f t="array" ref="AH96">(SUMPRODUCT((G96:J96/G$9:J$9)^G$7:J$7 * G$5:J$5) + SUMPRODUCT((N96:P96/N$9:P$9)^N$7:P$7 * N$5:P$5) + (VALUE(TRIM(MID(S96,FIND(",",S96)+1,LEN(S96))))/S$9)^S$7 * S$5 + (T96/T$9)^T$7 * T$5) * AE$9</f>
        <v>2.4145210406588125</v>
      </c>
      <c r="AI96" s="50" cm="1">
        <f t="array" ref="AI96">SUMPRODUCT(AE96:AH96 * AE$3:AH$3) / SUM(AE$3:AH$3)</f>
        <v>2.3114680234781995</v>
      </c>
      <c r="AJ96" s="12"/>
    </row>
    <row r="97" spans="1:36" s="83" customFormat="1" x14ac:dyDescent="0.25">
      <c r="A97" s="5" t="s">
        <v>138</v>
      </c>
      <c r="B97" s="16" t="s">
        <v>140</v>
      </c>
      <c r="C97" s="4" t="s">
        <v>428</v>
      </c>
      <c r="D97" s="90" t="s">
        <v>9095</v>
      </c>
      <c r="E97" s="75" t="s">
        <v>434</v>
      </c>
      <c r="F97" s="4" t="s">
        <v>9075</v>
      </c>
      <c r="G97" s="9">
        <v>14</v>
      </c>
      <c r="H97" s="75">
        <v>20</v>
      </c>
      <c r="I97" s="1">
        <v>1.8</v>
      </c>
      <c r="J97" s="1">
        <v>4.8</v>
      </c>
      <c r="K97" s="11" t="s">
        <v>352</v>
      </c>
      <c r="L97" s="85" t="s">
        <v>17</v>
      </c>
      <c r="M97" s="4" t="s">
        <v>165</v>
      </c>
      <c r="N97" s="2">
        <v>11.5</v>
      </c>
      <c r="O97" s="2">
        <v>24</v>
      </c>
      <c r="P97" s="12">
        <v>35</v>
      </c>
      <c r="Q97" s="12" t="s">
        <v>408</v>
      </c>
      <c r="R97" s="12">
        <v>192</v>
      </c>
      <c r="S97" s="12" t="s">
        <v>412</v>
      </c>
      <c r="T97" s="12">
        <v>2</v>
      </c>
      <c r="U97" s="12" t="s">
        <v>2285</v>
      </c>
      <c r="V97" s="75" t="s">
        <v>418</v>
      </c>
      <c r="W97" s="75">
        <v>4</v>
      </c>
      <c r="X97" s="12">
        <v>8</v>
      </c>
      <c r="Y97" s="9">
        <v>278.39999999999998</v>
      </c>
      <c r="Z97" s="3">
        <v>369.9</v>
      </c>
      <c r="AA97" s="66" t="s">
        <v>139</v>
      </c>
      <c r="AB97" s="66" t="s">
        <v>138</v>
      </c>
      <c r="AC97" s="79" t="s">
        <v>8801</v>
      </c>
      <c r="AD97" s="80" t="s">
        <v>8802</v>
      </c>
      <c r="AE97" s="49" cm="1">
        <f t="array" ref="AE97">(SUMPRODUCT((G97:J97/G$9:J$9)^G$7:J$7 * G$2:J$2) + SUMPRODUCT((N97:P97/N$9:P$9)^N$7:P$7 * N$2:P$2) + (VALUE(TRIM(MID(S97,FIND(",",S97)+1,LEN(S97))))/S$9)^S$7 * S$2 + (T97/T$9)^T$7 * T$2) * AE$9</f>
        <v>1.7029328494909755</v>
      </c>
      <c r="AF97" s="1" cm="1">
        <f t="array" ref="AF97">(SUMPRODUCT((G97:J97/G$9:J$9)^G$7:J$7 * G$3:J$3) + SUMPRODUCT((N97:P97/N$9:P$9)^N$7:P$7 * N$3:P$3) + (VALUE(TRIM(MID(S97,FIND(",",S97)+1,LEN(S97))))/S$9)^S$7 * S$3 + (T97/T$9)^T$7 * T$3) * AE$9</f>
        <v>2.1636974156137545</v>
      </c>
      <c r="AG97" s="1" cm="1">
        <f t="array" ref="AG97">(SUMPRODUCT((G97:J97/G$9:J$9)^G$7:J$7 * G$4:J$4) + SUMPRODUCT((N97:P97/N$9:P$9)^N$7:P$7 * N$4:P$4) + (VALUE(TRIM(MID(S97,FIND(",",S97)+1,LEN(S97))))/S$9)^S$7 * S$4 + (T97/T$9)^T$7 * T$4) * AE$9</f>
        <v>2.3473967890470311</v>
      </c>
      <c r="AH97" s="10" cm="1">
        <f t="array" ref="AH97">(SUMPRODUCT((G97:J97/G$9:J$9)^G$7:J$7 * G$5:J$5) + SUMPRODUCT((N97:P97/N$9:P$9)^N$7:P$7 * N$5:P$5) + (VALUE(TRIM(MID(S97,FIND(",",S97)+1,LEN(S97))))/S$9)^S$7 * S$5 + (T97/T$9)^T$7 * T$5) * AE$9</f>
        <v>2.1636974156137545</v>
      </c>
      <c r="AI97" s="50" cm="1">
        <f t="array" ref="AI97">SUMPRODUCT(AE97:AH97 * AE$3:AH$3) / SUM(AE$3:AH$3)</f>
        <v>2.0856285731905402</v>
      </c>
      <c r="AJ97" s="12"/>
    </row>
    <row r="98" spans="1:36" x14ac:dyDescent="0.25">
      <c r="A98" s="5" t="s">
        <v>93</v>
      </c>
      <c r="B98" s="16" t="s">
        <v>95</v>
      </c>
      <c r="C98" s="4" t="s">
        <v>428</v>
      </c>
      <c r="D98" s="90" t="s">
        <v>9096</v>
      </c>
      <c r="E98" s="75" t="s">
        <v>435</v>
      </c>
      <c r="F98" s="4" t="s">
        <v>9075</v>
      </c>
      <c r="G98" s="9">
        <v>16</v>
      </c>
      <c r="H98" s="3">
        <v>24</v>
      </c>
      <c r="I98" s="1">
        <v>2.1</v>
      </c>
      <c r="J98" s="1">
        <v>5.2</v>
      </c>
      <c r="K98" s="11" t="s">
        <v>352</v>
      </c>
      <c r="L98" s="85" t="s">
        <v>17</v>
      </c>
      <c r="M98" s="4" t="s">
        <v>401</v>
      </c>
      <c r="N98" s="2">
        <v>24</v>
      </c>
      <c r="O98" s="2">
        <v>30</v>
      </c>
      <c r="P98" s="12">
        <v>65</v>
      </c>
      <c r="Q98" s="12" t="s">
        <v>408</v>
      </c>
      <c r="R98" s="12">
        <v>192</v>
      </c>
      <c r="S98" s="12" t="s">
        <v>413</v>
      </c>
      <c r="T98" s="12">
        <v>2</v>
      </c>
      <c r="U98" s="12" t="s">
        <v>2285</v>
      </c>
      <c r="V98" s="75" t="s">
        <v>418</v>
      </c>
      <c r="W98" s="75">
        <v>4</v>
      </c>
      <c r="X98" s="12">
        <v>8</v>
      </c>
      <c r="Y98" s="9">
        <v>344.9</v>
      </c>
      <c r="Z98" s="3">
        <v>508.3</v>
      </c>
      <c r="AA98" s="66" t="s">
        <v>94</v>
      </c>
      <c r="AB98" s="66" t="s">
        <v>93</v>
      </c>
      <c r="AC98" s="79" t="s">
        <v>8799</v>
      </c>
      <c r="AD98" s="80" t="s">
        <v>8800</v>
      </c>
      <c r="AE98" s="49" cm="1">
        <f t="array" ref="AE98">(SUMPRODUCT((G98:J98/G$9:J$9)^G$7:J$7 * G$2:J$2) + SUMPRODUCT((N98:P98/N$9:P$9)^N$7:P$7 * N$2:P$2) + (VALUE(TRIM(MID(S98,FIND(",",S98)+1,LEN(S98))))/S$9)^S$7 * S$2 + (T98/T$9)^T$7 * T$2) * AE$9</f>
        <v>2.0181597669283144</v>
      </c>
      <c r="AF98" s="1" cm="1">
        <f t="array" ref="AF98">(SUMPRODUCT((G98:J98/G$9:J$9)^G$7:J$7 * G$3:J$3) + SUMPRODUCT((N98:P98/N$9:P$9)^N$7:P$7 * N$3:P$3) + (VALUE(TRIM(MID(S98,FIND(",",S98)+1,LEN(S98))))/S$9)^S$7 * S$3 + (T98/T$9)^T$7 * T$3) * AE$9</f>
        <v>2.7174397452872987</v>
      </c>
      <c r="AG98" s="1" cm="1">
        <f t="array" ref="AG98">(SUMPRODUCT((G98:J98/G$9:J$9)^G$7:J$7 * G$4:J$4) + SUMPRODUCT((N98:P98/N$9:P$9)^N$7:P$7 * N$4:P$4) + (VALUE(TRIM(MID(S98,FIND(",",S98)+1,LEN(S98))))/S$9)^S$7 * S$4 + (T98/T$9)^T$7 * T$4) * AE$9</f>
        <v>2.9306056286238138</v>
      </c>
      <c r="AH98" s="10" cm="1">
        <f t="array" ref="AH98">(SUMPRODUCT((G98:J98/G$9:J$9)^G$7:J$7 * G$5:J$5) + SUMPRODUCT((N98:P98/N$9:P$9)^N$7:P$7 * N$5:P$5) + (VALUE(TRIM(MID(S98,FIND(",",S98)+1,LEN(S98))))/S$9)^S$7 * S$5 + (T98/T$9)^T$7 * T$5) * AE$9</f>
        <v>2.7174397452872987</v>
      </c>
      <c r="AI98" s="50" cm="1">
        <f t="array" ref="AI98">SUMPRODUCT(AE98:AH98 * AE$3:AH$3) / SUM(AE$3:AH$3)</f>
        <v>2.5888621938716123</v>
      </c>
    </row>
    <row r="99" spans="1:36" x14ac:dyDescent="0.25">
      <c r="A99" s="5" t="s">
        <v>90</v>
      </c>
      <c r="B99" s="16" t="s">
        <v>92</v>
      </c>
      <c r="C99" s="4" t="s">
        <v>428</v>
      </c>
      <c r="D99" s="90" t="s">
        <v>9096</v>
      </c>
      <c r="E99" s="75" t="s">
        <v>435</v>
      </c>
      <c r="F99" s="4" t="s">
        <v>9075</v>
      </c>
      <c r="G99" s="9">
        <v>16</v>
      </c>
      <c r="H99" s="3">
        <v>24</v>
      </c>
      <c r="I99" s="1">
        <v>2.1</v>
      </c>
      <c r="J99" s="1">
        <v>5.2</v>
      </c>
      <c r="K99" s="11" t="s">
        <v>352</v>
      </c>
      <c r="L99" s="85" t="s">
        <v>17</v>
      </c>
      <c r="M99" s="4" t="s">
        <v>401</v>
      </c>
      <c r="N99" s="2">
        <v>24</v>
      </c>
      <c r="O99" s="2">
        <v>30</v>
      </c>
      <c r="P99" s="12">
        <v>65</v>
      </c>
      <c r="Q99" s="12" t="s">
        <v>408</v>
      </c>
      <c r="R99" s="12">
        <v>192</v>
      </c>
      <c r="S99" s="12" t="s">
        <v>413</v>
      </c>
      <c r="T99" s="12">
        <v>2</v>
      </c>
      <c r="U99" s="12" t="s">
        <v>2285</v>
      </c>
      <c r="V99" s="75" t="s">
        <v>418</v>
      </c>
      <c r="W99" s="75">
        <v>4</v>
      </c>
      <c r="X99" s="12">
        <v>8</v>
      </c>
      <c r="Y99" s="9">
        <v>327.49</v>
      </c>
      <c r="Z99" s="3">
        <v>446</v>
      </c>
      <c r="AA99" s="66" t="s">
        <v>91</v>
      </c>
      <c r="AB99" s="66" t="s">
        <v>90</v>
      </c>
      <c r="AC99" s="79" t="s">
        <v>8799</v>
      </c>
      <c r="AD99" s="80" t="s">
        <v>8800</v>
      </c>
      <c r="AE99" s="49" cm="1">
        <f t="array" ref="AE99">(SUMPRODUCT((G99:J99/G$9:J$9)^G$7:J$7 * G$2:J$2) + SUMPRODUCT((N99:P99/N$9:P$9)^N$7:P$7 * N$2:P$2) + (VALUE(TRIM(MID(S99,FIND(",",S99)+1,LEN(S99))))/S$9)^S$7 * S$2 + (T99/T$9)^T$7 * T$2) * AE$9</f>
        <v>2.0181597669283144</v>
      </c>
      <c r="AF99" s="1" cm="1">
        <f t="array" ref="AF99">(SUMPRODUCT((G99:J99/G$9:J$9)^G$7:J$7 * G$3:J$3) + SUMPRODUCT((N99:P99/N$9:P$9)^N$7:P$7 * N$3:P$3) + (VALUE(TRIM(MID(S99,FIND(",",S99)+1,LEN(S99))))/S$9)^S$7 * S$3 + (T99/T$9)^T$7 * T$3) * AE$9</f>
        <v>2.7174397452872987</v>
      </c>
      <c r="AG99" s="1" cm="1">
        <f t="array" ref="AG99">(SUMPRODUCT((G99:J99/G$9:J$9)^G$7:J$7 * G$4:J$4) + SUMPRODUCT((N99:P99/N$9:P$9)^N$7:P$7 * N$4:P$4) + (VALUE(TRIM(MID(S99,FIND(",",S99)+1,LEN(S99))))/S$9)^S$7 * S$4 + (T99/T$9)^T$7 * T$4) * AE$9</f>
        <v>2.9306056286238138</v>
      </c>
      <c r="AH99" s="10" cm="1">
        <f t="array" ref="AH99">(SUMPRODUCT((G99:J99/G$9:J$9)^G$7:J$7 * G$5:J$5) + SUMPRODUCT((N99:P99/N$9:P$9)^N$7:P$7 * N$5:P$5) + (VALUE(TRIM(MID(S99,FIND(",",S99)+1,LEN(S99))))/S$9)^S$7 * S$5 + (T99/T$9)^T$7 * T$5) * AE$9</f>
        <v>2.7174397452872987</v>
      </c>
      <c r="AI99" s="50" cm="1">
        <f t="array" ref="AI99">SUMPRODUCT(AE99:AH99 * AE$3:AH$3) / SUM(AE$3:AH$3)</f>
        <v>2.5888621938716123</v>
      </c>
    </row>
    <row r="100" spans="1:36" x14ac:dyDescent="0.25">
      <c r="A100" s="5" t="s">
        <v>87</v>
      </c>
      <c r="B100" s="16" t="s">
        <v>89</v>
      </c>
      <c r="C100" s="4" t="s">
        <v>428</v>
      </c>
      <c r="D100" s="90" t="s">
        <v>9096</v>
      </c>
      <c r="E100" s="75" t="s">
        <v>435</v>
      </c>
      <c r="F100" s="4" t="s">
        <v>9075</v>
      </c>
      <c r="G100" s="9">
        <v>16</v>
      </c>
      <c r="H100" s="75">
        <v>24</v>
      </c>
      <c r="I100" s="1">
        <v>3.4</v>
      </c>
      <c r="J100" s="1">
        <v>5.4</v>
      </c>
      <c r="K100" s="11" t="s">
        <v>352</v>
      </c>
      <c r="L100" s="85" t="s">
        <v>17</v>
      </c>
      <c r="M100" s="4" t="s">
        <v>401</v>
      </c>
      <c r="N100" s="2">
        <v>24</v>
      </c>
      <c r="O100" s="2">
        <v>30</v>
      </c>
      <c r="P100" s="12">
        <v>125</v>
      </c>
      <c r="Q100" s="12" t="s">
        <v>408</v>
      </c>
      <c r="R100" s="12">
        <v>192</v>
      </c>
      <c r="S100" s="12" t="s">
        <v>413</v>
      </c>
      <c r="T100" s="12">
        <v>2</v>
      </c>
      <c r="U100" s="12" t="s">
        <v>2285</v>
      </c>
      <c r="V100" s="75" t="s">
        <v>418</v>
      </c>
      <c r="W100" s="75">
        <v>4</v>
      </c>
      <c r="X100" s="12">
        <v>8</v>
      </c>
      <c r="Y100" s="9">
        <v>378.57</v>
      </c>
      <c r="Z100" s="3">
        <v>566</v>
      </c>
      <c r="AA100" s="66" t="s">
        <v>88</v>
      </c>
      <c r="AB100" s="66" t="s">
        <v>87</v>
      </c>
      <c r="AC100" s="79" t="s">
        <v>8799</v>
      </c>
      <c r="AD100" s="80" t="s">
        <v>8802</v>
      </c>
      <c r="AE100" s="49" cm="1">
        <f t="array" ref="AE100">(SUMPRODUCT((G100:J100/G$9:J$9)^G$7:J$7 * G$2:J$2) + SUMPRODUCT((N100:P100/N$9:P$9)^N$7:P$7 * N$2:P$2) + (VALUE(TRIM(MID(S100,FIND(",",S100)+1,LEN(S100))))/S$9)^S$7 * S$2 + (T100/T$9)^T$7 * T$2) * AE$9</f>
        <v>2.0671755543423562</v>
      </c>
      <c r="AF100" s="1" cm="1">
        <f t="array" ref="AF100">(SUMPRODUCT((G100:J100/G$9:J$9)^G$7:J$7 * G$3:J$3) + SUMPRODUCT((N100:P100/N$9:P$9)^N$7:P$7 * N$3:P$3) + (VALUE(TRIM(MID(S100,FIND(",",S100)+1,LEN(S100))))/S$9)^S$7 * S$3 + (T100/T$9)^T$7 * T$3) * AE$9</f>
        <v>2.7407571628038432</v>
      </c>
      <c r="AG100" s="1" cm="1">
        <f t="array" ref="AG100">(SUMPRODUCT((G100:J100/G$9:J$9)^G$7:J$7 * G$4:J$4) + SUMPRODUCT((N100:P100/N$9:P$9)^N$7:P$7 * N$4:P$4) + (VALUE(TRIM(MID(S100,FIND(",",S100)+1,LEN(S100))))/S$9)^S$7 * S$4 + (T100/T$9)^T$7 * T$4) * AE$9</f>
        <v>2.935292093759406</v>
      </c>
      <c r="AH100" s="10" cm="1">
        <f t="array" ref="AH100">(SUMPRODUCT((G100:J100/G$9:J$9)^G$7:J$7 * G$5:J$5) + SUMPRODUCT((N100:P100/N$9:P$9)^N$7:P$7 * N$5:P$5) + (VALUE(TRIM(MID(S100,FIND(",",S100)+1,LEN(S100))))/S$9)^S$7 * S$5 + (T100/T$9)^T$7 * T$5) * AE$9</f>
        <v>2.7407571628038432</v>
      </c>
      <c r="AI100" s="50" cm="1">
        <f t="array" ref="AI100">SUMPRODUCT(AE100:AH100 * AE$3:AH$3) / SUM(AE$3:AH$3)</f>
        <v>2.6152437040751257</v>
      </c>
    </row>
    <row r="101" spans="1:36" x14ac:dyDescent="0.25">
      <c r="A101" s="5" t="s">
        <v>84</v>
      </c>
      <c r="B101" s="16" t="s">
        <v>86</v>
      </c>
      <c r="C101" s="4" t="s">
        <v>428</v>
      </c>
      <c r="D101" s="90" t="s">
        <v>9096</v>
      </c>
      <c r="E101" s="75" t="s">
        <v>435</v>
      </c>
      <c r="F101" s="4" t="s">
        <v>9075</v>
      </c>
      <c r="G101" s="9">
        <v>16</v>
      </c>
      <c r="H101" s="3">
        <v>24</v>
      </c>
      <c r="I101" s="1">
        <v>3.4</v>
      </c>
      <c r="J101" s="1">
        <v>5.4</v>
      </c>
      <c r="K101" s="11" t="s">
        <v>352</v>
      </c>
      <c r="L101" s="85" t="s">
        <v>17</v>
      </c>
      <c r="M101" s="4" t="s">
        <v>401</v>
      </c>
      <c r="N101" s="2">
        <v>24</v>
      </c>
      <c r="O101" s="2">
        <v>30</v>
      </c>
      <c r="P101" s="12">
        <v>125</v>
      </c>
      <c r="Q101" s="12" t="s">
        <v>408</v>
      </c>
      <c r="R101" s="12">
        <v>192</v>
      </c>
      <c r="S101" s="12" t="s">
        <v>413</v>
      </c>
      <c r="T101" s="12">
        <v>2</v>
      </c>
      <c r="U101" s="12" t="s">
        <v>2285</v>
      </c>
      <c r="V101" s="75" t="s">
        <v>418</v>
      </c>
      <c r="W101" s="75">
        <v>4</v>
      </c>
      <c r="X101" s="12">
        <v>8</v>
      </c>
      <c r="Y101" s="9">
        <v>344.64</v>
      </c>
      <c r="Z101" s="3">
        <v>713.75</v>
      </c>
      <c r="AA101" s="66" t="s">
        <v>85</v>
      </c>
      <c r="AB101" s="66" t="s">
        <v>84</v>
      </c>
      <c r="AC101" s="79" t="s">
        <v>8799</v>
      </c>
      <c r="AD101" s="80" t="s">
        <v>8802</v>
      </c>
      <c r="AE101" s="49" cm="1">
        <f t="array" ref="AE101">(SUMPRODUCT((G101:J101/G$9:J$9)^G$7:J$7 * G$2:J$2) + SUMPRODUCT((N101:P101/N$9:P$9)^N$7:P$7 * N$2:P$2) + (VALUE(TRIM(MID(S101,FIND(",",S101)+1,LEN(S101))))/S$9)^S$7 * S$2 + (T101/T$9)^T$7 * T$2) * AE$9</f>
        <v>2.0671755543423562</v>
      </c>
      <c r="AF101" s="1" cm="1">
        <f t="array" ref="AF101">(SUMPRODUCT((G101:J101/G$9:J$9)^G$7:J$7 * G$3:J$3) + SUMPRODUCT((N101:P101/N$9:P$9)^N$7:P$7 * N$3:P$3) + (VALUE(TRIM(MID(S101,FIND(",",S101)+1,LEN(S101))))/S$9)^S$7 * S$3 + (T101/T$9)^T$7 * T$3) * AE$9</f>
        <v>2.7407571628038432</v>
      </c>
      <c r="AG101" s="1" cm="1">
        <f t="array" ref="AG101">(SUMPRODUCT((G101:J101/G$9:J$9)^G$7:J$7 * G$4:J$4) + SUMPRODUCT((N101:P101/N$9:P$9)^N$7:P$7 * N$4:P$4) + (VALUE(TRIM(MID(S101,FIND(",",S101)+1,LEN(S101))))/S$9)^S$7 * S$4 + (T101/T$9)^T$7 * T$4) * AE$9</f>
        <v>2.935292093759406</v>
      </c>
      <c r="AH101" s="10" cm="1">
        <f t="array" ref="AH101">(SUMPRODUCT((G101:J101/G$9:J$9)^G$7:J$7 * G$5:J$5) + SUMPRODUCT((N101:P101/N$9:P$9)^N$7:P$7 * N$5:P$5) + (VALUE(TRIM(MID(S101,FIND(",",S101)+1,LEN(S101))))/S$9)^S$7 * S$5 + (T101/T$9)^T$7 * T$5) * AE$9</f>
        <v>2.7407571628038432</v>
      </c>
      <c r="AI101" s="50" cm="1">
        <f t="array" ref="AI101">SUMPRODUCT(AE101:AH101 * AE$3:AH$3) / SUM(AE$3:AH$3)</f>
        <v>2.6152437040751257</v>
      </c>
    </row>
    <row r="102" spans="1:36" x14ac:dyDescent="0.25">
      <c r="A102" s="5" t="s">
        <v>81</v>
      </c>
      <c r="B102" s="16" t="s">
        <v>83</v>
      </c>
      <c r="C102" s="4" t="s">
        <v>428</v>
      </c>
      <c r="D102" s="90" t="s">
        <v>9096</v>
      </c>
      <c r="E102" s="75" t="s">
        <v>435</v>
      </c>
      <c r="F102" s="4" t="s">
        <v>9075</v>
      </c>
      <c r="G102" s="9">
        <v>16</v>
      </c>
      <c r="H102" s="3">
        <v>24</v>
      </c>
      <c r="I102" s="1">
        <v>1.4</v>
      </c>
      <c r="J102" s="1">
        <v>4.9000000000000004</v>
      </c>
      <c r="K102" s="11" t="s">
        <v>352</v>
      </c>
      <c r="L102" s="85" t="s">
        <v>17</v>
      </c>
      <c r="M102" s="4" t="s">
        <v>401</v>
      </c>
      <c r="N102" s="2">
        <v>24</v>
      </c>
      <c r="O102" s="2">
        <v>30</v>
      </c>
      <c r="P102" s="12">
        <v>35</v>
      </c>
      <c r="Q102" s="12" t="s">
        <v>408</v>
      </c>
      <c r="R102" s="12">
        <v>192</v>
      </c>
      <c r="S102" s="12" t="s">
        <v>413</v>
      </c>
      <c r="T102" s="12">
        <v>2</v>
      </c>
      <c r="U102" s="12" t="s">
        <v>2285</v>
      </c>
      <c r="V102" s="75" t="s">
        <v>418</v>
      </c>
      <c r="W102" s="75">
        <v>4</v>
      </c>
      <c r="X102" s="12">
        <v>8</v>
      </c>
      <c r="Y102" s="9">
        <v>446</v>
      </c>
      <c r="Z102" s="3">
        <v>571.14</v>
      </c>
      <c r="AA102" s="66" t="s">
        <v>82</v>
      </c>
      <c r="AB102" s="66" t="s">
        <v>81</v>
      </c>
      <c r="AC102" s="79" t="s">
        <v>8801</v>
      </c>
      <c r="AD102" s="80" t="s">
        <v>8802</v>
      </c>
      <c r="AE102" s="49" cm="1">
        <f t="array" ref="AE102">(SUMPRODUCT((G102:J102/G$9:J$9)^G$7:J$7 * G$2:J$2) + SUMPRODUCT((N102:P102/N$9:P$9)^N$7:P$7 * N$2:P$2) + (VALUE(TRIM(MID(S102,FIND(",",S102)+1,LEN(S102))))/S$9)^S$7 * S$2 + (T102/T$9)^T$7 * T$2) * AE$9</f>
        <v>2.0015796528450207</v>
      </c>
      <c r="AF102" s="1" cm="1">
        <f t="array" ref="AF102">(SUMPRODUCT((G102:J102/G$9:J$9)^G$7:J$7 * G$3:J$3) + SUMPRODUCT((N102:P102/N$9:P$9)^N$7:P$7 * N$3:P$3) + (VALUE(TRIM(MID(S102,FIND(",",S102)+1,LEN(S102))))/S$9)^S$7 * S$3 + (T102/T$9)^T$7 * T$3) * AE$9</f>
        <v>2.7109354025313661</v>
      </c>
      <c r="AG102" s="1" cm="1">
        <f t="array" ref="AG102">(SUMPRODUCT((G102:J102/G$9:J$9)^G$7:J$7 * G$4:J$4) + SUMPRODUCT((N102:P102/N$9:P$9)^N$7:P$7 * N$4:P$4) + (VALUE(TRIM(MID(S102,FIND(",",S102)+1,LEN(S102))))/S$9)^S$7 * S$4 + (T102/T$9)^T$7 * T$4) * AE$9</f>
        <v>2.9364227144393102</v>
      </c>
      <c r="AH102" s="10" cm="1">
        <f t="array" ref="AH102">(SUMPRODUCT((G102:J102/G$9:J$9)^G$7:J$7 * G$5:J$5) + SUMPRODUCT((N102:P102/N$9:P$9)^N$7:P$7 * N$5:P$5) + (VALUE(TRIM(MID(S102,FIND(",",S102)+1,LEN(S102))))/S$9)^S$7 * S$5 + (T102/T$9)^T$7 * T$5) * AE$9</f>
        <v>2.7109354025313661</v>
      </c>
      <c r="AI102" s="50" cm="1">
        <f t="array" ref="AI102">SUMPRODUCT(AE102:AH102 * AE$3:AH$3) / SUM(AE$3:AH$3)</f>
        <v>2.5819282775126622</v>
      </c>
    </row>
    <row r="103" spans="1:36" s="83" customFormat="1" x14ac:dyDescent="0.25">
      <c r="A103" s="5" t="s">
        <v>48</v>
      </c>
      <c r="B103" s="16" t="s">
        <v>50</v>
      </c>
      <c r="C103" s="4" t="s">
        <v>428</v>
      </c>
      <c r="D103" s="90" t="s">
        <v>9097</v>
      </c>
      <c r="E103" s="75" t="s">
        <v>436</v>
      </c>
      <c r="F103" s="4" t="s">
        <v>9075</v>
      </c>
      <c r="G103" s="9">
        <v>24</v>
      </c>
      <c r="H103" s="75">
        <v>32</v>
      </c>
      <c r="I103" s="1">
        <v>2</v>
      </c>
      <c r="J103" s="1">
        <v>5.6</v>
      </c>
      <c r="K103" s="11" t="s">
        <v>352</v>
      </c>
      <c r="L103" s="85" t="s">
        <v>17</v>
      </c>
      <c r="M103" s="4" t="s">
        <v>401</v>
      </c>
      <c r="N103" s="2">
        <v>32</v>
      </c>
      <c r="O103" s="2">
        <v>36</v>
      </c>
      <c r="P103" s="12">
        <v>65</v>
      </c>
      <c r="Q103" s="12" t="s">
        <v>408</v>
      </c>
      <c r="R103" s="12">
        <v>192</v>
      </c>
      <c r="S103" s="12" t="s">
        <v>413</v>
      </c>
      <c r="T103" s="12">
        <v>2</v>
      </c>
      <c r="U103" s="12" t="s">
        <v>2285</v>
      </c>
      <c r="V103" s="75" t="s">
        <v>418</v>
      </c>
      <c r="W103" s="75">
        <v>4</v>
      </c>
      <c r="X103" s="12">
        <v>8</v>
      </c>
      <c r="Y103" s="9">
        <v>462</v>
      </c>
      <c r="Z103" s="3">
        <v>929</v>
      </c>
      <c r="AA103" s="66" t="s">
        <v>49</v>
      </c>
      <c r="AB103" s="66" t="s">
        <v>48</v>
      </c>
      <c r="AC103" s="79" t="s">
        <v>8799</v>
      </c>
      <c r="AD103" s="80" t="s">
        <v>8800</v>
      </c>
      <c r="AE103" s="49" cm="1">
        <f t="array" ref="AE103">(SUMPRODUCT((G103:J103/G$9:J$9)^G$7:J$7 * G$2:J$2) + SUMPRODUCT((N103:P103/N$9:P$9)^N$7:P$7 * N$2:P$2) + (VALUE(TRIM(MID(S103,FIND(",",S103)+1,LEN(S103))))/S$9)^S$7 * S$2 + (T103/T$9)^T$7 * T$2) * AE$9</f>
        <v>2.4771499978819915</v>
      </c>
      <c r="AF103" s="1" cm="1">
        <f t="array" ref="AF103">(SUMPRODUCT((G103:J103/G$9:J$9)^G$7:J$7 * G$3:J$3) + SUMPRODUCT((N103:P103/N$9:P$9)^N$7:P$7 * N$3:P$3) + (VALUE(TRIM(MID(S103,FIND(",",S103)+1,LEN(S103))))/S$9)^S$7 * S$3 + (T103/T$9)^T$7 * T$3) * AE$9</f>
        <v>3.4288661666658995</v>
      </c>
      <c r="AG103" s="1" cm="1">
        <f t="array" ref="AG103">(SUMPRODUCT((G103:J103/G$9:J$9)^G$7:J$7 * G$4:J$4) + SUMPRODUCT((N103:P103/N$9:P$9)^N$7:P$7 * N$4:P$4) + (VALUE(TRIM(MID(S103,FIND(",",S103)+1,LEN(S103))))/S$9)^S$7 * S$4 + (T103/T$9)^T$7 * T$4) * AE$9</f>
        <v>3.7504376198938614</v>
      </c>
      <c r="AH103" s="10" cm="1">
        <f t="array" ref="AH103">(SUMPRODUCT((G103:J103/G$9:J$9)^G$7:J$7 * G$5:J$5) + SUMPRODUCT((N103:P103/N$9:P$9)^N$7:P$7 * N$5:P$5) + (VALUE(TRIM(MID(S103,FIND(",",S103)+1,LEN(S103))))/S$9)^S$7 * S$5 + (T103/T$9)^T$7 * T$5) * AE$9</f>
        <v>3.4288661666658995</v>
      </c>
      <c r="AI103" s="50" cm="1">
        <f t="array" ref="AI103">SUMPRODUCT(AE103:AH103 * AE$3:AH$3) / SUM(AE$3:AH$3)</f>
        <v>3.2587118897508387</v>
      </c>
      <c r="AJ103" s="12"/>
    </row>
    <row r="104" spans="1:36" s="83" customFormat="1" x14ac:dyDescent="0.25">
      <c r="A104" s="5" t="s">
        <v>45</v>
      </c>
      <c r="B104" s="16" t="s">
        <v>47</v>
      </c>
      <c r="C104" s="4" t="s">
        <v>428</v>
      </c>
      <c r="D104" s="90" t="s">
        <v>9097</v>
      </c>
      <c r="E104" s="75" t="s">
        <v>436</v>
      </c>
      <c r="F104" s="4" t="s">
        <v>9075</v>
      </c>
      <c r="G104" s="9">
        <v>24</v>
      </c>
      <c r="H104" s="3">
        <v>32</v>
      </c>
      <c r="I104" s="1">
        <v>2</v>
      </c>
      <c r="J104" s="1">
        <v>5.6</v>
      </c>
      <c r="K104" s="11" t="s">
        <v>352</v>
      </c>
      <c r="L104" s="85" t="s">
        <v>17</v>
      </c>
      <c r="M104" s="4" t="s">
        <v>401</v>
      </c>
      <c r="N104" s="2">
        <v>32</v>
      </c>
      <c r="O104" s="2">
        <v>36</v>
      </c>
      <c r="P104" s="12">
        <v>65</v>
      </c>
      <c r="Q104" s="12" t="s">
        <v>408</v>
      </c>
      <c r="R104" s="12">
        <v>192</v>
      </c>
      <c r="S104" s="12" t="s">
        <v>413</v>
      </c>
      <c r="T104" s="12">
        <v>2</v>
      </c>
      <c r="U104" s="12" t="s">
        <v>2285</v>
      </c>
      <c r="V104" s="75" t="s">
        <v>418</v>
      </c>
      <c r="W104" s="75">
        <v>4</v>
      </c>
      <c r="X104" s="12">
        <v>8</v>
      </c>
      <c r="Y104" s="9">
        <v>508.69</v>
      </c>
      <c r="Z104" s="3">
        <v>1018.66</v>
      </c>
      <c r="AA104" s="66" t="s">
        <v>46</v>
      </c>
      <c r="AB104" s="66" t="s">
        <v>45</v>
      </c>
      <c r="AC104" s="79" t="s">
        <v>8799</v>
      </c>
      <c r="AD104" s="80" t="s">
        <v>8800</v>
      </c>
      <c r="AE104" s="49" cm="1">
        <f t="array" ref="AE104">(SUMPRODUCT((G104:J104/G$9:J$9)^G$7:J$7 * G$2:J$2) + SUMPRODUCT((N104:P104/N$9:P$9)^N$7:P$7 * N$2:P$2) + (VALUE(TRIM(MID(S104,FIND(",",S104)+1,LEN(S104))))/S$9)^S$7 * S$2 + (T104/T$9)^T$7 * T$2) * AE$9</f>
        <v>2.4771499978819915</v>
      </c>
      <c r="AF104" s="1" cm="1">
        <f t="array" ref="AF104">(SUMPRODUCT((G104:J104/G$9:J$9)^G$7:J$7 * G$3:J$3) + SUMPRODUCT((N104:P104/N$9:P$9)^N$7:P$7 * N$3:P$3) + (VALUE(TRIM(MID(S104,FIND(",",S104)+1,LEN(S104))))/S$9)^S$7 * S$3 + (T104/T$9)^T$7 * T$3) * AE$9</f>
        <v>3.4288661666658995</v>
      </c>
      <c r="AG104" s="1" cm="1">
        <f t="array" ref="AG104">(SUMPRODUCT((G104:J104/G$9:J$9)^G$7:J$7 * G$4:J$4) + SUMPRODUCT((N104:P104/N$9:P$9)^N$7:P$7 * N$4:P$4) + (VALUE(TRIM(MID(S104,FIND(",",S104)+1,LEN(S104))))/S$9)^S$7 * S$4 + (T104/T$9)^T$7 * T$4) * AE$9</f>
        <v>3.7504376198938614</v>
      </c>
      <c r="AH104" s="10" cm="1">
        <f t="array" ref="AH104">(SUMPRODUCT((G104:J104/G$9:J$9)^G$7:J$7 * G$5:J$5) + SUMPRODUCT((N104:P104/N$9:P$9)^N$7:P$7 * N$5:P$5) + (VALUE(TRIM(MID(S104,FIND(",",S104)+1,LEN(S104))))/S$9)^S$7 * S$5 + (T104/T$9)^T$7 * T$5) * AE$9</f>
        <v>3.4288661666658995</v>
      </c>
      <c r="AI104" s="50" cm="1">
        <f t="array" ref="AI104">SUMPRODUCT(AE104:AH104 * AE$3:AH$3) / SUM(AE$3:AH$3)</f>
        <v>3.2587118897508387</v>
      </c>
      <c r="AJ104" s="12"/>
    </row>
    <row r="105" spans="1:36" s="83" customFormat="1" x14ac:dyDescent="0.25">
      <c r="A105" s="5" t="s">
        <v>42</v>
      </c>
      <c r="B105" s="16" t="s">
        <v>44</v>
      </c>
      <c r="C105" s="4" t="s">
        <v>428</v>
      </c>
      <c r="D105" s="90" t="s">
        <v>9097</v>
      </c>
      <c r="E105" s="75" t="s">
        <v>436</v>
      </c>
      <c r="F105" s="4" t="s">
        <v>9075</v>
      </c>
      <c r="G105" s="9">
        <v>24</v>
      </c>
      <c r="H105" s="3">
        <v>32</v>
      </c>
      <c r="I105" s="1">
        <v>3</v>
      </c>
      <c r="J105" s="1">
        <v>5.8</v>
      </c>
      <c r="K105" s="11" t="s">
        <v>352</v>
      </c>
      <c r="L105" s="85" t="s">
        <v>17</v>
      </c>
      <c r="M105" s="4" t="s">
        <v>401</v>
      </c>
      <c r="N105" s="2">
        <v>32</v>
      </c>
      <c r="O105" s="2">
        <v>36</v>
      </c>
      <c r="P105" s="12">
        <v>125</v>
      </c>
      <c r="Q105" s="12" t="s">
        <v>408</v>
      </c>
      <c r="R105" s="12">
        <v>192</v>
      </c>
      <c r="S105" s="12" t="s">
        <v>413</v>
      </c>
      <c r="T105" s="12">
        <v>2</v>
      </c>
      <c r="U105" s="12" t="s">
        <v>2285</v>
      </c>
      <c r="V105" s="75" t="s">
        <v>418</v>
      </c>
      <c r="W105" s="75">
        <v>4</v>
      </c>
      <c r="X105" s="12">
        <v>8</v>
      </c>
      <c r="Y105" s="9">
        <v>497.99</v>
      </c>
      <c r="Z105" s="3">
        <v>754</v>
      </c>
      <c r="AA105" s="66" t="s">
        <v>43</v>
      </c>
      <c r="AB105" s="66" t="s">
        <v>42</v>
      </c>
      <c r="AC105" s="79" t="s">
        <v>8799</v>
      </c>
      <c r="AD105" s="80" t="s">
        <v>8802</v>
      </c>
      <c r="AE105" s="49" cm="1">
        <f t="array" ref="AE105">(SUMPRODUCT((G105:J105/G$9:J$9)^G$7:J$7 * G$2:J$2) + SUMPRODUCT((N105:P105/N$9:P$9)^N$7:P$7 * N$2:P$2) + (VALUE(TRIM(MID(S105,FIND(",",S105)+1,LEN(S105))))/S$9)^S$7 * S$2 + (T105/T$9)^T$7 * T$2) * AE$9</f>
        <v>2.5111657852960332</v>
      </c>
      <c r="AF105" s="1" cm="1">
        <f t="array" ref="AF105">(SUMPRODUCT((G105:J105/G$9:J$9)^G$7:J$7 * G$3:J$3) + SUMPRODUCT((N105:P105/N$9:P$9)^N$7:P$7 * N$3:P$3) + (VALUE(TRIM(MID(S105,FIND(",",S105)+1,LEN(S105))))/S$9)^S$7 * S$3 + (T105/T$9)^T$7 * T$3) * AE$9</f>
        <v>3.4446835841824441</v>
      </c>
      <c r="AG105" s="1" cm="1">
        <f t="array" ref="AG105">(SUMPRODUCT((G105:J105/G$9:J$9)^G$7:J$7 * G$4:J$4) + SUMPRODUCT((N105:P105/N$9:P$9)^N$7:P$7 * N$4:P$4) + (VALUE(TRIM(MID(S105,FIND(",",S105)+1,LEN(S105))))/S$9)^S$7 * S$4 + (T105/T$9)^T$7 * T$4) * AE$9</f>
        <v>3.7513740850294535</v>
      </c>
      <c r="AH105" s="10" cm="1">
        <f t="array" ref="AH105">(SUMPRODUCT((G105:J105/G$9:J$9)^G$7:J$7 * G$5:J$5) + SUMPRODUCT((N105:P105/N$9:P$9)^N$7:P$7 * N$5:P$5) + (VALUE(TRIM(MID(S105,FIND(",",S105)+1,LEN(S105))))/S$9)^S$7 * S$5 + (T105/T$9)^T$7 * T$5) * AE$9</f>
        <v>3.4446835841824441</v>
      </c>
      <c r="AI105" s="50" cm="1">
        <f t="array" ref="AI105">SUMPRODUCT(AE105:AH105 * AE$3:AH$3) / SUM(AE$3:AH$3)</f>
        <v>3.2764395538005049</v>
      </c>
      <c r="AJ105" s="12"/>
    </row>
    <row r="106" spans="1:36" s="83" customFormat="1" x14ac:dyDescent="0.25">
      <c r="A106" s="5" t="s">
        <v>39</v>
      </c>
      <c r="B106" s="16" t="s">
        <v>41</v>
      </c>
      <c r="C106" s="4" t="s">
        <v>428</v>
      </c>
      <c r="D106" s="90" t="s">
        <v>9097</v>
      </c>
      <c r="E106" s="75" t="s">
        <v>436</v>
      </c>
      <c r="F106" s="4" t="s">
        <v>9075</v>
      </c>
      <c r="G106" s="9">
        <v>24</v>
      </c>
      <c r="H106" s="75">
        <v>32</v>
      </c>
      <c r="I106" s="1">
        <v>3</v>
      </c>
      <c r="J106" s="1">
        <v>5.8</v>
      </c>
      <c r="K106" s="11" t="s">
        <v>352</v>
      </c>
      <c r="L106" s="85" t="s">
        <v>17</v>
      </c>
      <c r="M106" s="4" t="s">
        <v>401</v>
      </c>
      <c r="N106" s="2">
        <v>32</v>
      </c>
      <c r="O106" s="2">
        <v>36</v>
      </c>
      <c r="P106" s="12">
        <v>125</v>
      </c>
      <c r="Q106" s="12" t="s">
        <v>408</v>
      </c>
      <c r="R106" s="12">
        <v>192</v>
      </c>
      <c r="S106" s="12" t="s">
        <v>413</v>
      </c>
      <c r="T106" s="12">
        <v>2</v>
      </c>
      <c r="U106" s="12" t="s">
        <v>2285</v>
      </c>
      <c r="V106" s="75" t="s">
        <v>418</v>
      </c>
      <c r="W106" s="75">
        <v>4</v>
      </c>
      <c r="X106" s="12">
        <v>8</v>
      </c>
      <c r="Y106" s="9">
        <v>458.14</v>
      </c>
      <c r="Z106" s="3">
        <v>2084.4299999999998</v>
      </c>
      <c r="AA106" s="66" t="s">
        <v>40</v>
      </c>
      <c r="AB106" s="66" t="s">
        <v>39</v>
      </c>
      <c r="AC106" s="79" t="s">
        <v>8799</v>
      </c>
      <c r="AD106" s="80" t="s">
        <v>8802</v>
      </c>
      <c r="AE106" s="49" cm="1">
        <f t="array" ref="AE106">(SUMPRODUCT((G106:J106/G$9:J$9)^G$7:J$7 * G$2:J$2) + SUMPRODUCT((N106:P106/N$9:P$9)^N$7:P$7 * N$2:P$2) + (VALUE(TRIM(MID(S106,FIND(",",S106)+1,LEN(S106))))/S$9)^S$7 * S$2 + (T106/T$9)^T$7 * T$2) * AE$9</f>
        <v>2.5111657852960332</v>
      </c>
      <c r="AF106" s="1" cm="1">
        <f t="array" ref="AF106">(SUMPRODUCT((G106:J106/G$9:J$9)^G$7:J$7 * G$3:J$3) + SUMPRODUCT((N106:P106/N$9:P$9)^N$7:P$7 * N$3:P$3) + (VALUE(TRIM(MID(S106,FIND(",",S106)+1,LEN(S106))))/S$9)^S$7 * S$3 + (T106/T$9)^T$7 * T$3) * AE$9</f>
        <v>3.4446835841824441</v>
      </c>
      <c r="AG106" s="1" cm="1">
        <f t="array" ref="AG106">(SUMPRODUCT((G106:J106/G$9:J$9)^G$7:J$7 * G$4:J$4) + SUMPRODUCT((N106:P106/N$9:P$9)^N$7:P$7 * N$4:P$4) + (VALUE(TRIM(MID(S106,FIND(",",S106)+1,LEN(S106))))/S$9)^S$7 * S$4 + (T106/T$9)^T$7 * T$4) * AE$9</f>
        <v>3.7513740850294535</v>
      </c>
      <c r="AH106" s="10" cm="1">
        <f t="array" ref="AH106">(SUMPRODUCT((G106:J106/G$9:J$9)^G$7:J$7 * G$5:J$5) + SUMPRODUCT((N106:P106/N$9:P$9)^N$7:P$7 * N$5:P$5) + (VALUE(TRIM(MID(S106,FIND(",",S106)+1,LEN(S106))))/S$9)^S$7 * S$5 + (T106/T$9)^T$7 * T$5) * AE$9</f>
        <v>3.4446835841824441</v>
      </c>
      <c r="AI106" s="50" cm="1">
        <f t="array" ref="AI106">SUMPRODUCT(AE106:AH106 * AE$3:AH$3) / SUM(AE$3:AH$3)</f>
        <v>3.2764395538005049</v>
      </c>
      <c r="AJ106" s="12"/>
    </row>
    <row r="107" spans="1:36" s="83" customFormat="1" x14ac:dyDescent="0.25">
      <c r="A107" s="5" t="s">
        <v>36</v>
      </c>
      <c r="B107" s="16" t="s">
        <v>38</v>
      </c>
      <c r="C107" s="4" t="s">
        <v>428</v>
      </c>
      <c r="D107" s="90" t="s">
        <v>9097</v>
      </c>
      <c r="E107" s="75" t="s">
        <v>436</v>
      </c>
      <c r="F107" s="4" t="s">
        <v>9075</v>
      </c>
      <c r="G107" s="9">
        <v>24</v>
      </c>
      <c r="H107" s="3">
        <v>32</v>
      </c>
      <c r="I107" s="1">
        <v>3.2</v>
      </c>
      <c r="J107" s="1">
        <v>6</v>
      </c>
      <c r="K107" s="11" t="s">
        <v>352</v>
      </c>
      <c r="L107" s="85" t="s">
        <v>17</v>
      </c>
      <c r="M107" s="4" t="s">
        <v>401</v>
      </c>
      <c r="N107" s="2">
        <v>32</v>
      </c>
      <c r="O107" s="2">
        <v>36</v>
      </c>
      <c r="P107" s="12">
        <v>150</v>
      </c>
      <c r="Q107" s="12" t="s">
        <v>408</v>
      </c>
      <c r="R107" s="12">
        <v>192</v>
      </c>
      <c r="S107" s="12" t="s">
        <v>413</v>
      </c>
      <c r="T107" s="12">
        <v>2</v>
      </c>
      <c r="U107" s="12" t="s">
        <v>2285</v>
      </c>
      <c r="V107" s="75" t="s">
        <v>418</v>
      </c>
      <c r="W107" s="75">
        <v>4</v>
      </c>
      <c r="X107" s="12">
        <v>8</v>
      </c>
      <c r="Y107" s="9">
        <v>654.39</v>
      </c>
      <c r="Z107" s="3">
        <v>1093</v>
      </c>
      <c r="AA107" s="66" t="s">
        <v>37</v>
      </c>
      <c r="AB107" s="66" t="s">
        <v>36</v>
      </c>
      <c r="AC107" s="79" t="s">
        <v>8799</v>
      </c>
      <c r="AD107" s="80" t="s">
        <v>8802</v>
      </c>
      <c r="AE107" s="49" cm="1">
        <f t="array" ref="AE107">(SUMPRODUCT((G107:J107/G$9:J$9)^G$7:J$7 * G$2:J$2) + SUMPRODUCT((N107:P107/N$9:P$9)^N$7:P$7 * N$2:P$2) + (VALUE(TRIM(MID(S107,FIND(",",S107)+1,LEN(S107))))/S$9)^S$7 * S$2 + (T107/T$9)^T$7 * T$2) * AE$9</f>
        <v>2.5267875805519533</v>
      </c>
      <c r="AF107" s="1" cm="1">
        <f t="array" ref="AF107">(SUMPRODUCT((G107:J107/G$9:J$9)^G$7:J$7 * G$3:J$3) + SUMPRODUCT((N107:P107/N$9:P$9)^N$7:P$7 * N$3:P$3) + (VALUE(TRIM(MID(S107,FIND(",",S107)+1,LEN(S107))))/S$9)^S$7 * S$3 + (T107/T$9)^T$7 * T$3) * AE$9</f>
        <v>3.4513040056199284</v>
      </c>
      <c r="AG107" s="1" cm="1">
        <f t="array" ref="AG107">(SUMPRODUCT((G107:J107/G$9:J$9)^G$7:J$7 * G$4:J$4) + SUMPRODUCT((N107:P107/N$9:P$9)^N$7:P$7 * N$4:P$4) + (VALUE(TRIM(MID(S107,FIND(",",S107)+1,LEN(S107))))/S$9)^S$7 * S$4 + (T107/T$9)^T$7 * T$4) * AE$9</f>
        <v>3.7531135540859855</v>
      </c>
      <c r="AH107" s="10" cm="1">
        <f t="array" ref="AH107">(SUMPRODUCT((G107:J107/G$9:J$9)^G$7:J$7 * G$5:J$5) + SUMPRODUCT((N107:P107/N$9:P$9)^N$7:P$7 * N$5:P$5) + (VALUE(TRIM(MID(S107,FIND(",",S107)+1,LEN(S107))))/S$9)^S$7 * S$5 + (T107/T$9)^T$7 * T$5) * AE$9</f>
        <v>3.4513040056199284</v>
      </c>
      <c r="AI107" s="50" cm="1">
        <f t="array" ref="AI107">SUMPRODUCT(AE107:AH107 * AE$3:AH$3) / SUM(AE$3:AH$3)</f>
        <v>3.2843862995990203</v>
      </c>
      <c r="AJ107" s="12"/>
    </row>
    <row r="108" spans="1:36" s="83" customFormat="1" x14ac:dyDescent="0.25">
      <c r="A108" s="5" t="s">
        <v>33</v>
      </c>
      <c r="B108" s="16" t="s">
        <v>35</v>
      </c>
      <c r="C108" s="4" t="s">
        <v>428</v>
      </c>
      <c r="D108" s="90" t="s">
        <v>9097</v>
      </c>
      <c r="E108" s="75" t="s">
        <v>436</v>
      </c>
      <c r="F108" s="4" t="s">
        <v>9075</v>
      </c>
      <c r="G108" s="9">
        <v>24</v>
      </c>
      <c r="H108" s="3">
        <v>32</v>
      </c>
      <c r="I108" s="1">
        <v>1.1000000000000001</v>
      </c>
      <c r="J108" s="1">
        <v>5.3</v>
      </c>
      <c r="K108" s="11" t="s">
        <v>352</v>
      </c>
      <c r="L108" s="85" t="s">
        <v>17</v>
      </c>
      <c r="M108" s="4" t="s">
        <v>401</v>
      </c>
      <c r="N108" s="2">
        <v>32</v>
      </c>
      <c r="O108" s="2">
        <v>36</v>
      </c>
      <c r="P108" s="12">
        <v>35</v>
      </c>
      <c r="Q108" s="12" t="s">
        <v>408</v>
      </c>
      <c r="R108" s="12">
        <v>192</v>
      </c>
      <c r="S108" s="12" t="s">
        <v>413</v>
      </c>
      <c r="T108" s="12">
        <v>2</v>
      </c>
      <c r="U108" s="12" t="s">
        <v>2285</v>
      </c>
      <c r="V108" s="75" t="s">
        <v>418</v>
      </c>
      <c r="W108" s="75">
        <v>4</v>
      </c>
      <c r="X108" s="12">
        <v>8</v>
      </c>
      <c r="Y108" s="9">
        <v>606.9</v>
      </c>
      <c r="Z108" s="3">
        <v>794.9</v>
      </c>
      <c r="AA108" s="66" t="s">
        <v>34</v>
      </c>
      <c r="AB108" s="66" t="s">
        <v>33</v>
      </c>
      <c r="AC108" s="79" t="s">
        <v>8801</v>
      </c>
      <c r="AD108" s="80" t="s">
        <v>8802</v>
      </c>
      <c r="AE108" s="49" cm="1">
        <f t="array" ref="AE108">(SUMPRODUCT((G108:J108/G$9:J$9)^G$7:J$7 * G$2:J$2) + SUMPRODUCT((N108:P108/N$9:P$9)^N$7:P$7 * N$2:P$2) + (VALUE(TRIM(MID(S108,FIND(",",S108)+1,LEN(S108))))/S$9)^S$7 * S$2 + (T108/T$9)^T$7 * T$2) * AE$9</f>
        <v>2.450569883798698</v>
      </c>
      <c r="AF108" s="1" cm="1">
        <f t="array" ref="AF108">(SUMPRODUCT((G108:J108/G$9:J$9)^G$7:J$7 * G$3:J$3) + SUMPRODUCT((N108:P108/N$9:P$9)^N$7:P$7 * N$3:P$3) + (VALUE(TRIM(MID(S108,FIND(",",S108)+1,LEN(S108))))/S$9)^S$7 * S$3 + (T108/T$9)^T$7 * T$3) * AE$9</f>
        <v>3.417361823909967</v>
      </c>
      <c r="AG108" s="1" cm="1">
        <f t="array" ref="AG108">(SUMPRODUCT((G108:J108/G$9:J$9)^G$7:J$7 * G$4:J$4) + SUMPRODUCT((N108:P108/N$9:P$9)^N$7:P$7 * N$4:P$4) + (VALUE(TRIM(MID(S108,FIND(",",S108)+1,LEN(S108))))/S$9)^S$7 * S$4 + (T108/T$9)^T$7 * T$4) * AE$9</f>
        <v>3.7537547057093574</v>
      </c>
      <c r="AH108" s="10" cm="1">
        <f t="array" ref="AH108">(SUMPRODUCT((G108:J108/G$9:J$9)^G$7:J$7 * G$5:J$5) + SUMPRODUCT((N108:P108/N$9:P$9)^N$7:P$7 * N$5:P$5) + (VALUE(TRIM(MID(S108,FIND(",",S108)+1,LEN(S108))))/S$9)^S$7 * S$5 + (T108/T$9)^T$7 * T$5) * AE$9</f>
        <v>3.417361823909967</v>
      </c>
      <c r="AI108" s="50" cm="1">
        <f t="array" ref="AI108">SUMPRODUCT(AE108:AH108 * AE$3:AH$3) / SUM(AE$3:AH$3)</f>
        <v>3.2460087426226569</v>
      </c>
      <c r="AJ108" s="12"/>
    </row>
    <row r="109" spans="1:36" x14ac:dyDescent="0.25">
      <c r="A109" s="5" t="s">
        <v>197</v>
      </c>
      <c r="B109" s="16" t="s">
        <v>199</v>
      </c>
      <c r="C109" s="4" t="s">
        <v>428</v>
      </c>
      <c r="D109" s="90" t="s">
        <v>9098</v>
      </c>
      <c r="E109" s="75" t="s">
        <v>433</v>
      </c>
      <c r="F109" s="4" t="s">
        <v>9076</v>
      </c>
      <c r="G109" s="9">
        <v>4</v>
      </c>
      <c r="H109" s="75">
        <v>8</v>
      </c>
      <c r="I109" s="1">
        <v>3.5</v>
      </c>
      <c r="J109" s="1">
        <v>4.7</v>
      </c>
      <c r="K109" s="11" t="s">
        <v>352</v>
      </c>
      <c r="L109" s="85" t="s">
        <v>17</v>
      </c>
      <c r="M109" s="4" t="s">
        <v>165</v>
      </c>
      <c r="N109" s="2">
        <v>5</v>
      </c>
      <c r="O109" s="2">
        <v>12</v>
      </c>
      <c r="P109" s="12">
        <v>60</v>
      </c>
      <c r="Q109" s="12" t="s">
        <v>408</v>
      </c>
      <c r="R109" s="12">
        <v>192</v>
      </c>
      <c r="S109" s="12" t="s">
        <v>412</v>
      </c>
      <c r="T109" s="12">
        <v>2</v>
      </c>
      <c r="U109" s="12" t="s">
        <v>2285</v>
      </c>
      <c r="V109" s="75" t="s">
        <v>418</v>
      </c>
      <c r="W109" s="75">
        <v>4</v>
      </c>
      <c r="X109" s="12">
        <v>8</v>
      </c>
      <c r="Y109" s="9">
        <v>126.17</v>
      </c>
      <c r="Z109" s="3">
        <v>248</v>
      </c>
      <c r="AA109" s="66" t="s">
        <v>198</v>
      </c>
      <c r="AB109" s="66" t="s">
        <v>197</v>
      </c>
      <c r="AC109" s="79" t="s">
        <v>8799</v>
      </c>
      <c r="AD109" s="80" t="s">
        <v>8800</v>
      </c>
      <c r="AE109" s="49" cm="1">
        <f t="array" ref="AE109">(SUMPRODUCT((G109:J109/G$9:J$9)^G$7:J$7 * G$2:J$2) + SUMPRODUCT((N109:P109/N$9:P$9)^N$7:P$7 * N$2:P$2) + (VALUE(TRIM(MID(S109,FIND(",",S109)+1,LEN(S109))))/S$9)^S$7 * S$2 + (T109/T$9)^T$7 * T$2) * AE$9</f>
        <v>1.1176406043798717</v>
      </c>
      <c r="AF109" s="1" cm="1">
        <f t="array" ref="AF109">(SUMPRODUCT((G109:J109/G$9:J$9)^G$7:J$7 * G$3:J$3) + SUMPRODUCT((N109:P109/N$9:P$9)^N$7:P$7 * N$3:P$3) + (VALUE(TRIM(MID(S109,FIND(",",S109)+1,LEN(S109))))/S$9)^S$7 * S$3 + (T109/T$9)^T$7 * T$3) * AE$9</f>
        <v>1.183469055822439</v>
      </c>
      <c r="AG109" s="1" cm="1">
        <f t="array" ref="AG109">(SUMPRODUCT((G109:J109/G$9:J$9)^G$7:J$7 * G$4:J$4) + SUMPRODUCT((N109:P109/N$9:P$9)^N$7:P$7 * N$4:P$4) + (VALUE(TRIM(MID(S109,FIND(",",S109)+1,LEN(S109))))/S$9)^S$7 * S$4 + (T109/T$9)^T$7 * T$4) * AE$9</f>
        <v>1.1837666748700582</v>
      </c>
      <c r="AH109" s="10" cm="1">
        <f t="array" ref="AH109">(SUMPRODUCT((G109:J109/G$9:J$9)^G$7:J$7 * G$5:J$5) + SUMPRODUCT((N109:P109/N$9:P$9)^N$7:P$7 * N$5:P$5) + (VALUE(TRIM(MID(S109,FIND(",",S109)+1,LEN(S109))))/S$9)^S$7 * S$5 + (T109/T$9)^T$7 * T$5) * AE$9</f>
        <v>1.183469055822439</v>
      </c>
      <c r="AI109" s="50" cm="1">
        <f t="array" ref="AI109">SUMPRODUCT(AE109:AH109 * AE$3:AH$3) / SUM(AE$3:AH$3)</f>
        <v>1.1683236622660957</v>
      </c>
    </row>
    <row r="110" spans="1:36" x14ac:dyDescent="0.25">
      <c r="A110" s="5" t="s">
        <v>194</v>
      </c>
      <c r="B110" s="16" t="s">
        <v>196</v>
      </c>
      <c r="C110" s="4" t="s">
        <v>428</v>
      </c>
      <c r="D110" s="90" t="s">
        <v>9098</v>
      </c>
      <c r="E110" s="75" t="s">
        <v>433</v>
      </c>
      <c r="F110" s="4" t="s">
        <v>9076</v>
      </c>
      <c r="G110" s="9">
        <v>4</v>
      </c>
      <c r="H110" s="3">
        <v>8</v>
      </c>
      <c r="I110" s="1">
        <v>3.5</v>
      </c>
      <c r="J110" s="1">
        <v>4.7</v>
      </c>
      <c r="K110" s="11" t="s">
        <v>352</v>
      </c>
      <c r="L110" s="85" t="s">
        <v>17</v>
      </c>
      <c r="M110" s="4" t="s">
        <v>165</v>
      </c>
      <c r="N110" s="2">
        <v>5</v>
      </c>
      <c r="O110" s="2">
        <v>12</v>
      </c>
      <c r="P110" s="12">
        <v>58</v>
      </c>
      <c r="Q110" s="12" t="s">
        <v>408</v>
      </c>
      <c r="R110" s="12">
        <v>192</v>
      </c>
      <c r="S110" s="12" t="s">
        <v>412</v>
      </c>
      <c r="T110" s="12">
        <v>2</v>
      </c>
      <c r="U110" s="12" t="s">
        <v>2285</v>
      </c>
      <c r="V110" s="75" t="s">
        <v>418</v>
      </c>
      <c r="W110" s="75">
        <v>4</v>
      </c>
      <c r="X110" s="12">
        <v>8</v>
      </c>
      <c r="Y110" s="9">
        <v>88.75</v>
      </c>
      <c r="Z110" s="3">
        <v>213.4</v>
      </c>
      <c r="AA110" s="66" t="s">
        <v>195</v>
      </c>
      <c r="AB110" s="66" t="s">
        <v>194</v>
      </c>
      <c r="AC110" s="79" t="s">
        <v>8799</v>
      </c>
      <c r="AD110" s="80" t="s">
        <v>8800</v>
      </c>
      <c r="AE110" s="49" cm="1">
        <f t="array" ref="AE110">(SUMPRODUCT((G110:J110/G$9:J$9)^G$7:J$7 * G$2:J$2) + SUMPRODUCT((N110:P110/N$9:P$9)^N$7:P$7 * N$2:P$2) + (VALUE(TRIM(MID(S110,FIND(",",S110)+1,LEN(S110))))/S$9)^S$7 * S$2 + (T110/T$9)^T$7 * T$2) * AE$9</f>
        <v>1.1194199349790392</v>
      </c>
      <c r="AF110" s="1" cm="1">
        <f t="array" ref="AF110">(SUMPRODUCT((G110:J110/G$9:J$9)^G$7:J$7 * G$3:J$3) + SUMPRODUCT((N110:P110/N$9:P$9)^N$7:P$7 * N$3:P$3) + (VALUE(TRIM(MID(S110,FIND(",",S110)+1,LEN(S110))))/S$9)^S$7 * S$3 + (T110/T$9)^T$7 * T$3) * AE$9</f>
        <v>1.1843587211220228</v>
      </c>
      <c r="AG110" s="1" cm="1">
        <f t="array" ref="AG110">(SUMPRODUCT((G110:J110/G$9:J$9)^G$7:J$7 * G$4:J$4) + SUMPRODUCT((N110:P110/N$9:P$9)^N$7:P$7 * N$4:P$4) + (VALUE(TRIM(MID(S110,FIND(",",S110)+1,LEN(S110))))/S$9)^S$7 * S$4 + (T110/T$9)^T$7 * T$4) * AE$9</f>
        <v>1.1846563401696419</v>
      </c>
      <c r="AH110" s="10" cm="1">
        <f t="array" ref="AH110">(SUMPRODUCT((G110:J110/G$9:J$9)^G$7:J$7 * G$5:J$5) + SUMPRODUCT((N110:P110/N$9:P$9)^N$7:P$7 * N$5:P$5) + (VALUE(TRIM(MID(S110,FIND(",",S110)+1,LEN(S110))))/S$9)^S$7 * S$5 + (T110/T$9)^T$7 * T$5) * AE$9</f>
        <v>1.1843587211220228</v>
      </c>
      <c r="AI110" s="50" cm="1">
        <f t="array" ref="AI110">SUMPRODUCT(AE110:AH110 * AE$3:AH$3) / SUM(AE$3:AH$3)</f>
        <v>1.1694186349425064</v>
      </c>
    </row>
    <row r="111" spans="1:36" x14ac:dyDescent="0.25">
      <c r="A111" s="5" t="s">
        <v>190</v>
      </c>
      <c r="B111" s="16" t="s">
        <v>192</v>
      </c>
      <c r="C111" s="4" t="s">
        <v>428</v>
      </c>
      <c r="D111" s="90" t="s">
        <v>9098</v>
      </c>
      <c r="E111" s="75" t="s">
        <v>433</v>
      </c>
      <c r="F111" s="4" t="s">
        <v>9076</v>
      </c>
      <c r="G111" s="9">
        <v>4</v>
      </c>
      <c r="H111" s="3">
        <v>8</v>
      </c>
      <c r="I111" s="1">
        <v>2.7</v>
      </c>
      <c r="J111" s="1">
        <v>4.4000000000000004</v>
      </c>
      <c r="K111" s="11" t="s">
        <v>352</v>
      </c>
      <c r="L111" s="85" t="s">
        <v>17</v>
      </c>
      <c r="M111" s="4" t="s">
        <v>165</v>
      </c>
      <c r="N111" s="2">
        <v>5</v>
      </c>
      <c r="O111" s="2">
        <v>12</v>
      </c>
      <c r="P111" s="12">
        <v>35</v>
      </c>
      <c r="Q111" s="12" t="s">
        <v>408</v>
      </c>
      <c r="R111" s="12">
        <v>192</v>
      </c>
      <c r="S111" s="12" t="s">
        <v>412</v>
      </c>
      <c r="T111" s="12">
        <v>2</v>
      </c>
      <c r="U111" s="12" t="s">
        <v>2285</v>
      </c>
      <c r="V111" s="75" t="s">
        <v>418</v>
      </c>
      <c r="W111" s="75">
        <v>4</v>
      </c>
      <c r="X111" s="12">
        <v>8</v>
      </c>
      <c r="Y111" s="9">
        <v>149.9</v>
      </c>
      <c r="Z111" s="3">
        <v>194.77</v>
      </c>
      <c r="AA111" s="66" t="s">
        <v>191</v>
      </c>
      <c r="AB111" s="66" t="s">
        <v>190</v>
      </c>
      <c r="AC111" s="79" t="s">
        <v>8801</v>
      </c>
      <c r="AD111" s="80" t="s">
        <v>8802</v>
      </c>
      <c r="AE111" s="49" cm="1">
        <f t="array" ref="AE111">(SUMPRODUCT((G111:J111/G$9:J$9)^G$7:J$7 * G$2:J$2) + SUMPRODUCT((N111:P111/N$9:P$9)^N$7:P$7 * N$2:P$2) + (VALUE(TRIM(MID(S111,FIND(",",S111)+1,LEN(S111))))/S$9)^S$7 * S$2 + (T111/T$9)^T$7 * T$2) * AE$9</f>
        <v>1.0919771903232713</v>
      </c>
      <c r="AF111" s="1" cm="1">
        <f t="array" ref="AF111">(SUMPRODUCT((G111:J111/G$9:J$9)^G$7:J$7 * G$3:J$3) + SUMPRODUCT((N111:P111/N$9:P$9)^N$7:P$7 * N$3:P$3) + (VALUE(TRIM(MID(S111,FIND(",",S111)+1,LEN(S111))))/S$9)^S$7 * S$3 + (T111/T$9)^T$7 * T$3) * AE$9</f>
        <v>1.1724230630798533</v>
      </c>
      <c r="AG111" s="1" cm="1">
        <f t="array" ref="AG111">(SUMPRODUCT((G111:J111/G$9:J$9)^G$7:J$7 * G$4:J$4) + SUMPRODUCT((N111:P111/N$9:P$9)^N$7:P$7 * N$4:P$4) + (VALUE(TRIM(MID(S111,FIND(",",S111)+1,LEN(S111))))/S$9)^S$7 * S$4 + (T111/T$9)^T$7 * T$4) * AE$9</f>
        <v>1.1862921106989008</v>
      </c>
      <c r="AH111" s="10" cm="1">
        <f t="array" ref="AH111">(SUMPRODUCT((G111:J111/G$9:J$9)^G$7:J$7 * G$5:J$5) + SUMPRODUCT((N111:P111/N$9:P$9)^N$7:P$7 * N$5:P$5) + (VALUE(TRIM(MID(S111,FIND(",",S111)+1,LEN(S111))))/S$9)^S$7 * S$5 + (T111/T$9)^T$7 * T$5) * AE$9</f>
        <v>1.1724230630798533</v>
      </c>
      <c r="AI111" s="50" cm="1">
        <f t="array" ref="AI111">SUMPRODUCT(AE111:AH111 * AE$3:AH$3) / SUM(AE$3:AH$3)</f>
        <v>1.155992330538957</v>
      </c>
    </row>
    <row r="112" spans="1:36" s="83" customFormat="1" x14ac:dyDescent="0.25">
      <c r="A112" s="5" t="s">
        <v>135</v>
      </c>
      <c r="B112" s="16" t="s">
        <v>137</v>
      </c>
      <c r="C112" s="4" t="s">
        <v>428</v>
      </c>
      <c r="D112" s="90" t="s">
        <v>9099</v>
      </c>
      <c r="E112" s="75" t="s">
        <v>434</v>
      </c>
      <c r="F112" s="4" t="s">
        <v>9076</v>
      </c>
      <c r="G112" s="9">
        <v>10</v>
      </c>
      <c r="H112" s="75">
        <v>16</v>
      </c>
      <c r="I112" s="1">
        <v>2.5</v>
      </c>
      <c r="J112" s="1">
        <v>4.7</v>
      </c>
      <c r="K112" s="11" t="s">
        <v>352</v>
      </c>
      <c r="L112" s="85" t="s">
        <v>17</v>
      </c>
      <c r="M112" s="4" t="s">
        <v>401</v>
      </c>
      <c r="N112" s="2">
        <v>9.5</v>
      </c>
      <c r="O112" s="2">
        <v>20</v>
      </c>
      <c r="P112" s="12">
        <v>65</v>
      </c>
      <c r="Q112" s="12" t="s">
        <v>408</v>
      </c>
      <c r="R112" s="12">
        <v>192</v>
      </c>
      <c r="S112" s="12" t="s">
        <v>412</v>
      </c>
      <c r="T112" s="12">
        <v>2</v>
      </c>
      <c r="U112" s="12" t="s">
        <v>2285</v>
      </c>
      <c r="V112" s="75" t="s">
        <v>418</v>
      </c>
      <c r="W112" s="75">
        <v>4</v>
      </c>
      <c r="X112" s="12">
        <v>8</v>
      </c>
      <c r="Y112" s="9">
        <v>158.63</v>
      </c>
      <c r="Z112" s="3">
        <v>259.89999999999998</v>
      </c>
      <c r="AA112" s="66" t="s">
        <v>136</v>
      </c>
      <c r="AB112" s="66" t="s">
        <v>135</v>
      </c>
      <c r="AC112" s="79" t="s">
        <v>8801</v>
      </c>
      <c r="AD112" s="80" t="s">
        <v>8802</v>
      </c>
      <c r="AE112" s="49" cm="1">
        <f t="array" ref="AE112">(SUMPRODUCT((G112:J112/G$9:J$9)^G$7:J$7 * G$2:J$2) + SUMPRODUCT((N112:P112/N$9:P$9)^N$7:P$7 * N$2:P$2) + (VALUE(TRIM(MID(S112,FIND(",",S112)+1,LEN(S112))))/S$9)^S$7 * S$2 + (T112/T$9)^T$7 * T$2) * AE$9</f>
        <v>1.4756368222673779</v>
      </c>
      <c r="AF112" s="1" cm="1">
        <f t="array" ref="AF112">(SUMPRODUCT((G112:J112/G$9:J$9)^G$7:J$7 * G$3:J$3) + SUMPRODUCT((N112:P112/N$9:P$9)^N$7:P$7 * N$3:P$3) + (VALUE(TRIM(MID(S112,FIND(",",S112)+1,LEN(S112))))/S$9)^S$7 * S$3 + (T112/T$9)^T$7 * T$3) * AE$9</f>
        <v>1.8175644998544371</v>
      </c>
      <c r="AG112" s="1" cm="1">
        <f t="array" ref="AG112">(SUMPRODUCT((G112:J112/G$9:J$9)^G$7:J$7 * G$4:J$4) + SUMPRODUCT((N112:P112/N$9:P$9)^N$7:P$7 * N$4:P$4) + (VALUE(TRIM(MID(S112,FIND(",",S112)+1,LEN(S112))))/S$9)^S$7 * S$4 + (T112/T$9)^T$7 * T$4) * AE$9</f>
        <v>1.9345426072325742</v>
      </c>
      <c r="AH112" s="10" cm="1">
        <f t="array" ref="AH112">(SUMPRODUCT((G112:J112/G$9:J$9)^G$7:J$7 * G$5:J$5) + SUMPRODUCT((N112:P112/N$9:P$9)^N$7:P$7 * N$5:P$5) + (VALUE(TRIM(MID(S112,FIND(",",S112)+1,LEN(S112))))/S$9)^S$7 * S$5 + (T112/T$9)^T$7 * T$5) * AE$9</f>
        <v>1.8175644998544371</v>
      </c>
      <c r="AI112" s="50" cm="1">
        <f t="array" ref="AI112">SUMPRODUCT(AE112:AH112 * AE$3:AH$3) / SUM(AE$3:AH$3)</f>
        <v>1.7566547446232907</v>
      </c>
      <c r="AJ112" s="12"/>
    </row>
    <row r="113" spans="1:36" s="83" customFormat="1" x14ac:dyDescent="0.25">
      <c r="A113" s="5" t="s">
        <v>132</v>
      </c>
      <c r="B113" s="16" t="s">
        <v>134</v>
      </c>
      <c r="C113" s="4" t="s">
        <v>428</v>
      </c>
      <c r="D113" s="90" t="s">
        <v>9099</v>
      </c>
      <c r="E113" s="75" t="s">
        <v>434</v>
      </c>
      <c r="F113" s="4" t="s">
        <v>9076</v>
      </c>
      <c r="G113" s="9">
        <v>10</v>
      </c>
      <c r="H113" s="3">
        <v>16</v>
      </c>
      <c r="I113" s="1">
        <v>2.5</v>
      </c>
      <c r="J113" s="1">
        <v>4.7</v>
      </c>
      <c r="K113" s="11" t="s">
        <v>352</v>
      </c>
      <c r="L113" s="85" t="s">
        <v>17</v>
      </c>
      <c r="M113" s="4" t="s">
        <v>401</v>
      </c>
      <c r="N113" s="2">
        <v>9.5</v>
      </c>
      <c r="O113" s="2">
        <v>20</v>
      </c>
      <c r="P113" s="12">
        <v>65</v>
      </c>
      <c r="Q113" s="12" t="s">
        <v>408</v>
      </c>
      <c r="R113" s="12">
        <v>192</v>
      </c>
      <c r="S113" s="12" t="s">
        <v>412</v>
      </c>
      <c r="T113" s="12">
        <v>2</v>
      </c>
      <c r="U113" s="12" t="s">
        <v>2285</v>
      </c>
      <c r="V113" s="75" t="s">
        <v>418</v>
      </c>
      <c r="W113" s="75">
        <v>4</v>
      </c>
      <c r="X113" s="12">
        <v>8</v>
      </c>
      <c r="Y113" s="9">
        <v>129.66999999999999</v>
      </c>
      <c r="Z113" s="3">
        <v>209.9</v>
      </c>
      <c r="AA113" s="66" t="s">
        <v>133</v>
      </c>
      <c r="AB113" s="66" t="s">
        <v>132</v>
      </c>
      <c r="AC113" s="79" t="s">
        <v>8801</v>
      </c>
      <c r="AD113" s="80" t="s">
        <v>8802</v>
      </c>
      <c r="AE113" s="49" cm="1">
        <f t="array" ref="AE113">(SUMPRODUCT((G113:J113/G$9:J$9)^G$7:J$7 * G$2:J$2) + SUMPRODUCT((N113:P113/N$9:P$9)^N$7:P$7 * N$2:P$2) + (VALUE(TRIM(MID(S113,FIND(",",S113)+1,LEN(S113))))/S$9)^S$7 * S$2 + (T113/T$9)^T$7 * T$2) * AE$9</f>
        <v>1.4756368222673779</v>
      </c>
      <c r="AF113" s="1" cm="1">
        <f t="array" ref="AF113">(SUMPRODUCT((G113:J113/G$9:J$9)^G$7:J$7 * G$3:J$3) + SUMPRODUCT((N113:P113/N$9:P$9)^N$7:P$7 * N$3:P$3) + (VALUE(TRIM(MID(S113,FIND(",",S113)+1,LEN(S113))))/S$9)^S$7 * S$3 + (T113/T$9)^T$7 * T$3) * AE$9</f>
        <v>1.8175644998544371</v>
      </c>
      <c r="AG113" s="1" cm="1">
        <f t="array" ref="AG113">(SUMPRODUCT((G113:J113/G$9:J$9)^G$7:J$7 * G$4:J$4) + SUMPRODUCT((N113:P113/N$9:P$9)^N$7:P$7 * N$4:P$4) + (VALUE(TRIM(MID(S113,FIND(",",S113)+1,LEN(S113))))/S$9)^S$7 * S$4 + (T113/T$9)^T$7 * T$4) * AE$9</f>
        <v>1.9345426072325742</v>
      </c>
      <c r="AH113" s="10" cm="1">
        <f t="array" ref="AH113">(SUMPRODUCT((G113:J113/G$9:J$9)^G$7:J$7 * G$5:J$5) + SUMPRODUCT((N113:P113/N$9:P$9)^N$7:P$7 * N$5:P$5) + (VALUE(TRIM(MID(S113,FIND(",",S113)+1,LEN(S113))))/S$9)^S$7 * S$5 + (T113/T$9)^T$7 * T$5) * AE$9</f>
        <v>1.8175644998544371</v>
      </c>
      <c r="AI113" s="50" cm="1">
        <f t="array" ref="AI113">SUMPRODUCT(AE113:AH113 * AE$3:AH$3) / SUM(AE$3:AH$3)</f>
        <v>1.7566547446232907</v>
      </c>
      <c r="AJ113" s="12"/>
    </row>
    <row r="114" spans="1:36" s="83" customFormat="1" x14ac:dyDescent="0.25">
      <c r="A114" s="5" t="s">
        <v>129</v>
      </c>
      <c r="B114" s="16" t="s">
        <v>131</v>
      </c>
      <c r="C114" s="4" t="s">
        <v>428</v>
      </c>
      <c r="D114" s="90" t="s">
        <v>9099</v>
      </c>
      <c r="E114" s="75" t="s">
        <v>434</v>
      </c>
      <c r="F114" s="4" t="s">
        <v>9076</v>
      </c>
      <c r="G114" s="9">
        <v>10</v>
      </c>
      <c r="H114" s="3">
        <v>16</v>
      </c>
      <c r="I114" s="1">
        <v>1.5</v>
      </c>
      <c r="J114" s="1">
        <v>4.5</v>
      </c>
      <c r="K114" s="11" t="s">
        <v>352</v>
      </c>
      <c r="L114" s="85" t="s">
        <v>17</v>
      </c>
      <c r="M114" s="4" t="s">
        <v>165</v>
      </c>
      <c r="N114" s="2">
        <v>9.5</v>
      </c>
      <c r="O114" s="2">
        <v>20</v>
      </c>
      <c r="P114" s="12">
        <v>35</v>
      </c>
      <c r="Q114" s="12" t="s">
        <v>408</v>
      </c>
      <c r="R114" s="12">
        <v>192</v>
      </c>
      <c r="S114" s="12" t="s">
        <v>412</v>
      </c>
      <c r="T114" s="12">
        <v>2</v>
      </c>
      <c r="U114" s="12" t="s">
        <v>2285</v>
      </c>
      <c r="V114" s="75" t="s">
        <v>418</v>
      </c>
      <c r="W114" s="75">
        <v>4</v>
      </c>
      <c r="X114" s="12">
        <v>8</v>
      </c>
      <c r="Y114" s="9">
        <v>208.89</v>
      </c>
      <c r="Z114" s="3">
        <v>295</v>
      </c>
      <c r="AA114" s="66" t="s">
        <v>130</v>
      </c>
      <c r="AB114" s="66" t="s">
        <v>129</v>
      </c>
      <c r="AC114" s="79" t="s">
        <v>8801</v>
      </c>
      <c r="AD114" s="80" t="s">
        <v>8802</v>
      </c>
      <c r="AE114" s="49" cm="1">
        <f t="array" ref="AE114">(SUMPRODUCT((G114:J114/G$9:J$9)^G$7:J$7 * G$2:J$2) + SUMPRODUCT((N114:P114/N$9:P$9)^N$7:P$7 * N$2:P$2) + (VALUE(TRIM(MID(S114,FIND(",",S114)+1,LEN(S114))))/S$9)^S$7 * S$2 + (T114/T$9)^T$7 * T$2) * AE$9</f>
        <v>1.4500090891364654</v>
      </c>
      <c r="AF114" s="1" cm="1">
        <f t="array" ref="AF114">(SUMPRODUCT((G114:J114/G$9:J$9)^G$7:J$7 * G$3:J$3) + SUMPRODUCT((N114:P114/N$9:P$9)^N$7:P$7 * N$3:P$3) + (VALUE(TRIM(MID(S114,FIND(",",S114)+1,LEN(S114))))/S$9)^S$7 * S$3 + (T114/T$9)^T$7 * T$3) * AE$9</f>
        <v>1.8059411094794571</v>
      </c>
      <c r="AG114" s="1" cm="1">
        <f t="array" ref="AG114">(SUMPRODUCT((G114:J114/G$9:J$9)^G$7:J$7 * G$4:J$4) + SUMPRODUCT((N114:P114/N$9:P$9)^N$7:P$7 * N$4:P$4) + (VALUE(TRIM(MID(S114,FIND(",",S114)+1,LEN(S114))))/S$9)^S$7 * S$4 + (T114/T$9)^T$7 * T$4) * AE$9</f>
        <v>1.9378001692385467</v>
      </c>
      <c r="AH114" s="10" cm="1">
        <f t="array" ref="AH114">(SUMPRODUCT((G114:J114/G$9:J$9)^G$7:J$7 * G$5:J$5) + SUMPRODUCT((N114:P114/N$9:P$9)^N$7:P$7 * N$5:P$5) + (VALUE(TRIM(MID(S114,FIND(",",S114)+1,LEN(S114))))/S$9)^S$7 * S$5 + (T114/T$9)^T$7 * T$5) * AE$9</f>
        <v>1.8059411094794571</v>
      </c>
      <c r="AI114" s="50" cm="1">
        <f t="array" ref="AI114">SUMPRODUCT(AE114:AH114 * AE$3:AH$3) / SUM(AE$3:AH$3)</f>
        <v>1.7440889601324727</v>
      </c>
      <c r="AJ114" s="12"/>
    </row>
    <row r="115" spans="1:36" s="83" customFormat="1" x14ac:dyDescent="0.25">
      <c r="A115" s="5" t="s">
        <v>126</v>
      </c>
      <c r="B115" s="16" t="s">
        <v>128</v>
      </c>
      <c r="C115" s="4" t="s">
        <v>428</v>
      </c>
      <c r="D115" s="90" t="s">
        <v>9099</v>
      </c>
      <c r="E115" s="75" t="s">
        <v>434</v>
      </c>
      <c r="F115" s="4" t="s">
        <v>9076</v>
      </c>
      <c r="G115" s="9">
        <v>14</v>
      </c>
      <c r="H115" s="75">
        <v>20</v>
      </c>
      <c r="I115" s="1">
        <v>2.6</v>
      </c>
      <c r="J115" s="1">
        <v>5</v>
      </c>
      <c r="K115" s="11" t="s">
        <v>352</v>
      </c>
      <c r="L115" s="85" t="s">
        <v>17</v>
      </c>
      <c r="M115" s="4" t="s">
        <v>165</v>
      </c>
      <c r="N115" s="2">
        <v>11.5</v>
      </c>
      <c r="O115" s="2">
        <v>24</v>
      </c>
      <c r="P115" s="12">
        <v>65</v>
      </c>
      <c r="Q115" s="12" t="s">
        <v>408</v>
      </c>
      <c r="R115" s="12">
        <v>192</v>
      </c>
      <c r="S115" s="12" t="s">
        <v>412</v>
      </c>
      <c r="T115" s="12">
        <v>2</v>
      </c>
      <c r="U115" s="12" t="s">
        <v>2285</v>
      </c>
      <c r="V115" s="75" t="s">
        <v>418</v>
      </c>
      <c r="W115" s="75">
        <v>4</v>
      </c>
      <c r="X115" s="12">
        <v>8</v>
      </c>
      <c r="Y115" s="9">
        <v>257.69</v>
      </c>
      <c r="Z115" s="3">
        <v>1138.31</v>
      </c>
      <c r="AA115" s="66" t="s">
        <v>127</v>
      </c>
      <c r="AB115" s="66" t="s">
        <v>126</v>
      </c>
      <c r="AC115" s="79" t="s">
        <v>8799</v>
      </c>
      <c r="AD115" s="80" t="s">
        <v>8800</v>
      </c>
      <c r="AE115" s="49" cm="1">
        <f t="array" ref="AE115">(SUMPRODUCT((G115:J115/G$9:J$9)^G$7:J$7 * G$2:J$2) + SUMPRODUCT((N115:P115/N$9:P$9)^N$7:P$7 * N$2:P$2) + (VALUE(TRIM(MID(S115,FIND(",",S115)+1,LEN(S115))))/S$9)^S$7 * S$2 + (T115/T$9)^T$7 * T$2) * AE$9</f>
        <v>1.7185605826218882</v>
      </c>
      <c r="AF115" s="1" cm="1">
        <f t="array" ref="AF115">(SUMPRODUCT((G115:J115/G$9:J$9)^G$7:J$7 * G$3:J$3) + SUMPRODUCT((N115:P115/N$9:P$9)^N$7:P$7 * N$3:P$3) + (VALUE(TRIM(MID(S115,FIND(",",S115)+1,LEN(S115))))/S$9)^S$7 * S$3 + (T115/T$9)^T$7 * T$3) * AE$9</f>
        <v>2.1703208059887347</v>
      </c>
      <c r="AG115" s="1" cm="1">
        <f t="array" ref="AG115">(SUMPRODUCT((G115:J115/G$9:J$9)^G$7:J$7 * G$4:J$4) + SUMPRODUCT((N115:P115/N$9:P$9)^N$7:P$7 * N$4:P$4) + (VALUE(TRIM(MID(S115,FIND(",",S115)+1,LEN(S115))))/S$9)^S$7 * S$4 + (T115/T$9)^T$7 * T$4) * AE$9</f>
        <v>2.3416392270410586</v>
      </c>
      <c r="AH115" s="10" cm="1">
        <f t="array" ref="AH115">(SUMPRODUCT((G115:J115/G$9:J$9)^G$7:J$7 * G$5:J$5) + SUMPRODUCT((N115:P115/N$9:P$9)^N$7:P$7 * N$5:P$5) + (VALUE(TRIM(MID(S115,FIND(",",S115)+1,LEN(S115))))/S$9)^S$7 * S$5 + (T115/T$9)^T$7 * T$5) * AE$9</f>
        <v>2.1703208059887347</v>
      </c>
      <c r="AI115" s="50" cm="1">
        <f t="array" ref="AI115">SUMPRODUCT(AE115:AH115 * AE$3:AH$3) / SUM(AE$3:AH$3)</f>
        <v>2.0924251269121275</v>
      </c>
      <c r="AJ115" s="12"/>
    </row>
    <row r="116" spans="1:36" s="83" customFormat="1" x14ac:dyDescent="0.25">
      <c r="A116" s="5" t="s">
        <v>123</v>
      </c>
      <c r="B116" s="16" t="s">
        <v>125</v>
      </c>
      <c r="C116" s="4" t="s">
        <v>428</v>
      </c>
      <c r="D116" s="90" t="s">
        <v>9099</v>
      </c>
      <c r="E116" s="75" t="s">
        <v>434</v>
      </c>
      <c r="F116" s="4" t="s">
        <v>9076</v>
      </c>
      <c r="G116" s="9">
        <v>14</v>
      </c>
      <c r="H116" s="3">
        <v>20</v>
      </c>
      <c r="I116" s="1">
        <v>1.7</v>
      </c>
      <c r="J116" s="1">
        <v>4.8</v>
      </c>
      <c r="K116" s="11" t="s">
        <v>352</v>
      </c>
      <c r="L116" s="85" t="s">
        <v>17</v>
      </c>
      <c r="M116" s="4" t="s">
        <v>165</v>
      </c>
      <c r="N116" s="2">
        <v>11.5</v>
      </c>
      <c r="O116" s="2">
        <v>24</v>
      </c>
      <c r="P116" s="12">
        <v>35</v>
      </c>
      <c r="Q116" s="12" t="s">
        <v>408</v>
      </c>
      <c r="R116" s="12">
        <v>192</v>
      </c>
      <c r="S116" s="12" t="s">
        <v>412</v>
      </c>
      <c r="T116" s="12">
        <v>2</v>
      </c>
      <c r="U116" s="12" t="s">
        <v>2285</v>
      </c>
      <c r="V116" s="75" t="s">
        <v>418</v>
      </c>
      <c r="W116" s="75">
        <v>4</v>
      </c>
      <c r="X116" s="12">
        <v>8</v>
      </c>
      <c r="Y116" s="9">
        <v>266.99</v>
      </c>
      <c r="Z116" s="3">
        <v>351.93</v>
      </c>
      <c r="AA116" s="66" t="s">
        <v>124</v>
      </c>
      <c r="AB116" s="66" t="s">
        <v>123</v>
      </c>
      <c r="AC116" s="79" t="s">
        <v>8801</v>
      </c>
      <c r="AD116" s="80" t="s">
        <v>8802</v>
      </c>
      <c r="AE116" s="49" cm="1">
        <f t="array" ref="AE116">(SUMPRODUCT((G116:J116/G$9:J$9)^G$7:J$7 * G$2:J$2) + SUMPRODUCT((N116:P116/N$9:P$9)^N$7:P$7 * N$2:P$2) + (VALUE(TRIM(MID(S116,FIND(",",S116)+1,LEN(S116))))/S$9)^S$7 * S$2 + (T116/T$9)^T$7 * T$2) * AE$9</f>
        <v>1.6979328494909756</v>
      </c>
      <c r="AF116" s="1" cm="1">
        <f t="array" ref="AF116">(SUMPRODUCT((G116:J116/G$9:J$9)^G$7:J$7 * G$3:J$3) + SUMPRODUCT((N116:P116/N$9:P$9)^N$7:P$7 * N$3:P$3) + (VALUE(TRIM(MID(S116,FIND(",",S116)+1,LEN(S116))))/S$9)^S$7 * S$3 + (T116/T$9)^T$7 * T$3) * AE$9</f>
        <v>2.1611974156137546</v>
      </c>
      <c r="AG116" s="1" cm="1">
        <f t="array" ref="AG116">(SUMPRODUCT((G116:J116/G$9:J$9)^G$7:J$7 * G$4:J$4) + SUMPRODUCT((N116:P116/N$9:P$9)^N$7:P$7 * N$4:P$4) + (VALUE(TRIM(MID(S116,FIND(",",S116)+1,LEN(S116))))/S$9)^S$7 * S$4 + (T116/T$9)^T$7 * T$4) * AE$9</f>
        <v>2.3461467890470313</v>
      </c>
      <c r="AH116" s="10" cm="1">
        <f t="array" ref="AH116">(SUMPRODUCT((G116:J116/G$9:J$9)^G$7:J$7 * G$5:J$5) + SUMPRODUCT((N116:P116/N$9:P$9)^N$7:P$7 * N$5:P$5) + (VALUE(TRIM(MID(S116,FIND(",",S116)+1,LEN(S116))))/S$9)^S$7 * S$5 + (T116/T$9)^T$7 * T$5) * AE$9</f>
        <v>2.1611974156137546</v>
      </c>
      <c r="AI116" s="50" cm="1">
        <f t="array" ref="AI116">SUMPRODUCT(AE116:AH116 * AE$3:AH$3) / SUM(AE$3:AH$3)</f>
        <v>2.082743957805925</v>
      </c>
      <c r="AJ116" s="12"/>
    </row>
    <row r="117" spans="1:36" s="83" customFormat="1" x14ac:dyDescent="0.25">
      <c r="A117" s="5" t="s">
        <v>120</v>
      </c>
      <c r="B117" s="16" t="s">
        <v>122</v>
      </c>
      <c r="C117" s="4" t="s">
        <v>428</v>
      </c>
      <c r="D117" s="90" t="s">
        <v>9099</v>
      </c>
      <c r="E117" s="75" t="s">
        <v>434</v>
      </c>
      <c r="F117" s="4" t="s">
        <v>9076</v>
      </c>
      <c r="G117" s="9">
        <v>14</v>
      </c>
      <c r="H117" s="3">
        <v>20</v>
      </c>
      <c r="I117" s="1">
        <v>2.7</v>
      </c>
      <c r="J117" s="1">
        <v>5.2</v>
      </c>
      <c r="K117" s="11" t="s">
        <v>352</v>
      </c>
      <c r="L117" s="85" t="s">
        <v>17</v>
      </c>
      <c r="M117" s="4" t="s">
        <v>401</v>
      </c>
      <c r="N117" s="2">
        <v>20</v>
      </c>
      <c r="O117" s="2">
        <v>24</v>
      </c>
      <c r="P117" s="12">
        <v>65</v>
      </c>
      <c r="Q117" s="12" t="s">
        <v>408</v>
      </c>
      <c r="R117" s="12">
        <v>192</v>
      </c>
      <c r="S117" s="12" t="s">
        <v>413</v>
      </c>
      <c r="T117" s="12">
        <v>2</v>
      </c>
      <c r="U117" s="12" t="s">
        <v>2285</v>
      </c>
      <c r="V117" s="75" t="s">
        <v>418</v>
      </c>
      <c r="W117" s="75">
        <v>4</v>
      </c>
      <c r="X117" s="12">
        <v>8</v>
      </c>
      <c r="Y117" s="9">
        <v>284.49</v>
      </c>
      <c r="Z117" s="3">
        <v>460</v>
      </c>
      <c r="AA117" s="66" t="s">
        <v>121</v>
      </c>
      <c r="AB117" s="66" t="s">
        <v>120</v>
      </c>
      <c r="AC117" s="79" t="s">
        <v>8801</v>
      </c>
      <c r="AD117" s="80" t="s">
        <v>8802</v>
      </c>
      <c r="AE117" s="49" cm="1">
        <f t="array" ref="AE117">(SUMPRODUCT((G117:J117/G$9:J$9)^G$7:J$7 * G$2:J$2) + SUMPRODUCT((N117:P117/N$9:P$9)^N$7:P$7 * N$2:P$2) + (VALUE(TRIM(MID(S117,FIND(",",S117)+1,LEN(S117))))/S$9)^S$7 * S$2 + (T117/T$9)^T$7 * T$2) * AE$9</f>
        <v>1.8558806917446937</v>
      </c>
      <c r="AF117" s="1" cm="1">
        <f t="array" ref="AF117">(SUMPRODUCT((G117:J117/G$9:J$9)^G$7:J$7 * G$3:J$3) + SUMPRODUCT((N117:P117/N$9:P$9)^N$7:P$7 * N$3:P$3) + (VALUE(TRIM(MID(S117,FIND(",",S117)+1,LEN(S117))))/S$9)^S$7 * S$3 + (T117/T$9)^T$7 * T$3) * AE$9</f>
        <v>2.4108464802851253</v>
      </c>
      <c r="AG117" s="1" cm="1">
        <f t="array" ref="AG117">(SUMPRODUCT((G117:J117/G$9:J$9)^G$7:J$7 * G$4:J$4) + SUMPRODUCT((N117:P117/N$9:P$9)^N$7:P$7 * N$4:P$4) + (VALUE(TRIM(MID(S117,FIND(",",S117)+1,LEN(S117))))/S$9)^S$7 * S$4 + (T117/T$9)^T$7 * T$4) * AE$9</f>
        <v>2.5785339489564967</v>
      </c>
      <c r="AH117" s="10" cm="1">
        <f t="array" ref="AH117">(SUMPRODUCT((G117:J117/G$9:J$9)^G$7:J$7 * G$5:J$5) + SUMPRODUCT((N117:P117/N$9:P$9)^N$7:P$7 * N$5:P$5) + (VALUE(TRIM(MID(S117,FIND(",",S117)+1,LEN(S117))))/S$9)^S$7 * S$5 + (T117/T$9)^T$7 * T$5) * AE$9</f>
        <v>2.4108464802851253</v>
      </c>
      <c r="AI117" s="50" cm="1">
        <f t="array" ref="AI117">SUMPRODUCT(AE117:AH117 * AE$3:AH$3) / SUM(AE$3:AH$3)</f>
        <v>2.3085755242636981</v>
      </c>
      <c r="AJ117" s="12"/>
    </row>
    <row r="118" spans="1:36" s="83" customFormat="1" x14ac:dyDescent="0.25">
      <c r="A118" s="5" t="s">
        <v>117</v>
      </c>
      <c r="B118" s="16" t="s">
        <v>119</v>
      </c>
      <c r="C118" s="4" t="s">
        <v>428</v>
      </c>
      <c r="D118" s="90" t="s">
        <v>9099</v>
      </c>
      <c r="E118" s="75" t="s">
        <v>434</v>
      </c>
      <c r="F118" s="4" t="s">
        <v>9076</v>
      </c>
      <c r="G118" s="9">
        <v>14</v>
      </c>
      <c r="H118" s="75">
        <v>20</v>
      </c>
      <c r="I118" s="1">
        <v>3.5</v>
      </c>
      <c r="J118" s="1">
        <v>5.3</v>
      </c>
      <c r="K118" s="11" t="s">
        <v>352</v>
      </c>
      <c r="L118" s="85" t="s">
        <v>17</v>
      </c>
      <c r="M118" s="4" t="s">
        <v>401</v>
      </c>
      <c r="N118" s="2">
        <v>20</v>
      </c>
      <c r="O118" s="2">
        <v>24</v>
      </c>
      <c r="P118" s="12">
        <v>125</v>
      </c>
      <c r="Q118" s="12" t="s">
        <v>408</v>
      </c>
      <c r="R118" s="12">
        <v>192</v>
      </c>
      <c r="S118" s="12" t="s">
        <v>413</v>
      </c>
      <c r="T118" s="12">
        <v>2</v>
      </c>
      <c r="U118" s="12" t="s">
        <v>2285</v>
      </c>
      <c r="V118" s="75" t="s">
        <v>418</v>
      </c>
      <c r="W118" s="75">
        <v>4</v>
      </c>
      <c r="X118" s="12">
        <v>8</v>
      </c>
      <c r="Y118" s="9">
        <v>246.59</v>
      </c>
      <c r="Z118" s="3">
        <v>1093.3699999999999</v>
      </c>
      <c r="AA118" s="66" t="s">
        <v>118</v>
      </c>
      <c r="AB118" s="66" t="s">
        <v>117</v>
      </c>
      <c r="AC118" s="79" t="s">
        <v>8799</v>
      </c>
      <c r="AD118" s="80" t="s">
        <v>8802</v>
      </c>
      <c r="AE118" s="49" cm="1">
        <f t="array" ref="AE118">(SUMPRODUCT((G118:J118/G$9:J$9)^G$7:J$7 * G$2:J$2) + SUMPRODUCT((N118:P118/N$9:P$9)^N$7:P$7 * N$2:P$2) + (VALUE(TRIM(MID(S118,FIND(",",S118)+1,LEN(S118))))/S$9)^S$7 * S$2 + (T118/T$9)^T$7 * T$2) * AE$9</f>
        <v>1.8739440982063544</v>
      </c>
      <c r="AF118" s="1" cm="1">
        <f t="array" ref="AF118">(SUMPRODUCT((G118:J118/G$9:J$9)^G$7:J$7 * G$3:J$3) + SUMPRODUCT((N118:P118/N$9:P$9)^N$7:P$7 * N$3:P$3) + (VALUE(TRIM(MID(S118,FIND(",",S118)+1,LEN(S118))))/S$9)^S$7 * S$3 + (T118/T$9)^T$7 * T$3) * AE$9</f>
        <v>2.4192829454207172</v>
      </c>
      <c r="AG118" s="1" cm="1">
        <f t="array" ref="AG118">(SUMPRODUCT((G118:J118/G$9:J$9)^G$7:J$7 * G$4:J$4) + SUMPRODUCT((N118:P118/N$9:P$9)^N$7:P$7 * N$4:P$4) + (VALUE(TRIM(MID(S118,FIND(",",S118)+1,LEN(S118))))/S$9)^S$7 * S$4 + (T118/T$9)^T$7 * T$4) * AE$9</f>
        <v>2.5757799379016126</v>
      </c>
      <c r="AH118" s="10" cm="1">
        <f t="array" ref="AH118">(SUMPRODUCT((G118:J118/G$9:J$9)^G$7:J$7 * G$5:J$5) + SUMPRODUCT((N118:P118/N$9:P$9)^N$7:P$7 * N$5:P$5) + (VALUE(TRIM(MID(S118,FIND(",",S118)+1,LEN(S118))))/S$9)^S$7 * S$5 + (T118/T$9)^T$7 * T$5) * AE$9</f>
        <v>2.4192829454207172</v>
      </c>
      <c r="AI118" s="50" cm="1">
        <f t="array" ref="AI118">SUMPRODUCT(AE118:AH118 * AE$3:AH$3) / SUM(AE$3:AH$3)</f>
        <v>2.3175119795221559</v>
      </c>
      <c r="AJ118" s="12"/>
    </row>
    <row r="119" spans="1:36" s="83" customFormat="1" x14ac:dyDescent="0.25">
      <c r="A119" s="5" t="s">
        <v>114</v>
      </c>
      <c r="B119" s="16" t="s">
        <v>116</v>
      </c>
      <c r="C119" s="4" t="s">
        <v>428</v>
      </c>
      <c r="D119" s="90" t="s">
        <v>9099</v>
      </c>
      <c r="E119" s="75" t="s">
        <v>434</v>
      </c>
      <c r="F119" s="4" t="s">
        <v>9076</v>
      </c>
      <c r="G119" s="9">
        <v>14</v>
      </c>
      <c r="H119" s="3">
        <v>20</v>
      </c>
      <c r="I119" s="1">
        <v>3.5</v>
      </c>
      <c r="J119" s="1">
        <v>5.3</v>
      </c>
      <c r="K119" s="11" t="s">
        <v>352</v>
      </c>
      <c r="L119" s="85" t="s">
        <v>17</v>
      </c>
      <c r="M119" s="4" t="s">
        <v>401</v>
      </c>
      <c r="N119" s="2">
        <v>20</v>
      </c>
      <c r="O119" s="2">
        <v>24</v>
      </c>
      <c r="P119" s="12">
        <v>125</v>
      </c>
      <c r="Q119" s="12" t="s">
        <v>408</v>
      </c>
      <c r="R119" s="12">
        <v>192</v>
      </c>
      <c r="S119" s="12" t="s">
        <v>413</v>
      </c>
      <c r="T119" s="12">
        <v>2</v>
      </c>
      <c r="U119" s="12" t="s">
        <v>2285</v>
      </c>
      <c r="V119" s="75" t="s">
        <v>418</v>
      </c>
      <c r="W119" s="75">
        <v>4</v>
      </c>
      <c r="X119" s="12">
        <v>8</v>
      </c>
      <c r="Y119" s="9">
        <v>228.09</v>
      </c>
      <c r="Z119" s="3">
        <v>1005.55</v>
      </c>
      <c r="AA119" s="66" t="s">
        <v>115</v>
      </c>
      <c r="AB119" s="66" t="s">
        <v>114</v>
      </c>
      <c r="AC119" s="79" t="s">
        <v>8799</v>
      </c>
      <c r="AD119" s="80" t="s">
        <v>8802</v>
      </c>
      <c r="AE119" s="49" cm="1">
        <f t="array" ref="AE119">(SUMPRODUCT((G119:J119/G$9:J$9)^G$7:J$7 * G$2:J$2) + SUMPRODUCT((N119:P119/N$9:P$9)^N$7:P$7 * N$2:P$2) + (VALUE(TRIM(MID(S119,FIND(",",S119)+1,LEN(S119))))/S$9)^S$7 * S$2 + (T119/T$9)^T$7 * T$2) * AE$9</f>
        <v>1.8739440982063544</v>
      </c>
      <c r="AF119" s="1" cm="1">
        <f t="array" ref="AF119">(SUMPRODUCT((G119:J119/G$9:J$9)^G$7:J$7 * G$3:J$3) + SUMPRODUCT((N119:P119/N$9:P$9)^N$7:P$7 * N$3:P$3) + (VALUE(TRIM(MID(S119,FIND(",",S119)+1,LEN(S119))))/S$9)^S$7 * S$3 + (T119/T$9)^T$7 * T$3) * AE$9</f>
        <v>2.4192829454207172</v>
      </c>
      <c r="AG119" s="1" cm="1">
        <f t="array" ref="AG119">(SUMPRODUCT((G119:J119/G$9:J$9)^G$7:J$7 * G$4:J$4) + SUMPRODUCT((N119:P119/N$9:P$9)^N$7:P$7 * N$4:P$4) + (VALUE(TRIM(MID(S119,FIND(",",S119)+1,LEN(S119))))/S$9)^S$7 * S$4 + (T119/T$9)^T$7 * T$4) * AE$9</f>
        <v>2.5757799379016126</v>
      </c>
      <c r="AH119" s="10" cm="1">
        <f t="array" ref="AH119">(SUMPRODUCT((G119:J119/G$9:J$9)^G$7:J$7 * G$5:J$5) + SUMPRODUCT((N119:P119/N$9:P$9)^N$7:P$7 * N$5:P$5) + (VALUE(TRIM(MID(S119,FIND(",",S119)+1,LEN(S119))))/S$9)^S$7 * S$5 + (T119/T$9)^T$7 * T$5) * AE$9</f>
        <v>2.4192829454207172</v>
      </c>
      <c r="AI119" s="50" cm="1">
        <f t="array" ref="AI119">SUMPRODUCT(AE119:AH119 * AE$3:AH$3) / SUM(AE$3:AH$3)</f>
        <v>2.3175119795221559</v>
      </c>
      <c r="AJ119" s="12"/>
    </row>
    <row r="120" spans="1:36" s="83" customFormat="1" x14ac:dyDescent="0.25">
      <c r="A120" s="5" t="s">
        <v>111</v>
      </c>
      <c r="B120" s="16" t="s">
        <v>113</v>
      </c>
      <c r="C120" s="4" t="s">
        <v>428</v>
      </c>
      <c r="D120" s="90" t="s">
        <v>9099</v>
      </c>
      <c r="E120" s="75" t="s">
        <v>434</v>
      </c>
      <c r="F120" s="4" t="s">
        <v>9076</v>
      </c>
      <c r="G120" s="9">
        <v>14</v>
      </c>
      <c r="H120" s="3">
        <v>20</v>
      </c>
      <c r="I120" s="1">
        <v>1.8</v>
      </c>
      <c r="J120" s="1">
        <v>5.0999999999999996</v>
      </c>
      <c r="K120" s="11" t="s">
        <v>352</v>
      </c>
      <c r="L120" s="85" t="s">
        <v>17</v>
      </c>
      <c r="M120" s="4" t="s">
        <v>401</v>
      </c>
      <c r="N120" s="2">
        <v>20</v>
      </c>
      <c r="O120" s="2">
        <v>24</v>
      </c>
      <c r="P120" s="12">
        <v>35</v>
      </c>
      <c r="Q120" s="12" t="s">
        <v>408</v>
      </c>
      <c r="R120" s="12">
        <v>192</v>
      </c>
      <c r="S120" s="12" t="s">
        <v>413</v>
      </c>
      <c r="T120" s="12">
        <v>2</v>
      </c>
      <c r="U120" s="12" t="s">
        <v>2285</v>
      </c>
      <c r="V120" s="75" t="s">
        <v>418</v>
      </c>
      <c r="W120" s="75">
        <v>4</v>
      </c>
      <c r="X120" s="12">
        <v>8</v>
      </c>
      <c r="Y120" s="9">
        <v>285.98</v>
      </c>
      <c r="Z120" s="3">
        <v>369.9</v>
      </c>
      <c r="AA120" s="66" t="s">
        <v>112</v>
      </c>
      <c r="AB120" s="66" t="s">
        <v>111</v>
      </c>
      <c r="AC120" s="79" t="s">
        <v>8801</v>
      </c>
      <c r="AD120" s="80" t="s">
        <v>8802</v>
      </c>
      <c r="AE120" s="49" cm="1">
        <f t="array" ref="AE120">(SUMPRODUCT((G120:J120/G$9:J$9)^G$7:J$7 * G$2:J$2) + SUMPRODUCT((N120:P120/N$9:P$9)^N$7:P$7 * N$2:P$2) + (VALUE(TRIM(MID(S120,FIND(",",S120)+1,LEN(S120))))/S$9)^S$7 * S$2 + (T120/T$9)^T$7 * T$2) * AE$9</f>
        <v>1.8412053395661621</v>
      </c>
      <c r="AF120" s="1" cm="1">
        <f t="array" ref="AF120">(SUMPRODUCT((G120:J120/G$9:J$9)^G$7:J$7 * G$3:J$3) + SUMPRODUCT((N120:P120/N$9:P$9)^N$7:P$7 * N$3:P$3) + (VALUE(TRIM(MID(S120,FIND(",",S120)+1,LEN(S120))))/S$9)^S$7 * S$3 + (T120/T$9)^T$7 * T$3) * AE$9</f>
        <v>2.4041040422910971</v>
      </c>
      <c r="AG120" s="1" cm="1">
        <f t="array" ref="AG120">(SUMPRODUCT((G120:J120/G$9:J$9)^G$7:J$7 * G$4:J$4) + SUMPRODUCT((N120:P120/N$9:P$9)^N$7:P$7 * N$4:P$4) + (VALUE(TRIM(MID(S120,FIND(",",S120)+1,LEN(S120))))/S$9)^S$7 * S$4 + (T120/T$9)^T$7 * T$4) * AE$9</f>
        <v>2.5842319871529451</v>
      </c>
      <c r="AH120" s="10" cm="1">
        <f t="array" ref="AH120">(SUMPRODUCT((G120:J120/G$9:J$9)^G$7:J$7 * G$5:J$5) + SUMPRODUCT((N120:P120/N$9:P$9)^N$7:P$7 * N$5:P$5) + (VALUE(TRIM(MID(S120,FIND(",",S120)+1,LEN(S120))))/S$9)^S$7 * S$5 + (T120/T$9)^T$7 * T$5) * AE$9</f>
        <v>2.4041040422910971</v>
      </c>
      <c r="AI120" s="50" cm="1">
        <f t="array" ref="AI120">SUMPRODUCT(AE120:AH120 * AE$3:AH$3) / SUM(AE$3:AH$3)</f>
        <v>2.3019163331794732</v>
      </c>
      <c r="AJ120" s="12"/>
    </row>
    <row r="121" spans="1:36" x14ac:dyDescent="0.25">
      <c r="A121" s="5" t="s">
        <v>78</v>
      </c>
      <c r="B121" s="16" t="s">
        <v>80</v>
      </c>
      <c r="C121" s="4" t="s">
        <v>428</v>
      </c>
      <c r="D121" s="90" t="s">
        <v>9100</v>
      </c>
      <c r="E121" s="75" t="s">
        <v>435</v>
      </c>
      <c r="F121" s="4" t="s">
        <v>9076</v>
      </c>
      <c r="G121" s="9">
        <v>20</v>
      </c>
      <c r="H121" s="75">
        <v>28</v>
      </c>
      <c r="I121" s="1">
        <v>2.1</v>
      </c>
      <c r="J121" s="1">
        <v>5.4</v>
      </c>
      <c r="K121" s="11" t="s">
        <v>352</v>
      </c>
      <c r="L121" s="85" t="s">
        <v>17</v>
      </c>
      <c r="M121" s="4" t="s">
        <v>401</v>
      </c>
      <c r="N121" s="2">
        <v>28</v>
      </c>
      <c r="O121" s="2">
        <v>33</v>
      </c>
      <c r="P121" s="12">
        <v>65</v>
      </c>
      <c r="Q121" s="12" t="s">
        <v>408</v>
      </c>
      <c r="R121" s="12">
        <v>192</v>
      </c>
      <c r="S121" s="12" t="s">
        <v>413</v>
      </c>
      <c r="T121" s="12">
        <v>2</v>
      </c>
      <c r="U121" s="12" t="s">
        <v>2285</v>
      </c>
      <c r="V121" s="75" t="s">
        <v>418</v>
      </c>
      <c r="W121" s="75">
        <v>4</v>
      </c>
      <c r="X121" s="12">
        <v>8</v>
      </c>
      <c r="Y121" s="9">
        <v>348.7</v>
      </c>
      <c r="Z121" s="3">
        <v>484</v>
      </c>
      <c r="AA121" s="66" t="s">
        <v>79</v>
      </c>
      <c r="AB121" s="66" t="s">
        <v>78</v>
      </c>
      <c r="AC121" s="79" t="s">
        <v>8799</v>
      </c>
      <c r="AD121" s="80" t="s">
        <v>8800</v>
      </c>
      <c r="AE121" s="49" cm="1">
        <f t="array" ref="AE121">(SUMPRODUCT((G121:J121/G$9:J$9)^G$7:J$7 * G$2:J$2) + SUMPRODUCT((N121:P121/N$9:P$9)^N$7:P$7 * N$2:P$2) + (VALUE(TRIM(MID(S121,FIND(",",S121)+1,LEN(S121))))/S$9)^S$7 * S$2 + (T121/T$9)^T$7 * T$2) * AE$9</f>
        <v>2.2525751587397629</v>
      </c>
      <c r="AF121" s="1" cm="1">
        <f t="array" ref="AF121">(SUMPRODUCT((G121:J121/G$9:J$9)^G$7:J$7 * G$3:J$3) + SUMPRODUCT((N121:P121/N$9:P$9)^N$7:P$7 * N$3:P$3) + (VALUE(TRIM(MID(S121,FIND(",",S121)+1,LEN(S121))))/S$9)^S$7 * S$3 + (T121/T$9)^T$7 * T$3) * AE$9</f>
        <v>3.0783684029781009</v>
      </c>
      <c r="AG121" s="1" cm="1">
        <f t="array" ref="AG121">(SUMPRODUCT((G121:J121/G$9:J$9)^G$7:J$7 * G$4:J$4) + SUMPRODUCT((N121:P121/N$9:P$9)^N$7:P$7 * N$4:P$4) + (VALUE(TRIM(MID(S121,FIND(",",S121)+1,LEN(S121))))/S$9)^S$7 * S$4 + (T121/T$9)^T$7 * T$4) * AE$9</f>
        <v>3.3456876497022137</v>
      </c>
      <c r="AH121" s="10" cm="1">
        <f t="array" ref="AH121">(SUMPRODUCT((G121:J121/G$9:J$9)^G$7:J$7 * G$5:J$5) + SUMPRODUCT((N121:P121/N$9:P$9)^N$7:P$7 * N$5:P$5) + (VALUE(TRIM(MID(S121,FIND(",",S121)+1,LEN(S121))))/S$9)^S$7 * S$5 + (T121/T$9)^T$7 * T$5) * AE$9</f>
        <v>3.0783684029781009</v>
      </c>
      <c r="AI121" s="50" cm="1">
        <f t="array" ref="AI121">SUMPRODUCT(AE121:AH121 * AE$3:AH$3) / SUM(AE$3:AH$3)</f>
        <v>2.9289267691883478</v>
      </c>
    </row>
    <row r="122" spans="1:36" x14ac:dyDescent="0.25">
      <c r="A122" s="5" t="s">
        <v>75</v>
      </c>
      <c r="B122" s="16" t="s">
        <v>77</v>
      </c>
      <c r="C122" s="4" t="s">
        <v>428</v>
      </c>
      <c r="D122" s="90" t="s">
        <v>9100</v>
      </c>
      <c r="E122" s="75" t="s">
        <v>435</v>
      </c>
      <c r="F122" s="4" t="s">
        <v>9076</v>
      </c>
      <c r="G122" s="9">
        <v>20</v>
      </c>
      <c r="H122" s="3">
        <v>28</v>
      </c>
      <c r="I122" s="1">
        <v>2.1</v>
      </c>
      <c r="J122" s="1">
        <v>5.4</v>
      </c>
      <c r="K122" s="11" t="s">
        <v>352</v>
      </c>
      <c r="L122" s="85" t="s">
        <v>17</v>
      </c>
      <c r="M122" s="4" t="s">
        <v>401</v>
      </c>
      <c r="N122" s="2">
        <v>28</v>
      </c>
      <c r="O122" s="2">
        <v>33</v>
      </c>
      <c r="P122" s="12">
        <v>65</v>
      </c>
      <c r="Q122" s="12" t="s">
        <v>408</v>
      </c>
      <c r="R122" s="12">
        <v>192</v>
      </c>
      <c r="S122" s="12" t="s">
        <v>413</v>
      </c>
      <c r="T122" s="12">
        <v>2</v>
      </c>
      <c r="U122" s="12" t="s">
        <v>2285</v>
      </c>
      <c r="V122" s="75" t="s">
        <v>418</v>
      </c>
      <c r="W122" s="75">
        <v>4</v>
      </c>
      <c r="X122" s="12">
        <v>8</v>
      </c>
      <c r="Y122" s="9">
        <v>334.22</v>
      </c>
      <c r="Z122" s="3">
        <v>469</v>
      </c>
      <c r="AA122" s="66" t="s">
        <v>76</v>
      </c>
      <c r="AB122" s="66" t="s">
        <v>75</v>
      </c>
      <c r="AC122" s="79" t="s">
        <v>8799</v>
      </c>
      <c r="AD122" s="80" t="s">
        <v>8800</v>
      </c>
      <c r="AE122" s="49" cm="1">
        <f t="array" ref="AE122">(SUMPRODUCT((G122:J122/G$9:J$9)^G$7:J$7 * G$2:J$2) + SUMPRODUCT((N122:P122/N$9:P$9)^N$7:P$7 * N$2:P$2) + (VALUE(TRIM(MID(S122,FIND(",",S122)+1,LEN(S122))))/S$9)^S$7 * S$2 + (T122/T$9)^T$7 * T$2) * AE$9</f>
        <v>2.2525751587397629</v>
      </c>
      <c r="AF122" s="1" cm="1">
        <f t="array" ref="AF122">(SUMPRODUCT((G122:J122/G$9:J$9)^G$7:J$7 * G$3:J$3) + SUMPRODUCT((N122:P122/N$9:P$9)^N$7:P$7 * N$3:P$3) + (VALUE(TRIM(MID(S122,FIND(",",S122)+1,LEN(S122))))/S$9)^S$7 * S$3 + (T122/T$9)^T$7 * T$3) * AE$9</f>
        <v>3.0783684029781009</v>
      </c>
      <c r="AG122" s="1" cm="1">
        <f t="array" ref="AG122">(SUMPRODUCT((G122:J122/G$9:J$9)^G$7:J$7 * G$4:J$4) + SUMPRODUCT((N122:P122/N$9:P$9)^N$7:P$7 * N$4:P$4) + (VALUE(TRIM(MID(S122,FIND(",",S122)+1,LEN(S122))))/S$9)^S$7 * S$4 + (T122/T$9)^T$7 * T$4) * AE$9</f>
        <v>3.3456876497022137</v>
      </c>
      <c r="AH122" s="10" cm="1">
        <f t="array" ref="AH122">(SUMPRODUCT((G122:J122/G$9:J$9)^G$7:J$7 * G$5:J$5) + SUMPRODUCT((N122:P122/N$9:P$9)^N$7:P$7 * N$5:P$5) + (VALUE(TRIM(MID(S122,FIND(",",S122)+1,LEN(S122))))/S$9)^S$7 * S$5 + (T122/T$9)^T$7 * T$5) * AE$9</f>
        <v>3.0783684029781009</v>
      </c>
      <c r="AI122" s="50" cm="1">
        <f t="array" ref="AI122">SUMPRODUCT(AE122:AH122 * AE$3:AH$3) / SUM(AE$3:AH$3)</f>
        <v>2.9289267691883478</v>
      </c>
    </row>
    <row r="123" spans="1:36" x14ac:dyDescent="0.25">
      <c r="A123" s="5" t="s">
        <v>72</v>
      </c>
      <c r="B123" s="16" t="s">
        <v>74</v>
      </c>
      <c r="C123" s="4" t="s">
        <v>428</v>
      </c>
      <c r="D123" s="90" t="s">
        <v>9100</v>
      </c>
      <c r="E123" s="75" t="s">
        <v>435</v>
      </c>
      <c r="F123" s="4" t="s">
        <v>9076</v>
      </c>
      <c r="G123" s="9">
        <v>20</v>
      </c>
      <c r="H123" s="3">
        <v>28</v>
      </c>
      <c r="I123" s="1">
        <v>3.4</v>
      </c>
      <c r="J123" s="1">
        <v>5.6</v>
      </c>
      <c r="K123" s="11" t="s">
        <v>352</v>
      </c>
      <c r="L123" s="85" t="s">
        <v>17</v>
      </c>
      <c r="M123" s="4" t="s">
        <v>401</v>
      </c>
      <c r="N123" s="2">
        <v>28</v>
      </c>
      <c r="O123" s="2">
        <v>33</v>
      </c>
      <c r="P123" s="12">
        <v>125</v>
      </c>
      <c r="Q123" s="12" t="s">
        <v>408</v>
      </c>
      <c r="R123" s="12">
        <v>192</v>
      </c>
      <c r="S123" s="12" t="s">
        <v>413</v>
      </c>
      <c r="T123" s="12">
        <v>2</v>
      </c>
      <c r="U123" s="12" t="s">
        <v>2285</v>
      </c>
      <c r="V123" s="75" t="s">
        <v>418</v>
      </c>
      <c r="W123" s="75">
        <v>4</v>
      </c>
      <c r="X123" s="12">
        <v>8</v>
      </c>
      <c r="Y123" s="9">
        <v>381.79</v>
      </c>
      <c r="Z123" s="3">
        <v>571</v>
      </c>
      <c r="AA123" s="66" t="s">
        <v>73</v>
      </c>
      <c r="AB123" s="66" t="s">
        <v>72</v>
      </c>
      <c r="AC123" s="79" t="s">
        <v>8799</v>
      </c>
      <c r="AD123" s="80" t="s">
        <v>8802</v>
      </c>
      <c r="AE123" s="49" cm="1">
        <f t="array" ref="AE123">(SUMPRODUCT((G123:J123/G$9:J$9)^G$7:J$7 * G$2:J$2) + SUMPRODUCT((N123:P123/N$9:P$9)^N$7:P$7 * N$2:P$2) + (VALUE(TRIM(MID(S123,FIND(",",S123)+1,LEN(S123))))/S$9)^S$7 * S$2 + (T123/T$9)^T$7 * T$2) * AE$9</f>
        <v>2.3015909461538047</v>
      </c>
      <c r="AF123" s="1" cm="1">
        <f t="array" ref="AF123">(SUMPRODUCT((G123:J123/G$9:J$9)^G$7:J$7 * G$3:J$3) + SUMPRODUCT((N123:P123/N$9:P$9)^N$7:P$7 * N$3:P$3) + (VALUE(TRIM(MID(S123,FIND(",",S123)+1,LEN(S123))))/S$9)^S$7 * S$3 + (T123/T$9)^T$7 * T$3) * AE$9</f>
        <v>3.1016858204946454</v>
      </c>
      <c r="AG123" s="1" cm="1">
        <f t="array" ref="AG123">(SUMPRODUCT((G123:J123/G$9:J$9)^G$7:J$7 * G$4:J$4) + SUMPRODUCT((N123:P123/N$9:P$9)^N$7:P$7 * N$4:P$4) + (VALUE(TRIM(MID(S123,FIND(",",S123)+1,LEN(S123))))/S$9)^S$7 * S$4 + (T123/T$9)^T$7 * T$4) * AE$9</f>
        <v>3.3503741148378059</v>
      </c>
      <c r="AH123" s="10" cm="1">
        <f t="array" ref="AH123">(SUMPRODUCT((G123:J123/G$9:J$9)^G$7:J$7 * G$5:J$5) + SUMPRODUCT((N123:P123/N$9:P$9)^N$7:P$7 * N$5:P$5) + (VALUE(TRIM(MID(S123,FIND(",",S123)+1,LEN(S123))))/S$9)^S$7 * S$5 + (T123/T$9)^T$7 * T$5) * AE$9</f>
        <v>3.1016858204946454</v>
      </c>
      <c r="AI123" s="50" cm="1">
        <f t="array" ref="AI123">SUMPRODUCT(AE123:AH123 * AE$3:AH$3) / SUM(AE$3:AH$3)</f>
        <v>2.9553082793918608</v>
      </c>
    </row>
    <row r="124" spans="1:36" x14ac:dyDescent="0.25">
      <c r="A124" s="5" t="s">
        <v>69</v>
      </c>
      <c r="B124" s="16" t="s">
        <v>71</v>
      </c>
      <c r="C124" s="4" t="s">
        <v>428</v>
      </c>
      <c r="D124" s="90" t="s">
        <v>9100</v>
      </c>
      <c r="E124" s="75" t="s">
        <v>435</v>
      </c>
      <c r="F124" s="4" t="s">
        <v>9076</v>
      </c>
      <c r="G124" s="9">
        <v>20</v>
      </c>
      <c r="H124" s="75">
        <v>28</v>
      </c>
      <c r="I124" s="1">
        <v>3.4</v>
      </c>
      <c r="J124" s="1">
        <v>5.6</v>
      </c>
      <c r="K124" s="11" t="s">
        <v>352</v>
      </c>
      <c r="L124" s="85" t="s">
        <v>17</v>
      </c>
      <c r="M124" s="4" t="s">
        <v>401</v>
      </c>
      <c r="N124" s="2">
        <v>28</v>
      </c>
      <c r="O124" s="2">
        <v>33</v>
      </c>
      <c r="P124" s="12">
        <v>125</v>
      </c>
      <c r="Q124" s="12" t="s">
        <v>408</v>
      </c>
      <c r="R124" s="12">
        <v>192</v>
      </c>
      <c r="S124" s="12" t="s">
        <v>413</v>
      </c>
      <c r="T124" s="12">
        <v>2</v>
      </c>
      <c r="U124" s="12" t="s">
        <v>2285</v>
      </c>
      <c r="V124" s="75" t="s">
        <v>418</v>
      </c>
      <c r="W124" s="75">
        <v>4</v>
      </c>
      <c r="X124" s="12">
        <v>8</v>
      </c>
      <c r="Y124" s="9">
        <v>357.94</v>
      </c>
      <c r="Z124" s="3">
        <v>685</v>
      </c>
      <c r="AA124" s="66" t="s">
        <v>70</v>
      </c>
      <c r="AB124" s="66" t="s">
        <v>69</v>
      </c>
      <c r="AC124" s="79" t="s">
        <v>8799</v>
      </c>
      <c r="AD124" s="80" t="s">
        <v>8802</v>
      </c>
      <c r="AE124" s="49" cm="1">
        <f t="array" ref="AE124">(SUMPRODUCT((G124:J124/G$9:J$9)^G$7:J$7 * G$2:J$2) + SUMPRODUCT((N124:P124/N$9:P$9)^N$7:P$7 * N$2:P$2) + (VALUE(TRIM(MID(S124,FIND(",",S124)+1,LEN(S124))))/S$9)^S$7 * S$2 + (T124/T$9)^T$7 * T$2) * AE$9</f>
        <v>2.3015909461538047</v>
      </c>
      <c r="AF124" s="1" cm="1">
        <f t="array" ref="AF124">(SUMPRODUCT((G124:J124/G$9:J$9)^G$7:J$7 * G$3:J$3) + SUMPRODUCT((N124:P124/N$9:P$9)^N$7:P$7 * N$3:P$3) + (VALUE(TRIM(MID(S124,FIND(",",S124)+1,LEN(S124))))/S$9)^S$7 * S$3 + (T124/T$9)^T$7 * T$3) * AE$9</f>
        <v>3.1016858204946454</v>
      </c>
      <c r="AG124" s="1" cm="1">
        <f t="array" ref="AG124">(SUMPRODUCT((G124:J124/G$9:J$9)^G$7:J$7 * G$4:J$4) + SUMPRODUCT((N124:P124/N$9:P$9)^N$7:P$7 * N$4:P$4) + (VALUE(TRIM(MID(S124,FIND(",",S124)+1,LEN(S124))))/S$9)^S$7 * S$4 + (T124/T$9)^T$7 * T$4) * AE$9</f>
        <v>3.3503741148378059</v>
      </c>
      <c r="AH124" s="10" cm="1">
        <f t="array" ref="AH124">(SUMPRODUCT((G124:J124/G$9:J$9)^G$7:J$7 * G$5:J$5) + SUMPRODUCT((N124:P124/N$9:P$9)^N$7:P$7 * N$5:P$5) + (VALUE(TRIM(MID(S124,FIND(",",S124)+1,LEN(S124))))/S$9)^S$7 * S$5 + (T124/T$9)^T$7 * T$5) * AE$9</f>
        <v>3.1016858204946454</v>
      </c>
      <c r="AI124" s="50" cm="1">
        <f t="array" ref="AI124">SUMPRODUCT(AE124:AH124 * AE$3:AH$3) / SUM(AE$3:AH$3)</f>
        <v>2.9553082793918608</v>
      </c>
    </row>
    <row r="125" spans="1:36" x14ac:dyDescent="0.25">
      <c r="A125" s="5" t="s">
        <v>66</v>
      </c>
      <c r="B125" s="16" t="s">
        <v>68</v>
      </c>
      <c r="C125" s="4" t="s">
        <v>428</v>
      </c>
      <c r="D125" s="90" t="s">
        <v>9100</v>
      </c>
      <c r="E125" s="75" t="s">
        <v>435</v>
      </c>
      <c r="F125" s="4" t="s">
        <v>9076</v>
      </c>
      <c r="G125" s="9">
        <v>20</v>
      </c>
      <c r="H125" s="3">
        <v>28</v>
      </c>
      <c r="I125" s="1">
        <v>1.3</v>
      </c>
      <c r="J125" s="1">
        <v>5.2</v>
      </c>
      <c r="K125" s="11" t="s">
        <v>352</v>
      </c>
      <c r="L125" s="85" t="s">
        <v>17</v>
      </c>
      <c r="M125" s="4" t="s">
        <v>401</v>
      </c>
      <c r="N125" s="2">
        <v>28</v>
      </c>
      <c r="O125" s="2">
        <v>33</v>
      </c>
      <c r="P125" s="12">
        <v>35</v>
      </c>
      <c r="Q125" s="12" t="s">
        <v>408</v>
      </c>
      <c r="R125" s="12">
        <v>192</v>
      </c>
      <c r="S125" s="12" t="s">
        <v>413</v>
      </c>
      <c r="T125" s="12">
        <v>2</v>
      </c>
      <c r="U125" s="12" t="s">
        <v>2285</v>
      </c>
      <c r="V125" s="75" t="s">
        <v>418</v>
      </c>
      <c r="W125" s="75">
        <v>4</v>
      </c>
      <c r="X125" s="12">
        <v>8</v>
      </c>
      <c r="Y125" s="9">
        <v>437.73</v>
      </c>
      <c r="Z125" s="3">
        <v>554.9</v>
      </c>
      <c r="AA125" s="66" t="s">
        <v>67</v>
      </c>
      <c r="AB125" s="66" t="s">
        <v>66</v>
      </c>
      <c r="AC125" s="79" t="s">
        <v>8801</v>
      </c>
      <c r="AD125" s="80" t="s">
        <v>8802</v>
      </c>
      <c r="AE125" s="49" cm="1">
        <f t="array" ref="AE125">(SUMPRODUCT((G125:J125/G$9:J$9)^G$7:J$7 * G$2:J$2) + SUMPRODUCT((N125:P125/N$9:P$9)^N$7:P$7 * N$2:P$2) + (VALUE(TRIM(MID(S125,FIND(",",S125)+1,LEN(S125))))/S$9)^S$7 * S$2 + (T125/T$9)^T$7 * T$2) * AE$9</f>
        <v>2.2369474256088506</v>
      </c>
      <c r="AF125" s="1" cm="1">
        <f t="array" ref="AF125">(SUMPRODUCT((G125:J125/G$9:J$9)^G$7:J$7 * G$3:J$3) + SUMPRODUCT((N125:P125/N$9:P$9)^N$7:P$7 * N$3:P$3) + (VALUE(TRIM(MID(S125,FIND(",",S125)+1,LEN(S125))))/S$9)^S$7 * S$3 + (T125/T$9)^T$7 * T$3) * AE$9</f>
        <v>3.0717450126031207</v>
      </c>
      <c r="AG125" s="1" cm="1">
        <f t="array" ref="AG125">(SUMPRODUCT((G125:J125/G$9:J$9)^G$7:J$7 * G$4:J$4) + SUMPRODUCT((N125:P125/N$9:P$9)^N$7:P$7 * N$4:P$4) + (VALUE(TRIM(MID(S125,FIND(",",S125)+1,LEN(S125))))/S$9)^S$7 * S$4 + (T125/T$9)^T$7 * T$4) * AE$9</f>
        <v>3.3514452117081857</v>
      </c>
      <c r="AH125" s="10" cm="1">
        <f t="array" ref="AH125">(SUMPRODUCT((G125:J125/G$9:J$9)^G$7:J$7 * G$5:J$5) + SUMPRODUCT((N125:P125/N$9:P$9)^N$7:P$7 * N$5:P$5) + (VALUE(TRIM(MID(S125,FIND(",",S125)+1,LEN(S125))))/S$9)^S$7 * S$5 + (T125/T$9)^T$7 * T$5) * AE$9</f>
        <v>3.0717450126031207</v>
      </c>
      <c r="AI125" s="50" cm="1">
        <f t="array" ref="AI125">SUMPRODUCT(AE125:AH125 * AE$3:AH$3) / SUM(AE$3:AH$3)</f>
        <v>2.9221302154667605</v>
      </c>
    </row>
    <row r="126" spans="1:36" s="83" customFormat="1" x14ac:dyDescent="0.25">
      <c r="A126" s="5" t="s">
        <v>30</v>
      </c>
      <c r="B126" s="16" t="s">
        <v>32</v>
      </c>
      <c r="C126" s="4" t="s">
        <v>428</v>
      </c>
      <c r="D126" s="90" t="s">
        <v>9101</v>
      </c>
      <c r="E126" s="75" t="s">
        <v>436</v>
      </c>
      <c r="F126" s="4" t="s">
        <v>9076</v>
      </c>
      <c r="G126" s="9">
        <v>24</v>
      </c>
      <c r="H126" s="3">
        <v>32</v>
      </c>
      <c r="I126" s="1">
        <v>2</v>
      </c>
      <c r="J126" s="1">
        <v>5.8</v>
      </c>
      <c r="K126" s="11" t="s">
        <v>352</v>
      </c>
      <c r="L126" s="85" t="s">
        <v>17</v>
      </c>
      <c r="M126" s="4" t="s">
        <v>401</v>
      </c>
      <c r="N126" s="2">
        <v>32</v>
      </c>
      <c r="O126" s="2">
        <v>36</v>
      </c>
      <c r="P126" s="12">
        <v>65</v>
      </c>
      <c r="Q126" s="12" t="s">
        <v>408</v>
      </c>
      <c r="R126" s="12">
        <v>192</v>
      </c>
      <c r="S126" s="12" t="s">
        <v>413</v>
      </c>
      <c r="T126" s="12">
        <v>2</v>
      </c>
      <c r="U126" s="12" t="s">
        <v>2285</v>
      </c>
      <c r="V126" s="75" t="s">
        <v>418</v>
      </c>
      <c r="W126" s="75">
        <v>4</v>
      </c>
      <c r="X126" s="12">
        <v>8</v>
      </c>
      <c r="Y126" s="9">
        <v>613.78</v>
      </c>
      <c r="Z126" s="3">
        <v>814.9</v>
      </c>
      <c r="AA126" s="66" t="s">
        <v>31</v>
      </c>
      <c r="AB126" s="66" t="s">
        <v>30</v>
      </c>
      <c r="AC126" s="79" t="s">
        <v>8799</v>
      </c>
      <c r="AD126" s="80" t="s">
        <v>8800</v>
      </c>
      <c r="AE126" s="49" cm="1">
        <f t="array" ref="AE126">(SUMPRODUCT((G126:J126/G$9:J$9)^G$7:J$7 * G$2:J$2) + SUMPRODUCT((N126:P126/N$9:P$9)^N$7:P$7 * N$2:P$2) + (VALUE(TRIM(MID(S126,FIND(",",S126)+1,LEN(S126))))/S$9)^S$7 * S$2 + (T126/T$9)^T$7 * T$2) * AE$9</f>
        <v>2.4890547597867534</v>
      </c>
      <c r="AF126" s="1" cm="1">
        <f t="array" ref="AF126">(SUMPRODUCT((G126:J126/G$9:J$9)^G$7:J$7 * G$3:J$3) + SUMPRODUCT((N126:P126/N$9:P$9)^N$7:P$7 * N$3:P$3) + (VALUE(TRIM(MID(S126,FIND(",",S126)+1,LEN(S126))))/S$9)^S$7 * S$3 + (T126/T$9)^T$7 * T$3) * AE$9</f>
        <v>3.4336280714278042</v>
      </c>
      <c r="AG126" s="1" cm="1">
        <f t="array" ref="AG126">(SUMPRODUCT((G126:J126/G$9:J$9)^G$7:J$7 * G$4:J$4) + SUMPRODUCT((N126:P126/N$9:P$9)^N$7:P$7 * N$4:P$4) + (VALUE(TRIM(MID(S126,FIND(",",S126)+1,LEN(S126))))/S$9)^S$7 * S$4 + (T126/T$9)^T$7 * T$4) * AE$9</f>
        <v>3.7528185722748137</v>
      </c>
      <c r="AH126" s="10" cm="1">
        <f t="array" ref="AH126">(SUMPRODUCT((G126:J126/G$9:J$9)^G$7:J$7 * G$5:J$5) + SUMPRODUCT((N126:P126/N$9:P$9)^N$7:P$7 * N$5:P$5) + (VALUE(TRIM(MID(S126,FIND(",",S126)+1,LEN(S126))))/S$9)^S$7 * S$5 + (T126/T$9)^T$7 * T$5) * AE$9</f>
        <v>3.4336280714278042</v>
      </c>
      <c r="AI126" s="50" cm="1">
        <f t="array" ref="AI126">SUMPRODUCT(AE126:AH126 * AE$3:AH$3) / SUM(AE$3:AH$3)</f>
        <v>3.2647558457947943</v>
      </c>
      <c r="AJ126" s="12"/>
    </row>
    <row r="127" spans="1:36" s="83" customFormat="1" x14ac:dyDescent="0.25">
      <c r="A127" s="5" t="s">
        <v>27</v>
      </c>
      <c r="B127" s="16" t="s">
        <v>29</v>
      </c>
      <c r="C127" s="4" t="s">
        <v>428</v>
      </c>
      <c r="D127" s="90" t="s">
        <v>9101</v>
      </c>
      <c r="E127" s="75" t="s">
        <v>436</v>
      </c>
      <c r="F127" s="4" t="s">
        <v>9076</v>
      </c>
      <c r="G127" s="9">
        <v>24</v>
      </c>
      <c r="H127" s="75">
        <v>32</v>
      </c>
      <c r="I127" s="1">
        <v>2</v>
      </c>
      <c r="J127" s="1">
        <v>5.8</v>
      </c>
      <c r="K127" s="11" t="s">
        <v>352</v>
      </c>
      <c r="L127" s="85" t="s">
        <v>17</v>
      </c>
      <c r="M127" s="4" t="s">
        <v>401</v>
      </c>
      <c r="N127" s="2">
        <v>32</v>
      </c>
      <c r="O127" s="2">
        <v>36</v>
      </c>
      <c r="P127" s="12">
        <v>65</v>
      </c>
      <c r="Q127" s="12" t="s">
        <v>408</v>
      </c>
      <c r="R127" s="12">
        <v>192</v>
      </c>
      <c r="S127" s="12" t="s">
        <v>413</v>
      </c>
      <c r="T127" s="12">
        <v>2</v>
      </c>
      <c r="U127" s="12" t="s">
        <v>2285</v>
      </c>
      <c r="V127" s="75" t="s">
        <v>418</v>
      </c>
      <c r="W127" s="75">
        <v>4</v>
      </c>
      <c r="X127" s="12">
        <v>8</v>
      </c>
      <c r="Y127" s="9">
        <v>600.28</v>
      </c>
      <c r="Z127" s="3">
        <v>2594.1999999999998</v>
      </c>
      <c r="AA127" s="66" t="s">
        <v>28</v>
      </c>
      <c r="AB127" s="66" t="s">
        <v>27</v>
      </c>
      <c r="AC127" s="79" t="s">
        <v>8799</v>
      </c>
      <c r="AD127" s="80" t="s">
        <v>8800</v>
      </c>
      <c r="AE127" s="49" cm="1">
        <f t="array" ref="AE127">(SUMPRODUCT((G127:J127/G$9:J$9)^G$7:J$7 * G$2:J$2) + SUMPRODUCT((N127:P127/N$9:P$9)^N$7:P$7 * N$2:P$2) + (VALUE(TRIM(MID(S127,FIND(",",S127)+1,LEN(S127))))/S$9)^S$7 * S$2 + (T127/T$9)^T$7 * T$2) * AE$9</f>
        <v>2.4890547597867534</v>
      </c>
      <c r="AF127" s="1" cm="1">
        <f t="array" ref="AF127">(SUMPRODUCT((G127:J127/G$9:J$9)^G$7:J$7 * G$3:J$3) + SUMPRODUCT((N127:P127/N$9:P$9)^N$7:P$7 * N$3:P$3) + (VALUE(TRIM(MID(S127,FIND(",",S127)+1,LEN(S127))))/S$9)^S$7 * S$3 + (T127/T$9)^T$7 * T$3) * AE$9</f>
        <v>3.4336280714278042</v>
      </c>
      <c r="AG127" s="1" cm="1">
        <f t="array" ref="AG127">(SUMPRODUCT((G127:J127/G$9:J$9)^G$7:J$7 * G$4:J$4) + SUMPRODUCT((N127:P127/N$9:P$9)^N$7:P$7 * N$4:P$4) + (VALUE(TRIM(MID(S127,FIND(",",S127)+1,LEN(S127))))/S$9)^S$7 * S$4 + (T127/T$9)^T$7 * T$4) * AE$9</f>
        <v>3.7528185722748137</v>
      </c>
      <c r="AH127" s="10" cm="1">
        <f t="array" ref="AH127">(SUMPRODUCT((G127:J127/G$9:J$9)^G$7:J$7 * G$5:J$5) + SUMPRODUCT((N127:P127/N$9:P$9)^N$7:P$7 * N$5:P$5) + (VALUE(TRIM(MID(S127,FIND(",",S127)+1,LEN(S127))))/S$9)^S$7 * S$5 + (T127/T$9)^T$7 * T$5) * AE$9</f>
        <v>3.4336280714278042</v>
      </c>
      <c r="AI127" s="50" cm="1">
        <f t="array" ref="AI127">SUMPRODUCT(AE127:AH127 * AE$3:AH$3) / SUM(AE$3:AH$3)</f>
        <v>3.2647558457947943</v>
      </c>
      <c r="AJ127" s="12"/>
    </row>
    <row r="128" spans="1:36" s="83" customFormat="1" x14ac:dyDescent="0.25">
      <c r="A128" s="5" t="s">
        <v>24</v>
      </c>
      <c r="B128" s="16" t="s">
        <v>26</v>
      </c>
      <c r="C128" s="4" t="s">
        <v>428</v>
      </c>
      <c r="D128" s="90" t="s">
        <v>9101</v>
      </c>
      <c r="E128" s="75" t="s">
        <v>436</v>
      </c>
      <c r="F128" s="4" t="s">
        <v>9076</v>
      </c>
      <c r="G128" s="9">
        <v>24</v>
      </c>
      <c r="H128" s="3">
        <v>32</v>
      </c>
      <c r="I128" s="1">
        <v>3.2</v>
      </c>
      <c r="J128" s="1">
        <v>6</v>
      </c>
      <c r="K128" s="11" t="s">
        <v>352</v>
      </c>
      <c r="L128" s="85" t="s">
        <v>17</v>
      </c>
      <c r="M128" s="4" t="s">
        <v>401</v>
      </c>
      <c r="N128" s="2">
        <v>32</v>
      </c>
      <c r="O128" s="2">
        <v>36</v>
      </c>
      <c r="P128" s="12">
        <v>125</v>
      </c>
      <c r="Q128" s="12" t="s">
        <v>408</v>
      </c>
      <c r="R128" s="12">
        <v>192</v>
      </c>
      <c r="S128" s="12" t="s">
        <v>413</v>
      </c>
      <c r="T128" s="12">
        <v>2</v>
      </c>
      <c r="U128" s="12" t="s">
        <v>2285</v>
      </c>
      <c r="V128" s="75" t="s">
        <v>418</v>
      </c>
      <c r="W128" s="75">
        <v>4</v>
      </c>
      <c r="X128" s="12">
        <v>8</v>
      </c>
      <c r="Y128" s="9">
        <v>487.64</v>
      </c>
      <c r="Z128" s="3">
        <v>2218.7199999999998</v>
      </c>
      <c r="AA128" s="66" t="s">
        <v>25</v>
      </c>
      <c r="AB128" s="66" t="s">
        <v>24</v>
      </c>
      <c r="AC128" s="79" t="s">
        <v>8799</v>
      </c>
      <c r="AD128" s="80" t="s">
        <v>8802</v>
      </c>
      <c r="AE128" s="49" cm="1">
        <f t="array" ref="AE128">(SUMPRODUCT((G128:J128/G$9:J$9)^G$7:J$7 * G$2:J$2) + SUMPRODUCT((N128:P128/N$9:P$9)^N$7:P$7 * N$2:P$2) + (VALUE(TRIM(MID(S128,FIND(",",S128)+1,LEN(S128))))/S$9)^S$7 * S$2 + (T128/T$9)^T$7 * T$2) * AE$9</f>
        <v>2.5330705472007948</v>
      </c>
      <c r="AF128" s="1" cm="1">
        <f t="array" ref="AF128">(SUMPRODUCT((G128:J128/G$9:J$9)^G$7:J$7 * G$3:J$3) + SUMPRODUCT((N128:P128/N$9:P$9)^N$7:P$7 * N$3:P$3) + (VALUE(TRIM(MID(S128,FIND(",",S128)+1,LEN(S128))))/S$9)^S$7 * S$3 + (T128/T$9)^T$7 * T$3) * AE$9</f>
        <v>3.4544454889443492</v>
      </c>
      <c r="AG128" s="1" cm="1">
        <f t="array" ref="AG128">(SUMPRODUCT((G128:J128/G$9:J$9)^G$7:J$7 * G$4:J$4) + SUMPRODUCT((N128:P128/N$9:P$9)^N$7:P$7 * N$4:P$4) + (VALUE(TRIM(MID(S128,FIND(",",S128)+1,LEN(S128))))/S$9)^S$7 * S$4 + (T128/T$9)^T$7 * T$4) * AE$9</f>
        <v>3.7562550374104062</v>
      </c>
      <c r="AH128" s="10" cm="1">
        <f t="array" ref="AH128">(SUMPRODUCT((G128:J128/G$9:J$9)^G$7:J$7 * G$5:J$5) + SUMPRODUCT((N128:P128/N$9:P$9)^N$7:P$7 * N$5:P$5) + (VALUE(TRIM(MID(S128,FIND(",",S128)+1,LEN(S128))))/S$9)^S$7 * S$5 + (T128/T$9)^T$7 * T$5) * AE$9</f>
        <v>3.4544454889443492</v>
      </c>
      <c r="AI128" s="50" cm="1">
        <f t="array" ref="AI128">SUMPRODUCT(AE128:AH128 * AE$3:AH$3) / SUM(AE$3:AH$3)</f>
        <v>3.2882527406136912</v>
      </c>
      <c r="AJ128" s="12"/>
    </row>
    <row r="129" spans="1:36" s="83" customFormat="1" x14ac:dyDescent="0.25">
      <c r="A129" s="5" t="s">
        <v>21</v>
      </c>
      <c r="B129" s="16" t="s">
        <v>23</v>
      </c>
      <c r="C129" s="4" t="s">
        <v>428</v>
      </c>
      <c r="D129" s="90" t="s">
        <v>9101</v>
      </c>
      <c r="E129" s="75" t="s">
        <v>436</v>
      </c>
      <c r="F129" s="4" t="s">
        <v>9076</v>
      </c>
      <c r="G129" s="9">
        <v>24</v>
      </c>
      <c r="H129" s="3">
        <v>32</v>
      </c>
      <c r="I129" s="1">
        <v>3.2</v>
      </c>
      <c r="J129" s="1">
        <v>6</v>
      </c>
      <c r="K129" s="11" t="s">
        <v>352</v>
      </c>
      <c r="L129" s="85" t="s">
        <v>17</v>
      </c>
      <c r="M129" s="4" t="s">
        <v>401</v>
      </c>
      <c r="N129" s="2">
        <v>32</v>
      </c>
      <c r="O129" s="2">
        <v>36</v>
      </c>
      <c r="P129" s="12">
        <v>125</v>
      </c>
      <c r="Q129" s="12" t="s">
        <v>408</v>
      </c>
      <c r="R129" s="12">
        <v>192</v>
      </c>
      <c r="S129" s="12" t="s">
        <v>413</v>
      </c>
      <c r="T129" s="12">
        <v>2</v>
      </c>
      <c r="U129" s="12" t="s">
        <v>2285</v>
      </c>
      <c r="V129" s="75" t="s">
        <v>418</v>
      </c>
      <c r="W129" s="75">
        <v>4</v>
      </c>
      <c r="X129" s="12">
        <v>8</v>
      </c>
      <c r="Y129" s="9">
        <v>466.47</v>
      </c>
      <c r="Z129" s="3">
        <v>2092.66</v>
      </c>
      <c r="AA129" s="66" t="s">
        <v>22</v>
      </c>
      <c r="AB129" s="66" t="s">
        <v>21</v>
      </c>
      <c r="AC129" s="79" t="s">
        <v>8799</v>
      </c>
      <c r="AD129" s="80" t="s">
        <v>8802</v>
      </c>
      <c r="AE129" s="49" cm="1">
        <f t="array" ref="AE129">(SUMPRODUCT((G129:J129/G$9:J$9)^G$7:J$7 * G$2:J$2) + SUMPRODUCT((N129:P129/N$9:P$9)^N$7:P$7 * N$2:P$2) + (VALUE(TRIM(MID(S129,FIND(",",S129)+1,LEN(S129))))/S$9)^S$7 * S$2 + (T129/T$9)^T$7 * T$2) * AE$9</f>
        <v>2.5330705472007948</v>
      </c>
      <c r="AF129" s="1" cm="1">
        <f t="array" ref="AF129">(SUMPRODUCT((G129:J129/G$9:J$9)^G$7:J$7 * G$3:J$3) + SUMPRODUCT((N129:P129/N$9:P$9)^N$7:P$7 * N$3:P$3) + (VALUE(TRIM(MID(S129,FIND(",",S129)+1,LEN(S129))))/S$9)^S$7 * S$3 + (T129/T$9)^T$7 * T$3) * AE$9</f>
        <v>3.4544454889443492</v>
      </c>
      <c r="AG129" s="1" cm="1">
        <f t="array" ref="AG129">(SUMPRODUCT((G129:J129/G$9:J$9)^G$7:J$7 * G$4:J$4) + SUMPRODUCT((N129:P129/N$9:P$9)^N$7:P$7 * N$4:P$4) + (VALUE(TRIM(MID(S129,FIND(",",S129)+1,LEN(S129))))/S$9)^S$7 * S$4 + (T129/T$9)^T$7 * T$4) * AE$9</f>
        <v>3.7562550374104062</v>
      </c>
      <c r="AH129" s="10" cm="1">
        <f t="array" ref="AH129">(SUMPRODUCT((G129:J129/G$9:J$9)^G$7:J$7 * G$5:J$5) + SUMPRODUCT((N129:P129/N$9:P$9)^N$7:P$7 * N$5:P$5) + (VALUE(TRIM(MID(S129,FIND(",",S129)+1,LEN(S129))))/S$9)^S$7 * S$5 + (T129/T$9)^T$7 * T$5) * AE$9</f>
        <v>3.4544454889443492</v>
      </c>
      <c r="AI129" s="50" cm="1">
        <f t="array" ref="AI129">SUMPRODUCT(AE129:AH129 * AE$3:AH$3) / SUM(AE$3:AH$3)</f>
        <v>3.2882527406136912</v>
      </c>
      <c r="AJ129" s="12"/>
    </row>
    <row r="130" spans="1:36" s="83" customFormat="1" x14ac:dyDescent="0.25">
      <c r="A130" s="5" t="s">
        <v>18</v>
      </c>
      <c r="B130" s="16" t="s">
        <v>20</v>
      </c>
      <c r="C130" s="4" t="s">
        <v>428</v>
      </c>
      <c r="D130" s="90" t="s">
        <v>9101</v>
      </c>
      <c r="E130" s="75" t="s">
        <v>436</v>
      </c>
      <c r="F130" s="4" t="s">
        <v>9076</v>
      </c>
      <c r="G130" s="9">
        <v>24</v>
      </c>
      <c r="H130" s="75">
        <v>32</v>
      </c>
      <c r="I130" s="1">
        <v>3.2</v>
      </c>
      <c r="J130" s="1">
        <v>6.2</v>
      </c>
      <c r="K130" s="11" t="s">
        <v>352</v>
      </c>
      <c r="L130" s="85" t="s">
        <v>17</v>
      </c>
      <c r="M130" s="4" t="s">
        <v>401</v>
      </c>
      <c r="N130" s="2">
        <v>32</v>
      </c>
      <c r="O130" s="2">
        <v>36</v>
      </c>
      <c r="P130" s="12">
        <v>150</v>
      </c>
      <c r="Q130" s="12" t="s">
        <v>408</v>
      </c>
      <c r="R130" s="12">
        <v>192</v>
      </c>
      <c r="S130" s="12" t="s">
        <v>413</v>
      </c>
      <c r="T130" s="12">
        <v>2</v>
      </c>
      <c r="U130" s="12" t="s">
        <v>2285</v>
      </c>
      <c r="V130" s="75" t="s">
        <v>418</v>
      </c>
      <c r="W130" s="75">
        <v>4</v>
      </c>
      <c r="X130" s="12">
        <v>8</v>
      </c>
      <c r="Y130" s="9">
        <v>751.95</v>
      </c>
      <c r="Z130" s="3">
        <v>1067</v>
      </c>
      <c r="AA130" s="66" t="s">
        <v>19</v>
      </c>
      <c r="AB130" s="66" t="s">
        <v>18</v>
      </c>
      <c r="AC130" s="79" t="s">
        <v>8799</v>
      </c>
      <c r="AD130" s="80" t="s">
        <v>8802</v>
      </c>
      <c r="AE130" s="49" cm="1">
        <f t="array" ref="AE130">(SUMPRODUCT((G130:J130/G$9:J$9)^G$7:J$7 * G$2:J$2) + SUMPRODUCT((N130:P130/N$9:P$9)^N$7:P$7 * N$2:P$2) + (VALUE(TRIM(MID(S130,FIND(",",S130)+1,LEN(S130))))/S$9)^S$7 * S$2 + (T130/T$9)^T$7 * T$2) * AE$9</f>
        <v>2.5386923424567152</v>
      </c>
      <c r="AF130" s="1" cm="1">
        <f t="array" ref="AF130">(SUMPRODUCT((G130:J130/G$9:J$9)^G$7:J$7 * G$3:J$3) + SUMPRODUCT((N130:P130/N$9:P$9)^N$7:P$7 * N$3:P$3) + (VALUE(TRIM(MID(S130,FIND(",",S130)+1,LEN(S130))))/S$9)^S$7 * S$3 + (T130/T$9)^T$7 * T$3) * AE$9</f>
        <v>3.4560659103818332</v>
      </c>
      <c r="AG130" s="1" cm="1">
        <f t="array" ref="AG130">(SUMPRODUCT((G130:J130/G$9:J$9)^G$7:J$7 * G$4:J$4) + SUMPRODUCT((N130:P130/N$9:P$9)^N$7:P$7 * N$4:P$4) + (VALUE(TRIM(MID(S130,FIND(",",S130)+1,LEN(S130))))/S$9)^S$7 * S$4 + (T130/T$9)^T$7 * T$4) * AE$9</f>
        <v>3.7554945064669378</v>
      </c>
      <c r="AH130" s="10" cm="1">
        <f t="array" ref="AH130">(SUMPRODUCT((G130:J130/G$9:J$9)^G$7:J$7 * G$5:J$5) + SUMPRODUCT((N130:P130/N$9:P$9)^N$7:P$7 * N$5:P$5) + (VALUE(TRIM(MID(S130,FIND(",",S130)+1,LEN(S130))))/S$9)^S$7 * S$5 + (T130/T$9)^T$7 * T$5) * AE$9</f>
        <v>3.4560659103818332</v>
      </c>
      <c r="AI130" s="50" cm="1">
        <f t="array" ref="AI130">SUMPRODUCT(AE130:AH130 * AE$3:AH$3) / SUM(AE$3:AH$3)</f>
        <v>3.2904302556429759</v>
      </c>
      <c r="AJ130" s="12"/>
    </row>
    <row r="131" spans="1:36" s="83" customFormat="1" x14ac:dyDescent="0.25">
      <c r="A131" s="5" t="s">
        <v>14</v>
      </c>
      <c r="B131" s="16" t="s">
        <v>16</v>
      </c>
      <c r="C131" s="4" t="s">
        <v>428</v>
      </c>
      <c r="D131" s="90" t="s">
        <v>9101</v>
      </c>
      <c r="E131" s="75" t="s">
        <v>436</v>
      </c>
      <c r="F131" s="4" t="s">
        <v>9076</v>
      </c>
      <c r="G131" s="9">
        <v>24</v>
      </c>
      <c r="H131" s="3">
        <v>32</v>
      </c>
      <c r="I131" s="1">
        <v>1.1000000000000001</v>
      </c>
      <c r="J131" s="1">
        <v>5.5</v>
      </c>
      <c r="K131" s="11" t="s">
        <v>352</v>
      </c>
      <c r="L131" s="85" t="s">
        <v>17</v>
      </c>
      <c r="M131" s="4" t="s">
        <v>401</v>
      </c>
      <c r="N131" s="2">
        <v>32</v>
      </c>
      <c r="O131" s="2">
        <v>36</v>
      </c>
      <c r="P131" s="12">
        <v>35</v>
      </c>
      <c r="Q131" s="12" t="s">
        <v>408</v>
      </c>
      <c r="R131" s="12">
        <v>192</v>
      </c>
      <c r="S131" s="12" t="s">
        <v>413</v>
      </c>
      <c r="T131" s="12">
        <v>2</v>
      </c>
      <c r="U131" s="12" t="s">
        <v>2285</v>
      </c>
      <c r="V131" s="75" t="s">
        <v>418</v>
      </c>
      <c r="W131" s="75">
        <v>4</v>
      </c>
      <c r="X131" s="12">
        <v>8</v>
      </c>
      <c r="Y131" s="9">
        <v>633</v>
      </c>
      <c r="Z131" s="3">
        <v>794.9</v>
      </c>
      <c r="AA131" s="66" t="s">
        <v>15</v>
      </c>
      <c r="AB131" s="66" t="s">
        <v>14</v>
      </c>
      <c r="AC131" s="79" t="s">
        <v>8801</v>
      </c>
      <c r="AD131" s="80" t="s">
        <v>8802</v>
      </c>
      <c r="AE131" s="49" cm="1">
        <f t="array" ref="AE131">(SUMPRODUCT((G131:J131/G$9:J$9)^G$7:J$7 * G$2:J$2) + SUMPRODUCT((N131:P131/N$9:P$9)^N$7:P$7 * N$2:P$2) + (VALUE(TRIM(MID(S131,FIND(",",S131)+1,LEN(S131))))/S$9)^S$7 * S$2 + (T131/T$9)^T$7 * T$2) * AE$9</f>
        <v>2.4624746457034599</v>
      </c>
      <c r="AF131" s="1" cm="1">
        <f t="array" ref="AF131">(SUMPRODUCT((G131:J131/G$9:J$9)^G$7:J$7 * G$3:J$3) + SUMPRODUCT((N131:P131/N$9:P$9)^N$7:P$7 * N$3:P$3) + (VALUE(TRIM(MID(S131,FIND(",",S131)+1,LEN(S131))))/S$9)^S$7 * S$3 + (T131/T$9)^T$7 * T$3) * AE$9</f>
        <v>3.4221237286718718</v>
      </c>
      <c r="AG131" s="1" cm="1">
        <f t="array" ref="AG131">(SUMPRODUCT((G131:J131/G$9:J$9)^G$7:J$7 * G$4:J$4) + SUMPRODUCT((N131:P131/N$9:P$9)^N$7:P$7 * N$4:P$4) + (VALUE(TRIM(MID(S131,FIND(",",S131)+1,LEN(S131))))/S$9)^S$7 * S$4 + (T131/T$9)^T$7 * T$4) * AE$9</f>
        <v>3.7561356580903098</v>
      </c>
      <c r="AH131" s="10" cm="1">
        <f t="array" ref="AH131">(SUMPRODUCT((G131:J131/G$9:J$9)^G$7:J$7 * G$5:J$5) + SUMPRODUCT((N131:P131/N$9:P$9)^N$7:P$7 * N$5:P$5) + (VALUE(TRIM(MID(S131,FIND(",",S131)+1,LEN(S131))))/S$9)^S$7 * S$5 + (T131/T$9)^T$7 * T$5) * AE$9</f>
        <v>3.4221237286718718</v>
      </c>
      <c r="AI131" s="50" cm="1">
        <f t="array" ref="AI131">SUMPRODUCT(AE131:AH131 * AE$3:AH$3) / SUM(AE$3:AH$3)</f>
        <v>3.2520526986666138</v>
      </c>
      <c r="AJ131" s="12"/>
    </row>
    <row r="132" spans="1:36" x14ac:dyDescent="0.25">
      <c r="A132"/>
      <c r="B132"/>
      <c r="C132"/>
      <c r="D132" s="91"/>
      <c r="E132"/>
      <c r="F132" s="66"/>
      <c r="G132"/>
      <c r="H132"/>
      <c r="I132" s="48"/>
      <c r="J132" s="48"/>
      <c r="K132"/>
      <c r="M132"/>
      <c r="N132"/>
      <c r="O132"/>
      <c r="Q132"/>
      <c r="U132"/>
      <c r="V132"/>
      <c r="W132"/>
      <c r="Y132"/>
      <c r="Z132"/>
      <c r="AA132"/>
      <c r="AB132"/>
      <c r="AC132"/>
      <c r="AD132"/>
      <c r="AE132"/>
      <c r="AF132"/>
      <c r="AG132"/>
      <c r="AH132"/>
      <c r="AI132"/>
    </row>
    <row r="133" spans="1:36" x14ac:dyDescent="0.25">
      <c r="A133"/>
      <c r="B133"/>
      <c r="C133"/>
      <c r="D133" s="91"/>
      <c r="E133"/>
      <c r="F133" s="66"/>
      <c r="G133"/>
      <c r="H133"/>
      <c r="I133" s="48"/>
      <c r="J133" s="48"/>
      <c r="K133"/>
      <c r="M133"/>
      <c r="N133"/>
      <c r="O133"/>
      <c r="Q133"/>
      <c r="U133"/>
      <c r="V133"/>
      <c r="W133"/>
      <c r="Y133"/>
      <c r="Z133"/>
      <c r="AA133"/>
      <c r="AB133"/>
      <c r="AC133"/>
      <c r="AD133"/>
      <c r="AE133"/>
      <c r="AF133"/>
      <c r="AG133"/>
      <c r="AH133"/>
      <c r="AI133"/>
    </row>
    <row r="134" spans="1:36" x14ac:dyDescent="0.25">
      <c r="A134"/>
      <c r="B134"/>
      <c r="C134"/>
      <c r="D134" s="91"/>
      <c r="E134"/>
      <c r="F134" s="66"/>
      <c r="G134"/>
      <c r="H134"/>
      <c r="I134" s="48"/>
      <c r="J134" s="48"/>
      <c r="K134"/>
      <c r="M134"/>
      <c r="N134"/>
      <c r="O134"/>
      <c r="Q134"/>
      <c r="U134"/>
      <c r="V134"/>
      <c r="W134"/>
      <c r="Y134"/>
      <c r="Z134"/>
      <c r="AA134"/>
      <c r="AB134"/>
      <c r="AC134"/>
      <c r="AD134"/>
      <c r="AE134"/>
      <c r="AF134"/>
      <c r="AG134"/>
      <c r="AH134"/>
      <c r="AI134"/>
    </row>
    <row r="135" spans="1:36" x14ac:dyDescent="0.25">
      <c r="A135"/>
      <c r="B135"/>
      <c r="C135"/>
      <c r="D135" s="91"/>
      <c r="E135"/>
      <c r="F135" s="66"/>
      <c r="G135"/>
      <c r="H135"/>
      <c r="I135" s="48"/>
      <c r="J135" s="48"/>
      <c r="K135"/>
      <c r="M135"/>
      <c r="N135"/>
      <c r="O135"/>
      <c r="Q135"/>
      <c r="U135"/>
      <c r="V135"/>
      <c r="W135"/>
      <c r="Y135"/>
      <c r="Z135"/>
      <c r="AA135"/>
      <c r="AB135"/>
      <c r="AC135"/>
      <c r="AD135"/>
      <c r="AE135"/>
      <c r="AF135"/>
      <c r="AG135"/>
      <c r="AH135"/>
      <c r="AI135"/>
    </row>
    <row r="136" spans="1:36" x14ac:dyDescent="0.25">
      <c r="A136"/>
      <c r="B136"/>
      <c r="C136"/>
      <c r="D136" s="91"/>
      <c r="E136"/>
      <c r="F136" s="66"/>
      <c r="G136"/>
      <c r="H136"/>
      <c r="I136" s="48"/>
      <c r="J136" s="48"/>
      <c r="K136"/>
      <c r="M136"/>
      <c r="N136"/>
      <c r="O136"/>
      <c r="Q136"/>
      <c r="U136"/>
      <c r="V136"/>
      <c r="W136"/>
      <c r="Y136"/>
      <c r="Z136"/>
      <c r="AA136"/>
      <c r="AB136"/>
      <c r="AC136"/>
      <c r="AD136"/>
      <c r="AE136"/>
      <c r="AF136"/>
      <c r="AG136"/>
      <c r="AH136"/>
      <c r="AI136"/>
    </row>
    <row r="137" spans="1:36" x14ac:dyDescent="0.25">
      <c r="A137"/>
      <c r="B137"/>
      <c r="C137"/>
      <c r="D137" s="91"/>
      <c r="E137"/>
      <c r="F137" s="66"/>
      <c r="G137"/>
      <c r="H137"/>
      <c r="I137" s="48"/>
      <c r="J137" s="48"/>
      <c r="K137"/>
      <c r="M137"/>
      <c r="N137"/>
      <c r="O137"/>
      <c r="Q137"/>
      <c r="U137"/>
      <c r="V137"/>
      <c r="W137"/>
      <c r="Y137"/>
      <c r="Z137"/>
      <c r="AA137"/>
      <c r="AB137"/>
      <c r="AC137"/>
      <c r="AD137"/>
      <c r="AE137"/>
      <c r="AF137"/>
      <c r="AG137"/>
      <c r="AH137"/>
      <c r="AI137"/>
    </row>
    <row r="138" spans="1:36" x14ac:dyDescent="0.25">
      <c r="A138"/>
      <c r="B138"/>
      <c r="C138"/>
      <c r="D138" s="91"/>
      <c r="E138"/>
      <c r="F138" s="66"/>
      <c r="G138"/>
      <c r="H138"/>
      <c r="I138" s="48"/>
      <c r="J138" s="48"/>
      <c r="K138"/>
      <c r="M138"/>
      <c r="N138"/>
      <c r="O138"/>
      <c r="Q138"/>
      <c r="U138"/>
      <c r="V138"/>
      <c r="W138"/>
      <c r="Y138"/>
      <c r="Z138"/>
      <c r="AA138"/>
      <c r="AB138"/>
      <c r="AC138"/>
      <c r="AD138"/>
      <c r="AE138"/>
      <c r="AF138"/>
      <c r="AG138"/>
      <c r="AH138"/>
      <c r="AI138"/>
    </row>
    <row r="139" spans="1:36" x14ac:dyDescent="0.25">
      <c r="A139"/>
      <c r="B139"/>
      <c r="C139"/>
      <c r="D139" s="91"/>
      <c r="E139"/>
      <c r="F139" s="66"/>
      <c r="G139"/>
      <c r="H139"/>
      <c r="I139" s="48"/>
      <c r="J139" s="48"/>
      <c r="K139"/>
      <c r="M139"/>
      <c r="N139"/>
      <c r="O139"/>
      <c r="Q139"/>
      <c r="U139"/>
      <c r="V139"/>
      <c r="W139"/>
      <c r="Y139"/>
      <c r="Z139"/>
      <c r="AA139"/>
      <c r="AB139"/>
      <c r="AC139"/>
      <c r="AD139"/>
      <c r="AE139"/>
      <c r="AF139"/>
      <c r="AG139"/>
      <c r="AH139"/>
      <c r="AI139"/>
    </row>
    <row r="140" spans="1:36" x14ac:dyDescent="0.25">
      <c r="A140"/>
      <c r="B140"/>
      <c r="C140"/>
      <c r="D140" s="91"/>
      <c r="E140"/>
      <c r="F140" s="66"/>
      <c r="G140"/>
      <c r="H140"/>
      <c r="I140" s="48"/>
      <c r="J140" s="48"/>
      <c r="K140"/>
      <c r="M140"/>
      <c r="N140"/>
      <c r="O140"/>
      <c r="Q140"/>
      <c r="U140"/>
      <c r="V140"/>
      <c r="W140"/>
      <c r="Y140"/>
      <c r="Z140"/>
      <c r="AA140"/>
      <c r="AB140"/>
      <c r="AC140"/>
      <c r="AD140"/>
      <c r="AE140"/>
      <c r="AF140"/>
      <c r="AG140"/>
      <c r="AH140"/>
      <c r="AI140"/>
    </row>
    <row r="141" spans="1:36" x14ac:dyDescent="0.25">
      <c r="A141"/>
      <c r="B141"/>
      <c r="C141"/>
      <c r="D141" s="91"/>
      <c r="E141"/>
      <c r="F141" s="66"/>
      <c r="G141"/>
      <c r="H141"/>
      <c r="I141" s="48"/>
      <c r="J141" s="48"/>
      <c r="K141"/>
      <c r="M141"/>
      <c r="N141"/>
      <c r="O141"/>
      <c r="Q141"/>
      <c r="U141"/>
      <c r="V141"/>
      <c r="W141"/>
      <c r="Y141"/>
      <c r="Z141"/>
      <c r="AA141"/>
      <c r="AB141"/>
      <c r="AC141"/>
      <c r="AD141"/>
      <c r="AE141"/>
      <c r="AF141"/>
      <c r="AG141"/>
      <c r="AH141"/>
      <c r="AI141"/>
    </row>
    <row r="142" spans="1:36" x14ac:dyDescent="0.25">
      <c r="A142"/>
      <c r="B142"/>
      <c r="C142"/>
      <c r="D142" s="91"/>
      <c r="E142"/>
      <c r="F142" s="66"/>
      <c r="G142"/>
      <c r="H142"/>
      <c r="I142" s="48"/>
      <c r="J142" s="48"/>
      <c r="K142"/>
      <c r="M142"/>
      <c r="N142"/>
      <c r="O142"/>
      <c r="Q142"/>
      <c r="U142"/>
      <c r="V142"/>
      <c r="W142"/>
      <c r="Y142"/>
      <c r="Z142"/>
      <c r="AA142"/>
      <c r="AB142"/>
      <c r="AC142"/>
      <c r="AD142"/>
      <c r="AE142"/>
      <c r="AF142"/>
      <c r="AG142"/>
      <c r="AH142"/>
      <c r="AI142"/>
    </row>
    <row r="143" spans="1:36" x14ac:dyDescent="0.25">
      <c r="A143"/>
      <c r="B143"/>
      <c r="C143"/>
      <c r="D143" s="91"/>
      <c r="E143"/>
      <c r="F143" s="66"/>
      <c r="G143"/>
      <c r="H143"/>
      <c r="I143" s="48"/>
      <c r="J143" s="48"/>
      <c r="K143"/>
      <c r="M143"/>
      <c r="N143"/>
      <c r="O143"/>
      <c r="Q143"/>
      <c r="U143"/>
      <c r="V143"/>
      <c r="W143"/>
      <c r="Y143"/>
      <c r="Z143"/>
      <c r="AA143"/>
      <c r="AB143"/>
      <c r="AC143"/>
      <c r="AD143"/>
      <c r="AE143"/>
      <c r="AF143"/>
      <c r="AG143"/>
      <c r="AH143"/>
      <c r="AI143"/>
    </row>
    <row r="144" spans="1:36" x14ac:dyDescent="0.25">
      <c r="A144"/>
      <c r="B144"/>
      <c r="C144"/>
      <c r="D144" s="91"/>
      <c r="E144"/>
      <c r="F144" s="66"/>
      <c r="G144"/>
      <c r="H144"/>
      <c r="I144" s="48"/>
      <c r="J144" s="48"/>
      <c r="K144"/>
      <c r="M144"/>
      <c r="N144"/>
      <c r="O144"/>
      <c r="Q144"/>
      <c r="U144"/>
      <c r="V144"/>
      <c r="W144"/>
      <c r="Y144"/>
      <c r="Z144"/>
      <c r="AA144"/>
      <c r="AB144"/>
      <c r="AC144"/>
      <c r="AD144"/>
      <c r="AE144"/>
      <c r="AF144"/>
      <c r="AG144"/>
      <c r="AH144"/>
      <c r="AI144"/>
    </row>
    <row r="145" spans="1:35" x14ac:dyDescent="0.25">
      <c r="A145"/>
      <c r="B145"/>
      <c r="C145"/>
      <c r="D145" s="91"/>
      <c r="E145"/>
      <c r="F145" s="66"/>
      <c r="G145"/>
      <c r="H145"/>
      <c r="I145" s="48"/>
      <c r="J145" s="48"/>
      <c r="K145"/>
      <c r="M145"/>
      <c r="N145"/>
      <c r="O145"/>
      <c r="Q145"/>
      <c r="U145"/>
      <c r="V145"/>
      <c r="W145"/>
      <c r="Y145"/>
      <c r="Z145"/>
      <c r="AA145"/>
      <c r="AB145"/>
      <c r="AC145"/>
      <c r="AD145"/>
      <c r="AE145"/>
      <c r="AF145"/>
      <c r="AG145"/>
      <c r="AH145"/>
      <c r="AI145"/>
    </row>
    <row r="146" spans="1:35" x14ac:dyDescent="0.25">
      <c r="A146"/>
      <c r="B146"/>
      <c r="C146"/>
      <c r="D146" s="91"/>
      <c r="E146"/>
      <c r="F146" s="66"/>
      <c r="G146"/>
      <c r="H146"/>
      <c r="I146" s="48"/>
      <c r="J146" s="48"/>
      <c r="K146"/>
      <c r="M146"/>
      <c r="N146"/>
      <c r="O146"/>
      <c r="Q146"/>
      <c r="U146"/>
      <c r="V146"/>
      <c r="W146"/>
      <c r="Y146"/>
      <c r="Z146"/>
      <c r="AA146"/>
      <c r="AB146"/>
      <c r="AC146"/>
      <c r="AD146"/>
      <c r="AE146"/>
      <c r="AF146"/>
      <c r="AG146"/>
      <c r="AH146"/>
      <c r="AI146"/>
    </row>
    <row r="147" spans="1:35" x14ac:dyDescent="0.25">
      <c r="A147"/>
      <c r="B147"/>
      <c r="C147"/>
      <c r="D147" s="91"/>
      <c r="E147"/>
      <c r="F147" s="66"/>
      <c r="G147"/>
      <c r="H147"/>
      <c r="I147" s="48"/>
      <c r="J147" s="48"/>
      <c r="K147"/>
      <c r="M147"/>
      <c r="N147"/>
      <c r="O147"/>
      <c r="Q147"/>
      <c r="U147"/>
      <c r="V147"/>
      <c r="W147"/>
      <c r="Y147"/>
      <c r="Z147"/>
      <c r="AA147"/>
      <c r="AB147"/>
      <c r="AC147"/>
      <c r="AD147"/>
      <c r="AE147"/>
      <c r="AF147"/>
      <c r="AG147"/>
      <c r="AH147"/>
      <c r="AI147"/>
    </row>
    <row r="148" spans="1:35" x14ac:dyDescent="0.25">
      <c r="A148"/>
      <c r="B148"/>
      <c r="C148"/>
      <c r="D148" s="91"/>
      <c r="E148"/>
      <c r="F148" s="66"/>
      <c r="G148"/>
      <c r="H148"/>
      <c r="I148" s="48"/>
      <c r="J148" s="48"/>
      <c r="K148"/>
      <c r="M148"/>
      <c r="N148"/>
      <c r="O148"/>
      <c r="Q148"/>
      <c r="U148"/>
      <c r="V148"/>
      <c r="W148"/>
      <c r="Y148"/>
      <c r="Z148"/>
      <c r="AA148"/>
      <c r="AB148"/>
      <c r="AC148"/>
      <c r="AD148"/>
      <c r="AE148"/>
      <c r="AF148"/>
      <c r="AG148"/>
      <c r="AH148"/>
      <c r="AI148"/>
    </row>
    <row r="149" spans="1:35" x14ac:dyDescent="0.25">
      <c r="A149"/>
      <c r="B149"/>
      <c r="C149"/>
      <c r="D149" s="91"/>
      <c r="E149"/>
      <c r="F149" s="66"/>
      <c r="G149"/>
      <c r="H149"/>
      <c r="I149" s="48"/>
      <c r="J149" s="48"/>
      <c r="K149"/>
      <c r="M149"/>
      <c r="N149"/>
      <c r="O149"/>
      <c r="Q149"/>
      <c r="U149"/>
      <c r="V149"/>
      <c r="W149"/>
      <c r="Y149"/>
      <c r="Z149"/>
      <c r="AA149"/>
      <c r="AB149"/>
      <c r="AC149"/>
      <c r="AD149"/>
      <c r="AE149"/>
      <c r="AF149"/>
      <c r="AG149"/>
      <c r="AH149"/>
      <c r="AI149"/>
    </row>
    <row r="150" spans="1:35" x14ac:dyDescent="0.25">
      <c r="A150"/>
      <c r="B150"/>
      <c r="C150"/>
      <c r="D150" s="91"/>
      <c r="E150"/>
      <c r="F150" s="66"/>
      <c r="G150"/>
      <c r="H150"/>
      <c r="I150" s="48"/>
      <c r="J150" s="48"/>
      <c r="K150"/>
      <c r="M150"/>
      <c r="N150"/>
      <c r="O150"/>
      <c r="Q150"/>
      <c r="U150"/>
      <c r="V150"/>
      <c r="W150"/>
      <c r="Y150"/>
      <c r="Z150"/>
      <c r="AA150"/>
      <c r="AB150"/>
      <c r="AC150"/>
      <c r="AD150"/>
      <c r="AE150"/>
      <c r="AF150"/>
      <c r="AG150"/>
      <c r="AH150"/>
      <c r="AI150"/>
    </row>
    <row r="151" spans="1:35" x14ac:dyDescent="0.25">
      <c r="A151"/>
      <c r="B151"/>
      <c r="C151"/>
      <c r="D151" s="91"/>
      <c r="E151"/>
      <c r="F151" s="66"/>
      <c r="G151"/>
      <c r="H151"/>
      <c r="I151" s="48"/>
      <c r="J151" s="48"/>
      <c r="K151"/>
      <c r="M151"/>
      <c r="N151"/>
      <c r="O151"/>
      <c r="Q151"/>
      <c r="U151"/>
      <c r="V151"/>
      <c r="W151"/>
      <c r="Y151"/>
      <c r="Z151"/>
      <c r="AA151"/>
      <c r="AB151"/>
      <c r="AC151"/>
      <c r="AD151"/>
      <c r="AE151"/>
      <c r="AF151"/>
      <c r="AG151"/>
      <c r="AH151"/>
      <c r="AI151"/>
    </row>
    <row r="152" spans="1:35" x14ac:dyDescent="0.25">
      <c r="A152"/>
      <c r="B152"/>
      <c r="C152"/>
      <c r="D152" s="91"/>
      <c r="E152"/>
      <c r="F152" s="66"/>
      <c r="G152"/>
      <c r="H152"/>
      <c r="I152" s="48"/>
      <c r="J152" s="48"/>
      <c r="K152"/>
      <c r="M152"/>
      <c r="N152"/>
      <c r="O152"/>
      <c r="Q152"/>
      <c r="U152"/>
      <c r="V152"/>
      <c r="W152"/>
      <c r="Y152"/>
      <c r="Z152"/>
      <c r="AA152"/>
      <c r="AB152"/>
      <c r="AC152"/>
      <c r="AD152"/>
      <c r="AE152"/>
      <c r="AF152"/>
      <c r="AG152"/>
      <c r="AH152"/>
      <c r="AI152"/>
    </row>
    <row r="153" spans="1:35" x14ac:dyDescent="0.25">
      <c r="A153"/>
      <c r="B153"/>
      <c r="C153"/>
      <c r="D153" s="91"/>
      <c r="E153"/>
      <c r="F153" s="66"/>
      <c r="G153"/>
      <c r="H153"/>
      <c r="I153" s="48"/>
      <c r="J153" s="48"/>
      <c r="K153"/>
      <c r="M153"/>
      <c r="N153"/>
      <c r="O153"/>
      <c r="Q153"/>
      <c r="U153"/>
      <c r="V153"/>
      <c r="W153"/>
      <c r="Y153"/>
      <c r="Z153"/>
      <c r="AA153"/>
      <c r="AB153"/>
      <c r="AC153"/>
      <c r="AD153"/>
      <c r="AE153"/>
      <c r="AF153"/>
      <c r="AG153"/>
      <c r="AH153"/>
      <c r="AI153"/>
    </row>
    <row r="154" spans="1:35" x14ac:dyDescent="0.25">
      <c r="A154"/>
      <c r="B154"/>
      <c r="C154"/>
      <c r="D154" s="91"/>
      <c r="E154"/>
      <c r="F154" s="66"/>
      <c r="G154"/>
      <c r="H154"/>
      <c r="I154" s="48"/>
      <c r="J154" s="48"/>
      <c r="K154"/>
      <c r="M154"/>
      <c r="N154"/>
      <c r="O154"/>
      <c r="Q154"/>
      <c r="U154"/>
      <c r="V154"/>
      <c r="W154"/>
      <c r="Y154"/>
      <c r="Z154"/>
      <c r="AA154"/>
      <c r="AB154"/>
      <c r="AC154"/>
      <c r="AD154"/>
      <c r="AE154"/>
      <c r="AF154"/>
      <c r="AG154"/>
      <c r="AH154"/>
      <c r="AI154"/>
    </row>
    <row r="155" spans="1:35" x14ac:dyDescent="0.25">
      <c r="A155"/>
      <c r="B155"/>
      <c r="C155"/>
      <c r="D155" s="91"/>
      <c r="E155"/>
      <c r="F155" s="66"/>
      <c r="G155"/>
      <c r="H155"/>
      <c r="I155" s="48"/>
      <c r="J155" s="48"/>
      <c r="K155"/>
      <c r="M155"/>
      <c r="N155"/>
      <c r="O155"/>
      <c r="Q155"/>
      <c r="U155"/>
      <c r="V155"/>
      <c r="W155"/>
      <c r="Y155"/>
      <c r="Z155"/>
      <c r="AA155"/>
      <c r="AB155"/>
      <c r="AC155"/>
      <c r="AD155"/>
      <c r="AE155"/>
      <c r="AF155"/>
      <c r="AG155"/>
      <c r="AH155"/>
      <c r="AI155"/>
    </row>
    <row r="156" spans="1:35" x14ac:dyDescent="0.25">
      <c r="A156"/>
      <c r="B156"/>
      <c r="C156"/>
      <c r="D156" s="91"/>
      <c r="E156"/>
      <c r="F156" s="66"/>
      <c r="G156"/>
      <c r="H156"/>
      <c r="I156" s="48"/>
      <c r="J156" s="48"/>
      <c r="K156"/>
      <c r="M156"/>
      <c r="N156"/>
      <c r="O156"/>
      <c r="Q156"/>
      <c r="U156"/>
      <c r="V156"/>
      <c r="W156"/>
      <c r="Y156"/>
      <c r="Z156"/>
      <c r="AA156"/>
      <c r="AB156"/>
      <c r="AC156"/>
      <c r="AD156"/>
      <c r="AE156"/>
      <c r="AF156"/>
      <c r="AG156"/>
      <c r="AH156"/>
      <c r="AI156"/>
    </row>
    <row r="157" spans="1:35" x14ac:dyDescent="0.25">
      <c r="A157"/>
      <c r="B157"/>
      <c r="C157"/>
      <c r="D157" s="91"/>
      <c r="E157"/>
      <c r="F157" s="66"/>
      <c r="G157"/>
      <c r="H157"/>
      <c r="I157" s="48"/>
      <c r="J157" s="48"/>
      <c r="K157"/>
      <c r="M157"/>
      <c r="N157"/>
      <c r="O157"/>
      <c r="Q157"/>
      <c r="U157"/>
      <c r="V157"/>
      <c r="W157"/>
      <c r="Y157"/>
      <c r="Z157"/>
      <c r="AA157"/>
      <c r="AB157"/>
      <c r="AC157"/>
      <c r="AD157"/>
      <c r="AE157"/>
      <c r="AF157"/>
      <c r="AG157"/>
      <c r="AH157"/>
      <c r="AI157"/>
    </row>
    <row r="158" spans="1:35" x14ac:dyDescent="0.25">
      <c r="A158"/>
      <c r="B158"/>
      <c r="C158"/>
      <c r="D158" s="91"/>
      <c r="E158"/>
      <c r="F158" s="66"/>
      <c r="G158"/>
      <c r="H158"/>
      <c r="I158" s="48"/>
      <c r="J158" s="48"/>
      <c r="K158"/>
      <c r="M158"/>
      <c r="N158"/>
      <c r="O158"/>
      <c r="Q158"/>
      <c r="U158"/>
      <c r="V158"/>
      <c r="W158"/>
      <c r="Y158"/>
      <c r="Z158"/>
      <c r="AA158"/>
      <c r="AB158"/>
      <c r="AC158"/>
      <c r="AD158"/>
      <c r="AE158"/>
      <c r="AF158"/>
      <c r="AG158"/>
      <c r="AH158"/>
      <c r="AI158"/>
    </row>
    <row r="159" spans="1:35" x14ac:dyDescent="0.25">
      <c r="A159"/>
      <c r="B159"/>
      <c r="C159"/>
      <c r="D159" s="91"/>
      <c r="E159"/>
      <c r="F159" s="66"/>
      <c r="G159"/>
      <c r="H159"/>
      <c r="I159" s="48"/>
      <c r="J159" s="48"/>
      <c r="K159"/>
      <c r="M159"/>
      <c r="N159"/>
      <c r="O159"/>
      <c r="Q159"/>
      <c r="U159"/>
      <c r="V159"/>
      <c r="W159"/>
      <c r="Y159"/>
      <c r="Z159"/>
      <c r="AA159"/>
      <c r="AB159"/>
      <c r="AC159"/>
      <c r="AD159"/>
      <c r="AE159"/>
      <c r="AF159"/>
      <c r="AG159"/>
      <c r="AH159"/>
      <c r="AI159"/>
    </row>
    <row r="160" spans="1:35" x14ac:dyDescent="0.25">
      <c r="A160"/>
      <c r="B160"/>
      <c r="C160"/>
      <c r="D160" s="91"/>
      <c r="E160"/>
      <c r="F160" s="66"/>
      <c r="G160"/>
      <c r="H160"/>
      <c r="I160" s="48"/>
      <c r="J160" s="48"/>
      <c r="K160"/>
      <c r="M160"/>
      <c r="N160"/>
      <c r="O160"/>
      <c r="Q160"/>
      <c r="U160"/>
      <c r="V160"/>
      <c r="W160"/>
      <c r="Y160"/>
      <c r="Z160"/>
      <c r="AA160"/>
      <c r="AB160"/>
      <c r="AC160"/>
      <c r="AD160"/>
      <c r="AE160"/>
      <c r="AF160"/>
      <c r="AG160"/>
      <c r="AH160"/>
      <c r="AI160"/>
    </row>
    <row r="161" spans="1:35" x14ac:dyDescent="0.25">
      <c r="A161"/>
      <c r="B161"/>
      <c r="C161"/>
      <c r="D161" s="91"/>
      <c r="E161"/>
      <c r="F161" s="66"/>
      <c r="G161"/>
      <c r="H161"/>
      <c r="I161" s="48"/>
      <c r="J161" s="48"/>
      <c r="K161"/>
      <c r="M161"/>
      <c r="N161"/>
      <c r="O161"/>
      <c r="Q161"/>
      <c r="U161"/>
      <c r="V161"/>
      <c r="W161"/>
      <c r="Y161"/>
      <c r="Z161"/>
      <c r="AA161"/>
      <c r="AB161"/>
      <c r="AC161"/>
      <c r="AD161"/>
      <c r="AE161"/>
      <c r="AF161"/>
      <c r="AG161"/>
      <c r="AH161"/>
      <c r="AI161"/>
    </row>
    <row r="162" spans="1:35" x14ac:dyDescent="0.25">
      <c r="A162"/>
      <c r="B162"/>
      <c r="C162"/>
      <c r="D162" s="91"/>
      <c r="E162"/>
      <c r="F162" s="66"/>
      <c r="G162"/>
      <c r="H162"/>
      <c r="I162" s="48"/>
      <c r="J162" s="48"/>
      <c r="K162"/>
      <c r="M162"/>
      <c r="N162"/>
      <c r="O162"/>
      <c r="Q162"/>
      <c r="U162"/>
      <c r="V162"/>
      <c r="W162"/>
      <c r="Y162"/>
      <c r="Z162"/>
      <c r="AA162"/>
      <c r="AB162"/>
      <c r="AC162"/>
      <c r="AD162"/>
      <c r="AE162"/>
      <c r="AF162"/>
      <c r="AG162"/>
      <c r="AH162"/>
      <c r="AI162"/>
    </row>
    <row r="163" spans="1:35" x14ac:dyDescent="0.25">
      <c r="A163"/>
      <c r="B163"/>
      <c r="C163"/>
      <c r="D163" s="91"/>
      <c r="E163"/>
      <c r="F163" s="66"/>
      <c r="G163"/>
      <c r="H163"/>
      <c r="I163" s="48"/>
      <c r="J163" s="48"/>
      <c r="K163"/>
      <c r="M163"/>
      <c r="N163"/>
      <c r="O163"/>
      <c r="Q163"/>
      <c r="U163"/>
      <c r="V163"/>
      <c r="W163"/>
      <c r="Y163"/>
      <c r="Z163"/>
      <c r="AA163"/>
      <c r="AB163"/>
      <c r="AC163"/>
      <c r="AD163"/>
      <c r="AE163"/>
      <c r="AF163"/>
      <c r="AG163"/>
      <c r="AH163"/>
      <c r="AI163"/>
    </row>
    <row r="164" spans="1:35" x14ac:dyDescent="0.25">
      <c r="A164"/>
      <c r="B164"/>
      <c r="C164"/>
      <c r="D164" s="91"/>
      <c r="E164"/>
      <c r="F164" s="66"/>
      <c r="G164"/>
      <c r="H164"/>
      <c r="I164" s="48"/>
      <c r="J164" s="48"/>
      <c r="K164"/>
      <c r="M164"/>
      <c r="N164"/>
      <c r="O164"/>
      <c r="Q164"/>
      <c r="U164"/>
      <c r="V164"/>
      <c r="W164"/>
      <c r="Y164"/>
      <c r="Z164"/>
      <c r="AA164"/>
      <c r="AB164"/>
      <c r="AC164"/>
      <c r="AD164"/>
      <c r="AE164"/>
      <c r="AF164"/>
      <c r="AG164"/>
      <c r="AH164"/>
      <c r="AI164"/>
    </row>
    <row r="165" spans="1:35" x14ac:dyDescent="0.25">
      <c r="A165"/>
      <c r="B165"/>
      <c r="C165"/>
      <c r="D165" s="91"/>
      <c r="E165"/>
      <c r="F165" s="66"/>
      <c r="G165"/>
      <c r="H165"/>
      <c r="I165" s="48"/>
      <c r="J165" s="48"/>
      <c r="K165"/>
      <c r="M165"/>
      <c r="N165"/>
      <c r="O165"/>
      <c r="Q165"/>
      <c r="U165"/>
      <c r="V165"/>
      <c r="W165"/>
      <c r="Y165"/>
      <c r="Z165"/>
      <c r="AA165"/>
      <c r="AB165"/>
      <c r="AC165"/>
      <c r="AD165"/>
      <c r="AE165"/>
      <c r="AF165"/>
      <c r="AG165"/>
      <c r="AH165"/>
      <c r="AI165"/>
    </row>
    <row r="166" spans="1:35" x14ac:dyDescent="0.25">
      <c r="A166"/>
      <c r="B166"/>
      <c r="C166"/>
      <c r="D166" s="91"/>
      <c r="E166"/>
      <c r="F166" s="66"/>
      <c r="G166"/>
      <c r="H166"/>
      <c r="I166" s="48"/>
      <c r="J166" s="48"/>
      <c r="K166"/>
      <c r="M166"/>
      <c r="N166"/>
      <c r="O166"/>
      <c r="Q166"/>
      <c r="U166"/>
      <c r="V166"/>
      <c r="W166"/>
      <c r="Y166"/>
      <c r="Z166"/>
      <c r="AA166"/>
      <c r="AB166"/>
      <c r="AC166"/>
      <c r="AD166"/>
      <c r="AE166"/>
      <c r="AF166"/>
      <c r="AG166"/>
      <c r="AH166"/>
      <c r="AI166"/>
    </row>
    <row r="167" spans="1:35" x14ac:dyDescent="0.25">
      <c r="A167"/>
      <c r="B167"/>
      <c r="C167"/>
      <c r="D167" s="91"/>
      <c r="E167"/>
      <c r="F167" s="66"/>
      <c r="G167"/>
      <c r="H167"/>
      <c r="I167" s="48"/>
      <c r="J167" s="48"/>
      <c r="K167"/>
      <c r="M167"/>
      <c r="N167"/>
      <c r="O167"/>
      <c r="Q167"/>
      <c r="U167"/>
      <c r="V167"/>
      <c r="W167"/>
      <c r="Y167"/>
      <c r="Z167"/>
      <c r="AA167"/>
      <c r="AB167"/>
      <c r="AC167"/>
      <c r="AD167"/>
      <c r="AE167"/>
      <c r="AF167"/>
      <c r="AG167"/>
      <c r="AH167"/>
      <c r="AI167"/>
    </row>
    <row r="168" spans="1:35" x14ac:dyDescent="0.25">
      <c r="A168"/>
      <c r="B168"/>
      <c r="C168"/>
      <c r="D168" s="91"/>
      <c r="E168"/>
      <c r="F168" s="66"/>
      <c r="G168"/>
      <c r="H168"/>
      <c r="I168" s="48"/>
      <c r="J168" s="48"/>
      <c r="K168"/>
      <c r="M168"/>
      <c r="N168"/>
      <c r="O168"/>
      <c r="Q168"/>
      <c r="U168"/>
      <c r="V168"/>
      <c r="W168"/>
      <c r="Y168"/>
      <c r="Z168"/>
      <c r="AA168"/>
      <c r="AB168"/>
      <c r="AC168"/>
      <c r="AD168"/>
      <c r="AE168"/>
      <c r="AF168"/>
      <c r="AG168"/>
      <c r="AH168"/>
      <c r="AI168"/>
    </row>
    <row r="169" spans="1:35" x14ac:dyDescent="0.25">
      <c r="A169"/>
      <c r="B169"/>
      <c r="C169"/>
      <c r="D169" s="91"/>
      <c r="E169"/>
      <c r="F169" s="66"/>
      <c r="G169"/>
      <c r="H169"/>
      <c r="I169" s="48"/>
      <c r="J169" s="48"/>
      <c r="K169"/>
      <c r="M169"/>
      <c r="N169"/>
      <c r="O169"/>
      <c r="Q169"/>
      <c r="U169"/>
      <c r="V169"/>
      <c r="W169"/>
      <c r="Y169"/>
      <c r="Z169"/>
      <c r="AA169"/>
      <c r="AB169"/>
      <c r="AC169"/>
      <c r="AD169"/>
      <c r="AE169"/>
      <c r="AF169"/>
      <c r="AG169"/>
      <c r="AH169"/>
      <c r="AI169"/>
    </row>
    <row r="170" spans="1:35" x14ac:dyDescent="0.25">
      <c r="A170"/>
      <c r="B170"/>
      <c r="C170"/>
      <c r="D170" s="91"/>
      <c r="E170"/>
      <c r="F170" s="66"/>
      <c r="G170"/>
      <c r="H170"/>
      <c r="I170" s="48"/>
      <c r="J170" s="48"/>
      <c r="K170"/>
      <c r="M170"/>
      <c r="N170"/>
      <c r="O170"/>
      <c r="Q170"/>
      <c r="U170"/>
      <c r="V170"/>
      <c r="W170"/>
      <c r="Y170"/>
      <c r="Z170"/>
      <c r="AA170"/>
      <c r="AB170"/>
      <c r="AC170"/>
      <c r="AD170"/>
      <c r="AE170"/>
      <c r="AF170"/>
      <c r="AG170"/>
      <c r="AH170"/>
      <c r="AI170"/>
    </row>
    <row r="171" spans="1:35" x14ac:dyDescent="0.25">
      <c r="A171"/>
      <c r="B171"/>
      <c r="C171"/>
      <c r="D171" s="91"/>
      <c r="E171"/>
      <c r="F171" s="66"/>
      <c r="G171"/>
      <c r="H171"/>
      <c r="I171" s="48"/>
      <c r="J171" s="48"/>
      <c r="K171"/>
      <c r="M171"/>
      <c r="N171"/>
      <c r="O171"/>
      <c r="Q171"/>
      <c r="U171"/>
      <c r="V171"/>
      <c r="W171"/>
      <c r="Y171"/>
      <c r="Z171"/>
      <c r="AA171"/>
      <c r="AB171"/>
      <c r="AC171"/>
      <c r="AD171"/>
      <c r="AE171"/>
      <c r="AF171"/>
      <c r="AG171"/>
      <c r="AH171"/>
      <c r="AI171"/>
    </row>
    <row r="172" spans="1:35" x14ac:dyDescent="0.25">
      <c r="A172"/>
      <c r="B172"/>
      <c r="C172"/>
      <c r="D172" s="91"/>
      <c r="E172"/>
      <c r="F172" s="66"/>
      <c r="G172"/>
      <c r="H172"/>
      <c r="I172" s="48"/>
      <c r="J172" s="48"/>
      <c r="K172"/>
      <c r="M172"/>
      <c r="N172"/>
      <c r="O172"/>
      <c r="Q172"/>
      <c r="U172"/>
      <c r="V172"/>
      <c r="W172"/>
      <c r="Y172"/>
      <c r="Z172"/>
      <c r="AA172"/>
      <c r="AB172"/>
      <c r="AC172"/>
      <c r="AD172"/>
      <c r="AE172"/>
      <c r="AF172"/>
      <c r="AG172"/>
      <c r="AH172"/>
      <c r="AI172"/>
    </row>
    <row r="173" spans="1:35" x14ac:dyDescent="0.25">
      <c r="A173"/>
      <c r="B173"/>
      <c r="C173"/>
      <c r="D173" s="91"/>
      <c r="E173"/>
      <c r="F173" s="66"/>
      <c r="G173"/>
      <c r="H173"/>
      <c r="I173" s="48"/>
      <c r="J173" s="48"/>
      <c r="K173"/>
      <c r="M173"/>
      <c r="N173"/>
      <c r="O173"/>
      <c r="Q173"/>
      <c r="U173"/>
      <c r="V173"/>
      <c r="W173"/>
      <c r="Y173"/>
      <c r="Z173"/>
      <c r="AA173"/>
      <c r="AB173"/>
      <c r="AC173"/>
      <c r="AD173"/>
      <c r="AE173"/>
      <c r="AF173"/>
      <c r="AG173"/>
      <c r="AH173"/>
      <c r="AI173"/>
    </row>
    <row r="174" spans="1:35" x14ac:dyDescent="0.25">
      <c r="A174"/>
      <c r="B174"/>
      <c r="C174"/>
      <c r="D174" s="91"/>
      <c r="E174"/>
      <c r="F174" s="66"/>
      <c r="G174"/>
      <c r="H174"/>
      <c r="I174" s="48"/>
      <c r="J174" s="48"/>
      <c r="K174"/>
      <c r="M174"/>
      <c r="N174"/>
      <c r="O174"/>
      <c r="Q174"/>
      <c r="U174"/>
      <c r="V174"/>
      <c r="W174"/>
      <c r="Y174"/>
      <c r="Z174"/>
      <c r="AA174"/>
      <c r="AB174"/>
      <c r="AC174"/>
      <c r="AD174"/>
      <c r="AE174"/>
      <c r="AF174"/>
      <c r="AG174"/>
      <c r="AH174"/>
      <c r="AI174"/>
    </row>
    <row r="175" spans="1:35" x14ac:dyDescent="0.25">
      <c r="A175"/>
      <c r="B175"/>
      <c r="C175"/>
      <c r="D175" s="91"/>
      <c r="E175"/>
      <c r="F175" s="66"/>
      <c r="G175"/>
      <c r="H175"/>
      <c r="I175" s="48"/>
      <c r="J175" s="48"/>
      <c r="K175"/>
      <c r="M175"/>
      <c r="N175"/>
      <c r="O175"/>
      <c r="Q175"/>
      <c r="U175"/>
      <c r="V175"/>
      <c r="W175"/>
      <c r="Y175"/>
      <c r="Z175"/>
      <c r="AA175"/>
      <c r="AB175"/>
      <c r="AC175"/>
      <c r="AD175"/>
      <c r="AE175"/>
      <c r="AF175"/>
      <c r="AG175"/>
      <c r="AH175"/>
      <c r="AI175"/>
    </row>
    <row r="176" spans="1:35" x14ac:dyDescent="0.25">
      <c r="A176"/>
      <c r="B176"/>
      <c r="C176"/>
      <c r="D176" s="91"/>
      <c r="E176"/>
      <c r="F176" s="66"/>
      <c r="G176"/>
      <c r="H176"/>
      <c r="I176" s="48"/>
      <c r="J176" s="48"/>
      <c r="K176"/>
      <c r="M176"/>
      <c r="N176"/>
      <c r="O176"/>
      <c r="Q176"/>
      <c r="U176"/>
      <c r="V176"/>
      <c r="W176"/>
      <c r="Y176"/>
      <c r="Z176"/>
      <c r="AA176"/>
      <c r="AB176"/>
      <c r="AC176"/>
      <c r="AD176"/>
      <c r="AE176"/>
      <c r="AF176"/>
      <c r="AG176"/>
      <c r="AH176"/>
      <c r="AI176"/>
    </row>
    <row r="177" spans="1:35" x14ac:dyDescent="0.25">
      <c r="A177"/>
      <c r="B177"/>
      <c r="C177"/>
      <c r="D177" s="91"/>
      <c r="E177"/>
      <c r="F177" s="66"/>
      <c r="G177"/>
      <c r="H177"/>
      <c r="I177" s="48"/>
      <c r="J177" s="48"/>
      <c r="K177"/>
      <c r="M177"/>
      <c r="N177"/>
      <c r="O177"/>
      <c r="Q177"/>
      <c r="U177"/>
      <c r="V177"/>
      <c r="W177"/>
      <c r="Y177"/>
      <c r="Z177"/>
      <c r="AA177"/>
      <c r="AB177"/>
      <c r="AC177"/>
      <c r="AD177"/>
      <c r="AE177"/>
      <c r="AF177"/>
      <c r="AG177"/>
      <c r="AH177"/>
      <c r="AI177"/>
    </row>
    <row r="178" spans="1:35" x14ac:dyDescent="0.25">
      <c r="A178"/>
      <c r="B178"/>
      <c r="C178"/>
      <c r="D178" s="91"/>
      <c r="E178"/>
      <c r="F178" s="66"/>
      <c r="G178"/>
      <c r="H178"/>
      <c r="I178" s="48"/>
      <c r="J178" s="48"/>
      <c r="K178"/>
      <c r="M178"/>
      <c r="N178"/>
      <c r="O178"/>
      <c r="Q178"/>
      <c r="U178"/>
      <c r="V178"/>
      <c r="W178"/>
      <c r="Y178"/>
      <c r="Z178"/>
      <c r="AA178"/>
      <c r="AB178"/>
      <c r="AC178"/>
      <c r="AD178"/>
      <c r="AE178"/>
      <c r="AF178"/>
      <c r="AG178"/>
      <c r="AH178"/>
      <c r="AI178"/>
    </row>
    <row r="179" spans="1:35" x14ac:dyDescent="0.25">
      <c r="A179"/>
      <c r="B179"/>
      <c r="C179"/>
      <c r="D179" s="91"/>
      <c r="E179"/>
      <c r="F179" s="66"/>
      <c r="G179"/>
      <c r="H179"/>
      <c r="I179" s="48"/>
      <c r="J179" s="48"/>
      <c r="K179"/>
      <c r="M179"/>
      <c r="N179"/>
      <c r="O179"/>
      <c r="Q179"/>
      <c r="U179"/>
      <c r="V179"/>
      <c r="W179"/>
      <c r="Y179"/>
      <c r="Z179"/>
      <c r="AA179"/>
      <c r="AB179"/>
      <c r="AC179"/>
      <c r="AD179"/>
      <c r="AE179"/>
      <c r="AF179"/>
      <c r="AG179"/>
      <c r="AH179"/>
      <c r="AI179"/>
    </row>
    <row r="180" spans="1:35" x14ac:dyDescent="0.25">
      <c r="A180"/>
      <c r="B180"/>
      <c r="C180"/>
      <c r="D180" s="91"/>
      <c r="E180"/>
      <c r="F180" s="66"/>
      <c r="G180"/>
      <c r="H180"/>
      <c r="I180" s="48"/>
      <c r="J180" s="48"/>
      <c r="K180"/>
      <c r="M180"/>
      <c r="N180"/>
      <c r="O180"/>
      <c r="Q180"/>
      <c r="U180"/>
      <c r="V180"/>
      <c r="W180"/>
      <c r="Y180"/>
      <c r="Z180"/>
      <c r="AA180"/>
      <c r="AB180"/>
      <c r="AC180"/>
      <c r="AD180"/>
      <c r="AE180"/>
      <c r="AF180"/>
      <c r="AG180"/>
      <c r="AH180"/>
      <c r="AI180"/>
    </row>
    <row r="181" spans="1:35" x14ac:dyDescent="0.25">
      <c r="A181"/>
      <c r="B181"/>
      <c r="C181"/>
      <c r="D181" s="91"/>
      <c r="E181"/>
      <c r="F181" s="66"/>
      <c r="G181"/>
      <c r="H181"/>
      <c r="I181" s="48"/>
      <c r="J181" s="48"/>
      <c r="K181"/>
      <c r="M181"/>
      <c r="N181"/>
      <c r="O181"/>
      <c r="Q181"/>
      <c r="U181"/>
      <c r="V181"/>
      <c r="W181"/>
      <c r="Y181"/>
      <c r="Z181"/>
      <c r="AA181"/>
      <c r="AB181"/>
      <c r="AC181"/>
      <c r="AD181"/>
      <c r="AE181"/>
      <c r="AF181"/>
      <c r="AG181"/>
      <c r="AH181"/>
      <c r="AI181"/>
    </row>
    <row r="182" spans="1:35" x14ac:dyDescent="0.25">
      <c r="A182"/>
      <c r="B182"/>
      <c r="C182"/>
      <c r="D182" s="91"/>
      <c r="E182"/>
      <c r="F182" s="66"/>
      <c r="G182"/>
      <c r="H182"/>
      <c r="I182" s="48"/>
      <c r="J182" s="48"/>
      <c r="K182"/>
      <c r="M182"/>
      <c r="N182"/>
      <c r="O182"/>
      <c r="Q182"/>
      <c r="U182"/>
      <c r="V182"/>
      <c r="W182"/>
      <c r="Y182"/>
      <c r="Z182"/>
      <c r="AA182"/>
      <c r="AB182"/>
      <c r="AC182"/>
      <c r="AD182"/>
      <c r="AE182"/>
      <c r="AF182"/>
      <c r="AG182"/>
      <c r="AH182"/>
      <c r="AI182"/>
    </row>
    <row r="183" spans="1:35" x14ac:dyDescent="0.25">
      <c r="A183"/>
      <c r="B183"/>
      <c r="C183"/>
      <c r="D183" s="91"/>
      <c r="E183"/>
      <c r="F183" s="66"/>
      <c r="G183"/>
      <c r="H183"/>
      <c r="I183" s="48"/>
      <c r="J183" s="48"/>
      <c r="K183"/>
      <c r="M183"/>
      <c r="N183"/>
      <c r="O183"/>
      <c r="Q183"/>
      <c r="U183"/>
      <c r="V183"/>
      <c r="W183"/>
      <c r="Y183"/>
      <c r="Z183"/>
      <c r="AA183"/>
      <c r="AB183"/>
      <c r="AC183"/>
      <c r="AD183"/>
      <c r="AE183"/>
      <c r="AF183"/>
      <c r="AG183"/>
      <c r="AH183"/>
      <c r="AI183"/>
    </row>
    <row r="184" spans="1:35" x14ac:dyDescent="0.25">
      <c r="A184"/>
      <c r="B184"/>
      <c r="C184"/>
      <c r="D184" s="91"/>
      <c r="E184"/>
      <c r="F184" s="66"/>
      <c r="G184"/>
      <c r="H184"/>
      <c r="I184" s="48"/>
      <c r="J184" s="48"/>
      <c r="K184"/>
      <c r="M184"/>
      <c r="N184"/>
      <c r="O184"/>
      <c r="Q184"/>
      <c r="U184"/>
      <c r="V184"/>
      <c r="W184"/>
      <c r="Y184"/>
      <c r="Z184"/>
      <c r="AA184"/>
      <c r="AB184"/>
      <c r="AC184"/>
      <c r="AD184"/>
      <c r="AE184"/>
      <c r="AF184"/>
      <c r="AG184"/>
      <c r="AH184"/>
      <c r="AI184"/>
    </row>
    <row r="185" spans="1:35" x14ac:dyDescent="0.25">
      <c r="A185"/>
      <c r="B185"/>
      <c r="C185"/>
      <c r="D185" s="91"/>
      <c r="E185"/>
      <c r="F185" s="66"/>
      <c r="G185"/>
      <c r="H185"/>
      <c r="I185" s="48"/>
      <c r="J185" s="48"/>
      <c r="K185"/>
      <c r="M185"/>
      <c r="N185"/>
      <c r="O185"/>
      <c r="Q185"/>
      <c r="U185"/>
      <c r="V185"/>
      <c r="W185"/>
      <c r="Y185"/>
      <c r="Z185"/>
      <c r="AA185"/>
      <c r="AB185"/>
      <c r="AC185"/>
      <c r="AD185"/>
      <c r="AE185"/>
      <c r="AF185"/>
      <c r="AG185"/>
      <c r="AH185"/>
      <c r="AI185"/>
    </row>
    <row r="186" spans="1:35" x14ac:dyDescent="0.25">
      <c r="A186"/>
      <c r="B186"/>
      <c r="C186"/>
      <c r="D186" s="91"/>
      <c r="E186"/>
      <c r="F186" s="66"/>
      <c r="G186"/>
      <c r="H186"/>
      <c r="I186" s="48"/>
      <c r="J186" s="48"/>
      <c r="K186"/>
      <c r="M186"/>
      <c r="N186"/>
      <c r="O186"/>
      <c r="Q186"/>
      <c r="U186"/>
      <c r="V186"/>
      <c r="W186"/>
      <c r="Y186"/>
      <c r="Z186"/>
      <c r="AA186"/>
      <c r="AB186"/>
      <c r="AC186"/>
      <c r="AD186"/>
      <c r="AE186"/>
      <c r="AF186"/>
      <c r="AG186"/>
      <c r="AH186"/>
      <c r="AI186"/>
    </row>
    <row r="187" spans="1:35" x14ac:dyDescent="0.25">
      <c r="A187"/>
      <c r="B187"/>
      <c r="C187"/>
      <c r="D187" s="91"/>
      <c r="E187"/>
      <c r="F187" s="66"/>
      <c r="G187"/>
      <c r="H187"/>
      <c r="I187" s="48"/>
      <c r="J187" s="48"/>
      <c r="K187"/>
      <c r="M187"/>
      <c r="N187"/>
      <c r="O187"/>
      <c r="Q187"/>
      <c r="U187"/>
      <c r="V187"/>
      <c r="W187"/>
      <c r="Y187"/>
      <c r="Z187"/>
      <c r="AA187"/>
      <c r="AB187"/>
      <c r="AC187"/>
      <c r="AD187"/>
      <c r="AE187"/>
      <c r="AF187"/>
      <c r="AG187"/>
      <c r="AH187"/>
      <c r="AI187"/>
    </row>
    <row r="188" spans="1:35" x14ac:dyDescent="0.25">
      <c r="A188"/>
      <c r="B188"/>
      <c r="C188"/>
      <c r="D188" s="91"/>
      <c r="E188"/>
      <c r="F188" s="66"/>
      <c r="G188"/>
      <c r="H188"/>
      <c r="I188" s="48"/>
      <c r="J188" s="48"/>
      <c r="K188"/>
      <c r="M188"/>
      <c r="N188"/>
      <c r="O188"/>
      <c r="Q188"/>
      <c r="U188"/>
      <c r="V188"/>
      <c r="W188"/>
      <c r="Y188"/>
      <c r="Z188"/>
      <c r="AA188"/>
      <c r="AB188"/>
      <c r="AC188"/>
      <c r="AD188"/>
      <c r="AE188"/>
      <c r="AF188"/>
      <c r="AG188"/>
      <c r="AH188"/>
      <c r="AI188"/>
    </row>
    <row r="189" spans="1:35" x14ac:dyDescent="0.25">
      <c r="A189"/>
      <c r="B189"/>
      <c r="C189"/>
      <c r="D189" s="91"/>
      <c r="E189"/>
      <c r="F189" s="66"/>
      <c r="G189"/>
      <c r="H189"/>
      <c r="I189" s="48"/>
      <c r="J189" s="48"/>
      <c r="K189"/>
      <c r="M189"/>
      <c r="N189"/>
      <c r="O189"/>
      <c r="Q189"/>
      <c r="U189"/>
      <c r="V189"/>
      <c r="W189"/>
      <c r="Y189"/>
      <c r="Z189"/>
      <c r="AA189"/>
      <c r="AB189"/>
      <c r="AC189"/>
      <c r="AD189"/>
      <c r="AE189"/>
      <c r="AF189"/>
      <c r="AG189"/>
      <c r="AH189"/>
      <c r="AI189"/>
    </row>
    <row r="190" spans="1:35" x14ac:dyDescent="0.25">
      <c r="A190"/>
      <c r="B190"/>
      <c r="C190"/>
      <c r="D190" s="91"/>
      <c r="E190"/>
      <c r="F190" s="66"/>
      <c r="G190"/>
      <c r="H190"/>
      <c r="I190" s="48"/>
      <c r="J190" s="48"/>
      <c r="K190"/>
      <c r="M190"/>
      <c r="N190"/>
      <c r="O190"/>
      <c r="Q190"/>
      <c r="U190"/>
      <c r="V190"/>
      <c r="W190"/>
      <c r="Y190"/>
      <c r="Z190"/>
      <c r="AA190"/>
      <c r="AB190"/>
      <c r="AC190"/>
      <c r="AD190"/>
      <c r="AE190"/>
      <c r="AF190"/>
      <c r="AG190"/>
      <c r="AH190"/>
      <c r="AI190"/>
    </row>
    <row r="191" spans="1:35" x14ac:dyDescent="0.25">
      <c r="A191"/>
      <c r="B191"/>
      <c r="C191"/>
      <c r="D191" s="91"/>
      <c r="E191"/>
      <c r="F191" s="66"/>
      <c r="G191"/>
      <c r="H191"/>
      <c r="I191" s="48"/>
      <c r="J191" s="48"/>
      <c r="K191"/>
      <c r="M191"/>
      <c r="N191"/>
      <c r="O191"/>
      <c r="Q191"/>
      <c r="U191"/>
      <c r="V191"/>
      <c r="W191"/>
      <c r="Y191"/>
      <c r="Z191"/>
      <c r="AA191"/>
      <c r="AB191"/>
      <c r="AC191"/>
      <c r="AD191"/>
      <c r="AE191"/>
      <c r="AF191"/>
      <c r="AG191"/>
      <c r="AH191"/>
      <c r="AI191"/>
    </row>
    <row r="192" spans="1:35" x14ac:dyDescent="0.25">
      <c r="A192"/>
      <c r="B192"/>
      <c r="C192"/>
      <c r="D192" s="91"/>
      <c r="E192"/>
      <c r="F192" s="66"/>
      <c r="G192"/>
      <c r="H192"/>
      <c r="I192" s="48"/>
      <c r="J192" s="48"/>
      <c r="K192"/>
      <c r="M192"/>
      <c r="N192"/>
      <c r="O192"/>
      <c r="Q192"/>
      <c r="U192"/>
      <c r="V192"/>
      <c r="W192"/>
      <c r="Y192"/>
      <c r="Z192"/>
      <c r="AA192"/>
      <c r="AB192"/>
      <c r="AC192"/>
      <c r="AD192"/>
      <c r="AE192"/>
      <c r="AF192"/>
      <c r="AG192"/>
      <c r="AH192"/>
      <c r="AI192"/>
    </row>
    <row r="193" spans="1:35" x14ac:dyDescent="0.25">
      <c r="A193"/>
      <c r="B193"/>
      <c r="C193"/>
      <c r="D193" s="91"/>
      <c r="E193"/>
      <c r="F193" s="66"/>
      <c r="G193"/>
      <c r="H193"/>
      <c r="I193" s="48"/>
      <c r="J193" s="48"/>
      <c r="K193"/>
      <c r="M193"/>
      <c r="N193"/>
      <c r="O193"/>
      <c r="Q193"/>
      <c r="U193"/>
      <c r="V193"/>
      <c r="W193"/>
      <c r="Y193"/>
      <c r="Z193"/>
      <c r="AA193"/>
      <c r="AB193"/>
      <c r="AC193"/>
      <c r="AD193"/>
      <c r="AE193"/>
      <c r="AF193"/>
      <c r="AG193"/>
      <c r="AH193"/>
      <c r="AI193"/>
    </row>
    <row r="194" spans="1:35" x14ac:dyDescent="0.25">
      <c r="A194"/>
      <c r="B194"/>
      <c r="C194"/>
      <c r="D194" s="91"/>
      <c r="E194"/>
      <c r="F194" s="66"/>
      <c r="G194"/>
      <c r="H194"/>
      <c r="I194" s="48"/>
      <c r="J194" s="48"/>
      <c r="K194"/>
      <c r="M194"/>
      <c r="N194"/>
      <c r="O194"/>
      <c r="Q194"/>
      <c r="U194"/>
      <c r="V194"/>
      <c r="W194"/>
      <c r="Y194"/>
      <c r="Z194"/>
      <c r="AA194"/>
      <c r="AB194"/>
      <c r="AC194"/>
      <c r="AD194"/>
      <c r="AE194"/>
      <c r="AF194"/>
      <c r="AG194"/>
      <c r="AH194"/>
      <c r="AI194"/>
    </row>
    <row r="195" spans="1:35" x14ac:dyDescent="0.25">
      <c r="A195"/>
      <c r="B195"/>
      <c r="C195"/>
      <c r="D195" s="91"/>
      <c r="E195"/>
      <c r="F195" s="66"/>
      <c r="G195"/>
      <c r="H195"/>
      <c r="I195" s="48"/>
      <c r="J195" s="48"/>
      <c r="K195"/>
      <c r="M195"/>
      <c r="N195"/>
      <c r="O195"/>
      <c r="Q195"/>
      <c r="U195"/>
      <c r="V195"/>
      <c r="W195"/>
      <c r="Y195"/>
      <c r="Z195"/>
      <c r="AA195"/>
      <c r="AB195"/>
      <c r="AC195"/>
      <c r="AD195"/>
      <c r="AE195"/>
      <c r="AF195"/>
      <c r="AG195"/>
      <c r="AH195"/>
      <c r="AI195"/>
    </row>
    <row r="196" spans="1:35" x14ac:dyDescent="0.25">
      <c r="A196"/>
      <c r="B196"/>
      <c r="C196"/>
      <c r="D196" s="91"/>
      <c r="E196"/>
      <c r="F196" s="66"/>
      <c r="G196"/>
      <c r="H196"/>
      <c r="I196" s="48"/>
      <c r="J196" s="48"/>
      <c r="K196"/>
      <c r="M196"/>
      <c r="N196"/>
      <c r="O196"/>
      <c r="Q196"/>
      <c r="U196"/>
      <c r="V196"/>
      <c r="W196"/>
      <c r="Y196"/>
      <c r="Z196"/>
      <c r="AA196"/>
      <c r="AB196"/>
      <c r="AC196"/>
      <c r="AD196"/>
      <c r="AE196"/>
      <c r="AF196"/>
      <c r="AG196"/>
      <c r="AH196"/>
      <c r="AI196"/>
    </row>
    <row r="197" spans="1:35" x14ac:dyDescent="0.25">
      <c r="A197"/>
      <c r="B197"/>
      <c r="C197"/>
      <c r="D197" s="91"/>
      <c r="E197"/>
      <c r="F197" s="66"/>
      <c r="G197"/>
      <c r="H197"/>
      <c r="I197" s="48"/>
      <c r="J197" s="48"/>
      <c r="K197"/>
      <c r="M197"/>
      <c r="N197"/>
      <c r="O197"/>
      <c r="Q197"/>
      <c r="U197"/>
      <c r="V197"/>
      <c r="W197"/>
      <c r="Y197"/>
      <c r="Z197"/>
      <c r="AA197"/>
      <c r="AB197"/>
      <c r="AC197"/>
      <c r="AD197"/>
      <c r="AE197"/>
      <c r="AF197"/>
      <c r="AG197"/>
      <c r="AH197"/>
      <c r="AI197"/>
    </row>
    <row r="198" spans="1:35" x14ac:dyDescent="0.25">
      <c r="A198"/>
      <c r="B198"/>
      <c r="C198"/>
      <c r="D198" s="91"/>
      <c r="E198"/>
      <c r="F198" s="66"/>
      <c r="G198"/>
      <c r="H198"/>
      <c r="I198" s="48"/>
      <c r="J198" s="48"/>
      <c r="K198"/>
      <c r="M198"/>
      <c r="N198"/>
      <c r="O198"/>
      <c r="Q198"/>
      <c r="U198"/>
      <c r="V198"/>
      <c r="W198"/>
      <c r="Y198"/>
      <c r="Z198"/>
      <c r="AA198"/>
      <c r="AB198"/>
      <c r="AC198"/>
      <c r="AD198"/>
      <c r="AE198"/>
      <c r="AF198"/>
      <c r="AG198"/>
      <c r="AH198"/>
      <c r="AI198"/>
    </row>
    <row r="199" spans="1:35" x14ac:dyDescent="0.25">
      <c r="A199"/>
      <c r="B199"/>
      <c r="C199"/>
      <c r="D199" s="91"/>
      <c r="E199"/>
      <c r="F199" s="66"/>
      <c r="G199"/>
      <c r="H199"/>
      <c r="I199" s="48"/>
      <c r="J199" s="48"/>
      <c r="K199"/>
      <c r="M199"/>
      <c r="N199"/>
      <c r="O199"/>
      <c r="Q199"/>
      <c r="U199"/>
      <c r="V199"/>
      <c r="W199"/>
      <c r="Y199"/>
      <c r="Z199"/>
      <c r="AA199"/>
      <c r="AB199"/>
      <c r="AC199"/>
      <c r="AD199"/>
      <c r="AE199"/>
      <c r="AF199"/>
      <c r="AG199"/>
      <c r="AH199"/>
      <c r="AI199"/>
    </row>
    <row r="200" spans="1:35" x14ac:dyDescent="0.25">
      <c r="A200"/>
      <c r="B200"/>
      <c r="C200"/>
      <c r="D200" s="91"/>
      <c r="E200"/>
      <c r="F200" s="66"/>
      <c r="G200"/>
      <c r="H200"/>
      <c r="I200" s="48"/>
      <c r="J200" s="48"/>
      <c r="K200"/>
      <c r="M200"/>
      <c r="N200"/>
      <c r="O200"/>
      <c r="Q200"/>
      <c r="U200"/>
      <c r="V200"/>
      <c r="W200"/>
      <c r="Y200"/>
      <c r="Z200"/>
      <c r="AA200"/>
      <c r="AB200"/>
      <c r="AC200"/>
      <c r="AD200"/>
      <c r="AE200"/>
      <c r="AF200"/>
      <c r="AG200"/>
      <c r="AH200"/>
      <c r="AI200"/>
    </row>
    <row r="201" spans="1:35" x14ac:dyDescent="0.25">
      <c r="A201"/>
      <c r="B201"/>
      <c r="C201"/>
      <c r="D201" s="91"/>
      <c r="E201"/>
      <c r="F201" s="66"/>
      <c r="G201"/>
      <c r="H201"/>
      <c r="I201" s="48"/>
      <c r="J201" s="48"/>
      <c r="K201"/>
      <c r="M201"/>
      <c r="N201"/>
      <c r="O201"/>
      <c r="Q201"/>
      <c r="U201"/>
      <c r="V201"/>
      <c r="W201"/>
      <c r="Y201"/>
      <c r="Z201"/>
      <c r="AA201"/>
      <c r="AB201"/>
      <c r="AC201"/>
      <c r="AD201"/>
      <c r="AE201"/>
      <c r="AF201"/>
      <c r="AG201"/>
      <c r="AH201"/>
      <c r="AI201"/>
    </row>
    <row r="202" spans="1:35" x14ac:dyDescent="0.25">
      <c r="A202"/>
      <c r="B202"/>
      <c r="C202"/>
      <c r="D202" s="91"/>
      <c r="E202"/>
      <c r="F202" s="66"/>
      <c r="G202"/>
      <c r="H202"/>
      <c r="I202" s="48"/>
      <c r="J202" s="48"/>
      <c r="K202"/>
      <c r="M202"/>
      <c r="N202"/>
      <c r="O202"/>
      <c r="Q202"/>
      <c r="U202"/>
      <c r="V202"/>
      <c r="W202"/>
      <c r="Y202"/>
      <c r="Z202"/>
      <c r="AA202"/>
      <c r="AB202"/>
      <c r="AC202"/>
      <c r="AD202"/>
      <c r="AE202"/>
      <c r="AF202"/>
      <c r="AG202"/>
      <c r="AH202"/>
      <c r="AI202"/>
    </row>
    <row r="203" spans="1:35" x14ac:dyDescent="0.25">
      <c r="A203"/>
      <c r="B203"/>
      <c r="C203"/>
      <c r="D203" s="91"/>
      <c r="E203"/>
      <c r="F203" s="66"/>
      <c r="G203"/>
      <c r="H203"/>
      <c r="I203" s="48"/>
      <c r="J203" s="48"/>
      <c r="K203"/>
      <c r="M203"/>
      <c r="N203"/>
      <c r="O203"/>
      <c r="Q203"/>
      <c r="U203"/>
      <c r="V203"/>
      <c r="W203"/>
      <c r="Y203"/>
      <c r="Z203"/>
      <c r="AA203"/>
      <c r="AB203"/>
      <c r="AC203"/>
      <c r="AD203"/>
      <c r="AE203"/>
      <c r="AF203"/>
      <c r="AG203"/>
      <c r="AH203"/>
      <c r="AI203"/>
    </row>
    <row r="204" spans="1:35" x14ac:dyDescent="0.25">
      <c r="A204"/>
      <c r="B204"/>
      <c r="C204"/>
      <c r="D204" s="91"/>
      <c r="E204"/>
      <c r="F204" s="66"/>
      <c r="G204"/>
      <c r="H204"/>
      <c r="I204" s="48"/>
      <c r="J204" s="48"/>
      <c r="K204"/>
      <c r="M204"/>
      <c r="N204"/>
      <c r="O204"/>
      <c r="Q204"/>
      <c r="U204"/>
      <c r="V204"/>
      <c r="W204"/>
      <c r="Y204"/>
      <c r="Z204"/>
      <c r="AA204"/>
      <c r="AB204"/>
      <c r="AC204"/>
      <c r="AD204"/>
      <c r="AE204"/>
      <c r="AF204"/>
      <c r="AG204"/>
      <c r="AH204"/>
      <c r="AI204"/>
    </row>
    <row r="205" spans="1:35" x14ac:dyDescent="0.25">
      <c r="A205"/>
      <c r="B205"/>
      <c r="C205"/>
      <c r="D205" s="91"/>
      <c r="E205"/>
      <c r="F205" s="66"/>
      <c r="G205"/>
      <c r="H205"/>
      <c r="I205" s="48"/>
      <c r="J205" s="48"/>
      <c r="K205"/>
      <c r="M205"/>
      <c r="N205"/>
      <c r="O205"/>
      <c r="Q205"/>
      <c r="U205"/>
      <c r="V205"/>
      <c r="W205"/>
      <c r="Y205"/>
      <c r="Z205"/>
      <c r="AA205"/>
      <c r="AB205"/>
      <c r="AC205"/>
      <c r="AD205"/>
      <c r="AE205"/>
      <c r="AF205"/>
      <c r="AG205"/>
      <c r="AH205"/>
      <c r="AI205"/>
    </row>
    <row r="206" spans="1:35" x14ac:dyDescent="0.25">
      <c r="A206"/>
      <c r="B206"/>
      <c r="C206"/>
      <c r="D206" s="91"/>
      <c r="E206"/>
      <c r="F206" s="66"/>
      <c r="G206"/>
      <c r="H206"/>
      <c r="I206" s="48"/>
      <c r="J206" s="48"/>
      <c r="K206"/>
      <c r="M206"/>
      <c r="N206"/>
      <c r="O206"/>
      <c r="Q206"/>
      <c r="U206"/>
      <c r="V206"/>
      <c r="W206"/>
      <c r="Y206"/>
      <c r="Z206"/>
      <c r="AA206"/>
      <c r="AB206"/>
      <c r="AC206"/>
      <c r="AD206"/>
      <c r="AE206"/>
      <c r="AF206"/>
      <c r="AG206"/>
      <c r="AH206"/>
      <c r="AI206"/>
    </row>
    <row r="207" spans="1:35" x14ac:dyDescent="0.25">
      <c r="A207"/>
      <c r="B207"/>
      <c r="C207"/>
      <c r="D207" s="91"/>
      <c r="E207"/>
      <c r="F207" s="66"/>
      <c r="G207"/>
      <c r="H207"/>
      <c r="I207" s="48"/>
      <c r="J207" s="48"/>
      <c r="K207"/>
      <c r="M207"/>
      <c r="N207"/>
      <c r="O207"/>
      <c r="Q207"/>
      <c r="U207"/>
      <c r="V207"/>
      <c r="W207"/>
      <c r="Y207"/>
      <c r="Z207"/>
      <c r="AA207"/>
      <c r="AB207"/>
      <c r="AC207"/>
      <c r="AD207"/>
      <c r="AE207"/>
      <c r="AF207"/>
      <c r="AG207"/>
      <c r="AH207"/>
      <c r="AI207"/>
    </row>
    <row r="208" spans="1:35" x14ac:dyDescent="0.25">
      <c r="A208"/>
      <c r="B208"/>
      <c r="C208"/>
      <c r="D208" s="91"/>
      <c r="E208"/>
      <c r="F208" s="66"/>
      <c r="G208"/>
      <c r="H208"/>
      <c r="I208" s="48"/>
      <c r="J208" s="48"/>
      <c r="K208"/>
      <c r="M208"/>
      <c r="N208"/>
      <c r="O208"/>
      <c r="Q208"/>
      <c r="U208"/>
      <c r="V208"/>
      <c r="W208"/>
      <c r="Y208"/>
      <c r="Z208"/>
      <c r="AA208"/>
      <c r="AB208"/>
      <c r="AC208"/>
      <c r="AD208"/>
      <c r="AE208"/>
      <c r="AF208"/>
      <c r="AG208"/>
      <c r="AH208"/>
      <c r="AI208"/>
    </row>
    <row r="209" spans="1:35" x14ac:dyDescent="0.25">
      <c r="A209"/>
      <c r="B209"/>
      <c r="C209"/>
      <c r="D209" s="91"/>
      <c r="E209"/>
      <c r="F209" s="66"/>
      <c r="G209"/>
      <c r="H209"/>
      <c r="I209" s="48"/>
      <c r="J209" s="48"/>
      <c r="K209"/>
      <c r="M209"/>
      <c r="N209"/>
      <c r="O209"/>
      <c r="Q209"/>
      <c r="U209"/>
      <c r="V209"/>
      <c r="W209"/>
      <c r="Y209"/>
      <c r="Z209"/>
      <c r="AA209"/>
      <c r="AB209"/>
      <c r="AC209"/>
      <c r="AD209"/>
      <c r="AE209"/>
      <c r="AF209"/>
      <c r="AG209"/>
      <c r="AH209"/>
      <c r="AI209"/>
    </row>
    <row r="210" spans="1:35" x14ac:dyDescent="0.25">
      <c r="A210"/>
      <c r="B210"/>
      <c r="C210"/>
      <c r="D210" s="91"/>
      <c r="E210"/>
      <c r="F210" s="66"/>
      <c r="G210"/>
      <c r="H210"/>
      <c r="I210" s="48"/>
      <c r="J210" s="48"/>
      <c r="K210"/>
      <c r="M210"/>
      <c r="N210"/>
      <c r="O210"/>
      <c r="Q210"/>
      <c r="U210"/>
      <c r="V210"/>
      <c r="W210"/>
      <c r="Y210"/>
      <c r="Z210"/>
      <c r="AA210"/>
      <c r="AB210"/>
      <c r="AC210"/>
      <c r="AD210"/>
      <c r="AE210"/>
      <c r="AF210"/>
      <c r="AG210"/>
      <c r="AH210"/>
      <c r="AI210"/>
    </row>
    <row r="211" spans="1:35" x14ac:dyDescent="0.25">
      <c r="A211"/>
      <c r="B211"/>
      <c r="C211"/>
      <c r="D211" s="91"/>
      <c r="E211"/>
      <c r="F211" s="66"/>
      <c r="G211"/>
      <c r="H211"/>
      <c r="I211" s="48"/>
      <c r="J211" s="48"/>
      <c r="K211"/>
      <c r="M211"/>
      <c r="N211"/>
      <c r="O211"/>
      <c r="Q211"/>
      <c r="U211"/>
      <c r="V211"/>
      <c r="W211"/>
      <c r="Y211"/>
      <c r="Z211"/>
      <c r="AA211"/>
      <c r="AB211"/>
      <c r="AC211"/>
      <c r="AD211"/>
      <c r="AE211"/>
      <c r="AF211"/>
      <c r="AG211"/>
      <c r="AH211"/>
      <c r="AI211"/>
    </row>
    <row r="212" spans="1:35" x14ac:dyDescent="0.25">
      <c r="A212"/>
      <c r="B212"/>
      <c r="C212"/>
      <c r="D212" s="91"/>
      <c r="E212"/>
      <c r="F212" s="66"/>
      <c r="G212"/>
      <c r="H212"/>
      <c r="I212" s="48"/>
      <c r="J212" s="48"/>
      <c r="K212"/>
      <c r="M212"/>
      <c r="N212"/>
      <c r="O212"/>
      <c r="Q212"/>
      <c r="U212"/>
      <c r="V212"/>
      <c r="W212"/>
      <c r="Y212"/>
      <c r="Z212"/>
      <c r="AA212"/>
      <c r="AB212"/>
      <c r="AC212"/>
      <c r="AD212"/>
      <c r="AE212"/>
      <c r="AF212"/>
      <c r="AG212"/>
      <c r="AH212"/>
      <c r="AI212"/>
    </row>
    <row r="213" spans="1:35" x14ac:dyDescent="0.25">
      <c r="A213"/>
      <c r="B213"/>
      <c r="C213"/>
      <c r="D213" s="91"/>
      <c r="E213"/>
      <c r="F213" s="66"/>
      <c r="G213"/>
      <c r="H213"/>
      <c r="I213" s="48"/>
      <c r="J213" s="48"/>
      <c r="K213"/>
      <c r="M213"/>
      <c r="N213"/>
      <c r="O213"/>
      <c r="Q213"/>
      <c r="U213"/>
      <c r="V213"/>
      <c r="W213"/>
      <c r="Y213"/>
      <c r="Z213"/>
      <c r="AA213"/>
      <c r="AB213"/>
      <c r="AC213"/>
      <c r="AD213"/>
      <c r="AE213"/>
      <c r="AF213"/>
      <c r="AG213"/>
      <c r="AH213"/>
      <c r="AI213"/>
    </row>
    <row r="214" spans="1:35" x14ac:dyDescent="0.25">
      <c r="A214"/>
      <c r="B214"/>
      <c r="C214"/>
      <c r="D214" s="91"/>
      <c r="E214"/>
      <c r="F214" s="66"/>
      <c r="G214"/>
      <c r="H214"/>
      <c r="I214" s="48"/>
      <c r="J214" s="48"/>
      <c r="K214"/>
      <c r="M214"/>
      <c r="N214"/>
      <c r="O214"/>
      <c r="Q214"/>
      <c r="U214"/>
      <c r="V214"/>
      <c r="W214"/>
      <c r="Y214"/>
      <c r="Z214"/>
      <c r="AA214"/>
      <c r="AB214"/>
      <c r="AC214"/>
      <c r="AD214"/>
      <c r="AE214"/>
      <c r="AF214"/>
      <c r="AG214"/>
      <c r="AH214"/>
      <c r="AI214"/>
    </row>
    <row r="215" spans="1:35" x14ac:dyDescent="0.25">
      <c r="A215"/>
      <c r="B215"/>
      <c r="C215"/>
      <c r="D215" s="91"/>
      <c r="E215"/>
      <c r="F215" s="66"/>
      <c r="G215"/>
      <c r="H215"/>
      <c r="I215" s="48"/>
      <c r="J215" s="48"/>
      <c r="K215"/>
      <c r="M215"/>
      <c r="N215"/>
      <c r="O215"/>
      <c r="Q215"/>
      <c r="U215"/>
      <c r="V215"/>
      <c r="W215"/>
      <c r="Y215"/>
      <c r="Z215"/>
      <c r="AA215"/>
      <c r="AB215"/>
      <c r="AC215"/>
      <c r="AD215"/>
      <c r="AE215"/>
      <c r="AF215"/>
      <c r="AG215"/>
      <c r="AH215"/>
      <c r="AI215"/>
    </row>
    <row r="216" spans="1:35" x14ac:dyDescent="0.25">
      <c r="A216"/>
      <c r="B216"/>
      <c r="C216"/>
      <c r="D216" s="91"/>
      <c r="E216"/>
      <c r="F216" s="66"/>
      <c r="G216"/>
      <c r="H216"/>
      <c r="I216" s="48"/>
      <c r="J216" s="48"/>
      <c r="K216"/>
      <c r="M216"/>
      <c r="N216"/>
      <c r="O216"/>
      <c r="Q216"/>
      <c r="U216"/>
      <c r="V216"/>
      <c r="W216"/>
      <c r="Y216"/>
      <c r="Z216"/>
      <c r="AA216"/>
      <c r="AB216"/>
      <c r="AC216"/>
      <c r="AD216"/>
      <c r="AE216"/>
      <c r="AF216"/>
      <c r="AG216"/>
      <c r="AH216"/>
      <c r="AI216"/>
    </row>
    <row r="217" spans="1:35" x14ac:dyDescent="0.25">
      <c r="A217"/>
      <c r="B217"/>
      <c r="C217"/>
      <c r="D217" s="91"/>
      <c r="E217"/>
      <c r="F217" s="66"/>
      <c r="G217"/>
      <c r="H217"/>
      <c r="I217" s="48"/>
      <c r="J217" s="48"/>
      <c r="K217"/>
      <c r="M217"/>
      <c r="N217"/>
      <c r="O217"/>
      <c r="Q217"/>
      <c r="U217"/>
      <c r="V217"/>
      <c r="W217"/>
      <c r="Y217"/>
      <c r="Z217"/>
      <c r="AA217"/>
      <c r="AB217"/>
      <c r="AC217"/>
      <c r="AD217"/>
      <c r="AE217"/>
      <c r="AF217"/>
      <c r="AG217"/>
      <c r="AH217"/>
      <c r="AI217"/>
    </row>
    <row r="218" spans="1:35" x14ac:dyDescent="0.25">
      <c r="A218"/>
      <c r="B218"/>
      <c r="C218"/>
      <c r="D218" s="91"/>
      <c r="E218"/>
      <c r="F218" s="66"/>
      <c r="G218"/>
      <c r="H218"/>
      <c r="I218" s="48"/>
      <c r="J218" s="48"/>
      <c r="K218"/>
      <c r="M218"/>
      <c r="N218"/>
      <c r="O218"/>
      <c r="Q218"/>
      <c r="U218"/>
      <c r="V218"/>
      <c r="W218"/>
      <c r="Y218"/>
      <c r="Z218"/>
      <c r="AA218"/>
      <c r="AB218"/>
      <c r="AC218"/>
      <c r="AD218"/>
      <c r="AE218"/>
      <c r="AF218"/>
      <c r="AG218"/>
      <c r="AH218"/>
      <c r="AI218"/>
    </row>
    <row r="219" spans="1:35" x14ac:dyDescent="0.25">
      <c r="A219"/>
      <c r="B219"/>
      <c r="C219"/>
      <c r="D219" s="91"/>
      <c r="E219"/>
      <c r="F219" s="66"/>
      <c r="G219"/>
      <c r="H219"/>
      <c r="I219" s="48"/>
      <c r="J219" s="48"/>
      <c r="K219"/>
      <c r="M219"/>
      <c r="N219"/>
      <c r="O219"/>
      <c r="Q219"/>
      <c r="U219"/>
      <c r="V219"/>
      <c r="W219"/>
      <c r="Y219"/>
      <c r="Z219"/>
      <c r="AA219"/>
      <c r="AB219"/>
      <c r="AC219"/>
      <c r="AD219"/>
      <c r="AE219"/>
      <c r="AF219"/>
      <c r="AG219"/>
      <c r="AH219"/>
      <c r="AI219"/>
    </row>
    <row r="220" spans="1:35" x14ac:dyDescent="0.25">
      <c r="A220"/>
      <c r="B220"/>
      <c r="C220"/>
      <c r="D220" s="91"/>
      <c r="E220"/>
      <c r="F220" s="66"/>
      <c r="G220"/>
      <c r="H220"/>
      <c r="I220" s="48"/>
      <c r="J220" s="48"/>
      <c r="K220"/>
      <c r="M220"/>
      <c r="N220"/>
      <c r="O220"/>
      <c r="Q220"/>
      <c r="U220"/>
      <c r="V220"/>
      <c r="W220"/>
      <c r="Y220"/>
      <c r="Z220"/>
      <c r="AA220"/>
      <c r="AB220"/>
      <c r="AC220"/>
      <c r="AD220"/>
      <c r="AE220"/>
      <c r="AF220"/>
      <c r="AG220"/>
      <c r="AH220"/>
      <c r="AI220"/>
    </row>
  </sheetData>
  <mergeCells count="1">
    <mergeCell ref="AE1:A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8AFF2-3C00-42B0-85F7-CEC486873248}">
  <dimension ref="A1:X587"/>
  <sheetViews>
    <sheetView zoomScale="70" zoomScaleNormal="70" workbookViewId="0">
      <pane xSplit="1" topLeftCell="B1" activePane="topRight" state="frozen"/>
      <selection pane="topRight" activeCell="B9" sqref="B9"/>
    </sheetView>
  </sheetViews>
  <sheetFormatPr defaultRowHeight="15.75" x14ac:dyDescent="0.25"/>
  <cols>
    <col min="1" max="1" width="34.125" style="7" customWidth="1"/>
    <col min="2" max="2" width="16.25" style="16" customWidth="1"/>
    <col min="3" max="3" width="16.25" style="66" customWidth="1"/>
    <col min="4" max="4" width="16.25" style="5" customWidth="1"/>
    <col min="5" max="5" width="16.25" style="16" customWidth="1"/>
    <col min="6" max="6" width="16.25" style="7" customWidth="1"/>
    <col min="7" max="7" width="16.25" style="6" customWidth="1"/>
    <col min="8" max="8" width="16.25" style="23" customWidth="1"/>
    <col min="9" max="9" width="16.25" customWidth="1"/>
    <col min="10" max="10" width="14.25" style="23" customWidth="1"/>
    <col min="11" max="11" width="12" style="24" customWidth="1"/>
    <col min="12" max="12" width="16" style="75" customWidth="1"/>
    <col min="13" max="13" width="18.875" style="75" customWidth="1"/>
    <col min="14" max="14" width="19.25" style="75" customWidth="1"/>
    <col min="15" max="15" width="16.25" style="77" customWidth="1"/>
    <col min="16" max="16" width="16.25" style="5" customWidth="1"/>
    <col min="17" max="18" width="16.25" style="23" customWidth="1"/>
    <col min="19" max="19" width="16.25" style="58" customWidth="1"/>
    <col min="20" max="20" width="13.5" style="6" customWidth="1"/>
    <col min="21" max="24" width="13.5" customWidth="1"/>
  </cols>
  <sheetData>
    <row r="1" spans="1:24" x14ac:dyDescent="0.25">
      <c r="A1" s="19"/>
      <c r="B1" s="6"/>
      <c r="C1"/>
      <c r="D1" s="7"/>
      <c r="E1" s="6"/>
      <c r="I1" s="23"/>
      <c r="L1" s="4"/>
      <c r="M1" s="4"/>
      <c r="N1" s="4"/>
      <c r="O1" s="21"/>
      <c r="P1" s="7"/>
      <c r="S1" s="19"/>
    </row>
    <row r="2" spans="1:24" x14ac:dyDescent="0.25">
      <c r="A2" s="19"/>
      <c r="B2" s="6"/>
      <c r="C2"/>
      <c r="D2" s="7"/>
      <c r="E2" s="6"/>
      <c r="I2" s="23"/>
      <c r="L2" s="4"/>
      <c r="M2" s="4"/>
      <c r="N2" s="4"/>
      <c r="O2" s="21"/>
      <c r="P2" s="7"/>
      <c r="S2" s="19"/>
    </row>
    <row r="3" spans="1:24" x14ac:dyDescent="0.25">
      <c r="A3" s="19"/>
      <c r="B3" s="6"/>
      <c r="C3"/>
      <c r="D3" s="7"/>
      <c r="E3" s="6"/>
      <c r="I3" s="23"/>
      <c r="L3" s="4"/>
      <c r="M3" s="4"/>
      <c r="N3" s="4"/>
      <c r="O3" s="21"/>
      <c r="P3" s="7"/>
      <c r="S3" s="19"/>
    </row>
    <row r="4" spans="1:24" x14ac:dyDescent="0.25">
      <c r="A4" s="19"/>
      <c r="B4" s="6"/>
      <c r="C4"/>
      <c r="D4" s="7"/>
      <c r="E4" s="6"/>
      <c r="I4" s="23"/>
      <c r="L4" s="4"/>
      <c r="M4" s="4"/>
      <c r="N4" s="4"/>
      <c r="O4" s="21"/>
      <c r="P4" s="7"/>
      <c r="S4" s="19"/>
    </row>
    <row r="5" spans="1:24" x14ac:dyDescent="0.25">
      <c r="A5" s="19"/>
      <c r="B5" s="6"/>
      <c r="C5"/>
      <c r="D5" s="7"/>
      <c r="E5" s="6"/>
      <c r="I5" s="23"/>
      <c r="L5" s="4"/>
      <c r="M5" s="4"/>
      <c r="N5" s="4"/>
      <c r="O5" s="21"/>
      <c r="P5" s="7"/>
      <c r="S5" s="19"/>
    </row>
    <row r="6" spans="1:24" x14ac:dyDescent="0.25">
      <c r="A6" s="19"/>
      <c r="B6" s="6"/>
      <c r="C6"/>
      <c r="D6" s="7"/>
      <c r="E6" s="6"/>
      <c r="I6" s="23"/>
      <c r="L6" s="4"/>
      <c r="M6" s="4"/>
      <c r="N6" s="4"/>
      <c r="O6" s="21"/>
      <c r="P6" s="7"/>
      <c r="S6" s="19"/>
    </row>
    <row r="7" spans="1:24" x14ac:dyDescent="0.25">
      <c r="A7" s="19"/>
      <c r="B7" s="6"/>
      <c r="C7"/>
      <c r="D7" s="7"/>
      <c r="E7" s="6"/>
      <c r="I7" s="23"/>
      <c r="L7" s="4"/>
      <c r="M7" s="4"/>
      <c r="N7" s="4"/>
      <c r="O7" s="21"/>
      <c r="P7" s="7"/>
      <c r="S7" s="19"/>
    </row>
    <row r="8" spans="1:24" s="62" customFormat="1" ht="35.25" customHeight="1" x14ac:dyDescent="0.25">
      <c r="A8" s="29" t="s">
        <v>4241</v>
      </c>
      <c r="B8" s="32" t="s">
        <v>0</v>
      </c>
      <c r="C8" s="28" t="s">
        <v>424</v>
      </c>
      <c r="D8" s="29" t="s">
        <v>2287</v>
      </c>
      <c r="E8" s="32" t="s">
        <v>7</v>
      </c>
      <c r="F8" s="29" t="s">
        <v>2288</v>
      </c>
      <c r="G8" s="32" t="s">
        <v>4322</v>
      </c>
      <c r="H8" s="28" t="s">
        <v>405</v>
      </c>
      <c r="I8" s="28" t="s">
        <v>12</v>
      </c>
      <c r="J8" s="28" t="s">
        <v>2289</v>
      </c>
      <c r="K8" s="29" t="s">
        <v>403</v>
      </c>
      <c r="L8" s="61" t="s">
        <v>2282</v>
      </c>
      <c r="M8" s="61" t="s">
        <v>2283</v>
      </c>
      <c r="N8" s="61" t="s">
        <v>2284</v>
      </c>
      <c r="O8" s="32" t="s">
        <v>2290</v>
      </c>
      <c r="P8" s="29" t="s">
        <v>2291</v>
      </c>
      <c r="Q8" s="28" t="s">
        <v>1</v>
      </c>
      <c r="R8" s="28" t="s">
        <v>2</v>
      </c>
      <c r="S8" s="29" t="s">
        <v>414</v>
      </c>
      <c r="T8" s="32"/>
      <c r="U8" s="28"/>
      <c r="V8" s="28"/>
      <c r="W8" s="28"/>
      <c r="X8" s="28"/>
    </row>
    <row r="9" spans="1:24" x14ac:dyDescent="0.25">
      <c r="A9" s="76" t="s">
        <v>9102</v>
      </c>
      <c r="B9" s="11"/>
      <c r="C9" s="4"/>
      <c r="D9" s="14"/>
      <c r="E9" s="11" t="s">
        <v>350</v>
      </c>
      <c r="F9" s="76" t="s">
        <v>8770</v>
      </c>
      <c r="G9" s="12" t="s">
        <v>406</v>
      </c>
      <c r="H9" s="3">
        <f>_xlfn.MAXIFS('MBs Products'!H$9:H$587,'MBs Products'!F$9:F$587,F9)</f>
        <v>128</v>
      </c>
      <c r="I9" s="3">
        <f>_xlfn.MAXIFS('MBs Products'!I$9:I$587,'MBs Products'!F$9:F$587,F9)</f>
        <v>5300</v>
      </c>
      <c r="J9" s="3">
        <f>_xlfn.MAXIFS('MBs Products'!J$9:J$587,'MBs Products'!F$9:F$587,F9)</f>
        <v>4</v>
      </c>
      <c r="K9" s="13">
        <f>_xlfn.MAXIFS('MBs Products'!K$9:K$587,'MBs Products'!F$9:F$587,F9)</f>
        <v>2</v>
      </c>
      <c r="L9" s="75">
        <v>3</v>
      </c>
      <c r="M9" s="75">
        <v>16</v>
      </c>
      <c r="N9" s="75">
        <v>16</v>
      </c>
      <c r="O9" s="20" t="s">
        <v>2295</v>
      </c>
      <c r="P9" s="14" t="s">
        <v>2296</v>
      </c>
      <c r="Q9" s="3">
        <f>AVERAGEIF('MBs Products'!F$9:F$587,F9,'MBs Products'!Q$9:Q$587)</f>
        <v>70.253333333333359</v>
      </c>
      <c r="R9" s="3">
        <f>AVERAGEIF('MBs Products'!F$9:F$587,F9,'MBs Products'!R$9:R$587)</f>
        <v>146.3928571428572</v>
      </c>
      <c r="S9" s="18"/>
    </row>
    <row r="10" spans="1:24" x14ac:dyDescent="0.25">
      <c r="A10" s="76" t="s">
        <v>9103</v>
      </c>
      <c r="B10" s="11"/>
      <c r="C10" s="4"/>
      <c r="D10" s="14"/>
      <c r="E10" s="11" t="s">
        <v>351</v>
      </c>
      <c r="F10" s="76" t="s">
        <v>8771</v>
      </c>
      <c r="G10" s="12" t="s">
        <v>407</v>
      </c>
      <c r="H10" s="3">
        <f>_xlfn.MAXIFS('MBs Products'!H$9:H$587,'MBs Products'!F$9:F$587,F10)</f>
        <v>256</v>
      </c>
      <c r="I10" s="3">
        <f>_xlfn.MAXIFS('MBs Products'!I$9:I$587,'MBs Products'!F$9:F$587,F10)</f>
        <v>8000</v>
      </c>
      <c r="J10" s="3">
        <f>_xlfn.MAXIFS('MBs Products'!J$9:J$587,'MBs Products'!F$9:F$587,F10)</f>
        <v>4</v>
      </c>
      <c r="K10" s="13">
        <f>_xlfn.MAXIFS('MBs Products'!K$9:K$587,'MBs Products'!F$9:F$587,F10)</f>
        <v>2</v>
      </c>
      <c r="L10" s="75">
        <v>4</v>
      </c>
      <c r="M10" s="75">
        <v>16</v>
      </c>
      <c r="N10" s="75">
        <v>16</v>
      </c>
      <c r="O10" s="20" t="s">
        <v>2316</v>
      </c>
      <c r="P10" s="14" t="s">
        <v>2317</v>
      </c>
      <c r="Q10" s="3">
        <f>AVERAGEIF('MBs Products'!F$9:F$587,F10,'MBs Products'!Q$9:Q$587)</f>
        <v>111.58099999999999</v>
      </c>
      <c r="R10" s="3">
        <f>AVERAGEIF('MBs Products'!F$9:F$587,F10,'MBs Products'!R$9:R$587)</f>
        <v>185.71650000000002</v>
      </c>
      <c r="S10" s="18"/>
    </row>
    <row r="11" spans="1:24" x14ac:dyDescent="0.25">
      <c r="A11" s="76" t="s">
        <v>9109</v>
      </c>
      <c r="B11" s="11"/>
      <c r="C11" s="4"/>
      <c r="D11" s="14"/>
      <c r="E11" s="11" t="s">
        <v>350</v>
      </c>
      <c r="F11" s="76" t="s">
        <v>8776</v>
      </c>
      <c r="G11" s="12" t="s">
        <v>406</v>
      </c>
      <c r="H11" s="3">
        <f>_xlfn.MAXIFS('MBs Products'!H$9:H$587,'MBs Products'!F$9:F$587,F11)</f>
        <v>64</v>
      </c>
      <c r="I11" s="3">
        <f>_xlfn.MAXIFS('MBs Products'!I$9:I$587,'MBs Products'!F$9:F$587,F11)</f>
        <v>3600</v>
      </c>
      <c r="J11" s="3">
        <f>_xlfn.MAXIFS('MBs Products'!J$9:J$587,'MBs Products'!F$9:F$587,F11)</f>
        <v>2</v>
      </c>
      <c r="K11" s="13">
        <f>_xlfn.MAXIFS('MBs Products'!K$9:K$587,'MBs Products'!F$9:F$587,F11)</f>
        <v>2</v>
      </c>
      <c r="L11" s="75">
        <v>3</v>
      </c>
      <c r="M11" s="75">
        <v>16</v>
      </c>
      <c r="N11" s="75">
        <v>16</v>
      </c>
      <c r="O11" s="20" t="s">
        <v>2565</v>
      </c>
      <c r="P11" s="14" t="s">
        <v>2337</v>
      </c>
      <c r="Q11" s="3">
        <f>AVERAGEIF('MBs Products'!F$9:F$587,F11,'MBs Products'!Q$9:Q$587)</f>
        <v>143.5</v>
      </c>
      <c r="R11" s="3">
        <f>AVERAGEIF('MBs Products'!F$9:F$587,F11,'MBs Products'!R$9:R$587)</f>
        <v>208.565</v>
      </c>
      <c r="S11" s="18"/>
    </row>
    <row r="12" spans="1:24" x14ac:dyDescent="0.25">
      <c r="A12" s="76" t="s">
        <v>9110</v>
      </c>
      <c r="B12" s="11"/>
      <c r="C12" s="4"/>
      <c r="D12" s="14"/>
      <c r="E12" s="11" t="s">
        <v>350</v>
      </c>
      <c r="F12" s="76" t="s">
        <v>8772</v>
      </c>
      <c r="G12" s="12" t="s">
        <v>406</v>
      </c>
      <c r="H12" s="3">
        <f>_xlfn.MAXIFS('MBs Products'!H$9:H$587,'MBs Products'!F$9:F$587,F12)</f>
        <v>128</v>
      </c>
      <c r="I12" s="3">
        <f>_xlfn.MAXIFS('MBs Products'!I$9:I$587,'MBs Products'!F$9:F$587,F12)</f>
        <v>5300</v>
      </c>
      <c r="J12" s="3">
        <f>_xlfn.MAXIFS('MBs Products'!J$9:J$587,'MBs Products'!F$9:F$587,F12)</f>
        <v>4</v>
      </c>
      <c r="K12" s="13">
        <f>_xlfn.MAXIFS('MBs Products'!K$9:K$587,'MBs Products'!F$9:F$587,F12)</f>
        <v>2</v>
      </c>
      <c r="L12" s="75">
        <v>4</v>
      </c>
      <c r="M12" s="75">
        <v>16</v>
      </c>
      <c r="N12" s="75">
        <v>16</v>
      </c>
      <c r="O12" s="20" t="s">
        <v>2340</v>
      </c>
      <c r="P12" s="14" t="s">
        <v>2341</v>
      </c>
      <c r="Q12" s="3">
        <f>AVERAGEIF('MBs Products'!F$9:F$587,F12,'MBs Products'!Q$9:Q$587)</f>
        <v>123.29170212765963</v>
      </c>
      <c r="R12" s="3">
        <f>AVERAGEIF('MBs Products'!F$9:F$587,F12,'MBs Products'!R$9:R$587)</f>
        <v>241.56638297872345</v>
      </c>
      <c r="S12" s="18"/>
    </row>
    <row r="13" spans="1:24" x14ac:dyDescent="0.25">
      <c r="A13" s="76" t="s">
        <v>9111</v>
      </c>
      <c r="B13" s="11"/>
      <c r="C13" s="4"/>
      <c r="D13" s="14"/>
      <c r="E13" s="11" t="s">
        <v>351</v>
      </c>
      <c r="F13" s="76" t="s">
        <v>8773</v>
      </c>
      <c r="G13" s="12" t="s">
        <v>407</v>
      </c>
      <c r="H13" s="3">
        <f>_xlfn.MAXIFS('MBs Products'!H$9:H$587,'MBs Products'!F$9:F$587,F13)</f>
        <v>256</v>
      </c>
      <c r="I13" s="3">
        <f>_xlfn.MAXIFS('MBs Products'!I$9:I$587,'MBs Products'!F$9:F$587,F13)</f>
        <v>8000</v>
      </c>
      <c r="J13" s="3">
        <f>_xlfn.MAXIFS('MBs Products'!J$9:J$587,'MBs Products'!F$9:F$587,F13)</f>
        <v>4</v>
      </c>
      <c r="K13" s="13">
        <f>_xlfn.MAXIFS('MBs Products'!K$9:K$587,'MBs Products'!F$9:F$587,F13)</f>
        <v>2</v>
      </c>
      <c r="L13" s="75">
        <v>4</v>
      </c>
      <c r="M13" s="75">
        <v>16</v>
      </c>
      <c r="N13" s="75">
        <v>16</v>
      </c>
      <c r="O13" s="20" t="s">
        <v>2383</v>
      </c>
      <c r="P13" s="14" t="s">
        <v>2384</v>
      </c>
      <c r="Q13" s="3">
        <f>AVERAGEIF('MBs Products'!F$9:F$587,F13,'MBs Products'!Q$9:Q$587)</f>
        <v>164.40076923076916</v>
      </c>
      <c r="R13" s="3">
        <f>AVERAGEIF('MBs Products'!F$9:F$587,F13,'MBs Products'!R$9:R$587)</f>
        <v>319.80769230769243</v>
      </c>
      <c r="S13" s="18"/>
    </row>
    <row r="14" spans="1:24" x14ac:dyDescent="0.25">
      <c r="A14" s="76" t="s">
        <v>9112</v>
      </c>
      <c r="B14" s="11"/>
      <c r="C14" s="4"/>
      <c r="D14" s="14"/>
      <c r="E14" s="11" t="s">
        <v>351</v>
      </c>
      <c r="F14" s="76" t="s">
        <v>8774</v>
      </c>
      <c r="G14" s="12" t="s">
        <v>407</v>
      </c>
      <c r="H14" s="3">
        <f>_xlfn.MAXIFS('MBs Products'!H$9:H$587,'MBs Products'!F$9:F$587,F14)</f>
        <v>256</v>
      </c>
      <c r="I14" s="3">
        <f>_xlfn.MAXIFS('MBs Products'!I$9:I$587,'MBs Products'!F$9:F$587,F14)</f>
        <v>8000</v>
      </c>
      <c r="J14" s="3">
        <f>_xlfn.MAXIFS('MBs Products'!J$9:J$587,'MBs Products'!F$9:F$587,F14)</f>
        <v>4</v>
      </c>
      <c r="K14" s="13">
        <f>_xlfn.MAXIFS('MBs Products'!K$9:K$587,'MBs Products'!F$9:F$587,F14)</f>
        <v>2</v>
      </c>
      <c r="L14" s="75">
        <v>4</v>
      </c>
      <c r="M14" s="75">
        <v>16</v>
      </c>
      <c r="N14" s="75">
        <v>16</v>
      </c>
      <c r="O14" s="20" t="s">
        <v>2402</v>
      </c>
      <c r="P14" s="14" t="s">
        <v>2403</v>
      </c>
      <c r="Q14" s="3">
        <f>AVERAGEIF('MBs Products'!F$9:F$587,F14,'MBs Products'!Q$9:Q$587)</f>
        <v>303.96454545454549</v>
      </c>
      <c r="R14" s="3">
        <f>AVERAGEIF('MBs Products'!F$9:F$587,F14,'MBs Products'!R$9:R$587)</f>
        <v>576.1481818181818</v>
      </c>
      <c r="S14" s="18"/>
    </row>
    <row r="15" spans="1:24" x14ac:dyDescent="0.25">
      <c r="A15" s="76" t="s">
        <v>9121</v>
      </c>
      <c r="B15" s="11"/>
      <c r="C15" s="4"/>
      <c r="D15" s="14"/>
      <c r="E15" s="11" t="s">
        <v>352</v>
      </c>
      <c r="F15" s="76" t="s">
        <v>8783</v>
      </c>
      <c r="G15" s="12" t="s">
        <v>406</v>
      </c>
      <c r="H15" s="3">
        <f>_xlfn.MAXIFS('MBs Products'!H$9:H$587,'MBs Products'!F$9:F$587,F15)</f>
        <v>192</v>
      </c>
      <c r="I15" s="3">
        <f>_xlfn.MAXIFS('MBs Products'!I$9:I$587,'MBs Products'!F$9:F$587,F15)</f>
        <v>6200</v>
      </c>
      <c r="J15" s="3">
        <f>_xlfn.MAXIFS('MBs Products'!J$9:J$587,'MBs Products'!F$9:F$587,F15)</f>
        <v>4</v>
      </c>
      <c r="K15" s="13">
        <f>_xlfn.MAXIFS('MBs Products'!K$9:K$587,'MBs Products'!F$9:F$587,F15)</f>
        <v>2</v>
      </c>
      <c r="L15" s="75">
        <v>5</v>
      </c>
      <c r="M15" s="75">
        <v>16</v>
      </c>
      <c r="N15" s="75">
        <v>16</v>
      </c>
      <c r="O15" s="20" t="s">
        <v>2437</v>
      </c>
      <c r="P15" s="14" t="s">
        <v>2438</v>
      </c>
      <c r="Q15" s="3">
        <f>AVERAGEIF('MBs Products'!F$9:F$587,F15,'MBs Products'!Q$9:Q$587)</f>
        <v>156.70894736842101</v>
      </c>
      <c r="R15" s="3">
        <f>AVERAGEIF('MBs Products'!F$9:F$587,F15,'MBs Products'!R$9:R$587)</f>
        <v>253.97526315789472</v>
      </c>
      <c r="S15" s="18"/>
    </row>
    <row r="16" spans="1:24" x14ac:dyDescent="0.25">
      <c r="A16" s="76" t="s">
        <v>9122</v>
      </c>
      <c r="B16" s="11"/>
      <c r="C16" s="4"/>
      <c r="D16" s="14"/>
      <c r="E16" s="11" t="s">
        <v>352</v>
      </c>
      <c r="F16" s="76" t="s">
        <v>8784</v>
      </c>
      <c r="G16" s="12" t="s">
        <v>407</v>
      </c>
      <c r="H16" s="3">
        <f>_xlfn.MAXIFS('MBs Products'!H$9:H$587,'MBs Products'!F$9:F$587,F16)</f>
        <v>256</v>
      </c>
      <c r="I16" s="3">
        <f>_xlfn.MAXIFS('MBs Products'!I$9:I$587,'MBs Products'!F$9:F$587,F16)</f>
        <v>8600</v>
      </c>
      <c r="J16" s="3">
        <f>_xlfn.MAXIFS('MBs Products'!J$9:J$587,'MBs Products'!F$9:F$587,F16)</f>
        <v>4</v>
      </c>
      <c r="K16" s="13">
        <f>_xlfn.MAXIFS('MBs Products'!K$9:K$587,'MBs Products'!F$9:F$587,F16)</f>
        <v>2</v>
      </c>
      <c r="L16" s="75">
        <v>5</v>
      </c>
      <c r="M16" s="75">
        <v>16</v>
      </c>
      <c r="N16" s="75">
        <v>16</v>
      </c>
      <c r="O16" s="20" t="s">
        <v>2442</v>
      </c>
      <c r="P16" s="14" t="s">
        <v>2443</v>
      </c>
      <c r="Q16" s="3">
        <f>AVERAGEIF('MBs Products'!F$9:F$587,F16,'MBs Products'!Q$9:Q$587)</f>
        <v>148.73493975903608</v>
      </c>
      <c r="R16" s="3">
        <f>AVERAGEIF('MBs Products'!F$9:F$587,F16,'MBs Products'!R$9:R$587)</f>
        <v>317.00361445783125</v>
      </c>
      <c r="S16" s="18"/>
    </row>
    <row r="17" spans="1:19" x14ac:dyDescent="0.25">
      <c r="A17" s="76" t="s">
        <v>9123</v>
      </c>
      <c r="B17" s="11"/>
      <c r="C17" s="4"/>
      <c r="D17" s="14"/>
      <c r="E17" s="11" t="s">
        <v>351</v>
      </c>
      <c r="F17" s="76" t="s">
        <v>8780</v>
      </c>
      <c r="G17" s="12" t="s">
        <v>407</v>
      </c>
      <c r="H17" s="3">
        <f>_xlfn.MAXIFS('MBs Products'!H$9:H$587,'MBs Products'!F$9:F$587,F17)</f>
        <v>256</v>
      </c>
      <c r="I17" s="3">
        <f>_xlfn.MAXIFS('MBs Products'!I$9:I$587,'MBs Products'!F$9:F$587,F17)</f>
        <v>8000</v>
      </c>
      <c r="J17" s="3">
        <f>_xlfn.MAXIFS('MBs Products'!J$9:J$587,'MBs Products'!F$9:F$587,F17)</f>
        <v>4</v>
      </c>
      <c r="K17" s="13">
        <f>_xlfn.MAXIFS('MBs Products'!K$9:K$587,'MBs Products'!F$9:F$587,F17)</f>
        <v>2</v>
      </c>
      <c r="L17" s="75">
        <v>4</v>
      </c>
      <c r="M17" s="75">
        <v>16</v>
      </c>
      <c r="N17" s="75">
        <v>16</v>
      </c>
      <c r="O17" s="20" t="s">
        <v>2894</v>
      </c>
      <c r="P17" s="14" t="s">
        <v>2895</v>
      </c>
      <c r="Q17" s="3">
        <f>AVERAGEIF('MBs Products'!F$9:F$587,F17,'MBs Products'!Q$9:Q$587)</f>
        <v>153.82199999999997</v>
      </c>
      <c r="R17" s="3">
        <f>AVERAGEIF('MBs Products'!F$9:F$587,F17,'MBs Products'!R$9:R$587)</f>
        <v>229.19400000000002</v>
      </c>
      <c r="S17" s="18"/>
    </row>
    <row r="18" spans="1:19" x14ac:dyDescent="0.25">
      <c r="A18" s="76" t="s">
        <v>9124</v>
      </c>
      <c r="B18" s="11"/>
      <c r="C18" s="4"/>
      <c r="D18" s="14"/>
      <c r="E18" s="11" t="s">
        <v>351</v>
      </c>
      <c r="F18" s="76" t="s">
        <v>8775</v>
      </c>
      <c r="G18" s="12" t="s">
        <v>407</v>
      </c>
      <c r="H18" s="3">
        <f>_xlfn.MAXIFS('MBs Products'!H$9:H$587,'MBs Products'!F$9:F$587,F18)</f>
        <v>256</v>
      </c>
      <c r="I18" s="3">
        <f>_xlfn.MAXIFS('MBs Products'!I$9:I$587,'MBs Products'!F$9:F$587,F18)</f>
        <v>8600</v>
      </c>
      <c r="J18" s="3">
        <f>_xlfn.MAXIFS('MBs Products'!J$9:J$587,'MBs Products'!F$9:F$587,F18)</f>
        <v>4</v>
      </c>
      <c r="K18" s="13">
        <f>_xlfn.MAXIFS('MBs Products'!K$9:K$587,'MBs Products'!F$9:F$587,F18)</f>
        <v>2</v>
      </c>
      <c r="L18" s="75">
        <v>5</v>
      </c>
      <c r="M18" s="75">
        <v>16</v>
      </c>
      <c r="N18" s="75">
        <v>16</v>
      </c>
      <c r="O18" s="20" t="s">
        <v>2483</v>
      </c>
      <c r="P18" s="14" t="s">
        <v>2484</v>
      </c>
      <c r="Q18" s="3">
        <f>AVERAGEIF('MBs Products'!F$9:F$587,F18,'MBs Products'!Q$9:Q$587)</f>
        <v>217.82447368421049</v>
      </c>
      <c r="R18" s="3">
        <f>AVERAGEIF('MBs Products'!F$9:F$587,F18,'MBs Products'!R$9:R$587)</f>
        <v>330.06342105263155</v>
      </c>
      <c r="S18" s="18"/>
    </row>
    <row r="19" spans="1:19" x14ac:dyDescent="0.25">
      <c r="A19" s="76" t="s">
        <v>9125</v>
      </c>
      <c r="B19" s="11"/>
      <c r="C19" s="4"/>
      <c r="D19" s="14"/>
      <c r="E19" s="11" t="s">
        <v>398</v>
      </c>
      <c r="F19" s="76" t="s">
        <v>8785</v>
      </c>
      <c r="G19" s="12" t="s">
        <v>407</v>
      </c>
      <c r="H19" s="3">
        <f>_xlfn.MAXIFS('MBs Products'!H$9:H$587,'MBs Products'!F$9:F$587,F19)</f>
        <v>256</v>
      </c>
      <c r="I19" s="3">
        <f>_xlfn.MAXIFS('MBs Products'!I$9:I$587,'MBs Products'!F$9:F$587,F19)</f>
        <v>9333</v>
      </c>
      <c r="J19" s="3">
        <f>_xlfn.MAXIFS('MBs Products'!J$9:J$587,'MBs Products'!F$9:F$587,F19)</f>
        <v>4</v>
      </c>
      <c r="K19" s="13">
        <f>_xlfn.MAXIFS('MBs Products'!K$9:K$587,'MBs Products'!F$9:F$587,F19)</f>
        <v>2</v>
      </c>
      <c r="L19" s="75">
        <v>5</v>
      </c>
      <c r="M19" s="75">
        <v>16</v>
      </c>
      <c r="N19" s="75">
        <v>16</v>
      </c>
      <c r="O19" s="20" t="s">
        <v>2529</v>
      </c>
      <c r="P19" s="14" t="s">
        <v>2530</v>
      </c>
      <c r="Q19" s="3">
        <f>AVERAGEIF('MBs Products'!F$9:F$587,F19,'MBs Products'!Q$9:Q$587)</f>
        <v>193.65309523809512</v>
      </c>
      <c r="R19" s="3">
        <f>AVERAGEIF('MBs Products'!F$9:F$587,F19,'MBs Products'!R$9:R$587)</f>
        <v>275.99714285714282</v>
      </c>
      <c r="S19" s="18"/>
    </row>
    <row r="20" spans="1:19" x14ac:dyDescent="0.25">
      <c r="A20" s="76" t="s">
        <v>9113</v>
      </c>
      <c r="B20" s="11"/>
      <c r="C20" s="4"/>
      <c r="D20" s="14"/>
      <c r="E20" s="11" t="s">
        <v>352</v>
      </c>
      <c r="F20" s="76" t="s">
        <v>8786</v>
      </c>
      <c r="G20" s="12" t="s">
        <v>406</v>
      </c>
      <c r="H20" s="3">
        <f>_xlfn.MAXIFS('MBs Products'!H$9:H$587,'MBs Products'!F$9:F$587,F20)</f>
        <v>128</v>
      </c>
      <c r="I20" s="3">
        <f>_xlfn.MAXIFS('MBs Products'!I$9:I$587,'MBs Products'!F$9:F$587,F20)</f>
        <v>5333</v>
      </c>
      <c r="J20" s="3">
        <f>_xlfn.MAXIFS('MBs Products'!J$9:J$587,'MBs Products'!F$9:F$587,F20)</f>
        <v>4</v>
      </c>
      <c r="K20" s="13">
        <f>_xlfn.MAXIFS('MBs Products'!K$9:K$587,'MBs Products'!F$9:F$587,F20)</f>
        <v>2</v>
      </c>
      <c r="L20" s="75">
        <v>5</v>
      </c>
      <c r="M20" s="75">
        <v>16</v>
      </c>
      <c r="N20" s="75">
        <v>16</v>
      </c>
      <c r="O20" s="20" t="s">
        <v>2569</v>
      </c>
      <c r="P20" s="14" t="s">
        <v>2570</v>
      </c>
      <c r="Q20" s="3">
        <f>AVERAGEIF('MBs Products'!F$9:F$587,F20,'MBs Products'!Q$9:Q$587)</f>
        <v>151.89000000000001</v>
      </c>
      <c r="R20" s="3">
        <f>AVERAGEIF('MBs Products'!F$9:F$587,F20,'MBs Products'!R$9:R$587)</f>
        <v>246.37333333333333</v>
      </c>
      <c r="S20" s="18"/>
    </row>
    <row r="21" spans="1:19" x14ac:dyDescent="0.25">
      <c r="A21" s="76" t="s">
        <v>9114</v>
      </c>
      <c r="B21" s="11"/>
      <c r="C21" s="4"/>
      <c r="D21" s="14"/>
      <c r="E21" s="11" t="s">
        <v>352</v>
      </c>
      <c r="F21" s="76" t="s">
        <v>8790</v>
      </c>
      <c r="G21" s="12" t="s">
        <v>407</v>
      </c>
      <c r="H21" s="3">
        <f>_xlfn.MAXIFS('MBs Products'!H$9:H$587,'MBs Products'!F$9:F$587,F21)</f>
        <v>192</v>
      </c>
      <c r="I21" s="3">
        <f>_xlfn.MAXIFS('MBs Products'!I$9:I$587,'MBs Products'!F$9:F$587,F21)</f>
        <v>7200</v>
      </c>
      <c r="J21" s="3">
        <f>_xlfn.MAXIFS('MBs Products'!J$9:J$587,'MBs Products'!F$9:F$587,F21)</f>
        <v>4</v>
      </c>
      <c r="K21" s="13">
        <f>_xlfn.MAXIFS('MBs Products'!K$9:K$587,'MBs Products'!F$9:F$587,F21)</f>
        <v>2</v>
      </c>
      <c r="L21" s="75">
        <v>5</v>
      </c>
      <c r="M21" s="75">
        <v>16</v>
      </c>
      <c r="N21" s="75">
        <v>16</v>
      </c>
      <c r="O21" s="20" t="s">
        <v>2927</v>
      </c>
      <c r="P21" s="14" t="s">
        <v>2928</v>
      </c>
      <c r="Q21" s="3">
        <f>AVERAGEIF('MBs Products'!F$9:F$587,F21,'MBs Products'!Q$9:Q$587)</f>
        <v>185.92999999999998</v>
      </c>
      <c r="R21" s="3">
        <f>AVERAGEIF('MBs Products'!F$9:F$587,F21,'MBs Products'!R$9:R$587)</f>
        <v>329.00333333333333</v>
      </c>
      <c r="S21" s="18"/>
    </row>
    <row r="22" spans="1:19" x14ac:dyDescent="0.25">
      <c r="A22" s="76" t="s">
        <v>9115</v>
      </c>
      <c r="B22" s="11"/>
      <c r="C22" s="4"/>
      <c r="D22" s="14"/>
      <c r="E22" s="11" t="s">
        <v>398</v>
      </c>
      <c r="F22" s="76" t="s">
        <v>8791</v>
      </c>
      <c r="G22" s="12" t="s">
        <v>407</v>
      </c>
      <c r="H22" s="3">
        <f>_xlfn.MAXIFS('MBs Products'!H$9:H$587,'MBs Products'!F$9:F$587,F22)</f>
        <v>128</v>
      </c>
      <c r="I22" s="3">
        <f>_xlfn.MAXIFS('MBs Products'!I$9:I$587,'MBs Products'!F$9:F$587,F22)</f>
        <v>6400</v>
      </c>
      <c r="J22" s="3">
        <f>_xlfn.MAXIFS('MBs Products'!J$9:J$587,'MBs Products'!F$9:F$587,F22)</f>
        <v>2</v>
      </c>
      <c r="K22" s="13">
        <f>_xlfn.MAXIFS('MBs Products'!K$9:K$587,'MBs Products'!F$9:F$587,F22)</f>
        <v>2</v>
      </c>
      <c r="L22" s="75">
        <v>4</v>
      </c>
      <c r="M22" s="75">
        <v>16</v>
      </c>
      <c r="N22" s="75">
        <v>16</v>
      </c>
      <c r="O22" s="20" t="s">
        <v>2935</v>
      </c>
      <c r="P22" s="14" t="s">
        <v>2936</v>
      </c>
      <c r="Q22" s="3">
        <f>AVERAGEIF('MBs Products'!F$9:F$587,F22,'MBs Products'!Q$9:Q$587)</f>
        <v>123.88499999999999</v>
      </c>
      <c r="R22" s="3">
        <f>AVERAGEIF('MBs Products'!F$9:F$587,F22,'MBs Products'!R$9:R$587)</f>
        <v>164.85499999999999</v>
      </c>
      <c r="S22" s="18"/>
    </row>
    <row r="23" spans="1:19" x14ac:dyDescent="0.25">
      <c r="A23" s="76" t="s">
        <v>9116</v>
      </c>
      <c r="B23" s="11"/>
      <c r="C23" s="4"/>
      <c r="D23" s="14"/>
      <c r="E23" s="11" t="s">
        <v>352</v>
      </c>
      <c r="F23" s="76" t="s">
        <v>8793</v>
      </c>
      <c r="G23" s="12" t="s">
        <v>407</v>
      </c>
      <c r="H23" s="3">
        <f>_xlfn.MAXIFS('MBs Products'!H$9:H$587,'MBs Products'!F$9:F$587,F23)</f>
        <v>128</v>
      </c>
      <c r="I23" s="3">
        <f>_xlfn.MAXIFS('MBs Products'!I$9:I$587,'MBs Products'!F$9:F$587,F23)</f>
        <v>5600</v>
      </c>
      <c r="J23" s="3">
        <f>_xlfn.MAXIFS('MBs Products'!J$9:J$587,'MBs Products'!F$9:F$587,F23)</f>
        <v>4</v>
      </c>
      <c r="K23" s="13">
        <f>_xlfn.MAXIFS('MBs Products'!K$9:K$587,'MBs Products'!F$9:F$587,F23)</f>
        <v>2</v>
      </c>
      <c r="L23" s="75">
        <v>4</v>
      </c>
      <c r="M23" s="75">
        <v>16</v>
      </c>
      <c r="N23" s="75">
        <v>16</v>
      </c>
      <c r="O23" s="20" t="s">
        <v>3655</v>
      </c>
      <c r="P23" s="14" t="s">
        <v>450</v>
      </c>
      <c r="Q23" s="3">
        <f>AVERAGEIF('MBs Products'!F$9:F$587,F23,'MBs Products'!Q$9:Q$587)</f>
        <v>188</v>
      </c>
      <c r="R23" s="3">
        <f>AVERAGEIF('MBs Products'!F$9:F$587,F23,'MBs Products'!R$9:R$587)</f>
        <v>273.10000000000002</v>
      </c>
      <c r="S23" s="18"/>
    </row>
    <row r="24" spans="1:19" x14ac:dyDescent="0.25">
      <c r="A24" s="76" t="s">
        <v>9117</v>
      </c>
      <c r="B24" s="11"/>
      <c r="C24" s="4"/>
      <c r="D24" s="14"/>
      <c r="E24" s="11" t="s">
        <v>352</v>
      </c>
      <c r="F24" s="76" t="s">
        <v>8792</v>
      </c>
      <c r="G24" s="12" t="s">
        <v>407</v>
      </c>
      <c r="H24" s="3">
        <f>_xlfn.MAXIFS('MBs Products'!H$9:H$587,'MBs Products'!F$9:F$587,F24)</f>
        <v>192</v>
      </c>
      <c r="I24" s="3">
        <f>_xlfn.MAXIFS('MBs Products'!I$9:I$587,'MBs Products'!F$9:F$587,F24)</f>
        <v>6000</v>
      </c>
      <c r="J24" s="3">
        <f>_xlfn.MAXIFS('MBs Products'!J$9:J$587,'MBs Products'!F$9:F$587,F24)</f>
        <v>4</v>
      </c>
      <c r="K24" s="13">
        <f>_xlfn.MAXIFS('MBs Products'!K$9:K$587,'MBs Products'!F$9:F$587,F24)</f>
        <v>2</v>
      </c>
      <c r="L24" s="75">
        <v>5</v>
      </c>
      <c r="M24" s="75">
        <v>16</v>
      </c>
      <c r="N24" s="75">
        <v>16</v>
      </c>
      <c r="O24" s="20" t="s">
        <v>3035</v>
      </c>
      <c r="P24" s="14" t="s">
        <v>450</v>
      </c>
      <c r="Q24" s="3">
        <f>AVERAGEIF('MBs Products'!F$9:F$587,F24,'MBs Products'!Q$9:Q$587)</f>
        <v>517.36666666666667</v>
      </c>
      <c r="R24" s="3">
        <f>AVERAGEIF('MBs Products'!F$9:F$587,F24,'MBs Products'!R$9:R$587)</f>
        <v>736.22666666666657</v>
      </c>
      <c r="S24" s="18"/>
    </row>
    <row r="25" spans="1:19" x14ac:dyDescent="0.25">
      <c r="A25" s="76" t="s">
        <v>9104</v>
      </c>
      <c r="B25" s="11"/>
      <c r="C25" s="4"/>
      <c r="D25" s="14"/>
      <c r="E25" s="11" t="s">
        <v>350</v>
      </c>
      <c r="F25" s="76" t="s">
        <v>8782</v>
      </c>
      <c r="G25" s="12" t="s">
        <v>406</v>
      </c>
      <c r="H25" s="3">
        <f>_xlfn.MAXIFS('MBs Products'!H$9:H$587,'MBs Products'!F$9:F$587,F25)</f>
        <v>128</v>
      </c>
      <c r="I25" s="3">
        <f>_xlfn.MAXIFS('MBs Products'!I$9:I$587,'MBs Products'!F$9:F$587,F25)</f>
        <v>5200</v>
      </c>
      <c r="J25" s="3">
        <f>_xlfn.MAXIFS('MBs Products'!J$9:J$587,'MBs Products'!F$9:F$587,F25)</f>
        <v>4</v>
      </c>
      <c r="K25" s="13">
        <f>_xlfn.MAXIFS('MBs Products'!K$9:K$587,'MBs Products'!F$9:F$587,F25)</f>
        <v>2</v>
      </c>
      <c r="L25" s="75">
        <v>4</v>
      </c>
      <c r="M25" s="75">
        <v>16</v>
      </c>
      <c r="N25" s="75">
        <v>16</v>
      </c>
      <c r="O25" s="20" t="s">
        <v>3068</v>
      </c>
      <c r="P25" s="14" t="s">
        <v>3069</v>
      </c>
      <c r="Q25" s="3">
        <f>AVERAGEIF('MBs Products'!F$9:F$587,F25,'MBs Products'!Q$9:Q$587)</f>
        <v>526.03250000000003</v>
      </c>
      <c r="R25" s="3">
        <f>AVERAGEIF('MBs Products'!F$9:F$587,F25,'MBs Products'!R$9:R$587)</f>
        <v>692.17499999999995</v>
      </c>
      <c r="S25" s="18"/>
    </row>
    <row r="26" spans="1:19" x14ac:dyDescent="0.25">
      <c r="A26" s="76" t="s">
        <v>9105</v>
      </c>
      <c r="B26" s="11"/>
      <c r="C26" s="4"/>
      <c r="D26" s="14"/>
      <c r="E26" s="11" t="s">
        <v>351</v>
      </c>
      <c r="F26" s="76" t="s">
        <v>8781</v>
      </c>
      <c r="G26" s="12" t="s">
        <v>407</v>
      </c>
      <c r="H26" s="3">
        <f>_xlfn.MAXIFS('MBs Products'!H$9:H$587,'MBs Products'!F$9:F$587,F26)</f>
        <v>256</v>
      </c>
      <c r="I26" s="3">
        <f>_xlfn.MAXIFS('MBs Products'!I$9:I$587,'MBs Products'!F$9:F$587,F26)</f>
        <v>8000</v>
      </c>
      <c r="J26" s="3">
        <f>_xlfn.MAXIFS('MBs Products'!J$9:J$587,'MBs Products'!F$9:F$587,F26)</f>
        <v>4</v>
      </c>
      <c r="K26" s="13">
        <f>_xlfn.MAXIFS('MBs Products'!K$9:K$587,'MBs Products'!F$9:F$587,F26)</f>
        <v>2</v>
      </c>
      <c r="L26" s="75">
        <v>4</v>
      </c>
      <c r="M26" s="75">
        <v>16</v>
      </c>
      <c r="N26" s="75">
        <v>16</v>
      </c>
      <c r="O26" s="20" t="s">
        <v>2923</v>
      </c>
      <c r="P26" s="14" t="s">
        <v>2948</v>
      </c>
      <c r="Q26" s="3">
        <f>AVERAGEIF('MBs Products'!F$9:F$587,F26,'MBs Products'!Q$9:Q$587)</f>
        <v>249.04799999999994</v>
      </c>
      <c r="R26" s="3">
        <f>AVERAGEIF('MBs Products'!F$9:F$587,F26,'MBs Products'!R$9:R$587)</f>
        <v>354.45600000000002</v>
      </c>
      <c r="S26" s="18"/>
    </row>
    <row r="27" spans="1:19" x14ac:dyDescent="0.25">
      <c r="A27" s="76" t="s">
        <v>9106</v>
      </c>
      <c r="B27" s="11"/>
      <c r="C27" s="4"/>
      <c r="D27" s="14"/>
      <c r="E27" s="11" t="s">
        <v>351</v>
      </c>
      <c r="F27" s="76" t="s">
        <v>8779</v>
      </c>
      <c r="G27" s="12" t="s">
        <v>407</v>
      </c>
      <c r="H27" s="3">
        <f>_xlfn.MAXIFS('MBs Products'!H$9:H$587,'MBs Products'!F$9:F$587,F27)</f>
        <v>256</v>
      </c>
      <c r="I27" s="3">
        <f>_xlfn.MAXIFS('MBs Products'!I$9:I$587,'MBs Products'!F$9:F$587,F27)</f>
        <v>8000</v>
      </c>
      <c r="J27" s="3">
        <f>_xlfn.MAXIFS('MBs Products'!J$9:J$587,'MBs Products'!F$9:F$587,F27)</f>
        <v>4</v>
      </c>
      <c r="K27" s="13">
        <f>_xlfn.MAXIFS('MBs Products'!K$9:K$587,'MBs Products'!F$9:F$587,F27)</f>
        <v>2</v>
      </c>
      <c r="L27" s="75">
        <v>5</v>
      </c>
      <c r="M27" s="75">
        <v>16</v>
      </c>
      <c r="N27" s="75">
        <v>16</v>
      </c>
      <c r="O27" s="20" t="s">
        <v>2634</v>
      </c>
      <c r="P27" s="14" t="s">
        <v>2635</v>
      </c>
      <c r="Q27" s="3">
        <f>AVERAGEIF('MBs Products'!F$9:F$587,F27,'MBs Products'!Q$9:Q$587)</f>
        <v>412.36230769230758</v>
      </c>
      <c r="R27" s="3">
        <f>AVERAGEIF('MBs Products'!F$9:F$587,F27,'MBs Products'!R$9:R$587)</f>
        <v>822.36692307692294</v>
      </c>
      <c r="S27" s="18"/>
    </row>
    <row r="28" spans="1:19" x14ac:dyDescent="0.25">
      <c r="A28" s="76" t="s">
        <v>9107</v>
      </c>
      <c r="B28" s="11"/>
      <c r="C28" s="4"/>
      <c r="D28" s="14"/>
      <c r="E28" s="11" t="s">
        <v>351</v>
      </c>
      <c r="F28" s="76" t="s">
        <v>8777</v>
      </c>
      <c r="G28" s="12" t="s">
        <v>407</v>
      </c>
      <c r="H28" s="3">
        <f>_xlfn.MAXIFS('MBs Products'!H$9:H$587,'MBs Products'!F$9:F$587,F28)</f>
        <v>256</v>
      </c>
      <c r="I28" s="3">
        <f>_xlfn.MAXIFS('MBs Products'!I$9:I$587,'MBs Products'!F$9:F$587,F28)</f>
        <v>8600</v>
      </c>
      <c r="J28" s="3">
        <f>_xlfn.MAXIFS('MBs Products'!J$9:J$587,'MBs Products'!F$9:F$587,F28)</f>
        <v>4</v>
      </c>
      <c r="K28" s="13">
        <f>_xlfn.MAXIFS('MBs Products'!K$9:K$587,'MBs Products'!F$9:F$587,F28)</f>
        <v>2</v>
      </c>
      <c r="L28" s="75">
        <v>5</v>
      </c>
      <c r="M28" s="75">
        <v>16</v>
      </c>
      <c r="N28" s="75">
        <v>16</v>
      </c>
      <c r="O28" s="20" t="s">
        <v>2596</v>
      </c>
      <c r="P28" s="14" t="s">
        <v>2412</v>
      </c>
      <c r="Q28" s="3">
        <f>AVERAGEIF('MBs Products'!F$9:F$587,F28,'MBs Products'!Q$9:Q$587)</f>
        <v>291.87789473684211</v>
      </c>
      <c r="R28" s="3">
        <f>AVERAGEIF('MBs Products'!F$9:F$587,F28,'MBs Products'!R$9:R$587)</f>
        <v>414.20894736842109</v>
      </c>
      <c r="S28" s="18"/>
    </row>
    <row r="29" spans="1:19" x14ac:dyDescent="0.25">
      <c r="A29" s="76" t="s">
        <v>9108</v>
      </c>
      <c r="B29" s="11"/>
      <c r="C29" s="4"/>
      <c r="D29" s="14"/>
      <c r="E29" s="11" t="s">
        <v>351</v>
      </c>
      <c r="F29" s="76" t="s">
        <v>8778</v>
      </c>
      <c r="G29" s="12" t="s">
        <v>407</v>
      </c>
      <c r="H29" s="3">
        <f>_xlfn.MAXIFS('MBs Products'!H$9:H$587,'MBs Products'!F$9:F$587,F29)</f>
        <v>256</v>
      </c>
      <c r="I29" s="3">
        <f>_xlfn.MAXIFS('MBs Products'!I$9:I$587,'MBs Products'!F$9:F$587,F29)</f>
        <v>8800</v>
      </c>
      <c r="J29" s="3">
        <f>_xlfn.MAXIFS('MBs Products'!J$9:J$587,'MBs Products'!F$9:F$587,F29)</f>
        <v>4</v>
      </c>
      <c r="K29" s="13">
        <f>_xlfn.MAXIFS('MBs Products'!K$9:K$587,'MBs Products'!F$9:F$587,F29)</f>
        <v>2</v>
      </c>
      <c r="L29" s="75">
        <v>5</v>
      </c>
      <c r="M29" s="75">
        <v>16</v>
      </c>
      <c r="N29" s="75">
        <v>16</v>
      </c>
      <c r="O29" s="20" t="s">
        <v>2600</v>
      </c>
      <c r="P29" s="14" t="s">
        <v>2601</v>
      </c>
      <c r="Q29" s="3">
        <f>AVERAGEIF('MBs Products'!F$9:F$587,F29,'MBs Products'!Q$9:Q$587)</f>
        <v>527.67428571428559</v>
      </c>
      <c r="R29" s="3">
        <f>AVERAGEIF('MBs Products'!F$9:F$587,F29,'MBs Products'!R$9:R$587)</f>
        <v>687.38642857142872</v>
      </c>
      <c r="S29" s="18"/>
    </row>
    <row r="30" spans="1:19" x14ac:dyDescent="0.25">
      <c r="A30" s="76" t="s">
        <v>9118</v>
      </c>
      <c r="B30" s="11"/>
      <c r="C30" s="4"/>
      <c r="D30" s="14"/>
      <c r="E30" s="11" t="s">
        <v>352</v>
      </c>
      <c r="F30" s="76" t="s">
        <v>8789</v>
      </c>
      <c r="G30" s="12" t="s">
        <v>407</v>
      </c>
      <c r="H30" s="3">
        <f>_xlfn.MAXIFS('MBs Products'!H$9:H$587,'MBs Products'!F$9:F$587,F30)</f>
        <v>192</v>
      </c>
      <c r="I30" s="3">
        <f>_xlfn.MAXIFS('MBs Products'!I$9:I$587,'MBs Products'!F$9:F$587,F30)</f>
        <v>7000</v>
      </c>
      <c r="J30" s="3">
        <f>_xlfn.MAXIFS('MBs Products'!J$9:J$587,'MBs Products'!F$9:F$587,F30)</f>
        <v>4</v>
      </c>
      <c r="K30" s="13">
        <f>_xlfn.MAXIFS('MBs Products'!K$9:K$587,'MBs Products'!F$9:F$587,F30)</f>
        <v>2</v>
      </c>
      <c r="L30" s="75">
        <v>5</v>
      </c>
      <c r="M30" s="75">
        <v>16</v>
      </c>
      <c r="N30" s="75">
        <v>16</v>
      </c>
      <c r="O30" s="20" t="s">
        <v>2658</v>
      </c>
      <c r="P30" s="14" t="s">
        <v>450</v>
      </c>
      <c r="Q30" s="3">
        <f>AVERAGEIF('MBs Products'!F$9:F$587,F30,'MBs Products'!Q$9:Q$587)</f>
        <v>314.90444444444438</v>
      </c>
      <c r="R30" s="3">
        <f>AVERAGEIF('MBs Products'!F$9:F$587,F30,'MBs Products'!R$9:R$587)</f>
        <v>819.42814814814824</v>
      </c>
      <c r="S30" s="18"/>
    </row>
    <row r="31" spans="1:19" x14ac:dyDescent="0.25">
      <c r="A31" s="76" t="s">
        <v>9119</v>
      </c>
      <c r="B31" s="11"/>
      <c r="C31" s="4"/>
      <c r="D31" s="14"/>
      <c r="E31" s="11" t="s">
        <v>352</v>
      </c>
      <c r="F31" s="76" t="s">
        <v>8787</v>
      </c>
      <c r="G31" s="12" t="s">
        <v>407</v>
      </c>
      <c r="H31" s="3">
        <f>_xlfn.MAXIFS('MBs Products'!H$9:H$587,'MBs Products'!F$9:F$587,F31)</f>
        <v>256</v>
      </c>
      <c r="I31" s="3">
        <f>_xlfn.MAXIFS('MBs Products'!I$9:I$587,'MBs Products'!F$9:F$587,F31)</f>
        <v>8600</v>
      </c>
      <c r="J31" s="3">
        <f>_xlfn.MAXIFS('MBs Products'!J$9:J$587,'MBs Products'!F$9:F$587,F31)</f>
        <v>4</v>
      </c>
      <c r="K31" s="13">
        <f>_xlfn.MAXIFS('MBs Products'!K$9:K$587,'MBs Products'!F$9:F$587,F31)</f>
        <v>2</v>
      </c>
      <c r="L31" s="75">
        <v>5</v>
      </c>
      <c r="M31" s="75">
        <v>16</v>
      </c>
      <c r="N31" s="75">
        <v>16</v>
      </c>
      <c r="O31" s="20" t="s">
        <v>2578</v>
      </c>
      <c r="P31" s="14" t="s">
        <v>2605</v>
      </c>
      <c r="Q31" s="3">
        <f>AVERAGEIF('MBs Products'!F$9:F$587,F31,'MBs Products'!Q$9:Q$587)</f>
        <v>319.59140845070448</v>
      </c>
      <c r="R31" s="3">
        <f>AVERAGEIF('MBs Products'!F$9:F$587,F31,'MBs Products'!R$9:R$587)</f>
        <v>533.04464788732378</v>
      </c>
      <c r="S31" s="18"/>
    </row>
    <row r="32" spans="1:19" x14ac:dyDescent="0.25">
      <c r="A32" s="76" t="s">
        <v>9120</v>
      </c>
      <c r="B32" s="11"/>
      <c r="C32" s="4"/>
      <c r="D32" s="14"/>
      <c r="E32" s="11" t="s">
        <v>398</v>
      </c>
      <c r="F32" s="76" t="s">
        <v>8788</v>
      </c>
      <c r="G32" s="12" t="s">
        <v>407</v>
      </c>
      <c r="H32" s="3">
        <f>_xlfn.MAXIFS('MBs Products'!H$9:H$587,'MBs Products'!F$9:F$587,F32)</f>
        <v>256</v>
      </c>
      <c r="I32" s="3">
        <f>_xlfn.MAXIFS('MBs Products'!I$9:I$587,'MBs Products'!F$9:F$587,F32)</f>
        <v>9600</v>
      </c>
      <c r="J32" s="3">
        <f>_xlfn.MAXIFS('MBs Products'!J$9:J$587,'MBs Products'!F$9:F$587,F32)</f>
        <v>4</v>
      </c>
      <c r="K32" s="13">
        <f>_xlfn.MAXIFS('MBs Products'!K$9:K$587,'MBs Products'!F$9:F$587,F32)</f>
        <v>2</v>
      </c>
      <c r="L32" s="75">
        <v>5</v>
      </c>
      <c r="M32" s="75">
        <v>16</v>
      </c>
      <c r="N32" s="75">
        <v>16</v>
      </c>
      <c r="O32" s="20" t="s">
        <v>2609</v>
      </c>
      <c r="P32" s="14" t="s">
        <v>2610</v>
      </c>
      <c r="Q32" s="3">
        <f>AVERAGEIF('MBs Products'!F$9:F$587,F32,'MBs Products'!Q$9:Q$587)</f>
        <v>433.53262295081964</v>
      </c>
      <c r="R32" s="3">
        <f>AVERAGEIF('MBs Products'!F$9:F$587,F32,'MBs Products'!R$9:R$587)</f>
        <v>625.13295081967215</v>
      </c>
      <c r="S32" s="18"/>
    </row>
    <row r="33" spans="1:19" x14ac:dyDescent="0.25">
      <c r="A33"/>
      <c r="B33"/>
      <c r="C33"/>
      <c r="D33"/>
      <c r="E33"/>
      <c r="F33"/>
      <c r="G33"/>
      <c r="H33"/>
      <c r="J33"/>
      <c r="K33"/>
      <c r="L33"/>
      <c r="M33"/>
      <c r="N33"/>
      <c r="O33"/>
      <c r="P33"/>
      <c r="Q33"/>
      <c r="R33"/>
      <c r="S33"/>
    </row>
    <row r="34" spans="1:19" x14ac:dyDescent="0.25">
      <c r="A34"/>
      <c r="B34"/>
      <c r="C34"/>
      <c r="D34"/>
      <c r="E34"/>
      <c r="F34"/>
      <c r="G34"/>
      <c r="H34"/>
      <c r="J34"/>
      <c r="K34"/>
      <c r="L34"/>
      <c r="M34"/>
      <c r="N34"/>
      <c r="O34"/>
      <c r="P34"/>
      <c r="Q34"/>
      <c r="R34"/>
      <c r="S34"/>
    </row>
    <row r="35" spans="1:19" x14ac:dyDescent="0.25">
      <c r="A35"/>
      <c r="B35"/>
      <c r="C35"/>
      <c r="D35"/>
      <c r="E35"/>
      <c r="F35"/>
      <c r="G35"/>
      <c r="H35"/>
      <c r="J35"/>
      <c r="K35"/>
      <c r="L35"/>
      <c r="M35"/>
      <c r="N35"/>
      <c r="O35"/>
      <c r="P35"/>
      <c r="Q35"/>
      <c r="R35"/>
      <c r="S35"/>
    </row>
    <row r="36" spans="1:19" x14ac:dyDescent="0.25">
      <c r="A36"/>
      <c r="B36"/>
      <c r="C36"/>
      <c r="D36"/>
      <c r="E36"/>
      <c r="F36"/>
      <c r="G36"/>
      <c r="H36"/>
      <c r="J36"/>
      <c r="K36"/>
      <c r="L36"/>
      <c r="M36"/>
      <c r="N36"/>
      <c r="O36"/>
      <c r="P36"/>
      <c r="Q36"/>
      <c r="R36"/>
      <c r="S36"/>
    </row>
    <row r="37" spans="1:19" x14ac:dyDescent="0.25">
      <c r="A37"/>
      <c r="B37"/>
      <c r="C37"/>
      <c r="D37"/>
      <c r="E37"/>
      <c r="F37"/>
      <c r="G37"/>
      <c r="H37"/>
      <c r="J37"/>
      <c r="K37"/>
      <c r="L37"/>
      <c r="M37"/>
      <c r="N37"/>
      <c r="O37"/>
      <c r="P37"/>
      <c r="Q37"/>
      <c r="R37"/>
      <c r="S37"/>
    </row>
    <row r="38" spans="1:19" x14ac:dyDescent="0.25">
      <c r="A38"/>
      <c r="B38"/>
      <c r="C38"/>
      <c r="D38"/>
      <c r="E38"/>
      <c r="F38"/>
      <c r="G38"/>
      <c r="H38"/>
      <c r="J38"/>
      <c r="K38"/>
      <c r="L38"/>
      <c r="M38"/>
      <c r="N38"/>
      <c r="O38"/>
      <c r="P38"/>
      <c r="Q38"/>
      <c r="R38"/>
      <c r="S38"/>
    </row>
    <row r="39" spans="1:19" x14ac:dyDescent="0.25">
      <c r="A39"/>
      <c r="B39"/>
      <c r="C39"/>
      <c r="D39"/>
      <c r="E39"/>
      <c r="F39"/>
      <c r="G39"/>
      <c r="H39"/>
      <c r="J39"/>
      <c r="K39"/>
      <c r="L39"/>
      <c r="M39"/>
      <c r="N39"/>
      <c r="O39"/>
      <c r="P39"/>
      <c r="Q39"/>
      <c r="R39"/>
      <c r="S39"/>
    </row>
    <row r="40" spans="1:19" x14ac:dyDescent="0.25">
      <c r="A40"/>
      <c r="B40"/>
      <c r="C40"/>
      <c r="D40"/>
      <c r="E40"/>
      <c r="F40"/>
      <c r="G40"/>
      <c r="H40"/>
      <c r="J40"/>
      <c r="K40"/>
      <c r="L40"/>
      <c r="M40"/>
      <c r="N40"/>
      <c r="O40"/>
      <c r="P40"/>
      <c r="Q40"/>
      <c r="R40"/>
      <c r="S40"/>
    </row>
    <row r="41" spans="1:19" x14ac:dyDescent="0.25">
      <c r="A41"/>
      <c r="B41"/>
      <c r="C41"/>
      <c r="D41"/>
      <c r="E41"/>
      <c r="F41"/>
      <c r="G41"/>
      <c r="H41"/>
      <c r="J41"/>
      <c r="K41"/>
      <c r="L41"/>
      <c r="M41"/>
      <c r="N41"/>
      <c r="O41"/>
      <c r="P41"/>
      <c r="Q41"/>
      <c r="R41"/>
      <c r="S41"/>
    </row>
    <row r="42" spans="1:19" x14ac:dyDescent="0.25">
      <c r="A42"/>
      <c r="B42"/>
      <c r="C42"/>
      <c r="D42"/>
      <c r="E42"/>
      <c r="F42"/>
      <c r="G42"/>
      <c r="H42"/>
      <c r="J42"/>
      <c r="K42"/>
      <c r="L42"/>
      <c r="M42"/>
      <c r="N42"/>
      <c r="O42"/>
      <c r="P42"/>
      <c r="Q42"/>
      <c r="R42"/>
      <c r="S42"/>
    </row>
    <row r="43" spans="1:19" x14ac:dyDescent="0.25">
      <c r="A43"/>
      <c r="B43"/>
      <c r="C43"/>
      <c r="D43"/>
      <c r="E43"/>
      <c r="F43"/>
      <c r="G43"/>
      <c r="H43"/>
      <c r="J43"/>
      <c r="K43"/>
      <c r="L43"/>
      <c r="M43"/>
      <c r="N43"/>
      <c r="O43"/>
      <c r="P43"/>
      <c r="Q43"/>
      <c r="R43"/>
      <c r="S43"/>
    </row>
    <row r="44" spans="1:19" x14ac:dyDescent="0.25">
      <c r="A44"/>
      <c r="B44"/>
      <c r="C44"/>
      <c r="D44"/>
      <c r="E44"/>
      <c r="F44"/>
      <c r="G44"/>
      <c r="H44"/>
      <c r="J44"/>
      <c r="K44"/>
      <c r="L44"/>
      <c r="M44"/>
      <c r="N44"/>
      <c r="O44"/>
      <c r="P44"/>
      <c r="Q44"/>
      <c r="R44"/>
      <c r="S44"/>
    </row>
    <row r="45" spans="1:19" x14ac:dyDescent="0.25">
      <c r="A45"/>
      <c r="B45"/>
      <c r="C45"/>
      <c r="D45"/>
      <c r="E45"/>
      <c r="F45"/>
      <c r="G45"/>
      <c r="H45"/>
      <c r="J45"/>
      <c r="K45"/>
      <c r="L45"/>
      <c r="M45"/>
      <c r="N45"/>
      <c r="O45"/>
      <c r="P45"/>
      <c r="Q45"/>
      <c r="R45"/>
      <c r="S45"/>
    </row>
    <row r="46" spans="1:19" x14ac:dyDescent="0.25">
      <c r="A46"/>
      <c r="B46"/>
      <c r="C46"/>
      <c r="D46"/>
      <c r="E46"/>
      <c r="F46"/>
      <c r="G46"/>
      <c r="H46"/>
      <c r="J46"/>
      <c r="K46"/>
      <c r="L46"/>
      <c r="M46"/>
      <c r="N46"/>
      <c r="O46"/>
      <c r="P46"/>
      <c r="Q46"/>
      <c r="R46"/>
      <c r="S46"/>
    </row>
    <row r="47" spans="1:19" x14ac:dyDescent="0.25">
      <c r="A47"/>
      <c r="B47"/>
      <c r="C47"/>
      <c r="D47"/>
      <c r="E47"/>
      <c r="F47"/>
      <c r="G47"/>
      <c r="H47"/>
      <c r="J47"/>
      <c r="K47"/>
      <c r="L47"/>
      <c r="M47"/>
      <c r="N47"/>
      <c r="O47"/>
      <c r="P47"/>
      <c r="Q47"/>
      <c r="R47"/>
      <c r="S47"/>
    </row>
    <row r="48" spans="1:19" x14ac:dyDescent="0.25">
      <c r="A48"/>
      <c r="B48"/>
      <c r="C48"/>
      <c r="D48"/>
      <c r="E48"/>
      <c r="F48"/>
      <c r="G48"/>
      <c r="H48"/>
      <c r="J48"/>
      <c r="K48"/>
      <c r="L48"/>
      <c r="M48"/>
      <c r="N48"/>
      <c r="O48"/>
      <c r="P48"/>
      <c r="Q48"/>
      <c r="R48"/>
      <c r="S48"/>
    </row>
    <row r="49" spans="1:19" x14ac:dyDescent="0.25">
      <c r="A49"/>
      <c r="B49"/>
      <c r="C49"/>
      <c r="D49"/>
      <c r="E49"/>
      <c r="F49"/>
      <c r="G49"/>
      <c r="H49"/>
      <c r="J49"/>
      <c r="K49"/>
      <c r="L49"/>
      <c r="M49"/>
      <c r="N49"/>
      <c r="O49"/>
      <c r="P49"/>
      <c r="Q49"/>
      <c r="R49"/>
      <c r="S49"/>
    </row>
    <row r="50" spans="1:19" x14ac:dyDescent="0.25">
      <c r="A50"/>
      <c r="B50"/>
      <c r="C50"/>
      <c r="D50"/>
      <c r="E50"/>
      <c r="F50"/>
      <c r="G50"/>
      <c r="H50"/>
      <c r="J50"/>
      <c r="K50"/>
      <c r="L50"/>
      <c r="M50"/>
      <c r="N50"/>
      <c r="O50"/>
      <c r="P50"/>
      <c r="Q50"/>
      <c r="R50"/>
      <c r="S50"/>
    </row>
    <row r="51" spans="1:19" x14ac:dyDescent="0.25">
      <c r="A51"/>
      <c r="B51"/>
      <c r="C51"/>
      <c r="D51"/>
      <c r="E51"/>
      <c r="F51"/>
      <c r="G51"/>
      <c r="H51"/>
      <c r="J51"/>
      <c r="K51"/>
      <c r="L51"/>
      <c r="M51"/>
      <c r="N51"/>
      <c r="O51"/>
      <c r="P51"/>
      <c r="Q51"/>
      <c r="R51"/>
      <c r="S51"/>
    </row>
    <row r="52" spans="1:19" x14ac:dyDescent="0.25">
      <c r="A52"/>
      <c r="B52"/>
      <c r="C52"/>
      <c r="D52"/>
      <c r="E52"/>
      <c r="F52"/>
      <c r="G52"/>
      <c r="H52"/>
      <c r="J52"/>
      <c r="K52"/>
      <c r="L52"/>
      <c r="M52"/>
      <c r="N52"/>
      <c r="O52"/>
      <c r="P52"/>
      <c r="Q52"/>
      <c r="R52"/>
      <c r="S52"/>
    </row>
    <row r="53" spans="1:19" x14ac:dyDescent="0.25">
      <c r="A53"/>
      <c r="B53"/>
      <c r="C53"/>
      <c r="D53"/>
      <c r="E53"/>
      <c r="F53"/>
      <c r="G53"/>
      <c r="H53"/>
      <c r="J53"/>
      <c r="K53"/>
      <c r="L53"/>
      <c r="M53"/>
      <c r="N53"/>
      <c r="O53"/>
      <c r="P53"/>
      <c r="Q53"/>
      <c r="R53"/>
      <c r="S53"/>
    </row>
    <row r="54" spans="1:19" x14ac:dyDescent="0.25">
      <c r="A54"/>
      <c r="B54"/>
      <c r="C54"/>
      <c r="D54"/>
      <c r="E54"/>
      <c r="F54"/>
      <c r="G54"/>
      <c r="H54"/>
      <c r="J54"/>
      <c r="K54"/>
      <c r="L54"/>
      <c r="M54"/>
      <c r="N54"/>
      <c r="O54"/>
      <c r="P54"/>
      <c r="Q54"/>
      <c r="R54"/>
      <c r="S54"/>
    </row>
    <row r="55" spans="1:19" x14ac:dyDescent="0.25">
      <c r="A55"/>
      <c r="B55"/>
      <c r="C55"/>
      <c r="D55"/>
      <c r="E55"/>
      <c r="F55"/>
      <c r="G55"/>
      <c r="H55"/>
      <c r="J55"/>
      <c r="K55"/>
      <c r="L55"/>
      <c r="M55"/>
      <c r="N55"/>
      <c r="O55"/>
      <c r="P55"/>
      <c r="Q55"/>
      <c r="R55"/>
      <c r="S55"/>
    </row>
    <row r="56" spans="1:19" x14ac:dyDescent="0.25">
      <c r="A56"/>
      <c r="B56"/>
      <c r="C56"/>
      <c r="D56"/>
      <c r="E56"/>
      <c r="F56"/>
      <c r="G56"/>
      <c r="H56"/>
      <c r="J56"/>
      <c r="K56"/>
      <c r="L56"/>
      <c r="M56"/>
      <c r="N56"/>
      <c r="O56"/>
      <c r="P56"/>
      <c r="Q56"/>
      <c r="R56"/>
      <c r="S56"/>
    </row>
    <row r="57" spans="1:19" x14ac:dyDescent="0.25">
      <c r="A57"/>
      <c r="B57"/>
      <c r="C57"/>
      <c r="D57"/>
      <c r="E57"/>
      <c r="F57"/>
      <c r="G57"/>
      <c r="H57"/>
      <c r="J57"/>
      <c r="K57"/>
      <c r="L57"/>
      <c r="M57"/>
      <c r="N57"/>
      <c r="O57"/>
      <c r="P57"/>
      <c r="Q57"/>
      <c r="R57"/>
      <c r="S57"/>
    </row>
    <row r="58" spans="1:19" x14ac:dyDescent="0.25">
      <c r="A58"/>
      <c r="B58"/>
      <c r="C58"/>
      <c r="D58"/>
      <c r="E58"/>
      <c r="F58"/>
      <c r="G58"/>
      <c r="H58"/>
      <c r="J58"/>
      <c r="K58"/>
      <c r="L58"/>
      <c r="M58"/>
      <c r="N58"/>
      <c r="O58"/>
      <c r="P58"/>
      <c r="Q58"/>
      <c r="R58"/>
      <c r="S58"/>
    </row>
    <row r="59" spans="1:19" x14ac:dyDescent="0.25">
      <c r="A59"/>
      <c r="B59"/>
      <c r="C59"/>
      <c r="D59"/>
      <c r="E59"/>
      <c r="F59"/>
      <c r="G59"/>
      <c r="H59"/>
      <c r="J59"/>
      <c r="K59"/>
      <c r="L59"/>
      <c r="M59"/>
      <c r="N59"/>
      <c r="O59"/>
      <c r="P59"/>
      <c r="Q59"/>
      <c r="R59"/>
      <c r="S59"/>
    </row>
    <row r="60" spans="1:19" x14ac:dyDescent="0.25">
      <c r="A60"/>
      <c r="B60"/>
      <c r="C60"/>
      <c r="D60"/>
      <c r="E60"/>
      <c r="F60"/>
      <c r="G60"/>
      <c r="H60"/>
      <c r="J60"/>
      <c r="K60"/>
      <c r="L60"/>
      <c r="M60"/>
      <c r="N60"/>
      <c r="O60"/>
      <c r="P60"/>
      <c r="Q60"/>
      <c r="R60"/>
      <c r="S60"/>
    </row>
    <row r="61" spans="1:19" x14ac:dyDescent="0.25">
      <c r="A61"/>
      <c r="B61"/>
      <c r="C61"/>
      <c r="D61"/>
      <c r="E61"/>
      <c r="F61"/>
      <c r="G61"/>
      <c r="H61"/>
      <c r="J61"/>
      <c r="K61"/>
      <c r="L61"/>
      <c r="M61"/>
      <c r="N61"/>
      <c r="O61"/>
      <c r="P61"/>
      <c r="Q61"/>
      <c r="R61"/>
      <c r="S61"/>
    </row>
    <row r="62" spans="1:19" x14ac:dyDescent="0.25">
      <c r="A62"/>
      <c r="B62"/>
      <c r="C62"/>
      <c r="D62"/>
      <c r="E62"/>
      <c r="F62"/>
      <c r="G62"/>
      <c r="H62"/>
      <c r="J62"/>
      <c r="K62"/>
      <c r="L62"/>
      <c r="M62"/>
      <c r="N62"/>
      <c r="O62"/>
      <c r="P62"/>
      <c r="Q62"/>
      <c r="R62"/>
      <c r="S62"/>
    </row>
    <row r="63" spans="1:19" x14ac:dyDescent="0.25">
      <c r="A63"/>
      <c r="B63"/>
      <c r="C63"/>
      <c r="D63"/>
      <c r="E63"/>
      <c r="F63"/>
      <c r="G63"/>
      <c r="H63"/>
      <c r="J63"/>
      <c r="K63"/>
      <c r="L63"/>
      <c r="M63"/>
      <c r="N63"/>
      <c r="O63"/>
      <c r="P63"/>
      <c r="Q63"/>
      <c r="R63"/>
      <c r="S63"/>
    </row>
    <row r="64" spans="1:19" x14ac:dyDescent="0.25">
      <c r="A64"/>
      <c r="B64"/>
      <c r="C64"/>
      <c r="D64"/>
      <c r="E64"/>
      <c r="F64"/>
      <c r="G64"/>
      <c r="H64"/>
      <c r="J64"/>
      <c r="K64"/>
      <c r="L64"/>
      <c r="M64"/>
      <c r="N64"/>
      <c r="O64"/>
      <c r="P64"/>
      <c r="Q64"/>
      <c r="R64"/>
      <c r="S64"/>
    </row>
    <row r="65" spans="1:19" x14ac:dyDescent="0.25">
      <c r="A65"/>
      <c r="B65"/>
      <c r="C65"/>
      <c r="D65"/>
      <c r="E65"/>
      <c r="F65"/>
      <c r="G65"/>
      <c r="H65"/>
      <c r="J65"/>
      <c r="K65"/>
      <c r="L65"/>
      <c r="M65"/>
      <c r="N65"/>
      <c r="O65"/>
      <c r="P65"/>
      <c r="Q65"/>
      <c r="R65"/>
      <c r="S65"/>
    </row>
    <row r="66" spans="1:19" x14ac:dyDescent="0.25">
      <c r="A66"/>
      <c r="B66"/>
      <c r="C66"/>
      <c r="D66"/>
      <c r="E66"/>
      <c r="F66"/>
      <c r="G66"/>
      <c r="H66"/>
      <c r="J66"/>
      <c r="K66"/>
      <c r="L66"/>
      <c r="M66"/>
      <c r="N66"/>
      <c r="O66"/>
      <c r="P66"/>
      <c r="Q66"/>
      <c r="R66"/>
      <c r="S66"/>
    </row>
    <row r="67" spans="1:19" x14ac:dyDescent="0.25">
      <c r="A67"/>
      <c r="B67"/>
      <c r="C67"/>
      <c r="D67"/>
      <c r="E67"/>
      <c r="F67"/>
      <c r="G67"/>
      <c r="H67"/>
      <c r="J67"/>
      <c r="K67"/>
      <c r="L67"/>
      <c r="M67"/>
      <c r="N67"/>
      <c r="O67"/>
      <c r="P67"/>
      <c r="Q67"/>
      <c r="R67"/>
      <c r="S67"/>
    </row>
    <row r="68" spans="1:19" x14ac:dyDescent="0.25">
      <c r="A68"/>
      <c r="B68"/>
      <c r="C68"/>
      <c r="D68"/>
      <c r="E68"/>
      <c r="F68"/>
      <c r="G68"/>
      <c r="H68"/>
      <c r="J68"/>
      <c r="K68"/>
      <c r="L68"/>
      <c r="M68"/>
      <c r="N68"/>
      <c r="O68"/>
      <c r="P68"/>
      <c r="Q68"/>
      <c r="R68"/>
      <c r="S68"/>
    </row>
    <row r="69" spans="1:19" x14ac:dyDescent="0.25">
      <c r="A69"/>
      <c r="B69"/>
      <c r="C69"/>
      <c r="D69"/>
      <c r="E69"/>
      <c r="F69"/>
      <c r="G69"/>
      <c r="H69"/>
      <c r="J69"/>
      <c r="K69"/>
      <c r="L69"/>
      <c r="M69"/>
      <c r="N69"/>
      <c r="O69"/>
      <c r="P69"/>
      <c r="Q69"/>
      <c r="R69"/>
      <c r="S69"/>
    </row>
    <row r="70" spans="1:19" x14ac:dyDescent="0.25">
      <c r="A70"/>
      <c r="B70"/>
      <c r="C70"/>
      <c r="D70"/>
      <c r="E70"/>
      <c r="F70"/>
      <c r="G70"/>
      <c r="H70"/>
      <c r="J70"/>
      <c r="K70"/>
      <c r="L70"/>
      <c r="M70"/>
      <c r="N70"/>
      <c r="O70"/>
      <c r="P70"/>
      <c r="Q70"/>
      <c r="R70"/>
      <c r="S70"/>
    </row>
    <row r="71" spans="1:19" x14ac:dyDescent="0.25">
      <c r="A71"/>
      <c r="B71"/>
      <c r="C71"/>
      <c r="D71"/>
      <c r="E71"/>
      <c r="F71"/>
      <c r="G71"/>
      <c r="H71"/>
      <c r="J71"/>
      <c r="K71"/>
      <c r="L71"/>
      <c r="M71"/>
      <c r="N71"/>
      <c r="O71"/>
      <c r="P71"/>
      <c r="Q71"/>
      <c r="R71"/>
      <c r="S71"/>
    </row>
    <row r="72" spans="1:19" x14ac:dyDescent="0.25">
      <c r="A72"/>
      <c r="B72"/>
      <c r="C72"/>
      <c r="D72"/>
      <c r="E72"/>
      <c r="F72"/>
      <c r="G72"/>
      <c r="H72"/>
      <c r="J72"/>
      <c r="K72"/>
      <c r="L72"/>
      <c r="M72"/>
      <c r="N72"/>
      <c r="O72"/>
      <c r="P72"/>
      <c r="Q72"/>
      <c r="R72"/>
      <c r="S72"/>
    </row>
    <row r="73" spans="1:19" x14ac:dyDescent="0.25">
      <c r="A73"/>
      <c r="B73"/>
      <c r="C73"/>
      <c r="D73"/>
      <c r="E73"/>
      <c r="F73"/>
      <c r="G73"/>
      <c r="H73"/>
      <c r="J73"/>
      <c r="K73"/>
      <c r="L73"/>
      <c r="M73"/>
      <c r="N73"/>
      <c r="O73"/>
      <c r="P73"/>
      <c r="Q73"/>
      <c r="R73"/>
      <c r="S73"/>
    </row>
    <row r="74" spans="1:19" x14ac:dyDescent="0.25">
      <c r="A74"/>
      <c r="B74"/>
      <c r="C74"/>
      <c r="D74"/>
      <c r="E74"/>
      <c r="F74"/>
      <c r="G74"/>
      <c r="H74"/>
      <c r="J74"/>
      <c r="K74"/>
      <c r="L74"/>
      <c r="M74"/>
      <c r="N74"/>
      <c r="O74"/>
      <c r="P74"/>
      <c r="Q74"/>
      <c r="R74"/>
      <c r="S74"/>
    </row>
    <row r="75" spans="1:19" x14ac:dyDescent="0.25">
      <c r="A75"/>
      <c r="B75"/>
      <c r="C75"/>
      <c r="D75"/>
      <c r="E75"/>
      <c r="F75"/>
      <c r="G75"/>
      <c r="H75"/>
      <c r="J75"/>
      <c r="K75"/>
      <c r="L75"/>
      <c r="M75"/>
      <c r="N75"/>
      <c r="O75"/>
      <c r="P75"/>
      <c r="Q75"/>
      <c r="R75"/>
      <c r="S75"/>
    </row>
    <row r="76" spans="1:19" x14ac:dyDescent="0.25">
      <c r="A76"/>
      <c r="B76"/>
      <c r="C76"/>
      <c r="D76"/>
      <c r="E76"/>
      <c r="F76"/>
      <c r="G76"/>
      <c r="H76"/>
      <c r="J76"/>
      <c r="K76"/>
      <c r="L76"/>
      <c r="M76"/>
      <c r="N76"/>
      <c r="O76"/>
      <c r="P76"/>
      <c r="Q76"/>
      <c r="R76"/>
      <c r="S76"/>
    </row>
    <row r="77" spans="1:19" x14ac:dyDescent="0.25">
      <c r="A77"/>
      <c r="B77"/>
      <c r="C77"/>
      <c r="D77"/>
      <c r="E77"/>
      <c r="F77"/>
      <c r="G77"/>
      <c r="H77"/>
      <c r="J77"/>
      <c r="K77"/>
      <c r="L77"/>
      <c r="M77"/>
      <c r="N77"/>
      <c r="O77"/>
      <c r="P77"/>
      <c r="Q77"/>
      <c r="R77"/>
      <c r="S77"/>
    </row>
    <row r="78" spans="1:19" x14ac:dyDescent="0.25">
      <c r="A78"/>
      <c r="B78"/>
      <c r="C78"/>
      <c r="D78"/>
      <c r="E78"/>
      <c r="F78"/>
      <c r="G78"/>
      <c r="H78"/>
      <c r="J78"/>
      <c r="K78"/>
      <c r="L78"/>
      <c r="M78"/>
      <c r="N78"/>
      <c r="O78"/>
      <c r="P78"/>
      <c r="Q78"/>
      <c r="R78"/>
      <c r="S78"/>
    </row>
    <row r="79" spans="1:19" x14ac:dyDescent="0.25">
      <c r="A79"/>
      <c r="B79"/>
      <c r="C79"/>
      <c r="D79"/>
      <c r="E79"/>
      <c r="F79"/>
      <c r="G79"/>
      <c r="H79"/>
      <c r="J79"/>
      <c r="K79"/>
      <c r="L79"/>
      <c r="M79"/>
      <c r="N79"/>
      <c r="O79"/>
      <c r="P79"/>
      <c r="Q79"/>
      <c r="R79"/>
      <c r="S79"/>
    </row>
    <row r="80" spans="1:19" x14ac:dyDescent="0.25">
      <c r="A80"/>
      <c r="B80"/>
      <c r="C80"/>
      <c r="D80"/>
      <c r="E80"/>
      <c r="F80"/>
      <c r="G80"/>
      <c r="H80"/>
      <c r="J80"/>
      <c r="K80"/>
      <c r="L80"/>
      <c r="M80"/>
      <c r="N80"/>
      <c r="O80"/>
      <c r="P80"/>
      <c r="Q80"/>
      <c r="R80"/>
      <c r="S80"/>
    </row>
    <row r="81" spans="1:19" x14ac:dyDescent="0.25">
      <c r="A81"/>
      <c r="B81"/>
      <c r="C81"/>
      <c r="D81"/>
      <c r="E81"/>
      <c r="F81"/>
      <c r="G81"/>
      <c r="H81"/>
      <c r="J81"/>
      <c r="K81"/>
      <c r="L81"/>
      <c r="M81"/>
      <c r="N81"/>
      <c r="O81"/>
      <c r="P81"/>
      <c r="Q81"/>
      <c r="R81"/>
      <c r="S81"/>
    </row>
    <row r="82" spans="1:19" x14ac:dyDescent="0.25">
      <c r="A82"/>
      <c r="B82"/>
      <c r="C82"/>
      <c r="D82"/>
      <c r="E82"/>
      <c r="F82"/>
      <c r="G82"/>
      <c r="H82"/>
      <c r="J82"/>
      <c r="K82"/>
      <c r="L82"/>
      <c r="M82"/>
      <c r="N82"/>
      <c r="O82"/>
      <c r="P82"/>
      <c r="Q82"/>
      <c r="R82"/>
      <c r="S82"/>
    </row>
    <row r="83" spans="1:19" x14ac:dyDescent="0.25">
      <c r="A83"/>
      <c r="B83"/>
      <c r="C83"/>
      <c r="D83"/>
      <c r="E83"/>
      <c r="F83"/>
      <c r="G83"/>
      <c r="H83"/>
      <c r="J83"/>
      <c r="K83"/>
      <c r="L83"/>
      <c r="M83"/>
      <c r="N83"/>
      <c r="O83"/>
      <c r="P83"/>
      <c r="Q83"/>
      <c r="R83"/>
      <c r="S83"/>
    </row>
    <row r="84" spans="1:19" x14ac:dyDescent="0.25">
      <c r="A84"/>
      <c r="B84"/>
      <c r="C84"/>
      <c r="D84"/>
      <c r="E84"/>
      <c r="F84"/>
      <c r="G84"/>
      <c r="H84"/>
      <c r="J84"/>
      <c r="K84"/>
      <c r="L84"/>
      <c r="M84"/>
      <c r="N84"/>
      <c r="O84"/>
      <c r="P84"/>
      <c r="Q84"/>
      <c r="R84"/>
      <c r="S84"/>
    </row>
    <row r="85" spans="1:19" x14ac:dyDescent="0.25">
      <c r="A85"/>
      <c r="B85"/>
      <c r="C85"/>
      <c r="D85"/>
      <c r="E85"/>
      <c r="F85"/>
      <c r="G85"/>
      <c r="H85"/>
      <c r="J85"/>
      <c r="K85"/>
      <c r="L85"/>
      <c r="M85"/>
      <c r="N85"/>
      <c r="O85"/>
      <c r="P85"/>
      <c r="Q85"/>
      <c r="R85"/>
      <c r="S85"/>
    </row>
    <row r="86" spans="1:19" x14ac:dyDescent="0.25">
      <c r="A86"/>
      <c r="B86"/>
      <c r="C86"/>
      <c r="D86"/>
      <c r="E86"/>
      <c r="F86"/>
      <c r="G86"/>
      <c r="H86"/>
      <c r="J86"/>
      <c r="K86"/>
      <c r="L86"/>
      <c r="M86"/>
      <c r="N86"/>
      <c r="O86"/>
      <c r="P86"/>
      <c r="Q86"/>
      <c r="R86"/>
      <c r="S86"/>
    </row>
    <row r="87" spans="1:19" x14ac:dyDescent="0.25">
      <c r="A87"/>
      <c r="B87"/>
      <c r="C87"/>
      <c r="D87"/>
      <c r="E87"/>
      <c r="F87"/>
      <c r="G87"/>
      <c r="H87"/>
      <c r="J87"/>
      <c r="K87"/>
      <c r="L87"/>
      <c r="M87"/>
      <c r="N87"/>
      <c r="O87"/>
      <c r="P87"/>
      <c r="Q87"/>
      <c r="R87"/>
      <c r="S87"/>
    </row>
    <row r="88" spans="1:19" x14ac:dyDescent="0.25">
      <c r="A88"/>
      <c r="B88"/>
      <c r="C88"/>
      <c r="D88"/>
      <c r="E88"/>
      <c r="F88"/>
      <c r="G88"/>
      <c r="H88"/>
      <c r="J88"/>
      <c r="K88"/>
      <c r="L88"/>
      <c r="M88"/>
      <c r="N88"/>
      <c r="O88"/>
      <c r="P88"/>
      <c r="Q88"/>
      <c r="R88"/>
      <c r="S88"/>
    </row>
    <row r="89" spans="1:19" x14ac:dyDescent="0.25">
      <c r="A89"/>
      <c r="B89"/>
      <c r="C89"/>
      <c r="D89"/>
      <c r="E89"/>
      <c r="F89"/>
      <c r="G89"/>
      <c r="H89"/>
      <c r="J89"/>
      <c r="K89"/>
      <c r="L89"/>
      <c r="M89"/>
      <c r="N89"/>
      <c r="O89"/>
      <c r="P89"/>
      <c r="Q89"/>
      <c r="R89"/>
      <c r="S89"/>
    </row>
    <row r="90" spans="1:19" x14ac:dyDescent="0.25">
      <c r="A90"/>
      <c r="B90"/>
      <c r="C90"/>
      <c r="D90"/>
      <c r="E90"/>
      <c r="F90"/>
      <c r="G90"/>
      <c r="H90"/>
      <c r="J90"/>
      <c r="K90"/>
      <c r="L90"/>
      <c r="M90"/>
      <c r="N90"/>
      <c r="O90"/>
      <c r="P90"/>
      <c r="Q90"/>
      <c r="R90"/>
      <c r="S90"/>
    </row>
    <row r="91" spans="1:19" x14ac:dyDescent="0.25">
      <c r="A91"/>
      <c r="B91"/>
      <c r="C91"/>
      <c r="D91"/>
      <c r="E91"/>
      <c r="F91"/>
      <c r="G91"/>
      <c r="H91"/>
      <c r="J91"/>
      <c r="K91"/>
      <c r="L91"/>
      <c r="M91"/>
      <c r="N91"/>
      <c r="O91"/>
      <c r="P91"/>
      <c r="Q91"/>
      <c r="R91"/>
      <c r="S91"/>
    </row>
    <row r="92" spans="1:19" x14ac:dyDescent="0.25">
      <c r="A92"/>
      <c r="B92"/>
      <c r="C92"/>
      <c r="D92"/>
      <c r="E92"/>
      <c r="F92"/>
      <c r="G92"/>
      <c r="H92"/>
      <c r="J92"/>
      <c r="K92"/>
      <c r="L92"/>
      <c r="M92"/>
      <c r="N92"/>
      <c r="O92"/>
      <c r="P92"/>
      <c r="Q92"/>
      <c r="R92"/>
      <c r="S92"/>
    </row>
    <row r="93" spans="1:19" x14ac:dyDescent="0.25">
      <c r="A93"/>
      <c r="B93"/>
      <c r="C93"/>
      <c r="D93"/>
      <c r="E93"/>
      <c r="F93"/>
      <c r="G93"/>
      <c r="H93"/>
      <c r="J93"/>
      <c r="K93"/>
      <c r="L93"/>
      <c r="M93"/>
      <c r="N93"/>
      <c r="O93"/>
      <c r="P93"/>
      <c r="Q93"/>
      <c r="R93"/>
      <c r="S93"/>
    </row>
    <row r="94" spans="1:19" x14ac:dyDescent="0.25">
      <c r="A94"/>
      <c r="B94"/>
      <c r="C94"/>
      <c r="D94"/>
      <c r="E94"/>
      <c r="F94"/>
      <c r="G94"/>
      <c r="H94"/>
      <c r="J94"/>
      <c r="K94"/>
      <c r="L94"/>
      <c r="M94"/>
      <c r="N94"/>
      <c r="O94"/>
      <c r="P94"/>
      <c r="Q94"/>
      <c r="R94"/>
      <c r="S94"/>
    </row>
    <row r="95" spans="1:19" x14ac:dyDescent="0.25">
      <c r="A95"/>
      <c r="B95"/>
      <c r="C95"/>
      <c r="D95"/>
      <c r="E95"/>
      <c r="F95"/>
      <c r="G95"/>
      <c r="H95"/>
      <c r="J95"/>
      <c r="K95"/>
      <c r="L95"/>
      <c r="M95"/>
      <c r="N95"/>
      <c r="O95"/>
      <c r="P95"/>
      <c r="Q95"/>
      <c r="R95"/>
      <c r="S95"/>
    </row>
    <row r="96" spans="1:19" x14ac:dyDescent="0.25">
      <c r="A96"/>
      <c r="B96"/>
      <c r="C96"/>
      <c r="D96"/>
      <c r="E96"/>
      <c r="F96"/>
      <c r="G96"/>
      <c r="H96"/>
      <c r="J96"/>
      <c r="K96"/>
      <c r="L96"/>
      <c r="M96"/>
      <c r="N96"/>
      <c r="O96"/>
      <c r="P96"/>
      <c r="Q96"/>
      <c r="R96"/>
      <c r="S96"/>
    </row>
    <row r="97" spans="1:19" x14ac:dyDescent="0.25">
      <c r="A97"/>
      <c r="B97"/>
      <c r="C97"/>
      <c r="D97"/>
      <c r="E97"/>
      <c r="F97"/>
      <c r="G97"/>
      <c r="H97"/>
      <c r="J97"/>
      <c r="K97"/>
      <c r="L97"/>
      <c r="M97"/>
      <c r="N97"/>
      <c r="O97"/>
      <c r="P97"/>
      <c r="Q97"/>
      <c r="R97"/>
      <c r="S97"/>
    </row>
    <row r="98" spans="1:19" x14ac:dyDescent="0.25">
      <c r="A98"/>
      <c r="B98"/>
      <c r="C98"/>
      <c r="D98"/>
      <c r="E98"/>
      <c r="F98"/>
      <c r="G98"/>
      <c r="H98"/>
      <c r="J98"/>
      <c r="K98"/>
      <c r="L98"/>
      <c r="M98"/>
      <c r="N98"/>
      <c r="O98"/>
      <c r="P98"/>
      <c r="Q98"/>
      <c r="R98"/>
      <c r="S98"/>
    </row>
    <row r="99" spans="1:19" x14ac:dyDescent="0.25">
      <c r="A99"/>
      <c r="B99"/>
      <c r="C99"/>
      <c r="D99"/>
      <c r="E99"/>
      <c r="F99"/>
      <c r="G99"/>
      <c r="H99"/>
      <c r="J99"/>
      <c r="K99"/>
      <c r="L99"/>
      <c r="M99"/>
      <c r="N99"/>
      <c r="O99"/>
      <c r="P99"/>
      <c r="Q99"/>
      <c r="R99"/>
      <c r="S99"/>
    </row>
    <row r="100" spans="1:19" x14ac:dyDescent="0.25">
      <c r="A100"/>
      <c r="B100"/>
      <c r="C100"/>
      <c r="D100"/>
      <c r="E100"/>
      <c r="F100"/>
      <c r="G100"/>
      <c r="H100"/>
      <c r="J100"/>
      <c r="K100"/>
      <c r="L100"/>
      <c r="M100"/>
      <c r="N100"/>
      <c r="O100"/>
      <c r="P100"/>
      <c r="Q100"/>
      <c r="R100"/>
      <c r="S100"/>
    </row>
    <row r="101" spans="1:19" x14ac:dyDescent="0.25">
      <c r="A101"/>
      <c r="B101"/>
      <c r="C101"/>
      <c r="D101"/>
      <c r="E101"/>
      <c r="F101"/>
      <c r="G101"/>
      <c r="H101"/>
      <c r="J101"/>
      <c r="K101"/>
      <c r="L101"/>
      <c r="M101"/>
      <c r="N101"/>
      <c r="O101"/>
      <c r="P101"/>
      <c r="Q101"/>
      <c r="R101"/>
      <c r="S101"/>
    </row>
    <row r="102" spans="1:19" x14ac:dyDescent="0.25">
      <c r="A102"/>
      <c r="B102"/>
      <c r="C102"/>
      <c r="D102"/>
      <c r="E102"/>
      <c r="F102"/>
      <c r="G102"/>
      <c r="H102"/>
      <c r="J102"/>
      <c r="K102"/>
      <c r="L102"/>
      <c r="M102"/>
      <c r="N102"/>
      <c r="O102"/>
      <c r="P102"/>
      <c r="Q102"/>
      <c r="R102"/>
      <c r="S102"/>
    </row>
    <row r="103" spans="1:19" x14ac:dyDescent="0.25">
      <c r="A103"/>
      <c r="B103"/>
      <c r="C103"/>
      <c r="D103"/>
      <c r="E103"/>
      <c r="F103"/>
      <c r="G103"/>
      <c r="H103"/>
      <c r="J103"/>
      <c r="K103"/>
      <c r="L103"/>
      <c r="M103"/>
      <c r="N103"/>
      <c r="O103"/>
      <c r="P103"/>
      <c r="Q103"/>
      <c r="R103"/>
      <c r="S103"/>
    </row>
    <row r="104" spans="1:19" x14ac:dyDescent="0.25">
      <c r="A104"/>
      <c r="B104"/>
      <c r="C104"/>
      <c r="D104"/>
      <c r="E104"/>
      <c r="F104"/>
      <c r="G104"/>
      <c r="H104"/>
      <c r="J104"/>
      <c r="K104"/>
      <c r="L104"/>
      <c r="M104"/>
      <c r="N104"/>
      <c r="O104"/>
      <c r="P104"/>
      <c r="Q104"/>
      <c r="R104"/>
      <c r="S104"/>
    </row>
    <row r="105" spans="1:19" x14ac:dyDescent="0.25">
      <c r="A105"/>
      <c r="B105"/>
      <c r="C105"/>
      <c r="D105"/>
      <c r="E105"/>
      <c r="F105"/>
      <c r="G105"/>
      <c r="H105"/>
      <c r="J105"/>
      <c r="K105"/>
      <c r="L105"/>
      <c r="M105"/>
      <c r="N105"/>
      <c r="O105"/>
      <c r="P105"/>
      <c r="Q105"/>
      <c r="R105"/>
      <c r="S105"/>
    </row>
    <row r="106" spans="1:19" x14ac:dyDescent="0.25">
      <c r="A106"/>
      <c r="B106"/>
      <c r="C106"/>
      <c r="D106"/>
      <c r="E106"/>
      <c r="F106"/>
      <c r="G106"/>
      <c r="H106"/>
      <c r="J106"/>
      <c r="K106"/>
      <c r="L106"/>
      <c r="M106"/>
      <c r="N106"/>
      <c r="O106"/>
      <c r="P106"/>
      <c r="Q106"/>
      <c r="R106"/>
      <c r="S106"/>
    </row>
    <row r="107" spans="1:19" x14ac:dyDescent="0.25">
      <c r="A107"/>
      <c r="B107"/>
      <c r="C107"/>
      <c r="D107"/>
      <c r="E107"/>
      <c r="F107"/>
      <c r="G107"/>
      <c r="H107"/>
      <c r="J107"/>
      <c r="K107"/>
      <c r="L107"/>
      <c r="M107"/>
      <c r="N107"/>
      <c r="O107"/>
      <c r="P107"/>
      <c r="Q107"/>
      <c r="R107"/>
      <c r="S107"/>
    </row>
    <row r="108" spans="1:19" x14ac:dyDescent="0.25">
      <c r="A108"/>
      <c r="B108"/>
      <c r="C108"/>
      <c r="D108"/>
      <c r="E108"/>
      <c r="F108"/>
      <c r="G108"/>
      <c r="H108"/>
      <c r="J108"/>
      <c r="K108"/>
      <c r="L108"/>
      <c r="M108"/>
      <c r="N108"/>
      <c r="O108"/>
      <c r="P108"/>
      <c r="Q108"/>
      <c r="R108"/>
      <c r="S108"/>
    </row>
    <row r="109" spans="1:19" x14ac:dyDescent="0.25">
      <c r="A109"/>
      <c r="B109"/>
      <c r="C109"/>
      <c r="D109"/>
      <c r="E109"/>
      <c r="F109"/>
      <c r="G109"/>
      <c r="H109"/>
      <c r="J109"/>
      <c r="K109"/>
      <c r="L109"/>
      <c r="M109"/>
      <c r="N109"/>
      <c r="O109"/>
      <c r="P109"/>
      <c r="Q109"/>
      <c r="R109"/>
      <c r="S109"/>
    </row>
    <row r="110" spans="1:19" x14ac:dyDescent="0.25">
      <c r="A110"/>
      <c r="B110"/>
      <c r="C110"/>
      <c r="D110"/>
      <c r="E110"/>
      <c r="F110"/>
      <c r="G110"/>
      <c r="H110"/>
      <c r="J110"/>
      <c r="K110"/>
      <c r="L110"/>
      <c r="M110"/>
      <c r="N110"/>
      <c r="O110"/>
      <c r="P110"/>
      <c r="Q110"/>
      <c r="R110"/>
      <c r="S110"/>
    </row>
    <row r="111" spans="1:19" x14ac:dyDescent="0.25">
      <c r="A111"/>
      <c r="B111"/>
      <c r="C111"/>
      <c r="D111"/>
      <c r="E111"/>
      <c r="F111"/>
      <c r="G111"/>
      <c r="H111"/>
      <c r="J111"/>
      <c r="K111"/>
      <c r="L111"/>
      <c r="M111"/>
      <c r="N111"/>
      <c r="O111"/>
      <c r="P111"/>
      <c r="Q111"/>
      <c r="R111"/>
      <c r="S111"/>
    </row>
    <row r="112" spans="1:19" x14ac:dyDescent="0.25">
      <c r="A112"/>
      <c r="B112"/>
      <c r="C112"/>
      <c r="D112"/>
      <c r="E112"/>
      <c r="F112"/>
      <c r="G112"/>
      <c r="H112"/>
      <c r="J112"/>
      <c r="K112"/>
      <c r="L112"/>
      <c r="M112"/>
      <c r="N112"/>
      <c r="O112"/>
      <c r="P112"/>
      <c r="Q112"/>
      <c r="R112"/>
      <c r="S112"/>
    </row>
    <row r="113" spans="1:19" x14ac:dyDescent="0.25">
      <c r="A113"/>
      <c r="B113"/>
      <c r="C113"/>
      <c r="D113"/>
      <c r="E113"/>
      <c r="F113"/>
      <c r="G113"/>
      <c r="H113"/>
      <c r="J113"/>
      <c r="K113"/>
      <c r="L113"/>
      <c r="M113"/>
      <c r="N113"/>
      <c r="O113"/>
      <c r="P113"/>
      <c r="Q113"/>
      <c r="R113"/>
      <c r="S113"/>
    </row>
    <row r="114" spans="1:19" x14ac:dyDescent="0.25">
      <c r="A114"/>
      <c r="B114"/>
      <c r="C114"/>
      <c r="D114"/>
      <c r="E114"/>
      <c r="F114"/>
      <c r="G114"/>
      <c r="H114"/>
      <c r="J114"/>
      <c r="K114"/>
      <c r="L114"/>
      <c r="M114"/>
      <c r="N114"/>
      <c r="O114"/>
      <c r="P114"/>
      <c r="Q114"/>
      <c r="R114"/>
      <c r="S114"/>
    </row>
    <row r="115" spans="1:19" x14ac:dyDescent="0.25">
      <c r="A115"/>
      <c r="B115"/>
      <c r="C115"/>
      <c r="D115"/>
      <c r="E115"/>
      <c r="F115"/>
      <c r="G115"/>
      <c r="H115"/>
      <c r="J115"/>
      <c r="K115"/>
      <c r="L115"/>
      <c r="M115"/>
      <c r="N115"/>
      <c r="O115"/>
      <c r="P115"/>
      <c r="Q115"/>
      <c r="R115"/>
      <c r="S115"/>
    </row>
    <row r="116" spans="1:19" x14ac:dyDescent="0.25">
      <c r="A116"/>
      <c r="B116"/>
      <c r="C116"/>
      <c r="D116"/>
      <c r="E116"/>
      <c r="F116"/>
      <c r="G116"/>
      <c r="H116"/>
      <c r="J116"/>
      <c r="K116"/>
      <c r="L116"/>
      <c r="M116"/>
      <c r="N116"/>
      <c r="O116"/>
      <c r="P116"/>
      <c r="Q116"/>
      <c r="R116"/>
      <c r="S116"/>
    </row>
    <row r="117" spans="1:19" x14ac:dyDescent="0.25">
      <c r="A117"/>
      <c r="B117"/>
      <c r="C117"/>
      <c r="D117"/>
      <c r="E117"/>
      <c r="F117"/>
      <c r="G117"/>
      <c r="H117"/>
      <c r="J117"/>
      <c r="K117"/>
      <c r="L117"/>
      <c r="M117"/>
      <c r="N117"/>
      <c r="O117"/>
      <c r="P117"/>
      <c r="Q117"/>
      <c r="R117"/>
      <c r="S117"/>
    </row>
    <row r="118" spans="1:19" x14ac:dyDescent="0.25">
      <c r="A118"/>
      <c r="B118"/>
      <c r="C118"/>
      <c r="D118"/>
      <c r="E118"/>
      <c r="F118"/>
      <c r="G118"/>
      <c r="H118"/>
      <c r="J118"/>
      <c r="K118"/>
      <c r="L118"/>
      <c r="M118"/>
      <c r="N118"/>
      <c r="O118"/>
      <c r="P118"/>
      <c r="Q118"/>
      <c r="R118"/>
      <c r="S118"/>
    </row>
    <row r="119" spans="1:19" x14ac:dyDescent="0.25">
      <c r="A119"/>
      <c r="B119"/>
      <c r="C119"/>
      <c r="D119"/>
      <c r="E119"/>
      <c r="F119"/>
      <c r="G119"/>
      <c r="H119"/>
      <c r="J119"/>
      <c r="K119"/>
      <c r="L119"/>
      <c r="M119"/>
      <c r="N119"/>
      <c r="O119"/>
      <c r="P119"/>
      <c r="Q119"/>
      <c r="R119"/>
      <c r="S119"/>
    </row>
    <row r="120" spans="1:19" x14ac:dyDescent="0.25">
      <c r="A120"/>
      <c r="B120"/>
      <c r="C120"/>
      <c r="D120"/>
      <c r="E120"/>
      <c r="F120"/>
      <c r="G120"/>
      <c r="H120"/>
      <c r="J120"/>
      <c r="K120"/>
      <c r="L120"/>
      <c r="M120"/>
      <c r="N120"/>
      <c r="O120"/>
      <c r="P120"/>
      <c r="Q120"/>
      <c r="R120"/>
      <c r="S120"/>
    </row>
    <row r="121" spans="1:19" x14ac:dyDescent="0.25">
      <c r="A121"/>
      <c r="B121"/>
      <c r="C121"/>
      <c r="D121"/>
      <c r="E121"/>
      <c r="F121"/>
      <c r="G121"/>
      <c r="H121"/>
      <c r="J121"/>
      <c r="K121"/>
      <c r="L121"/>
      <c r="M121"/>
      <c r="N121"/>
      <c r="O121"/>
      <c r="P121"/>
      <c r="Q121"/>
      <c r="R121"/>
      <c r="S121"/>
    </row>
    <row r="122" spans="1:19" x14ac:dyDescent="0.25">
      <c r="A122"/>
      <c r="B122"/>
      <c r="C122"/>
      <c r="D122"/>
      <c r="E122"/>
      <c r="F122"/>
      <c r="G122"/>
      <c r="H122"/>
      <c r="J122"/>
      <c r="K122"/>
      <c r="L122"/>
      <c r="M122"/>
      <c r="N122"/>
      <c r="O122"/>
      <c r="P122"/>
      <c r="Q122"/>
      <c r="R122"/>
      <c r="S122"/>
    </row>
    <row r="123" spans="1:19" x14ac:dyDescent="0.25">
      <c r="A123"/>
      <c r="B123"/>
      <c r="C123"/>
      <c r="D123"/>
      <c r="E123"/>
      <c r="F123"/>
      <c r="G123"/>
      <c r="H123"/>
      <c r="J123"/>
      <c r="K123"/>
      <c r="L123"/>
      <c r="M123"/>
      <c r="N123"/>
      <c r="O123"/>
      <c r="P123"/>
      <c r="Q123"/>
      <c r="R123"/>
      <c r="S123"/>
    </row>
    <row r="124" spans="1:19" x14ac:dyDescent="0.25">
      <c r="A124"/>
      <c r="B124"/>
      <c r="C124"/>
      <c r="D124"/>
      <c r="E124"/>
      <c r="F124"/>
      <c r="G124"/>
      <c r="H124"/>
      <c r="J124"/>
      <c r="K124"/>
      <c r="L124"/>
      <c r="M124"/>
      <c r="N124"/>
      <c r="O124"/>
      <c r="P124"/>
      <c r="Q124"/>
      <c r="R124"/>
      <c r="S124"/>
    </row>
    <row r="125" spans="1:19" x14ac:dyDescent="0.25">
      <c r="A125"/>
      <c r="B125"/>
      <c r="C125"/>
      <c r="D125"/>
      <c r="E125"/>
      <c r="F125"/>
      <c r="G125"/>
      <c r="H125"/>
      <c r="J125"/>
      <c r="K125"/>
      <c r="L125"/>
      <c r="M125"/>
      <c r="N125"/>
      <c r="O125"/>
      <c r="P125"/>
      <c r="Q125"/>
      <c r="R125"/>
      <c r="S125"/>
    </row>
    <row r="126" spans="1:19" x14ac:dyDescent="0.25">
      <c r="A126"/>
      <c r="B126"/>
      <c r="C126"/>
      <c r="D126"/>
      <c r="E126"/>
      <c r="F126"/>
      <c r="G126"/>
      <c r="H126"/>
      <c r="J126"/>
      <c r="K126"/>
      <c r="L126"/>
      <c r="M126"/>
      <c r="N126"/>
      <c r="O126"/>
      <c r="P126"/>
      <c r="Q126"/>
      <c r="R126"/>
      <c r="S126"/>
    </row>
    <row r="127" spans="1:19" x14ac:dyDescent="0.25">
      <c r="A127"/>
      <c r="B127"/>
      <c r="C127"/>
      <c r="D127"/>
      <c r="E127"/>
      <c r="F127"/>
      <c r="G127"/>
      <c r="H127"/>
      <c r="J127"/>
      <c r="K127"/>
      <c r="L127"/>
      <c r="M127"/>
      <c r="N127"/>
      <c r="O127"/>
      <c r="P127"/>
      <c r="Q127"/>
      <c r="R127"/>
      <c r="S127"/>
    </row>
    <row r="128" spans="1:19" x14ac:dyDescent="0.25">
      <c r="A128"/>
      <c r="B128"/>
      <c r="C128"/>
      <c r="D128"/>
      <c r="E128"/>
      <c r="F128"/>
      <c r="G128"/>
      <c r="H128"/>
      <c r="J128"/>
      <c r="K128"/>
      <c r="L128"/>
      <c r="M128"/>
      <c r="N128"/>
      <c r="O128"/>
      <c r="P128"/>
      <c r="Q128"/>
      <c r="R128"/>
      <c r="S128"/>
    </row>
    <row r="129" spans="1:19" x14ac:dyDescent="0.25">
      <c r="A129"/>
      <c r="B129"/>
      <c r="C129"/>
      <c r="D129"/>
      <c r="E129"/>
      <c r="F129"/>
      <c r="G129"/>
      <c r="H129"/>
      <c r="J129"/>
      <c r="K129"/>
      <c r="L129"/>
      <c r="M129"/>
      <c r="N129"/>
      <c r="O129"/>
      <c r="P129"/>
      <c r="Q129"/>
      <c r="R129"/>
      <c r="S129"/>
    </row>
    <row r="130" spans="1:19" x14ac:dyDescent="0.25">
      <c r="A130"/>
      <c r="B130"/>
      <c r="C130"/>
      <c r="D130"/>
      <c r="E130"/>
      <c r="F130"/>
      <c r="G130"/>
      <c r="H130"/>
      <c r="J130"/>
      <c r="K130"/>
      <c r="L130"/>
      <c r="M130"/>
      <c r="N130"/>
      <c r="O130"/>
      <c r="P130"/>
      <c r="Q130"/>
      <c r="R130"/>
      <c r="S130"/>
    </row>
    <row r="131" spans="1:19" x14ac:dyDescent="0.25">
      <c r="A131"/>
      <c r="B131"/>
      <c r="C131"/>
      <c r="D131"/>
      <c r="E131"/>
      <c r="F131"/>
      <c r="G131"/>
      <c r="H131"/>
      <c r="J131"/>
      <c r="K131"/>
      <c r="L131"/>
      <c r="M131"/>
      <c r="N131"/>
      <c r="O131"/>
      <c r="P131"/>
      <c r="Q131"/>
      <c r="R131"/>
      <c r="S131"/>
    </row>
    <row r="132" spans="1:19" x14ac:dyDescent="0.25">
      <c r="A132"/>
      <c r="B132"/>
      <c r="C132"/>
      <c r="D132"/>
      <c r="E132"/>
      <c r="F132"/>
      <c r="G132"/>
      <c r="H132"/>
      <c r="J132"/>
      <c r="K132"/>
      <c r="L132"/>
      <c r="M132"/>
      <c r="N132"/>
      <c r="O132"/>
      <c r="P132"/>
      <c r="Q132"/>
      <c r="R132"/>
      <c r="S132"/>
    </row>
    <row r="133" spans="1:19" x14ac:dyDescent="0.25">
      <c r="A133"/>
      <c r="B133"/>
      <c r="C133"/>
      <c r="D133"/>
      <c r="E133"/>
      <c r="F133"/>
      <c r="G133"/>
      <c r="H133"/>
      <c r="J133"/>
      <c r="K133"/>
      <c r="L133"/>
      <c r="M133"/>
      <c r="N133"/>
      <c r="O133"/>
      <c r="P133"/>
      <c r="Q133"/>
      <c r="R133"/>
      <c r="S133"/>
    </row>
    <row r="134" spans="1:19" x14ac:dyDescent="0.25">
      <c r="A134"/>
      <c r="B134"/>
      <c r="C134"/>
      <c r="D134"/>
      <c r="E134"/>
      <c r="F134"/>
      <c r="G134"/>
      <c r="H134"/>
      <c r="J134"/>
      <c r="K134"/>
      <c r="L134"/>
      <c r="M134"/>
      <c r="N134"/>
      <c r="O134"/>
      <c r="P134"/>
      <c r="Q134"/>
      <c r="R134"/>
      <c r="S134"/>
    </row>
    <row r="135" spans="1:19" x14ac:dyDescent="0.25">
      <c r="A135"/>
      <c r="B135"/>
      <c r="C135"/>
      <c r="D135"/>
      <c r="E135"/>
      <c r="F135"/>
      <c r="G135"/>
      <c r="H135"/>
      <c r="J135"/>
      <c r="K135"/>
      <c r="L135"/>
      <c r="M135"/>
      <c r="N135"/>
      <c r="O135"/>
      <c r="P135"/>
      <c r="Q135"/>
      <c r="R135"/>
      <c r="S135"/>
    </row>
    <row r="136" spans="1:19" x14ac:dyDescent="0.25">
      <c r="A136"/>
      <c r="B136"/>
      <c r="C136"/>
      <c r="D136"/>
      <c r="E136"/>
      <c r="F136"/>
      <c r="G136"/>
      <c r="H136"/>
      <c r="J136"/>
      <c r="K136"/>
      <c r="L136"/>
      <c r="M136"/>
      <c r="N136"/>
      <c r="O136"/>
      <c r="P136"/>
      <c r="Q136"/>
      <c r="R136"/>
      <c r="S136"/>
    </row>
    <row r="137" spans="1:19" x14ac:dyDescent="0.25">
      <c r="A137"/>
      <c r="B137"/>
      <c r="C137"/>
      <c r="D137"/>
      <c r="E137"/>
      <c r="F137"/>
      <c r="G137"/>
      <c r="H137"/>
      <c r="J137"/>
      <c r="K137"/>
      <c r="L137"/>
      <c r="M137"/>
      <c r="N137"/>
      <c r="O137"/>
      <c r="P137"/>
      <c r="Q137"/>
      <c r="R137"/>
      <c r="S137"/>
    </row>
    <row r="138" spans="1:19" x14ac:dyDescent="0.25">
      <c r="A138"/>
      <c r="B138"/>
      <c r="C138"/>
      <c r="D138"/>
      <c r="E138"/>
      <c r="F138"/>
      <c r="G138"/>
      <c r="H138"/>
      <c r="J138"/>
      <c r="K138"/>
      <c r="L138"/>
      <c r="M138"/>
      <c r="N138"/>
      <c r="O138"/>
      <c r="P138"/>
      <c r="Q138"/>
      <c r="R138"/>
      <c r="S138"/>
    </row>
    <row r="139" spans="1:19" x14ac:dyDescent="0.25">
      <c r="A139"/>
      <c r="B139"/>
      <c r="C139"/>
      <c r="D139"/>
      <c r="E139"/>
      <c r="F139"/>
      <c r="G139"/>
      <c r="H139"/>
      <c r="J139"/>
      <c r="K139"/>
      <c r="L139"/>
      <c r="M139"/>
      <c r="N139"/>
      <c r="O139"/>
      <c r="P139"/>
      <c r="Q139"/>
      <c r="R139"/>
      <c r="S139"/>
    </row>
    <row r="140" spans="1:19" x14ac:dyDescent="0.25">
      <c r="A140"/>
      <c r="B140"/>
      <c r="C140"/>
      <c r="D140"/>
      <c r="E140"/>
      <c r="F140"/>
      <c r="G140"/>
      <c r="H140"/>
      <c r="J140"/>
      <c r="K140"/>
      <c r="L140"/>
      <c r="M140"/>
      <c r="N140"/>
      <c r="O140"/>
      <c r="P140"/>
      <c r="Q140"/>
      <c r="R140"/>
      <c r="S140"/>
    </row>
    <row r="141" spans="1:19" x14ac:dyDescent="0.25">
      <c r="A141"/>
      <c r="B141"/>
      <c r="C141"/>
      <c r="D141"/>
      <c r="E141"/>
      <c r="F141"/>
      <c r="G141"/>
      <c r="H141"/>
      <c r="J141"/>
      <c r="K141"/>
      <c r="L141"/>
      <c r="M141"/>
      <c r="N141"/>
      <c r="O141"/>
      <c r="P141"/>
      <c r="Q141"/>
      <c r="R141"/>
      <c r="S141"/>
    </row>
    <row r="142" spans="1:19" x14ac:dyDescent="0.25">
      <c r="A142"/>
      <c r="B142"/>
      <c r="C142"/>
      <c r="D142"/>
      <c r="E142"/>
      <c r="F142"/>
      <c r="G142"/>
      <c r="H142"/>
      <c r="J142"/>
      <c r="K142"/>
      <c r="L142"/>
      <c r="M142"/>
      <c r="N142"/>
      <c r="O142"/>
      <c r="P142"/>
      <c r="Q142"/>
      <c r="R142"/>
      <c r="S142"/>
    </row>
    <row r="143" spans="1:19" x14ac:dyDescent="0.25">
      <c r="A143"/>
      <c r="B143"/>
      <c r="C143"/>
      <c r="D143"/>
      <c r="E143"/>
      <c r="F143"/>
      <c r="G143"/>
      <c r="H143"/>
      <c r="J143"/>
      <c r="K143"/>
      <c r="L143"/>
      <c r="M143"/>
      <c r="N143"/>
      <c r="O143"/>
      <c r="P143"/>
      <c r="Q143"/>
      <c r="R143"/>
      <c r="S143"/>
    </row>
    <row r="144" spans="1:19" x14ac:dyDescent="0.25">
      <c r="A144"/>
      <c r="B144"/>
      <c r="C144"/>
      <c r="D144"/>
      <c r="E144"/>
      <c r="F144"/>
      <c r="G144"/>
      <c r="H144"/>
      <c r="J144"/>
      <c r="K144"/>
      <c r="L144"/>
      <c r="M144"/>
      <c r="N144"/>
      <c r="O144"/>
      <c r="P144"/>
      <c r="Q144"/>
      <c r="R144"/>
      <c r="S144"/>
    </row>
    <row r="145" spans="1:19" x14ac:dyDescent="0.25">
      <c r="A145"/>
      <c r="B145"/>
      <c r="C145"/>
      <c r="D145"/>
      <c r="E145"/>
      <c r="F145"/>
      <c r="G145"/>
      <c r="H145"/>
      <c r="J145"/>
      <c r="K145"/>
      <c r="L145"/>
      <c r="M145"/>
      <c r="N145"/>
      <c r="O145"/>
      <c r="P145"/>
      <c r="Q145"/>
      <c r="R145"/>
      <c r="S145"/>
    </row>
    <row r="146" spans="1:19" x14ac:dyDescent="0.25">
      <c r="A146"/>
      <c r="B146"/>
      <c r="C146"/>
      <c r="D146"/>
      <c r="E146"/>
      <c r="F146"/>
      <c r="G146"/>
      <c r="H146"/>
      <c r="J146"/>
      <c r="K146"/>
      <c r="L146"/>
      <c r="M146"/>
      <c r="N146"/>
      <c r="O146"/>
      <c r="P146"/>
      <c r="Q146"/>
      <c r="R146"/>
      <c r="S146"/>
    </row>
    <row r="147" spans="1:19" x14ac:dyDescent="0.25">
      <c r="A147"/>
      <c r="B147"/>
      <c r="C147"/>
      <c r="D147"/>
      <c r="E147"/>
      <c r="F147"/>
      <c r="G147"/>
      <c r="H147"/>
      <c r="J147"/>
      <c r="K147"/>
      <c r="L147"/>
      <c r="M147"/>
      <c r="N147"/>
      <c r="O147"/>
      <c r="P147"/>
      <c r="Q147"/>
      <c r="R147"/>
      <c r="S147"/>
    </row>
    <row r="148" spans="1:19" x14ac:dyDescent="0.25">
      <c r="A148"/>
      <c r="B148"/>
      <c r="C148"/>
      <c r="D148"/>
      <c r="E148"/>
      <c r="F148"/>
      <c r="G148"/>
      <c r="H148"/>
      <c r="J148"/>
      <c r="K148"/>
      <c r="L148"/>
      <c r="M148"/>
      <c r="N148"/>
      <c r="O148"/>
      <c r="P148"/>
      <c r="Q148"/>
      <c r="R148"/>
      <c r="S148"/>
    </row>
    <row r="149" spans="1:19" x14ac:dyDescent="0.25">
      <c r="A149"/>
      <c r="B149"/>
      <c r="C149"/>
      <c r="D149"/>
      <c r="E149"/>
      <c r="F149"/>
      <c r="G149"/>
      <c r="H149"/>
      <c r="J149"/>
      <c r="K149"/>
      <c r="L149"/>
      <c r="M149"/>
      <c r="N149"/>
      <c r="O149"/>
      <c r="P149"/>
      <c r="Q149"/>
      <c r="R149"/>
      <c r="S149"/>
    </row>
    <row r="150" spans="1:19" x14ac:dyDescent="0.25">
      <c r="A150"/>
      <c r="B150"/>
      <c r="C150"/>
      <c r="D150"/>
      <c r="E150"/>
      <c r="F150"/>
      <c r="G150"/>
      <c r="H150"/>
      <c r="J150"/>
      <c r="K150"/>
      <c r="L150"/>
      <c r="M150"/>
      <c r="N150"/>
      <c r="O150"/>
      <c r="P150"/>
      <c r="Q150"/>
      <c r="R150"/>
      <c r="S150"/>
    </row>
    <row r="151" spans="1:19" x14ac:dyDescent="0.25">
      <c r="A151"/>
      <c r="B151"/>
      <c r="C151"/>
      <c r="D151"/>
      <c r="E151"/>
      <c r="F151"/>
      <c r="G151"/>
      <c r="H151"/>
      <c r="J151"/>
      <c r="K151"/>
      <c r="L151"/>
      <c r="M151"/>
      <c r="N151"/>
      <c r="O151"/>
      <c r="P151"/>
      <c r="Q151"/>
      <c r="R151"/>
      <c r="S151"/>
    </row>
    <row r="152" spans="1:19" x14ac:dyDescent="0.25">
      <c r="A152"/>
      <c r="B152"/>
      <c r="C152"/>
      <c r="D152"/>
      <c r="E152"/>
      <c r="F152"/>
      <c r="G152"/>
      <c r="H152"/>
      <c r="J152"/>
      <c r="K152"/>
      <c r="L152"/>
      <c r="M152"/>
      <c r="N152"/>
      <c r="O152"/>
      <c r="P152"/>
      <c r="Q152"/>
      <c r="R152"/>
      <c r="S152"/>
    </row>
    <row r="153" spans="1:19" x14ac:dyDescent="0.25">
      <c r="A153"/>
      <c r="B153"/>
      <c r="C153"/>
      <c r="D153"/>
      <c r="E153"/>
      <c r="F153"/>
      <c r="G153"/>
      <c r="H153"/>
      <c r="J153"/>
      <c r="K153"/>
      <c r="L153"/>
      <c r="M153"/>
      <c r="N153"/>
      <c r="O153"/>
      <c r="P153"/>
      <c r="Q153"/>
      <c r="R153"/>
      <c r="S153"/>
    </row>
    <row r="154" spans="1:19" x14ac:dyDescent="0.25">
      <c r="A154"/>
      <c r="B154"/>
      <c r="C154"/>
      <c r="D154"/>
      <c r="E154"/>
      <c r="F154"/>
      <c r="G154"/>
      <c r="H154"/>
      <c r="J154"/>
      <c r="K154"/>
      <c r="L154"/>
      <c r="M154"/>
      <c r="N154"/>
      <c r="O154"/>
      <c r="P154"/>
      <c r="Q154"/>
      <c r="R154"/>
      <c r="S154"/>
    </row>
    <row r="155" spans="1:19" x14ac:dyDescent="0.25">
      <c r="A155"/>
      <c r="B155"/>
      <c r="C155"/>
      <c r="D155"/>
      <c r="E155"/>
      <c r="F155"/>
      <c r="G155"/>
      <c r="H155"/>
      <c r="J155"/>
      <c r="K155"/>
      <c r="L155"/>
      <c r="M155"/>
      <c r="N155"/>
      <c r="O155"/>
      <c r="P155"/>
      <c r="Q155"/>
      <c r="R155"/>
      <c r="S155"/>
    </row>
    <row r="156" spans="1:19" x14ac:dyDescent="0.25">
      <c r="A156"/>
      <c r="B156"/>
      <c r="C156"/>
      <c r="D156"/>
      <c r="E156"/>
      <c r="F156"/>
      <c r="G156"/>
      <c r="H156"/>
      <c r="J156"/>
      <c r="K156"/>
      <c r="L156"/>
      <c r="M156"/>
      <c r="N156"/>
      <c r="O156"/>
      <c r="P156"/>
      <c r="Q156"/>
      <c r="R156"/>
      <c r="S156"/>
    </row>
    <row r="157" spans="1:19" x14ac:dyDescent="0.25">
      <c r="A157"/>
      <c r="B157"/>
      <c r="C157"/>
      <c r="D157"/>
      <c r="E157"/>
      <c r="F157"/>
      <c r="G157"/>
      <c r="H157"/>
      <c r="J157"/>
      <c r="K157"/>
      <c r="L157"/>
      <c r="M157"/>
      <c r="N157"/>
      <c r="O157"/>
      <c r="P157"/>
      <c r="Q157"/>
      <c r="R157"/>
      <c r="S157"/>
    </row>
    <row r="158" spans="1:19" x14ac:dyDescent="0.25">
      <c r="A158"/>
      <c r="B158"/>
      <c r="C158"/>
      <c r="D158"/>
      <c r="E158"/>
      <c r="F158"/>
      <c r="G158"/>
      <c r="H158"/>
      <c r="J158"/>
      <c r="K158"/>
      <c r="L158"/>
      <c r="M158"/>
      <c r="N158"/>
      <c r="O158"/>
      <c r="P158"/>
      <c r="Q158"/>
      <c r="R158"/>
      <c r="S158"/>
    </row>
    <row r="159" spans="1:19" x14ac:dyDescent="0.25">
      <c r="A159"/>
      <c r="B159"/>
      <c r="C159"/>
      <c r="D159"/>
      <c r="E159"/>
      <c r="F159"/>
      <c r="G159"/>
      <c r="H159"/>
      <c r="J159"/>
      <c r="K159"/>
      <c r="L159"/>
      <c r="M159"/>
      <c r="N159"/>
      <c r="O159"/>
      <c r="P159"/>
      <c r="Q159"/>
      <c r="R159"/>
      <c r="S159"/>
    </row>
    <row r="160" spans="1:19" x14ac:dyDescent="0.25">
      <c r="A160"/>
      <c r="B160"/>
      <c r="C160"/>
      <c r="D160"/>
      <c r="E160"/>
      <c r="F160"/>
      <c r="G160"/>
      <c r="H160"/>
      <c r="J160"/>
      <c r="K160"/>
      <c r="L160"/>
      <c r="M160"/>
      <c r="N160"/>
      <c r="O160"/>
      <c r="P160"/>
      <c r="Q160"/>
      <c r="R160"/>
      <c r="S160"/>
    </row>
    <row r="161" spans="1:19" x14ac:dyDescent="0.25">
      <c r="A161"/>
      <c r="B161"/>
      <c r="C161"/>
      <c r="D161"/>
      <c r="E161"/>
      <c r="F161"/>
      <c r="G161"/>
      <c r="H161"/>
      <c r="J161"/>
      <c r="K161"/>
      <c r="L161"/>
      <c r="M161"/>
      <c r="N161"/>
      <c r="O161"/>
      <c r="P161"/>
      <c r="Q161"/>
      <c r="R161"/>
      <c r="S161"/>
    </row>
    <row r="162" spans="1:19" x14ac:dyDescent="0.25">
      <c r="A162"/>
      <c r="B162"/>
      <c r="C162"/>
      <c r="D162"/>
      <c r="E162"/>
      <c r="F162"/>
      <c r="G162"/>
      <c r="H162"/>
      <c r="J162"/>
      <c r="K162"/>
      <c r="L162"/>
      <c r="M162"/>
      <c r="N162"/>
      <c r="O162"/>
      <c r="P162"/>
      <c r="Q162"/>
      <c r="R162"/>
      <c r="S162"/>
    </row>
    <row r="163" spans="1:19" x14ac:dyDescent="0.25">
      <c r="A163"/>
      <c r="B163"/>
      <c r="C163"/>
      <c r="D163"/>
      <c r="E163"/>
      <c r="F163"/>
      <c r="G163"/>
      <c r="H163"/>
      <c r="J163"/>
      <c r="K163"/>
      <c r="L163"/>
      <c r="M163"/>
      <c r="N163"/>
      <c r="O163"/>
      <c r="P163"/>
      <c r="Q163"/>
      <c r="R163"/>
      <c r="S163"/>
    </row>
    <row r="164" spans="1:19" x14ac:dyDescent="0.25">
      <c r="A164"/>
      <c r="B164"/>
      <c r="C164"/>
      <c r="D164"/>
      <c r="E164"/>
      <c r="F164"/>
      <c r="G164"/>
      <c r="H164"/>
      <c r="J164"/>
      <c r="K164"/>
      <c r="L164"/>
      <c r="M164"/>
      <c r="N164"/>
      <c r="O164"/>
      <c r="P164"/>
      <c r="Q164"/>
      <c r="R164"/>
      <c r="S164"/>
    </row>
    <row r="165" spans="1:19" x14ac:dyDescent="0.25">
      <c r="A165"/>
      <c r="B165"/>
      <c r="C165"/>
      <c r="D165"/>
      <c r="E165"/>
      <c r="F165"/>
      <c r="G165"/>
      <c r="H165"/>
      <c r="J165"/>
      <c r="K165"/>
      <c r="L165"/>
      <c r="M165"/>
      <c r="N165"/>
      <c r="O165"/>
      <c r="P165"/>
      <c r="Q165"/>
      <c r="R165"/>
      <c r="S165"/>
    </row>
    <row r="166" spans="1:19" x14ac:dyDescent="0.25">
      <c r="A166"/>
      <c r="B166"/>
      <c r="C166"/>
      <c r="D166"/>
      <c r="E166"/>
      <c r="F166"/>
      <c r="G166"/>
      <c r="H166"/>
      <c r="J166"/>
      <c r="K166"/>
      <c r="L166"/>
      <c r="M166"/>
      <c r="N166"/>
      <c r="O166"/>
      <c r="P166"/>
      <c r="Q166"/>
      <c r="R166"/>
      <c r="S166"/>
    </row>
    <row r="167" spans="1:19" x14ac:dyDescent="0.25">
      <c r="A167"/>
      <c r="B167"/>
      <c r="C167"/>
      <c r="D167"/>
      <c r="E167"/>
      <c r="F167"/>
      <c r="G167"/>
      <c r="H167"/>
      <c r="J167"/>
      <c r="K167"/>
      <c r="L167"/>
      <c r="M167"/>
      <c r="N167"/>
      <c r="O167"/>
      <c r="P167"/>
      <c r="Q167"/>
      <c r="R167"/>
      <c r="S167"/>
    </row>
    <row r="168" spans="1:19" x14ac:dyDescent="0.25">
      <c r="A168"/>
      <c r="B168"/>
      <c r="C168"/>
      <c r="D168"/>
      <c r="E168"/>
      <c r="F168"/>
      <c r="G168"/>
      <c r="H168"/>
      <c r="J168"/>
      <c r="K168"/>
      <c r="L168"/>
      <c r="M168"/>
      <c r="N168"/>
      <c r="O168"/>
      <c r="P168"/>
      <c r="Q168"/>
      <c r="R168"/>
      <c r="S168"/>
    </row>
    <row r="169" spans="1:19" x14ac:dyDescent="0.25">
      <c r="A169"/>
      <c r="B169"/>
      <c r="C169"/>
      <c r="D169"/>
      <c r="E169"/>
      <c r="F169"/>
      <c r="G169"/>
      <c r="H169"/>
      <c r="J169"/>
      <c r="K169"/>
      <c r="L169"/>
      <c r="M169"/>
      <c r="N169"/>
      <c r="O169"/>
      <c r="P169"/>
      <c r="Q169"/>
      <c r="R169"/>
      <c r="S169"/>
    </row>
    <row r="170" spans="1:19" x14ac:dyDescent="0.25">
      <c r="A170"/>
      <c r="B170"/>
      <c r="C170"/>
      <c r="D170"/>
      <c r="E170"/>
      <c r="F170"/>
      <c r="G170"/>
      <c r="H170"/>
      <c r="J170"/>
      <c r="K170"/>
      <c r="L170"/>
      <c r="M170"/>
      <c r="N170"/>
      <c r="O170"/>
      <c r="P170"/>
      <c r="Q170"/>
      <c r="R170"/>
      <c r="S170"/>
    </row>
    <row r="171" spans="1:19" x14ac:dyDescent="0.25">
      <c r="A171"/>
      <c r="B171"/>
      <c r="C171"/>
      <c r="D171"/>
      <c r="E171"/>
      <c r="F171"/>
      <c r="G171"/>
      <c r="H171"/>
      <c r="J171"/>
      <c r="K171"/>
      <c r="L171"/>
      <c r="M171"/>
      <c r="N171"/>
      <c r="O171"/>
      <c r="P171"/>
      <c r="Q171"/>
      <c r="R171"/>
      <c r="S171"/>
    </row>
    <row r="172" spans="1:19" x14ac:dyDescent="0.25">
      <c r="A172"/>
      <c r="B172"/>
      <c r="C172"/>
      <c r="D172"/>
      <c r="E172"/>
      <c r="F172"/>
      <c r="G172"/>
      <c r="H172"/>
      <c r="J172"/>
      <c r="K172"/>
      <c r="L172"/>
      <c r="M172"/>
      <c r="N172"/>
      <c r="O172"/>
      <c r="P172"/>
      <c r="Q172"/>
      <c r="R172"/>
      <c r="S172"/>
    </row>
    <row r="173" spans="1:19" x14ac:dyDescent="0.25">
      <c r="A173"/>
      <c r="B173"/>
      <c r="C173"/>
      <c r="D173"/>
      <c r="E173"/>
      <c r="F173"/>
      <c r="G173"/>
      <c r="H173"/>
      <c r="J173"/>
      <c r="K173"/>
      <c r="L173"/>
      <c r="M173"/>
      <c r="N173"/>
      <c r="O173"/>
      <c r="P173"/>
      <c r="Q173"/>
      <c r="R173"/>
      <c r="S173"/>
    </row>
    <row r="174" spans="1:19" x14ac:dyDescent="0.25">
      <c r="A174"/>
      <c r="B174"/>
      <c r="C174"/>
      <c r="D174"/>
      <c r="E174"/>
      <c r="F174"/>
      <c r="G174"/>
      <c r="H174"/>
      <c r="J174"/>
      <c r="K174"/>
      <c r="L174"/>
      <c r="M174"/>
      <c r="N174"/>
      <c r="O174"/>
      <c r="P174"/>
      <c r="Q174"/>
      <c r="R174"/>
      <c r="S174"/>
    </row>
    <row r="175" spans="1:19" x14ac:dyDescent="0.25">
      <c r="A175"/>
      <c r="B175"/>
      <c r="C175"/>
      <c r="D175"/>
      <c r="E175"/>
      <c r="F175"/>
      <c r="G175"/>
      <c r="H175"/>
      <c r="J175"/>
      <c r="K175"/>
      <c r="L175"/>
      <c r="M175"/>
      <c r="N175"/>
      <c r="O175"/>
      <c r="P175"/>
      <c r="Q175"/>
      <c r="R175"/>
      <c r="S175"/>
    </row>
    <row r="176" spans="1:19" x14ac:dyDescent="0.25">
      <c r="A176"/>
      <c r="B176"/>
      <c r="C176"/>
      <c r="D176"/>
      <c r="E176"/>
      <c r="F176"/>
      <c r="G176"/>
      <c r="H176"/>
      <c r="J176"/>
      <c r="K176"/>
      <c r="L176"/>
      <c r="M176"/>
      <c r="N176"/>
      <c r="O176"/>
      <c r="P176"/>
      <c r="Q176"/>
      <c r="R176"/>
      <c r="S176"/>
    </row>
    <row r="177" spans="1:19" x14ac:dyDescent="0.25">
      <c r="A177"/>
      <c r="B177"/>
      <c r="C177"/>
      <c r="D177"/>
      <c r="E177"/>
      <c r="F177"/>
      <c r="G177"/>
      <c r="H177"/>
      <c r="J177"/>
      <c r="K177"/>
      <c r="L177"/>
      <c r="M177"/>
      <c r="N177"/>
      <c r="O177"/>
      <c r="P177"/>
      <c r="Q177"/>
      <c r="R177"/>
      <c r="S177"/>
    </row>
    <row r="178" spans="1:19" x14ac:dyDescent="0.25">
      <c r="A178"/>
      <c r="B178"/>
      <c r="C178"/>
      <c r="D178"/>
      <c r="E178"/>
      <c r="F178"/>
      <c r="G178"/>
      <c r="H178"/>
      <c r="J178"/>
      <c r="K178"/>
      <c r="L178"/>
      <c r="M178"/>
      <c r="N178"/>
      <c r="O178"/>
      <c r="P178"/>
      <c r="Q178"/>
      <c r="R178"/>
      <c r="S178"/>
    </row>
    <row r="179" spans="1:19" x14ac:dyDescent="0.25">
      <c r="A179"/>
      <c r="B179"/>
      <c r="C179"/>
      <c r="D179"/>
      <c r="E179"/>
      <c r="F179"/>
      <c r="G179"/>
      <c r="H179"/>
      <c r="J179"/>
      <c r="K179"/>
      <c r="L179"/>
      <c r="M179"/>
      <c r="N179"/>
      <c r="O179"/>
      <c r="P179"/>
      <c r="Q179"/>
      <c r="R179"/>
      <c r="S179"/>
    </row>
    <row r="180" spans="1:19" x14ac:dyDescent="0.25">
      <c r="A180"/>
      <c r="B180"/>
      <c r="C180"/>
      <c r="D180"/>
      <c r="E180"/>
      <c r="F180"/>
      <c r="G180"/>
      <c r="H180"/>
      <c r="J180"/>
      <c r="K180"/>
      <c r="L180"/>
      <c r="M180"/>
      <c r="N180"/>
      <c r="O180"/>
      <c r="P180"/>
      <c r="Q180"/>
      <c r="R180"/>
      <c r="S180"/>
    </row>
    <row r="181" spans="1:19" x14ac:dyDescent="0.25">
      <c r="A181"/>
      <c r="B181"/>
      <c r="C181"/>
      <c r="D181"/>
      <c r="E181"/>
      <c r="F181"/>
      <c r="G181"/>
      <c r="H181"/>
      <c r="J181"/>
      <c r="K181"/>
      <c r="L181"/>
      <c r="M181"/>
      <c r="N181"/>
      <c r="O181"/>
      <c r="P181"/>
      <c r="Q181"/>
      <c r="R181"/>
      <c r="S181"/>
    </row>
    <row r="182" spans="1:19" x14ac:dyDescent="0.25">
      <c r="A182"/>
      <c r="B182"/>
      <c r="C182"/>
      <c r="D182"/>
      <c r="E182"/>
      <c r="F182"/>
      <c r="G182"/>
      <c r="H182"/>
      <c r="J182"/>
      <c r="K182"/>
      <c r="L182"/>
      <c r="M182"/>
      <c r="N182"/>
      <c r="O182"/>
      <c r="P182"/>
      <c r="Q182"/>
      <c r="R182"/>
      <c r="S182"/>
    </row>
    <row r="183" spans="1:19" x14ac:dyDescent="0.25">
      <c r="A183"/>
      <c r="B183"/>
      <c r="C183"/>
      <c r="D183"/>
      <c r="E183"/>
      <c r="F183"/>
      <c r="G183"/>
      <c r="H183"/>
      <c r="J183"/>
      <c r="K183"/>
      <c r="L183"/>
      <c r="M183"/>
      <c r="N183"/>
      <c r="O183"/>
      <c r="P183"/>
      <c r="Q183"/>
      <c r="R183"/>
      <c r="S183"/>
    </row>
    <row r="184" spans="1:19" x14ac:dyDescent="0.25">
      <c r="A184"/>
      <c r="B184"/>
      <c r="C184"/>
      <c r="D184"/>
      <c r="E184"/>
      <c r="F184"/>
      <c r="G184"/>
      <c r="H184"/>
      <c r="J184"/>
      <c r="K184"/>
      <c r="L184"/>
      <c r="M184"/>
      <c r="N184"/>
      <c r="O184"/>
      <c r="P184"/>
      <c r="Q184"/>
      <c r="R184"/>
      <c r="S184"/>
    </row>
    <row r="185" spans="1:19" x14ac:dyDescent="0.25">
      <c r="A185"/>
      <c r="B185"/>
      <c r="C185"/>
      <c r="D185"/>
      <c r="E185"/>
      <c r="F185"/>
      <c r="G185"/>
      <c r="H185"/>
      <c r="J185"/>
      <c r="K185"/>
      <c r="L185"/>
      <c r="M185"/>
      <c r="N185"/>
      <c r="O185"/>
      <c r="P185"/>
      <c r="Q185"/>
      <c r="R185"/>
      <c r="S185"/>
    </row>
    <row r="186" spans="1:19" x14ac:dyDescent="0.25">
      <c r="A186"/>
      <c r="B186"/>
      <c r="C186"/>
      <c r="D186"/>
      <c r="E186"/>
      <c r="F186"/>
      <c r="G186"/>
      <c r="H186"/>
      <c r="J186"/>
      <c r="K186"/>
      <c r="L186"/>
      <c r="M186"/>
      <c r="N186"/>
      <c r="O186"/>
      <c r="P186"/>
      <c r="Q186"/>
      <c r="R186"/>
      <c r="S186"/>
    </row>
    <row r="187" spans="1:19" x14ac:dyDescent="0.25">
      <c r="A187"/>
      <c r="B187"/>
      <c r="C187"/>
      <c r="D187"/>
      <c r="E187"/>
      <c r="F187"/>
      <c r="G187"/>
      <c r="H187"/>
      <c r="J187"/>
      <c r="K187"/>
      <c r="L187"/>
      <c r="M187"/>
      <c r="N187"/>
      <c r="O187"/>
      <c r="P187"/>
      <c r="Q187"/>
      <c r="R187"/>
      <c r="S187"/>
    </row>
    <row r="188" spans="1:19" x14ac:dyDescent="0.25">
      <c r="A188"/>
      <c r="B188"/>
      <c r="C188"/>
      <c r="D188"/>
      <c r="E188"/>
      <c r="F188"/>
      <c r="G188"/>
      <c r="H188"/>
      <c r="J188"/>
      <c r="K188"/>
      <c r="L188"/>
      <c r="M188"/>
      <c r="N188"/>
      <c r="O188"/>
      <c r="P188"/>
      <c r="Q188"/>
      <c r="R188"/>
      <c r="S188"/>
    </row>
    <row r="189" spans="1:19" x14ac:dyDescent="0.25">
      <c r="A189"/>
      <c r="B189"/>
      <c r="C189"/>
      <c r="D189"/>
      <c r="E189"/>
      <c r="F189"/>
      <c r="G189"/>
      <c r="H189"/>
      <c r="J189"/>
      <c r="K189"/>
      <c r="L189"/>
      <c r="M189"/>
      <c r="N189"/>
      <c r="O189"/>
      <c r="P189"/>
      <c r="Q189"/>
      <c r="R189"/>
      <c r="S189"/>
    </row>
    <row r="190" spans="1:19" x14ac:dyDescent="0.25">
      <c r="A190"/>
      <c r="B190"/>
      <c r="C190"/>
      <c r="D190"/>
      <c r="E190"/>
      <c r="F190"/>
      <c r="G190"/>
      <c r="H190"/>
      <c r="J190"/>
      <c r="K190"/>
      <c r="L190"/>
      <c r="M190"/>
      <c r="N190"/>
      <c r="O190"/>
      <c r="P190"/>
      <c r="Q190"/>
      <c r="R190"/>
      <c r="S190"/>
    </row>
    <row r="191" spans="1:19" x14ac:dyDescent="0.25">
      <c r="A191"/>
      <c r="B191"/>
      <c r="C191"/>
      <c r="D191"/>
      <c r="E191"/>
      <c r="F191"/>
      <c r="G191"/>
      <c r="H191"/>
      <c r="J191"/>
      <c r="K191"/>
      <c r="L191"/>
      <c r="M191"/>
      <c r="N191"/>
      <c r="O191"/>
      <c r="P191"/>
      <c r="Q191"/>
      <c r="R191"/>
      <c r="S191"/>
    </row>
    <row r="192" spans="1:19" x14ac:dyDescent="0.25">
      <c r="A192"/>
      <c r="B192"/>
      <c r="C192"/>
      <c r="D192"/>
      <c r="E192"/>
      <c r="F192"/>
      <c r="G192"/>
      <c r="H192"/>
      <c r="J192"/>
      <c r="K192"/>
      <c r="L192"/>
      <c r="M192"/>
      <c r="N192"/>
      <c r="O192"/>
      <c r="P192"/>
      <c r="Q192"/>
      <c r="R192"/>
      <c r="S192"/>
    </row>
    <row r="193" spans="1:19" x14ac:dyDescent="0.25">
      <c r="A193"/>
      <c r="B193"/>
      <c r="C193"/>
      <c r="D193"/>
      <c r="E193"/>
      <c r="F193"/>
      <c r="G193"/>
      <c r="H193"/>
      <c r="J193"/>
      <c r="K193"/>
      <c r="L193"/>
      <c r="M193"/>
      <c r="N193"/>
      <c r="O193"/>
      <c r="P193"/>
      <c r="Q193"/>
      <c r="R193"/>
      <c r="S193"/>
    </row>
    <row r="194" spans="1:19" x14ac:dyDescent="0.25">
      <c r="A194"/>
      <c r="B194"/>
      <c r="C194"/>
      <c r="D194"/>
      <c r="E194"/>
      <c r="F194"/>
      <c r="G194"/>
      <c r="H194"/>
      <c r="J194"/>
      <c r="K194"/>
      <c r="L194"/>
      <c r="M194"/>
      <c r="N194"/>
      <c r="O194"/>
      <c r="P194"/>
      <c r="Q194"/>
      <c r="R194"/>
      <c r="S194"/>
    </row>
    <row r="195" spans="1:19" x14ac:dyDescent="0.25">
      <c r="A195"/>
      <c r="B195"/>
      <c r="C195"/>
      <c r="D195"/>
      <c r="E195"/>
      <c r="F195"/>
      <c r="G195"/>
      <c r="H195"/>
      <c r="J195"/>
      <c r="K195"/>
      <c r="L195"/>
      <c r="M195"/>
      <c r="N195"/>
      <c r="O195"/>
      <c r="P195"/>
      <c r="Q195"/>
      <c r="R195"/>
      <c r="S195"/>
    </row>
    <row r="196" spans="1:19" x14ac:dyDescent="0.25">
      <c r="A196"/>
      <c r="B196"/>
      <c r="C196"/>
      <c r="D196"/>
      <c r="E196"/>
      <c r="F196"/>
      <c r="G196"/>
      <c r="H196"/>
      <c r="J196"/>
      <c r="K196"/>
      <c r="L196"/>
      <c r="M196"/>
      <c r="N196"/>
      <c r="O196"/>
      <c r="P196"/>
      <c r="Q196"/>
      <c r="R196"/>
      <c r="S196"/>
    </row>
    <row r="197" spans="1:19" x14ac:dyDescent="0.25">
      <c r="A197"/>
      <c r="B197"/>
      <c r="C197"/>
      <c r="D197"/>
      <c r="E197"/>
      <c r="F197"/>
      <c r="G197"/>
      <c r="H197"/>
      <c r="J197"/>
      <c r="K197"/>
      <c r="L197"/>
      <c r="M197"/>
      <c r="N197"/>
      <c r="O197"/>
      <c r="P197"/>
      <c r="Q197"/>
      <c r="R197"/>
      <c r="S197"/>
    </row>
    <row r="198" spans="1:19" x14ac:dyDescent="0.25">
      <c r="A198"/>
      <c r="B198"/>
      <c r="C198"/>
      <c r="D198"/>
      <c r="E198"/>
      <c r="F198"/>
      <c r="G198"/>
      <c r="H198"/>
      <c r="J198"/>
      <c r="K198"/>
      <c r="L198"/>
      <c r="M198"/>
      <c r="N198"/>
      <c r="O198"/>
      <c r="P198"/>
      <c r="Q198"/>
      <c r="R198"/>
      <c r="S198"/>
    </row>
    <row r="199" spans="1:19" x14ac:dyDescent="0.25">
      <c r="A199"/>
      <c r="B199"/>
      <c r="C199"/>
      <c r="D199"/>
      <c r="E199"/>
      <c r="F199"/>
      <c r="G199"/>
      <c r="H199"/>
      <c r="J199"/>
      <c r="K199"/>
      <c r="L199"/>
      <c r="M199"/>
      <c r="N199"/>
      <c r="O199"/>
      <c r="P199"/>
      <c r="Q199"/>
      <c r="R199"/>
      <c r="S199"/>
    </row>
    <row r="200" spans="1:19" x14ac:dyDescent="0.25">
      <c r="A200"/>
      <c r="B200"/>
      <c r="C200"/>
      <c r="D200"/>
      <c r="E200"/>
      <c r="F200"/>
      <c r="G200"/>
      <c r="H200"/>
      <c r="J200"/>
      <c r="K200"/>
      <c r="L200"/>
      <c r="M200"/>
      <c r="N200"/>
      <c r="O200"/>
      <c r="P200"/>
      <c r="Q200"/>
      <c r="R200"/>
      <c r="S200"/>
    </row>
    <row r="201" spans="1:19" x14ac:dyDescent="0.25">
      <c r="A201"/>
      <c r="B201"/>
      <c r="C201"/>
      <c r="D201"/>
      <c r="E201"/>
      <c r="F201"/>
      <c r="G201"/>
      <c r="H201"/>
      <c r="J201"/>
      <c r="K201"/>
      <c r="L201"/>
      <c r="M201"/>
      <c r="N201"/>
      <c r="O201"/>
      <c r="P201"/>
      <c r="Q201"/>
      <c r="R201"/>
      <c r="S201"/>
    </row>
    <row r="202" spans="1:19" x14ac:dyDescent="0.25">
      <c r="A202"/>
      <c r="B202"/>
      <c r="C202"/>
      <c r="D202"/>
      <c r="E202"/>
      <c r="F202"/>
      <c r="G202"/>
      <c r="H202"/>
      <c r="J202"/>
      <c r="K202"/>
      <c r="L202"/>
      <c r="M202"/>
      <c r="N202"/>
      <c r="O202"/>
      <c r="P202"/>
      <c r="Q202"/>
      <c r="R202"/>
      <c r="S202"/>
    </row>
    <row r="203" spans="1:19" x14ac:dyDescent="0.25">
      <c r="A203"/>
      <c r="B203"/>
      <c r="C203"/>
      <c r="D203"/>
      <c r="E203"/>
      <c r="F203"/>
      <c r="G203"/>
      <c r="H203"/>
      <c r="J203"/>
      <c r="K203"/>
      <c r="L203"/>
      <c r="M203"/>
      <c r="N203"/>
      <c r="O203"/>
      <c r="P203"/>
      <c r="Q203"/>
      <c r="R203"/>
      <c r="S203"/>
    </row>
    <row r="204" spans="1:19" x14ac:dyDescent="0.25">
      <c r="A204"/>
      <c r="B204"/>
      <c r="C204"/>
      <c r="D204"/>
      <c r="E204"/>
      <c r="F204"/>
      <c r="G204"/>
      <c r="H204"/>
      <c r="J204"/>
      <c r="K204"/>
      <c r="L204"/>
      <c r="M204"/>
      <c r="N204"/>
      <c r="O204"/>
      <c r="P204"/>
      <c r="Q204"/>
      <c r="R204"/>
      <c r="S204"/>
    </row>
    <row r="205" spans="1:19" x14ac:dyDescent="0.25">
      <c r="A205"/>
      <c r="B205"/>
      <c r="C205"/>
      <c r="D205"/>
      <c r="E205"/>
      <c r="F205"/>
      <c r="G205"/>
      <c r="H205"/>
      <c r="J205"/>
      <c r="K205"/>
      <c r="L205"/>
      <c r="M205"/>
      <c r="N205"/>
      <c r="O205"/>
      <c r="P205"/>
      <c r="Q205"/>
      <c r="R205"/>
      <c r="S205"/>
    </row>
    <row r="206" spans="1:19" x14ac:dyDescent="0.25">
      <c r="A206"/>
      <c r="B206"/>
      <c r="C206"/>
      <c r="D206"/>
      <c r="E206"/>
      <c r="F206"/>
      <c r="G206"/>
      <c r="H206"/>
      <c r="J206"/>
      <c r="K206"/>
      <c r="L206"/>
      <c r="M206"/>
      <c r="N206"/>
      <c r="O206"/>
      <c r="P206"/>
      <c r="Q206"/>
      <c r="R206"/>
      <c r="S206"/>
    </row>
    <row r="207" spans="1:19" x14ac:dyDescent="0.25">
      <c r="A207"/>
      <c r="B207"/>
      <c r="C207"/>
      <c r="D207"/>
      <c r="E207"/>
      <c r="F207"/>
      <c r="G207"/>
      <c r="H207"/>
      <c r="J207"/>
      <c r="K207"/>
      <c r="L207"/>
      <c r="M207"/>
      <c r="N207"/>
      <c r="O207"/>
      <c r="P207"/>
      <c r="Q207"/>
      <c r="R207"/>
      <c r="S207"/>
    </row>
    <row r="208" spans="1:19" x14ac:dyDescent="0.25">
      <c r="A208"/>
      <c r="B208"/>
      <c r="C208"/>
      <c r="D208"/>
      <c r="E208"/>
      <c r="F208"/>
      <c r="G208"/>
      <c r="H208"/>
      <c r="J208"/>
      <c r="K208"/>
      <c r="L208"/>
      <c r="M208"/>
      <c r="N208"/>
      <c r="O208"/>
      <c r="P208"/>
      <c r="Q208"/>
      <c r="R208"/>
      <c r="S208"/>
    </row>
    <row r="209" spans="1:19" x14ac:dyDescent="0.25">
      <c r="A209"/>
      <c r="B209"/>
      <c r="C209"/>
      <c r="D209"/>
      <c r="E209"/>
      <c r="F209"/>
      <c r="G209"/>
      <c r="H209"/>
      <c r="J209"/>
      <c r="K209"/>
      <c r="L209"/>
      <c r="M209"/>
      <c r="N209"/>
      <c r="O209"/>
      <c r="P209"/>
      <c r="Q209"/>
      <c r="R209"/>
      <c r="S209"/>
    </row>
    <row r="210" spans="1:19" x14ac:dyDescent="0.25">
      <c r="A210"/>
      <c r="B210"/>
      <c r="C210"/>
      <c r="D210"/>
      <c r="E210"/>
      <c r="F210"/>
      <c r="G210"/>
      <c r="H210"/>
      <c r="J210"/>
      <c r="K210"/>
      <c r="L210"/>
      <c r="M210"/>
      <c r="N210"/>
      <c r="O210"/>
      <c r="P210"/>
      <c r="Q210"/>
      <c r="R210"/>
      <c r="S210"/>
    </row>
    <row r="211" spans="1:19" x14ac:dyDescent="0.25">
      <c r="A211"/>
      <c r="B211"/>
      <c r="C211"/>
      <c r="D211"/>
      <c r="E211"/>
      <c r="F211"/>
      <c r="G211"/>
      <c r="H211"/>
      <c r="J211"/>
      <c r="K211"/>
      <c r="L211"/>
      <c r="M211"/>
      <c r="N211"/>
      <c r="O211"/>
      <c r="P211"/>
      <c r="Q211"/>
      <c r="R211"/>
      <c r="S211"/>
    </row>
    <row r="212" spans="1:19" x14ac:dyDescent="0.25">
      <c r="A212"/>
      <c r="B212"/>
      <c r="C212"/>
      <c r="D212"/>
      <c r="E212"/>
      <c r="F212"/>
      <c r="G212"/>
      <c r="H212"/>
      <c r="J212"/>
      <c r="K212"/>
      <c r="L212"/>
      <c r="M212"/>
      <c r="N212"/>
      <c r="O212"/>
      <c r="P212"/>
      <c r="Q212"/>
      <c r="R212"/>
      <c r="S212"/>
    </row>
    <row r="213" spans="1:19" x14ac:dyDescent="0.25">
      <c r="A213"/>
      <c r="B213"/>
      <c r="C213"/>
      <c r="D213"/>
      <c r="E213"/>
      <c r="F213"/>
      <c r="G213"/>
      <c r="H213"/>
      <c r="J213"/>
      <c r="K213"/>
      <c r="L213"/>
      <c r="M213"/>
      <c r="N213"/>
      <c r="O213"/>
      <c r="P213"/>
      <c r="Q213"/>
      <c r="R213"/>
      <c r="S213"/>
    </row>
    <row r="214" spans="1:19" x14ac:dyDescent="0.25">
      <c r="A214"/>
      <c r="B214"/>
      <c r="C214"/>
      <c r="D214"/>
      <c r="E214"/>
      <c r="F214"/>
      <c r="G214"/>
      <c r="H214"/>
      <c r="J214"/>
      <c r="K214"/>
      <c r="L214"/>
      <c r="M214"/>
      <c r="N214"/>
      <c r="O214"/>
      <c r="P214"/>
      <c r="Q214"/>
      <c r="R214"/>
      <c r="S214"/>
    </row>
    <row r="215" spans="1:19" x14ac:dyDescent="0.25">
      <c r="A215"/>
      <c r="B215"/>
      <c r="C215"/>
      <c r="D215"/>
      <c r="E215"/>
      <c r="F215"/>
      <c r="G215"/>
      <c r="H215"/>
      <c r="J215"/>
      <c r="K215"/>
      <c r="L215"/>
      <c r="M215"/>
      <c r="N215"/>
      <c r="O215"/>
      <c r="P215"/>
      <c r="Q215"/>
      <c r="R215"/>
      <c r="S215"/>
    </row>
    <row r="216" spans="1:19" x14ac:dyDescent="0.25">
      <c r="A216"/>
      <c r="B216"/>
      <c r="C216"/>
      <c r="D216"/>
      <c r="E216"/>
      <c r="F216"/>
      <c r="G216"/>
      <c r="H216"/>
      <c r="J216"/>
      <c r="K216"/>
      <c r="L216"/>
      <c r="M216"/>
      <c r="N216"/>
      <c r="O216"/>
      <c r="P216"/>
      <c r="Q216"/>
      <c r="R216"/>
      <c r="S216"/>
    </row>
    <row r="217" spans="1:19" x14ac:dyDescent="0.25">
      <c r="A217"/>
      <c r="B217"/>
      <c r="C217"/>
      <c r="D217"/>
      <c r="E217"/>
      <c r="F217"/>
      <c r="G217"/>
      <c r="H217"/>
      <c r="J217"/>
      <c r="K217"/>
      <c r="L217"/>
      <c r="M217"/>
      <c r="N217"/>
      <c r="O217"/>
      <c r="P217"/>
      <c r="Q217"/>
      <c r="R217"/>
      <c r="S217"/>
    </row>
    <row r="218" spans="1:19" x14ac:dyDescent="0.25">
      <c r="A218"/>
      <c r="B218"/>
      <c r="C218"/>
      <c r="D218"/>
      <c r="E218"/>
      <c r="F218"/>
      <c r="G218"/>
      <c r="H218"/>
      <c r="J218"/>
      <c r="K218"/>
      <c r="L218"/>
      <c r="M218"/>
      <c r="N218"/>
      <c r="O218"/>
      <c r="P218"/>
      <c r="Q218"/>
      <c r="R218"/>
      <c r="S218"/>
    </row>
    <row r="219" spans="1:19" x14ac:dyDescent="0.25">
      <c r="A219"/>
      <c r="B219"/>
      <c r="C219"/>
      <c r="D219"/>
      <c r="E219"/>
      <c r="F219"/>
      <c r="G219"/>
      <c r="H219"/>
      <c r="J219"/>
      <c r="K219"/>
      <c r="L219"/>
      <c r="M219"/>
      <c r="N219"/>
      <c r="O219"/>
      <c r="P219"/>
      <c r="Q219"/>
      <c r="R219"/>
      <c r="S219"/>
    </row>
    <row r="220" spans="1:19" x14ac:dyDescent="0.25">
      <c r="A220"/>
      <c r="B220"/>
      <c r="C220"/>
      <c r="D220"/>
      <c r="E220"/>
      <c r="F220"/>
      <c r="G220"/>
      <c r="H220"/>
      <c r="J220"/>
      <c r="K220"/>
      <c r="L220"/>
      <c r="M220"/>
      <c r="N220"/>
      <c r="O220"/>
      <c r="P220"/>
      <c r="Q220"/>
      <c r="R220"/>
      <c r="S220"/>
    </row>
    <row r="221" spans="1:19" x14ac:dyDescent="0.25">
      <c r="A221"/>
      <c r="B221"/>
      <c r="C221"/>
      <c r="D221"/>
      <c r="E221"/>
      <c r="F221"/>
      <c r="G221"/>
      <c r="H221"/>
      <c r="J221"/>
      <c r="K221"/>
      <c r="L221"/>
      <c r="M221"/>
      <c r="N221"/>
      <c r="O221"/>
      <c r="P221"/>
      <c r="Q221"/>
      <c r="R221"/>
      <c r="S221"/>
    </row>
    <row r="222" spans="1:19" x14ac:dyDescent="0.25">
      <c r="A222"/>
      <c r="B222"/>
      <c r="C222"/>
      <c r="D222"/>
      <c r="E222"/>
      <c r="F222"/>
      <c r="G222"/>
      <c r="H222"/>
      <c r="J222"/>
      <c r="K222"/>
      <c r="L222"/>
      <c r="M222"/>
      <c r="N222"/>
      <c r="O222"/>
      <c r="P222"/>
      <c r="Q222"/>
      <c r="R222"/>
      <c r="S222"/>
    </row>
    <row r="223" spans="1:19" x14ac:dyDescent="0.25">
      <c r="A223"/>
      <c r="B223"/>
      <c r="C223"/>
      <c r="D223"/>
      <c r="E223"/>
      <c r="F223"/>
      <c r="G223"/>
      <c r="H223"/>
      <c r="J223"/>
      <c r="K223"/>
      <c r="L223"/>
      <c r="M223"/>
      <c r="N223"/>
      <c r="O223"/>
      <c r="P223"/>
      <c r="Q223"/>
      <c r="R223"/>
      <c r="S223"/>
    </row>
    <row r="224" spans="1:19" x14ac:dyDescent="0.25">
      <c r="A224"/>
      <c r="B224"/>
      <c r="C224"/>
      <c r="D224"/>
      <c r="E224"/>
      <c r="F224"/>
      <c r="G224"/>
      <c r="H224"/>
      <c r="J224"/>
      <c r="K224"/>
      <c r="L224"/>
      <c r="M224"/>
      <c r="N224"/>
      <c r="O224"/>
      <c r="P224"/>
      <c r="Q224"/>
      <c r="R224"/>
      <c r="S224"/>
    </row>
    <row r="225" spans="1:19" x14ac:dyDescent="0.25">
      <c r="A225"/>
      <c r="B225"/>
      <c r="C225"/>
      <c r="D225"/>
      <c r="E225"/>
      <c r="F225"/>
      <c r="G225"/>
      <c r="H225"/>
      <c r="J225"/>
      <c r="K225"/>
      <c r="L225"/>
      <c r="M225"/>
      <c r="N225"/>
      <c r="O225"/>
      <c r="P225"/>
      <c r="Q225"/>
      <c r="R225"/>
      <c r="S225"/>
    </row>
    <row r="226" spans="1:19" x14ac:dyDescent="0.25">
      <c r="A226"/>
      <c r="B226"/>
      <c r="C226"/>
      <c r="D226"/>
      <c r="E226"/>
      <c r="F226"/>
      <c r="G226"/>
      <c r="H226"/>
      <c r="J226"/>
      <c r="K226"/>
      <c r="L226"/>
      <c r="M226"/>
      <c r="N226"/>
      <c r="O226"/>
      <c r="P226"/>
      <c r="Q226"/>
      <c r="R226"/>
      <c r="S226"/>
    </row>
    <row r="227" spans="1:19" x14ac:dyDescent="0.25">
      <c r="A227"/>
      <c r="B227"/>
      <c r="C227"/>
      <c r="D227"/>
      <c r="E227"/>
      <c r="F227"/>
      <c r="G227"/>
      <c r="H227"/>
      <c r="J227"/>
      <c r="K227"/>
      <c r="L227"/>
      <c r="M227"/>
      <c r="N227"/>
      <c r="O227"/>
      <c r="P227"/>
      <c r="Q227"/>
      <c r="R227"/>
      <c r="S227"/>
    </row>
    <row r="228" spans="1:19" x14ac:dyDescent="0.25">
      <c r="A228"/>
      <c r="B228"/>
      <c r="C228"/>
      <c r="D228"/>
      <c r="E228"/>
      <c r="F228"/>
      <c r="G228"/>
      <c r="H228"/>
      <c r="J228"/>
      <c r="K228"/>
      <c r="L228"/>
      <c r="M228"/>
      <c r="N228"/>
      <c r="O228"/>
      <c r="P228"/>
      <c r="Q228"/>
      <c r="R228"/>
      <c r="S228"/>
    </row>
    <row r="229" spans="1:19" x14ac:dyDescent="0.25">
      <c r="A229"/>
      <c r="B229"/>
      <c r="C229"/>
      <c r="D229"/>
      <c r="E229"/>
      <c r="F229"/>
      <c r="G229"/>
      <c r="H229"/>
      <c r="J229"/>
      <c r="K229"/>
      <c r="L229"/>
      <c r="M229"/>
      <c r="N229"/>
      <c r="O229"/>
      <c r="P229"/>
      <c r="Q229"/>
      <c r="R229"/>
      <c r="S229"/>
    </row>
    <row r="230" spans="1:19" x14ac:dyDescent="0.25">
      <c r="A230"/>
      <c r="B230"/>
      <c r="C230"/>
      <c r="D230"/>
      <c r="E230"/>
      <c r="F230"/>
      <c r="G230"/>
      <c r="H230"/>
      <c r="J230"/>
      <c r="K230"/>
      <c r="L230"/>
      <c r="M230"/>
      <c r="N230"/>
      <c r="O230"/>
      <c r="P230"/>
      <c r="Q230"/>
      <c r="R230"/>
      <c r="S230"/>
    </row>
    <row r="231" spans="1:19" x14ac:dyDescent="0.25">
      <c r="A231"/>
      <c r="B231"/>
      <c r="C231"/>
      <c r="D231"/>
      <c r="E231"/>
      <c r="F231"/>
      <c r="G231"/>
      <c r="H231"/>
      <c r="J231"/>
      <c r="K231"/>
      <c r="L231"/>
      <c r="M231"/>
      <c r="N231"/>
      <c r="O231"/>
      <c r="P231"/>
      <c r="Q231"/>
      <c r="R231"/>
      <c r="S231"/>
    </row>
    <row r="232" spans="1:19" x14ac:dyDescent="0.25">
      <c r="A232"/>
      <c r="B232"/>
      <c r="C232"/>
      <c r="D232"/>
      <c r="E232"/>
      <c r="F232"/>
      <c r="G232"/>
      <c r="H232"/>
      <c r="J232"/>
      <c r="K232"/>
      <c r="L232"/>
      <c r="M232"/>
      <c r="N232"/>
      <c r="O232"/>
      <c r="P232"/>
      <c r="Q232"/>
      <c r="R232"/>
      <c r="S232"/>
    </row>
    <row r="233" spans="1:19" x14ac:dyDescent="0.25">
      <c r="A233"/>
      <c r="B233"/>
      <c r="C233"/>
      <c r="D233"/>
      <c r="E233"/>
      <c r="F233"/>
      <c r="G233"/>
      <c r="H233"/>
      <c r="J233"/>
      <c r="K233"/>
      <c r="L233"/>
      <c r="M233"/>
      <c r="N233"/>
      <c r="O233"/>
      <c r="P233"/>
      <c r="Q233"/>
      <c r="R233"/>
      <c r="S233"/>
    </row>
    <row r="234" spans="1:19" x14ac:dyDescent="0.25">
      <c r="A234"/>
      <c r="B234"/>
      <c r="C234"/>
      <c r="D234"/>
      <c r="E234"/>
      <c r="F234"/>
      <c r="G234"/>
      <c r="H234"/>
      <c r="J234"/>
      <c r="K234"/>
      <c r="L234"/>
      <c r="M234"/>
      <c r="N234"/>
      <c r="O234"/>
      <c r="P234"/>
      <c r="Q234"/>
      <c r="R234"/>
      <c r="S234"/>
    </row>
    <row r="235" spans="1:19" x14ac:dyDescent="0.25">
      <c r="A235"/>
      <c r="B235"/>
      <c r="C235"/>
      <c r="D235"/>
      <c r="E235"/>
      <c r="F235"/>
      <c r="G235"/>
      <c r="H235"/>
      <c r="J235"/>
      <c r="K235"/>
      <c r="L235"/>
      <c r="M235"/>
      <c r="N235"/>
      <c r="O235"/>
      <c r="P235"/>
      <c r="Q235"/>
      <c r="R235"/>
      <c r="S235"/>
    </row>
    <row r="236" spans="1:19" x14ac:dyDescent="0.25">
      <c r="A236"/>
      <c r="B236"/>
      <c r="C236"/>
      <c r="D236"/>
      <c r="E236"/>
      <c r="F236"/>
      <c r="G236"/>
      <c r="H236"/>
      <c r="J236"/>
      <c r="K236"/>
      <c r="L236"/>
      <c r="M236"/>
      <c r="N236"/>
      <c r="O236"/>
      <c r="P236"/>
      <c r="Q236"/>
      <c r="R236"/>
      <c r="S236"/>
    </row>
    <row r="237" spans="1:19" x14ac:dyDescent="0.25">
      <c r="A237"/>
      <c r="B237"/>
      <c r="C237"/>
      <c r="D237"/>
      <c r="E237"/>
      <c r="F237"/>
      <c r="G237"/>
      <c r="H237"/>
      <c r="J237"/>
      <c r="K237"/>
      <c r="L237"/>
      <c r="M237"/>
      <c r="N237"/>
      <c r="O237"/>
      <c r="P237"/>
      <c r="Q237"/>
      <c r="R237"/>
      <c r="S237"/>
    </row>
    <row r="238" spans="1:19" x14ac:dyDescent="0.25">
      <c r="A238"/>
      <c r="B238"/>
      <c r="C238"/>
      <c r="D238"/>
      <c r="E238"/>
      <c r="F238"/>
      <c r="G238"/>
      <c r="H238"/>
      <c r="J238"/>
      <c r="K238"/>
      <c r="L238"/>
      <c r="M238"/>
      <c r="N238"/>
      <c r="O238"/>
      <c r="P238"/>
      <c r="Q238"/>
      <c r="R238"/>
      <c r="S238"/>
    </row>
    <row r="239" spans="1:19" x14ac:dyDescent="0.25">
      <c r="A239"/>
      <c r="B239"/>
      <c r="C239"/>
      <c r="D239"/>
      <c r="E239"/>
      <c r="F239"/>
      <c r="G239"/>
      <c r="H239"/>
      <c r="J239"/>
      <c r="K239"/>
      <c r="L239"/>
      <c r="M239"/>
      <c r="N239"/>
      <c r="O239"/>
      <c r="P239"/>
      <c r="Q239"/>
      <c r="R239"/>
      <c r="S239"/>
    </row>
    <row r="240" spans="1:19" x14ac:dyDescent="0.25">
      <c r="A240"/>
      <c r="B240"/>
      <c r="C240"/>
      <c r="D240"/>
      <c r="E240"/>
      <c r="F240"/>
      <c r="G240"/>
      <c r="H240"/>
      <c r="J240"/>
      <c r="K240"/>
      <c r="L240"/>
      <c r="M240"/>
      <c r="N240"/>
      <c r="O240"/>
      <c r="P240"/>
      <c r="Q240"/>
      <c r="R240"/>
      <c r="S240"/>
    </row>
    <row r="241" spans="1:19" x14ac:dyDescent="0.25">
      <c r="A241"/>
      <c r="B241"/>
      <c r="C241"/>
      <c r="D241"/>
      <c r="E241"/>
      <c r="F241"/>
      <c r="G241"/>
      <c r="H241"/>
      <c r="J241"/>
      <c r="K241"/>
      <c r="L241"/>
      <c r="M241"/>
      <c r="N241"/>
      <c r="O241"/>
      <c r="P241"/>
      <c r="Q241"/>
      <c r="R241"/>
      <c r="S241"/>
    </row>
    <row r="242" spans="1:19" x14ac:dyDescent="0.25">
      <c r="A242"/>
      <c r="B242"/>
      <c r="C242"/>
      <c r="D242"/>
      <c r="E242"/>
      <c r="F242"/>
      <c r="G242"/>
      <c r="H242"/>
      <c r="J242"/>
      <c r="K242"/>
      <c r="L242"/>
      <c r="M242"/>
      <c r="N242"/>
      <c r="O242"/>
      <c r="P242"/>
      <c r="Q242"/>
      <c r="R242"/>
      <c r="S242"/>
    </row>
    <row r="243" spans="1:19" x14ac:dyDescent="0.25">
      <c r="A243"/>
      <c r="B243"/>
      <c r="C243"/>
      <c r="D243"/>
      <c r="E243"/>
      <c r="F243"/>
      <c r="G243"/>
      <c r="H243"/>
      <c r="J243"/>
      <c r="K243"/>
      <c r="L243"/>
      <c r="M243"/>
      <c r="N243"/>
      <c r="O243"/>
      <c r="P243"/>
      <c r="Q243"/>
      <c r="R243"/>
      <c r="S243"/>
    </row>
    <row r="244" spans="1:19" x14ac:dyDescent="0.25">
      <c r="A244"/>
      <c r="B244"/>
      <c r="C244"/>
      <c r="D244"/>
      <c r="E244"/>
      <c r="F244"/>
      <c r="G244"/>
      <c r="H244"/>
      <c r="J244"/>
      <c r="K244"/>
      <c r="L244"/>
      <c r="M244"/>
      <c r="N244"/>
      <c r="O244"/>
      <c r="P244"/>
      <c r="Q244"/>
      <c r="R244"/>
      <c r="S244"/>
    </row>
    <row r="245" spans="1:19" x14ac:dyDescent="0.25">
      <c r="A245"/>
      <c r="B245"/>
      <c r="C245"/>
      <c r="D245"/>
      <c r="E245"/>
      <c r="F245"/>
      <c r="G245"/>
      <c r="H245"/>
      <c r="J245"/>
      <c r="K245"/>
      <c r="L245"/>
      <c r="M245"/>
      <c r="N245"/>
      <c r="O245"/>
      <c r="P245"/>
      <c r="Q245"/>
      <c r="R245"/>
      <c r="S245"/>
    </row>
    <row r="246" spans="1:19" x14ac:dyDescent="0.25">
      <c r="A246"/>
      <c r="B246"/>
      <c r="C246"/>
      <c r="D246"/>
      <c r="E246"/>
      <c r="F246"/>
      <c r="G246"/>
      <c r="H246"/>
      <c r="J246"/>
      <c r="K246"/>
      <c r="L246"/>
      <c r="M246"/>
      <c r="N246"/>
      <c r="O246"/>
      <c r="P246"/>
      <c r="Q246"/>
      <c r="R246"/>
      <c r="S246"/>
    </row>
    <row r="247" spans="1:19" x14ac:dyDescent="0.25">
      <c r="A247"/>
      <c r="B247"/>
      <c r="C247"/>
      <c r="D247"/>
      <c r="E247"/>
      <c r="F247"/>
      <c r="G247"/>
      <c r="H247"/>
      <c r="J247"/>
      <c r="K247"/>
      <c r="L247"/>
      <c r="M247"/>
      <c r="N247"/>
      <c r="O247"/>
      <c r="P247"/>
      <c r="Q247"/>
      <c r="R247"/>
      <c r="S247"/>
    </row>
    <row r="248" spans="1:19" x14ac:dyDescent="0.25">
      <c r="A248"/>
      <c r="B248"/>
      <c r="C248"/>
      <c r="D248"/>
      <c r="E248"/>
      <c r="F248"/>
      <c r="G248"/>
      <c r="H248"/>
      <c r="J248"/>
      <c r="K248"/>
      <c r="L248"/>
      <c r="M248"/>
      <c r="N248"/>
      <c r="O248"/>
      <c r="P248"/>
      <c r="Q248"/>
      <c r="R248"/>
      <c r="S248"/>
    </row>
    <row r="249" spans="1:19" x14ac:dyDescent="0.25">
      <c r="A249"/>
      <c r="B249"/>
      <c r="C249"/>
      <c r="D249"/>
      <c r="E249"/>
      <c r="F249"/>
      <c r="G249"/>
      <c r="H249"/>
      <c r="J249"/>
      <c r="K249"/>
      <c r="L249"/>
      <c r="M249"/>
      <c r="N249"/>
      <c r="O249"/>
      <c r="P249"/>
      <c r="Q249"/>
      <c r="R249"/>
      <c r="S249"/>
    </row>
    <row r="250" spans="1:19" x14ac:dyDescent="0.25">
      <c r="A250"/>
      <c r="B250"/>
      <c r="C250"/>
      <c r="D250"/>
      <c r="E250"/>
      <c r="F250"/>
      <c r="G250"/>
      <c r="H250"/>
      <c r="J250"/>
      <c r="K250"/>
      <c r="L250"/>
      <c r="M250"/>
      <c r="N250"/>
      <c r="O250"/>
      <c r="P250"/>
      <c r="Q250"/>
      <c r="R250"/>
      <c r="S250"/>
    </row>
    <row r="251" spans="1:19" x14ac:dyDescent="0.25">
      <c r="A251"/>
      <c r="B251"/>
      <c r="C251"/>
      <c r="D251"/>
      <c r="E251"/>
      <c r="F251"/>
      <c r="G251"/>
      <c r="H251"/>
      <c r="J251"/>
      <c r="K251"/>
      <c r="L251"/>
      <c r="M251"/>
      <c r="N251"/>
      <c r="O251"/>
      <c r="P251"/>
      <c r="Q251"/>
      <c r="R251"/>
      <c r="S251"/>
    </row>
    <row r="252" spans="1:19" x14ac:dyDescent="0.25">
      <c r="A252"/>
      <c r="B252"/>
      <c r="C252"/>
      <c r="D252"/>
      <c r="E252"/>
      <c r="F252"/>
      <c r="G252"/>
      <c r="H252"/>
      <c r="J252"/>
      <c r="K252"/>
      <c r="L252"/>
      <c r="M252"/>
      <c r="N252"/>
      <c r="O252"/>
      <c r="P252"/>
      <c r="Q252"/>
      <c r="R252"/>
      <c r="S252"/>
    </row>
    <row r="253" spans="1:19" x14ac:dyDescent="0.25">
      <c r="A253"/>
      <c r="B253"/>
      <c r="C253"/>
      <c r="D253"/>
      <c r="E253"/>
      <c r="F253"/>
      <c r="G253"/>
      <c r="H253"/>
      <c r="J253"/>
      <c r="K253"/>
      <c r="L253"/>
      <c r="M253"/>
      <c r="N253"/>
      <c r="O253"/>
      <c r="P253"/>
      <c r="Q253"/>
      <c r="R253"/>
      <c r="S253"/>
    </row>
    <row r="254" spans="1:19" x14ac:dyDescent="0.25">
      <c r="A254"/>
      <c r="B254"/>
      <c r="C254"/>
      <c r="D254"/>
      <c r="E254"/>
      <c r="F254"/>
      <c r="G254"/>
      <c r="H254"/>
      <c r="J254"/>
      <c r="K254"/>
      <c r="L254"/>
      <c r="M254"/>
      <c r="N254"/>
      <c r="O254"/>
      <c r="P254"/>
      <c r="Q254"/>
      <c r="R254"/>
      <c r="S254"/>
    </row>
    <row r="255" spans="1:19" x14ac:dyDescent="0.25">
      <c r="A255"/>
      <c r="B255"/>
      <c r="C255"/>
      <c r="D255"/>
      <c r="E255"/>
      <c r="F255"/>
      <c r="G255"/>
      <c r="H255"/>
      <c r="J255"/>
      <c r="K255"/>
      <c r="L255"/>
      <c r="M255"/>
      <c r="N255"/>
      <c r="O255"/>
      <c r="P255"/>
      <c r="Q255"/>
      <c r="R255"/>
      <c r="S255"/>
    </row>
    <row r="256" spans="1:19" x14ac:dyDescent="0.25">
      <c r="A256"/>
      <c r="B256"/>
      <c r="C256"/>
      <c r="D256"/>
      <c r="E256"/>
      <c r="F256"/>
      <c r="G256"/>
      <c r="H256"/>
      <c r="J256"/>
      <c r="K256"/>
      <c r="L256"/>
      <c r="M256"/>
      <c r="N256"/>
      <c r="O256"/>
      <c r="P256"/>
      <c r="Q256"/>
      <c r="R256"/>
      <c r="S256"/>
    </row>
    <row r="257" spans="1:19" x14ac:dyDescent="0.25">
      <c r="A257"/>
      <c r="B257"/>
      <c r="C257"/>
      <c r="D257"/>
      <c r="E257"/>
      <c r="F257"/>
      <c r="G257"/>
      <c r="H257"/>
      <c r="J257"/>
      <c r="K257"/>
      <c r="L257"/>
      <c r="M257"/>
      <c r="N257"/>
      <c r="O257"/>
      <c r="P257"/>
      <c r="Q257"/>
      <c r="R257"/>
      <c r="S257"/>
    </row>
    <row r="258" spans="1:19" x14ac:dyDescent="0.25">
      <c r="A258"/>
      <c r="B258"/>
      <c r="C258"/>
      <c r="D258"/>
      <c r="E258"/>
      <c r="F258"/>
      <c r="G258"/>
      <c r="H258"/>
      <c r="J258"/>
      <c r="K258"/>
      <c r="L258"/>
      <c r="M258"/>
      <c r="N258"/>
      <c r="O258"/>
      <c r="P258"/>
      <c r="Q258"/>
      <c r="R258"/>
      <c r="S258"/>
    </row>
    <row r="259" spans="1:19" x14ac:dyDescent="0.25">
      <c r="A259"/>
      <c r="B259"/>
      <c r="C259"/>
      <c r="D259"/>
      <c r="E259"/>
      <c r="F259"/>
      <c r="G259"/>
      <c r="H259"/>
      <c r="J259"/>
      <c r="K259"/>
      <c r="L259"/>
      <c r="M259"/>
      <c r="N259"/>
      <c r="O259"/>
      <c r="P259"/>
      <c r="Q259"/>
      <c r="R259"/>
      <c r="S259"/>
    </row>
    <row r="260" spans="1:19" x14ac:dyDescent="0.25">
      <c r="A260"/>
      <c r="B260"/>
      <c r="C260"/>
      <c r="D260"/>
      <c r="E260"/>
      <c r="F260"/>
      <c r="G260"/>
      <c r="H260"/>
      <c r="J260"/>
      <c r="K260"/>
      <c r="L260"/>
      <c r="M260"/>
      <c r="N260"/>
      <c r="O260"/>
      <c r="P260"/>
      <c r="Q260"/>
      <c r="R260"/>
      <c r="S260"/>
    </row>
    <row r="261" spans="1:19" x14ac:dyDescent="0.25">
      <c r="A261"/>
      <c r="B261"/>
      <c r="C261"/>
      <c r="D261"/>
      <c r="E261"/>
      <c r="F261"/>
      <c r="G261"/>
      <c r="H261"/>
      <c r="J261"/>
      <c r="K261"/>
      <c r="L261"/>
      <c r="M261"/>
      <c r="N261"/>
      <c r="O261"/>
      <c r="P261"/>
      <c r="Q261"/>
      <c r="R261"/>
      <c r="S261"/>
    </row>
    <row r="262" spans="1:19" x14ac:dyDescent="0.25">
      <c r="A262"/>
      <c r="B262"/>
      <c r="C262"/>
      <c r="D262"/>
      <c r="E262"/>
      <c r="F262"/>
      <c r="G262"/>
      <c r="H262"/>
      <c r="J262"/>
      <c r="K262"/>
      <c r="L262"/>
      <c r="M262"/>
      <c r="N262"/>
      <c r="O262"/>
      <c r="P262"/>
      <c r="Q262"/>
      <c r="R262"/>
      <c r="S262"/>
    </row>
    <row r="263" spans="1:19" x14ac:dyDescent="0.25">
      <c r="A263"/>
      <c r="B263"/>
      <c r="C263"/>
      <c r="D263"/>
      <c r="E263"/>
      <c r="F263"/>
      <c r="G263"/>
      <c r="H263"/>
      <c r="J263"/>
      <c r="K263"/>
      <c r="L263"/>
      <c r="M263"/>
      <c r="N263"/>
      <c r="O263"/>
      <c r="P263"/>
      <c r="Q263"/>
      <c r="R263"/>
      <c r="S263"/>
    </row>
    <row r="264" spans="1:19" x14ac:dyDescent="0.25">
      <c r="A264"/>
      <c r="B264"/>
      <c r="C264"/>
      <c r="D264"/>
      <c r="E264"/>
      <c r="F264"/>
      <c r="G264"/>
      <c r="H264"/>
      <c r="J264"/>
      <c r="K264"/>
      <c r="L264"/>
      <c r="M264"/>
      <c r="N264"/>
      <c r="O264"/>
      <c r="P264"/>
      <c r="Q264"/>
      <c r="R264"/>
      <c r="S264"/>
    </row>
    <row r="265" spans="1:19" x14ac:dyDescent="0.25">
      <c r="A265"/>
      <c r="B265"/>
      <c r="C265"/>
      <c r="D265"/>
      <c r="E265"/>
      <c r="F265"/>
      <c r="G265"/>
      <c r="H265"/>
      <c r="J265"/>
      <c r="K265"/>
      <c r="L265"/>
      <c r="M265"/>
      <c r="N265"/>
      <c r="O265"/>
      <c r="P265"/>
      <c r="Q265"/>
      <c r="R265"/>
      <c r="S265"/>
    </row>
    <row r="266" spans="1:19" x14ac:dyDescent="0.25">
      <c r="A266"/>
      <c r="B266"/>
      <c r="C266"/>
      <c r="D266"/>
      <c r="E266"/>
      <c r="F266"/>
      <c r="G266"/>
      <c r="H266"/>
      <c r="J266"/>
      <c r="K266"/>
      <c r="L266"/>
      <c r="M266"/>
      <c r="N266"/>
      <c r="O266"/>
      <c r="P266"/>
      <c r="Q266"/>
      <c r="R266"/>
      <c r="S266"/>
    </row>
    <row r="267" spans="1:19" x14ac:dyDescent="0.25">
      <c r="A267"/>
      <c r="B267"/>
      <c r="C267"/>
      <c r="D267"/>
      <c r="E267"/>
      <c r="F267"/>
      <c r="G267"/>
      <c r="H267"/>
      <c r="J267"/>
      <c r="K267"/>
      <c r="L267"/>
      <c r="M267"/>
      <c r="N267"/>
      <c r="O267"/>
      <c r="P267"/>
      <c r="Q267"/>
      <c r="R267"/>
      <c r="S267"/>
    </row>
    <row r="268" spans="1:19" x14ac:dyDescent="0.25">
      <c r="A268"/>
      <c r="B268"/>
      <c r="C268"/>
      <c r="D268"/>
      <c r="E268"/>
      <c r="F268"/>
      <c r="G268"/>
      <c r="H268"/>
      <c r="J268"/>
      <c r="K268"/>
      <c r="L268"/>
      <c r="M268"/>
      <c r="N268"/>
      <c r="O268"/>
      <c r="P268"/>
      <c r="Q268"/>
      <c r="R268"/>
      <c r="S268"/>
    </row>
    <row r="269" spans="1:19" x14ac:dyDescent="0.25">
      <c r="A269"/>
      <c r="B269"/>
      <c r="C269"/>
      <c r="D269"/>
      <c r="E269"/>
      <c r="F269"/>
      <c r="G269"/>
      <c r="H269"/>
      <c r="J269"/>
      <c r="K269"/>
      <c r="L269"/>
      <c r="M269"/>
      <c r="N269"/>
      <c r="O269"/>
      <c r="P269"/>
      <c r="Q269"/>
      <c r="R269"/>
      <c r="S269"/>
    </row>
    <row r="270" spans="1:19" x14ac:dyDescent="0.25">
      <c r="A270"/>
      <c r="B270"/>
      <c r="C270"/>
      <c r="D270"/>
      <c r="E270"/>
      <c r="F270"/>
      <c r="G270"/>
      <c r="H270"/>
      <c r="J270"/>
      <c r="K270"/>
      <c r="L270"/>
      <c r="M270"/>
      <c r="N270"/>
      <c r="O270"/>
      <c r="P270"/>
      <c r="Q270"/>
      <c r="R270"/>
      <c r="S270"/>
    </row>
    <row r="271" spans="1:19" x14ac:dyDescent="0.25">
      <c r="A271"/>
      <c r="B271"/>
      <c r="C271"/>
      <c r="D271"/>
      <c r="E271"/>
      <c r="F271"/>
      <c r="G271"/>
      <c r="H271"/>
      <c r="J271"/>
      <c r="K271"/>
      <c r="L271"/>
      <c r="M271"/>
      <c r="N271"/>
      <c r="O271"/>
      <c r="P271"/>
      <c r="Q271"/>
      <c r="R271"/>
      <c r="S271"/>
    </row>
    <row r="272" spans="1:19" x14ac:dyDescent="0.25">
      <c r="A272"/>
      <c r="B272"/>
      <c r="C272"/>
      <c r="D272"/>
      <c r="E272"/>
      <c r="F272"/>
      <c r="G272"/>
      <c r="H272"/>
      <c r="J272"/>
      <c r="K272"/>
      <c r="L272"/>
      <c r="M272"/>
      <c r="N272"/>
      <c r="O272"/>
      <c r="P272"/>
      <c r="Q272"/>
      <c r="R272"/>
      <c r="S272"/>
    </row>
    <row r="273" spans="1:19" x14ac:dyDescent="0.25">
      <c r="A273"/>
      <c r="B273"/>
      <c r="C273"/>
      <c r="D273"/>
      <c r="E273"/>
      <c r="F273"/>
      <c r="G273"/>
      <c r="H273"/>
      <c r="J273"/>
      <c r="K273"/>
      <c r="L273"/>
      <c r="M273"/>
      <c r="N273"/>
      <c r="O273"/>
      <c r="P273"/>
      <c r="Q273"/>
      <c r="R273"/>
      <c r="S273"/>
    </row>
    <row r="274" spans="1:19" x14ac:dyDescent="0.25">
      <c r="A274"/>
      <c r="B274"/>
      <c r="C274"/>
      <c r="D274"/>
      <c r="E274"/>
      <c r="F274"/>
      <c r="G274"/>
      <c r="H274"/>
      <c r="J274"/>
      <c r="K274"/>
      <c r="L274"/>
      <c r="M274"/>
      <c r="N274"/>
      <c r="O274"/>
      <c r="P274"/>
      <c r="Q274"/>
      <c r="R274"/>
      <c r="S274"/>
    </row>
    <row r="275" spans="1:19" x14ac:dyDescent="0.25">
      <c r="A275"/>
      <c r="B275"/>
      <c r="C275"/>
      <c r="D275"/>
      <c r="E275"/>
      <c r="F275"/>
      <c r="G275"/>
      <c r="H275"/>
      <c r="J275"/>
      <c r="K275"/>
      <c r="L275"/>
      <c r="M275"/>
      <c r="N275"/>
      <c r="O275"/>
      <c r="P275"/>
      <c r="Q275"/>
      <c r="R275"/>
      <c r="S275"/>
    </row>
    <row r="276" spans="1:19" x14ac:dyDescent="0.25">
      <c r="A276"/>
      <c r="B276"/>
      <c r="C276"/>
      <c r="D276"/>
      <c r="E276"/>
      <c r="F276"/>
      <c r="G276"/>
      <c r="H276"/>
      <c r="J276"/>
      <c r="K276"/>
      <c r="L276"/>
      <c r="M276"/>
      <c r="N276"/>
      <c r="O276"/>
      <c r="P276"/>
      <c r="Q276"/>
      <c r="R276"/>
      <c r="S276"/>
    </row>
    <row r="277" spans="1:19" x14ac:dyDescent="0.25">
      <c r="A277"/>
      <c r="B277"/>
      <c r="C277"/>
      <c r="D277"/>
      <c r="E277"/>
      <c r="F277"/>
      <c r="G277"/>
      <c r="H277"/>
      <c r="J277"/>
      <c r="K277"/>
      <c r="L277"/>
      <c r="M277"/>
      <c r="N277"/>
      <c r="O277"/>
      <c r="P277"/>
      <c r="Q277"/>
      <c r="R277"/>
      <c r="S277"/>
    </row>
    <row r="278" spans="1:19" x14ac:dyDescent="0.25">
      <c r="A278"/>
      <c r="B278"/>
      <c r="C278"/>
      <c r="D278"/>
      <c r="E278"/>
      <c r="F278"/>
      <c r="G278"/>
      <c r="H278"/>
      <c r="J278"/>
      <c r="K278"/>
      <c r="L278"/>
      <c r="M278"/>
      <c r="N278"/>
      <c r="O278"/>
      <c r="P278"/>
      <c r="Q278"/>
      <c r="R278"/>
      <c r="S278"/>
    </row>
    <row r="279" spans="1:19" x14ac:dyDescent="0.25">
      <c r="A279"/>
      <c r="B279"/>
      <c r="C279"/>
      <c r="D279"/>
      <c r="E279"/>
      <c r="F279"/>
      <c r="G279"/>
      <c r="H279"/>
      <c r="J279"/>
      <c r="K279"/>
      <c r="L279"/>
      <c r="M279"/>
      <c r="N279"/>
      <c r="O279"/>
      <c r="P279"/>
      <c r="Q279"/>
      <c r="R279"/>
      <c r="S279"/>
    </row>
    <row r="280" spans="1:19" x14ac:dyDescent="0.25">
      <c r="A280"/>
      <c r="B280"/>
      <c r="C280"/>
      <c r="D280"/>
      <c r="E280"/>
      <c r="F280"/>
      <c r="G280"/>
      <c r="H280"/>
      <c r="J280"/>
      <c r="K280"/>
      <c r="L280"/>
      <c r="M280"/>
      <c r="N280"/>
      <c r="O280"/>
      <c r="P280"/>
      <c r="Q280"/>
      <c r="R280"/>
      <c r="S280"/>
    </row>
    <row r="281" spans="1:19" x14ac:dyDescent="0.25">
      <c r="A281"/>
      <c r="B281"/>
      <c r="C281"/>
      <c r="D281"/>
      <c r="E281"/>
      <c r="F281"/>
      <c r="G281"/>
      <c r="H281"/>
      <c r="J281"/>
      <c r="K281"/>
      <c r="L281"/>
      <c r="M281"/>
      <c r="N281"/>
      <c r="O281"/>
      <c r="P281"/>
      <c r="Q281"/>
      <c r="R281"/>
      <c r="S281"/>
    </row>
    <row r="282" spans="1:19" x14ac:dyDescent="0.25">
      <c r="A282"/>
      <c r="B282"/>
      <c r="C282"/>
      <c r="D282"/>
      <c r="E282"/>
      <c r="F282"/>
      <c r="G282"/>
      <c r="H282"/>
      <c r="J282"/>
      <c r="K282"/>
      <c r="L282"/>
      <c r="M282"/>
      <c r="N282"/>
      <c r="O282"/>
      <c r="P282"/>
      <c r="Q282"/>
      <c r="R282"/>
      <c r="S282"/>
    </row>
    <row r="283" spans="1:19" x14ac:dyDescent="0.25">
      <c r="A283"/>
      <c r="B283"/>
      <c r="C283"/>
      <c r="D283"/>
      <c r="E283"/>
      <c r="F283"/>
      <c r="G283"/>
      <c r="H283"/>
      <c r="J283"/>
      <c r="K283"/>
      <c r="L283"/>
      <c r="M283"/>
      <c r="N283"/>
      <c r="O283"/>
      <c r="P283"/>
      <c r="Q283"/>
      <c r="R283"/>
      <c r="S283"/>
    </row>
    <row r="284" spans="1:19" x14ac:dyDescent="0.25">
      <c r="A284"/>
      <c r="B284"/>
      <c r="C284"/>
      <c r="D284"/>
      <c r="E284"/>
      <c r="F284"/>
      <c r="G284"/>
      <c r="H284"/>
      <c r="J284"/>
      <c r="K284"/>
      <c r="L284"/>
      <c r="M284"/>
      <c r="N284"/>
      <c r="O284"/>
      <c r="P284"/>
      <c r="Q284"/>
      <c r="R284"/>
      <c r="S284"/>
    </row>
    <row r="285" spans="1:19" x14ac:dyDescent="0.25">
      <c r="A285"/>
      <c r="B285"/>
      <c r="C285"/>
      <c r="D285"/>
      <c r="E285"/>
      <c r="F285"/>
      <c r="G285"/>
      <c r="H285"/>
      <c r="J285"/>
      <c r="K285"/>
      <c r="L285"/>
      <c r="M285"/>
      <c r="N285"/>
      <c r="O285"/>
      <c r="P285"/>
      <c r="Q285"/>
      <c r="R285"/>
      <c r="S285"/>
    </row>
    <row r="286" spans="1:19" x14ac:dyDescent="0.25">
      <c r="A286"/>
      <c r="B286"/>
      <c r="C286"/>
      <c r="D286"/>
      <c r="E286"/>
      <c r="F286"/>
      <c r="G286"/>
      <c r="H286"/>
      <c r="J286"/>
      <c r="K286"/>
      <c r="L286"/>
      <c r="M286"/>
      <c r="N286"/>
      <c r="O286"/>
      <c r="P286"/>
      <c r="Q286"/>
      <c r="R286"/>
      <c r="S286"/>
    </row>
    <row r="287" spans="1:19" x14ac:dyDescent="0.25">
      <c r="A287"/>
      <c r="B287"/>
      <c r="C287"/>
      <c r="D287"/>
      <c r="E287"/>
      <c r="F287"/>
      <c r="G287"/>
      <c r="H287"/>
      <c r="J287"/>
      <c r="K287"/>
      <c r="L287"/>
      <c r="M287"/>
      <c r="N287"/>
      <c r="O287"/>
      <c r="P287"/>
      <c r="Q287"/>
      <c r="R287"/>
      <c r="S287"/>
    </row>
    <row r="288" spans="1:19" x14ac:dyDescent="0.25">
      <c r="A288"/>
      <c r="B288"/>
      <c r="C288"/>
      <c r="D288"/>
      <c r="E288"/>
      <c r="F288"/>
      <c r="G288"/>
      <c r="H288"/>
      <c r="J288"/>
      <c r="K288"/>
      <c r="L288"/>
      <c r="M288"/>
      <c r="N288"/>
      <c r="O288"/>
      <c r="P288"/>
      <c r="Q288"/>
      <c r="R288"/>
      <c r="S288"/>
    </row>
    <row r="289" spans="1:19" x14ac:dyDescent="0.25">
      <c r="A289"/>
      <c r="B289"/>
      <c r="C289"/>
      <c r="D289"/>
      <c r="E289"/>
      <c r="F289"/>
      <c r="G289"/>
      <c r="H289"/>
      <c r="J289"/>
      <c r="K289"/>
      <c r="L289"/>
      <c r="M289"/>
      <c r="N289"/>
      <c r="O289"/>
      <c r="P289"/>
      <c r="Q289"/>
      <c r="R289"/>
      <c r="S289"/>
    </row>
    <row r="290" spans="1:19" x14ac:dyDescent="0.25">
      <c r="A290"/>
      <c r="B290"/>
      <c r="C290"/>
      <c r="D290"/>
      <c r="E290"/>
      <c r="F290"/>
      <c r="G290"/>
      <c r="H290"/>
      <c r="J290"/>
      <c r="K290"/>
      <c r="L290"/>
      <c r="M290"/>
      <c r="N290"/>
      <c r="O290"/>
      <c r="P290"/>
      <c r="Q290"/>
      <c r="R290"/>
      <c r="S290"/>
    </row>
    <row r="291" spans="1:19" x14ac:dyDescent="0.25">
      <c r="A291"/>
      <c r="B291"/>
      <c r="C291"/>
      <c r="D291"/>
      <c r="E291"/>
      <c r="F291"/>
      <c r="G291"/>
      <c r="H291"/>
      <c r="J291"/>
      <c r="K291"/>
      <c r="L291"/>
      <c r="M291"/>
      <c r="N291"/>
      <c r="O291"/>
      <c r="P291"/>
      <c r="Q291"/>
      <c r="R291"/>
      <c r="S291"/>
    </row>
    <row r="292" spans="1:19" x14ac:dyDescent="0.25">
      <c r="A292"/>
      <c r="B292"/>
      <c r="C292"/>
      <c r="D292"/>
      <c r="E292"/>
      <c r="F292"/>
      <c r="G292"/>
      <c r="H292"/>
      <c r="J292"/>
      <c r="K292"/>
      <c r="L292"/>
      <c r="M292"/>
      <c r="N292"/>
      <c r="O292"/>
      <c r="P292"/>
      <c r="Q292"/>
      <c r="R292"/>
      <c r="S292"/>
    </row>
    <row r="293" spans="1:19" x14ac:dyDescent="0.25">
      <c r="A293"/>
      <c r="B293"/>
      <c r="C293"/>
      <c r="D293"/>
      <c r="E293"/>
      <c r="F293"/>
      <c r="G293"/>
      <c r="H293"/>
      <c r="J293"/>
      <c r="K293"/>
      <c r="L293"/>
      <c r="M293"/>
      <c r="N293"/>
      <c r="O293"/>
      <c r="P293"/>
      <c r="Q293"/>
      <c r="R293"/>
      <c r="S293"/>
    </row>
    <row r="294" spans="1:19" x14ac:dyDescent="0.25">
      <c r="A294"/>
      <c r="B294"/>
      <c r="C294"/>
      <c r="D294"/>
      <c r="E294"/>
      <c r="F294"/>
      <c r="G294"/>
      <c r="H294"/>
      <c r="J294"/>
      <c r="K294"/>
      <c r="L294"/>
      <c r="M294"/>
      <c r="N294"/>
      <c r="O294"/>
      <c r="P294"/>
      <c r="Q294"/>
      <c r="R294"/>
      <c r="S294"/>
    </row>
    <row r="295" spans="1:19" x14ac:dyDescent="0.25">
      <c r="A295"/>
      <c r="B295"/>
      <c r="C295"/>
      <c r="D295"/>
      <c r="E295"/>
      <c r="F295"/>
      <c r="G295"/>
      <c r="H295"/>
      <c r="J295"/>
      <c r="K295"/>
      <c r="L295"/>
      <c r="M295"/>
      <c r="N295"/>
      <c r="O295"/>
      <c r="P295"/>
      <c r="Q295"/>
      <c r="R295"/>
      <c r="S295"/>
    </row>
    <row r="296" spans="1:19" x14ac:dyDescent="0.25">
      <c r="A296"/>
      <c r="B296"/>
      <c r="C296"/>
      <c r="D296"/>
      <c r="E296"/>
      <c r="F296"/>
      <c r="G296"/>
      <c r="H296"/>
      <c r="J296"/>
      <c r="K296"/>
      <c r="L296"/>
      <c r="M296"/>
      <c r="N296"/>
      <c r="O296"/>
      <c r="P296"/>
      <c r="Q296"/>
      <c r="R296"/>
      <c r="S296"/>
    </row>
    <row r="297" spans="1:19" x14ac:dyDescent="0.25">
      <c r="A297"/>
      <c r="B297"/>
      <c r="C297"/>
      <c r="D297"/>
      <c r="E297"/>
      <c r="F297"/>
      <c r="G297"/>
      <c r="H297"/>
      <c r="J297"/>
      <c r="K297"/>
      <c r="L297"/>
      <c r="M297"/>
      <c r="N297"/>
      <c r="O297"/>
      <c r="P297"/>
      <c r="Q297"/>
      <c r="R297"/>
      <c r="S297"/>
    </row>
    <row r="298" spans="1:19" x14ac:dyDescent="0.25">
      <c r="A298"/>
      <c r="B298"/>
      <c r="C298"/>
      <c r="D298"/>
      <c r="E298"/>
      <c r="F298"/>
      <c r="G298"/>
      <c r="H298"/>
      <c r="J298"/>
      <c r="K298"/>
      <c r="L298"/>
      <c r="M298"/>
      <c r="N298"/>
      <c r="O298"/>
      <c r="P298"/>
      <c r="Q298"/>
      <c r="R298"/>
      <c r="S298"/>
    </row>
    <row r="299" spans="1:19" x14ac:dyDescent="0.25">
      <c r="A299"/>
      <c r="B299"/>
      <c r="C299"/>
      <c r="D299"/>
      <c r="E299"/>
      <c r="F299"/>
      <c r="G299"/>
      <c r="H299"/>
      <c r="J299"/>
      <c r="K299"/>
      <c r="L299"/>
      <c r="M299"/>
      <c r="N299"/>
      <c r="O299"/>
      <c r="P299"/>
      <c r="Q299"/>
      <c r="R299"/>
      <c r="S299"/>
    </row>
    <row r="300" spans="1:19" x14ac:dyDescent="0.25">
      <c r="A300"/>
      <c r="B300"/>
      <c r="C300"/>
      <c r="D300"/>
      <c r="E300"/>
      <c r="F300"/>
      <c r="G300"/>
      <c r="H300"/>
      <c r="J300"/>
      <c r="K300"/>
      <c r="L300"/>
      <c r="M300"/>
      <c r="N300"/>
      <c r="O300"/>
      <c r="P300"/>
      <c r="Q300"/>
      <c r="R300"/>
      <c r="S300"/>
    </row>
    <row r="301" spans="1:19" x14ac:dyDescent="0.25">
      <c r="A301"/>
      <c r="B301"/>
      <c r="C301"/>
      <c r="D301"/>
      <c r="E301"/>
      <c r="F301"/>
      <c r="G301"/>
      <c r="H301"/>
      <c r="J301"/>
      <c r="K301"/>
      <c r="L301"/>
      <c r="M301"/>
      <c r="N301"/>
      <c r="O301"/>
      <c r="P301"/>
      <c r="Q301"/>
      <c r="R301"/>
      <c r="S301"/>
    </row>
    <row r="302" spans="1:19" x14ac:dyDescent="0.25">
      <c r="A302"/>
      <c r="B302"/>
      <c r="C302"/>
      <c r="D302"/>
      <c r="E302"/>
      <c r="F302"/>
      <c r="G302"/>
      <c r="H302"/>
      <c r="J302"/>
      <c r="K302"/>
      <c r="L302"/>
      <c r="M302"/>
      <c r="N302"/>
      <c r="O302"/>
      <c r="P302"/>
      <c r="Q302"/>
      <c r="R302"/>
      <c r="S302"/>
    </row>
    <row r="303" spans="1:19" x14ac:dyDescent="0.25">
      <c r="A303"/>
      <c r="B303"/>
      <c r="C303"/>
      <c r="D303"/>
      <c r="E303"/>
      <c r="F303"/>
      <c r="G303"/>
      <c r="H303"/>
      <c r="J303"/>
      <c r="K303"/>
      <c r="L303"/>
      <c r="M303"/>
      <c r="N303"/>
      <c r="O303"/>
      <c r="P303"/>
      <c r="Q303"/>
      <c r="R303"/>
      <c r="S303"/>
    </row>
    <row r="304" spans="1:19" x14ac:dyDescent="0.25">
      <c r="A304"/>
      <c r="B304"/>
      <c r="C304"/>
      <c r="D304"/>
      <c r="E304"/>
      <c r="F304"/>
      <c r="G304"/>
      <c r="H304"/>
      <c r="J304"/>
      <c r="K304"/>
      <c r="L304"/>
      <c r="M304"/>
      <c r="N304"/>
      <c r="O304"/>
      <c r="P304"/>
      <c r="Q304"/>
      <c r="R304"/>
      <c r="S304"/>
    </row>
    <row r="305" spans="1:19" x14ac:dyDescent="0.25">
      <c r="A305"/>
      <c r="B305"/>
      <c r="C305"/>
      <c r="D305"/>
      <c r="E305"/>
      <c r="F305"/>
      <c r="G305"/>
      <c r="H305"/>
      <c r="J305"/>
      <c r="K305"/>
      <c r="L305"/>
      <c r="M305"/>
      <c r="N305"/>
      <c r="O305"/>
      <c r="P305"/>
      <c r="Q305"/>
      <c r="R305"/>
      <c r="S305"/>
    </row>
    <row r="306" spans="1:19" x14ac:dyDescent="0.25">
      <c r="A306"/>
      <c r="B306"/>
      <c r="C306"/>
      <c r="D306"/>
      <c r="E306"/>
      <c r="F306"/>
      <c r="G306"/>
      <c r="H306"/>
      <c r="J306"/>
      <c r="K306"/>
      <c r="L306"/>
      <c r="M306"/>
      <c r="N306"/>
      <c r="O306"/>
      <c r="P306"/>
      <c r="Q306"/>
      <c r="R306"/>
      <c r="S306"/>
    </row>
    <row r="307" spans="1:19" x14ac:dyDescent="0.25">
      <c r="A307"/>
      <c r="B307"/>
      <c r="C307"/>
      <c r="D307"/>
      <c r="E307"/>
      <c r="F307"/>
      <c r="G307"/>
      <c r="H307"/>
      <c r="J307"/>
      <c r="K307"/>
      <c r="L307"/>
      <c r="M307"/>
      <c r="N307"/>
      <c r="O307"/>
      <c r="P307"/>
      <c r="Q307"/>
      <c r="R307"/>
      <c r="S307"/>
    </row>
    <row r="308" spans="1:19" x14ac:dyDescent="0.25">
      <c r="A308"/>
      <c r="B308"/>
      <c r="C308"/>
      <c r="D308"/>
      <c r="E308"/>
      <c r="F308"/>
      <c r="G308"/>
      <c r="H308"/>
      <c r="J308"/>
      <c r="K308"/>
      <c r="L308"/>
      <c r="M308"/>
      <c r="N308"/>
      <c r="O308"/>
      <c r="P308"/>
      <c r="Q308"/>
      <c r="R308"/>
      <c r="S308"/>
    </row>
    <row r="309" spans="1:19" x14ac:dyDescent="0.25">
      <c r="A309"/>
      <c r="B309"/>
      <c r="C309"/>
      <c r="D309"/>
      <c r="E309"/>
      <c r="F309"/>
      <c r="G309"/>
      <c r="H309"/>
      <c r="J309"/>
      <c r="K309"/>
      <c r="L309"/>
      <c r="M309"/>
      <c r="N309"/>
      <c r="O309"/>
      <c r="P309"/>
      <c r="Q309"/>
      <c r="R309"/>
      <c r="S309"/>
    </row>
    <row r="310" spans="1:19" x14ac:dyDescent="0.25">
      <c r="A310"/>
      <c r="B310"/>
      <c r="C310"/>
      <c r="D310"/>
      <c r="E310"/>
      <c r="F310"/>
      <c r="G310"/>
      <c r="H310"/>
      <c r="J310"/>
      <c r="K310"/>
      <c r="L310"/>
      <c r="M310"/>
      <c r="N310"/>
      <c r="O310"/>
      <c r="P310"/>
      <c r="Q310"/>
      <c r="R310"/>
      <c r="S310"/>
    </row>
    <row r="311" spans="1:19" x14ac:dyDescent="0.25">
      <c r="A311"/>
      <c r="B311"/>
      <c r="C311"/>
      <c r="D311"/>
      <c r="E311"/>
      <c r="F311"/>
      <c r="G311"/>
      <c r="H311"/>
      <c r="J311"/>
      <c r="K311"/>
      <c r="L311"/>
      <c r="M311"/>
      <c r="N311"/>
      <c r="O311"/>
      <c r="P311"/>
      <c r="Q311"/>
      <c r="R311"/>
      <c r="S311"/>
    </row>
    <row r="312" spans="1:19" x14ac:dyDescent="0.25">
      <c r="A312"/>
      <c r="B312"/>
      <c r="C312"/>
      <c r="D312"/>
      <c r="E312"/>
      <c r="F312"/>
      <c r="G312"/>
      <c r="H312"/>
      <c r="J312"/>
      <c r="K312"/>
      <c r="L312"/>
      <c r="M312"/>
      <c r="N312"/>
      <c r="O312"/>
      <c r="P312"/>
      <c r="Q312"/>
      <c r="R312"/>
      <c r="S312"/>
    </row>
    <row r="313" spans="1:19" x14ac:dyDescent="0.25">
      <c r="A313"/>
      <c r="B313"/>
      <c r="C313"/>
      <c r="D313"/>
      <c r="E313"/>
      <c r="F313"/>
      <c r="G313"/>
      <c r="H313"/>
      <c r="J313"/>
      <c r="K313"/>
      <c r="L313"/>
      <c r="M313"/>
      <c r="N313"/>
      <c r="O313"/>
      <c r="P313"/>
      <c r="Q313"/>
      <c r="R313"/>
      <c r="S313"/>
    </row>
    <row r="314" spans="1:19" x14ac:dyDescent="0.25">
      <c r="A314"/>
      <c r="B314"/>
      <c r="C314"/>
      <c r="D314"/>
      <c r="E314"/>
      <c r="F314"/>
      <c r="G314"/>
      <c r="H314"/>
      <c r="J314"/>
      <c r="K314"/>
      <c r="L314"/>
      <c r="M314"/>
      <c r="N314"/>
      <c r="O314"/>
      <c r="P314"/>
      <c r="Q314"/>
      <c r="R314"/>
      <c r="S314"/>
    </row>
    <row r="315" spans="1:19" x14ac:dyDescent="0.25">
      <c r="A315"/>
      <c r="B315"/>
      <c r="C315"/>
      <c r="D315"/>
      <c r="E315"/>
      <c r="F315"/>
      <c r="G315"/>
      <c r="H315"/>
      <c r="J315"/>
      <c r="K315"/>
      <c r="L315"/>
      <c r="M315"/>
      <c r="N315"/>
      <c r="O315"/>
      <c r="P315"/>
      <c r="Q315"/>
      <c r="R315"/>
      <c r="S315"/>
    </row>
    <row r="316" spans="1:19" x14ac:dyDescent="0.25">
      <c r="A316"/>
      <c r="B316"/>
      <c r="C316"/>
      <c r="D316"/>
      <c r="E316"/>
      <c r="F316"/>
      <c r="G316"/>
      <c r="H316"/>
      <c r="J316"/>
      <c r="K316"/>
      <c r="L316"/>
      <c r="M316"/>
      <c r="N316"/>
      <c r="O316"/>
      <c r="P316"/>
      <c r="Q316"/>
      <c r="R316"/>
      <c r="S316"/>
    </row>
    <row r="317" spans="1:19" x14ac:dyDescent="0.25">
      <c r="A317"/>
      <c r="B317"/>
      <c r="C317"/>
      <c r="D317"/>
      <c r="E317"/>
      <c r="F317"/>
      <c r="G317"/>
      <c r="H317"/>
      <c r="J317"/>
      <c r="K317"/>
      <c r="L317"/>
      <c r="M317"/>
      <c r="N317"/>
      <c r="O317"/>
      <c r="P317"/>
      <c r="Q317"/>
      <c r="R317"/>
      <c r="S317"/>
    </row>
    <row r="318" spans="1:19" x14ac:dyDescent="0.25">
      <c r="A318"/>
      <c r="B318"/>
      <c r="C318"/>
      <c r="D318"/>
      <c r="E318"/>
      <c r="F318"/>
      <c r="G318"/>
      <c r="H318"/>
      <c r="J318"/>
      <c r="K318"/>
      <c r="L318"/>
      <c r="M318"/>
      <c r="N318"/>
      <c r="O318"/>
      <c r="P318"/>
      <c r="Q318"/>
      <c r="R318"/>
      <c r="S318"/>
    </row>
    <row r="319" spans="1:19" x14ac:dyDescent="0.25">
      <c r="A319"/>
      <c r="B319"/>
      <c r="C319"/>
      <c r="D319"/>
      <c r="E319"/>
      <c r="F319"/>
      <c r="G319"/>
      <c r="H319"/>
      <c r="J319"/>
      <c r="K319"/>
      <c r="L319"/>
      <c r="M319"/>
      <c r="N319"/>
      <c r="O319"/>
      <c r="P319"/>
      <c r="Q319"/>
      <c r="R319"/>
      <c r="S319"/>
    </row>
    <row r="320" spans="1:19" x14ac:dyDescent="0.25">
      <c r="A320"/>
      <c r="B320"/>
      <c r="C320"/>
      <c r="D320"/>
      <c r="E320"/>
      <c r="F320"/>
      <c r="G320"/>
      <c r="H320"/>
      <c r="J320"/>
      <c r="K320"/>
      <c r="L320"/>
      <c r="M320"/>
      <c r="N320"/>
      <c r="O320"/>
      <c r="P320"/>
      <c r="Q320"/>
      <c r="R320"/>
      <c r="S320"/>
    </row>
    <row r="321" spans="1:19" x14ac:dyDescent="0.25">
      <c r="A321"/>
      <c r="B321"/>
      <c r="C321"/>
      <c r="D321"/>
      <c r="E321"/>
      <c r="F321"/>
      <c r="G321"/>
      <c r="H321"/>
      <c r="J321"/>
      <c r="K321"/>
      <c r="L321"/>
      <c r="M321"/>
      <c r="N321"/>
      <c r="O321"/>
      <c r="P321"/>
      <c r="Q321"/>
      <c r="R321"/>
      <c r="S321"/>
    </row>
    <row r="322" spans="1:19" x14ac:dyDescent="0.25">
      <c r="A322"/>
      <c r="B322"/>
      <c r="C322"/>
      <c r="D322"/>
      <c r="E322"/>
      <c r="F322"/>
      <c r="G322"/>
      <c r="H322"/>
      <c r="J322"/>
      <c r="K322"/>
      <c r="L322"/>
      <c r="M322"/>
      <c r="N322"/>
      <c r="O322"/>
      <c r="P322"/>
      <c r="Q322"/>
      <c r="R322"/>
      <c r="S322"/>
    </row>
    <row r="323" spans="1:19" x14ac:dyDescent="0.25">
      <c r="A323"/>
      <c r="B323"/>
      <c r="C323"/>
      <c r="D323"/>
      <c r="E323"/>
      <c r="F323"/>
      <c r="G323"/>
      <c r="H323"/>
      <c r="J323"/>
      <c r="K323"/>
      <c r="L323"/>
      <c r="M323"/>
      <c r="N323"/>
      <c r="O323"/>
      <c r="P323"/>
      <c r="Q323"/>
      <c r="R323"/>
      <c r="S323"/>
    </row>
    <row r="324" spans="1:19" x14ac:dyDescent="0.25">
      <c r="A324"/>
      <c r="B324"/>
      <c r="C324"/>
      <c r="D324"/>
      <c r="E324"/>
      <c r="F324"/>
      <c r="G324"/>
      <c r="H324"/>
      <c r="J324"/>
      <c r="K324"/>
      <c r="L324"/>
      <c r="M324"/>
      <c r="N324"/>
      <c r="O324"/>
      <c r="P324"/>
      <c r="Q324"/>
      <c r="R324"/>
      <c r="S324"/>
    </row>
    <row r="325" spans="1:19" x14ac:dyDescent="0.25">
      <c r="A325"/>
      <c r="B325"/>
      <c r="C325"/>
      <c r="D325"/>
      <c r="E325"/>
      <c r="F325"/>
      <c r="G325"/>
      <c r="H325"/>
      <c r="J325"/>
      <c r="K325"/>
      <c r="L325"/>
      <c r="M325"/>
      <c r="N325"/>
      <c r="O325"/>
      <c r="P325"/>
      <c r="Q325"/>
      <c r="R325"/>
      <c r="S325"/>
    </row>
    <row r="326" spans="1:19" x14ac:dyDescent="0.25">
      <c r="A326"/>
      <c r="B326"/>
      <c r="C326"/>
      <c r="D326"/>
      <c r="E326"/>
      <c r="F326"/>
      <c r="G326"/>
      <c r="H326"/>
      <c r="J326"/>
      <c r="K326"/>
      <c r="L326"/>
      <c r="M326"/>
      <c r="N326"/>
      <c r="O326"/>
      <c r="P326"/>
      <c r="Q326"/>
      <c r="R326"/>
      <c r="S326"/>
    </row>
    <row r="327" spans="1:19" x14ac:dyDescent="0.25">
      <c r="A327"/>
      <c r="B327"/>
      <c r="C327"/>
      <c r="D327"/>
      <c r="E327"/>
      <c r="F327"/>
      <c r="G327"/>
      <c r="H327"/>
      <c r="J327"/>
      <c r="K327"/>
      <c r="L327"/>
      <c r="M327"/>
      <c r="N327"/>
      <c r="O327"/>
      <c r="P327"/>
      <c r="Q327"/>
      <c r="R327"/>
      <c r="S327"/>
    </row>
    <row r="328" spans="1:19" x14ac:dyDescent="0.25">
      <c r="A328"/>
      <c r="B328"/>
      <c r="C328"/>
      <c r="D328"/>
      <c r="E328"/>
      <c r="F328"/>
      <c r="G328"/>
      <c r="H328"/>
      <c r="J328"/>
      <c r="K328"/>
      <c r="L328"/>
      <c r="M328"/>
      <c r="N328"/>
      <c r="O328"/>
      <c r="P328"/>
      <c r="Q328"/>
      <c r="R328"/>
      <c r="S328"/>
    </row>
    <row r="329" spans="1:19" x14ac:dyDescent="0.25">
      <c r="A329"/>
      <c r="B329"/>
      <c r="C329"/>
      <c r="D329"/>
      <c r="E329"/>
      <c r="F329"/>
      <c r="G329"/>
      <c r="H329"/>
      <c r="J329"/>
      <c r="K329"/>
      <c r="L329"/>
      <c r="M329"/>
      <c r="N329"/>
      <c r="O329"/>
      <c r="P329"/>
      <c r="Q329"/>
      <c r="R329"/>
      <c r="S329"/>
    </row>
    <row r="330" spans="1:19" x14ac:dyDescent="0.25">
      <c r="A330"/>
      <c r="B330"/>
      <c r="C330"/>
      <c r="D330"/>
      <c r="E330"/>
      <c r="F330"/>
      <c r="G330"/>
      <c r="H330"/>
      <c r="J330"/>
      <c r="K330"/>
      <c r="L330"/>
      <c r="M330"/>
      <c r="N330"/>
      <c r="O330"/>
      <c r="P330"/>
      <c r="Q330"/>
      <c r="R330"/>
      <c r="S330"/>
    </row>
    <row r="331" spans="1:19" x14ac:dyDescent="0.25">
      <c r="A331"/>
      <c r="B331"/>
      <c r="C331"/>
      <c r="D331"/>
      <c r="E331"/>
      <c r="F331"/>
      <c r="G331"/>
      <c r="H331"/>
      <c r="J331"/>
      <c r="K331"/>
      <c r="L331"/>
      <c r="M331"/>
      <c r="N331"/>
      <c r="O331"/>
      <c r="P331"/>
      <c r="Q331"/>
      <c r="R331"/>
      <c r="S331"/>
    </row>
    <row r="332" spans="1:19" x14ac:dyDescent="0.25">
      <c r="A332"/>
      <c r="B332"/>
      <c r="C332"/>
      <c r="D332"/>
      <c r="E332"/>
      <c r="F332"/>
      <c r="G332"/>
      <c r="H332"/>
      <c r="J332"/>
      <c r="K332"/>
      <c r="L332"/>
      <c r="M332"/>
      <c r="N332"/>
      <c r="O332"/>
      <c r="P332"/>
      <c r="Q332"/>
      <c r="R332"/>
      <c r="S332"/>
    </row>
    <row r="333" spans="1:19" x14ac:dyDescent="0.25">
      <c r="A333"/>
      <c r="B333"/>
      <c r="C333"/>
      <c r="D333"/>
      <c r="E333"/>
      <c r="F333"/>
      <c r="G333"/>
      <c r="H333"/>
      <c r="J333"/>
      <c r="K333"/>
      <c r="L333"/>
      <c r="M333"/>
      <c r="N333"/>
      <c r="O333"/>
      <c r="P333"/>
      <c r="Q333"/>
      <c r="R333"/>
      <c r="S333"/>
    </row>
    <row r="334" spans="1:19" x14ac:dyDescent="0.25">
      <c r="A334"/>
      <c r="B334"/>
      <c r="C334"/>
      <c r="D334"/>
      <c r="E334"/>
      <c r="F334"/>
      <c r="G334"/>
      <c r="H334"/>
      <c r="J334"/>
      <c r="K334"/>
      <c r="L334"/>
      <c r="M334"/>
      <c r="N334"/>
      <c r="O334"/>
      <c r="P334"/>
      <c r="Q334"/>
      <c r="R334"/>
      <c r="S334"/>
    </row>
    <row r="335" spans="1:19" x14ac:dyDescent="0.25">
      <c r="A335"/>
      <c r="B335"/>
      <c r="C335"/>
      <c r="D335"/>
      <c r="E335"/>
      <c r="F335"/>
      <c r="G335"/>
      <c r="H335"/>
      <c r="J335"/>
      <c r="K335"/>
      <c r="L335"/>
      <c r="M335"/>
      <c r="N335"/>
      <c r="O335"/>
      <c r="P335"/>
      <c r="Q335"/>
      <c r="R335"/>
      <c r="S335"/>
    </row>
    <row r="336" spans="1:19" x14ac:dyDescent="0.25">
      <c r="A336"/>
      <c r="B336"/>
      <c r="C336"/>
      <c r="D336"/>
      <c r="E336"/>
      <c r="F336"/>
      <c r="G336"/>
      <c r="H336"/>
      <c r="J336"/>
      <c r="K336"/>
      <c r="L336"/>
      <c r="M336"/>
      <c r="N336"/>
      <c r="O336"/>
      <c r="P336"/>
      <c r="Q336"/>
      <c r="R336"/>
      <c r="S336"/>
    </row>
    <row r="337" spans="1:19" x14ac:dyDescent="0.25">
      <c r="A337"/>
      <c r="B337"/>
      <c r="C337"/>
      <c r="D337"/>
      <c r="E337"/>
      <c r="F337"/>
      <c r="G337"/>
      <c r="H337"/>
      <c r="J337"/>
      <c r="K337"/>
      <c r="L337"/>
      <c r="M337"/>
      <c r="N337"/>
      <c r="O337"/>
      <c r="P337"/>
      <c r="Q337"/>
      <c r="R337"/>
      <c r="S337"/>
    </row>
    <row r="338" spans="1:19" x14ac:dyDescent="0.25">
      <c r="A338"/>
      <c r="B338"/>
      <c r="C338"/>
      <c r="D338"/>
      <c r="E338"/>
      <c r="F338"/>
      <c r="G338"/>
      <c r="H338"/>
      <c r="J338"/>
      <c r="K338"/>
      <c r="L338"/>
      <c r="M338"/>
      <c r="N338"/>
      <c r="O338"/>
      <c r="P338"/>
      <c r="Q338"/>
      <c r="R338"/>
      <c r="S338"/>
    </row>
    <row r="339" spans="1:19" x14ac:dyDescent="0.25">
      <c r="A339"/>
      <c r="B339"/>
      <c r="C339"/>
      <c r="D339"/>
      <c r="E339"/>
      <c r="F339"/>
      <c r="G339"/>
      <c r="H339"/>
      <c r="J339"/>
      <c r="K339"/>
      <c r="L339"/>
      <c r="M339"/>
      <c r="N339"/>
      <c r="O339"/>
      <c r="P339"/>
      <c r="Q339"/>
      <c r="R339"/>
      <c r="S339"/>
    </row>
    <row r="340" spans="1:19" x14ac:dyDescent="0.25">
      <c r="A340"/>
      <c r="B340"/>
      <c r="C340"/>
      <c r="D340"/>
      <c r="E340"/>
      <c r="F340"/>
      <c r="G340"/>
      <c r="H340"/>
      <c r="J340"/>
      <c r="K340"/>
      <c r="L340"/>
      <c r="M340"/>
      <c r="N340"/>
      <c r="O340"/>
      <c r="P340"/>
      <c r="Q340"/>
      <c r="R340"/>
      <c r="S340"/>
    </row>
    <row r="341" spans="1:19" x14ac:dyDescent="0.25">
      <c r="A341"/>
      <c r="B341"/>
      <c r="C341"/>
      <c r="D341"/>
      <c r="E341"/>
      <c r="F341"/>
      <c r="G341"/>
      <c r="H341"/>
      <c r="J341"/>
      <c r="K341"/>
      <c r="L341"/>
      <c r="M341"/>
      <c r="N341"/>
      <c r="O341"/>
      <c r="P341"/>
      <c r="Q341"/>
      <c r="R341"/>
      <c r="S341"/>
    </row>
    <row r="342" spans="1:19" x14ac:dyDescent="0.25">
      <c r="A342"/>
      <c r="B342"/>
      <c r="C342"/>
      <c r="D342"/>
      <c r="E342"/>
      <c r="F342"/>
      <c r="G342"/>
      <c r="H342"/>
      <c r="J342"/>
      <c r="K342"/>
      <c r="L342"/>
      <c r="M342"/>
      <c r="N342"/>
      <c r="O342"/>
      <c r="P342"/>
      <c r="Q342"/>
      <c r="R342"/>
      <c r="S342"/>
    </row>
    <row r="343" spans="1:19" x14ac:dyDescent="0.25">
      <c r="A343"/>
      <c r="B343"/>
      <c r="C343"/>
      <c r="D343"/>
      <c r="E343"/>
      <c r="F343"/>
      <c r="G343"/>
      <c r="H343"/>
      <c r="J343"/>
      <c r="K343"/>
      <c r="L343"/>
      <c r="M343"/>
      <c r="N343"/>
      <c r="O343"/>
      <c r="P343"/>
      <c r="Q343"/>
      <c r="R343"/>
      <c r="S343"/>
    </row>
    <row r="344" spans="1:19" x14ac:dyDescent="0.25">
      <c r="A344"/>
      <c r="B344"/>
      <c r="C344"/>
      <c r="D344"/>
      <c r="E344"/>
      <c r="F344"/>
      <c r="G344"/>
      <c r="H344"/>
      <c r="J344"/>
      <c r="K344"/>
      <c r="L344"/>
      <c r="M344"/>
      <c r="N344"/>
      <c r="O344"/>
      <c r="P344"/>
      <c r="Q344"/>
      <c r="R344"/>
      <c r="S344"/>
    </row>
    <row r="345" spans="1:19" x14ac:dyDescent="0.25">
      <c r="A345"/>
      <c r="B345"/>
      <c r="C345"/>
      <c r="D345"/>
      <c r="E345"/>
      <c r="F345"/>
      <c r="G345"/>
      <c r="H345"/>
      <c r="J345"/>
      <c r="K345"/>
      <c r="L345"/>
      <c r="M345"/>
      <c r="N345"/>
      <c r="O345"/>
      <c r="P345"/>
      <c r="Q345"/>
      <c r="R345"/>
      <c r="S345"/>
    </row>
    <row r="346" spans="1:19" x14ac:dyDescent="0.25">
      <c r="A346"/>
      <c r="B346"/>
      <c r="C346"/>
      <c r="D346"/>
      <c r="E346"/>
      <c r="F346"/>
      <c r="G346"/>
      <c r="H346"/>
      <c r="J346"/>
      <c r="K346"/>
      <c r="L346"/>
      <c r="M346"/>
      <c r="N346"/>
      <c r="O346"/>
      <c r="P346"/>
      <c r="Q346"/>
      <c r="R346"/>
      <c r="S346"/>
    </row>
    <row r="347" spans="1:19" x14ac:dyDescent="0.25">
      <c r="A347"/>
      <c r="B347"/>
      <c r="C347"/>
      <c r="D347"/>
      <c r="E347"/>
      <c r="F347"/>
      <c r="G347"/>
      <c r="H347"/>
      <c r="J347"/>
      <c r="K347"/>
      <c r="L347"/>
      <c r="M347"/>
      <c r="N347"/>
      <c r="O347"/>
      <c r="P347"/>
      <c r="Q347"/>
      <c r="R347"/>
      <c r="S347"/>
    </row>
    <row r="348" spans="1:19" x14ac:dyDescent="0.25">
      <c r="A348"/>
      <c r="B348"/>
      <c r="C348"/>
      <c r="D348"/>
      <c r="E348"/>
      <c r="F348"/>
      <c r="G348"/>
      <c r="H348"/>
      <c r="J348"/>
      <c r="K348"/>
      <c r="L348"/>
      <c r="M348"/>
      <c r="N348"/>
      <c r="O348"/>
      <c r="P348"/>
      <c r="Q348"/>
      <c r="R348"/>
      <c r="S348"/>
    </row>
    <row r="349" spans="1:19" x14ac:dyDescent="0.25">
      <c r="A349"/>
      <c r="B349"/>
      <c r="C349"/>
      <c r="D349"/>
      <c r="E349"/>
      <c r="F349"/>
      <c r="G349"/>
      <c r="H349"/>
      <c r="J349"/>
      <c r="K349"/>
      <c r="L349"/>
      <c r="M349"/>
      <c r="N349"/>
      <c r="O349"/>
      <c r="P349"/>
      <c r="Q349"/>
      <c r="R349"/>
      <c r="S349"/>
    </row>
    <row r="350" spans="1:19" x14ac:dyDescent="0.25">
      <c r="A350"/>
      <c r="B350"/>
      <c r="C350"/>
      <c r="D350"/>
      <c r="E350"/>
      <c r="F350"/>
      <c r="G350"/>
      <c r="H350"/>
      <c r="J350"/>
      <c r="K350"/>
      <c r="L350"/>
      <c r="M350"/>
      <c r="N350"/>
      <c r="O350"/>
      <c r="P350"/>
      <c r="Q350"/>
      <c r="R350"/>
      <c r="S350"/>
    </row>
    <row r="351" spans="1:19" x14ac:dyDescent="0.25">
      <c r="A351"/>
      <c r="B351"/>
      <c r="C351"/>
      <c r="D351"/>
      <c r="E351"/>
      <c r="F351"/>
      <c r="G351"/>
      <c r="H351"/>
      <c r="J351"/>
      <c r="K351"/>
      <c r="L351"/>
      <c r="M351"/>
      <c r="N351"/>
      <c r="O351"/>
      <c r="P351"/>
      <c r="Q351"/>
      <c r="R351"/>
      <c r="S351"/>
    </row>
    <row r="352" spans="1:19" x14ac:dyDescent="0.25">
      <c r="A352"/>
      <c r="B352"/>
      <c r="C352"/>
      <c r="D352"/>
      <c r="E352"/>
      <c r="F352"/>
      <c r="G352"/>
      <c r="H352"/>
      <c r="J352"/>
      <c r="K352"/>
      <c r="L352"/>
      <c r="M352"/>
      <c r="N352"/>
      <c r="O352"/>
      <c r="P352"/>
      <c r="Q352"/>
      <c r="R352"/>
      <c r="S352"/>
    </row>
    <row r="353" spans="1:19" x14ac:dyDescent="0.25">
      <c r="A353"/>
      <c r="B353"/>
      <c r="C353"/>
      <c r="D353"/>
      <c r="E353"/>
      <c r="F353"/>
      <c r="G353"/>
      <c r="H353"/>
      <c r="J353"/>
      <c r="K353"/>
      <c r="L353"/>
      <c r="M353"/>
      <c r="N353"/>
      <c r="O353"/>
      <c r="P353"/>
      <c r="Q353"/>
      <c r="R353"/>
      <c r="S353"/>
    </row>
    <row r="354" spans="1:19" x14ac:dyDescent="0.25">
      <c r="A354"/>
      <c r="B354"/>
      <c r="C354"/>
      <c r="D354"/>
      <c r="E354"/>
      <c r="F354"/>
      <c r="G354"/>
      <c r="H354"/>
      <c r="J354"/>
      <c r="K354"/>
      <c r="L354"/>
      <c r="M354"/>
      <c r="N354"/>
      <c r="O354"/>
      <c r="P354"/>
      <c r="Q354"/>
      <c r="R354"/>
      <c r="S354"/>
    </row>
    <row r="355" spans="1:19" x14ac:dyDescent="0.25">
      <c r="A355"/>
      <c r="B355"/>
      <c r="C355"/>
      <c r="D355"/>
      <c r="E355"/>
      <c r="F355"/>
      <c r="G355"/>
      <c r="H355"/>
      <c r="J355"/>
      <c r="K355"/>
      <c r="L355"/>
      <c r="M355"/>
      <c r="N355"/>
      <c r="O355"/>
      <c r="P355"/>
      <c r="Q355"/>
      <c r="R355"/>
      <c r="S355"/>
    </row>
    <row r="356" spans="1:19" x14ac:dyDescent="0.25">
      <c r="A356"/>
      <c r="B356"/>
      <c r="C356"/>
      <c r="D356"/>
      <c r="E356"/>
      <c r="F356"/>
      <c r="G356"/>
      <c r="H356"/>
      <c r="J356"/>
      <c r="K356"/>
      <c r="L356"/>
      <c r="M356"/>
      <c r="N356"/>
      <c r="O356"/>
      <c r="P356"/>
      <c r="Q356"/>
      <c r="R356"/>
      <c r="S356"/>
    </row>
    <row r="357" spans="1:19" x14ac:dyDescent="0.25">
      <c r="A357"/>
      <c r="B357"/>
      <c r="C357"/>
      <c r="D357"/>
      <c r="E357"/>
      <c r="F357"/>
      <c r="G357"/>
      <c r="H357"/>
      <c r="J357"/>
      <c r="K357"/>
      <c r="L357"/>
      <c r="M357"/>
      <c r="N357"/>
      <c r="O357"/>
      <c r="P357"/>
      <c r="Q357"/>
      <c r="R357"/>
      <c r="S357"/>
    </row>
    <row r="358" spans="1:19" x14ac:dyDescent="0.25">
      <c r="A358"/>
      <c r="B358"/>
      <c r="C358"/>
      <c r="D358"/>
      <c r="E358"/>
      <c r="F358"/>
      <c r="G358"/>
      <c r="H358"/>
      <c r="J358"/>
      <c r="K358"/>
      <c r="L358"/>
      <c r="M358"/>
      <c r="N358"/>
      <c r="O358"/>
      <c r="P358"/>
      <c r="Q358"/>
      <c r="R358"/>
      <c r="S358"/>
    </row>
    <row r="359" spans="1:19" x14ac:dyDescent="0.25">
      <c r="A359"/>
      <c r="B359"/>
      <c r="C359"/>
      <c r="D359"/>
      <c r="E359"/>
      <c r="F359"/>
      <c r="G359"/>
      <c r="H359"/>
      <c r="J359"/>
      <c r="K359"/>
      <c r="L359"/>
      <c r="M359"/>
      <c r="N359"/>
      <c r="O359"/>
      <c r="P359"/>
      <c r="Q359"/>
      <c r="R359"/>
      <c r="S359"/>
    </row>
    <row r="360" spans="1:19" x14ac:dyDescent="0.25">
      <c r="A360"/>
      <c r="B360"/>
      <c r="C360"/>
      <c r="D360"/>
      <c r="E360"/>
      <c r="F360"/>
      <c r="G360"/>
      <c r="H360"/>
      <c r="J360"/>
      <c r="K360"/>
      <c r="L360"/>
      <c r="M360"/>
      <c r="N360"/>
      <c r="O360"/>
      <c r="P360"/>
      <c r="Q360"/>
      <c r="R360"/>
      <c r="S360"/>
    </row>
    <row r="361" spans="1:19" x14ac:dyDescent="0.25">
      <c r="A361"/>
      <c r="B361"/>
      <c r="C361"/>
      <c r="D361"/>
      <c r="E361"/>
      <c r="F361"/>
      <c r="G361"/>
      <c r="H361"/>
      <c r="J361"/>
      <c r="K361"/>
      <c r="L361"/>
      <c r="M361"/>
      <c r="N361"/>
      <c r="O361"/>
      <c r="P361"/>
      <c r="Q361"/>
      <c r="R361"/>
      <c r="S361"/>
    </row>
    <row r="362" spans="1:19" x14ac:dyDescent="0.25">
      <c r="A362"/>
      <c r="B362"/>
      <c r="C362"/>
      <c r="D362"/>
      <c r="E362"/>
      <c r="F362"/>
      <c r="G362"/>
      <c r="H362"/>
      <c r="J362"/>
      <c r="K362"/>
      <c r="L362"/>
      <c r="M362"/>
      <c r="N362"/>
      <c r="O362"/>
      <c r="P362"/>
      <c r="Q362"/>
      <c r="R362"/>
      <c r="S362"/>
    </row>
    <row r="363" spans="1:19" x14ac:dyDescent="0.25">
      <c r="A363"/>
      <c r="B363"/>
      <c r="C363"/>
      <c r="D363"/>
      <c r="E363"/>
      <c r="F363"/>
      <c r="G363"/>
      <c r="H363"/>
      <c r="J363"/>
      <c r="K363"/>
      <c r="L363"/>
      <c r="M363"/>
      <c r="N363"/>
      <c r="O363"/>
      <c r="P363"/>
      <c r="Q363"/>
      <c r="R363"/>
      <c r="S363"/>
    </row>
    <row r="364" spans="1:19" x14ac:dyDescent="0.25">
      <c r="A364"/>
      <c r="B364"/>
      <c r="C364"/>
      <c r="D364"/>
      <c r="E364"/>
      <c r="F364"/>
      <c r="G364"/>
      <c r="H364"/>
      <c r="J364"/>
      <c r="K364"/>
      <c r="L364"/>
      <c r="M364"/>
      <c r="N364"/>
      <c r="O364"/>
      <c r="P364"/>
      <c r="Q364"/>
      <c r="R364"/>
      <c r="S364"/>
    </row>
    <row r="365" spans="1:19" x14ac:dyDescent="0.25">
      <c r="A365"/>
      <c r="B365"/>
      <c r="C365"/>
      <c r="D365"/>
      <c r="E365"/>
      <c r="F365"/>
      <c r="G365"/>
      <c r="H365"/>
      <c r="J365"/>
      <c r="K365"/>
      <c r="L365"/>
      <c r="M365"/>
      <c r="N365"/>
      <c r="O365"/>
      <c r="P365"/>
      <c r="Q365"/>
      <c r="R365"/>
      <c r="S365"/>
    </row>
    <row r="366" spans="1:19" x14ac:dyDescent="0.25">
      <c r="A366"/>
      <c r="B366"/>
      <c r="C366"/>
      <c r="D366"/>
      <c r="E366"/>
      <c r="F366"/>
      <c r="G366"/>
      <c r="H366"/>
      <c r="J366"/>
      <c r="K366"/>
      <c r="L366"/>
      <c r="M366"/>
      <c r="N366"/>
      <c r="O366"/>
      <c r="P366"/>
      <c r="Q366"/>
      <c r="R366"/>
      <c r="S366"/>
    </row>
    <row r="367" spans="1:19" x14ac:dyDescent="0.25">
      <c r="A367"/>
      <c r="B367"/>
      <c r="C367"/>
      <c r="D367"/>
      <c r="E367"/>
      <c r="F367"/>
      <c r="G367"/>
      <c r="H367"/>
      <c r="J367"/>
      <c r="K367"/>
      <c r="L367"/>
      <c r="M367"/>
      <c r="N367"/>
      <c r="O367"/>
      <c r="P367"/>
      <c r="Q367"/>
      <c r="R367"/>
      <c r="S367"/>
    </row>
    <row r="368" spans="1:19" x14ac:dyDescent="0.25">
      <c r="A368"/>
      <c r="B368"/>
      <c r="C368"/>
      <c r="D368"/>
      <c r="E368"/>
      <c r="F368"/>
      <c r="G368"/>
      <c r="H368"/>
      <c r="J368"/>
      <c r="K368"/>
      <c r="L368"/>
      <c r="M368"/>
      <c r="N368"/>
      <c r="O368"/>
      <c r="P368"/>
      <c r="Q368"/>
      <c r="R368"/>
      <c r="S368"/>
    </row>
    <row r="369" spans="1:19" x14ac:dyDescent="0.25">
      <c r="A369"/>
      <c r="B369"/>
      <c r="C369"/>
      <c r="D369"/>
      <c r="E369"/>
      <c r="F369"/>
      <c r="G369"/>
      <c r="H369"/>
      <c r="J369"/>
      <c r="K369"/>
      <c r="L369"/>
      <c r="M369"/>
      <c r="N369"/>
      <c r="O369"/>
      <c r="P369"/>
      <c r="Q369"/>
      <c r="R369"/>
      <c r="S369"/>
    </row>
    <row r="370" spans="1:19" x14ac:dyDescent="0.25">
      <c r="A370"/>
      <c r="B370"/>
      <c r="C370"/>
      <c r="D370"/>
      <c r="E370"/>
      <c r="F370"/>
      <c r="G370"/>
      <c r="H370"/>
      <c r="J370"/>
      <c r="K370"/>
      <c r="L370"/>
      <c r="M370"/>
      <c r="N370"/>
      <c r="O370"/>
      <c r="P370"/>
      <c r="Q370"/>
      <c r="R370"/>
      <c r="S370"/>
    </row>
    <row r="371" spans="1:19" x14ac:dyDescent="0.25">
      <c r="A371"/>
      <c r="B371"/>
      <c r="C371"/>
      <c r="D371"/>
      <c r="E371"/>
      <c r="F371"/>
      <c r="G371"/>
      <c r="H371"/>
      <c r="J371"/>
      <c r="K371"/>
      <c r="L371"/>
      <c r="M371"/>
      <c r="N371"/>
      <c r="O371"/>
      <c r="P371"/>
      <c r="Q371"/>
      <c r="R371"/>
      <c r="S371"/>
    </row>
    <row r="372" spans="1:19" x14ac:dyDescent="0.25">
      <c r="A372"/>
      <c r="B372"/>
      <c r="C372"/>
      <c r="D372"/>
      <c r="E372"/>
      <c r="F372"/>
      <c r="G372"/>
      <c r="H372"/>
      <c r="J372"/>
      <c r="K372"/>
      <c r="L372"/>
      <c r="M372"/>
      <c r="N372"/>
      <c r="O372"/>
      <c r="P372"/>
      <c r="Q372"/>
      <c r="R372"/>
      <c r="S372"/>
    </row>
    <row r="373" spans="1:19" x14ac:dyDescent="0.25">
      <c r="A373"/>
      <c r="B373"/>
      <c r="C373"/>
      <c r="D373"/>
      <c r="E373"/>
      <c r="F373"/>
      <c r="G373"/>
      <c r="H373"/>
      <c r="J373"/>
      <c r="K373"/>
      <c r="L373"/>
      <c r="M373"/>
      <c r="N373"/>
      <c r="O373"/>
      <c r="P373"/>
      <c r="Q373"/>
      <c r="R373"/>
      <c r="S373"/>
    </row>
    <row r="374" spans="1:19" x14ac:dyDescent="0.25">
      <c r="A374"/>
      <c r="B374"/>
      <c r="C374"/>
      <c r="D374"/>
      <c r="E374"/>
      <c r="F374"/>
      <c r="G374"/>
      <c r="H374"/>
      <c r="J374"/>
      <c r="K374"/>
      <c r="L374"/>
      <c r="M374"/>
      <c r="N374"/>
      <c r="O374"/>
      <c r="P374"/>
      <c r="Q374"/>
      <c r="R374"/>
      <c r="S374"/>
    </row>
    <row r="375" spans="1:19" x14ac:dyDescent="0.25">
      <c r="A375"/>
      <c r="B375"/>
      <c r="C375"/>
      <c r="D375"/>
      <c r="E375"/>
      <c r="F375"/>
      <c r="G375"/>
      <c r="H375"/>
      <c r="J375"/>
      <c r="K375"/>
      <c r="L375"/>
      <c r="M375"/>
      <c r="N375"/>
      <c r="O375"/>
      <c r="P375"/>
      <c r="Q375"/>
      <c r="R375"/>
      <c r="S375"/>
    </row>
    <row r="376" spans="1:19" x14ac:dyDescent="0.25">
      <c r="A376"/>
      <c r="B376"/>
      <c r="C376"/>
      <c r="D376"/>
      <c r="E376"/>
      <c r="F376"/>
      <c r="G376"/>
      <c r="H376"/>
      <c r="J376"/>
      <c r="K376"/>
      <c r="L376"/>
      <c r="M376"/>
      <c r="N376"/>
      <c r="O376"/>
      <c r="P376"/>
      <c r="Q376"/>
      <c r="R376"/>
      <c r="S376"/>
    </row>
    <row r="377" spans="1:19" x14ac:dyDescent="0.25">
      <c r="A377"/>
      <c r="B377"/>
      <c r="C377"/>
      <c r="D377"/>
      <c r="E377"/>
      <c r="F377"/>
      <c r="G377"/>
      <c r="H377"/>
      <c r="J377"/>
      <c r="K377"/>
      <c r="L377"/>
      <c r="M377"/>
      <c r="N377"/>
      <c r="O377"/>
      <c r="P377"/>
      <c r="Q377"/>
      <c r="R377"/>
      <c r="S377"/>
    </row>
    <row r="378" spans="1:19" x14ac:dyDescent="0.25">
      <c r="A378"/>
      <c r="B378"/>
      <c r="C378"/>
      <c r="D378"/>
      <c r="E378"/>
      <c r="F378"/>
      <c r="G378"/>
      <c r="H378"/>
      <c r="J378"/>
      <c r="K378"/>
      <c r="L378"/>
      <c r="M378"/>
      <c r="N378"/>
      <c r="O378"/>
      <c r="P378"/>
      <c r="Q378"/>
      <c r="R378"/>
      <c r="S378"/>
    </row>
    <row r="379" spans="1:19" x14ac:dyDescent="0.25">
      <c r="A379"/>
      <c r="B379"/>
      <c r="C379"/>
      <c r="D379"/>
      <c r="E379"/>
      <c r="F379"/>
      <c r="G379"/>
      <c r="H379"/>
      <c r="J379"/>
      <c r="K379"/>
      <c r="L379"/>
      <c r="M379"/>
      <c r="N379"/>
      <c r="O379"/>
      <c r="P379"/>
      <c r="Q379"/>
      <c r="R379"/>
      <c r="S379"/>
    </row>
    <row r="380" spans="1:19" x14ac:dyDescent="0.25">
      <c r="A380"/>
      <c r="B380"/>
      <c r="C380"/>
      <c r="D380"/>
      <c r="E380"/>
      <c r="F380"/>
      <c r="G380"/>
      <c r="H380"/>
      <c r="J380"/>
      <c r="K380"/>
      <c r="L380"/>
      <c r="M380"/>
      <c r="N380"/>
      <c r="O380"/>
      <c r="P380"/>
      <c r="Q380"/>
      <c r="R380"/>
      <c r="S380"/>
    </row>
    <row r="381" spans="1:19" x14ac:dyDescent="0.25">
      <c r="A381"/>
      <c r="B381"/>
      <c r="C381"/>
      <c r="D381"/>
      <c r="E381"/>
      <c r="F381"/>
      <c r="G381"/>
      <c r="H381"/>
      <c r="J381"/>
      <c r="K381"/>
      <c r="L381"/>
      <c r="M381"/>
      <c r="N381"/>
      <c r="O381"/>
      <c r="P381"/>
      <c r="Q381"/>
      <c r="R381"/>
      <c r="S381"/>
    </row>
    <row r="382" spans="1:19" x14ac:dyDescent="0.25">
      <c r="A382"/>
      <c r="B382"/>
      <c r="C382"/>
      <c r="D382"/>
      <c r="E382"/>
      <c r="F382"/>
      <c r="G382"/>
      <c r="H382"/>
      <c r="J382"/>
      <c r="K382"/>
      <c r="L382"/>
      <c r="M382"/>
      <c r="N382"/>
      <c r="O382"/>
      <c r="P382"/>
      <c r="Q382"/>
      <c r="R382"/>
      <c r="S382"/>
    </row>
    <row r="383" spans="1:19" x14ac:dyDescent="0.25">
      <c r="A383"/>
      <c r="B383"/>
      <c r="C383"/>
      <c r="D383"/>
      <c r="E383"/>
      <c r="F383"/>
      <c r="G383"/>
      <c r="H383"/>
      <c r="J383"/>
      <c r="K383"/>
      <c r="L383"/>
      <c r="M383"/>
      <c r="N383"/>
      <c r="O383"/>
      <c r="P383"/>
      <c r="Q383"/>
      <c r="R383"/>
      <c r="S383"/>
    </row>
    <row r="384" spans="1:19" x14ac:dyDescent="0.25">
      <c r="A384"/>
      <c r="B384"/>
      <c r="C384"/>
      <c r="D384"/>
      <c r="E384"/>
      <c r="F384"/>
      <c r="G384"/>
      <c r="H384"/>
      <c r="J384"/>
      <c r="K384"/>
      <c r="L384"/>
      <c r="M384"/>
      <c r="N384"/>
      <c r="O384"/>
      <c r="P384"/>
      <c r="Q384"/>
      <c r="R384"/>
      <c r="S384"/>
    </row>
    <row r="385" spans="1:19" x14ac:dyDescent="0.25">
      <c r="A385"/>
      <c r="B385"/>
      <c r="C385"/>
      <c r="D385"/>
      <c r="E385"/>
      <c r="F385"/>
      <c r="G385"/>
      <c r="H385"/>
      <c r="J385"/>
      <c r="K385"/>
      <c r="L385"/>
      <c r="M385"/>
      <c r="N385"/>
      <c r="O385"/>
      <c r="P385"/>
      <c r="Q385"/>
      <c r="R385"/>
      <c r="S385"/>
    </row>
    <row r="386" spans="1:19" x14ac:dyDescent="0.25">
      <c r="A386"/>
      <c r="B386"/>
      <c r="C386"/>
      <c r="D386"/>
      <c r="E386"/>
      <c r="F386"/>
      <c r="G386"/>
      <c r="H386"/>
      <c r="J386"/>
      <c r="K386"/>
      <c r="L386"/>
      <c r="M386"/>
      <c r="N386"/>
      <c r="O386"/>
      <c r="P386"/>
      <c r="Q386"/>
      <c r="R386"/>
      <c r="S386"/>
    </row>
    <row r="387" spans="1:19" x14ac:dyDescent="0.25">
      <c r="A387"/>
      <c r="B387"/>
      <c r="C387"/>
      <c r="D387"/>
      <c r="E387"/>
      <c r="F387"/>
      <c r="G387"/>
      <c r="H387"/>
      <c r="J387"/>
      <c r="K387"/>
      <c r="L387"/>
      <c r="M387"/>
      <c r="N387"/>
      <c r="O387"/>
      <c r="P387"/>
      <c r="Q387"/>
      <c r="R387"/>
      <c r="S387"/>
    </row>
    <row r="388" spans="1:19" x14ac:dyDescent="0.25">
      <c r="A388"/>
      <c r="B388"/>
      <c r="C388"/>
      <c r="D388"/>
      <c r="E388"/>
      <c r="F388"/>
      <c r="G388"/>
      <c r="H388"/>
      <c r="J388"/>
      <c r="K388"/>
      <c r="L388"/>
      <c r="M388"/>
      <c r="N388"/>
      <c r="O388"/>
      <c r="P388"/>
      <c r="Q388"/>
      <c r="R388"/>
      <c r="S388"/>
    </row>
    <row r="389" spans="1:19" x14ac:dyDescent="0.25">
      <c r="A389"/>
      <c r="B389"/>
      <c r="C389"/>
      <c r="D389"/>
      <c r="E389"/>
      <c r="F389"/>
      <c r="G389"/>
      <c r="H389"/>
      <c r="J389"/>
      <c r="K389"/>
      <c r="L389"/>
      <c r="M389"/>
      <c r="N389"/>
      <c r="O389"/>
      <c r="P389"/>
      <c r="Q389"/>
      <c r="R389"/>
      <c r="S389"/>
    </row>
    <row r="390" spans="1:19" x14ac:dyDescent="0.25">
      <c r="A390"/>
      <c r="B390"/>
      <c r="C390"/>
      <c r="D390"/>
      <c r="E390"/>
      <c r="F390"/>
      <c r="G390"/>
      <c r="H390"/>
      <c r="J390"/>
      <c r="K390"/>
      <c r="L390"/>
      <c r="M390"/>
      <c r="N390"/>
      <c r="O390"/>
      <c r="P390"/>
      <c r="Q390"/>
      <c r="R390"/>
      <c r="S390"/>
    </row>
    <row r="391" spans="1:19" x14ac:dyDescent="0.25">
      <c r="A391"/>
      <c r="B391"/>
      <c r="C391"/>
      <c r="D391"/>
      <c r="E391"/>
      <c r="F391"/>
      <c r="G391"/>
      <c r="H391"/>
      <c r="J391"/>
      <c r="K391"/>
      <c r="L391"/>
      <c r="M391"/>
      <c r="N391"/>
      <c r="O391"/>
      <c r="P391"/>
      <c r="Q391"/>
      <c r="R391"/>
      <c r="S391"/>
    </row>
    <row r="392" spans="1:19" x14ac:dyDescent="0.25">
      <c r="A392"/>
      <c r="B392"/>
      <c r="C392"/>
      <c r="D392"/>
      <c r="E392"/>
      <c r="F392"/>
      <c r="G392"/>
      <c r="H392"/>
      <c r="J392"/>
      <c r="K392"/>
      <c r="L392"/>
      <c r="M392"/>
      <c r="N392"/>
      <c r="O392"/>
      <c r="P392"/>
      <c r="Q392"/>
      <c r="R392"/>
      <c r="S392"/>
    </row>
    <row r="393" spans="1:19" x14ac:dyDescent="0.25">
      <c r="A393"/>
      <c r="B393"/>
      <c r="C393"/>
      <c r="D393"/>
      <c r="E393"/>
      <c r="F393"/>
      <c r="G393"/>
      <c r="H393"/>
      <c r="J393"/>
      <c r="K393"/>
      <c r="L393"/>
      <c r="M393"/>
      <c r="N393"/>
      <c r="O393"/>
      <c r="P393"/>
      <c r="Q393"/>
      <c r="R393"/>
      <c r="S393"/>
    </row>
    <row r="394" spans="1:19" x14ac:dyDescent="0.25">
      <c r="A394"/>
      <c r="B394"/>
      <c r="C394"/>
      <c r="D394"/>
      <c r="E394"/>
      <c r="F394"/>
      <c r="G394"/>
      <c r="H394"/>
      <c r="J394"/>
      <c r="K394"/>
      <c r="L394"/>
      <c r="M394"/>
      <c r="N394"/>
      <c r="O394"/>
      <c r="P394"/>
      <c r="Q394"/>
      <c r="R394"/>
      <c r="S394"/>
    </row>
    <row r="395" spans="1:19" x14ac:dyDescent="0.25">
      <c r="A395"/>
      <c r="B395"/>
      <c r="C395"/>
      <c r="D395"/>
      <c r="E395"/>
      <c r="F395"/>
      <c r="G395"/>
      <c r="H395"/>
      <c r="J395"/>
      <c r="K395"/>
      <c r="L395"/>
      <c r="M395"/>
      <c r="N395"/>
      <c r="O395"/>
      <c r="P395"/>
      <c r="Q395"/>
      <c r="R395"/>
      <c r="S395"/>
    </row>
    <row r="396" spans="1:19" x14ac:dyDescent="0.25">
      <c r="A396"/>
      <c r="B396"/>
      <c r="C396"/>
      <c r="D396"/>
      <c r="E396"/>
      <c r="F396"/>
      <c r="G396"/>
      <c r="H396"/>
      <c r="J396"/>
      <c r="K396"/>
      <c r="L396"/>
      <c r="M396"/>
      <c r="N396"/>
      <c r="O396"/>
      <c r="P396"/>
      <c r="Q396"/>
      <c r="R396"/>
      <c r="S396"/>
    </row>
    <row r="397" spans="1:19" x14ac:dyDescent="0.25">
      <c r="A397"/>
      <c r="B397"/>
      <c r="C397"/>
      <c r="D397"/>
      <c r="E397"/>
      <c r="F397"/>
      <c r="G397"/>
      <c r="H397"/>
      <c r="J397"/>
      <c r="K397"/>
      <c r="L397"/>
      <c r="M397"/>
      <c r="N397"/>
      <c r="O397"/>
      <c r="P397"/>
      <c r="Q397"/>
      <c r="R397"/>
      <c r="S397"/>
    </row>
    <row r="398" spans="1:19" x14ac:dyDescent="0.25">
      <c r="A398"/>
      <c r="B398"/>
      <c r="C398"/>
      <c r="D398"/>
      <c r="E398"/>
      <c r="F398"/>
      <c r="G398"/>
      <c r="H398"/>
      <c r="J398"/>
      <c r="K398"/>
      <c r="L398"/>
      <c r="M398"/>
      <c r="N398"/>
      <c r="O398"/>
      <c r="P398"/>
      <c r="Q398"/>
      <c r="R398"/>
      <c r="S398"/>
    </row>
    <row r="399" spans="1:19" x14ac:dyDescent="0.25">
      <c r="A399"/>
      <c r="B399"/>
      <c r="C399"/>
      <c r="D399"/>
      <c r="E399"/>
      <c r="F399"/>
      <c r="G399"/>
      <c r="H399"/>
      <c r="J399"/>
      <c r="K399"/>
      <c r="L399"/>
      <c r="M399"/>
      <c r="N399"/>
      <c r="O399"/>
      <c r="P399"/>
      <c r="Q399"/>
      <c r="R399"/>
      <c r="S399"/>
    </row>
    <row r="400" spans="1:19" x14ac:dyDescent="0.25">
      <c r="A400"/>
      <c r="B400"/>
      <c r="C400"/>
      <c r="D400"/>
      <c r="E400"/>
      <c r="F400"/>
      <c r="G400"/>
      <c r="H400"/>
      <c r="J400"/>
      <c r="K400"/>
      <c r="L400"/>
      <c r="M400"/>
      <c r="N400"/>
      <c r="O400"/>
      <c r="P400"/>
      <c r="Q400"/>
      <c r="R400"/>
      <c r="S400"/>
    </row>
    <row r="401" spans="1:19" x14ac:dyDescent="0.25">
      <c r="A401"/>
      <c r="B401"/>
      <c r="C401"/>
      <c r="D401"/>
      <c r="E401"/>
      <c r="F401"/>
      <c r="G401"/>
      <c r="H401"/>
      <c r="J401"/>
      <c r="K401"/>
      <c r="L401"/>
      <c r="M401"/>
      <c r="N401"/>
      <c r="O401"/>
      <c r="P401"/>
      <c r="Q401"/>
      <c r="R401"/>
      <c r="S401"/>
    </row>
    <row r="402" spans="1:19" x14ac:dyDescent="0.25">
      <c r="A402"/>
      <c r="B402"/>
      <c r="C402"/>
      <c r="D402"/>
      <c r="E402"/>
      <c r="F402"/>
      <c r="G402"/>
      <c r="H402"/>
      <c r="J402"/>
      <c r="K402"/>
      <c r="L402"/>
      <c r="M402"/>
      <c r="N402"/>
      <c r="O402"/>
      <c r="P402"/>
      <c r="Q402"/>
      <c r="R402"/>
      <c r="S402"/>
    </row>
    <row r="403" spans="1:19" x14ac:dyDescent="0.25">
      <c r="A403"/>
      <c r="B403"/>
      <c r="C403"/>
      <c r="D403"/>
      <c r="E403"/>
      <c r="F403"/>
      <c r="G403"/>
      <c r="H403"/>
      <c r="J403"/>
      <c r="K403"/>
      <c r="L403"/>
      <c r="M403"/>
      <c r="N403"/>
      <c r="O403"/>
      <c r="P403"/>
      <c r="Q403"/>
      <c r="R403"/>
      <c r="S403"/>
    </row>
    <row r="404" spans="1:19" x14ac:dyDescent="0.25">
      <c r="A404"/>
      <c r="B404"/>
      <c r="C404"/>
      <c r="D404"/>
      <c r="E404"/>
      <c r="F404"/>
      <c r="G404"/>
      <c r="H404"/>
      <c r="J404"/>
      <c r="K404"/>
      <c r="L404"/>
      <c r="M404"/>
      <c r="N404"/>
      <c r="O404"/>
      <c r="P404"/>
      <c r="Q404"/>
      <c r="R404"/>
      <c r="S404"/>
    </row>
    <row r="405" spans="1:19" x14ac:dyDescent="0.25">
      <c r="A405"/>
      <c r="B405"/>
      <c r="C405"/>
      <c r="D405"/>
      <c r="E405"/>
      <c r="F405"/>
      <c r="G405"/>
      <c r="H405"/>
      <c r="J405"/>
      <c r="K405"/>
      <c r="L405"/>
      <c r="M405"/>
      <c r="N405"/>
      <c r="O405"/>
      <c r="P405"/>
      <c r="Q405"/>
      <c r="R405"/>
      <c r="S405"/>
    </row>
    <row r="406" spans="1:19" x14ac:dyDescent="0.25">
      <c r="A406"/>
      <c r="B406"/>
      <c r="C406"/>
      <c r="D406"/>
      <c r="E406"/>
      <c r="F406"/>
      <c r="G406"/>
      <c r="H406"/>
      <c r="J406"/>
      <c r="K406"/>
      <c r="L406"/>
      <c r="M406"/>
      <c r="N406"/>
      <c r="O406"/>
      <c r="P406"/>
      <c r="Q406"/>
      <c r="R406"/>
      <c r="S406"/>
    </row>
    <row r="407" spans="1:19" x14ac:dyDescent="0.25">
      <c r="A407"/>
      <c r="B407"/>
      <c r="C407"/>
      <c r="D407"/>
      <c r="E407"/>
      <c r="F407"/>
      <c r="G407"/>
      <c r="H407"/>
      <c r="J407"/>
      <c r="K407"/>
      <c r="L407"/>
      <c r="M407"/>
      <c r="N407"/>
      <c r="O407"/>
      <c r="P407"/>
      <c r="Q407"/>
      <c r="R407"/>
      <c r="S407"/>
    </row>
    <row r="408" spans="1:19" x14ac:dyDescent="0.25">
      <c r="A408"/>
      <c r="B408"/>
      <c r="C408"/>
      <c r="D408"/>
      <c r="E408"/>
      <c r="F408"/>
      <c r="G408"/>
      <c r="H408"/>
      <c r="J408"/>
      <c r="K408"/>
      <c r="L408"/>
      <c r="M408"/>
      <c r="N408"/>
      <c r="O408"/>
      <c r="P408"/>
      <c r="Q408"/>
      <c r="R408"/>
      <c r="S408"/>
    </row>
    <row r="409" spans="1:19" x14ac:dyDescent="0.25">
      <c r="A409"/>
      <c r="B409"/>
      <c r="C409"/>
      <c r="D409"/>
      <c r="E409"/>
      <c r="F409"/>
      <c r="G409"/>
      <c r="H409"/>
      <c r="J409"/>
      <c r="K409"/>
      <c r="L409"/>
      <c r="M409"/>
      <c r="N409"/>
      <c r="O409"/>
      <c r="P409"/>
      <c r="Q409"/>
      <c r="R409"/>
      <c r="S409"/>
    </row>
    <row r="410" spans="1:19" x14ac:dyDescent="0.25">
      <c r="A410"/>
      <c r="B410"/>
      <c r="C410"/>
      <c r="D410"/>
      <c r="E410"/>
      <c r="F410"/>
      <c r="G410"/>
      <c r="H410"/>
      <c r="J410"/>
      <c r="K410"/>
      <c r="L410"/>
      <c r="M410"/>
      <c r="N410"/>
      <c r="O410"/>
      <c r="P410"/>
      <c r="Q410"/>
      <c r="R410"/>
      <c r="S410"/>
    </row>
    <row r="411" spans="1:19" x14ac:dyDescent="0.25">
      <c r="A411"/>
      <c r="B411"/>
      <c r="C411"/>
      <c r="D411"/>
      <c r="E411"/>
      <c r="F411"/>
      <c r="G411"/>
      <c r="H411"/>
      <c r="J411"/>
      <c r="K411"/>
      <c r="L411"/>
      <c r="M411"/>
      <c r="N411"/>
      <c r="O411"/>
      <c r="P411"/>
      <c r="Q411"/>
      <c r="R411"/>
      <c r="S411"/>
    </row>
    <row r="412" spans="1:19" x14ac:dyDescent="0.25">
      <c r="A412"/>
      <c r="B412"/>
      <c r="C412"/>
      <c r="D412"/>
      <c r="E412"/>
      <c r="F412"/>
      <c r="G412"/>
      <c r="H412"/>
      <c r="J412"/>
      <c r="K412"/>
      <c r="L412"/>
      <c r="M412"/>
      <c r="N412"/>
      <c r="O412"/>
      <c r="P412"/>
      <c r="Q412"/>
      <c r="R412"/>
      <c r="S412"/>
    </row>
    <row r="413" spans="1:19" x14ac:dyDescent="0.25">
      <c r="A413"/>
      <c r="B413"/>
      <c r="C413"/>
      <c r="D413"/>
      <c r="E413"/>
      <c r="F413"/>
      <c r="G413"/>
      <c r="H413"/>
      <c r="J413"/>
      <c r="K413"/>
      <c r="L413"/>
      <c r="M413"/>
      <c r="N413"/>
      <c r="O413"/>
      <c r="P413"/>
      <c r="Q413"/>
      <c r="R413"/>
      <c r="S413"/>
    </row>
    <row r="414" spans="1:19" x14ac:dyDescent="0.25">
      <c r="A414"/>
      <c r="B414"/>
      <c r="C414"/>
      <c r="D414"/>
      <c r="E414"/>
      <c r="F414"/>
      <c r="G414"/>
      <c r="H414"/>
      <c r="J414"/>
      <c r="K414"/>
      <c r="L414"/>
      <c r="M414"/>
      <c r="N414"/>
      <c r="O414"/>
      <c r="P414"/>
      <c r="Q414"/>
      <c r="R414"/>
      <c r="S414"/>
    </row>
    <row r="415" spans="1:19" x14ac:dyDescent="0.25">
      <c r="A415"/>
      <c r="B415"/>
      <c r="C415"/>
      <c r="D415"/>
      <c r="E415"/>
      <c r="F415"/>
      <c r="G415"/>
      <c r="H415"/>
      <c r="J415"/>
      <c r="K415"/>
      <c r="L415"/>
      <c r="M415"/>
      <c r="N415"/>
      <c r="O415"/>
      <c r="P415"/>
      <c r="Q415"/>
      <c r="R415"/>
      <c r="S415"/>
    </row>
    <row r="416" spans="1:19" x14ac:dyDescent="0.25">
      <c r="A416"/>
      <c r="B416"/>
      <c r="C416"/>
      <c r="D416"/>
      <c r="E416"/>
      <c r="F416"/>
      <c r="G416"/>
      <c r="H416"/>
      <c r="J416"/>
      <c r="K416"/>
      <c r="L416"/>
      <c r="M416"/>
      <c r="N416"/>
      <c r="O416"/>
      <c r="P416"/>
      <c r="Q416"/>
      <c r="R416"/>
      <c r="S416"/>
    </row>
    <row r="417" spans="1:19" x14ac:dyDescent="0.25">
      <c r="A417"/>
      <c r="B417"/>
      <c r="C417"/>
      <c r="D417"/>
      <c r="E417"/>
      <c r="F417"/>
      <c r="G417"/>
      <c r="H417"/>
      <c r="J417"/>
      <c r="K417"/>
      <c r="L417"/>
      <c r="M417"/>
      <c r="N417"/>
      <c r="O417"/>
      <c r="P417"/>
      <c r="Q417"/>
      <c r="R417"/>
      <c r="S417"/>
    </row>
    <row r="418" spans="1:19" x14ac:dyDescent="0.25">
      <c r="A418"/>
      <c r="B418"/>
      <c r="C418"/>
      <c r="D418"/>
      <c r="E418"/>
      <c r="F418"/>
      <c r="G418"/>
      <c r="H418"/>
      <c r="J418"/>
      <c r="K418"/>
      <c r="L418"/>
      <c r="M418"/>
      <c r="N418"/>
      <c r="O418"/>
      <c r="P418"/>
      <c r="Q418"/>
      <c r="R418"/>
      <c r="S418"/>
    </row>
    <row r="419" spans="1:19" x14ac:dyDescent="0.25">
      <c r="A419"/>
      <c r="B419"/>
      <c r="C419"/>
      <c r="D419"/>
      <c r="E419"/>
      <c r="F419"/>
      <c r="G419"/>
      <c r="H419"/>
      <c r="J419"/>
      <c r="K419"/>
      <c r="L419"/>
      <c r="M419"/>
      <c r="N419"/>
      <c r="O419"/>
      <c r="P419"/>
      <c r="Q419"/>
      <c r="R419"/>
      <c r="S419"/>
    </row>
    <row r="420" spans="1:19" x14ac:dyDescent="0.25">
      <c r="A420"/>
      <c r="B420"/>
      <c r="C420"/>
      <c r="D420"/>
      <c r="E420"/>
      <c r="F420"/>
      <c r="G420"/>
      <c r="H420"/>
      <c r="J420"/>
      <c r="K420"/>
      <c r="L420"/>
      <c r="M420"/>
      <c r="N420"/>
      <c r="O420"/>
      <c r="P420"/>
      <c r="Q420"/>
      <c r="R420"/>
      <c r="S420"/>
    </row>
    <row r="421" spans="1:19" x14ac:dyDescent="0.25">
      <c r="A421"/>
      <c r="B421"/>
      <c r="C421"/>
      <c r="D421"/>
      <c r="E421"/>
      <c r="F421"/>
      <c r="G421"/>
      <c r="H421"/>
      <c r="J421"/>
      <c r="K421"/>
      <c r="L421"/>
      <c r="M421"/>
      <c r="N421"/>
      <c r="O421"/>
      <c r="P421"/>
      <c r="Q421"/>
      <c r="R421"/>
      <c r="S421"/>
    </row>
    <row r="422" spans="1:19" x14ac:dyDescent="0.25">
      <c r="A422"/>
      <c r="B422"/>
      <c r="C422"/>
      <c r="D422"/>
      <c r="E422"/>
      <c r="F422"/>
      <c r="G422"/>
      <c r="H422"/>
      <c r="J422"/>
      <c r="K422"/>
      <c r="L422"/>
      <c r="M422"/>
      <c r="N422"/>
      <c r="O422"/>
      <c r="P422"/>
      <c r="Q422"/>
      <c r="R422"/>
      <c r="S422"/>
    </row>
    <row r="423" spans="1:19" x14ac:dyDescent="0.25">
      <c r="A423"/>
      <c r="B423"/>
      <c r="C423"/>
      <c r="D423"/>
      <c r="E423"/>
      <c r="F423"/>
      <c r="G423"/>
      <c r="H423"/>
      <c r="J423"/>
      <c r="K423"/>
      <c r="L423"/>
      <c r="M423"/>
      <c r="N423"/>
      <c r="O423"/>
      <c r="P423"/>
      <c r="Q423"/>
      <c r="R423"/>
      <c r="S423"/>
    </row>
    <row r="424" spans="1:19" x14ac:dyDescent="0.25">
      <c r="A424"/>
      <c r="B424"/>
      <c r="C424"/>
      <c r="D424"/>
      <c r="E424"/>
      <c r="F424"/>
      <c r="G424"/>
      <c r="H424"/>
      <c r="J424"/>
      <c r="K424"/>
      <c r="L424"/>
      <c r="M424"/>
      <c r="N424"/>
      <c r="O424"/>
      <c r="P424"/>
      <c r="Q424"/>
      <c r="R424"/>
      <c r="S424"/>
    </row>
    <row r="425" spans="1:19" x14ac:dyDescent="0.25">
      <c r="A425"/>
      <c r="B425"/>
      <c r="C425"/>
      <c r="D425"/>
      <c r="E425"/>
      <c r="F425"/>
      <c r="G425"/>
      <c r="H425"/>
      <c r="J425"/>
      <c r="K425"/>
      <c r="L425"/>
      <c r="M425"/>
      <c r="N425"/>
      <c r="O425"/>
      <c r="P425"/>
      <c r="Q425"/>
      <c r="R425"/>
      <c r="S425"/>
    </row>
    <row r="426" spans="1:19" x14ac:dyDescent="0.25">
      <c r="A426"/>
      <c r="B426"/>
      <c r="C426"/>
      <c r="D426"/>
      <c r="E426"/>
      <c r="F426"/>
      <c r="G426"/>
      <c r="H426"/>
      <c r="J426"/>
      <c r="K426"/>
      <c r="L426"/>
      <c r="M426"/>
      <c r="N426"/>
      <c r="O426"/>
      <c r="P426"/>
      <c r="Q426"/>
      <c r="R426"/>
      <c r="S426"/>
    </row>
    <row r="427" spans="1:19" x14ac:dyDescent="0.25">
      <c r="A427"/>
      <c r="B427"/>
      <c r="C427"/>
      <c r="D427"/>
      <c r="E427"/>
      <c r="F427"/>
      <c r="G427"/>
      <c r="H427"/>
      <c r="J427"/>
      <c r="K427"/>
      <c r="L427"/>
      <c r="M427"/>
      <c r="N427"/>
      <c r="O427"/>
      <c r="P427"/>
      <c r="Q427"/>
      <c r="R427"/>
      <c r="S427"/>
    </row>
    <row r="428" spans="1:19" x14ac:dyDescent="0.25">
      <c r="A428"/>
      <c r="B428"/>
      <c r="C428"/>
      <c r="D428"/>
      <c r="E428"/>
      <c r="F428"/>
      <c r="G428"/>
      <c r="H428"/>
      <c r="J428"/>
      <c r="K428"/>
      <c r="L428"/>
      <c r="M428"/>
      <c r="N428"/>
      <c r="O428"/>
      <c r="P428"/>
      <c r="Q428"/>
      <c r="R428"/>
      <c r="S428"/>
    </row>
    <row r="429" spans="1:19" x14ac:dyDescent="0.25">
      <c r="A429"/>
      <c r="B429"/>
      <c r="C429"/>
      <c r="D429"/>
      <c r="E429"/>
      <c r="F429"/>
      <c r="G429"/>
      <c r="H429"/>
      <c r="J429"/>
      <c r="K429"/>
      <c r="L429"/>
      <c r="M429"/>
      <c r="N429"/>
      <c r="O429"/>
      <c r="P429"/>
      <c r="Q429"/>
      <c r="R429"/>
      <c r="S429"/>
    </row>
    <row r="430" spans="1:19" x14ac:dyDescent="0.25">
      <c r="A430"/>
      <c r="B430"/>
      <c r="C430"/>
      <c r="D430"/>
      <c r="E430"/>
      <c r="F430"/>
      <c r="G430"/>
      <c r="H430"/>
      <c r="J430"/>
      <c r="K430"/>
      <c r="L430"/>
      <c r="M430"/>
      <c r="N430"/>
      <c r="O430"/>
      <c r="P430"/>
      <c r="Q430"/>
      <c r="R430"/>
      <c r="S430"/>
    </row>
    <row r="431" spans="1:19" x14ac:dyDescent="0.25">
      <c r="A431"/>
      <c r="B431"/>
      <c r="C431"/>
      <c r="D431"/>
      <c r="E431"/>
      <c r="F431"/>
      <c r="G431"/>
      <c r="H431"/>
      <c r="J431"/>
      <c r="K431"/>
      <c r="L431"/>
      <c r="M431"/>
      <c r="N431"/>
      <c r="O431"/>
      <c r="P431"/>
      <c r="Q431"/>
      <c r="R431"/>
      <c r="S431"/>
    </row>
    <row r="432" spans="1:19" x14ac:dyDescent="0.25">
      <c r="A432"/>
      <c r="B432"/>
      <c r="C432"/>
      <c r="D432"/>
      <c r="E432"/>
      <c r="F432"/>
      <c r="G432"/>
      <c r="H432"/>
      <c r="J432"/>
      <c r="K432"/>
      <c r="L432"/>
      <c r="M432"/>
      <c r="N432"/>
      <c r="O432"/>
      <c r="P432"/>
      <c r="Q432"/>
      <c r="R432"/>
      <c r="S432"/>
    </row>
    <row r="433" spans="1:19" x14ac:dyDescent="0.25">
      <c r="A433"/>
      <c r="B433"/>
      <c r="C433"/>
      <c r="D433"/>
      <c r="E433"/>
      <c r="F433"/>
      <c r="G433"/>
      <c r="H433"/>
      <c r="J433"/>
      <c r="K433"/>
      <c r="L433"/>
      <c r="M433"/>
      <c r="N433"/>
      <c r="O433"/>
      <c r="P433"/>
      <c r="Q433"/>
      <c r="R433"/>
      <c r="S433"/>
    </row>
    <row r="434" spans="1:19" x14ac:dyDescent="0.25">
      <c r="A434"/>
      <c r="B434"/>
      <c r="C434"/>
      <c r="D434"/>
      <c r="E434"/>
      <c r="F434"/>
      <c r="G434"/>
      <c r="H434"/>
      <c r="J434"/>
      <c r="K434"/>
      <c r="L434"/>
      <c r="M434"/>
      <c r="N434"/>
      <c r="O434"/>
      <c r="P434"/>
      <c r="Q434"/>
      <c r="R434"/>
      <c r="S434"/>
    </row>
    <row r="435" spans="1:19" x14ac:dyDescent="0.25">
      <c r="A435"/>
      <c r="B435"/>
      <c r="C435"/>
      <c r="D435"/>
      <c r="E435"/>
      <c r="F435"/>
      <c r="G435"/>
      <c r="H435"/>
      <c r="J435"/>
      <c r="K435"/>
      <c r="L435"/>
      <c r="M435"/>
      <c r="N435"/>
      <c r="O435"/>
      <c r="P435"/>
      <c r="Q435"/>
      <c r="R435"/>
      <c r="S435"/>
    </row>
    <row r="436" spans="1:19" x14ac:dyDescent="0.25">
      <c r="A436"/>
      <c r="B436"/>
      <c r="C436"/>
      <c r="D436"/>
      <c r="E436"/>
      <c r="F436"/>
      <c r="G436"/>
      <c r="H436"/>
      <c r="J436"/>
      <c r="K436"/>
      <c r="L436"/>
      <c r="M436"/>
      <c r="N436"/>
      <c r="O436"/>
      <c r="P436"/>
      <c r="Q436"/>
      <c r="R436"/>
      <c r="S436"/>
    </row>
    <row r="437" spans="1:19" x14ac:dyDescent="0.25">
      <c r="A437"/>
      <c r="B437"/>
      <c r="C437"/>
      <c r="D437"/>
      <c r="E437"/>
      <c r="F437"/>
      <c r="G437"/>
      <c r="H437"/>
      <c r="J437"/>
      <c r="K437"/>
      <c r="L437"/>
      <c r="M437"/>
      <c r="N437"/>
      <c r="O437"/>
      <c r="P437"/>
      <c r="Q437"/>
      <c r="R437"/>
      <c r="S437"/>
    </row>
    <row r="438" spans="1:19" x14ac:dyDescent="0.25">
      <c r="A438"/>
      <c r="B438"/>
      <c r="C438"/>
      <c r="D438"/>
      <c r="E438"/>
      <c r="F438"/>
      <c r="G438"/>
      <c r="H438"/>
      <c r="J438"/>
      <c r="K438"/>
      <c r="L438"/>
      <c r="M438"/>
      <c r="N438"/>
      <c r="O438"/>
      <c r="P438"/>
      <c r="Q438"/>
      <c r="R438"/>
      <c r="S438"/>
    </row>
    <row r="439" spans="1:19" x14ac:dyDescent="0.25">
      <c r="A439"/>
      <c r="B439"/>
      <c r="C439"/>
      <c r="D439"/>
      <c r="E439"/>
      <c r="F439"/>
      <c r="G439"/>
      <c r="H439"/>
      <c r="J439"/>
      <c r="K439"/>
      <c r="L439"/>
      <c r="M439"/>
      <c r="N439"/>
      <c r="O439"/>
      <c r="P439"/>
      <c r="Q439"/>
      <c r="R439"/>
      <c r="S439"/>
    </row>
    <row r="440" spans="1:19" x14ac:dyDescent="0.25">
      <c r="A440"/>
      <c r="B440"/>
      <c r="C440"/>
      <c r="D440"/>
      <c r="E440"/>
      <c r="F440"/>
      <c r="G440"/>
      <c r="H440"/>
      <c r="J440"/>
      <c r="K440"/>
      <c r="L440"/>
      <c r="M440"/>
      <c r="N440"/>
      <c r="O440"/>
      <c r="P440"/>
      <c r="Q440"/>
      <c r="R440"/>
      <c r="S440"/>
    </row>
    <row r="441" spans="1:19" x14ac:dyDescent="0.25">
      <c r="A441"/>
      <c r="B441"/>
      <c r="C441"/>
      <c r="D441"/>
      <c r="E441"/>
      <c r="F441"/>
      <c r="G441"/>
      <c r="H441"/>
      <c r="J441"/>
      <c r="K441"/>
      <c r="L441"/>
      <c r="M441"/>
      <c r="N441"/>
      <c r="O441"/>
      <c r="P441"/>
      <c r="Q441"/>
      <c r="R441"/>
      <c r="S441"/>
    </row>
    <row r="442" spans="1:19" x14ac:dyDescent="0.25">
      <c r="A442"/>
      <c r="B442"/>
      <c r="C442"/>
      <c r="D442"/>
      <c r="E442"/>
      <c r="F442"/>
      <c r="G442"/>
      <c r="H442"/>
      <c r="J442"/>
      <c r="K442"/>
      <c r="L442"/>
      <c r="M442"/>
      <c r="N442"/>
      <c r="O442"/>
      <c r="P442"/>
      <c r="Q442"/>
      <c r="R442"/>
      <c r="S442"/>
    </row>
    <row r="443" spans="1:19" x14ac:dyDescent="0.25">
      <c r="A443"/>
      <c r="B443"/>
      <c r="C443"/>
      <c r="D443"/>
      <c r="E443"/>
      <c r="F443"/>
      <c r="G443"/>
      <c r="H443"/>
      <c r="J443"/>
      <c r="K443"/>
      <c r="L443"/>
      <c r="M443"/>
      <c r="N443"/>
      <c r="O443"/>
      <c r="P443"/>
      <c r="Q443"/>
      <c r="R443"/>
      <c r="S443"/>
    </row>
    <row r="444" spans="1:19" x14ac:dyDescent="0.25">
      <c r="A444"/>
      <c r="B444"/>
      <c r="C444"/>
      <c r="D444"/>
      <c r="E444"/>
      <c r="F444"/>
      <c r="G444"/>
      <c r="H444"/>
      <c r="J444"/>
      <c r="K444"/>
      <c r="L444"/>
      <c r="M444"/>
      <c r="N444"/>
      <c r="O444"/>
      <c r="P444"/>
      <c r="Q444"/>
      <c r="R444"/>
      <c r="S444"/>
    </row>
    <row r="445" spans="1:19" x14ac:dyDescent="0.25">
      <c r="A445"/>
      <c r="B445"/>
      <c r="C445"/>
      <c r="D445"/>
      <c r="E445"/>
      <c r="F445"/>
      <c r="G445"/>
      <c r="H445"/>
      <c r="J445"/>
      <c r="K445"/>
      <c r="L445"/>
      <c r="M445"/>
      <c r="N445"/>
      <c r="O445"/>
      <c r="P445"/>
      <c r="Q445"/>
      <c r="R445"/>
      <c r="S445"/>
    </row>
    <row r="446" spans="1:19" x14ac:dyDescent="0.25">
      <c r="A446"/>
      <c r="B446"/>
      <c r="C446"/>
      <c r="D446"/>
      <c r="E446"/>
      <c r="F446"/>
      <c r="G446"/>
      <c r="H446"/>
      <c r="J446"/>
      <c r="K446"/>
      <c r="L446"/>
      <c r="M446"/>
      <c r="N446"/>
      <c r="O446"/>
      <c r="P446"/>
      <c r="Q446"/>
      <c r="R446"/>
      <c r="S446"/>
    </row>
    <row r="447" spans="1:19" x14ac:dyDescent="0.25">
      <c r="A447"/>
      <c r="B447"/>
      <c r="C447"/>
      <c r="D447"/>
      <c r="E447"/>
      <c r="F447"/>
      <c r="G447"/>
      <c r="H447"/>
      <c r="J447"/>
      <c r="K447"/>
      <c r="L447"/>
      <c r="M447"/>
      <c r="N447"/>
      <c r="O447"/>
      <c r="P447"/>
      <c r="Q447"/>
      <c r="R447"/>
      <c r="S447"/>
    </row>
    <row r="448" spans="1:19" x14ac:dyDescent="0.25">
      <c r="A448"/>
      <c r="B448"/>
      <c r="C448"/>
      <c r="D448"/>
      <c r="E448"/>
      <c r="F448"/>
      <c r="G448"/>
      <c r="H448"/>
      <c r="J448"/>
      <c r="K448"/>
      <c r="L448"/>
      <c r="M448"/>
      <c r="N448"/>
      <c r="O448"/>
      <c r="P448"/>
      <c r="Q448"/>
      <c r="R448"/>
      <c r="S448"/>
    </row>
    <row r="449" spans="1:19" x14ac:dyDescent="0.25">
      <c r="A449"/>
      <c r="B449"/>
      <c r="C449"/>
      <c r="D449"/>
      <c r="E449"/>
      <c r="F449"/>
      <c r="G449"/>
      <c r="H449"/>
      <c r="J449"/>
      <c r="K449"/>
      <c r="L449"/>
      <c r="M449"/>
      <c r="N449"/>
      <c r="O449"/>
      <c r="P449"/>
      <c r="Q449"/>
      <c r="R449"/>
      <c r="S449"/>
    </row>
    <row r="450" spans="1:19" x14ac:dyDescent="0.25">
      <c r="A450"/>
      <c r="B450"/>
      <c r="C450"/>
      <c r="D450"/>
      <c r="E450"/>
      <c r="F450"/>
      <c r="G450"/>
      <c r="H450"/>
      <c r="J450"/>
      <c r="K450"/>
      <c r="L450"/>
      <c r="M450"/>
      <c r="N450"/>
      <c r="O450"/>
      <c r="P450"/>
      <c r="Q450"/>
      <c r="R450"/>
      <c r="S450"/>
    </row>
    <row r="451" spans="1:19" x14ac:dyDescent="0.25">
      <c r="A451"/>
      <c r="B451"/>
      <c r="C451"/>
      <c r="D451"/>
      <c r="E451"/>
      <c r="F451"/>
      <c r="G451"/>
      <c r="H451"/>
      <c r="J451"/>
      <c r="K451"/>
      <c r="L451"/>
      <c r="M451"/>
      <c r="N451"/>
      <c r="O451"/>
      <c r="P451"/>
      <c r="Q451"/>
      <c r="R451"/>
      <c r="S451"/>
    </row>
    <row r="452" spans="1:19" x14ac:dyDescent="0.25">
      <c r="A452"/>
      <c r="B452"/>
      <c r="C452"/>
      <c r="D452"/>
      <c r="E452"/>
      <c r="F452"/>
      <c r="G452"/>
      <c r="H452"/>
      <c r="J452"/>
      <c r="K452"/>
      <c r="L452"/>
      <c r="M452"/>
      <c r="N452"/>
      <c r="O452"/>
      <c r="P452"/>
      <c r="Q452"/>
      <c r="R452"/>
      <c r="S452"/>
    </row>
    <row r="453" spans="1:19" x14ac:dyDescent="0.25">
      <c r="A453"/>
      <c r="B453"/>
      <c r="C453"/>
      <c r="D453"/>
      <c r="E453"/>
      <c r="F453"/>
      <c r="G453"/>
      <c r="H453"/>
      <c r="J453"/>
      <c r="K453"/>
      <c r="L453"/>
      <c r="M453"/>
      <c r="N453"/>
      <c r="O453"/>
      <c r="P453"/>
      <c r="Q453"/>
      <c r="R453"/>
      <c r="S453"/>
    </row>
    <row r="454" spans="1:19" x14ac:dyDescent="0.25">
      <c r="A454"/>
      <c r="B454"/>
      <c r="C454"/>
      <c r="D454"/>
      <c r="E454"/>
      <c r="F454"/>
      <c r="G454"/>
      <c r="H454"/>
      <c r="J454"/>
      <c r="K454"/>
      <c r="L454"/>
      <c r="M454"/>
      <c r="N454"/>
      <c r="O454"/>
      <c r="P454"/>
      <c r="Q454"/>
      <c r="R454"/>
      <c r="S454"/>
    </row>
    <row r="455" spans="1:19" x14ac:dyDescent="0.25">
      <c r="A455"/>
      <c r="B455"/>
      <c r="C455"/>
      <c r="D455"/>
      <c r="E455"/>
      <c r="F455"/>
      <c r="G455"/>
      <c r="H455"/>
      <c r="J455"/>
      <c r="K455"/>
      <c r="L455"/>
      <c r="M455"/>
      <c r="N455"/>
      <c r="O455"/>
      <c r="P455"/>
      <c r="Q455"/>
      <c r="R455"/>
      <c r="S455"/>
    </row>
    <row r="456" spans="1:19" x14ac:dyDescent="0.25">
      <c r="A456"/>
      <c r="B456"/>
      <c r="C456"/>
      <c r="D456"/>
      <c r="E456"/>
      <c r="F456"/>
      <c r="G456"/>
      <c r="H456"/>
      <c r="J456"/>
      <c r="K456"/>
      <c r="L456"/>
      <c r="M456"/>
      <c r="N456"/>
      <c r="O456"/>
      <c r="P456"/>
      <c r="Q456"/>
      <c r="R456"/>
      <c r="S456"/>
    </row>
    <row r="457" spans="1:19" x14ac:dyDescent="0.25">
      <c r="A457"/>
      <c r="B457"/>
      <c r="C457"/>
      <c r="D457"/>
      <c r="E457"/>
      <c r="F457"/>
      <c r="G457"/>
      <c r="H457"/>
      <c r="J457"/>
      <c r="K457"/>
      <c r="L457"/>
      <c r="M457"/>
      <c r="N457"/>
      <c r="O457"/>
      <c r="P457"/>
      <c r="Q457"/>
      <c r="R457"/>
      <c r="S457"/>
    </row>
    <row r="458" spans="1:19" x14ac:dyDescent="0.25">
      <c r="A458"/>
      <c r="B458"/>
      <c r="C458"/>
      <c r="D458"/>
      <c r="E458"/>
      <c r="F458"/>
      <c r="G458"/>
      <c r="H458"/>
      <c r="J458"/>
      <c r="K458"/>
      <c r="L458"/>
      <c r="M458"/>
      <c r="N458"/>
      <c r="O458"/>
      <c r="P458"/>
      <c r="Q458"/>
      <c r="R458"/>
      <c r="S458"/>
    </row>
    <row r="459" spans="1:19" x14ac:dyDescent="0.25">
      <c r="A459"/>
      <c r="B459"/>
      <c r="C459"/>
      <c r="D459"/>
      <c r="E459"/>
      <c r="F459"/>
      <c r="G459"/>
      <c r="H459"/>
      <c r="J459"/>
      <c r="K459"/>
      <c r="L459"/>
      <c r="M459"/>
      <c r="N459"/>
      <c r="O459"/>
      <c r="P459"/>
      <c r="Q459"/>
      <c r="R459"/>
      <c r="S459"/>
    </row>
    <row r="460" spans="1:19" x14ac:dyDescent="0.25">
      <c r="A460"/>
      <c r="B460"/>
      <c r="C460"/>
      <c r="D460"/>
      <c r="E460"/>
      <c r="F460"/>
      <c r="G460"/>
      <c r="H460"/>
      <c r="J460"/>
      <c r="K460"/>
      <c r="L460"/>
      <c r="M460"/>
      <c r="N460"/>
      <c r="O460"/>
      <c r="P460"/>
      <c r="Q460"/>
      <c r="R460"/>
      <c r="S460"/>
    </row>
    <row r="461" spans="1:19" x14ac:dyDescent="0.25">
      <c r="A461"/>
      <c r="B461"/>
      <c r="C461"/>
      <c r="D461"/>
      <c r="E461"/>
      <c r="F461"/>
      <c r="G461"/>
      <c r="H461"/>
      <c r="J461"/>
      <c r="K461"/>
      <c r="L461"/>
      <c r="M461"/>
      <c r="N461"/>
      <c r="O461"/>
      <c r="P461"/>
      <c r="Q461"/>
      <c r="R461"/>
      <c r="S461"/>
    </row>
    <row r="462" spans="1:19" x14ac:dyDescent="0.25">
      <c r="A462"/>
      <c r="B462"/>
      <c r="C462"/>
      <c r="D462"/>
      <c r="E462"/>
      <c r="F462"/>
      <c r="G462"/>
      <c r="H462"/>
      <c r="J462"/>
      <c r="K462"/>
      <c r="L462"/>
      <c r="M462"/>
      <c r="N462"/>
      <c r="O462"/>
      <c r="P462"/>
      <c r="Q462"/>
      <c r="R462"/>
      <c r="S462"/>
    </row>
    <row r="463" spans="1:19" x14ac:dyDescent="0.25">
      <c r="A463"/>
      <c r="B463"/>
      <c r="C463"/>
      <c r="D463"/>
      <c r="E463"/>
      <c r="F463"/>
      <c r="G463"/>
      <c r="H463"/>
      <c r="J463"/>
      <c r="K463"/>
      <c r="L463"/>
      <c r="M463"/>
      <c r="N463"/>
      <c r="O463"/>
      <c r="P463"/>
      <c r="Q463"/>
      <c r="R463"/>
      <c r="S463"/>
    </row>
    <row r="464" spans="1:19" x14ac:dyDescent="0.25">
      <c r="A464"/>
      <c r="B464"/>
      <c r="C464"/>
      <c r="D464"/>
      <c r="E464"/>
      <c r="F464"/>
      <c r="G464"/>
      <c r="H464"/>
      <c r="J464"/>
      <c r="K464"/>
      <c r="L464"/>
      <c r="M464"/>
      <c r="N464"/>
      <c r="O464"/>
      <c r="P464"/>
      <c r="Q464"/>
      <c r="R464"/>
      <c r="S464"/>
    </row>
    <row r="465" spans="1:19" x14ac:dyDescent="0.25">
      <c r="A465"/>
      <c r="B465"/>
      <c r="C465"/>
      <c r="D465"/>
      <c r="E465"/>
      <c r="F465"/>
      <c r="G465"/>
      <c r="H465"/>
      <c r="J465"/>
      <c r="K465"/>
      <c r="L465"/>
      <c r="M465"/>
      <c r="N465"/>
      <c r="O465"/>
      <c r="P465"/>
      <c r="Q465"/>
      <c r="R465"/>
      <c r="S465"/>
    </row>
    <row r="466" spans="1:19" x14ac:dyDescent="0.25">
      <c r="A466"/>
      <c r="B466"/>
      <c r="C466"/>
      <c r="D466"/>
      <c r="E466"/>
      <c r="F466"/>
      <c r="G466"/>
      <c r="H466"/>
      <c r="J466"/>
      <c r="K466"/>
      <c r="L466"/>
      <c r="M466"/>
      <c r="N466"/>
      <c r="O466"/>
      <c r="P466"/>
      <c r="Q466"/>
      <c r="R466"/>
      <c r="S466"/>
    </row>
    <row r="467" spans="1:19" x14ac:dyDescent="0.25">
      <c r="A467"/>
      <c r="B467"/>
      <c r="C467"/>
      <c r="D467"/>
      <c r="E467"/>
      <c r="F467"/>
      <c r="G467"/>
      <c r="H467"/>
      <c r="J467"/>
      <c r="K467"/>
      <c r="L467"/>
      <c r="M467"/>
      <c r="N467"/>
      <c r="O467"/>
      <c r="P467"/>
      <c r="Q467"/>
      <c r="R467"/>
      <c r="S467"/>
    </row>
    <row r="468" spans="1:19" x14ac:dyDescent="0.25">
      <c r="A468"/>
      <c r="B468"/>
      <c r="C468"/>
      <c r="D468"/>
      <c r="E468"/>
      <c r="F468"/>
      <c r="G468"/>
      <c r="H468"/>
      <c r="J468"/>
      <c r="K468"/>
      <c r="L468"/>
      <c r="M468"/>
      <c r="N468"/>
      <c r="O468"/>
      <c r="P468"/>
      <c r="Q468"/>
      <c r="R468"/>
      <c r="S468"/>
    </row>
    <row r="469" spans="1:19" x14ac:dyDescent="0.25">
      <c r="A469"/>
      <c r="B469"/>
      <c r="C469"/>
      <c r="D469"/>
      <c r="E469"/>
      <c r="F469"/>
      <c r="G469"/>
      <c r="H469"/>
      <c r="J469"/>
      <c r="K469"/>
      <c r="L469"/>
      <c r="M469"/>
      <c r="N469"/>
      <c r="O469"/>
      <c r="P469"/>
      <c r="Q469"/>
      <c r="R469"/>
      <c r="S469"/>
    </row>
    <row r="470" spans="1:19" x14ac:dyDescent="0.25">
      <c r="A470"/>
      <c r="B470"/>
      <c r="C470"/>
      <c r="D470"/>
      <c r="E470"/>
      <c r="F470"/>
      <c r="G470"/>
      <c r="H470"/>
      <c r="J470"/>
      <c r="K470"/>
      <c r="L470"/>
      <c r="M470"/>
      <c r="N470"/>
      <c r="O470"/>
      <c r="P470"/>
      <c r="Q470"/>
      <c r="R470"/>
      <c r="S470"/>
    </row>
    <row r="471" spans="1:19" x14ac:dyDescent="0.25">
      <c r="A471"/>
      <c r="B471"/>
      <c r="C471"/>
      <c r="D471"/>
      <c r="E471"/>
      <c r="F471"/>
      <c r="G471"/>
      <c r="H471"/>
      <c r="J471"/>
      <c r="K471"/>
      <c r="L471"/>
      <c r="M471"/>
      <c r="N471"/>
      <c r="O471"/>
      <c r="P471"/>
      <c r="Q471"/>
      <c r="R471"/>
      <c r="S471"/>
    </row>
    <row r="472" spans="1:19" x14ac:dyDescent="0.25">
      <c r="A472"/>
      <c r="B472"/>
      <c r="C472"/>
      <c r="D472"/>
      <c r="E472"/>
      <c r="F472"/>
      <c r="G472"/>
      <c r="H472"/>
      <c r="J472"/>
      <c r="K472"/>
      <c r="L472"/>
      <c r="M472"/>
      <c r="N472"/>
      <c r="O472"/>
      <c r="P472"/>
      <c r="Q472"/>
      <c r="R472"/>
      <c r="S472"/>
    </row>
    <row r="473" spans="1:19" x14ac:dyDescent="0.25">
      <c r="A473"/>
      <c r="B473"/>
      <c r="C473"/>
      <c r="D473"/>
      <c r="E473"/>
      <c r="F473"/>
      <c r="G473"/>
      <c r="H473"/>
      <c r="J473"/>
      <c r="K473"/>
      <c r="L473"/>
      <c r="M473"/>
      <c r="N473"/>
      <c r="O473"/>
      <c r="P473"/>
      <c r="Q473"/>
      <c r="R473"/>
      <c r="S473"/>
    </row>
    <row r="474" spans="1:19" x14ac:dyDescent="0.25">
      <c r="A474"/>
      <c r="B474"/>
      <c r="C474"/>
      <c r="D474"/>
      <c r="E474"/>
      <c r="F474"/>
      <c r="G474"/>
      <c r="H474"/>
      <c r="J474"/>
      <c r="K474"/>
      <c r="L474"/>
      <c r="M474"/>
      <c r="N474"/>
      <c r="O474"/>
      <c r="P474"/>
      <c r="Q474"/>
      <c r="R474"/>
      <c r="S474"/>
    </row>
    <row r="475" spans="1:19" x14ac:dyDescent="0.25">
      <c r="A475"/>
      <c r="B475"/>
      <c r="C475"/>
      <c r="D475"/>
      <c r="E475"/>
      <c r="F475"/>
      <c r="G475"/>
      <c r="H475"/>
      <c r="J475"/>
      <c r="K475"/>
      <c r="L475"/>
      <c r="M475"/>
      <c r="N475"/>
      <c r="O475"/>
      <c r="P475"/>
      <c r="Q475"/>
      <c r="R475"/>
      <c r="S475"/>
    </row>
    <row r="476" spans="1:19" x14ac:dyDescent="0.25">
      <c r="A476"/>
      <c r="B476"/>
      <c r="C476"/>
      <c r="D476"/>
      <c r="E476"/>
      <c r="F476"/>
      <c r="G476"/>
      <c r="H476"/>
      <c r="J476"/>
      <c r="K476"/>
      <c r="L476"/>
      <c r="M476"/>
      <c r="N476"/>
      <c r="O476"/>
      <c r="P476"/>
      <c r="Q476"/>
      <c r="R476"/>
      <c r="S476"/>
    </row>
    <row r="477" spans="1:19" x14ac:dyDescent="0.25">
      <c r="A477"/>
      <c r="B477"/>
      <c r="C477"/>
      <c r="D477"/>
      <c r="E477"/>
      <c r="F477"/>
      <c r="G477"/>
      <c r="H477"/>
      <c r="J477"/>
      <c r="K477"/>
      <c r="L477"/>
      <c r="M477"/>
      <c r="N477"/>
      <c r="O477"/>
      <c r="P477"/>
      <c r="Q477"/>
      <c r="R477"/>
      <c r="S477"/>
    </row>
    <row r="478" spans="1:19" x14ac:dyDescent="0.25">
      <c r="A478"/>
      <c r="B478"/>
      <c r="C478"/>
      <c r="D478"/>
      <c r="E478"/>
      <c r="F478"/>
      <c r="G478"/>
      <c r="H478"/>
      <c r="J478"/>
      <c r="K478"/>
      <c r="L478"/>
      <c r="M478"/>
      <c r="N478"/>
      <c r="O478"/>
      <c r="P478"/>
      <c r="Q478"/>
      <c r="R478"/>
      <c r="S478"/>
    </row>
    <row r="479" spans="1:19" x14ac:dyDescent="0.25">
      <c r="A479"/>
      <c r="B479"/>
      <c r="C479"/>
      <c r="D479"/>
      <c r="E479"/>
      <c r="F479"/>
      <c r="G479"/>
      <c r="H479"/>
      <c r="J479"/>
      <c r="K479"/>
      <c r="L479"/>
      <c r="M479"/>
      <c r="N479"/>
      <c r="O479"/>
      <c r="P479"/>
      <c r="Q479"/>
      <c r="R479"/>
      <c r="S479"/>
    </row>
    <row r="480" spans="1:19" x14ac:dyDescent="0.25">
      <c r="A480"/>
      <c r="B480"/>
      <c r="C480"/>
      <c r="D480"/>
      <c r="E480"/>
      <c r="F480"/>
      <c r="G480"/>
      <c r="H480"/>
      <c r="J480"/>
      <c r="K480"/>
      <c r="L480"/>
      <c r="M480"/>
      <c r="N480"/>
      <c r="O480"/>
      <c r="P480"/>
      <c r="Q480"/>
      <c r="R480"/>
      <c r="S480"/>
    </row>
    <row r="481" spans="1:19" x14ac:dyDescent="0.25">
      <c r="A481"/>
      <c r="B481"/>
      <c r="C481"/>
      <c r="D481"/>
      <c r="E481"/>
      <c r="F481"/>
      <c r="G481"/>
      <c r="H481"/>
      <c r="J481"/>
      <c r="K481"/>
      <c r="L481"/>
      <c r="M481"/>
      <c r="N481"/>
      <c r="O481"/>
      <c r="P481"/>
      <c r="Q481"/>
      <c r="R481"/>
      <c r="S481"/>
    </row>
    <row r="482" spans="1:19" x14ac:dyDescent="0.25">
      <c r="A482"/>
      <c r="B482"/>
      <c r="C482"/>
      <c r="D482"/>
      <c r="E482"/>
      <c r="F482"/>
      <c r="G482"/>
      <c r="H482"/>
      <c r="J482"/>
      <c r="K482"/>
      <c r="L482"/>
      <c r="M482"/>
      <c r="N482"/>
      <c r="O482"/>
      <c r="P482"/>
      <c r="Q482"/>
      <c r="R482"/>
      <c r="S482"/>
    </row>
    <row r="483" spans="1:19" x14ac:dyDescent="0.25">
      <c r="A483"/>
      <c r="B483"/>
      <c r="C483"/>
      <c r="D483"/>
      <c r="E483"/>
      <c r="F483"/>
      <c r="G483"/>
      <c r="H483"/>
      <c r="J483"/>
      <c r="K483"/>
      <c r="L483"/>
      <c r="M483"/>
      <c r="N483"/>
      <c r="O483"/>
      <c r="P483"/>
      <c r="Q483"/>
      <c r="R483"/>
      <c r="S483"/>
    </row>
    <row r="484" spans="1:19" x14ac:dyDescent="0.25">
      <c r="A484"/>
      <c r="B484"/>
      <c r="C484"/>
      <c r="D484"/>
      <c r="E484"/>
      <c r="F484"/>
      <c r="G484"/>
      <c r="H484"/>
      <c r="J484"/>
      <c r="K484"/>
      <c r="L484"/>
      <c r="M484"/>
      <c r="N484"/>
      <c r="O484"/>
      <c r="P484"/>
      <c r="Q484"/>
      <c r="R484"/>
      <c r="S484"/>
    </row>
    <row r="485" spans="1:19" x14ac:dyDescent="0.25">
      <c r="A485"/>
      <c r="B485"/>
      <c r="C485"/>
      <c r="D485"/>
      <c r="E485"/>
      <c r="F485"/>
      <c r="G485"/>
      <c r="H485"/>
      <c r="J485"/>
      <c r="K485"/>
      <c r="L485"/>
      <c r="M485"/>
      <c r="N485"/>
      <c r="O485"/>
      <c r="P485"/>
      <c r="Q485"/>
      <c r="R485"/>
      <c r="S485"/>
    </row>
    <row r="486" spans="1:19" x14ac:dyDescent="0.25">
      <c r="A486"/>
      <c r="B486"/>
      <c r="C486"/>
      <c r="D486"/>
      <c r="E486"/>
      <c r="F486"/>
      <c r="G486"/>
      <c r="H486"/>
      <c r="J486"/>
      <c r="K486"/>
      <c r="L486"/>
      <c r="M486"/>
      <c r="N486"/>
      <c r="O486"/>
      <c r="P486"/>
      <c r="Q486"/>
      <c r="R486"/>
      <c r="S486"/>
    </row>
    <row r="487" spans="1:19" x14ac:dyDescent="0.25">
      <c r="A487"/>
      <c r="B487"/>
      <c r="C487"/>
      <c r="D487"/>
      <c r="E487"/>
      <c r="F487"/>
      <c r="G487"/>
      <c r="H487"/>
      <c r="J487"/>
      <c r="K487"/>
      <c r="L487"/>
      <c r="M487"/>
      <c r="N487"/>
      <c r="O487"/>
      <c r="P487"/>
      <c r="Q487"/>
      <c r="R487"/>
      <c r="S487"/>
    </row>
    <row r="488" spans="1:19" x14ac:dyDescent="0.25">
      <c r="A488"/>
      <c r="B488"/>
      <c r="C488"/>
      <c r="D488"/>
      <c r="E488"/>
      <c r="F488"/>
      <c r="G488"/>
      <c r="H488"/>
      <c r="J488"/>
      <c r="K488"/>
      <c r="L488"/>
      <c r="M488"/>
      <c r="N488"/>
      <c r="O488"/>
      <c r="P488"/>
      <c r="Q488"/>
      <c r="R488"/>
      <c r="S488"/>
    </row>
    <row r="489" spans="1:19" x14ac:dyDescent="0.25">
      <c r="A489"/>
      <c r="B489"/>
      <c r="C489"/>
      <c r="D489"/>
      <c r="E489"/>
      <c r="F489"/>
      <c r="G489"/>
      <c r="H489"/>
      <c r="J489"/>
      <c r="K489"/>
      <c r="L489"/>
      <c r="M489"/>
      <c r="N489"/>
      <c r="O489"/>
      <c r="P489"/>
      <c r="Q489"/>
      <c r="R489"/>
      <c r="S489"/>
    </row>
    <row r="490" spans="1:19" x14ac:dyDescent="0.25">
      <c r="A490"/>
      <c r="B490"/>
      <c r="C490"/>
      <c r="D490"/>
      <c r="E490"/>
      <c r="F490"/>
      <c r="G490"/>
      <c r="H490"/>
      <c r="J490"/>
      <c r="K490"/>
      <c r="L490"/>
      <c r="M490"/>
      <c r="N490"/>
      <c r="O490"/>
      <c r="P490"/>
      <c r="Q490"/>
      <c r="R490"/>
      <c r="S490"/>
    </row>
    <row r="491" spans="1:19" x14ac:dyDescent="0.25">
      <c r="A491"/>
      <c r="B491"/>
      <c r="C491"/>
      <c r="D491"/>
      <c r="E491"/>
      <c r="F491"/>
      <c r="G491"/>
      <c r="H491"/>
      <c r="J491"/>
      <c r="K491"/>
      <c r="L491"/>
      <c r="M491"/>
      <c r="N491"/>
      <c r="O491"/>
      <c r="P491"/>
      <c r="Q491"/>
      <c r="R491"/>
      <c r="S491"/>
    </row>
    <row r="492" spans="1:19" x14ac:dyDescent="0.25">
      <c r="A492"/>
      <c r="B492"/>
      <c r="C492"/>
      <c r="D492"/>
      <c r="E492"/>
      <c r="F492"/>
      <c r="G492"/>
      <c r="H492"/>
      <c r="J492"/>
      <c r="K492"/>
      <c r="L492"/>
      <c r="M492"/>
      <c r="N492"/>
      <c r="O492"/>
      <c r="P492"/>
      <c r="Q492"/>
      <c r="R492"/>
      <c r="S492"/>
    </row>
    <row r="493" spans="1:19" x14ac:dyDescent="0.25">
      <c r="A493"/>
      <c r="B493"/>
      <c r="C493"/>
      <c r="D493"/>
      <c r="E493"/>
      <c r="F493"/>
      <c r="G493"/>
      <c r="H493"/>
      <c r="J493"/>
      <c r="K493"/>
      <c r="L493"/>
      <c r="M493"/>
      <c r="N493"/>
      <c r="O493"/>
      <c r="P493"/>
      <c r="Q493"/>
      <c r="R493"/>
      <c r="S493"/>
    </row>
    <row r="494" spans="1:19" x14ac:dyDescent="0.25">
      <c r="A494"/>
      <c r="B494"/>
      <c r="C494"/>
      <c r="D494"/>
      <c r="E494"/>
      <c r="F494"/>
      <c r="G494"/>
      <c r="H494"/>
      <c r="J494"/>
      <c r="K494"/>
      <c r="L494"/>
      <c r="M494"/>
      <c r="N494"/>
      <c r="O494"/>
      <c r="P494"/>
      <c r="Q494"/>
      <c r="R494"/>
      <c r="S494"/>
    </row>
    <row r="495" spans="1:19" x14ac:dyDescent="0.25">
      <c r="A495"/>
      <c r="B495"/>
      <c r="C495"/>
      <c r="D495"/>
      <c r="E495"/>
      <c r="F495"/>
      <c r="G495"/>
      <c r="H495"/>
      <c r="J495"/>
      <c r="K495"/>
      <c r="L495"/>
      <c r="M495"/>
      <c r="N495"/>
      <c r="O495"/>
      <c r="P495"/>
      <c r="Q495"/>
      <c r="R495"/>
      <c r="S495"/>
    </row>
    <row r="496" spans="1:19" x14ac:dyDescent="0.25">
      <c r="A496"/>
      <c r="B496"/>
      <c r="C496"/>
      <c r="D496"/>
      <c r="E496"/>
      <c r="F496"/>
      <c r="G496"/>
      <c r="H496"/>
      <c r="J496"/>
      <c r="K496"/>
      <c r="L496"/>
      <c r="M496"/>
      <c r="N496"/>
      <c r="O496"/>
      <c r="P496"/>
      <c r="Q496"/>
      <c r="R496"/>
      <c r="S496"/>
    </row>
    <row r="497" spans="1:19" x14ac:dyDescent="0.25">
      <c r="A497"/>
      <c r="B497"/>
      <c r="C497"/>
      <c r="D497"/>
      <c r="E497"/>
      <c r="F497"/>
      <c r="G497"/>
      <c r="H497"/>
      <c r="J497"/>
      <c r="K497"/>
      <c r="L497"/>
      <c r="M497"/>
      <c r="N497"/>
      <c r="O497"/>
      <c r="P497"/>
      <c r="Q497"/>
      <c r="R497"/>
      <c r="S497"/>
    </row>
    <row r="498" spans="1:19" x14ac:dyDescent="0.25">
      <c r="A498"/>
      <c r="B498"/>
      <c r="C498"/>
      <c r="D498"/>
      <c r="E498"/>
      <c r="F498"/>
      <c r="G498"/>
      <c r="H498"/>
      <c r="J498"/>
      <c r="K498"/>
      <c r="L498"/>
      <c r="M498"/>
      <c r="N498"/>
      <c r="O498"/>
      <c r="P498"/>
      <c r="Q498"/>
      <c r="R498"/>
      <c r="S498"/>
    </row>
    <row r="499" spans="1:19" x14ac:dyDescent="0.25">
      <c r="A499"/>
      <c r="B499"/>
      <c r="C499"/>
      <c r="D499"/>
      <c r="E499"/>
      <c r="F499"/>
      <c r="G499"/>
      <c r="H499"/>
      <c r="J499"/>
      <c r="K499"/>
      <c r="L499"/>
      <c r="M499"/>
      <c r="N499"/>
      <c r="O499"/>
      <c r="P499"/>
      <c r="Q499"/>
      <c r="R499"/>
      <c r="S499"/>
    </row>
    <row r="500" spans="1:19" x14ac:dyDescent="0.25">
      <c r="A500"/>
      <c r="B500"/>
      <c r="C500"/>
      <c r="D500"/>
      <c r="E500"/>
      <c r="F500"/>
      <c r="G500"/>
      <c r="H500"/>
      <c r="J500"/>
      <c r="K500"/>
      <c r="L500"/>
      <c r="M500"/>
      <c r="N500"/>
      <c r="O500"/>
      <c r="P500"/>
      <c r="Q500"/>
      <c r="R500"/>
      <c r="S500"/>
    </row>
    <row r="501" spans="1:19" x14ac:dyDescent="0.25">
      <c r="A501"/>
      <c r="B501"/>
      <c r="C501"/>
      <c r="D501"/>
      <c r="E501"/>
      <c r="F501"/>
      <c r="G501"/>
      <c r="H501"/>
      <c r="J501"/>
      <c r="K501"/>
      <c r="L501"/>
      <c r="M501"/>
      <c r="N501"/>
      <c r="O501"/>
      <c r="P501"/>
      <c r="Q501"/>
      <c r="R501"/>
      <c r="S501"/>
    </row>
    <row r="502" spans="1:19" x14ac:dyDescent="0.25">
      <c r="A502"/>
      <c r="B502"/>
      <c r="C502"/>
      <c r="D502"/>
      <c r="E502"/>
      <c r="F502"/>
      <c r="G502"/>
      <c r="H502"/>
      <c r="J502"/>
      <c r="K502"/>
      <c r="L502"/>
      <c r="M502"/>
      <c r="N502"/>
      <c r="O502"/>
      <c r="P502"/>
      <c r="Q502"/>
      <c r="R502"/>
      <c r="S502"/>
    </row>
    <row r="503" spans="1:19" x14ac:dyDescent="0.25">
      <c r="A503"/>
      <c r="B503"/>
      <c r="C503"/>
      <c r="D503"/>
      <c r="E503"/>
      <c r="F503"/>
      <c r="G503"/>
      <c r="H503"/>
      <c r="J503"/>
      <c r="K503"/>
      <c r="L503"/>
      <c r="M503"/>
      <c r="N503"/>
      <c r="O503"/>
      <c r="P503"/>
      <c r="Q503"/>
      <c r="R503"/>
      <c r="S503"/>
    </row>
    <row r="504" spans="1:19" x14ac:dyDescent="0.25">
      <c r="A504"/>
      <c r="B504"/>
      <c r="C504"/>
      <c r="D504"/>
      <c r="E504"/>
      <c r="F504"/>
      <c r="G504"/>
      <c r="H504"/>
      <c r="J504"/>
      <c r="K504"/>
      <c r="L504"/>
      <c r="M504"/>
      <c r="N504"/>
      <c r="O504"/>
      <c r="P504"/>
      <c r="Q504"/>
      <c r="R504"/>
      <c r="S504"/>
    </row>
    <row r="505" spans="1:19" x14ac:dyDescent="0.25">
      <c r="A505"/>
      <c r="B505"/>
      <c r="C505"/>
      <c r="D505"/>
      <c r="E505"/>
      <c r="F505"/>
      <c r="G505"/>
      <c r="H505"/>
      <c r="J505"/>
      <c r="K505"/>
      <c r="L505"/>
      <c r="M505"/>
      <c r="N505"/>
      <c r="O505"/>
      <c r="P505"/>
      <c r="Q505"/>
      <c r="R505"/>
      <c r="S505"/>
    </row>
    <row r="506" spans="1:19" x14ac:dyDescent="0.25">
      <c r="A506"/>
      <c r="B506"/>
      <c r="C506"/>
      <c r="D506"/>
      <c r="E506"/>
      <c r="F506"/>
      <c r="G506"/>
      <c r="H506"/>
      <c r="J506"/>
      <c r="K506"/>
      <c r="L506"/>
      <c r="M506"/>
      <c r="N506"/>
      <c r="O506"/>
      <c r="P506"/>
      <c r="Q506"/>
      <c r="R506"/>
      <c r="S506"/>
    </row>
    <row r="507" spans="1:19" x14ac:dyDescent="0.25">
      <c r="A507"/>
      <c r="B507"/>
      <c r="C507"/>
      <c r="D507"/>
      <c r="E507"/>
      <c r="F507"/>
      <c r="G507"/>
      <c r="H507"/>
      <c r="J507"/>
      <c r="K507"/>
      <c r="L507"/>
      <c r="M507"/>
      <c r="N507"/>
      <c r="O507"/>
      <c r="P507"/>
      <c r="Q507"/>
      <c r="R507"/>
      <c r="S507"/>
    </row>
    <row r="508" spans="1:19" x14ac:dyDescent="0.25">
      <c r="A508"/>
      <c r="B508"/>
      <c r="C508"/>
      <c r="D508"/>
      <c r="E508"/>
      <c r="F508"/>
      <c r="G508"/>
      <c r="H508"/>
      <c r="J508"/>
      <c r="K508"/>
      <c r="L508"/>
      <c r="M508"/>
      <c r="N508"/>
      <c r="O508"/>
      <c r="P508"/>
      <c r="Q508"/>
      <c r="R508"/>
      <c r="S508"/>
    </row>
    <row r="509" spans="1:19" x14ac:dyDescent="0.25">
      <c r="A509"/>
      <c r="B509"/>
      <c r="C509"/>
      <c r="D509"/>
      <c r="E509"/>
      <c r="F509"/>
      <c r="G509"/>
      <c r="H509"/>
      <c r="J509"/>
      <c r="K509"/>
      <c r="L509"/>
      <c r="M509"/>
      <c r="N509"/>
      <c r="O509"/>
      <c r="P509"/>
      <c r="Q509"/>
      <c r="R509"/>
      <c r="S509"/>
    </row>
    <row r="510" spans="1:19" x14ac:dyDescent="0.25">
      <c r="A510"/>
      <c r="B510"/>
      <c r="C510"/>
      <c r="D510"/>
      <c r="E510"/>
      <c r="F510"/>
      <c r="G510"/>
      <c r="H510"/>
      <c r="J510"/>
      <c r="K510"/>
      <c r="L510"/>
      <c r="M510"/>
      <c r="N510"/>
      <c r="O510"/>
      <c r="P510"/>
      <c r="Q510"/>
      <c r="R510"/>
      <c r="S510"/>
    </row>
    <row r="511" spans="1:19" x14ac:dyDescent="0.25">
      <c r="A511"/>
      <c r="B511"/>
      <c r="C511"/>
      <c r="D511"/>
      <c r="E511"/>
      <c r="F511"/>
      <c r="G511"/>
      <c r="H511"/>
      <c r="J511"/>
      <c r="K511"/>
      <c r="L511"/>
      <c r="M511"/>
      <c r="N511"/>
      <c r="O511"/>
      <c r="P511"/>
      <c r="Q511"/>
      <c r="R511"/>
      <c r="S511"/>
    </row>
    <row r="512" spans="1:19" x14ac:dyDescent="0.25">
      <c r="A512"/>
      <c r="B512"/>
      <c r="C512"/>
      <c r="D512"/>
      <c r="E512"/>
      <c r="F512"/>
      <c r="G512"/>
      <c r="H512"/>
      <c r="J512"/>
      <c r="K512"/>
      <c r="L512"/>
      <c r="M512"/>
      <c r="N512"/>
      <c r="O512"/>
      <c r="P512"/>
      <c r="Q512"/>
      <c r="R512"/>
      <c r="S512"/>
    </row>
    <row r="513" spans="1:19" x14ac:dyDescent="0.25">
      <c r="A513"/>
      <c r="B513"/>
      <c r="C513"/>
      <c r="D513"/>
      <c r="E513"/>
      <c r="F513"/>
      <c r="G513"/>
      <c r="H513"/>
      <c r="J513"/>
      <c r="K513"/>
      <c r="L513"/>
      <c r="M513"/>
      <c r="N513"/>
      <c r="O513"/>
      <c r="P513"/>
      <c r="Q513"/>
      <c r="R513"/>
      <c r="S513"/>
    </row>
    <row r="514" spans="1:19" x14ac:dyDescent="0.25">
      <c r="A514"/>
      <c r="B514"/>
      <c r="C514"/>
      <c r="D514"/>
      <c r="E514"/>
      <c r="F514"/>
      <c r="G514"/>
      <c r="H514"/>
      <c r="J514"/>
      <c r="K514"/>
      <c r="L514"/>
      <c r="M514"/>
      <c r="N514"/>
      <c r="O514"/>
      <c r="P514"/>
      <c r="Q514"/>
      <c r="R514"/>
      <c r="S514"/>
    </row>
    <row r="515" spans="1:19" x14ac:dyDescent="0.25">
      <c r="A515"/>
      <c r="B515"/>
      <c r="C515"/>
      <c r="D515"/>
      <c r="E515"/>
      <c r="F515"/>
      <c r="G515"/>
      <c r="H515"/>
      <c r="J515"/>
      <c r="K515"/>
      <c r="L515"/>
      <c r="M515"/>
      <c r="N515"/>
      <c r="O515"/>
      <c r="P515"/>
      <c r="Q515"/>
      <c r="R515"/>
      <c r="S515"/>
    </row>
    <row r="516" spans="1:19" x14ac:dyDescent="0.25">
      <c r="A516"/>
      <c r="B516"/>
      <c r="C516"/>
      <c r="D516"/>
      <c r="E516"/>
      <c r="F516"/>
      <c r="G516"/>
      <c r="H516"/>
      <c r="J516"/>
      <c r="K516"/>
      <c r="L516"/>
      <c r="M516"/>
      <c r="N516"/>
      <c r="O516"/>
      <c r="P516"/>
      <c r="Q516"/>
      <c r="R516"/>
      <c r="S516"/>
    </row>
    <row r="517" spans="1:19" x14ac:dyDescent="0.25">
      <c r="A517"/>
      <c r="B517"/>
      <c r="C517"/>
      <c r="D517"/>
      <c r="E517"/>
      <c r="F517"/>
      <c r="G517"/>
      <c r="H517"/>
      <c r="J517"/>
      <c r="K517"/>
      <c r="L517"/>
      <c r="M517"/>
      <c r="N517"/>
      <c r="O517"/>
      <c r="P517"/>
      <c r="Q517"/>
      <c r="R517"/>
      <c r="S517"/>
    </row>
    <row r="518" spans="1:19" x14ac:dyDescent="0.25">
      <c r="A518"/>
      <c r="B518"/>
      <c r="C518"/>
      <c r="D518"/>
      <c r="E518"/>
      <c r="F518"/>
      <c r="G518"/>
      <c r="H518"/>
      <c r="J518"/>
      <c r="K518"/>
      <c r="L518"/>
      <c r="M518"/>
      <c r="N518"/>
      <c r="O518"/>
      <c r="P518"/>
      <c r="Q518"/>
      <c r="R518"/>
      <c r="S518"/>
    </row>
    <row r="519" spans="1:19" x14ac:dyDescent="0.25">
      <c r="A519"/>
      <c r="B519"/>
      <c r="C519"/>
      <c r="D519"/>
      <c r="E519"/>
      <c r="F519"/>
      <c r="G519"/>
      <c r="H519"/>
      <c r="J519"/>
      <c r="K519"/>
      <c r="L519"/>
      <c r="M519"/>
      <c r="N519"/>
      <c r="O519"/>
      <c r="P519"/>
      <c r="Q519"/>
      <c r="R519"/>
      <c r="S519"/>
    </row>
    <row r="520" spans="1:19" x14ac:dyDescent="0.25">
      <c r="A520"/>
      <c r="B520"/>
      <c r="C520"/>
      <c r="D520"/>
      <c r="E520"/>
      <c r="F520"/>
      <c r="G520"/>
      <c r="H520"/>
      <c r="J520"/>
      <c r="K520"/>
      <c r="L520"/>
      <c r="M520"/>
      <c r="N520"/>
      <c r="O520"/>
      <c r="P520"/>
      <c r="Q520"/>
      <c r="R520"/>
      <c r="S520"/>
    </row>
    <row r="521" spans="1:19" x14ac:dyDescent="0.25">
      <c r="A521"/>
      <c r="B521"/>
      <c r="C521"/>
      <c r="D521"/>
      <c r="E521"/>
      <c r="F521"/>
      <c r="G521"/>
      <c r="H521"/>
      <c r="J521"/>
      <c r="K521"/>
      <c r="L521"/>
      <c r="M521"/>
      <c r="N521"/>
      <c r="O521"/>
      <c r="P521"/>
      <c r="Q521"/>
      <c r="R521"/>
      <c r="S521"/>
    </row>
    <row r="522" spans="1:19" x14ac:dyDescent="0.25">
      <c r="A522"/>
      <c r="B522"/>
      <c r="C522"/>
      <c r="D522"/>
      <c r="E522"/>
      <c r="F522"/>
      <c r="G522"/>
      <c r="H522"/>
      <c r="J522"/>
      <c r="K522"/>
      <c r="L522"/>
      <c r="M522"/>
      <c r="N522"/>
      <c r="O522"/>
      <c r="P522"/>
      <c r="Q522"/>
      <c r="R522"/>
      <c r="S522"/>
    </row>
    <row r="523" spans="1:19" x14ac:dyDescent="0.25">
      <c r="A523"/>
      <c r="B523"/>
      <c r="C523"/>
      <c r="D523"/>
      <c r="E523"/>
      <c r="F523"/>
      <c r="G523"/>
      <c r="H523"/>
      <c r="J523"/>
      <c r="K523"/>
      <c r="L523"/>
      <c r="M523"/>
      <c r="N523"/>
      <c r="O523"/>
      <c r="P523"/>
      <c r="Q523"/>
      <c r="R523"/>
      <c r="S523"/>
    </row>
    <row r="524" spans="1:19" x14ac:dyDescent="0.25">
      <c r="A524"/>
      <c r="B524"/>
      <c r="C524"/>
      <c r="D524"/>
      <c r="E524"/>
      <c r="F524"/>
      <c r="G524"/>
      <c r="H524"/>
      <c r="J524"/>
      <c r="K524"/>
      <c r="L524"/>
      <c r="M524"/>
      <c r="N524"/>
      <c r="O524"/>
      <c r="P524"/>
      <c r="Q524"/>
      <c r="R524"/>
      <c r="S524"/>
    </row>
    <row r="525" spans="1:19" x14ac:dyDescent="0.25">
      <c r="A525"/>
      <c r="B525"/>
      <c r="C525"/>
      <c r="D525"/>
      <c r="E525"/>
      <c r="F525"/>
      <c r="G525"/>
      <c r="H525"/>
      <c r="J525"/>
      <c r="K525"/>
      <c r="L525"/>
      <c r="M525"/>
      <c r="N525"/>
      <c r="O525"/>
      <c r="P525"/>
      <c r="Q525"/>
      <c r="R525"/>
      <c r="S525"/>
    </row>
    <row r="526" spans="1:19" x14ac:dyDescent="0.25">
      <c r="A526"/>
      <c r="B526"/>
      <c r="C526"/>
      <c r="D526"/>
      <c r="E526"/>
      <c r="F526"/>
      <c r="G526"/>
      <c r="H526"/>
      <c r="J526"/>
      <c r="K526"/>
      <c r="L526"/>
      <c r="M526"/>
      <c r="N526"/>
      <c r="O526"/>
      <c r="P526"/>
      <c r="Q526"/>
      <c r="R526"/>
      <c r="S526"/>
    </row>
    <row r="527" spans="1:19" x14ac:dyDescent="0.25">
      <c r="A527"/>
      <c r="B527"/>
      <c r="C527"/>
      <c r="D527"/>
      <c r="E527"/>
      <c r="F527"/>
      <c r="G527"/>
      <c r="H527"/>
      <c r="J527"/>
      <c r="K527"/>
      <c r="L527"/>
      <c r="M527"/>
      <c r="N527"/>
      <c r="O527"/>
      <c r="P527"/>
      <c r="Q527"/>
      <c r="R527"/>
      <c r="S527"/>
    </row>
    <row r="528" spans="1:19" x14ac:dyDescent="0.25">
      <c r="A528"/>
      <c r="B528"/>
      <c r="C528"/>
      <c r="D528"/>
      <c r="E528"/>
      <c r="F528"/>
      <c r="G528"/>
      <c r="H528"/>
      <c r="J528"/>
      <c r="K528"/>
      <c r="L528"/>
      <c r="M528"/>
      <c r="N528"/>
      <c r="O528"/>
      <c r="P528"/>
      <c r="Q528"/>
      <c r="R528"/>
      <c r="S528"/>
    </row>
    <row r="529" spans="1:19" x14ac:dyDescent="0.25">
      <c r="A529"/>
      <c r="B529"/>
      <c r="C529"/>
      <c r="D529"/>
      <c r="E529"/>
      <c r="F529"/>
      <c r="G529"/>
      <c r="H529"/>
      <c r="J529"/>
      <c r="K529"/>
      <c r="L529"/>
      <c r="M529"/>
      <c r="N529"/>
      <c r="O529"/>
      <c r="P529"/>
      <c r="Q529"/>
      <c r="R529"/>
      <c r="S529"/>
    </row>
    <row r="530" spans="1:19" x14ac:dyDescent="0.25">
      <c r="A530"/>
      <c r="B530"/>
      <c r="C530"/>
      <c r="D530"/>
      <c r="E530"/>
      <c r="F530"/>
      <c r="G530"/>
      <c r="H530"/>
      <c r="J530"/>
      <c r="K530"/>
      <c r="L530"/>
      <c r="M530"/>
      <c r="N530"/>
      <c r="O530"/>
      <c r="P530"/>
      <c r="Q530"/>
      <c r="R530"/>
      <c r="S530"/>
    </row>
    <row r="531" spans="1:19" x14ac:dyDescent="0.25">
      <c r="A531"/>
      <c r="B531"/>
      <c r="C531"/>
      <c r="D531"/>
      <c r="E531"/>
      <c r="F531"/>
      <c r="G531"/>
      <c r="H531"/>
      <c r="J531"/>
      <c r="K531"/>
      <c r="L531"/>
      <c r="M531"/>
      <c r="N531"/>
      <c r="O531"/>
      <c r="P531"/>
      <c r="Q531"/>
      <c r="R531"/>
      <c r="S531"/>
    </row>
    <row r="532" spans="1:19" x14ac:dyDescent="0.25">
      <c r="A532"/>
      <c r="B532"/>
      <c r="C532"/>
      <c r="D532"/>
      <c r="E532"/>
      <c r="F532"/>
      <c r="G532"/>
      <c r="H532"/>
      <c r="J532"/>
      <c r="K532"/>
      <c r="L532"/>
      <c r="M532"/>
      <c r="N532"/>
      <c r="O532"/>
      <c r="P532"/>
      <c r="Q532"/>
      <c r="R532"/>
      <c r="S532"/>
    </row>
    <row r="533" spans="1:19" x14ac:dyDescent="0.25">
      <c r="A533"/>
      <c r="B533"/>
      <c r="C533"/>
      <c r="D533"/>
      <c r="E533"/>
      <c r="F533"/>
      <c r="G533"/>
      <c r="H533"/>
      <c r="J533"/>
      <c r="K533"/>
      <c r="L533"/>
      <c r="M533"/>
      <c r="N533"/>
      <c r="O533"/>
      <c r="P533"/>
      <c r="Q533"/>
      <c r="R533"/>
      <c r="S533"/>
    </row>
    <row r="534" spans="1:19" x14ac:dyDescent="0.25">
      <c r="A534"/>
      <c r="B534"/>
      <c r="C534"/>
      <c r="D534"/>
      <c r="E534"/>
      <c r="F534"/>
      <c r="G534"/>
      <c r="H534"/>
      <c r="J534"/>
      <c r="K534"/>
      <c r="L534"/>
      <c r="M534"/>
      <c r="N534"/>
      <c r="O534"/>
      <c r="P534"/>
      <c r="Q534"/>
      <c r="R534"/>
      <c r="S534"/>
    </row>
    <row r="535" spans="1:19" x14ac:dyDescent="0.25">
      <c r="A535"/>
      <c r="B535"/>
      <c r="C535"/>
      <c r="D535"/>
      <c r="E535"/>
      <c r="F535"/>
      <c r="G535"/>
      <c r="H535"/>
      <c r="J535"/>
      <c r="K535"/>
      <c r="L535"/>
      <c r="M535"/>
      <c r="N535"/>
      <c r="O535"/>
      <c r="P535"/>
      <c r="Q535"/>
      <c r="R535"/>
      <c r="S535"/>
    </row>
    <row r="536" spans="1:19" x14ac:dyDescent="0.25">
      <c r="A536"/>
      <c r="B536"/>
      <c r="C536"/>
      <c r="D536"/>
      <c r="E536"/>
      <c r="F536"/>
      <c r="G536"/>
      <c r="H536"/>
      <c r="J536"/>
      <c r="K536"/>
      <c r="L536"/>
      <c r="M536"/>
      <c r="N536"/>
      <c r="O536"/>
      <c r="P536"/>
      <c r="Q536"/>
      <c r="R536"/>
      <c r="S536"/>
    </row>
    <row r="537" spans="1:19" x14ac:dyDescent="0.25">
      <c r="A537"/>
      <c r="B537"/>
      <c r="C537"/>
      <c r="D537"/>
      <c r="E537"/>
      <c r="F537"/>
      <c r="G537"/>
      <c r="H537"/>
      <c r="J537"/>
      <c r="K537"/>
      <c r="L537"/>
      <c r="M537"/>
      <c r="N537"/>
      <c r="O537"/>
      <c r="P537"/>
      <c r="Q537"/>
      <c r="R537"/>
      <c r="S537"/>
    </row>
    <row r="538" spans="1:19" x14ac:dyDescent="0.25">
      <c r="A538"/>
      <c r="B538"/>
      <c r="C538"/>
      <c r="D538"/>
      <c r="E538"/>
      <c r="F538"/>
      <c r="G538"/>
      <c r="H538"/>
      <c r="J538"/>
      <c r="K538"/>
      <c r="L538"/>
      <c r="M538"/>
      <c r="N538"/>
      <c r="O538"/>
      <c r="P538"/>
      <c r="Q538"/>
      <c r="R538"/>
      <c r="S538"/>
    </row>
    <row r="539" spans="1:19" x14ac:dyDescent="0.25">
      <c r="A539"/>
      <c r="B539"/>
      <c r="C539"/>
      <c r="D539"/>
      <c r="E539"/>
      <c r="F539"/>
      <c r="G539"/>
      <c r="H539"/>
      <c r="J539"/>
      <c r="K539"/>
      <c r="L539"/>
      <c r="M539"/>
      <c r="N539"/>
      <c r="O539"/>
      <c r="P539"/>
      <c r="Q539"/>
      <c r="R539"/>
      <c r="S539"/>
    </row>
    <row r="540" spans="1:19" x14ac:dyDescent="0.25">
      <c r="A540"/>
      <c r="B540"/>
      <c r="C540"/>
      <c r="D540"/>
      <c r="E540"/>
      <c r="F540"/>
      <c r="G540"/>
      <c r="H540"/>
      <c r="J540"/>
      <c r="K540"/>
      <c r="L540"/>
      <c r="M540"/>
      <c r="N540"/>
      <c r="O540"/>
      <c r="P540"/>
      <c r="Q540"/>
      <c r="R540"/>
      <c r="S540"/>
    </row>
    <row r="541" spans="1:19" x14ac:dyDescent="0.25">
      <c r="A541"/>
      <c r="B541"/>
      <c r="C541"/>
      <c r="D541"/>
      <c r="E541"/>
      <c r="F541"/>
      <c r="G541"/>
      <c r="H541"/>
      <c r="J541"/>
      <c r="K541"/>
      <c r="L541"/>
      <c r="M541"/>
      <c r="N541"/>
      <c r="O541"/>
      <c r="P541"/>
      <c r="Q541"/>
      <c r="R541"/>
      <c r="S541"/>
    </row>
    <row r="542" spans="1:19" x14ac:dyDescent="0.25">
      <c r="A542"/>
      <c r="B542"/>
      <c r="C542"/>
      <c r="D542"/>
      <c r="E542"/>
      <c r="F542"/>
      <c r="G542"/>
      <c r="H542"/>
      <c r="J542"/>
      <c r="K542"/>
      <c r="L542"/>
      <c r="M542"/>
      <c r="N542"/>
      <c r="O542"/>
      <c r="P542"/>
      <c r="Q542"/>
      <c r="R542"/>
      <c r="S542"/>
    </row>
    <row r="543" spans="1:19" x14ac:dyDescent="0.25">
      <c r="A543"/>
      <c r="B543"/>
      <c r="C543"/>
      <c r="D543"/>
      <c r="E543"/>
      <c r="F543"/>
      <c r="G543"/>
      <c r="H543"/>
      <c r="J543"/>
      <c r="K543"/>
      <c r="L543"/>
      <c r="M543"/>
      <c r="N543"/>
      <c r="O543"/>
      <c r="P543"/>
      <c r="Q543"/>
      <c r="R543"/>
      <c r="S543"/>
    </row>
    <row r="544" spans="1:19" x14ac:dyDescent="0.25">
      <c r="A544"/>
      <c r="B544"/>
      <c r="C544"/>
      <c r="D544"/>
      <c r="E544"/>
      <c r="F544"/>
      <c r="G544"/>
      <c r="H544"/>
      <c r="J544"/>
      <c r="K544"/>
      <c r="L544"/>
      <c r="M544"/>
      <c r="N544"/>
      <c r="O544"/>
      <c r="P544"/>
      <c r="Q544"/>
      <c r="R544"/>
      <c r="S544"/>
    </row>
    <row r="545" spans="1:19" x14ac:dyDescent="0.25">
      <c r="A545"/>
      <c r="B545"/>
      <c r="C545"/>
      <c r="D545"/>
      <c r="E545"/>
      <c r="F545"/>
      <c r="G545"/>
      <c r="H545"/>
      <c r="J545"/>
      <c r="K545"/>
      <c r="L545"/>
      <c r="M545"/>
      <c r="N545"/>
      <c r="O545"/>
      <c r="P545"/>
      <c r="Q545"/>
      <c r="R545"/>
      <c r="S545"/>
    </row>
    <row r="546" spans="1:19" x14ac:dyDescent="0.25">
      <c r="A546"/>
      <c r="B546"/>
      <c r="C546"/>
      <c r="D546"/>
      <c r="E546"/>
      <c r="F546"/>
      <c r="G546"/>
      <c r="H546"/>
      <c r="J546"/>
      <c r="K546"/>
      <c r="L546"/>
      <c r="M546"/>
      <c r="N546"/>
      <c r="O546"/>
      <c r="P546"/>
      <c r="Q546"/>
      <c r="R546"/>
      <c r="S546"/>
    </row>
    <row r="547" spans="1:19" x14ac:dyDescent="0.25">
      <c r="A547"/>
      <c r="B547"/>
      <c r="C547"/>
      <c r="D547"/>
      <c r="E547"/>
      <c r="F547"/>
      <c r="G547"/>
      <c r="H547"/>
      <c r="J547"/>
      <c r="K547"/>
      <c r="L547"/>
      <c r="M547"/>
      <c r="N547"/>
      <c r="O547"/>
      <c r="P547"/>
      <c r="Q547"/>
      <c r="R547"/>
      <c r="S547"/>
    </row>
    <row r="548" spans="1:19" x14ac:dyDescent="0.25">
      <c r="A548"/>
      <c r="B548"/>
      <c r="C548"/>
      <c r="D548"/>
      <c r="E548"/>
      <c r="F548"/>
      <c r="G548"/>
      <c r="H548"/>
      <c r="J548"/>
      <c r="K548"/>
      <c r="L548"/>
      <c r="M548"/>
      <c r="N548"/>
      <c r="O548"/>
      <c r="P548"/>
      <c r="Q548"/>
      <c r="R548"/>
      <c r="S548"/>
    </row>
    <row r="549" spans="1:19" x14ac:dyDescent="0.25">
      <c r="A549"/>
      <c r="B549"/>
      <c r="C549"/>
      <c r="D549"/>
      <c r="E549"/>
      <c r="F549"/>
      <c r="G549"/>
      <c r="H549"/>
      <c r="J549"/>
      <c r="K549"/>
      <c r="L549"/>
      <c r="M549"/>
      <c r="N549"/>
      <c r="O549"/>
      <c r="P549"/>
      <c r="Q549"/>
      <c r="R549"/>
      <c r="S549"/>
    </row>
    <row r="550" spans="1:19" x14ac:dyDescent="0.25">
      <c r="A550"/>
      <c r="B550"/>
      <c r="C550"/>
      <c r="D550"/>
      <c r="E550"/>
      <c r="F550"/>
      <c r="G550"/>
      <c r="H550"/>
      <c r="J550"/>
      <c r="K550"/>
      <c r="L550"/>
      <c r="M550"/>
      <c r="N550"/>
      <c r="O550"/>
      <c r="P550"/>
      <c r="Q550"/>
      <c r="R550"/>
      <c r="S550"/>
    </row>
    <row r="551" spans="1:19" x14ac:dyDescent="0.25">
      <c r="A551"/>
      <c r="B551"/>
      <c r="C551"/>
      <c r="D551"/>
      <c r="E551"/>
      <c r="F551"/>
      <c r="G551"/>
      <c r="H551"/>
      <c r="J551"/>
      <c r="K551"/>
      <c r="L551"/>
      <c r="M551"/>
      <c r="N551"/>
      <c r="O551"/>
      <c r="P551"/>
      <c r="Q551"/>
      <c r="R551"/>
      <c r="S551"/>
    </row>
    <row r="552" spans="1:19" x14ac:dyDescent="0.25">
      <c r="A552"/>
      <c r="B552"/>
      <c r="C552"/>
      <c r="D552"/>
      <c r="E552"/>
      <c r="F552"/>
      <c r="G552"/>
      <c r="H552"/>
      <c r="J552"/>
      <c r="K552"/>
      <c r="L552"/>
      <c r="M552"/>
      <c r="N552"/>
      <c r="O552"/>
      <c r="P552"/>
      <c r="Q552"/>
      <c r="R552"/>
      <c r="S552"/>
    </row>
    <row r="553" spans="1:19" x14ac:dyDescent="0.25">
      <c r="A553"/>
      <c r="B553"/>
      <c r="C553"/>
      <c r="D553"/>
      <c r="E553"/>
      <c r="F553"/>
      <c r="G553"/>
      <c r="H553"/>
      <c r="J553"/>
      <c r="K553"/>
      <c r="L553"/>
      <c r="M553"/>
      <c r="N553"/>
      <c r="O553"/>
      <c r="P553"/>
      <c r="Q553"/>
      <c r="R553"/>
      <c r="S553"/>
    </row>
    <row r="554" spans="1:19" x14ac:dyDescent="0.25">
      <c r="A554"/>
      <c r="B554"/>
      <c r="C554"/>
      <c r="D554"/>
      <c r="E554"/>
      <c r="F554"/>
      <c r="G554"/>
      <c r="H554"/>
      <c r="J554"/>
      <c r="K554"/>
      <c r="L554"/>
      <c r="M554"/>
      <c r="N554"/>
      <c r="O554"/>
      <c r="P554"/>
      <c r="Q554"/>
      <c r="R554"/>
      <c r="S554"/>
    </row>
    <row r="555" spans="1:19" x14ac:dyDescent="0.25">
      <c r="A555"/>
      <c r="B555"/>
      <c r="C555"/>
      <c r="D555"/>
      <c r="E555"/>
      <c r="F555"/>
      <c r="G555"/>
      <c r="H555"/>
      <c r="J555"/>
      <c r="K555"/>
      <c r="L555"/>
      <c r="M555"/>
      <c r="N555"/>
      <c r="O555"/>
      <c r="P555"/>
      <c r="Q555"/>
      <c r="R555"/>
      <c r="S555"/>
    </row>
    <row r="556" spans="1:19" x14ac:dyDescent="0.25">
      <c r="A556"/>
      <c r="B556"/>
      <c r="C556"/>
      <c r="D556"/>
      <c r="E556"/>
      <c r="F556"/>
      <c r="G556"/>
      <c r="H556"/>
      <c r="J556"/>
      <c r="K556"/>
      <c r="L556"/>
      <c r="M556"/>
      <c r="N556"/>
      <c r="O556"/>
      <c r="P556"/>
      <c r="Q556"/>
      <c r="R556"/>
      <c r="S556"/>
    </row>
    <row r="557" spans="1:19" x14ac:dyDescent="0.25">
      <c r="A557"/>
      <c r="B557"/>
      <c r="C557"/>
      <c r="D557"/>
      <c r="E557"/>
      <c r="F557"/>
      <c r="G557"/>
      <c r="H557"/>
      <c r="J557"/>
      <c r="K557"/>
      <c r="L557"/>
      <c r="M557"/>
      <c r="N557"/>
      <c r="O557"/>
      <c r="P557"/>
      <c r="Q557"/>
      <c r="R557"/>
      <c r="S557"/>
    </row>
    <row r="558" spans="1:19" x14ac:dyDescent="0.25">
      <c r="A558"/>
      <c r="B558"/>
      <c r="C558"/>
      <c r="D558"/>
      <c r="E558"/>
      <c r="F558"/>
      <c r="G558"/>
      <c r="H558"/>
      <c r="J558"/>
      <c r="K558"/>
      <c r="L558"/>
      <c r="M558"/>
      <c r="N558"/>
      <c r="O558"/>
      <c r="P558"/>
      <c r="Q558"/>
      <c r="R558"/>
      <c r="S558"/>
    </row>
    <row r="559" spans="1:19" x14ac:dyDescent="0.25">
      <c r="A559"/>
      <c r="B559"/>
      <c r="C559"/>
      <c r="D559"/>
      <c r="E559"/>
      <c r="F559"/>
      <c r="G559"/>
      <c r="H559"/>
      <c r="J559"/>
      <c r="K559"/>
      <c r="L559"/>
      <c r="M559"/>
      <c r="N559"/>
      <c r="O559"/>
      <c r="P559"/>
      <c r="Q559"/>
      <c r="R559"/>
      <c r="S559"/>
    </row>
    <row r="560" spans="1:19" x14ac:dyDescent="0.25">
      <c r="A560"/>
      <c r="B560"/>
      <c r="C560"/>
      <c r="D560"/>
      <c r="E560"/>
      <c r="F560"/>
      <c r="G560"/>
      <c r="H560"/>
      <c r="J560"/>
      <c r="K560"/>
      <c r="L560"/>
      <c r="M560"/>
      <c r="N560"/>
      <c r="O560"/>
      <c r="P560"/>
      <c r="Q560"/>
      <c r="R560"/>
      <c r="S560"/>
    </row>
    <row r="561" spans="1:19" x14ac:dyDescent="0.25">
      <c r="A561"/>
      <c r="B561"/>
      <c r="C561"/>
      <c r="D561"/>
      <c r="E561"/>
      <c r="F561"/>
      <c r="G561"/>
      <c r="H561"/>
      <c r="J561"/>
      <c r="K561"/>
      <c r="L561"/>
      <c r="M561"/>
      <c r="N561"/>
      <c r="O561"/>
      <c r="P561"/>
      <c r="Q561"/>
      <c r="R561"/>
      <c r="S561"/>
    </row>
    <row r="562" spans="1:19" x14ac:dyDescent="0.25">
      <c r="A562"/>
      <c r="B562"/>
      <c r="C562"/>
      <c r="D562"/>
      <c r="E562"/>
      <c r="F562"/>
      <c r="G562"/>
      <c r="H562"/>
      <c r="J562"/>
      <c r="K562"/>
      <c r="L562"/>
      <c r="M562"/>
      <c r="N562"/>
      <c r="O562"/>
      <c r="P562"/>
      <c r="Q562"/>
      <c r="R562"/>
      <c r="S562"/>
    </row>
    <row r="563" spans="1:19" x14ac:dyDescent="0.25">
      <c r="A563"/>
      <c r="B563"/>
      <c r="C563"/>
      <c r="D563"/>
      <c r="E563"/>
      <c r="F563"/>
      <c r="G563"/>
      <c r="H563"/>
      <c r="J563"/>
      <c r="K563"/>
      <c r="L563"/>
      <c r="M563"/>
      <c r="N563"/>
      <c r="O563"/>
      <c r="P563"/>
      <c r="Q563"/>
      <c r="R563"/>
      <c r="S563"/>
    </row>
    <row r="564" spans="1:19" x14ac:dyDescent="0.25">
      <c r="A564"/>
      <c r="B564"/>
      <c r="C564"/>
      <c r="D564"/>
      <c r="E564"/>
      <c r="F564"/>
      <c r="G564"/>
      <c r="H564"/>
      <c r="J564"/>
      <c r="K564"/>
      <c r="L564"/>
      <c r="M564"/>
      <c r="N564"/>
      <c r="O564"/>
      <c r="P564"/>
      <c r="Q564"/>
      <c r="R564"/>
      <c r="S564"/>
    </row>
    <row r="565" spans="1:19" x14ac:dyDescent="0.25">
      <c r="A565"/>
      <c r="B565"/>
      <c r="C565"/>
      <c r="D565"/>
      <c r="E565"/>
      <c r="F565"/>
      <c r="G565"/>
      <c r="H565"/>
      <c r="J565"/>
      <c r="K565"/>
      <c r="L565"/>
      <c r="M565"/>
      <c r="N565"/>
      <c r="O565"/>
      <c r="P565"/>
      <c r="Q565"/>
      <c r="R565"/>
      <c r="S565"/>
    </row>
    <row r="566" spans="1:19" x14ac:dyDescent="0.25">
      <c r="A566"/>
      <c r="B566"/>
      <c r="C566"/>
      <c r="D566"/>
      <c r="E566"/>
      <c r="F566"/>
      <c r="G566"/>
      <c r="H566"/>
      <c r="J566"/>
      <c r="K566"/>
      <c r="L566"/>
      <c r="M566"/>
      <c r="N566"/>
      <c r="O566"/>
      <c r="P566"/>
      <c r="Q566"/>
      <c r="R566"/>
      <c r="S566"/>
    </row>
    <row r="567" spans="1:19" x14ac:dyDescent="0.25">
      <c r="A567"/>
      <c r="B567"/>
      <c r="C567"/>
      <c r="D567"/>
      <c r="E567"/>
      <c r="F567"/>
      <c r="G567"/>
      <c r="H567"/>
      <c r="J567"/>
      <c r="K567"/>
      <c r="L567"/>
      <c r="M567"/>
      <c r="N567"/>
      <c r="O567"/>
      <c r="P567"/>
      <c r="Q567"/>
      <c r="R567"/>
      <c r="S567"/>
    </row>
    <row r="568" spans="1:19" x14ac:dyDescent="0.25">
      <c r="A568"/>
      <c r="B568"/>
      <c r="C568"/>
      <c r="D568"/>
      <c r="E568"/>
      <c r="F568"/>
      <c r="G568"/>
      <c r="H568"/>
      <c r="J568"/>
      <c r="K568"/>
      <c r="L568"/>
      <c r="M568"/>
      <c r="N568"/>
      <c r="O568"/>
      <c r="P568"/>
      <c r="Q568"/>
      <c r="R568"/>
      <c r="S568"/>
    </row>
    <row r="569" spans="1:19" x14ac:dyDescent="0.25">
      <c r="A569"/>
      <c r="B569"/>
      <c r="C569"/>
      <c r="D569"/>
      <c r="E569"/>
      <c r="F569"/>
      <c r="G569"/>
      <c r="H569"/>
      <c r="J569"/>
      <c r="K569"/>
      <c r="L569"/>
      <c r="M569"/>
      <c r="N569"/>
      <c r="O569"/>
      <c r="P569"/>
      <c r="Q569"/>
      <c r="R569"/>
      <c r="S569"/>
    </row>
    <row r="570" spans="1:19" x14ac:dyDescent="0.25">
      <c r="A570"/>
      <c r="B570"/>
      <c r="C570"/>
      <c r="D570"/>
      <c r="E570"/>
      <c r="F570"/>
      <c r="G570"/>
      <c r="H570"/>
      <c r="J570"/>
      <c r="K570"/>
      <c r="L570"/>
      <c r="M570"/>
      <c r="N570"/>
      <c r="O570"/>
      <c r="P570"/>
      <c r="Q570"/>
      <c r="R570"/>
      <c r="S570"/>
    </row>
    <row r="571" spans="1:19" x14ac:dyDescent="0.25">
      <c r="A571"/>
      <c r="B571"/>
      <c r="C571"/>
      <c r="D571"/>
      <c r="E571"/>
      <c r="F571"/>
      <c r="G571"/>
      <c r="H571"/>
      <c r="J571"/>
      <c r="K571"/>
      <c r="L571"/>
      <c r="M571"/>
      <c r="N571"/>
      <c r="O571"/>
      <c r="P571"/>
      <c r="Q571"/>
      <c r="R571"/>
      <c r="S571"/>
    </row>
    <row r="572" spans="1:19" x14ac:dyDescent="0.25">
      <c r="A572"/>
      <c r="B572"/>
      <c r="C572"/>
      <c r="D572"/>
      <c r="E572"/>
      <c r="F572"/>
      <c r="G572"/>
      <c r="H572"/>
      <c r="J572"/>
      <c r="K572"/>
      <c r="L572"/>
      <c r="M572"/>
      <c r="N572"/>
      <c r="O572"/>
      <c r="P572"/>
      <c r="Q572"/>
      <c r="R572"/>
      <c r="S572"/>
    </row>
    <row r="573" spans="1:19" x14ac:dyDescent="0.25">
      <c r="A573"/>
      <c r="B573"/>
      <c r="C573"/>
      <c r="D573"/>
      <c r="E573"/>
      <c r="F573"/>
      <c r="G573"/>
      <c r="H573"/>
      <c r="J573"/>
      <c r="K573"/>
      <c r="L573"/>
      <c r="M573"/>
      <c r="N573"/>
      <c r="O573"/>
      <c r="P573"/>
      <c r="Q573"/>
      <c r="R573"/>
      <c r="S573"/>
    </row>
    <row r="574" spans="1:19" x14ac:dyDescent="0.25">
      <c r="A574"/>
      <c r="B574"/>
      <c r="C574"/>
      <c r="D574"/>
      <c r="E574"/>
      <c r="F574"/>
      <c r="G574"/>
      <c r="H574"/>
      <c r="J574"/>
      <c r="K574"/>
      <c r="L574"/>
      <c r="M574"/>
      <c r="N574"/>
      <c r="O574"/>
      <c r="P574"/>
      <c r="Q574"/>
      <c r="R574"/>
      <c r="S574"/>
    </row>
    <row r="575" spans="1:19" x14ac:dyDescent="0.25">
      <c r="A575"/>
      <c r="B575"/>
      <c r="C575"/>
      <c r="D575"/>
      <c r="E575"/>
      <c r="F575"/>
      <c r="G575"/>
      <c r="H575"/>
      <c r="J575"/>
      <c r="K575"/>
      <c r="L575"/>
      <c r="M575"/>
      <c r="N575"/>
      <c r="O575"/>
      <c r="P575"/>
      <c r="Q575"/>
      <c r="R575"/>
      <c r="S575"/>
    </row>
    <row r="576" spans="1:19" x14ac:dyDescent="0.25">
      <c r="A576"/>
      <c r="B576"/>
      <c r="C576"/>
      <c r="D576"/>
      <c r="E576"/>
      <c r="F576"/>
      <c r="G576"/>
      <c r="H576"/>
      <c r="J576"/>
      <c r="K576"/>
      <c r="L576"/>
      <c r="M576"/>
      <c r="N576"/>
      <c r="O576"/>
      <c r="P576"/>
      <c r="Q576"/>
      <c r="R576"/>
      <c r="S576"/>
    </row>
    <row r="577" spans="1:19" x14ac:dyDescent="0.25">
      <c r="A577"/>
      <c r="B577"/>
      <c r="C577"/>
      <c r="D577"/>
      <c r="E577"/>
      <c r="F577"/>
      <c r="G577"/>
      <c r="H577"/>
      <c r="J577"/>
      <c r="K577"/>
      <c r="L577"/>
      <c r="M577"/>
      <c r="N577"/>
      <c r="O577"/>
      <c r="P577"/>
      <c r="Q577"/>
      <c r="R577"/>
      <c r="S577"/>
    </row>
    <row r="578" spans="1:19" x14ac:dyDescent="0.25">
      <c r="A578"/>
      <c r="B578"/>
      <c r="C578"/>
      <c r="D578"/>
      <c r="E578"/>
      <c r="F578"/>
      <c r="G578"/>
      <c r="H578"/>
      <c r="J578"/>
      <c r="K578"/>
      <c r="L578"/>
      <c r="M578"/>
      <c r="N578"/>
      <c r="O578"/>
      <c r="P578"/>
      <c r="Q578"/>
      <c r="R578"/>
      <c r="S578"/>
    </row>
    <row r="579" spans="1:19" x14ac:dyDescent="0.25">
      <c r="A579"/>
      <c r="B579"/>
      <c r="C579"/>
      <c r="D579"/>
      <c r="E579"/>
      <c r="F579"/>
      <c r="G579"/>
      <c r="H579"/>
      <c r="J579"/>
      <c r="K579"/>
      <c r="L579"/>
      <c r="M579"/>
      <c r="N579"/>
      <c r="O579"/>
      <c r="P579"/>
      <c r="Q579"/>
      <c r="R579"/>
      <c r="S579"/>
    </row>
    <row r="580" spans="1:19" x14ac:dyDescent="0.25">
      <c r="A580"/>
      <c r="B580"/>
      <c r="C580"/>
      <c r="D580"/>
      <c r="E580"/>
      <c r="F580"/>
      <c r="G580"/>
      <c r="H580"/>
      <c r="J580"/>
      <c r="K580"/>
      <c r="L580"/>
      <c r="M580"/>
      <c r="N580"/>
      <c r="O580"/>
      <c r="P580"/>
      <c r="Q580"/>
      <c r="R580"/>
      <c r="S580"/>
    </row>
    <row r="581" spans="1:19" x14ac:dyDescent="0.25">
      <c r="A581"/>
      <c r="B581"/>
      <c r="C581"/>
      <c r="D581"/>
      <c r="E581"/>
      <c r="F581"/>
      <c r="G581"/>
      <c r="H581"/>
      <c r="J581"/>
      <c r="K581"/>
      <c r="L581"/>
      <c r="M581"/>
      <c r="N581"/>
      <c r="O581"/>
      <c r="P581"/>
      <c r="Q581"/>
      <c r="R581"/>
      <c r="S581"/>
    </row>
    <row r="582" spans="1:19" x14ac:dyDescent="0.25">
      <c r="A582"/>
      <c r="B582"/>
      <c r="C582"/>
      <c r="D582"/>
      <c r="E582"/>
      <c r="F582"/>
      <c r="G582"/>
      <c r="H582"/>
      <c r="J582"/>
      <c r="K582"/>
      <c r="L582"/>
      <c r="M582"/>
      <c r="N582"/>
      <c r="O582"/>
      <c r="P582"/>
      <c r="Q582"/>
      <c r="R582"/>
      <c r="S582"/>
    </row>
    <row r="583" spans="1:19" x14ac:dyDescent="0.25">
      <c r="A583"/>
      <c r="B583"/>
      <c r="C583"/>
      <c r="D583"/>
      <c r="E583"/>
      <c r="F583"/>
      <c r="G583"/>
      <c r="H583"/>
      <c r="J583"/>
      <c r="K583"/>
      <c r="L583"/>
      <c r="M583"/>
      <c r="N583"/>
      <c r="O583"/>
      <c r="P583"/>
      <c r="Q583"/>
      <c r="R583"/>
      <c r="S583"/>
    </row>
    <row r="584" spans="1:19" x14ac:dyDescent="0.25">
      <c r="A584"/>
      <c r="B584"/>
      <c r="C584"/>
      <c r="D584"/>
      <c r="E584"/>
      <c r="F584"/>
      <c r="G584"/>
      <c r="H584"/>
      <c r="J584"/>
      <c r="K584"/>
      <c r="L584"/>
      <c r="M584"/>
      <c r="N584"/>
      <c r="O584"/>
      <c r="P584"/>
      <c r="Q584"/>
      <c r="R584"/>
      <c r="S584"/>
    </row>
    <row r="585" spans="1:19" x14ac:dyDescent="0.25">
      <c r="A585"/>
      <c r="B585"/>
      <c r="C585"/>
      <c r="D585"/>
      <c r="E585"/>
      <c r="F585"/>
      <c r="G585"/>
      <c r="H585"/>
      <c r="J585"/>
      <c r="K585"/>
      <c r="L585"/>
      <c r="M585"/>
      <c r="N585"/>
      <c r="O585"/>
      <c r="P585"/>
      <c r="Q585"/>
      <c r="R585"/>
      <c r="S585"/>
    </row>
    <row r="586" spans="1:19" x14ac:dyDescent="0.25">
      <c r="A586"/>
      <c r="B586"/>
      <c r="C586"/>
      <c r="D586"/>
      <c r="E586"/>
      <c r="F586"/>
      <c r="G586"/>
      <c r="H586"/>
      <c r="J586"/>
      <c r="K586"/>
      <c r="L586"/>
      <c r="M586"/>
      <c r="N586"/>
      <c r="O586"/>
      <c r="P586"/>
      <c r="Q586"/>
      <c r="R586"/>
      <c r="S586"/>
    </row>
    <row r="587" spans="1:19" x14ac:dyDescent="0.25">
      <c r="A587"/>
      <c r="B587"/>
      <c r="C587"/>
      <c r="D587"/>
      <c r="E587"/>
      <c r="F587"/>
      <c r="G587"/>
      <c r="H587"/>
      <c r="J587"/>
      <c r="K587"/>
      <c r="L587"/>
      <c r="M587"/>
      <c r="N587"/>
      <c r="O587"/>
      <c r="P587"/>
      <c r="Q587"/>
      <c r="R587"/>
      <c r="S587"/>
    </row>
  </sheetData>
  <sortState xmlns:xlrd2="http://schemas.microsoft.com/office/spreadsheetml/2017/richdata2" ref="A9:S32">
    <sortCondition ref="A9:A3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22D8D-D165-4E4C-A607-9C8C6DDF27DB}">
  <dimension ref="A1:X587"/>
  <sheetViews>
    <sheetView topLeftCell="A113" zoomScale="70" zoomScaleNormal="70" workbookViewId="0">
      <pane xSplit="1" topLeftCell="F1" activePane="topRight" state="frozen"/>
      <selection pane="topRight" activeCell="F24" sqref="F24"/>
    </sheetView>
  </sheetViews>
  <sheetFormatPr defaultRowHeight="15.75" x14ac:dyDescent="0.25"/>
  <cols>
    <col min="1" max="1" width="34.125" style="58" customWidth="1"/>
    <col min="2" max="2" width="16.25" style="16" customWidth="1"/>
    <col min="3" max="3" width="16.25" style="66" customWidth="1"/>
    <col min="4" max="4" width="16.25" style="5" customWidth="1"/>
    <col min="5" max="5" width="16.25" style="16" customWidth="1"/>
    <col min="6" max="6" width="16.25" style="7" customWidth="1"/>
    <col min="7" max="7" width="16.25" style="6" customWidth="1"/>
    <col min="8" max="8" width="16.25" style="23" customWidth="1"/>
    <col min="9" max="9" width="16.25" customWidth="1"/>
    <col min="10" max="10" width="14.25" style="23" customWidth="1"/>
    <col min="11" max="11" width="12" style="24" customWidth="1"/>
    <col min="12" max="12" width="16" style="75" customWidth="1"/>
    <col min="13" max="13" width="18.875" style="75" customWidth="1"/>
    <col min="14" max="14" width="19.25" style="75" customWidth="1"/>
    <col min="15" max="15" width="16.25" style="77" customWidth="1"/>
    <col min="16" max="16" width="16.25" style="5" customWidth="1"/>
    <col min="17" max="18" width="16.25" style="23" customWidth="1"/>
    <col min="19" max="19" width="16.25" style="58" customWidth="1"/>
    <col min="20" max="20" width="13.5" style="6" customWidth="1"/>
    <col min="21" max="24" width="13.5" customWidth="1"/>
  </cols>
  <sheetData>
    <row r="1" spans="1:24" x14ac:dyDescent="0.25">
      <c r="A1" s="19"/>
      <c r="B1" s="6"/>
      <c r="C1"/>
      <c r="D1" s="7"/>
      <c r="E1" s="6"/>
      <c r="I1" s="23"/>
      <c r="L1" s="4"/>
      <c r="M1" s="4"/>
      <c r="N1" s="4"/>
      <c r="O1" s="21"/>
      <c r="P1" s="7"/>
      <c r="S1" s="19"/>
    </row>
    <row r="2" spans="1:24" x14ac:dyDescent="0.25">
      <c r="A2" s="19"/>
      <c r="B2" s="6"/>
      <c r="C2"/>
      <c r="D2" s="7"/>
      <c r="E2" s="6"/>
      <c r="I2" s="23"/>
      <c r="L2" s="4"/>
      <c r="M2" s="4"/>
      <c r="N2" s="4"/>
      <c r="O2" s="21"/>
      <c r="P2" s="7"/>
      <c r="S2" s="19"/>
    </row>
    <row r="3" spans="1:24" x14ac:dyDescent="0.25">
      <c r="A3" s="19"/>
      <c r="B3" s="6"/>
      <c r="C3"/>
      <c r="D3" s="7"/>
      <c r="E3" s="6"/>
      <c r="I3" s="23"/>
      <c r="L3" s="4"/>
      <c r="M3" s="4"/>
      <c r="N3" s="4"/>
      <c r="O3" s="21"/>
      <c r="P3" s="7"/>
      <c r="S3" s="19"/>
    </row>
    <row r="4" spans="1:24" x14ac:dyDescent="0.25">
      <c r="A4" s="19"/>
      <c r="B4" s="6"/>
      <c r="C4"/>
      <c r="D4" s="7"/>
      <c r="E4" s="6"/>
      <c r="I4" s="23"/>
      <c r="L4" s="4"/>
      <c r="M4" s="4"/>
      <c r="N4" s="4"/>
      <c r="O4" s="21"/>
      <c r="P4" s="7"/>
      <c r="S4" s="19"/>
    </row>
    <row r="5" spans="1:24" x14ac:dyDescent="0.25">
      <c r="A5" s="19"/>
      <c r="B5" s="6"/>
      <c r="C5"/>
      <c r="D5" s="7"/>
      <c r="E5" s="6"/>
      <c r="I5" s="23"/>
      <c r="L5" s="4"/>
      <c r="M5" s="4"/>
      <c r="N5" s="4"/>
      <c r="O5" s="21"/>
      <c r="P5" s="7"/>
      <c r="S5" s="19"/>
    </row>
    <row r="6" spans="1:24" x14ac:dyDescent="0.25">
      <c r="A6" s="19"/>
      <c r="B6" s="6"/>
      <c r="C6"/>
      <c r="D6" s="7"/>
      <c r="E6" s="6"/>
      <c r="I6" s="23"/>
      <c r="L6" s="4"/>
      <c r="M6" s="4"/>
      <c r="N6" s="4"/>
      <c r="O6" s="21"/>
      <c r="P6" s="7"/>
      <c r="S6" s="19"/>
    </row>
    <row r="7" spans="1:24" x14ac:dyDescent="0.25">
      <c r="A7" s="19"/>
      <c r="B7" s="6"/>
      <c r="C7"/>
      <c r="D7" s="7"/>
      <c r="E7" s="6"/>
      <c r="I7" s="23"/>
      <c r="L7" s="4"/>
      <c r="M7" s="4"/>
      <c r="N7" s="4"/>
      <c r="O7" s="21"/>
      <c r="P7" s="7"/>
      <c r="S7" s="19"/>
    </row>
    <row r="8" spans="1:24" s="62" customFormat="1" ht="35.25" customHeight="1" x14ac:dyDescent="0.25">
      <c r="A8" s="29" t="s">
        <v>4241</v>
      </c>
      <c r="B8" s="32" t="s">
        <v>0</v>
      </c>
      <c r="C8" s="28" t="s">
        <v>424</v>
      </c>
      <c r="D8" s="29" t="s">
        <v>2287</v>
      </c>
      <c r="E8" s="32" t="s">
        <v>7</v>
      </c>
      <c r="F8" s="29" t="s">
        <v>2288</v>
      </c>
      <c r="G8" s="32" t="s">
        <v>4322</v>
      </c>
      <c r="H8" s="28" t="s">
        <v>405</v>
      </c>
      <c r="I8" s="28" t="s">
        <v>12</v>
      </c>
      <c r="J8" s="28" t="s">
        <v>2289</v>
      </c>
      <c r="K8" s="29" t="s">
        <v>403</v>
      </c>
      <c r="L8" s="61" t="s">
        <v>2282</v>
      </c>
      <c r="M8" s="61" t="s">
        <v>2283</v>
      </c>
      <c r="N8" s="61" t="s">
        <v>2284</v>
      </c>
      <c r="O8" s="32" t="s">
        <v>2290</v>
      </c>
      <c r="P8" s="29" t="s">
        <v>2291</v>
      </c>
      <c r="Q8" s="28" t="s">
        <v>1</v>
      </c>
      <c r="R8" s="28" t="s">
        <v>2</v>
      </c>
      <c r="S8" s="29" t="s">
        <v>414</v>
      </c>
      <c r="T8" s="32"/>
      <c r="U8" s="28"/>
      <c r="V8" s="28"/>
      <c r="W8" s="28"/>
      <c r="X8" s="28"/>
    </row>
    <row r="9" spans="1:24" x14ac:dyDescent="0.25">
      <c r="A9" s="18" t="s">
        <v>2292</v>
      </c>
      <c r="B9" s="11" t="s">
        <v>2293</v>
      </c>
      <c r="C9" s="4" t="str">
        <f t="shared" ref="C9:C72" si="0">LEFT(A9, FIND(" ",A9)-1)</f>
        <v>ASRock</v>
      </c>
      <c r="D9" s="14" t="s">
        <v>2294</v>
      </c>
      <c r="E9" s="11" t="s">
        <v>350</v>
      </c>
      <c r="F9" s="76" t="s">
        <v>8770</v>
      </c>
      <c r="G9" s="12" t="s">
        <v>406</v>
      </c>
      <c r="H9" s="12">
        <v>128</v>
      </c>
      <c r="I9" s="12">
        <v>4733</v>
      </c>
      <c r="J9" s="12">
        <v>4</v>
      </c>
      <c r="K9" s="12">
        <v>2</v>
      </c>
      <c r="L9" s="75" t="s">
        <v>4243</v>
      </c>
      <c r="M9" s="75" t="s">
        <v>4244</v>
      </c>
      <c r="N9" s="75" t="s">
        <v>4245</v>
      </c>
      <c r="O9" s="20" t="s">
        <v>2295</v>
      </c>
      <c r="P9" s="14" t="s">
        <v>2296</v>
      </c>
      <c r="Q9" s="3">
        <v>73.89</v>
      </c>
      <c r="R9" s="3">
        <v>101.4</v>
      </c>
      <c r="S9" s="18" t="s">
        <v>2297</v>
      </c>
      <c r="T9" s="12"/>
    </row>
    <row r="10" spans="1:24" x14ac:dyDescent="0.25">
      <c r="A10" s="18" t="s">
        <v>2298</v>
      </c>
      <c r="B10" s="11" t="s">
        <v>2299</v>
      </c>
      <c r="C10" s="4" t="str">
        <f t="shared" si="0"/>
        <v>ASRock</v>
      </c>
      <c r="D10" s="14" t="s">
        <v>2294</v>
      </c>
      <c r="E10" s="11" t="s">
        <v>350</v>
      </c>
      <c r="F10" s="76" t="s">
        <v>8770</v>
      </c>
      <c r="G10" s="12" t="s">
        <v>406</v>
      </c>
      <c r="H10" s="12">
        <v>128</v>
      </c>
      <c r="I10" s="12">
        <v>4733</v>
      </c>
      <c r="J10" s="12">
        <v>4</v>
      </c>
      <c r="K10" s="12">
        <v>2</v>
      </c>
      <c r="L10" s="75" t="s">
        <v>4246</v>
      </c>
      <c r="M10" s="75" t="s">
        <v>4247</v>
      </c>
      <c r="N10" s="75" t="s">
        <v>4248</v>
      </c>
      <c r="O10" s="20" t="s">
        <v>2300</v>
      </c>
      <c r="P10" s="14" t="s">
        <v>2296</v>
      </c>
      <c r="Q10" s="3">
        <v>78.900000000000006</v>
      </c>
      <c r="R10" s="3">
        <v>115.9</v>
      </c>
      <c r="S10" s="18" t="s">
        <v>2301</v>
      </c>
      <c r="T10" s="12"/>
    </row>
    <row r="11" spans="1:24" x14ac:dyDescent="0.25">
      <c r="A11" s="18" t="s">
        <v>2302</v>
      </c>
      <c r="B11" s="11" t="s">
        <v>2303</v>
      </c>
      <c r="C11" s="4" t="str">
        <f t="shared" si="0"/>
        <v>ASRock</v>
      </c>
      <c r="D11" s="14" t="s">
        <v>2294</v>
      </c>
      <c r="E11" s="11" t="s">
        <v>350</v>
      </c>
      <c r="F11" s="76" t="s">
        <v>8770</v>
      </c>
      <c r="G11" s="12" t="s">
        <v>406</v>
      </c>
      <c r="H11" s="12">
        <v>64</v>
      </c>
      <c r="I11" s="12">
        <v>4733</v>
      </c>
      <c r="J11" s="12">
        <v>2</v>
      </c>
      <c r="K11" s="12">
        <v>2</v>
      </c>
      <c r="L11" s="75" t="s">
        <v>4246</v>
      </c>
      <c r="M11" s="75" t="s">
        <v>4249</v>
      </c>
      <c r="N11" s="75" t="s">
        <v>4249</v>
      </c>
      <c r="O11" s="20" t="s">
        <v>2304</v>
      </c>
      <c r="P11" s="14" t="s">
        <v>2296</v>
      </c>
      <c r="Q11" s="3">
        <v>56.89</v>
      </c>
      <c r="R11" s="3">
        <v>87.2</v>
      </c>
      <c r="S11" s="18" t="s">
        <v>2305</v>
      </c>
      <c r="T11" s="12"/>
    </row>
    <row r="12" spans="1:24" x14ac:dyDescent="0.25">
      <c r="A12" s="18" t="s">
        <v>2306</v>
      </c>
      <c r="B12" s="11" t="s">
        <v>2307</v>
      </c>
      <c r="C12" s="4" t="str">
        <f t="shared" si="0"/>
        <v>ASRock</v>
      </c>
      <c r="D12" s="14" t="s">
        <v>2294</v>
      </c>
      <c r="E12" s="11" t="s">
        <v>350</v>
      </c>
      <c r="F12" s="76" t="s">
        <v>8770</v>
      </c>
      <c r="G12" s="12" t="s">
        <v>406</v>
      </c>
      <c r="H12" s="12">
        <v>64</v>
      </c>
      <c r="I12" s="12">
        <v>4733</v>
      </c>
      <c r="J12" s="12">
        <v>2</v>
      </c>
      <c r="K12" s="12">
        <v>2</v>
      </c>
      <c r="L12" s="75" t="s">
        <v>4246</v>
      </c>
      <c r="M12" s="75" t="s">
        <v>4249</v>
      </c>
      <c r="N12" s="75" t="s">
        <v>4249</v>
      </c>
      <c r="O12" s="20" t="s">
        <v>2304</v>
      </c>
      <c r="P12" s="14" t="s">
        <v>2296</v>
      </c>
      <c r="Q12" s="3">
        <v>56.9</v>
      </c>
      <c r="R12" s="3">
        <v>93.9</v>
      </c>
      <c r="S12" s="18" t="s">
        <v>2308</v>
      </c>
      <c r="T12" s="12"/>
    </row>
    <row r="13" spans="1:24" x14ac:dyDescent="0.25">
      <c r="A13" s="18" t="s">
        <v>2309</v>
      </c>
      <c r="B13" s="11" t="s">
        <v>2310</v>
      </c>
      <c r="C13" s="4" t="str">
        <f t="shared" si="0"/>
        <v>ASRock</v>
      </c>
      <c r="D13" s="14" t="s">
        <v>2311</v>
      </c>
      <c r="E13" s="11" t="s">
        <v>350</v>
      </c>
      <c r="F13" s="76" t="s">
        <v>8770</v>
      </c>
      <c r="G13" s="12" t="s">
        <v>406</v>
      </c>
      <c r="H13" s="12">
        <v>64</v>
      </c>
      <c r="I13" s="12">
        <v>4733</v>
      </c>
      <c r="J13" s="12">
        <v>2</v>
      </c>
      <c r="K13" s="12">
        <v>2</v>
      </c>
      <c r="L13" s="75">
        <v>3</v>
      </c>
      <c r="M13" s="75">
        <v>16</v>
      </c>
      <c r="N13" s="75">
        <v>16</v>
      </c>
      <c r="O13" s="20" t="s">
        <v>2312</v>
      </c>
      <c r="P13" s="14" t="s">
        <v>2296</v>
      </c>
      <c r="Q13" s="3">
        <v>101.68</v>
      </c>
      <c r="R13" s="3">
        <v>124</v>
      </c>
      <c r="S13" s="18" t="s">
        <v>2313</v>
      </c>
      <c r="T13" s="12"/>
    </row>
    <row r="14" spans="1:24" x14ac:dyDescent="0.25">
      <c r="A14" s="18" t="s">
        <v>2314</v>
      </c>
      <c r="B14" s="11" t="s">
        <v>2315</v>
      </c>
      <c r="C14" s="4" t="str">
        <f t="shared" si="0"/>
        <v>ASRock</v>
      </c>
      <c r="D14" s="14" t="s">
        <v>2311</v>
      </c>
      <c r="E14" s="11" t="s">
        <v>351</v>
      </c>
      <c r="F14" s="76" t="s">
        <v>8771</v>
      </c>
      <c r="G14" s="12" t="s">
        <v>407</v>
      </c>
      <c r="H14" s="12">
        <v>128</v>
      </c>
      <c r="I14" s="12">
        <v>7200</v>
      </c>
      <c r="J14" s="12">
        <v>2</v>
      </c>
      <c r="K14" s="12">
        <v>2</v>
      </c>
      <c r="L14" s="75">
        <v>4</v>
      </c>
      <c r="M14" s="75">
        <v>16</v>
      </c>
      <c r="N14" s="75">
        <v>16</v>
      </c>
      <c r="O14" s="20" t="s">
        <v>2316</v>
      </c>
      <c r="P14" s="14" t="s">
        <v>2317</v>
      </c>
      <c r="Q14" s="3">
        <v>147.91999999999999</v>
      </c>
      <c r="R14" s="3">
        <v>202.39</v>
      </c>
      <c r="S14" s="18" t="s">
        <v>2318</v>
      </c>
      <c r="T14" s="12"/>
    </row>
    <row r="15" spans="1:24" x14ac:dyDescent="0.25">
      <c r="A15" s="18" t="s">
        <v>2319</v>
      </c>
      <c r="B15" s="11" t="s">
        <v>2320</v>
      </c>
      <c r="C15" s="4" t="str">
        <f t="shared" si="0"/>
        <v>ASRock</v>
      </c>
      <c r="D15" s="14" t="s">
        <v>2294</v>
      </c>
      <c r="E15" s="11" t="s">
        <v>351</v>
      </c>
      <c r="F15" s="76" t="s">
        <v>8771</v>
      </c>
      <c r="G15" s="12" t="s">
        <v>407</v>
      </c>
      <c r="H15" s="12">
        <v>256</v>
      </c>
      <c r="I15" s="12">
        <v>7200</v>
      </c>
      <c r="J15" s="12">
        <v>4</v>
      </c>
      <c r="K15" s="12">
        <v>2</v>
      </c>
      <c r="L15" s="75">
        <v>4</v>
      </c>
      <c r="M15" s="75">
        <v>16</v>
      </c>
      <c r="N15" s="75">
        <v>16</v>
      </c>
      <c r="O15" s="20" t="s">
        <v>2321</v>
      </c>
      <c r="P15" s="14" t="s">
        <v>2322</v>
      </c>
      <c r="Q15" s="3">
        <v>106.17</v>
      </c>
      <c r="R15" s="3">
        <v>144.99</v>
      </c>
      <c r="S15" s="18" t="s">
        <v>2323</v>
      </c>
      <c r="T15" s="12"/>
    </row>
    <row r="16" spans="1:24" x14ac:dyDescent="0.25">
      <c r="A16" s="18" t="s">
        <v>2324</v>
      </c>
      <c r="B16" s="11" t="s">
        <v>2325</v>
      </c>
      <c r="C16" s="4" t="str">
        <f t="shared" si="0"/>
        <v>ASRock</v>
      </c>
      <c r="D16" s="14" t="s">
        <v>2294</v>
      </c>
      <c r="E16" s="11" t="s">
        <v>351</v>
      </c>
      <c r="F16" s="76" t="s">
        <v>8771</v>
      </c>
      <c r="G16" s="12" t="s">
        <v>407</v>
      </c>
      <c r="H16" s="12">
        <v>256</v>
      </c>
      <c r="I16" s="12">
        <v>7200</v>
      </c>
      <c r="J16" s="12">
        <v>4</v>
      </c>
      <c r="K16" s="12">
        <v>2</v>
      </c>
      <c r="L16" s="75">
        <v>4</v>
      </c>
      <c r="M16" s="75">
        <v>16</v>
      </c>
      <c r="N16" s="75">
        <v>16</v>
      </c>
      <c r="O16" s="20" t="s">
        <v>2326</v>
      </c>
      <c r="P16" s="14" t="s">
        <v>2322</v>
      </c>
      <c r="Q16" s="3">
        <v>118.28</v>
      </c>
      <c r="R16" s="3">
        <v>151.79</v>
      </c>
      <c r="S16" s="18" t="s">
        <v>2327</v>
      </c>
      <c r="T16" s="12"/>
    </row>
    <row r="17" spans="1:20" x14ac:dyDescent="0.25">
      <c r="A17" s="18" t="s">
        <v>2328</v>
      </c>
      <c r="B17" s="11" t="s">
        <v>2329</v>
      </c>
      <c r="C17" s="4" t="str">
        <f t="shared" si="0"/>
        <v>ASRock</v>
      </c>
      <c r="D17" s="14" t="s">
        <v>2294</v>
      </c>
      <c r="E17" s="11" t="s">
        <v>351</v>
      </c>
      <c r="F17" s="76" t="s">
        <v>8771</v>
      </c>
      <c r="G17" s="12" t="s">
        <v>407</v>
      </c>
      <c r="H17" s="12">
        <v>128</v>
      </c>
      <c r="I17" s="12">
        <v>6400</v>
      </c>
      <c r="J17" s="12">
        <v>2</v>
      </c>
      <c r="K17" s="12">
        <v>2</v>
      </c>
      <c r="L17" s="75" t="s">
        <v>4250</v>
      </c>
      <c r="M17" s="75" t="s">
        <v>4251</v>
      </c>
      <c r="N17" s="75" t="s">
        <v>4251</v>
      </c>
      <c r="O17" s="20" t="s">
        <v>2330</v>
      </c>
      <c r="P17" s="14" t="s">
        <v>2317</v>
      </c>
      <c r="Q17" s="3">
        <v>86.9</v>
      </c>
      <c r="R17" s="3">
        <v>172</v>
      </c>
      <c r="S17" s="18" t="s">
        <v>2331</v>
      </c>
      <c r="T17" s="12"/>
    </row>
    <row r="18" spans="1:20" x14ac:dyDescent="0.25">
      <c r="A18" s="18" t="s">
        <v>2332</v>
      </c>
      <c r="B18" s="11" t="s">
        <v>2333</v>
      </c>
      <c r="C18" s="4" t="str">
        <f t="shared" si="0"/>
        <v>ASRock</v>
      </c>
      <c r="D18" s="14" t="s">
        <v>2294</v>
      </c>
      <c r="E18" s="11" t="s">
        <v>351</v>
      </c>
      <c r="F18" s="76" t="s">
        <v>8771</v>
      </c>
      <c r="G18" s="12" t="s">
        <v>407</v>
      </c>
      <c r="H18" s="12">
        <v>128</v>
      </c>
      <c r="I18" s="12">
        <v>7200</v>
      </c>
      <c r="J18" s="12">
        <v>2</v>
      </c>
      <c r="K18" s="12">
        <v>2</v>
      </c>
      <c r="L18" s="75" t="s">
        <v>4250</v>
      </c>
      <c r="M18" s="75" t="s">
        <v>4251</v>
      </c>
      <c r="N18" s="75" t="s">
        <v>4251</v>
      </c>
      <c r="O18" s="20" t="s">
        <v>2334</v>
      </c>
      <c r="P18" s="14" t="s">
        <v>2322</v>
      </c>
      <c r="Q18" s="3">
        <v>90.72</v>
      </c>
      <c r="R18" s="3">
        <v>141</v>
      </c>
      <c r="S18" s="18" t="s">
        <v>2335</v>
      </c>
      <c r="T18" s="12"/>
    </row>
    <row r="19" spans="1:20" x14ac:dyDescent="0.25">
      <c r="A19" s="18" t="s">
        <v>2338</v>
      </c>
      <c r="B19" s="11" t="s">
        <v>2339</v>
      </c>
      <c r="C19" s="4" t="str">
        <f t="shared" si="0"/>
        <v>ASRock</v>
      </c>
      <c r="D19" s="14" t="s">
        <v>2336</v>
      </c>
      <c r="E19" s="11" t="s">
        <v>350</v>
      </c>
      <c r="F19" s="76" t="s">
        <v>8772</v>
      </c>
      <c r="G19" s="12" t="s">
        <v>406</v>
      </c>
      <c r="H19" s="12">
        <v>128</v>
      </c>
      <c r="I19" s="12">
        <v>4933</v>
      </c>
      <c r="J19" s="12">
        <v>4</v>
      </c>
      <c r="K19" s="12">
        <v>2</v>
      </c>
      <c r="L19" s="75" t="s">
        <v>4255</v>
      </c>
      <c r="M19" s="75" t="s">
        <v>4256</v>
      </c>
      <c r="N19" s="75" t="s">
        <v>4257</v>
      </c>
      <c r="O19" s="20" t="s">
        <v>2340</v>
      </c>
      <c r="P19" s="14" t="s">
        <v>2341</v>
      </c>
      <c r="Q19" s="3">
        <v>119.35</v>
      </c>
      <c r="R19" s="3">
        <v>230</v>
      </c>
      <c r="S19" s="18" t="s">
        <v>2342</v>
      </c>
      <c r="T19" s="12"/>
    </row>
    <row r="20" spans="1:20" x14ac:dyDescent="0.25">
      <c r="A20" s="18" t="s">
        <v>2343</v>
      </c>
      <c r="B20" s="11" t="s">
        <v>2344</v>
      </c>
      <c r="C20" s="4" t="str">
        <f t="shared" si="0"/>
        <v>ASRock</v>
      </c>
      <c r="D20" s="14" t="s">
        <v>2336</v>
      </c>
      <c r="E20" s="11" t="s">
        <v>350</v>
      </c>
      <c r="F20" s="76" t="s">
        <v>8772</v>
      </c>
      <c r="G20" s="12" t="s">
        <v>406</v>
      </c>
      <c r="H20" s="12">
        <v>128</v>
      </c>
      <c r="I20" s="12">
        <v>4733</v>
      </c>
      <c r="J20" s="12">
        <v>4</v>
      </c>
      <c r="K20" s="12">
        <v>2</v>
      </c>
      <c r="L20" s="75" t="s">
        <v>4255</v>
      </c>
      <c r="M20" s="75" t="s">
        <v>4258</v>
      </c>
      <c r="N20" s="75" t="s">
        <v>4257</v>
      </c>
      <c r="O20" s="20" t="s">
        <v>2345</v>
      </c>
      <c r="P20" s="14" t="s">
        <v>2341</v>
      </c>
      <c r="Q20" s="3">
        <v>129.9</v>
      </c>
      <c r="R20" s="3">
        <v>346.56</v>
      </c>
      <c r="S20" s="18" t="s">
        <v>2346</v>
      </c>
      <c r="T20" s="12"/>
    </row>
    <row r="21" spans="1:20" x14ac:dyDescent="0.25">
      <c r="A21" s="18" t="s">
        <v>2347</v>
      </c>
      <c r="B21" s="11" t="s">
        <v>2348</v>
      </c>
      <c r="C21" s="4" t="str">
        <f t="shared" si="0"/>
        <v>ASRock</v>
      </c>
      <c r="D21" s="14" t="s">
        <v>2336</v>
      </c>
      <c r="E21" s="11" t="s">
        <v>350</v>
      </c>
      <c r="F21" s="76" t="s">
        <v>8772</v>
      </c>
      <c r="G21" s="12" t="s">
        <v>406</v>
      </c>
      <c r="H21" s="12">
        <v>128</v>
      </c>
      <c r="I21" s="12">
        <v>4733</v>
      </c>
      <c r="J21" s="12">
        <v>4</v>
      </c>
      <c r="K21" s="12">
        <v>2</v>
      </c>
      <c r="L21" s="75" t="s">
        <v>4255</v>
      </c>
      <c r="M21" s="75" t="s">
        <v>4258</v>
      </c>
      <c r="N21" s="75" t="s">
        <v>4257</v>
      </c>
      <c r="O21" s="20" t="s">
        <v>2349</v>
      </c>
      <c r="P21" s="14" t="s">
        <v>2341</v>
      </c>
      <c r="Q21" s="3">
        <v>93.89</v>
      </c>
      <c r="R21" s="3">
        <v>160</v>
      </c>
      <c r="S21" s="18" t="s">
        <v>2350</v>
      </c>
      <c r="T21" s="12"/>
    </row>
    <row r="22" spans="1:20" x14ac:dyDescent="0.25">
      <c r="A22" s="18" t="s">
        <v>2351</v>
      </c>
      <c r="B22" s="11" t="s">
        <v>2352</v>
      </c>
      <c r="C22" s="4" t="str">
        <f t="shared" si="0"/>
        <v>ASRock</v>
      </c>
      <c r="D22" s="14" t="s">
        <v>2336</v>
      </c>
      <c r="E22" s="11" t="s">
        <v>350</v>
      </c>
      <c r="F22" s="76" t="s">
        <v>8772</v>
      </c>
      <c r="G22" s="12" t="s">
        <v>406</v>
      </c>
      <c r="H22" s="12">
        <v>128</v>
      </c>
      <c r="I22" s="12">
        <v>4733</v>
      </c>
      <c r="J22" s="12">
        <v>4</v>
      </c>
      <c r="K22" s="12">
        <v>2</v>
      </c>
      <c r="L22" s="75" t="s">
        <v>4255</v>
      </c>
      <c r="M22" s="75" t="s">
        <v>4258</v>
      </c>
      <c r="N22" s="75" t="s">
        <v>4257</v>
      </c>
      <c r="O22" s="20" t="s">
        <v>2349</v>
      </c>
      <c r="P22" s="14" t="s">
        <v>2341</v>
      </c>
      <c r="Q22" s="3">
        <v>102.89</v>
      </c>
      <c r="R22" s="3">
        <v>131.22</v>
      </c>
      <c r="S22" s="18" t="s">
        <v>2353</v>
      </c>
      <c r="T22" s="12"/>
    </row>
    <row r="23" spans="1:20" x14ac:dyDescent="0.25">
      <c r="A23" s="18" t="s">
        <v>2354</v>
      </c>
      <c r="B23" s="11" t="s">
        <v>2355</v>
      </c>
      <c r="C23" s="4" t="str">
        <f t="shared" si="0"/>
        <v>ASRock</v>
      </c>
      <c r="D23" s="14" t="s">
        <v>2336</v>
      </c>
      <c r="E23" s="11" t="s">
        <v>350</v>
      </c>
      <c r="F23" s="76" t="s">
        <v>8772</v>
      </c>
      <c r="G23" s="12" t="s">
        <v>406</v>
      </c>
      <c r="H23" s="12">
        <v>128</v>
      </c>
      <c r="I23" s="12">
        <v>4733</v>
      </c>
      <c r="J23" s="12">
        <v>4</v>
      </c>
      <c r="K23" s="12">
        <v>2</v>
      </c>
      <c r="L23" s="75" t="s">
        <v>4255</v>
      </c>
      <c r="M23" s="75" t="s">
        <v>4258</v>
      </c>
      <c r="N23" s="75" t="s">
        <v>4257</v>
      </c>
      <c r="O23" s="20" t="s">
        <v>2345</v>
      </c>
      <c r="P23" s="14" t="s">
        <v>2341</v>
      </c>
      <c r="Q23" s="3">
        <v>199.2</v>
      </c>
      <c r="R23" s="3">
        <v>1496.29</v>
      </c>
      <c r="S23" s="18" t="s">
        <v>2356</v>
      </c>
      <c r="T23" s="12"/>
    </row>
    <row r="24" spans="1:20" x14ac:dyDescent="0.25">
      <c r="A24" s="18" t="s">
        <v>2357</v>
      </c>
      <c r="B24" s="11" t="s">
        <v>2358</v>
      </c>
      <c r="C24" s="4" t="str">
        <f t="shared" si="0"/>
        <v>ASRock</v>
      </c>
      <c r="D24" s="14" t="s">
        <v>2294</v>
      </c>
      <c r="E24" s="11" t="s">
        <v>350</v>
      </c>
      <c r="F24" s="76" t="s">
        <v>8772</v>
      </c>
      <c r="G24" s="12" t="s">
        <v>406</v>
      </c>
      <c r="H24" s="12">
        <v>128</v>
      </c>
      <c r="I24" s="12">
        <v>4733</v>
      </c>
      <c r="J24" s="12">
        <v>4</v>
      </c>
      <c r="K24" s="12">
        <v>2</v>
      </c>
      <c r="L24" s="75" t="s">
        <v>4250</v>
      </c>
      <c r="M24" s="75" t="s">
        <v>4244</v>
      </c>
      <c r="N24" s="75" t="s">
        <v>4254</v>
      </c>
      <c r="O24" s="20" t="s">
        <v>2359</v>
      </c>
      <c r="P24" s="14" t="s">
        <v>2360</v>
      </c>
      <c r="Q24" s="3">
        <v>109.39</v>
      </c>
      <c r="R24" s="3">
        <v>152.82</v>
      </c>
      <c r="S24" s="18" t="s">
        <v>2361</v>
      </c>
      <c r="T24" s="12"/>
    </row>
    <row r="25" spans="1:20" x14ac:dyDescent="0.25">
      <c r="A25" s="18" t="s">
        <v>2362</v>
      </c>
      <c r="B25" s="11" t="s">
        <v>2363</v>
      </c>
      <c r="C25" s="4" t="str">
        <f t="shared" si="0"/>
        <v>ASRock</v>
      </c>
      <c r="D25" s="14" t="s">
        <v>2294</v>
      </c>
      <c r="E25" s="11" t="s">
        <v>350</v>
      </c>
      <c r="F25" s="76" t="s">
        <v>8772</v>
      </c>
      <c r="G25" s="12" t="s">
        <v>406</v>
      </c>
      <c r="H25" s="12">
        <v>128</v>
      </c>
      <c r="I25" s="12">
        <v>4733</v>
      </c>
      <c r="J25" s="12">
        <v>4</v>
      </c>
      <c r="K25" s="12">
        <v>2</v>
      </c>
      <c r="L25" s="75" t="s">
        <v>4250</v>
      </c>
      <c r="M25" s="75" t="s">
        <v>4244</v>
      </c>
      <c r="N25" s="75" t="s">
        <v>4254</v>
      </c>
      <c r="O25" s="20" t="s">
        <v>2364</v>
      </c>
      <c r="P25" s="14" t="s">
        <v>2360</v>
      </c>
      <c r="Q25" s="3">
        <v>88.89</v>
      </c>
      <c r="R25" s="3">
        <v>141</v>
      </c>
      <c r="S25" s="18" t="s">
        <v>2365</v>
      </c>
      <c r="T25" s="12"/>
    </row>
    <row r="26" spans="1:20" x14ac:dyDescent="0.25">
      <c r="A26" s="18" t="s">
        <v>2366</v>
      </c>
      <c r="B26" s="11" t="s">
        <v>2367</v>
      </c>
      <c r="C26" s="4" t="str">
        <f t="shared" si="0"/>
        <v>ASRock</v>
      </c>
      <c r="D26" s="14" t="s">
        <v>2294</v>
      </c>
      <c r="E26" s="11" t="s">
        <v>350</v>
      </c>
      <c r="F26" s="76" t="s">
        <v>8772</v>
      </c>
      <c r="G26" s="12" t="s">
        <v>406</v>
      </c>
      <c r="H26" s="12">
        <v>128</v>
      </c>
      <c r="I26" s="12">
        <v>4733</v>
      </c>
      <c r="J26" s="12">
        <v>4</v>
      </c>
      <c r="K26" s="12">
        <v>2</v>
      </c>
      <c r="L26" s="75" t="s">
        <v>4250</v>
      </c>
      <c r="M26" s="75" t="s">
        <v>4244</v>
      </c>
      <c r="N26" s="75" t="s">
        <v>4254</v>
      </c>
      <c r="O26" s="20" t="s">
        <v>2368</v>
      </c>
      <c r="P26" s="14" t="s">
        <v>2341</v>
      </c>
      <c r="Q26" s="3">
        <v>93.25</v>
      </c>
      <c r="R26" s="3">
        <v>154</v>
      </c>
      <c r="S26" s="18" t="s">
        <v>2369</v>
      </c>
      <c r="T26" s="12"/>
    </row>
    <row r="27" spans="1:20" x14ac:dyDescent="0.25">
      <c r="A27" s="18" t="s">
        <v>2370</v>
      </c>
      <c r="B27" s="11" t="s">
        <v>2371</v>
      </c>
      <c r="C27" s="4" t="str">
        <f t="shared" si="0"/>
        <v>ASRock</v>
      </c>
      <c r="D27" s="14" t="s">
        <v>2294</v>
      </c>
      <c r="E27" s="11" t="s">
        <v>350</v>
      </c>
      <c r="F27" s="76" t="s">
        <v>8772</v>
      </c>
      <c r="G27" s="12" t="s">
        <v>406</v>
      </c>
      <c r="H27" s="12">
        <v>128</v>
      </c>
      <c r="I27" s="12">
        <v>4733</v>
      </c>
      <c r="J27" s="12">
        <v>4</v>
      </c>
      <c r="K27" s="12">
        <v>2</v>
      </c>
      <c r="L27" s="75" t="s">
        <v>4250</v>
      </c>
      <c r="M27" s="75" t="s">
        <v>4244</v>
      </c>
      <c r="N27" s="75" t="s">
        <v>4254</v>
      </c>
      <c r="O27" s="20" t="s">
        <v>2368</v>
      </c>
      <c r="P27" s="14" t="s">
        <v>2341</v>
      </c>
      <c r="Q27" s="3">
        <v>130.87</v>
      </c>
      <c r="R27" s="3">
        <v>234.24</v>
      </c>
      <c r="S27" s="18" t="s">
        <v>2372</v>
      </c>
      <c r="T27" s="12"/>
    </row>
    <row r="28" spans="1:20" x14ac:dyDescent="0.25">
      <c r="A28" s="18" t="s">
        <v>2373</v>
      </c>
      <c r="B28" s="11" t="s">
        <v>2374</v>
      </c>
      <c r="C28" s="4" t="str">
        <f t="shared" si="0"/>
        <v>ASRock</v>
      </c>
      <c r="D28" s="14" t="s">
        <v>2294</v>
      </c>
      <c r="E28" s="11" t="s">
        <v>350</v>
      </c>
      <c r="F28" s="76" t="s">
        <v>8772</v>
      </c>
      <c r="G28" s="12" t="s">
        <v>406</v>
      </c>
      <c r="H28" s="12">
        <v>64</v>
      </c>
      <c r="I28" s="12">
        <v>4733</v>
      </c>
      <c r="J28" s="12">
        <v>2</v>
      </c>
      <c r="K28" s="12">
        <v>2</v>
      </c>
      <c r="L28" s="75" t="s">
        <v>4259</v>
      </c>
      <c r="M28" s="75" t="s">
        <v>4249</v>
      </c>
      <c r="N28" s="75" t="s">
        <v>4249</v>
      </c>
      <c r="O28" s="20" t="s">
        <v>2375</v>
      </c>
      <c r="P28" s="14" t="s">
        <v>2360</v>
      </c>
      <c r="Q28" s="3">
        <v>72.650000000000006</v>
      </c>
      <c r="R28" s="3">
        <v>110.46</v>
      </c>
      <c r="S28" s="18" t="s">
        <v>2376</v>
      </c>
      <c r="T28" s="12"/>
    </row>
    <row r="29" spans="1:20" x14ac:dyDescent="0.25">
      <c r="A29" s="18" t="s">
        <v>2377</v>
      </c>
      <c r="B29" s="11" t="s">
        <v>2378</v>
      </c>
      <c r="C29" s="4" t="str">
        <f t="shared" si="0"/>
        <v>ASRock</v>
      </c>
      <c r="D29" s="14" t="s">
        <v>2311</v>
      </c>
      <c r="E29" s="11" t="s">
        <v>350</v>
      </c>
      <c r="F29" s="76" t="s">
        <v>8772</v>
      </c>
      <c r="G29" s="12" t="s">
        <v>406</v>
      </c>
      <c r="H29" s="12">
        <v>64</v>
      </c>
      <c r="I29" s="12">
        <v>4733</v>
      </c>
      <c r="J29" s="12">
        <v>2</v>
      </c>
      <c r="K29" s="12">
        <v>2</v>
      </c>
      <c r="L29" s="75">
        <v>4</v>
      </c>
      <c r="M29" s="75">
        <v>16</v>
      </c>
      <c r="N29" s="75">
        <v>16</v>
      </c>
      <c r="O29" s="20" t="s">
        <v>2379</v>
      </c>
      <c r="P29" s="14" t="s">
        <v>2360</v>
      </c>
      <c r="Q29" s="3">
        <v>127.34</v>
      </c>
      <c r="R29" s="3">
        <v>192.28</v>
      </c>
      <c r="S29" s="18" t="s">
        <v>2380</v>
      </c>
      <c r="T29" s="12"/>
    </row>
    <row r="30" spans="1:20" x14ac:dyDescent="0.25">
      <c r="A30" s="18" t="s">
        <v>2381</v>
      </c>
      <c r="B30" s="11" t="s">
        <v>2382</v>
      </c>
      <c r="C30" s="4" t="str">
        <f t="shared" si="0"/>
        <v>ASRock</v>
      </c>
      <c r="D30" s="14" t="s">
        <v>2336</v>
      </c>
      <c r="E30" s="11" t="s">
        <v>351</v>
      </c>
      <c r="F30" s="76" t="s">
        <v>8773</v>
      </c>
      <c r="G30" s="12" t="s">
        <v>407</v>
      </c>
      <c r="H30" s="12">
        <v>256</v>
      </c>
      <c r="I30" s="12">
        <v>7200</v>
      </c>
      <c r="J30" s="12">
        <v>4</v>
      </c>
      <c r="K30" s="12">
        <v>2</v>
      </c>
      <c r="L30" s="75" t="s">
        <v>4260</v>
      </c>
      <c r="M30" s="75" t="s">
        <v>4261</v>
      </c>
      <c r="N30" s="75" t="s">
        <v>4261</v>
      </c>
      <c r="O30" s="20" t="s">
        <v>2383</v>
      </c>
      <c r="P30" s="14" t="s">
        <v>2384</v>
      </c>
      <c r="Q30" s="3">
        <v>187.26</v>
      </c>
      <c r="R30" s="3">
        <v>297.77</v>
      </c>
      <c r="S30" s="18" t="s">
        <v>2385</v>
      </c>
      <c r="T30" s="12"/>
    </row>
    <row r="31" spans="1:20" x14ac:dyDescent="0.25">
      <c r="A31" s="18" t="s">
        <v>2386</v>
      </c>
      <c r="B31" s="11" t="s">
        <v>2387</v>
      </c>
      <c r="C31" s="4" t="str">
        <f t="shared" si="0"/>
        <v>ASRock</v>
      </c>
      <c r="D31" s="14" t="s">
        <v>2336</v>
      </c>
      <c r="E31" s="11" t="s">
        <v>351</v>
      </c>
      <c r="F31" s="76" t="s">
        <v>8773</v>
      </c>
      <c r="G31" s="12" t="s">
        <v>407</v>
      </c>
      <c r="H31" s="12">
        <v>256</v>
      </c>
      <c r="I31" s="12">
        <v>7200</v>
      </c>
      <c r="J31" s="12">
        <v>4</v>
      </c>
      <c r="K31" s="12">
        <v>2</v>
      </c>
      <c r="L31" s="75" t="s">
        <v>4262</v>
      </c>
      <c r="M31" s="75" t="s">
        <v>4258</v>
      </c>
      <c r="N31" s="75" t="s">
        <v>4263</v>
      </c>
      <c r="O31" s="20" t="s">
        <v>2388</v>
      </c>
      <c r="P31" s="14" t="s">
        <v>2389</v>
      </c>
      <c r="Q31" s="3">
        <v>159.88999999999999</v>
      </c>
      <c r="R31" s="3">
        <v>321.43</v>
      </c>
      <c r="S31" s="18" t="s">
        <v>2390</v>
      </c>
      <c r="T31" s="12"/>
    </row>
    <row r="32" spans="1:20" x14ac:dyDescent="0.25">
      <c r="A32" s="18" t="s">
        <v>2391</v>
      </c>
      <c r="B32" s="11" t="s">
        <v>2392</v>
      </c>
      <c r="C32" s="4" t="str">
        <f t="shared" si="0"/>
        <v>ASRock</v>
      </c>
      <c r="D32" s="14" t="s">
        <v>2336</v>
      </c>
      <c r="E32" s="11" t="s">
        <v>351</v>
      </c>
      <c r="F32" s="76" t="s">
        <v>8773</v>
      </c>
      <c r="G32" s="12" t="s">
        <v>407</v>
      </c>
      <c r="H32" s="12">
        <v>256</v>
      </c>
      <c r="I32" s="12">
        <v>7200</v>
      </c>
      <c r="J32" s="12">
        <v>4</v>
      </c>
      <c r="K32" s="12">
        <v>2</v>
      </c>
      <c r="L32" s="75" t="s">
        <v>4264</v>
      </c>
      <c r="M32" s="75" t="s">
        <v>4265</v>
      </c>
      <c r="N32" s="75" t="s">
        <v>4266</v>
      </c>
      <c r="O32" s="20" t="s">
        <v>2393</v>
      </c>
      <c r="P32" s="14" t="s">
        <v>2394</v>
      </c>
      <c r="Q32" s="3">
        <v>169.3</v>
      </c>
      <c r="R32" s="3">
        <v>333</v>
      </c>
      <c r="S32" s="18" t="s">
        <v>2395</v>
      </c>
      <c r="T32" s="12"/>
    </row>
    <row r="33" spans="1:20" x14ac:dyDescent="0.25">
      <c r="A33" s="18" t="s">
        <v>2396</v>
      </c>
      <c r="B33" s="11" t="s">
        <v>2397</v>
      </c>
      <c r="C33" s="4" t="str">
        <f t="shared" si="0"/>
        <v>ASRock</v>
      </c>
      <c r="D33" s="14" t="s">
        <v>2336</v>
      </c>
      <c r="E33" s="11" t="s">
        <v>351</v>
      </c>
      <c r="F33" s="76" t="s">
        <v>8773</v>
      </c>
      <c r="G33" s="12" t="s">
        <v>407</v>
      </c>
      <c r="H33" s="12">
        <v>256</v>
      </c>
      <c r="I33" s="12">
        <v>7200</v>
      </c>
      <c r="J33" s="12">
        <v>4</v>
      </c>
      <c r="K33" s="12">
        <v>2</v>
      </c>
      <c r="L33" s="75" t="s">
        <v>4267</v>
      </c>
      <c r="M33" s="75" t="s">
        <v>4265</v>
      </c>
      <c r="N33" s="75" t="s">
        <v>4266</v>
      </c>
      <c r="O33" s="20" t="s">
        <v>2398</v>
      </c>
      <c r="P33" s="14" t="s">
        <v>2394</v>
      </c>
      <c r="Q33" s="3">
        <v>219.99</v>
      </c>
      <c r="R33" s="3">
        <v>287.27999999999997</v>
      </c>
      <c r="S33" s="18" t="s">
        <v>2399</v>
      </c>
      <c r="T33" s="12"/>
    </row>
    <row r="34" spans="1:20" x14ac:dyDescent="0.25">
      <c r="A34" s="18" t="s">
        <v>2400</v>
      </c>
      <c r="B34" s="11" t="s">
        <v>2401</v>
      </c>
      <c r="C34" s="4" t="str">
        <f t="shared" si="0"/>
        <v>ASRock</v>
      </c>
      <c r="D34" s="14" t="s">
        <v>2311</v>
      </c>
      <c r="E34" s="11" t="s">
        <v>351</v>
      </c>
      <c r="F34" s="76" t="s">
        <v>8774</v>
      </c>
      <c r="G34" s="12" t="s">
        <v>407</v>
      </c>
      <c r="H34" s="12">
        <v>128</v>
      </c>
      <c r="I34" s="12">
        <v>6800</v>
      </c>
      <c r="J34" s="12">
        <v>2</v>
      </c>
      <c r="K34" s="12">
        <v>2</v>
      </c>
      <c r="L34" s="75">
        <v>5</v>
      </c>
      <c r="M34" s="75">
        <v>16</v>
      </c>
      <c r="N34" s="75">
        <v>16</v>
      </c>
      <c r="O34" s="20" t="s">
        <v>2402</v>
      </c>
      <c r="P34" s="14" t="s">
        <v>2403</v>
      </c>
      <c r="Q34" s="3">
        <v>272.89999999999998</v>
      </c>
      <c r="R34" s="3">
        <v>1740</v>
      </c>
      <c r="S34" s="18" t="s">
        <v>2404</v>
      </c>
      <c r="T34" s="12"/>
    </row>
    <row r="35" spans="1:20" x14ac:dyDescent="0.25">
      <c r="A35" s="18" t="s">
        <v>2405</v>
      </c>
      <c r="B35" s="11" t="s">
        <v>2406</v>
      </c>
      <c r="C35" s="4" t="str">
        <f t="shared" si="0"/>
        <v>ASRock</v>
      </c>
      <c r="D35" s="14" t="s">
        <v>2336</v>
      </c>
      <c r="E35" s="11" t="s">
        <v>351</v>
      </c>
      <c r="F35" s="76" t="s">
        <v>8774</v>
      </c>
      <c r="G35" s="12" t="s">
        <v>407</v>
      </c>
      <c r="H35" s="12">
        <v>256</v>
      </c>
      <c r="I35" s="12">
        <v>7600</v>
      </c>
      <c r="J35" s="12">
        <v>4</v>
      </c>
      <c r="K35" s="12">
        <v>2</v>
      </c>
      <c r="L35" s="75" t="s">
        <v>4268</v>
      </c>
      <c r="M35" s="75" t="s">
        <v>4247</v>
      </c>
      <c r="N35" s="75" t="s">
        <v>418</v>
      </c>
      <c r="O35" s="20" t="s">
        <v>2407</v>
      </c>
      <c r="P35" s="14" t="s">
        <v>2403</v>
      </c>
      <c r="Q35" s="3">
        <v>394.29</v>
      </c>
      <c r="R35" s="3">
        <v>394.29</v>
      </c>
      <c r="S35" s="18" t="s">
        <v>2408</v>
      </c>
      <c r="T35" s="12"/>
    </row>
    <row r="36" spans="1:20" x14ac:dyDescent="0.25">
      <c r="A36" s="18" t="s">
        <v>2409</v>
      </c>
      <c r="B36" s="11" t="s">
        <v>2410</v>
      </c>
      <c r="C36" s="4" t="str">
        <f t="shared" si="0"/>
        <v>ASRock</v>
      </c>
      <c r="D36" s="14" t="s">
        <v>4242</v>
      </c>
      <c r="E36" s="11" t="s">
        <v>351</v>
      </c>
      <c r="F36" s="76" t="s">
        <v>8774</v>
      </c>
      <c r="G36" s="12" t="s">
        <v>407</v>
      </c>
      <c r="H36" s="12">
        <v>256</v>
      </c>
      <c r="I36" s="12">
        <v>7600</v>
      </c>
      <c r="J36" s="12">
        <v>4</v>
      </c>
      <c r="K36" s="12">
        <v>2</v>
      </c>
      <c r="L36" s="75" t="s">
        <v>2285</v>
      </c>
      <c r="M36" s="75" t="s">
        <v>4247</v>
      </c>
      <c r="N36" s="75" t="s">
        <v>418</v>
      </c>
      <c r="O36" s="20" t="s">
        <v>2411</v>
      </c>
      <c r="P36" s="14" t="s">
        <v>2412</v>
      </c>
      <c r="Q36" s="3">
        <v>470</v>
      </c>
      <c r="R36" s="3">
        <v>930.27</v>
      </c>
      <c r="S36" s="18" t="s">
        <v>2413</v>
      </c>
      <c r="T36" s="12"/>
    </row>
    <row r="37" spans="1:20" x14ac:dyDescent="0.25">
      <c r="A37" s="18" t="s">
        <v>2414</v>
      </c>
      <c r="B37" s="11" t="s">
        <v>2415</v>
      </c>
      <c r="C37" s="4" t="str">
        <f t="shared" si="0"/>
        <v>ASRock</v>
      </c>
      <c r="D37" s="14" t="s">
        <v>2311</v>
      </c>
      <c r="E37" s="11" t="s">
        <v>351</v>
      </c>
      <c r="F37" s="76" t="s">
        <v>8773</v>
      </c>
      <c r="G37" s="12" t="s">
        <v>407</v>
      </c>
      <c r="H37" s="12">
        <v>128</v>
      </c>
      <c r="I37" s="12">
        <v>7200</v>
      </c>
      <c r="J37" s="12">
        <v>2</v>
      </c>
      <c r="K37" s="12">
        <v>2</v>
      </c>
      <c r="L37" s="75">
        <v>4</v>
      </c>
      <c r="M37" s="75">
        <v>16</v>
      </c>
      <c r="N37" s="75">
        <v>16</v>
      </c>
      <c r="O37" s="20" t="s">
        <v>2402</v>
      </c>
      <c r="P37" s="14" t="s">
        <v>2384</v>
      </c>
      <c r="Q37" s="3">
        <v>173.41</v>
      </c>
      <c r="R37" s="3">
        <v>224.2</v>
      </c>
      <c r="S37" s="18" t="s">
        <v>2416</v>
      </c>
      <c r="T37" s="12"/>
    </row>
    <row r="38" spans="1:20" x14ac:dyDescent="0.25">
      <c r="A38" s="18" t="s">
        <v>2417</v>
      </c>
      <c r="B38" s="11" t="s">
        <v>2418</v>
      </c>
      <c r="C38" s="4" t="str">
        <f t="shared" si="0"/>
        <v>ASRock</v>
      </c>
      <c r="D38" s="14" t="s">
        <v>2294</v>
      </c>
      <c r="E38" s="11" t="s">
        <v>351</v>
      </c>
      <c r="F38" s="76" t="s">
        <v>8773</v>
      </c>
      <c r="G38" s="12" t="s">
        <v>407</v>
      </c>
      <c r="H38" s="12">
        <v>256</v>
      </c>
      <c r="I38" s="12">
        <v>7200</v>
      </c>
      <c r="J38" s="12">
        <v>4</v>
      </c>
      <c r="K38" s="12">
        <v>2</v>
      </c>
      <c r="L38" s="75" t="s">
        <v>4259</v>
      </c>
      <c r="M38" s="75" t="s">
        <v>4247</v>
      </c>
      <c r="N38" s="75" t="s">
        <v>418</v>
      </c>
      <c r="O38" s="20" t="s">
        <v>2419</v>
      </c>
      <c r="P38" s="14" t="s">
        <v>2389</v>
      </c>
      <c r="Q38" s="3">
        <v>122.89</v>
      </c>
      <c r="R38" s="3">
        <v>172.03</v>
      </c>
      <c r="S38" s="18" t="s">
        <v>2420</v>
      </c>
      <c r="T38" s="12"/>
    </row>
    <row r="39" spans="1:20" x14ac:dyDescent="0.25">
      <c r="A39" s="18" t="s">
        <v>2421</v>
      </c>
      <c r="B39" s="11" t="s">
        <v>2422</v>
      </c>
      <c r="C39" s="4" t="str">
        <f t="shared" si="0"/>
        <v>ASRock</v>
      </c>
      <c r="D39" s="14" t="s">
        <v>2294</v>
      </c>
      <c r="E39" s="11" t="s">
        <v>351</v>
      </c>
      <c r="F39" s="76" t="s">
        <v>8773</v>
      </c>
      <c r="G39" s="12" t="s">
        <v>407</v>
      </c>
      <c r="H39" s="12">
        <v>256</v>
      </c>
      <c r="I39" s="12">
        <v>7200</v>
      </c>
      <c r="J39" s="12">
        <v>4</v>
      </c>
      <c r="K39" s="12">
        <v>2</v>
      </c>
      <c r="L39" s="75" t="s">
        <v>4269</v>
      </c>
      <c r="M39" s="75" t="s">
        <v>4258</v>
      </c>
      <c r="N39" s="75" t="s">
        <v>4257</v>
      </c>
      <c r="O39" s="20" t="s">
        <v>2423</v>
      </c>
      <c r="P39" s="14" t="s">
        <v>2389</v>
      </c>
      <c r="Q39" s="3">
        <v>163.89</v>
      </c>
      <c r="R39" s="3">
        <v>203.47</v>
      </c>
      <c r="S39" s="18" t="s">
        <v>2424</v>
      </c>
      <c r="T39" s="12"/>
    </row>
    <row r="40" spans="1:20" x14ac:dyDescent="0.25">
      <c r="A40" s="18" t="s">
        <v>2425</v>
      </c>
      <c r="B40" s="11" t="s">
        <v>2426</v>
      </c>
      <c r="C40" s="4" t="str">
        <f t="shared" si="0"/>
        <v>ASRock</v>
      </c>
      <c r="D40" s="14" t="s">
        <v>2294</v>
      </c>
      <c r="E40" s="11" t="s">
        <v>351</v>
      </c>
      <c r="F40" s="76" t="s">
        <v>8773</v>
      </c>
      <c r="G40" s="12" t="s">
        <v>407</v>
      </c>
      <c r="H40" s="12">
        <v>256</v>
      </c>
      <c r="I40" s="12">
        <v>7200</v>
      </c>
      <c r="J40" s="12">
        <v>4</v>
      </c>
      <c r="K40" s="12">
        <v>2</v>
      </c>
      <c r="L40" s="75" t="s">
        <v>4259</v>
      </c>
      <c r="M40" s="75" t="s">
        <v>4247</v>
      </c>
      <c r="N40" s="75" t="s">
        <v>418</v>
      </c>
      <c r="O40" s="20" t="s">
        <v>2419</v>
      </c>
      <c r="P40" s="14" t="s">
        <v>2389</v>
      </c>
      <c r="Q40" s="3">
        <v>141.97999999999999</v>
      </c>
      <c r="R40" s="3">
        <v>201</v>
      </c>
      <c r="S40" s="18" t="s">
        <v>2427</v>
      </c>
      <c r="T40" s="12"/>
    </row>
    <row r="41" spans="1:20" x14ac:dyDescent="0.25">
      <c r="A41" s="18" t="s">
        <v>2428</v>
      </c>
      <c r="B41" s="11" t="s">
        <v>2429</v>
      </c>
      <c r="C41" s="4" t="str">
        <f t="shared" si="0"/>
        <v>ASRock</v>
      </c>
      <c r="D41" s="14" t="s">
        <v>2294</v>
      </c>
      <c r="E41" s="11" t="s">
        <v>351</v>
      </c>
      <c r="F41" s="76" t="s">
        <v>8773</v>
      </c>
      <c r="G41" s="12" t="s">
        <v>407</v>
      </c>
      <c r="H41" s="12">
        <v>128</v>
      </c>
      <c r="I41" s="12">
        <v>6400</v>
      </c>
      <c r="J41" s="12">
        <v>2</v>
      </c>
      <c r="K41" s="12">
        <v>2</v>
      </c>
      <c r="L41" s="75" t="s">
        <v>4260</v>
      </c>
      <c r="M41" s="75" t="s">
        <v>4251</v>
      </c>
      <c r="N41" s="75" t="s">
        <v>4251</v>
      </c>
      <c r="O41" s="20" t="s">
        <v>2430</v>
      </c>
      <c r="P41" s="14" t="s">
        <v>2389</v>
      </c>
      <c r="Q41" s="3">
        <v>103.57</v>
      </c>
      <c r="R41" s="3">
        <v>125.72</v>
      </c>
      <c r="S41" s="18" t="s">
        <v>2431</v>
      </c>
      <c r="T41" s="12"/>
    </row>
    <row r="42" spans="1:20" x14ac:dyDescent="0.25">
      <c r="A42" s="18" t="s">
        <v>2432</v>
      </c>
      <c r="B42" s="11" t="s">
        <v>2433</v>
      </c>
      <c r="C42" s="4" t="str">
        <f t="shared" si="0"/>
        <v>ASRock</v>
      </c>
      <c r="D42" s="14" t="s">
        <v>2294</v>
      </c>
      <c r="E42" s="11" t="s">
        <v>351</v>
      </c>
      <c r="F42" s="76" t="s">
        <v>8773</v>
      </c>
      <c r="G42" s="12" t="s">
        <v>407</v>
      </c>
      <c r="H42" s="12">
        <v>128</v>
      </c>
      <c r="I42" s="12">
        <v>7200</v>
      </c>
      <c r="J42" s="12">
        <v>2</v>
      </c>
      <c r="K42" s="12">
        <v>2</v>
      </c>
      <c r="L42" s="75" t="s">
        <v>4260</v>
      </c>
      <c r="M42" s="75" t="s">
        <v>4244</v>
      </c>
      <c r="N42" s="75" t="s">
        <v>4254</v>
      </c>
      <c r="O42" s="20" t="s">
        <v>2430</v>
      </c>
      <c r="P42" s="14" t="s">
        <v>2389</v>
      </c>
      <c r="Q42" s="3">
        <v>117.4</v>
      </c>
      <c r="R42" s="3">
        <v>245</v>
      </c>
      <c r="S42" s="18" t="s">
        <v>2434</v>
      </c>
      <c r="T42" s="12"/>
    </row>
    <row r="43" spans="1:20" x14ac:dyDescent="0.25">
      <c r="A43" s="18" t="s">
        <v>2435</v>
      </c>
      <c r="B43" s="11" t="s">
        <v>2436</v>
      </c>
      <c r="C43" s="4" t="str">
        <f t="shared" si="0"/>
        <v>ASRock</v>
      </c>
      <c r="D43" s="14" t="s">
        <v>2294</v>
      </c>
      <c r="E43" s="11" t="s">
        <v>352</v>
      </c>
      <c r="F43" s="76" t="s">
        <v>8783</v>
      </c>
      <c r="G43" s="12" t="s">
        <v>406</v>
      </c>
      <c r="H43" s="12">
        <v>128</v>
      </c>
      <c r="I43" s="12">
        <v>4800</v>
      </c>
      <c r="J43" s="12">
        <v>4</v>
      </c>
      <c r="K43" s="12">
        <v>2</v>
      </c>
      <c r="L43" s="75" t="s">
        <v>4250</v>
      </c>
      <c r="M43" s="75" t="s">
        <v>4244</v>
      </c>
      <c r="N43" s="75" t="s">
        <v>4254</v>
      </c>
      <c r="O43" s="20" t="s">
        <v>2437</v>
      </c>
      <c r="P43" s="14" t="s">
        <v>2438</v>
      </c>
      <c r="Q43" s="3">
        <v>106.88</v>
      </c>
      <c r="R43" s="3">
        <v>173.27</v>
      </c>
      <c r="S43" s="18" t="s">
        <v>2439</v>
      </c>
      <c r="T43" s="12"/>
    </row>
    <row r="44" spans="1:20" x14ac:dyDescent="0.25">
      <c r="A44" s="18" t="s">
        <v>2440</v>
      </c>
      <c r="B44" s="11" t="s">
        <v>2441</v>
      </c>
      <c r="C44" s="4" t="str">
        <f t="shared" si="0"/>
        <v>ASRock</v>
      </c>
      <c r="D44" s="14" t="s">
        <v>2336</v>
      </c>
      <c r="E44" s="11" t="s">
        <v>352</v>
      </c>
      <c r="F44" s="76" t="s">
        <v>8784</v>
      </c>
      <c r="G44" s="12" t="s">
        <v>407</v>
      </c>
      <c r="H44" s="12">
        <v>192</v>
      </c>
      <c r="I44" s="12">
        <v>7200</v>
      </c>
      <c r="J44" s="12">
        <v>4</v>
      </c>
      <c r="K44" s="12">
        <v>2</v>
      </c>
      <c r="L44" s="75" t="s">
        <v>4270</v>
      </c>
      <c r="M44" s="75" t="s">
        <v>4256</v>
      </c>
      <c r="N44" s="75" t="s">
        <v>4257</v>
      </c>
      <c r="O44" s="20" t="s">
        <v>2442</v>
      </c>
      <c r="P44" s="14" t="s">
        <v>2443</v>
      </c>
      <c r="Q44" s="3">
        <v>133.94999999999999</v>
      </c>
      <c r="R44" s="3">
        <v>212.75</v>
      </c>
      <c r="S44" s="18" t="s">
        <v>2444</v>
      </c>
      <c r="T44" s="12"/>
    </row>
    <row r="45" spans="1:20" x14ac:dyDescent="0.25">
      <c r="A45" s="18" t="s">
        <v>2445</v>
      </c>
      <c r="B45" s="11" t="s">
        <v>2446</v>
      </c>
      <c r="C45" s="4" t="str">
        <f t="shared" si="0"/>
        <v>ASRock</v>
      </c>
      <c r="D45" s="14" t="s">
        <v>2336</v>
      </c>
      <c r="E45" s="11" t="s">
        <v>352</v>
      </c>
      <c r="F45" s="76" t="s">
        <v>8784</v>
      </c>
      <c r="G45" s="12" t="s">
        <v>407</v>
      </c>
      <c r="H45" s="12">
        <v>192</v>
      </c>
      <c r="I45" s="12">
        <v>7200</v>
      </c>
      <c r="J45" s="12">
        <v>4</v>
      </c>
      <c r="K45" s="12">
        <v>2</v>
      </c>
      <c r="L45" s="75" t="s">
        <v>4270</v>
      </c>
      <c r="M45" s="75" t="s">
        <v>4256</v>
      </c>
      <c r="N45" s="75" t="s">
        <v>4257</v>
      </c>
      <c r="O45" s="20" t="s">
        <v>2447</v>
      </c>
      <c r="P45" s="14" t="s">
        <v>2443</v>
      </c>
      <c r="Q45" s="3">
        <v>164.91</v>
      </c>
      <c r="R45" s="3">
        <v>271.39999999999998</v>
      </c>
      <c r="S45" s="18" t="s">
        <v>2448</v>
      </c>
      <c r="T45" s="12"/>
    </row>
    <row r="46" spans="1:20" x14ac:dyDescent="0.25">
      <c r="A46" s="18" t="s">
        <v>2449</v>
      </c>
      <c r="B46" s="11" t="s">
        <v>2450</v>
      </c>
      <c r="C46" s="4" t="str">
        <f t="shared" si="0"/>
        <v>ASRock</v>
      </c>
      <c r="D46" s="14" t="s">
        <v>2336</v>
      </c>
      <c r="E46" s="11" t="s">
        <v>352</v>
      </c>
      <c r="F46" s="76" t="s">
        <v>8784</v>
      </c>
      <c r="G46" s="12" t="s">
        <v>406</v>
      </c>
      <c r="H46" s="12">
        <v>128</v>
      </c>
      <c r="I46" s="12">
        <v>5333</v>
      </c>
      <c r="J46" s="12">
        <v>4</v>
      </c>
      <c r="K46" s="12">
        <v>2</v>
      </c>
      <c r="L46" s="75" t="s">
        <v>4269</v>
      </c>
      <c r="M46" s="75" t="s">
        <v>4256</v>
      </c>
      <c r="N46" s="75" t="s">
        <v>4257</v>
      </c>
      <c r="O46" s="20" t="s">
        <v>2442</v>
      </c>
      <c r="P46" s="14" t="s">
        <v>2443</v>
      </c>
      <c r="Q46" s="3">
        <v>119.49</v>
      </c>
      <c r="R46" s="3">
        <v>153.25</v>
      </c>
      <c r="S46" s="18" t="s">
        <v>2451</v>
      </c>
      <c r="T46" s="12"/>
    </row>
    <row r="47" spans="1:20" x14ac:dyDescent="0.25">
      <c r="A47" s="18" t="s">
        <v>2452</v>
      </c>
      <c r="B47" s="11" t="s">
        <v>2453</v>
      </c>
      <c r="C47" s="4" t="str">
        <f t="shared" si="0"/>
        <v>ASRock</v>
      </c>
      <c r="D47" s="14" t="s">
        <v>2336</v>
      </c>
      <c r="E47" s="11" t="s">
        <v>352</v>
      </c>
      <c r="F47" s="76" t="s">
        <v>8784</v>
      </c>
      <c r="G47" s="12" t="s">
        <v>406</v>
      </c>
      <c r="H47" s="12">
        <v>128</v>
      </c>
      <c r="I47" s="12">
        <v>5333</v>
      </c>
      <c r="J47" s="12">
        <v>4</v>
      </c>
      <c r="K47" s="12">
        <v>2</v>
      </c>
      <c r="L47" s="75" t="s">
        <v>4269</v>
      </c>
      <c r="M47" s="75" t="s">
        <v>4256</v>
      </c>
      <c r="N47" s="75" t="s">
        <v>4257</v>
      </c>
      <c r="O47" s="20" t="s">
        <v>2447</v>
      </c>
      <c r="P47" s="14" t="s">
        <v>2443</v>
      </c>
      <c r="Q47" s="3">
        <v>141.38999999999999</v>
      </c>
      <c r="R47" s="3">
        <v>183.45</v>
      </c>
      <c r="S47" s="18" t="s">
        <v>2454</v>
      </c>
      <c r="T47" s="12"/>
    </row>
    <row r="48" spans="1:20" x14ac:dyDescent="0.25">
      <c r="A48" s="18" t="s">
        <v>2455</v>
      </c>
      <c r="B48" s="11" t="s">
        <v>2456</v>
      </c>
      <c r="C48" s="4" t="str">
        <f t="shared" si="0"/>
        <v>ASRock</v>
      </c>
      <c r="D48" s="14" t="s">
        <v>2294</v>
      </c>
      <c r="E48" s="11" t="s">
        <v>352</v>
      </c>
      <c r="F48" s="76" t="s">
        <v>8784</v>
      </c>
      <c r="G48" s="12" t="s">
        <v>407</v>
      </c>
      <c r="H48" s="12">
        <v>192</v>
      </c>
      <c r="I48" s="12">
        <v>7200</v>
      </c>
      <c r="J48" s="12">
        <v>4</v>
      </c>
      <c r="K48" s="12">
        <v>2</v>
      </c>
      <c r="L48" s="75" t="s">
        <v>4268</v>
      </c>
      <c r="M48" s="75" t="s">
        <v>4247</v>
      </c>
      <c r="N48" s="75" t="s">
        <v>418</v>
      </c>
      <c r="O48" s="20" t="s">
        <v>2457</v>
      </c>
      <c r="P48" s="14" t="s">
        <v>2443</v>
      </c>
      <c r="Q48" s="3">
        <v>114.9</v>
      </c>
      <c r="R48" s="3">
        <v>167.51</v>
      </c>
      <c r="S48" s="18" t="s">
        <v>2458</v>
      </c>
      <c r="T48" s="12"/>
    </row>
    <row r="49" spans="1:20" x14ac:dyDescent="0.25">
      <c r="A49" s="18" t="s">
        <v>2459</v>
      </c>
      <c r="B49" s="11" t="s">
        <v>2460</v>
      </c>
      <c r="C49" s="4" t="str">
        <f t="shared" si="0"/>
        <v>ASRock</v>
      </c>
      <c r="D49" s="14" t="s">
        <v>2294</v>
      </c>
      <c r="E49" s="11" t="s">
        <v>352</v>
      </c>
      <c r="F49" s="76" t="s">
        <v>8784</v>
      </c>
      <c r="G49" s="12" t="s">
        <v>407</v>
      </c>
      <c r="H49" s="12">
        <v>192</v>
      </c>
      <c r="I49" s="12">
        <v>7200</v>
      </c>
      <c r="J49" s="12">
        <v>4</v>
      </c>
      <c r="K49" s="12">
        <v>2</v>
      </c>
      <c r="L49" s="75" t="s">
        <v>4271</v>
      </c>
      <c r="M49" s="75" t="s">
        <v>4249</v>
      </c>
      <c r="N49" s="75" t="s">
        <v>4249</v>
      </c>
      <c r="O49" s="20" t="s">
        <v>2461</v>
      </c>
      <c r="P49" s="14" t="s">
        <v>2443</v>
      </c>
      <c r="Q49" s="3">
        <v>126.9</v>
      </c>
      <c r="R49" s="3">
        <v>182.99</v>
      </c>
      <c r="S49" s="18" t="s">
        <v>2462</v>
      </c>
      <c r="T49" s="12"/>
    </row>
    <row r="50" spans="1:20" x14ac:dyDescent="0.25">
      <c r="A50" s="18" t="s">
        <v>2463</v>
      </c>
      <c r="B50" s="11" t="s">
        <v>2464</v>
      </c>
      <c r="C50" s="4" t="str">
        <f t="shared" si="0"/>
        <v>ASRock</v>
      </c>
      <c r="D50" s="14" t="s">
        <v>2294</v>
      </c>
      <c r="E50" s="11" t="s">
        <v>352</v>
      </c>
      <c r="F50" s="76" t="s">
        <v>8784</v>
      </c>
      <c r="G50" s="12" t="s">
        <v>407</v>
      </c>
      <c r="H50" s="12">
        <v>192</v>
      </c>
      <c r="I50" s="12">
        <v>7200</v>
      </c>
      <c r="J50" s="12">
        <v>4</v>
      </c>
      <c r="K50" s="12">
        <v>2</v>
      </c>
      <c r="L50" s="75" t="s">
        <v>2285</v>
      </c>
      <c r="M50" s="75" t="s">
        <v>4249</v>
      </c>
      <c r="N50" s="75" t="s">
        <v>4249</v>
      </c>
      <c r="O50" s="20" t="s">
        <v>2465</v>
      </c>
      <c r="P50" s="14" t="s">
        <v>2443</v>
      </c>
      <c r="Q50" s="3">
        <v>143.15</v>
      </c>
      <c r="R50" s="3">
        <v>194.99</v>
      </c>
      <c r="S50" s="18" t="s">
        <v>2466</v>
      </c>
      <c r="T50" s="12"/>
    </row>
    <row r="51" spans="1:20" x14ac:dyDescent="0.25">
      <c r="A51" s="18" t="s">
        <v>2467</v>
      </c>
      <c r="B51" s="11" t="s">
        <v>2468</v>
      </c>
      <c r="C51" s="4" t="str">
        <f t="shared" si="0"/>
        <v>ASRock</v>
      </c>
      <c r="D51" s="14" t="s">
        <v>2294</v>
      </c>
      <c r="E51" s="11" t="s">
        <v>352</v>
      </c>
      <c r="F51" s="76" t="s">
        <v>8784</v>
      </c>
      <c r="G51" s="12" t="s">
        <v>407</v>
      </c>
      <c r="H51" s="12">
        <v>192</v>
      </c>
      <c r="I51" s="12">
        <v>7200</v>
      </c>
      <c r="J51" s="12">
        <v>4</v>
      </c>
      <c r="K51" s="12">
        <v>2</v>
      </c>
      <c r="L51" s="75" t="s">
        <v>4268</v>
      </c>
      <c r="M51" s="75" t="s">
        <v>4247</v>
      </c>
      <c r="N51" s="75" t="s">
        <v>418</v>
      </c>
      <c r="O51" s="20" t="s">
        <v>2457</v>
      </c>
      <c r="P51" s="14" t="s">
        <v>2443</v>
      </c>
      <c r="Q51" s="3">
        <v>129.84</v>
      </c>
      <c r="R51" s="3">
        <v>179.66</v>
      </c>
      <c r="S51" s="18" t="s">
        <v>2469</v>
      </c>
      <c r="T51" s="12"/>
    </row>
    <row r="52" spans="1:20" x14ac:dyDescent="0.25">
      <c r="A52" s="18" t="s">
        <v>2470</v>
      </c>
      <c r="B52" s="11" t="s">
        <v>2471</v>
      </c>
      <c r="C52" s="4" t="str">
        <f t="shared" si="0"/>
        <v>ASRock</v>
      </c>
      <c r="D52" s="14" t="s">
        <v>2294</v>
      </c>
      <c r="E52" s="11" t="s">
        <v>352</v>
      </c>
      <c r="F52" s="76" t="s">
        <v>8784</v>
      </c>
      <c r="G52" s="12" t="s">
        <v>406</v>
      </c>
      <c r="H52" s="12">
        <v>128</v>
      </c>
      <c r="I52" s="12">
        <v>5333</v>
      </c>
      <c r="J52" s="12">
        <v>4</v>
      </c>
      <c r="K52" s="12">
        <v>2</v>
      </c>
      <c r="L52" s="75" t="s">
        <v>4260</v>
      </c>
      <c r="M52" s="75" t="s">
        <v>4244</v>
      </c>
      <c r="N52" s="75" t="s">
        <v>4254</v>
      </c>
      <c r="O52" s="20" t="s">
        <v>2472</v>
      </c>
      <c r="P52" s="14" t="s">
        <v>2443</v>
      </c>
      <c r="Q52" s="3">
        <v>157.80000000000001</v>
      </c>
      <c r="R52" s="3">
        <v>251.82</v>
      </c>
      <c r="S52" s="18" t="s">
        <v>2473</v>
      </c>
      <c r="T52" s="12"/>
    </row>
    <row r="53" spans="1:20" x14ac:dyDescent="0.25">
      <c r="A53" s="18" t="s">
        <v>2474</v>
      </c>
      <c r="B53" s="11" t="s">
        <v>2475</v>
      </c>
      <c r="C53" s="4" t="str">
        <f t="shared" si="0"/>
        <v>ASRock</v>
      </c>
      <c r="D53" s="14" t="s">
        <v>2294</v>
      </c>
      <c r="E53" s="11" t="s">
        <v>352</v>
      </c>
      <c r="F53" s="76" t="s">
        <v>8784</v>
      </c>
      <c r="G53" s="12" t="s">
        <v>407</v>
      </c>
      <c r="H53" s="12">
        <v>192</v>
      </c>
      <c r="I53" s="12">
        <v>7200</v>
      </c>
      <c r="J53" s="12">
        <v>4</v>
      </c>
      <c r="K53" s="12">
        <v>2</v>
      </c>
      <c r="L53" s="75" t="s">
        <v>2285</v>
      </c>
      <c r="M53" s="75" t="s">
        <v>4249</v>
      </c>
      <c r="N53" s="75" t="s">
        <v>4249</v>
      </c>
      <c r="O53" s="20" t="s">
        <v>2465</v>
      </c>
      <c r="P53" s="14" t="s">
        <v>2443</v>
      </c>
      <c r="Q53" s="3">
        <v>160.81</v>
      </c>
      <c r="R53" s="3">
        <v>199.83</v>
      </c>
      <c r="S53" s="18" t="s">
        <v>2476</v>
      </c>
      <c r="T53" s="12"/>
    </row>
    <row r="54" spans="1:20" x14ac:dyDescent="0.25">
      <c r="A54" s="18" t="s">
        <v>2477</v>
      </c>
      <c r="B54" s="11" t="s">
        <v>2478</v>
      </c>
      <c r="C54" s="4" t="str">
        <f t="shared" si="0"/>
        <v>ASRock</v>
      </c>
      <c r="D54" s="14" t="s">
        <v>2311</v>
      </c>
      <c r="E54" s="11" t="s">
        <v>352</v>
      </c>
      <c r="F54" s="76" t="s">
        <v>8784</v>
      </c>
      <c r="G54" s="12" t="s">
        <v>406</v>
      </c>
      <c r="H54" s="12">
        <v>64</v>
      </c>
      <c r="I54" s="12">
        <v>5333</v>
      </c>
      <c r="J54" s="12">
        <v>2</v>
      </c>
      <c r="K54" s="12">
        <v>2</v>
      </c>
      <c r="L54" s="75">
        <v>4</v>
      </c>
      <c r="M54" s="75">
        <v>16</v>
      </c>
      <c r="N54" s="75">
        <v>16</v>
      </c>
      <c r="O54" s="20" t="s">
        <v>2479</v>
      </c>
      <c r="P54" s="14" t="s">
        <v>2443</v>
      </c>
      <c r="Q54" s="3">
        <v>146.88999999999999</v>
      </c>
      <c r="R54" s="3">
        <v>199.46</v>
      </c>
      <c r="S54" s="18" t="s">
        <v>2480</v>
      </c>
      <c r="T54" s="12"/>
    </row>
    <row r="55" spans="1:20" x14ac:dyDescent="0.25">
      <c r="A55" s="18" t="s">
        <v>2481</v>
      </c>
      <c r="B55" s="11" t="s">
        <v>2482</v>
      </c>
      <c r="C55" s="4" t="str">
        <f t="shared" si="0"/>
        <v>ASRock</v>
      </c>
      <c r="D55" s="14" t="s">
        <v>2336</v>
      </c>
      <c r="E55" s="11" t="s">
        <v>351</v>
      </c>
      <c r="F55" s="76" t="s">
        <v>8775</v>
      </c>
      <c r="G55" s="12" t="s">
        <v>407</v>
      </c>
      <c r="H55" s="12">
        <v>256</v>
      </c>
      <c r="I55" s="12">
        <v>8000</v>
      </c>
      <c r="J55" s="12">
        <v>4</v>
      </c>
      <c r="K55" s="12">
        <v>2</v>
      </c>
      <c r="L55" s="75" t="s">
        <v>4272</v>
      </c>
      <c r="M55" s="75" t="s">
        <v>4261</v>
      </c>
      <c r="N55" s="75" t="s">
        <v>4273</v>
      </c>
      <c r="O55" s="20" t="s">
        <v>2483</v>
      </c>
      <c r="P55" s="14" t="s">
        <v>2484</v>
      </c>
      <c r="Q55" s="3">
        <v>214.9</v>
      </c>
      <c r="R55" s="3">
        <v>291.99</v>
      </c>
      <c r="S55" s="18" t="s">
        <v>2485</v>
      </c>
      <c r="T55" s="12"/>
    </row>
    <row r="56" spans="1:20" x14ac:dyDescent="0.25">
      <c r="A56" s="18" t="s">
        <v>2486</v>
      </c>
      <c r="B56" s="11" t="s">
        <v>2487</v>
      </c>
      <c r="C56" s="4" t="str">
        <f t="shared" si="0"/>
        <v>ASRock</v>
      </c>
      <c r="D56" s="14" t="s">
        <v>2336</v>
      </c>
      <c r="E56" s="11" t="s">
        <v>351</v>
      </c>
      <c r="F56" s="76" t="s">
        <v>8775</v>
      </c>
      <c r="G56" s="12" t="s">
        <v>407</v>
      </c>
      <c r="H56" s="12">
        <v>256</v>
      </c>
      <c r="I56" s="12">
        <v>8000</v>
      </c>
      <c r="J56" s="12">
        <v>4</v>
      </c>
      <c r="K56" s="12">
        <v>2</v>
      </c>
      <c r="L56" s="75" t="s">
        <v>2285</v>
      </c>
      <c r="M56" s="75" t="s">
        <v>4247</v>
      </c>
      <c r="N56" s="75" t="s">
        <v>418</v>
      </c>
      <c r="O56" s="20" t="s">
        <v>2488</v>
      </c>
      <c r="P56" s="14" t="s">
        <v>2489</v>
      </c>
      <c r="Q56" s="3">
        <v>189.89</v>
      </c>
      <c r="R56" s="3">
        <v>239.19</v>
      </c>
      <c r="S56" s="18" t="s">
        <v>2490</v>
      </c>
      <c r="T56" s="12"/>
    </row>
    <row r="57" spans="1:20" x14ac:dyDescent="0.25">
      <c r="A57" s="18" t="s">
        <v>2491</v>
      </c>
      <c r="B57" s="11" t="s">
        <v>2492</v>
      </c>
      <c r="C57" s="4" t="str">
        <f t="shared" si="0"/>
        <v>ASRock</v>
      </c>
      <c r="D57" s="14" t="s">
        <v>2336</v>
      </c>
      <c r="E57" s="11" t="s">
        <v>351</v>
      </c>
      <c r="F57" s="76" t="s">
        <v>8775</v>
      </c>
      <c r="G57" s="12" t="s">
        <v>407</v>
      </c>
      <c r="H57" s="12">
        <v>256</v>
      </c>
      <c r="I57" s="12">
        <v>8000</v>
      </c>
      <c r="J57" s="12">
        <v>4</v>
      </c>
      <c r="K57" s="12">
        <v>2</v>
      </c>
      <c r="L57" s="75" t="s">
        <v>2285</v>
      </c>
      <c r="M57" s="75" t="s">
        <v>4247</v>
      </c>
      <c r="N57" s="75" t="s">
        <v>418</v>
      </c>
      <c r="O57" s="20" t="s">
        <v>2493</v>
      </c>
      <c r="P57" s="14" t="s">
        <v>2489</v>
      </c>
      <c r="Q57" s="3">
        <v>198.42</v>
      </c>
      <c r="R57" s="3">
        <v>253.52</v>
      </c>
      <c r="S57" s="18" t="s">
        <v>2494</v>
      </c>
      <c r="T57" s="12"/>
    </row>
    <row r="58" spans="1:20" x14ac:dyDescent="0.25">
      <c r="A58" s="18" t="s">
        <v>2495</v>
      </c>
      <c r="B58" s="11" t="s">
        <v>2496</v>
      </c>
      <c r="C58" s="4" t="str">
        <f t="shared" si="0"/>
        <v>ASRock</v>
      </c>
      <c r="D58" s="14" t="s">
        <v>2336</v>
      </c>
      <c r="E58" s="11" t="s">
        <v>351</v>
      </c>
      <c r="F58" s="76" t="s">
        <v>8775</v>
      </c>
      <c r="G58" s="12" t="s">
        <v>407</v>
      </c>
      <c r="H58" s="12">
        <v>256</v>
      </c>
      <c r="I58" s="12">
        <v>8000</v>
      </c>
      <c r="J58" s="12">
        <v>4</v>
      </c>
      <c r="K58" s="12">
        <v>2</v>
      </c>
      <c r="L58" s="75" t="s">
        <v>2285</v>
      </c>
      <c r="M58" s="75" t="s">
        <v>4247</v>
      </c>
      <c r="N58" s="75" t="s">
        <v>418</v>
      </c>
      <c r="O58" s="20" t="s">
        <v>2488</v>
      </c>
      <c r="P58" s="14" t="s">
        <v>2489</v>
      </c>
      <c r="Q58" s="3">
        <v>167.89</v>
      </c>
      <c r="R58" s="3">
        <v>238.03</v>
      </c>
      <c r="S58" s="18" t="s">
        <v>2497</v>
      </c>
      <c r="T58" s="12"/>
    </row>
    <row r="59" spans="1:20" x14ac:dyDescent="0.25">
      <c r="A59" s="18" t="s">
        <v>2498</v>
      </c>
      <c r="B59" s="11" t="s">
        <v>2499</v>
      </c>
      <c r="C59" s="4" t="str">
        <f t="shared" si="0"/>
        <v>ASRock</v>
      </c>
      <c r="D59" s="14" t="s">
        <v>2336</v>
      </c>
      <c r="E59" s="11" t="s">
        <v>351</v>
      </c>
      <c r="F59" s="76" t="s">
        <v>8775</v>
      </c>
      <c r="G59" s="12" t="s">
        <v>407</v>
      </c>
      <c r="H59" s="12">
        <v>256</v>
      </c>
      <c r="I59" s="12">
        <v>8000</v>
      </c>
      <c r="J59" s="12">
        <v>4</v>
      </c>
      <c r="K59" s="12">
        <v>2</v>
      </c>
      <c r="L59" s="75" t="s">
        <v>2285</v>
      </c>
      <c r="M59" s="75" t="s">
        <v>4247</v>
      </c>
      <c r="N59" s="75" t="s">
        <v>418</v>
      </c>
      <c r="O59" s="20" t="s">
        <v>2493</v>
      </c>
      <c r="P59" s="14" t="s">
        <v>2489</v>
      </c>
      <c r="Q59" s="3">
        <v>189.9</v>
      </c>
      <c r="R59" s="3">
        <v>255.19</v>
      </c>
      <c r="S59" s="18" t="s">
        <v>2500</v>
      </c>
      <c r="T59" s="12"/>
    </row>
    <row r="60" spans="1:20" x14ac:dyDescent="0.25">
      <c r="A60" s="18" t="s">
        <v>2501</v>
      </c>
      <c r="B60" s="11" t="s">
        <v>2502</v>
      </c>
      <c r="C60" s="4" t="str">
        <f t="shared" si="0"/>
        <v>ASRock</v>
      </c>
      <c r="D60" s="14" t="s">
        <v>2294</v>
      </c>
      <c r="E60" s="11" t="s">
        <v>351</v>
      </c>
      <c r="F60" s="76" t="s">
        <v>8775</v>
      </c>
      <c r="G60" s="12" t="s">
        <v>407</v>
      </c>
      <c r="H60" s="12">
        <v>256</v>
      </c>
      <c r="I60" s="12">
        <v>8000</v>
      </c>
      <c r="J60" s="12">
        <v>4</v>
      </c>
      <c r="K60" s="12">
        <v>2</v>
      </c>
      <c r="L60" s="75" t="s">
        <v>2285</v>
      </c>
      <c r="M60" s="75" t="s">
        <v>418</v>
      </c>
      <c r="N60" s="75" t="s">
        <v>418</v>
      </c>
      <c r="O60" s="20" t="s">
        <v>2503</v>
      </c>
      <c r="P60" s="14" t="s">
        <v>2504</v>
      </c>
      <c r="Q60" s="3">
        <v>161.09</v>
      </c>
      <c r="R60" s="3">
        <v>218.97</v>
      </c>
      <c r="S60" s="18" t="s">
        <v>2505</v>
      </c>
      <c r="T60" s="12"/>
    </row>
    <row r="61" spans="1:20" x14ac:dyDescent="0.25">
      <c r="A61" s="18" t="s">
        <v>2506</v>
      </c>
      <c r="B61" s="11" t="s">
        <v>2507</v>
      </c>
      <c r="C61" s="4" t="str">
        <f t="shared" si="0"/>
        <v>ASRock</v>
      </c>
      <c r="D61" s="14" t="s">
        <v>2294</v>
      </c>
      <c r="E61" s="11" t="s">
        <v>351</v>
      </c>
      <c r="F61" s="76" t="s">
        <v>8775</v>
      </c>
      <c r="G61" s="12" t="s">
        <v>407</v>
      </c>
      <c r="H61" s="12">
        <v>256</v>
      </c>
      <c r="I61" s="12">
        <v>8000</v>
      </c>
      <c r="J61" s="12">
        <v>4</v>
      </c>
      <c r="K61" s="12">
        <v>2</v>
      </c>
      <c r="L61" s="75" t="s">
        <v>2285</v>
      </c>
      <c r="M61" s="75" t="s">
        <v>418</v>
      </c>
      <c r="N61" s="75" t="s">
        <v>418</v>
      </c>
      <c r="O61" s="20" t="s">
        <v>2508</v>
      </c>
      <c r="P61" s="14" t="s">
        <v>2504</v>
      </c>
      <c r="Q61" s="3">
        <v>173.69</v>
      </c>
      <c r="R61" s="3">
        <v>221.42</v>
      </c>
      <c r="S61" s="18" t="s">
        <v>2509</v>
      </c>
      <c r="T61" s="12"/>
    </row>
    <row r="62" spans="1:20" x14ac:dyDescent="0.25">
      <c r="A62" s="18" t="s">
        <v>2510</v>
      </c>
      <c r="B62" s="11" t="s">
        <v>2511</v>
      </c>
      <c r="C62" s="4" t="str">
        <f t="shared" si="0"/>
        <v>ASRock</v>
      </c>
      <c r="D62" s="14" t="s">
        <v>2294</v>
      </c>
      <c r="E62" s="11" t="s">
        <v>351</v>
      </c>
      <c r="F62" s="76" t="s">
        <v>8775</v>
      </c>
      <c r="G62" s="12" t="s">
        <v>407</v>
      </c>
      <c r="H62" s="12">
        <v>256</v>
      </c>
      <c r="I62" s="12">
        <v>8000</v>
      </c>
      <c r="J62" s="12">
        <v>4</v>
      </c>
      <c r="K62" s="12">
        <v>2</v>
      </c>
      <c r="L62" s="75" t="s">
        <v>2285</v>
      </c>
      <c r="M62" s="75" t="s">
        <v>418</v>
      </c>
      <c r="N62" s="75" t="s">
        <v>418</v>
      </c>
      <c r="O62" s="20" t="s">
        <v>2503</v>
      </c>
      <c r="P62" s="14" t="s">
        <v>2504</v>
      </c>
      <c r="Q62" s="3">
        <v>143.07</v>
      </c>
      <c r="R62" s="3">
        <v>178.47</v>
      </c>
      <c r="S62" s="18" t="s">
        <v>2512</v>
      </c>
      <c r="T62" s="12"/>
    </row>
    <row r="63" spans="1:20" x14ac:dyDescent="0.25">
      <c r="A63" s="18" t="s">
        <v>2513</v>
      </c>
      <c r="B63" s="11" t="s">
        <v>2514</v>
      </c>
      <c r="C63" s="4" t="str">
        <f t="shared" si="0"/>
        <v>ASRock</v>
      </c>
      <c r="D63" s="14" t="s">
        <v>2294</v>
      </c>
      <c r="E63" s="11" t="s">
        <v>351</v>
      </c>
      <c r="F63" s="76" t="s">
        <v>8775</v>
      </c>
      <c r="G63" s="12" t="s">
        <v>407</v>
      </c>
      <c r="H63" s="12">
        <v>256</v>
      </c>
      <c r="I63" s="12">
        <v>8000</v>
      </c>
      <c r="J63" s="12">
        <v>4</v>
      </c>
      <c r="K63" s="12">
        <v>2</v>
      </c>
      <c r="L63" s="75" t="s">
        <v>2285</v>
      </c>
      <c r="M63" s="75" t="s">
        <v>418</v>
      </c>
      <c r="N63" s="75" t="s">
        <v>418</v>
      </c>
      <c r="O63" s="20" t="s">
        <v>2508</v>
      </c>
      <c r="P63" s="14" t="s">
        <v>2504</v>
      </c>
      <c r="Q63" s="3">
        <v>156.88999999999999</v>
      </c>
      <c r="R63" s="3">
        <v>206.07</v>
      </c>
      <c r="S63" s="18" t="s">
        <v>2515</v>
      </c>
      <c r="T63" s="12"/>
    </row>
    <row r="64" spans="1:20" x14ac:dyDescent="0.25">
      <c r="A64" s="18" t="s">
        <v>2516</v>
      </c>
      <c r="B64" s="11" t="s">
        <v>2517</v>
      </c>
      <c r="C64" s="4" t="str">
        <f t="shared" si="0"/>
        <v>ASRock</v>
      </c>
      <c r="D64" s="14" t="s">
        <v>2294</v>
      </c>
      <c r="E64" s="11" t="s">
        <v>351</v>
      </c>
      <c r="F64" s="76" t="s">
        <v>8775</v>
      </c>
      <c r="G64" s="12" t="s">
        <v>407</v>
      </c>
      <c r="H64" s="12">
        <v>256</v>
      </c>
      <c r="I64" s="12">
        <v>8000</v>
      </c>
      <c r="J64" s="12">
        <v>4</v>
      </c>
      <c r="K64" s="12">
        <v>2</v>
      </c>
      <c r="L64" s="75" t="s">
        <v>2285</v>
      </c>
      <c r="M64" s="75" t="s">
        <v>418</v>
      </c>
      <c r="N64" s="75" t="s">
        <v>418</v>
      </c>
      <c r="O64" s="20" t="s">
        <v>2518</v>
      </c>
      <c r="P64" s="14" t="s">
        <v>2504</v>
      </c>
      <c r="Q64" s="3">
        <v>197.01</v>
      </c>
      <c r="R64" s="3">
        <v>279</v>
      </c>
      <c r="S64" s="18" t="s">
        <v>2519</v>
      </c>
      <c r="T64" s="12"/>
    </row>
    <row r="65" spans="1:20" x14ac:dyDescent="0.25">
      <c r="A65" s="18" t="s">
        <v>2520</v>
      </c>
      <c r="B65" s="11" t="s">
        <v>2521</v>
      </c>
      <c r="C65" s="4" t="str">
        <f t="shared" si="0"/>
        <v>ASRock</v>
      </c>
      <c r="D65" s="14" t="s">
        <v>2294</v>
      </c>
      <c r="E65" s="11" t="s">
        <v>351</v>
      </c>
      <c r="F65" s="76" t="s">
        <v>8775</v>
      </c>
      <c r="G65" s="12" t="s">
        <v>407</v>
      </c>
      <c r="H65" s="12">
        <v>128</v>
      </c>
      <c r="I65" s="12">
        <v>8200</v>
      </c>
      <c r="J65" s="12">
        <v>2</v>
      </c>
      <c r="K65" s="12">
        <v>2</v>
      </c>
      <c r="L65" s="75" t="s">
        <v>4260</v>
      </c>
      <c r="M65" s="75" t="s">
        <v>4244</v>
      </c>
      <c r="N65" s="75" t="s">
        <v>4254</v>
      </c>
      <c r="O65" s="20" t="s">
        <v>2430</v>
      </c>
      <c r="P65" s="14" t="s">
        <v>2504</v>
      </c>
      <c r="Q65" s="3">
        <v>123.68</v>
      </c>
      <c r="R65" s="3">
        <v>175.93</v>
      </c>
      <c r="S65" s="18" t="s">
        <v>2522</v>
      </c>
      <c r="T65" s="12"/>
    </row>
    <row r="66" spans="1:20" x14ac:dyDescent="0.25">
      <c r="A66" s="18" t="s">
        <v>2523</v>
      </c>
      <c r="B66" s="11" t="s">
        <v>2524</v>
      </c>
      <c r="C66" s="4" t="str">
        <f t="shared" si="0"/>
        <v>ASRock</v>
      </c>
      <c r="D66" s="14" t="s">
        <v>2294</v>
      </c>
      <c r="E66" s="11" t="s">
        <v>351</v>
      </c>
      <c r="F66" s="76" t="s">
        <v>8775</v>
      </c>
      <c r="G66" s="12" t="s">
        <v>407</v>
      </c>
      <c r="H66" s="12">
        <v>128</v>
      </c>
      <c r="I66" s="12">
        <v>8200</v>
      </c>
      <c r="J66" s="12">
        <v>2</v>
      </c>
      <c r="K66" s="12">
        <v>2</v>
      </c>
      <c r="L66" s="75" t="s">
        <v>4260</v>
      </c>
      <c r="M66" s="75" t="s">
        <v>4244</v>
      </c>
      <c r="N66" s="75" t="s">
        <v>4254</v>
      </c>
      <c r="O66" s="20" t="s">
        <v>2525</v>
      </c>
      <c r="P66" s="14" t="s">
        <v>2504</v>
      </c>
      <c r="Q66" s="3">
        <v>132.9</v>
      </c>
      <c r="R66" s="3">
        <v>155.38999999999999</v>
      </c>
      <c r="S66" s="18" t="s">
        <v>2526</v>
      </c>
      <c r="T66" s="12"/>
    </row>
    <row r="67" spans="1:20" x14ac:dyDescent="0.25">
      <c r="A67" s="18" t="s">
        <v>2527</v>
      </c>
      <c r="B67" s="11" t="s">
        <v>2528</v>
      </c>
      <c r="C67" s="4" t="str">
        <f t="shared" si="0"/>
        <v>ASRock</v>
      </c>
      <c r="D67" s="14" t="s">
        <v>2336</v>
      </c>
      <c r="E67" s="11" t="s">
        <v>398</v>
      </c>
      <c r="F67" s="76" t="s">
        <v>8785</v>
      </c>
      <c r="G67" s="12" t="s">
        <v>407</v>
      </c>
      <c r="H67" s="12">
        <v>256</v>
      </c>
      <c r="I67" s="12">
        <v>8666</v>
      </c>
      <c r="J67" s="12">
        <v>4</v>
      </c>
      <c r="K67" s="12">
        <v>2</v>
      </c>
      <c r="L67" s="75" t="s">
        <v>2285</v>
      </c>
      <c r="M67" s="75" t="s">
        <v>4247</v>
      </c>
      <c r="N67" s="75" t="s">
        <v>418</v>
      </c>
      <c r="O67" s="20" t="s">
        <v>2529</v>
      </c>
      <c r="P67" s="14" t="s">
        <v>2530</v>
      </c>
      <c r="Q67" s="3">
        <v>205.35</v>
      </c>
      <c r="R67" s="3">
        <v>287.83</v>
      </c>
      <c r="S67" s="18" t="s">
        <v>2531</v>
      </c>
      <c r="T67" s="12"/>
    </row>
    <row r="68" spans="1:20" x14ac:dyDescent="0.25">
      <c r="A68" s="18" t="s">
        <v>2532</v>
      </c>
      <c r="B68" s="11" t="s">
        <v>2533</v>
      </c>
      <c r="C68" s="4" t="str">
        <f t="shared" si="0"/>
        <v>ASRock</v>
      </c>
      <c r="D68" s="14" t="s">
        <v>2336</v>
      </c>
      <c r="E68" s="11" t="s">
        <v>398</v>
      </c>
      <c r="F68" s="76" t="s">
        <v>8785</v>
      </c>
      <c r="G68" s="12" t="s">
        <v>407</v>
      </c>
      <c r="H68" s="12">
        <v>256</v>
      </c>
      <c r="I68" s="12">
        <v>8666</v>
      </c>
      <c r="J68" s="12">
        <v>4</v>
      </c>
      <c r="K68" s="12">
        <v>2</v>
      </c>
      <c r="L68" s="75" t="s">
        <v>2285</v>
      </c>
      <c r="M68" s="75" t="s">
        <v>4247</v>
      </c>
      <c r="N68" s="75" t="s">
        <v>418</v>
      </c>
      <c r="O68" s="20" t="s">
        <v>2534</v>
      </c>
      <c r="P68" s="14" t="s">
        <v>2530</v>
      </c>
      <c r="Q68" s="3">
        <v>158.22</v>
      </c>
      <c r="R68" s="3">
        <v>221.59</v>
      </c>
      <c r="S68" s="18" t="s">
        <v>2535</v>
      </c>
      <c r="T68" s="12"/>
    </row>
    <row r="69" spans="1:20" x14ac:dyDescent="0.25">
      <c r="A69" s="18" t="s">
        <v>2536</v>
      </c>
      <c r="B69" s="11" t="s">
        <v>2537</v>
      </c>
      <c r="C69" s="4" t="str">
        <f t="shared" si="0"/>
        <v>ASRock</v>
      </c>
      <c r="D69" s="14" t="s">
        <v>2336</v>
      </c>
      <c r="E69" s="11" t="s">
        <v>398</v>
      </c>
      <c r="F69" s="76" t="s">
        <v>8785</v>
      </c>
      <c r="G69" s="12" t="s">
        <v>407</v>
      </c>
      <c r="H69" s="12">
        <v>256</v>
      </c>
      <c r="I69" s="12">
        <v>8666</v>
      </c>
      <c r="J69" s="12">
        <v>4</v>
      </c>
      <c r="K69" s="12">
        <v>2</v>
      </c>
      <c r="L69" s="75" t="s">
        <v>2285</v>
      </c>
      <c r="M69" s="75" t="s">
        <v>4247</v>
      </c>
      <c r="N69" s="75" t="s">
        <v>418</v>
      </c>
      <c r="O69" s="20" t="s">
        <v>2529</v>
      </c>
      <c r="P69" s="14" t="s">
        <v>2530</v>
      </c>
      <c r="Q69" s="3">
        <v>171.8</v>
      </c>
      <c r="R69" s="3">
        <v>242.32</v>
      </c>
      <c r="S69" s="18" t="s">
        <v>2538</v>
      </c>
      <c r="T69" s="12"/>
    </row>
    <row r="70" spans="1:20" x14ac:dyDescent="0.25">
      <c r="A70" s="18" t="s">
        <v>2539</v>
      </c>
      <c r="B70" s="11" t="s">
        <v>2540</v>
      </c>
      <c r="C70" s="4" t="str">
        <f t="shared" si="0"/>
        <v>ASRock</v>
      </c>
      <c r="D70" s="14" t="s">
        <v>2336</v>
      </c>
      <c r="E70" s="11" t="s">
        <v>398</v>
      </c>
      <c r="F70" s="76" t="s">
        <v>8785</v>
      </c>
      <c r="G70" s="12" t="s">
        <v>407</v>
      </c>
      <c r="H70" s="12">
        <v>256</v>
      </c>
      <c r="I70" s="12">
        <v>8666</v>
      </c>
      <c r="J70" s="12">
        <v>4</v>
      </c>
      <c r="K70" s="12">
        <v>2</v>
      </c>
      <c r="L70" s="75" t="s">
        <v>2285</v>
      </c>
      <c r="M70" s="75" t="s">
        <v>4247</v>
      </c>
      <c r="N70" s="75" t="s">
        <v>418</v>
      </c>
      <c r="O70" s="20" t="s">
        <v>2534</v>
      </c>
      <c r="P70" s="14" t="s">
        <v>2530</v>
      </c>
      <c r="Q70" s="3">
        <v>148.29</v>
      </c>
      <c r="R70" s="3">
        <v>206.82</v>
      </c>
      <c r="S70" s="18" t="s">
        <v>2541</v>
      </c>
      <c r="T70" s="12"/>
    </row>
    <row r="71" spans="1:20" x14ac:dyDescent="0.25">
      <c r="A71" s="18" t="s">
        <v>2542</v>
      </c>
      <c r="B71" s="11" t="s">
        <v>2543</v>
      </c>
      <c r="C71" s="4" t="str">
        <f t="shared" si="0"/>
        <v>ASRock</v>
      </c>
      <c r="D71" s="14" t="s">
        <v>2336</v>
      </c>
      <c r="E71" s="11" t="s">
        <v>398</v>
      </c>
      <c r="F71" s="76" t="s">
        <v>8785</v>
      </c>
      <c r="G71" s="12" t="s">
        <v>407</v>
      </c>
      <c r="H71" s="12">
        <v>256</v>
      </c>
      <c r="I71" s="12">
        <v>8666</v>
      </c>
      <c r="J71" s="12">
        <v>4</v>
      </c>
      <c r="K71" s="12">
        <v>2</v>
      </c>
      <c r="L71" s="75" t="s">
        <v>2285</v>
      </c>
      <c r="M71" s="75" t="s">
        <v>4247</v>
      </c>
      <c r="N71" s="75" t="s">
        <v>418</v>
      </c>
      <c r="O71" s="20" t="s">
        <v>2529</v>
      </c>
      <c r="P71" s="14" t="s">
        <v>2530</v>
      </c>
      <c r="Q71" s="3">
        <v>164.14</v>
      </c>
      <c r="R71" s="3">
        <v>228.5</v>
      </c>
      <c r="S71" s="18" t="s">
        <v>2544</v>
      </c>
      <c r="T71" s="12"/>
    </row>
    <row r="72" spans="1:20" x14ac:dyDescent="0.25">
      <c r="A72" s="18" t="s">
        <v>2545</v>
      </c>
      <c r="B72" s="11" t="s">
        <v>2546</v>
      </c>
      <c r="C72" s="4" t="str">
        <f t="shared" si="0"/>
        <v>ASRock</v>
      </c>
      <c r="D72" s="14" t="s">
        <v>2336</v>
      </c>
      <c r="E72" s="11" t="s">
        <v>398</v>
      </c>
      <c r="F72" s="76" t="s">
        <v>8785</v>
      </c>
      <c r="G72" s="12" t="s">
        <v>407</v>
      </c>
      <c r="H72" s="12">
        <v>256</v>
      </c>
      <c r="I72" s="12">
        <v>8666</v>
      </c>
      <c r="J72" s="12">
        <v>4</v>
      </c>
      <c r="K72" s="12">
        <v>2</v>
      </c>
      <c r="L72" s="75" t="s">
        <v>2285</v>
      </c>
      <c r="M72" s="75" t="s">
        <v>4247</v>
      </c>
      <c r="N72" s="75" t="s">
        <v>4248</v>
      </c>
      <c r="O72" s="20" t="s">
        <v>2547</v>
      </c>
      <c r="P72" s="14" t="s">
        <v>2530</v>
      </c>
      <c r="Q72" s="3">
        <v>219.99</v>
      </c>
      <c r="R72" s="3">
        <v>306.66000000000003</v>
      </c>
      <c r="S72" s="18" t="s">
        <v>2548</v>
      </c>
      <c r="T72" s="12"/>
    </row>
    <row r="73" spans="1:20" x14ac:dyDescent="0.25">
      <c r="A73" s="18" t="s">
        <v>2549</v>
      </c>
      <c r="B73" s="11" t="s">
        <v>2550</v>
      </c>
      <c r="C73" s="4" t="str">
        <f t="shared" ref="C73:C136" si="1">LEFT(A73, FIND(" ",A73)-1)</f>
        <v>ASRock</v>
      </c>
      <c r="D73" s="14" t="s">
        <v>2311</v>
      </c>
      <c r="E73" s="11" t="s">
        <v>398</v>
      </c>
      <c r="F73" s="76" t="s">
        <v>8785</v>
      </c>
      <c r="G73" s="12" t="s">
        <v>407</v>
      </c>
      <c r="H73" s="12">
        <v>128</v>
      </c>
      <c r="I73" s="12">
        <v>9333</v>
      </c>
      <c r="J73" s="12">
        <v>2</v>
      </c>
      <c r="K73" s="12">
        <v>2</v>
      </c>
      <c r="L73" s="75">
        <v>5</v>
      </c>
      <c r="M73" s="75">
        <v>16</v>
      </c>
      <c r="N73" s="75">
        <v>16</v>
      </c>
      <c r="O73" s="20" t="s">
        <v>2402</v>
      </c>
      <c r="P73" s="14" t="s">
        <v>2530</v>
      </c>
      <c r="Q73" s="3">
        <v>167.95</v>
      </c>
      <c r="R73" s="3">
        <v>234.7</v>
      </c>
      <c r="S73" s="18" t="s">
        <v>2551</v>
      </c>
      <c r="T73" s="12"/>
    </row>
    <row r="74" spans="1:20" x14ac:dyDescent="0.25">
      <c r="A74" s="18" t="s">
        <v>2552</v>
      </c>
      <c r="B74" s="11" t="s">
        <v>2553</v>
      </c>
      <c r="C74" s="4" t="str">
        <f t="shared" si="1"/>
        <v>ASRock</v>
      </c>
      <c r="D74" s="14" t="s">
        <v>2294</v>
      </c>
      <c r="E74" s="11" t="s">
        <v>398</v>
      </c>
      <c r="F74" s="76" t="s">
        <v>8785</v>
      </c>
      <c r="G74" s="12" t="s">
        <v>407</v>
      </c>
      <c r="H74" s="12">
        <v>256</v>
      </c>
      <c r="I74" s="12">
        <v>8666</v>
      </c>
      <c r="J74" s="12">
        <v>4</v>
      </c>
      <c r="K74" s="12">
        <v>2</v>
      </c>
      <c r="L74" s="75" t="s">
        <v>2285</v>
      </c>
      <c r="M74" s="75" t="s">
        <v>418</v>
      </c>
      <c r="N74" s="75" t="s">
        <v>418</v>
      </c>
      <c r="O74" s="20" t="s">
        <v>2508</v>
      </c>
      <c r="P74" s="14" t="s">
        <v>2530</v>
      </c>
      <c r="Q74" s="3">
        <v>183.89</v>
      </c>
      <c r="R74" s="3">
        <v>253.28</v>
      </c>
      <c r="S74" s="18" t="s">
        <v>2554</v>
      </c>
      <c r="T74" s="12"/>
    </row>
    <row r="75" spans="1:20" x14ac:dyDescent="0.25">
      <c r="A75" s="18" t="s">
        <v>2555</v>
      </c>
      <c r="B75" s="11" t="s">
        <v>2556</v>
      </c>
      <c r="C75" s="4" t="str">
        <f t="shared" si="1"/>
        <v>ASRock</v>
      </c>
      <c r="D75" s="14" t="s">
        <v>2294</v>
      </c>
      <c r="E75" s="11" t="s">
        <v>398</v>
      </c>
      <c r="F75" s="76" t="s">
        <v>8785</v>
      </c>
      <c r="G75" s="12" t="s">
        <v>407</v>
      </c>
      <c r="H75" s="12">
        <v>256</v>
      </c>
      <c r="I75" s="12">
        <v>8666</v>
      </c>
      <c r="J75" s="12">
        <v>4</v>
      </c>
      <c r="K75" s="12">
        <v>2</v>
      </c>
      <c r="L75" s="75">
        <v>5</v>
      </c>
      <c r="M75" s="75">
        <v>16</v>
      </c>
      <c r="N75" s="75">
        <v>16</v>
      </c>
      <c r="O75" s="20" t="s">
        <v>2557</v>
      </c>
      <c r="P75" s="14" t="s">
        <v>2530</v>
      </c>
      <c r="Q75" s="3">
        <v>195.41</v>
      </c>
      <c r="R75" s="3">
        <v>270.44</v>
      </c>
      <c r="S75" s="18" t="s">
        <v>2558</v>
      </c>
      <c r="T75" s="12"/>
    </row>
    <row r="76" spans="1:20" x14ac:dyDescent="0.25">
      <c r="A76" s="18" t="s">
        <v>2559</v>
      </c>
      <c r="B76" s="11" t="s">
        <v>2560</v>
      </c>
      <c r="C76" s="4" t="str">
        <f t="shared" si="1"/>
        <v>ASRock</v>
      </c>
      <c r="D76" s="14" t="s">
        <v>2294</v>
      </c>
      <c r="E76" s="11" t="s">
        <v>398</v>
      </c>
      <c r="F76" s="76" t="s">
        <v>8785</v>
      </c>
      <c r="G76" s="12" t="s">
        <v>407</v>
      </c>
      <c r="H76" s="12">
        <v>128</v>
      </c>
      <c r="I76" s="12">
        <v>9066</v>
      </c>
      <c r="J76" s="12">
        <v>2</v>
      </c>
      <c r="K76" s="12">
        <v>2</v>
      </c>
      <c r="L76" s="75" t="s">
        <v>4260</v>
      </c>
      <c r="M76" s="75" t="s">
        <v>4254</v>
      </c>
      <c r="N76" s="75" t="s">
        <v>4254</v>
      </c>
      <c r="O76" s="20" t="s">
        <v>2561</v>
      </c>
      <c r="P76" s="14" t="s">
        <v>2530</v>
      </c>
      <c r="Q76" s="3">
        <v>125.9</v>
      </c>
      <c r="R76" s="3">
        <v>175.13</v>
      </c>
      <c r="S76" s="18" t="s">
        <v>2562</v>
      </c>
      <c r="T76" s="12"/>
    </row>
    <row r="77" spans="1:20" x14ac:dyDescent="0.25">
      <c r="A77" s="18" t="s">
        <v>2563</v>
      </c>
      <c r="B77" s="11" t="s">
        <v>2564</v>
      </c>
      <c r="C77" s="4" t="str">
        <f t="shared" si="1"/>
        <v>ASRock</v>
      </c>
      <c r="D77" s="14" t="s">
        <v>2311</v>
      </c>
      <c r="E77" s="11" t="s">
        <v>350</v>
      </c>
      <c r="F77" s="76" t="s">
        <v>8776</v>
      </c>
      <c r="G77" s="12" t="s">
        <v>406</v>
      </c>
      <c r="H77" s="12">
        <v>64</v>
      </c>
      <c r="I77" s="12">
        <v>3466</v>
      </c>
      <c r="J77" s="12">
        <v>2</v>
      </c>
      <c r="K77" s="12">
        <v>2</v>
      </c>
      <c r="L77" s="75">
        <v>3</v>
      </c>
      <c r="M77" s="75">
        <v>16</v>
      </c>
      <c r="N77" s="75">
        <v>16</v>
      </c>
      <c r="O77" s="20" t="s">
        <v>2565</v>
      </c>
      <c r="P77" s="14" t="s">
        <v>2337</v>
      </c>
      <c r="Q77" s="3">
        <v>118</v>
      </c>
      <c r="R77" s="3">
        <v>248.13</v>
      </c>
      <c r="S77" s="18" t="s">
        <v>2566</v>
      </c>
      <c r="T77" s="12"/>
    </row>
    <row r="78" spans="1:20" x14ac:dyDescent="0.25">
      <c r="A78" s="18" t="s">
        <v>2567</v>
      </c>
      <c r="B78" s="11" t="s">
        <v>2568</v>
      </c>
      <c r="C78" s="4" t="str">
        <f t="shared" si="1"/>
        <v>ASRock</v>
      </c>
      <c r="D78" s="14" t="s">
        <v>2336</v>
      </c>
      <c r="E78" s="11" t="s">
        <v>352</v>
      </c>
      <c r="F78" s="76" t="s">
        <v>8786</v>
      </c>
      <c r="G78" s="12" t="s">
        <v>406</v>
      </c>
      <c r="H78" s="12">
        <v>128</v>
      </c>
      <c r="I78" s="12">
        <v>5000</v>
      </c>
      <c r="J78" s="12">
        <v>4</v>
      </c>
      <c r="K78" s="12">
        <v>2</v>
      </c>
      <c r="L78" s="75" t="s">
        <v>4274</v>
      </c>
      <c r="M78" s="75" t="s">
        <v>4275</v>
      </c>
      <c r="N78" s="75" t="s">
        <v>4276</v>
      </c>
      <c r="O78" s="20" t="s">
        <v>2569</v>
      </c>
      <c r="P78" s="14" t="s">
        <v>2570</v>
      </c>
      <c r="Q78" s="3">
        <v>136.46</v>
      </c>
      <c r="R78" s="3">
        <v>272.82</v>
      </c>
      <c r="S78" s="18" t="s">
        <v>2571</v>
      </c>
      <c r="T78" s="12"/>
    </row>
    <row r="79" spans="1:20" x14ac:dyDescent="0.25">
      <c r="A79" s="18" t="s">
        <v>2572</v>
      </c>
      <c r="B79" s="11" t="s">
        <v>2573</v>
      </c>
      <c r="C79" s="4" t="str">
        <f t="shared" si="1"/>
        <v>ASRock</v>
      </c>
      <c r="D79" s="14" t="s">
        <v>2294</v>
      </c>
      <c r="E79" s="11" t="s">
        <v>352</v>
      </c>
      <c r="F79" s="76" t="s">
        <v>8786</v>
      </c>
      <c r="G79" s="12" t="s">
        <v>406</v>
      </c>
      <c r="H79" s="12">
        <v>128</v>
      </c>
      <c r="I79" s="12">
        <v>4800</v>
      </c>
      <c r="J79" s="12">
        <v>4</v>
      </c>
      <c r="K79" s="12">
        <v>2</v>
      </c>
      <c r="L79" s="75" t="s">
        <v>4250</v>
      </c>
      <c r="M79" s="75" t="s">
        <v>4244</v>
      </c>
      <c r="N79" s="75" t="s">
        <v>4254</v>
      </c>
      <c r="O79" s="20" t="s">
        <v>2574</v>
      </c>
      <c r="P79" s="14" t="s">
        <v>2570</v>
      </c>
      <c r="Q79" s="3">
        <v>116.94</v>
      </c>
      <c r="R79" s="3">
        <v>184.63</v>
      </c>
      <c r="S79" s="18" t="s">
        <v>2575</v>
      </c>
      <c r="T79" s="12"/>
    </row>
    <row r="80" spans="1:20" x14ac:dyDescent="0.25">
      <c r="A80" s="18" t="s">
        <v>2576</v>
      </c>
      <c r="B80" s="11" t="s">
        <v>2577</v>
      </c>
      <c r="C80" s="4" t="str">
        <f t="shared" si="1"/>
        <v>ASRock</v>
      </c>
      <c r="D80" s="14" t="s">
        <v>2311</v>
      </c>
      <c r="E80" s="11" t="s">
        <v>352</v>
      </c>
      <c r="F80" s="76" t="s">
        <v>8784</v>
      </c>
      <c r="G80" s="12" t="s">
        <v>407</v>
      </c>
      <c r="H80" s="12">
        <v>96</v>
      </c>
      <c r="I80" s="12">
        <v>8600</v>
      </c>
      <c r="J80" s="12">
        <v>2</v>
      </c>
      <c r="K80" s="12">
        <v>2</v>
      </c>
      <c r="L80" s="75">
        <v>5</v>
      </c>
      <c r="M80" s="75">
        <v>16</v>
      </c>
      <c r="N80" s="75">
        <v>16</v>
      </c>
      <c r="O80" s="20" t="s">
        <v>2578</v>
      </c>
      <c r="P80" s="14" t="s">
        <v>2579</v>
      </c>
      <c r="Q80" s="3">
        <v>187.92</v>
      </c>
      <c r="R80" s="3">
        <v>270.69</v>
      </c>
      <c r="S80" s="18" t="s">
        <v>2580</v>
      </c>
      <c r="T80" s="12"/>
    </row>
    <row r="81" spans="1:20" x14ac:dyDescent="0.25">
      <c r="A81" s="18" t="s">
        <v>2581</v>
      </c>
      <c r="B81" s="11" t="s">
        <v>2582</v>
      </c>
      <c r="C81" s="4" t="str">
        <f t="shared" si="1"/>
        <v>ASRock</v>
      </c>
      <c r="D81" s="14" t="s">
        <v>2336</v>
      </c>
      <c r="E81" s="11" t="s">
        <v>351</v>
      </c>
      <c r="F81" s="76" t="s">
        <v>8775</v>
      </c>
      <c r="G81" s="12" t="s">
        <v>407</v>
      </c>
      <c r="H81" s="12">
        <v>256</v>
      </c>
      <c r="I81" s="12">
        <v>8000</v>
      </c>
      <c r="J81" s="12">
        <v>4</v>
      </c>
      <c r="K81" s="12">
        <v>2</v>
      </c>
      <c r="L81" s="75" t="s">
        <v>2285</v>
      </c>
      <c r="M81" s="75" t="s">
        <v>4247</v>
      </c>
      <c r="N81" s="75" t="s">
        <v>418</v>
      </c>
      <c r="O81" s="20" t="s">
        <v>2583</v>
      </c>
      <c r="P81" s="14" t="s">
        <v>2412</v>
      </c>
      <c r="Q81" s="3">
        <v>249.9</v>
      </c>
      <c r="R81" s="3">
        <v>1465</v>
      </c>
      <c r="S81" s="18" t="s">
        <v>2584</v>
      </c>
      <c r="T81" s="12"/>
    </row>
    <row r="82" spans="1:20" x14ac:dyDescent="0.25">
      <c r="A82" s="18" t="s">
        <v>2585</v>
      </c>
      <c r="B82" s="11" t="s">
        <v>2586</v>
      </c>
      <c r="C82" s="4" t="str">
        <f t="shared" si="1"/>
        <v>ASRock</v>
      </c>
      <c r="D82" s="14" t="s">
        <v>2311</v>
      </c>
      <c r="E82" s="11" t="s">
        <v>351</v>
      </c>
      <c r="F82" s="76" t="s">
        <v>8775</v>
      </c>
      <c r="G82" s="12" t="s">
        <v>407</v>
      </c>
      <c r="H82" s="12">
        <v>128</v>
      </c>
      <c r="I82" s="12">
        <v>8200</v>
      </c>
      <c r="J82" s="12">
        <v>2</v>
      </c>
      <c r="K82" s="12">
        <v>2</v>
      </c>
      <c r="L82" s="75">
        <v>5</v>
      </c>
      <c r="M82" s="75">
        <v>16</v>
      </c>
      <c r="N82" s="75">
        <v>16</v>
      </c>
      <c r="O82" s="20" t="s">
        <v>2402</v>
      </c>
      <c r="P82" s="14" t="s">
        <v>2484</v>
      </c>
      <c r="Q82" s="3">
        <v>219.97</v>
      </c>
      <c r="R82" s="3">
        <v>295.27999999999997</v>
      </c>
      <c r="S82" s="18" t="s">
        <v>2587</v>
      </c>
      <c r="T82" s="12"/>
    </row>
    <row r="83" spans="1:20" x14ac:dyDescent="0.25">
      <c r="A83" s="18" t="s">
        <v>2588</v>
      </c>
      <c r="B83" s="11" t="s">
        <v>2589</v>
      </c>
      <c r="C83" s="4" t="str">
        <f t="shared" si="1"/>
        <v>ASRock</v>
      </c>
      <c r="D83" s="14" t="s">
        <v>2294</v>
      </c>
      <c r="E83" s="11" t="s">
        <v>351</v>
      </c>
      <c r="F83" s="76" t="s">
        <v>8775</v>
      </c>
      <c r="G83" s="12" t="s">
        <v>407</v>
      </c>
      <c r="H83" s="12">
        <v>256</v>
      </c>
      <c r="I83" s="12">
        <v>8000</v>
      </c>
      <c r="J83" s="12">
        <v>4</v>
      </c>
      <c r="K83" s="12">
        <v>2</v>
      </c>
      <c r="L83" s="75" t="s">
        <v>2285</v>
      </c>
      <c r="M83" s="75" t="s">
        <v>418</v>
      </c>
      <c r="N83" s="75" t="s">
        <v>418</v>
      </c>
      <c r="O83" s="20" t="s">
        <v>2518</v>
      </c>
      <c r="P83" s="14" t="s">
        <v>2504</v>
      </c>
      <c r="Q83" s="3">
        <v>199.01</v>
      </c>
      <c r="R83" s="3">
        <v>267.38</v>
      </c>
      <c r="S83" s="18" t="s">
        <v>2590</v>
      </c>
      <c r="T83" s="12"/>
    </row>
    <row r="84" spans="1:20" x14ac:dyDescent="0.25">
      <c r="A84" s="18" t="s">
        <v>2591</v>
      </c>
      <c r="B84" s="11" t="s">
        <v>2592</v>
      </c>
      <c r="C84" s="4" t="str">
        <f t="shared" si="1"/>
        <v>ASRock</v>
      </c>
      <c r="D84" s="14" t="s">
        <v>2336</v>
      </c>
      <c r="E84" s="11" t="s">
        <v>398</v>
      </c>
      <c r="F84" s="76" t="s">
        <v>8785</v>
      </c>
      <c r="G84" s="12" t="s">
        <v>407</v>
      </c>
      <c r="H84" s="12">
        <v>256</v>
      </c>
      <c r="I84" s="12">
        <v>8933</v>
      </c>
      <c r="J84" s="12">
        <v>4</v>
      </c>
      <c r="K84" s="12">
        <v>2</v>
      </c>
      <c r="L84" s="75" t="s">
        <v>2285</v>
      </c>
      <c r="M84" s="75" t="s">
        <v>4247</v>
      </c>
      <c r="N84" s="75" t="s">
        <v>4248</v>
      </c>
      <c r="O84" s="20" t="s">
        <v>2547</v>
      </c>
      <c r="P84" s="14" t="s">
        <v>2530</v>
      </c>
      <c r="Q84" s="3">
        <v>233.41</v>
      </c>
      <c r="R84" s="3">
        <v>324.77</v>
      </c>
      <c r="S84" s="18" t="s">
        <v>2593</v>
      </c>
      <c r="T84" s="12"/>
    </row>
    <row r="85" spans="1:20" x14ac:dyDescent="0.25">
      <c r="A85" s="18" t="s">
        <v>2594</v>
      </c>
      <c r="B85" s="11" t="s">
        <v>2595</v>
      </c>
      <c r="C85" s="4" t="str">
        <f t="shared" si="1"/>
        <v>ASRock</v>
      </c>
      <c r="D85" s="14" t="s">
        <v>2336</v>
      </c>
      <c r="E85" s="11" t="s">
        <v>351</v>
      </c>
      <c r="F85" s="76" t="s">
        <v>8777</v>
      </c>
      <c r="G85" s="12" t="s">
        <v>407</v>
      </c>
      <c r="H85" s="12">
        <v>256</v>
      </c>
      <c r="I85" s="12">
        <v>8000</v>
      </c>
      <c r="J85" s="12">
        <v>4</v>
      </c>
      <c r="K85" s="12">
        <v>2</v>
      </c>
      <c r="L85" s="75" t="s">
        <v>2285</v>
      </c>
      <c r="M85" s="75" t="s">
        <v>4247</v>
      </c>
      <c r="N85" s="75" t="s">
        <v>418</v>
      </c>
      <c r="O85" s="20" t="s">
        <v>2596</v>
      </c>
      <c r="P85" s="14" t="s">
        <v>2412</v>
      </c>
      <c r="Q85" s="3">
        <v>291.25</v>
      </c>
      <c r="R85" s="3">
        <v>349</v>
      </c>
      <c r="S85" s="18" t="s">
        <v>2597</v>
      </c>
      <c r="T85" s="12"/>
    </row>
    <row r="86" spans="1:20" x14ac:dyDescent="0.25">
      <c r="A86" s="18" t="s">
        <v>2598</v>
      </c>
      <c r="B86" s="11" t="s">
        <v>2599</v>
      </c>
      <c r="C86" s="4" t="str">
        <f t="shared" si="1"/>
        <v>ASRock</v>
      </c>
      <c r="D86" s="14" t="s">
        <v>2336</v>
      </c>
      <c r="E86" s="11" t="s">
        <v>351</v>
      </c>
      <c r="F86" s="76" t="s">
        <v>8778</v>
      </c>
      <c r="G86" s="12" t="s">
        <v>407</v>
      </c>
      <c r="H86" s="12">
        <v>256</v>
      </c>
      <c r="I86" s="12">
        <v>8200</v>
      </c>
      <c r="J86" s="12">
        <v>4</v>
      </c>
      <c r="K86" s="12">
        <v>2</v>
      </c>
      <c r="L86" s="75" t="s">
        <v>4277</v>
      </c>
      <c r="M86" s="75" t="s">
        <v>4244</v>
      </c>
      <c r="N86" s="75" t="s">
        <v>4245</v>
      </c>
      <c r="O86" s="20" t="s">
        <v>2600</v>
      </c>
      <c r="P86" s="14" t="s">
        <v>2601</v>
      </c>
      <c r="Q86" s="3">
        <v>387.81</v>
      </c>
      <c r="R86" s="3">
        <v>468.98</v>
      </c>
      <c r="S86" s="18" t="s">
        <v>2602</v>
      </c>
      <c r="T86" s="12"/>
    </row>
    <row r="87" spans="1:20" x14ac:dyDescent="0.25">
      <c r="A87" s="18" t="s">
        <v>2603</v>
      </c>
      <c r="B87" s="11" t="s">
        <v>2604</v>
      </c>
      <c r="C87" s="4" t="str">
        <f t="shared" si="1"/>
        <v>ASRock</v>
      </c>
      <c r="D87" s="14" t="s">
        <v>2311</v>
      </c>
      <c r="E87" s="11" t="s">
        <v>352</v>
      </c>
      <c r="F87" s="76" t="s">
        <v>8787</v>
      </c>
      <c r="G87" s="12" t="s">
        <v>407</v>
      </c>
      <c r="H87" s="12">
        <v>96</v>
      </c>
      <c r="I87" s="12">
        <v>8600</v>
      </c>
      <c r="J87" s="12">
        <v>2</v>
      </c>
      <c r="K87" s="12">
        <v>2</v>
      </c>
      <c r="L87" s="75">
        <v>5</v>
      </c>
      <c r="M87" s="75">
        <v>16</v>
      </c>
      <c r="N87" s="75">
        <v>16</v>
      </c>
      <c r="O87" s="20" t="s">
        <v>2578</v>
      </c>
      <c r="P87" s="14" t="s">
        <v>2605</v>
      </c>
      <c r="Q87" s="3">
        <v>269</v>
      </c>
      <c r="R87" s="3">
        <v>387.06</v>
      </c>
      <c r="S87" s="18" t="s">
        <v>2606</v>
      </c>
      <c r="T87" s="12"/>
    </row>
    <row r="88" spans="1:20" x14ac:dyDescent="0.25">
      <c r="A88" s="18" t="s">
        <v>2607</v>
      </c>
      <c r="B88" s="11" t="s">
        <v>2608</v>
      </c>
      <c r="C88" s="4" t="str">
        <f t="shared" si="1"/>
        <v>ASRock</v>
      </c>
      <c r="D88" s="14" t="s">
        <v>2336</v>
      </c>
      <c r="E88" s="11" t="s">
        <v>398</v>
      </c>
      <c r="F88" s="76" t="s">
        <v>8788</v>
      </c>
      <c r="G88" s="12" t="s">
        <v>407</v>
      </c>
      <c r="H88" s="12">
        <v>256</v>
      </c>
      <c r="I88" s="12">
        <v>9066</v>
      </c>
      <c r="J88" s="12">
        <v>4</v>
      </c>
      <c r="K88" s="12">
        <v>2</v>
      </c>
      <c r="L88" s="75" t="s">
        <v>4272</v>
      </c>
      <c r="M88" s="75" t="s">
        <v>4278</v>
      </c>
      <c r="N88" s="75" t="s">
        <v>4273</v>
      </c>
      <c r="O88" s="20" t="s">
        <v>2609</v>
      </c>
      <c r="P88" s="14" t="s">
        <v>2610</v>
      </c>
      <c r="Q88" s="3">
        <v>237.23</v>
      </c>
      <c r="R88" s="3">
        <v>355</v>
      </c>
      <c r="S88" s="18" t="s">
        <v>2611</v>
      </c>
      <c r="T88" s="12"/>
    </row>
    <row r="89" spans="1:20" x14ac:dyDescent="0.25">
      <c r="A89" s="18" t="s">
        <v>2612</v>
      </c>
      <c r="B89" s="11" t="s">
        <v>2613</v>
      </c>
      <c r="C89" s="4" t="str">
        <f t="shared" si="1"/>
        <v>ASRock</v>
      </c>
      <c r="D89" s="14" t="s">
        <v>2336</v>
      </c>
      <c r="E89" s="11" t="s">
        <v>398</v>
      </c>
      <c r="F89" s="76" t="s">
        <v>8788</v>
      </c>
      <c r="G89" s="12" t="s">
        <v>407</v>
      </c>
      <c r="H89" s="12">
        <v>256</v>
      </c>
      <c r="I89" s="12">
        <v>9200</v>
      </c>
      <c r="J89" s="12">
        <v>4</v>
      </c>
      <c r="K89" s="12">
        <v>2</v>
      </c>
      <c r="L89" s="75" t="s">
        <v>2285</v>
      </c>
      <c r="M89" s="75" t="s">
        <v>4247</v>
      </c>
      <c r="N89" s="75" t="s">
        <v>418</v>
      </c>
      <c r="O89" s="20" t="s">
        <v>2614</v>
      </c>
      <c r="P89" s="14" t="s">
        <v>2610</v>
      </c>
      <c r="Q89" s="3">
        <v>397.82</v>
      </c>
      <c r="R89" s="3">
        <v>465</v>
      </c>
      <c r="S89" s="18" t="s">
        <v>2615</v>
      </c>
      <c r="T89" s="12"/>
    </row>
    <row r="90" spans="1:20" x14ac:dyDescent="0.25">
      <c r="A90" s="18" t="s">
        <v>2616</v>
      </c>
      <c r="B90" s="11" t="s">
        <v>2617</v>
      </c>
      <c r="C90" s="4" t="str">
        <f t="shared" si="1"/>
        <v>ASRock</v>
      </c>
      <c r="D90" s="14" t="s">
        <v>2336</v>
      </c>
      <c r="E90" s="11" t="s">
        <v>398</v>
      </c>
      <c r="F90" s="76" t="s">
        <v>8788</v>
      </c>
      <c r="G90" s="12" t="s">
        <v>407</v>
      </c>
      <c r="H90" s="12">
        <v>256</v>
      </c>
      <c r="I90" s="12">
        <v>9066</v>
      </c>
      <c r="J90" s="12">
        <v>4</v>
      </c>
      <c r="K90" s="12">
        <v>2</v>
      </c>
      <c r="L90" s="75" t="s">
        <v>4272</v>
      </c>
      <c r="M90" s="75" t="s">
        <v>4244</v>
      </c>
      <c r="N90" s="75" t="s">
        <v>4254</v>
      </c>
      <c r="O90" s="20" t="s">
        <v>2618</v>
      </c>
      <c r="P90" s="14" t="s">
        <v>2610</v>
      </c>
      <c r="Q90" s="3">
        <v>272.45</v>
      </c>
      <c r="R90" s="3">
        <v>360.9</v>
      </c>
      <c r="S90" s="18" t="s">
        <v>2619</v>
      </c>
      <c r="T90" s="12"/>
    </row>
    <row r="91" spans="1:20" x14ac:dyDescent="0.25">
      <c r="A91" s="18" t="s">
        <v>2620</v>
      </c>
      <c r="B91" s="11" t="s">
        <v>2621</v>
      </c>
      <c r="C91" s="4" t="str">
        <f t="shared" si="1"/>
        <v>ASRock</v>
      </c>
      <c r="D91" s="14" t="s">
        <v>2311</v>
      </c>
      <c r="E91" s="11" t="s">
        <v>398</v>
      </c>
      <c r="F91" s="76" t="s">
        <v>8788</v>
      </c>
      <c r="G91" s="12" t="s">
        <v>407</v>
      </c>
      <c r="H91" s="12">
        <v>128</v>
      </c>
      <c r="I91" s="12">
        <v>9466</v>
      </c>
      <c r="J91" s="12">
        <v>2</v>
      </c>
      <c r="K91" s="12">
        <v>2</v>
      </c>
      <c r="L91" s="75">
        <v>5</v>
      </c>
      <c r="M91" s="75">
        <v>16</v>
      </c>
      <c r="N91" s="75">
        <v>16</v>
      </c>
      <c r="O91" s="20" t="s">
        <v>2622</v>
      </c>
      <c r="P91" s="14" t="s">
        <v>2623</v>
      </c>
      <c r="Q91" s="3">
        <v>320.91000000000003</v>
      </c>
      <c r="R91" s="3">
        <v>382.45</v>
      </c>
      <c r="S91" s="18" t="s">
        <v>2624</v>
      </c>
      <c r="T91" s="12"/>
    </row>
    <row r="92" spans="1:20" x14ac:dyDescent="0.25">
      <c r="A92" s="18" t="s">
        <v>2625</v>
      </c>
      <c r="B92" s="11" t="s">
        <v>2626</v>
      </c>
      <c r="C92" s="4" t="str">
        <f t="shared" si="1"/>
        <v>ASRock</v>
      </c>
      <c r="D92" s="14" t="s">
        <v>2294</v>
      </c>
      <c r="E92" s="11" t="s">
        <v>398</v>
      </c>
      <c r="F92" s="76" t="s">
        <v>8788</v>
      </c>
      <c r="G92" s="12" t="s">
        <v>407</v>
      </c>
      <c r="H92" s="12">
        <v>256</v>
      </c>
      <c r="I92" s="12">
        <v>9066</v>
      </c>
      <c r="J92" s="12">
        <v>4</v>
      </c>
      <c r="K92" s="12">
        <v>2</v>
      </c>
      <c r="L92" s="75">
        <v>5</v>
      </c>
      <c r="M92" s="75">
        <v>16</v>
      </c>
      <c r="N92" s="75">
        <v>16</v>
      </c>
      <c r="O92" s="20" t="s">
        <v>2627</v>
      </c>
      <c r="P92" s="14" t="s">
        <v>2610</v>
      </c>
      <c r="Q92" s="3">
        <v>267.82</v>
      </c>
      <c r="R92" s="3">
        <v>321.05</v>
      </c>
      <c r="S92" s="18" t="s">
        <v>2628</v>
      </c>
      <c r="T92" s="12"/>
    </row>
    <row r="93" spans="1:20" x14ac:dyDescent="0.25">
      <c r="A93" s="18" t="s">
        <v>2632</v>
      </c>
      <c r="B93" s="11" t="s">
        <v>2633</v>
      </c>
      <c r="C93" s="4" t="str">
        <f t="shared" si="1"/>
        <v>ASRock</v>
      </c>
      <c r="D93" s="14" t="s">
        <v>2336</v>
      </c>
      <c r="E93" s="11" t="s">
        <v>351</v>
      </c>
      <c r="F93" s="76" t="s">
        <v>8779</v>
      </c>
      <c r="G93" s="12" t="s">
        <v>407</v>
      </c>
      <c r="H93" s="12">
        <v>256</v>
      </c>
      <c r="I93" s="12">
        <v>7200</v>
      </c>
      <c r="J93" s="12">
        <v>4</v>
      </c>
      <c r="K93" s="12">
        <v>2</v>
      </c>
      <c r="L93" s="75" t="s">
        <v>4279</v>
      </c>
      <c r="M93" s="75" t="s">
        <v>4256</v>
      </c>
      <c r="N93" s="75" t="s">
        <v>4257</v>
      </c>
      <c r="O93" s="20" t="s">
        <v>2634</v>
      </c>
      <c r="P93" s="14" t="s">
        <v>2635</v>
      </c>
      <c r="Q93" s="3">
        <v>278</v>
      </c>
      <c r="R93" s="3">
        <v>1595</v>
      </c>
      <c r="S93" s="18" t="s">
        <v>2636</v>
      </c>
      <c r="T93" s="12"/>
    </row>
    <row r="94" spans="1:20" x14ac:dyDescent="0.25">
      <c r="A94" s="18" t="s">
        <v>2637</v>
      </c>
      <c r="B94" s="11" t="s">
        <v>2638</v>
      </c>
      <c r="C94" s="4" t="str">
        <f t="shared" si="1"/>
        <v>ASRock</v>
      </c>
      <c r="D94" s="14" t="s">
        <v>2336</v>
      </c>
      <c r="E94" s="11" t="s">
        <v>351</v>
      </c>
      <c r="F94" s="76" t="s">
        <v>8777</v>
      </c>
      <c r="G94" s="12" t="s">
        <v>407</v>
      </c>
      <c r="H94" s="12">
        <v>256</v>
      </c>
      <c r="I94" s="12">
        <v>8000</v>
      </c>
      <c r="J94" s="12">
        <v>4</v>
      </c>
      <c r="K94" s="12">
        <v>2</v>
      </c>
      <c r="L94" s="75" t="s">
        <v>2285</v>
      </c>
      <c r="M94" s="75" t="s">
        <v>4247</v>
      </c>
      <c r="N94" s="75" t="s">
        <v>418</v>
      </c>
      <c r="O94" s="20" t="s">
        <v>2639</v>
      </c>
      <c r="P94" s="14" t="s">
        <v>2640</v>
      </c>
      <c r="Q94" s="3">
        <v>235.9</v>
      </c>
      <c r="R94" s="3">
        <v>278.99</v>
      </c>
      <c r="S94" s="18" t="s">
        <v>2641</v>
      </c>
      <c r="T94" s="12"/>
    </row>
    <row r="95" spans="1:20" x14ac:dyDescent="0.25">
      <c r="A95" s="18" t="s">
        <v>2642</v>
      </c>
      <c r="B95" s="11" t="s">
        <v>2643</v>
      </c>
      <c r="C95" s="4" t="str">
        <f t="shared" si="1"/>
        <v>ASRock</v>
      </c>
      <c r="D95" s="14" t="s">
        <v>2336</v>
      </c>
      <c r="E95" s="11" t="s">
        <v>351</v>
      </c>
      <c r="F95" s="76" t="s">
        <v>8777</v>
      </c>
      <c r="G95" s="12" t="s">
        <v>407</v>
      </c>
      <c r="H95" s="12">
        <v>256</v>
      </c>
      <c r="I95" s="12">
        <v>8000</v>
      </c>
      <c r="J95" s="12">
        <v>4</v>
      </c>
      <c r="K95" s="12">
        <v>2</v>
      </c>
      <c r="L95" s="75" t="s">
        <v>2285</v>
      </c>
      <c r="M95" s="75" t="s">
        <v>4247</v>
      </c>
      <c r="N95" s="75" t="s">
        <v>418</v>
      </c>
      <c r="O95" s="20" t="s">
        <v>2644</v>
      </c>
      <c r="P95" s="14" t="s">
        <v>2640</v>
      </c>
      <c r="Q95" s="3">
        <v>244.13</v>
      </c>
      <c r="R95" s="3">
        <v>293.39999999999998</v>
      </c>
      <c r="S95" s="18" t="s">
        <v>2645</v>
      </c>
      <c r="T95" s="12"/>
    </row>
    <row r="96" spans="1:20" x14ac:dyDescent="0.25">
      <c r="A96" s="18" t="s">
        <v>2646</v>
      </c>
      <c r="B96" s="11" t="s">
        <v>2647</v>
      </c>
      <c r="C96" s="4" t="str">
        <f t="shared" si="1"/>
        <v>ASRock</v>
      </c>
      <c r="D96" s="14" t="s">
        <v>2336</v>
      </c>
      <c r="E96" s="11" t="s">
        <v>351</v>
      </c>
      <c r="F96" s="76" t="s">
        <v>8777</v>
      </c>
      <c r="G96" s="12" t="s">
        <v>407</v>
      </c>
      <c r="H96" s="12">
        <v>256</v>
      </c>
      <c r="I96" s="12">
        <v>8000</v>
      </c>
      <c r="J96" s="12">
        <v>4</v>
      </c>
      <c r="K96" s="12">
        <v>2</v>
      </c>
      <c r="L96" s="75" t="s">
        <v>2285</v>
      </c>
      <c r="M96" s="75" t="s">
        <v>4247</v>
      </c>
      <c r="N96" s="75" t="s">
        <v>418</v>
      </c>
      <c r="O96" s="20" t="s">
        <v>2596</v>
      </c>
      <c r="P96" s="14" t="s">
        <v>2412</v>
      </c>
      <c r="Q96" s="3">
        <v>272.89</v>
      </c>
      <c r="R96" s="3">
        <v>330.77</v>
      </c>
      <c r="S96" s="18" t="s">
        <v>2648</v>
      </c>
      <c r="T96" s="12"/>
    </row>
    <row r="97" spans="1:20" x14ac:dyDescent="0.25">
      <c r="A97" s="18" t="s">
        <v>2649</v>
      </c>
      <c r="B97" s="11" t="s">
        <v>2650</v>
      </c>
      <c r="C97" s="4" t="str">
        <f t="shared" si="1"/>
        <v>ASRock</v>
      </c>
      <c r="D97" s="14" t="s">
        <v>4242</v>
      </c>
      <c r="E97" s="11" t="s">
        <v>351</v>
      </c>
      <c r="F97" s="76" t="s">
        <v>8778</v>
      </c>
      <c r="G97" s="12" t="s">
        <v>407</v>
      </c>
      <c r="H97" s="12">
        <v>256</v>
      </c>
      <c r="I97" s="12">
        <v>8200</v>
      </c>
      <c r="J97" s="12">
        <v>4</v>
      </c>
      <c r="K97" s="12">
        <v>2</v>
      </c>
      <c r="L97" s="75" t="s">
        <v>4280</v>
      </c>
      <c r="M97" s="75" t="s">
        <v>4247</v>
      </c>
      <c r="N97" s="75" t="s">
        <v>4281</v>
      </c>
      <c r="O97" s="20" t="s">
        <v>2557</v>
      </c>
      <c r="P97" s="14" t="s">
        <v>2651</v>
      </c>
      <c r="Q97" s="3">
        <v>515.89</v>
      </c>
      <c r="R97" s="3">
        <v>628.91999999999996</v>
      </c>
      <c r="S97" s="18" t="s">
        <v>2652</v>
      </c>
      <c r="T97" s="12"/>
    </row>
    <row r="98" spans="1:20" x14ac:dyDescent="0.25">
      <c r="A98" s="18" t="s">
        <v>2653</v>
      </c>
      <c r="B98" s="11" t="s">
        <v>2654</v>
      </c>
      <c r="C98" s="4" t="str">
        <f t="shared" si="1"/>
        <v>ASRock</v>
      </c>
      <c r="D98" s="14" t="s">
        <v>4242</v>
      </c>
      <c r="E98" s="11" t="s">
        <v>351</v>
      </c>
      <c r="F98" s="76" t="s">
        <v>8778</v>
      </c>
      <c r="G98" s="12" t="s">
        <v>407</v>
      </c>
      <c r="H98" s="12">
        <v>256</v>
      </c>
      <c r="I98" s="12">
        <v>8200</v>
      </c>
      <c r="J98" s="12">
        <v>4</v>
      </c>
      <c r="K98" s="12">
        <v>2</v>
      </c>
      <c r="L98" s="75" t="s">
        <v>4280</v>
      </c>
      <c r="M98" s="75" t="s">
        <v>4247</v>
      </c>
      <c r="N98" s="75" t="s">
        <v>4281</v>
      </c>
      <c r="O98" s="20" t="s">
        <v>2557</v>
      </c>
      <c r="P98" s="14" t="s">
        <v>2651</v>
      </c>
      <c r="Q98" s="3">
        <v>449.38</v>
      </c>
      <c r="R98" s="3">
        <v>535.66</v>
      </c>
      <c r="S98" s="18" t="s">
        <v>2655</v>
      </c>
      <c r="T98" s="12"/>
    </row>
    <row r="99" spans="1:20" x14ac:dyDescent="0.25">
      <c r="A99" s="18" t="s">
        <v>2656</v>
      </c>
      <c r="B99" s="11" t="s">
        <v>2657</v>
      </c>
      <c r="C99" s="4" t="str">
        <f t="shared" si="1"/>
        <v>ASRock</v>
      </c>
      <c r="D99" s="14" t="s">
        <v>4242</v>
      </c>
      <c r="E99" s="11" t="s">
        <v>352</v>
      </c>
      <c r="F99" s="76" t="s">
        <v>8789</v>
      </c>
      <c r="G99" s="12" t="s">
        <v>407</v>
      </c>
      <c r="H99" s="12">
        <v>128</v>
      </c>
      <c r="I99" s="12">
        <v>6400</v>
      </c>
      <c r="J99" s="12">
        <v>4</v>
      </c>
      <c r="K99" s="12">
        <v>2</v>
      </c>
      <c r="L99" s="75" t="s">
        <v>4282</v>
      </c>
      <c r="M99" s="75" t="s">
        <v>4256</v>
      </c>
      <c r="N99" s="75" t="s">
        <v>4283</v>
      </c>
      <c r="O99" s="20" t="s">
        <v>2658</v>
      </c>
      <c r="P99" s="14" t="s">
        <v>450</v>
      </c>
      <c r="Q99" s="3">
        <v>1216.2</v>
      </c>
      <c r="R99" s="3">
        <v>1228.07</v>
      </c>
      <c r="S99" s="18" t="s">
        <v>2659</v>
      </c>
      <c r="T99" s="12"/>
    </row>
    <row r="100" spans="1:20" x14ac:dyDescent="0.25">
      <c r="A100" s="18" t="s">
        <v>2660</v>
      </c>
      <c r="B100" s="11" t="s">
        <v>2661</v>
      </c>
      <c r="C100" s="4" t="str">
        <f t="shared" si="1"/>
        <v>ASRock</v>
      </c>
      <c r="D100" s="14" t="s">
        <v>2336</v>
      </c>
      <c r="E100" s="11" t="s">
        <v>352</v>
      </c>
      <c r="F100" s="76" t="s">
        <v>8789</v>
      </c>
      <c r="G100" s="12" t="s">
        <v>406</v>
      </c>
      <c r="H100" s="12">
        <v>128</v>
      </c>
      <c r="I100" s="12">
        <v>5000</v>
      </c>
      <c r="J100" s="12">
        <v>4</v>
      </c>
      <c r="K100" s="12">
        <v>2</v>
      </c>
      <c r="L100" s="75" t="s">
        <v>4270</v>
      </c>
      <c r="M100" s="75" t="s">
        <v>4256</v>
      </c>
      <c r="N100" s="75" t="s">
        <v>4284</v>
      </c>
      <c r="O100" s="20" t="s">
        <v>2662</v>
      </c>
      <c r="P100" s="14" t="s">
        <v>450</v>
      </c>
      <c r="Q100" s="3">
        <v>161.68</v>
      </c>
      <c r="R100" s="3">
        <v>254.63</v>
      </c>
      <c r="S100" s="18" t="s">
        <v>2663</v>
      </c>
      <c r="T100" s="12"/>
    </row>
    <row r="101" spans="1:20" x14ac:dyDescent="0.25">
      <c r="A101" s="18" t="s">
        <v>2664</v>
      </c>
      <c r="B101" s="11" t="s">
        <v>2665</v>
      </c>
      <c r="C101" s="4" t="str">
        <f t="shared" si="1"/>
        <v>ASRock</v>
      </c>
      <c r="D101" s="14" t="s">
        <v>2336</v>
      </c>
      <c r="E101" s="11" t="s">
        <v>352</v>
      </c>
      <c r="F101" s="76" t="s">
        <v>8789</v>
      </c>
      <c r="G101" s="12" t="s">
        <v>406</v>
      </c>
      <c r="H101" s="12">
        <v>128</v>
      </c>
      <c r="I101" s="12">
        <v>4800</v>
      </c>
      <c r="J101" s="12">
        <v>4</v>
      </c>
      <c r="K101" s="12">
        <v>2</v>
      </c>
      <c r="L101" s="75" t="s">
        <v>4274</v>
      </c>
      <c r="M101" s="75" t="s">
        <v>4275</v>
      </c>
      <c r="N101" s="75" t="s">
        <v>4276</v>
      </c>
      <c r="O101" s="20" t="s">
        <v>2666</v>
      </c>
      <c r="P101" s="14" t="s">
        <v>450</v>
      </c>
      <c r="Q101" s="3">
        <v>115.53</v>
      </c>
      <c r="R101" s="3">
        <v>225.65</v>
      </c>
      <c r="S101" s="18" t="s">
        <v>2667</v>
      </c>
      <c r="T101" s="12"/>
    </row>
    <row r="102" spans="1:20" x14ac:dyDescent="0.25">
      <c r="A102" s="18" t="s">
        <v>2668</v>
      </c>
      <c r="B102" s="11" t="s">
        <v>2669</v>
      </c>
      <c r="C102" s="4" t="str">
        <f t="shared" si="1"/>
        <v>ASRock</v>
      </c>
      <c r="D102" s="14" t="s">
        <v>2336</v>
      </c>
      <c r="E102" s="11" t="s">
        <v>352</v>
      </c>
      <c r="F102" s="76" t="s">
        <v>8789</v>
      </c>
      <c r="G102" s="12" t="s">
        <v>406</v>
      </c>
      <c r="H102" s="12">
        <v>128</v>
      </c>
      <c r="I102" s="12">
        <v>5000</v>
      </c>
      <c r="J102" s="12">
        <v>4</v>
      </c>
      <c r="K102" s="12">
        <v>2</v>
      </c>
      <c r="L102" s="75" t="s">
        <v>4274</v>
      </c>
      <c r="M102" s="75" t="s">
        <v>4275</v>
      </c>
      <c r="N102" s="75" t="s">
        <v>4276</v>
      </c>
      <c r="O102" s="20" t="s">
        <v>2569</v>
      </c>
      <c r="P102" s="14" t="s">
        <v>450</v>
      </c>
      <c r="Q102" s="3">
        <v>199.9</v>
      </c>
      <c r="R102" s="3">
        <v>229.9</v>
      </c>
      <c r="S102" s="18" t="s">
        <v>2670</v>
      </c>
      <c r="T102" s="12"/>
    </row>
    <row r="103" spans="1:20" x14ac:dyDescent="0.25">
      <c r="A103" s="18" t="s">
        <v>2671</v>
      </c>
      <c r="B103" s="11" t="s">
        <v>2672</v>
      </c>
      <c r="C103" s="4" t="str">
        <f t="shared" si="1"/>
        <v>ASRock</v>
      </c>
      <c r="D103" s="14" t="s">
        <v>2336</v>
      </c>
      <c r="E103" s="11" t="s">
        <v>352</v>
      </c>
      <c r="F103" s="76" t="s">
        <v>8789</v>
      </c>
      <c r="G103" s="12" t="s">
        <v>406</v>
      </c>
      <c r="H103" s="12">
        <v>128</v>
      </c>
      <c r="I103" s="12">
        <v>5000</v>
      </c>
      <c r="J103" s="12">
        <v>4</v>
      </c>
      <c r="K103" s="12">
        <v>2</v>
      </c>
      <c r="L103" s="75" t="s">
        <v>4274</v>
      </c>
      <c r="M103" s="75" t="s">
        <v>4285</v>
      </c>
      <c r="N103" s="75" t="s">
        <v>4286</v>
      </c>
      <c r="O103" s="20" t="s">
        <v>2673</v>
      </c>
      <c r="P103" s="14" t="s">
        <v>450</v>
      </c>
      <c r="Q103" s="3">
        <v>151.47</v>
      </c>
      <c r="R103" s="3">
        <v>371.39</v>
      </c>
      <c r="S103" s="18" t="s">
        <v>2674</v>
      </c>
      <c r="T103" s="12"/>
    </row>
    <row r="104" spans="1:20" x14ac:dyDescent="0.25">
      <c r="A104" s="18" t="s">
        <v>2675</v>
      </c>
      <c r="B104" s="11" t="s">
        <v>2676</v>
      </c>
      <c r="C104" s="4" t="str">
        <f t="shared" si="1"/>
        <v>ASRock</v>
      </c>
      <c r="D104" s="14" t="s">
        <v>2294</v>
      </c>
      <c r="E104" s="11" t="s">
        <v>352</v>
      </c>
      <c r="F104" s="76" t="s">
        <v>8789</v>
      </c>
      <c r="G104" s="12" t="s">
        <v>406</v>
      </c>
      <c r="H104" s="12">
        <v>128</v>
      </c>
      <c r="I104" s="12">
        <v>4800</v>
      </c>
      <c r="J104" s="12">
        <v>4</v>
      </c>
      <c r="K104" s="12">
        <v>2</v>
      </c>
      <c r="L104" s="75" t="s">
        <v>4250</v>
      </c>
      <c r="M104" s="75" t="s">
        <v>4244</v>
      </c>
      <c r="N104" s="75" t="s">
        <v>4254</v>
      </c>
      <c r="O104" s="20" t="s">
        <v>2574</v>
      </c>
      <c r="P104" s="14" t="s">
        <v>450</v>
      </c>
      <c r="Q104" s="3">
        <v>186.47</v>
      </c>
      <c r="R104" s="3">
        <v>309.01</v>
      </c>
      <c r="S104" s="18" t="s">
        <v>2677</v>
      </c>
      <c r="T104" s="12"/>
    </row>
    <row r="105" spans="1:20" x14ac:dyDescent="0.25">
      <c r="A105" s="18" t="s">
        <v>2678</v>
      </c>
      <c r="B105" s="11" t="s">
        <v>2679</v>
      </c>
      <c r="C105" s="4" t="str">
        <f t="shared" si="1"/>
        <v>ASRock</v>
      </c>
      <c r="D105" s="14" t="s">
        <v>2336</v>
      </c>
      <c r="E105" s="11" t="s">
        <v>352</v>
      </c>
      <c r="F105" s="76" t="s">
        <v>8787</v>
      </c>
      <c r="G105" s="12" t="s">
        <v>407</v>
      </c>
      <c r="H105" s="12">
        <v>192</v>
      </c>
      <c r="I105" s="12">
        <v>7200</v>
      </c>
      <c r="J105" s="12">
        <v>4</v>
      </c>
      <c r="K105" s="12">
        <v>2</v>
      </c>
      <c r="L105" s="75" t="s">
        <v>4287</v>
      </c>
      <c r="M105" s="75" t="s">
        <v>4256</v>
      </c>
      <c r="N105" s="75" t="s">
        <v>4284</v>
      </c>
      <c r="O105" s="20" t="s">
        <v>2680</v>
      </c>
      <c r="P105" s="14" t="s">
        <v>2681</v>
      </c>
      <c r="Q105" s="3">
        <v>226.52</v>
      </c>
      <c r="R105" s="3">
        <v>738.9</v>
      </c>
      <c r="S105" s="18" t="s">
        <v>2682</v>
      </c>
      <c r="T105" s="12"/>
    </row>
    <row r="106" spans="1:20" x14ac:dyDescent="0.25">
      <c r="A106" s="18" t="s">
        <v>2683</v>
      </c>
      <c r="B106" s="11" t="s">
        <v>2684</v>
      </c>
      <c r="C106" s="4" t="str">
        <f t="shared" si="1"/>
        <v>ASRock</v>
      </c>
      <c r="D106" s="14" t="s">
        <v>2336</v>
      </c>
      <c r="E106" s="11" t="s">
        <v>352</v>
      </c>
      <c r="F106" s="76" t="s">
        <v>8787</v>
      </c>
      <c r="G106" s="12" t="s">
        <v>407</v>
      </c>
      <c r="H106" s="12">
        <v>192</v>
      </c>
      <c r="I106" s="12">
        <v>8000</v>
      </c>
      <c r="J106" s="12">
        <v>4</v>
      </c>
      <c r="K106" s="12">
        <v>2</v>
      </c>
      <c r="L106" s="75" t="s">
        <v>4267</v>
      </c>
      <c r="M106" s="75" t="s">
        <v>4244</v>
      </c>
      <c r="N106" s="75" t="s">
        <v>4254</v>
      </c>
      <c r="O106" s="20" t="s">
        <v>2685</v>
      </c>
      <c r="P106" s="14" t="s">
        <v>2681</v>
      </c>
      <c r="Q106" s="3">
        <v>320.60000000000002</v>
      </c>
      <c r="R106" s="3">
        <v>586</v>
      </c>
      <c r="S106" s="18" t="s">
        <v>2686</v>
      </c>
      <c r="T106" s="12"/>
    </row>
    <row r="107" spans="1:20" x14ac:dyDescent="0.25">
      <c r="A107" s="18" t="s">
        <v>2687</v>
      </c>
      <c r="B107" s="11" t="s">
        <v>2688</v>
      </c>
      <c r="C107" s="4" t="str">
        <f t="shared" si="1"/>
        <v>ASRock</v>
      </c>
      <c r="D107" s="14" t="s">
        <v>2336</v>
      </c>
      <c r="E107" s="11" t="s">
        <v>352</v>
      </c>
      <c r="F107" s="76" t="s">
        <v>8787</v>
      </c>
      <c r="G107" s="12" t="s">
        <v>407</v>
      </c>
      <c r="H107" s="12">
        <v>192</v>
      </c>
      <c r="I107" s="12">
        <v>7200</v>
      </c>
      <c r="J107" s="12">
        <v>4</v>
      </c>
      <c r="K107" s="12">
        <v>2</v>
      </c>
      <c r="L107" s="75" t="s">
        <v>4267</v>
      </c>
      <c r="M107" s="75" t="s">
        <v>4244</v>
      </c>
      <c r="N107" s="75" t="s">
        <v>4254</v>
      </c>
      <c r="O107" s="20" t="s">
        <v>2689</v>
      </c>
      <c r="P107" s="14" t="s">
        <v>2690</v>
      </c>
      <c r="Q107" s="3">
        <v>212.21</v>
      </c>
      <c r="R107" s="3">
        <v>285</v>
      </c>
      <c r="S107" s="18" t="s">
        <v>2691</v>
      </c>
      <c r="T107" s="12"/>
    </row>
    <row r="108" spans="1:20" x14ac:dyDescent="0.25">
      <c r="A108" s="18" t="s">
        <v>2692</v>
      </c>
      <c r="B108" s="11" t="s">
        <v>2693</v>
      </c>
      <c r="C108" s="4" t="str">
        <f t="shared" si="1"/>
        <v>ASRock</v>
      </c>
      <c r="D108" s="14" t="s">
        <v>2336</v>
      </c>
      <c r="E108" s="11" t="s">
        <v>352</v>
      </c>
      <c r="F108" s="76" t="s">
        <v>8787</v>
      </c>
      <c r="G108" s="12" t="s">
        <v>407</v>
      </c>
      <c r="H108" s="12">
        <v>192</v>
      </c>
      <c r="I108" s="12">
        <v>7200</v>
      </c>
      <c r="J108" s="12">
        <v>4</v>
      </c>
      <c r="K108" s="12">
        <v>2</v>
      </c>
      <c r="L108" s="75" t="s">
        <v>4267</v>
      </c>
      <c r="M108" s="75" t="s">
        <v>4244</v>
      </c>
      <c r="N108" s="75" t="s">
        <v>4254</v>
      </c>
      <c r="O108" s="20" t="s">
        <v>2694</v>
      </c>
      <c r="P108" s="14" t="s">
        <v>2690</v>
      </c>
      <c r="Q108" s="3">
        <v>237.11</v>
      </c>
      <c r="R108" s="3">
        <v>538.79</v>
      </c>
      <c r="S108" s="18" t="s">
        <v>2695</v>
      </c>
      <c r="T108" s="12"/>
    </row>
    <row r="109" spans="1:20" x14ac:dyDescent="0.25">
      <c r="A109" s="18" t="s">
        <v>2696</v>
      </c>
      <c r="B109" s="11" t="s">
        <v>2697</v>
      </c>
      <c r="C109" s="4" t="str">
        <f t="shared" si="1"/>
        <v>ASRock</v>
      </c>
      <c r="D109" s="14" t="s">
        <v>2311</v>
      </c>
      <c r="E109" s="11" t="s">
        <v>352</v>
      </c>
      <c r="F109" s="76" t="s">
        <v>8787</v>
      </c>
      <c r="G109" s="12" t="s">
        <v>407</v>
      </c>
      <c r="H109" s="12">
        <v>96</v>
      </c>
      <c r="I109" s="12">
        <v>7000</v>
      </c>
      <c r="J109" s="12">
        <v>2</v>
      </c>
      <c r="K109" s="12">
        <v>2</v>
      </c>
      <c r="L109" s="75">
        <v>5</v>
      </c>
      <c r="M109" s="75">
        <v>16</v>
      </c>
      <c r="N109" s="75">
        <v>16</v>
      </c>
      <c r="O109" s="20" t="s">
        <v>2698</v>
      </c>
      <c r="P109" s="14" t="s">
        <v>2605</v>
      </c>
      <c r="Q109" s="3">
        <v>322.52999999999997</v>
      </c>
      <c r="R109" s="3">
        <v>428.77</v>
      </c>
      <c r="S109" s="18" t="s">
        <v>2699</v>
      </c>
      <c r="T109" s="12"/>
    </row>
    <row r="110" spans="1:20" x14ac:dyDescent="0.25">
      <c r="A110" s="18" t="s">
        <v>2700</v>
      </c>
      <c r="B110" s="11" t="s">
        <v>2701</v>
      </c>
      <c r="C110" s="4" t="str">
        <f t="shared" si="1"/>
        <v>ASRock</v>
      </c>
      <c r="D110" s="14" t="s">
        <v>2336</v>
      </c>
      <c r="E110" s="11" t="s">
        <v>352</v>
      </c>
      <c r="F110" s="76" t="s">
        <v>8787</v>
      </c>
      <c r="G110" s="12" t="s">
        <v>407</v>
      </c>
      <c r="H110" s="12">
        <v>192</v>
      </c>
      <c r="I110" s="12">
        <v>7200</v>
      </c>
      <c r="J110" s="12">
        <v>4</v>
      </c>
      <c r="K110" s="12">
        <v>2</v>
      </c>
      <c r="L110" s="75" t="s">
        <v>4270</v>
      </c>
      <c r="M110" s="75" t="s">
        <v>4258</v>
      </c>
      <c r="N110" s="75" t="s">
        <v>4257</v>
      </c>
      <c r="O110" s="20" t="s">
        <v>2702</v>
      </c>
      <c r="P110" s="14" t="s">
        <v>2690</v>
      </c>
      <c r="Q110" s="3">
        <v>191.58</v>
      </c>
      <c r="R110" s="3">
        <v>270.02999999999997</v>
      </c>
      <c r="S110" s="18" t="s">
        <v>2703</v>
      </c>
      <c r="T110" s="12"/>
    </row>
    <row r="111" spans="1:20" x14ac:dyDescent="0.25">
      <c r="A111" s="18" t="s">
        <v>2704</v>
      </c>
      <c r="B111" s="11" t="s">
        <v>2705</v>
      </c>
      <c r="C111" s="4" t="str">
        <f t="shared" si="1"/>
        <v>ASRock</v>
      </c>
      <c r="D111" s="14" t="s">
        <v>2336</v>
      </c>
      <c r="E111" s="11" t="s">
        <v>352</v>
      </c>
      <c r="F111" s="76" t="s">
        <v>8787</v>
      </c>
      <c r="G111" s="12" t="s">
        <v>407</v>
      </c>
      <c r="H111" s="12">
        <v>192</v>
      </c>
      <c r="I111" s="12">
        <v>7200</v>
      </c>
      <c r="J111" s="12">
        <v>4</v>
      </c>
      <c r="K111" s="12">
        <v>2</v>
      </c>
      <c r="L111" s="75" t="s">
        <v>4270</v>
      </c>
      <c r="M111" s="75" t="s">
        <v>4258</v>
      </c>
      <c r="N111" s="75" t="s">
        <v>4257</v>
      </c>
      <c r="O111" s="20" t="s">
        <v>2706</v>
      </c>
      <c r="P111" s="14" t="s">
        <v>2690</v>
      </c>
      <c r="Q111" s="3">
        <v>212.42</v>
      </c>
      <c r="R111" s="3">
        <v>294.7</v>
      </c>
      <c r="S111" s="18" t="s">
        <v>2707</v>
      </c>
      <c r="T111" s="12"/>
    </row>
    <row r="112" spans="1:20" x14ac:dyDescent="0.25">
      <c r="A112" s="18" t="s">
        <v>2708</v>
      </c>
      <c r="B112" s="11" t="s">
        <v>2709</v>
      </c>
      <c r="C112" s="4" t="str">
        <f t="shared" si="1"/>
        <v>ASRock</v>
      </c>
      <c r="D112" s="14" t="s">
        <v>2336</v>
      </c>
      <c r="E112" s="11" t="s">
        <v>352</v>
      </c>
      <c r="F112" s="76" t="s">
        <v>8787</v>
      </c>
      <c r="G112" s="12" t="s">
        <v>407</v>
      </c>
      <c r="H112" s="12">
        <v>192</v>
      </c>
      <c r="I112" s="12">
        <v>8000</v>
      </c>
      <c r="J112" s="12">
        <v>4</v>
      </c>
      <c r="K112" s="12">
        <v>2</v>
      </c>
      <c r="L112" s="75" t="s">
        <v>4267</v>
      </c>
      <c r="M112" s="75" t="s">
        <v>4244</v>
      </c>
      <c r="N112" s="75" t="s">
        <v>4254</v>
      </c>
      <c r="O112" s="20" t="s">
        <v>2710</v>
      </c>
      <c r="P112" s="14" t="s">
        <v>2690</v>
      </c>
      <c r="Q112" s="3">
        <v>219.99</v>
      </c>
      <c r="R112" s="3">
        <v>463.21</v>
      </c>
      <c r="S112" s="18" t="s">
        <v>2711</v>
      </c>
      <c r="T112" s="12"/>
    </row>
    <row r="113" spans="1:20" x14ac:dyDescent="0.25">
      <c r="A113" s="18" t="s">
        <v>2712</v>
      </c>
      <c r="B113" s="11" t="s">
        <v>2713</v>
      </c>
      <c r="C113" s="4" t="str">
        <f t="shared" si="1"/>
        <v>ASRock</v>
      </c>
      <c r="D113" s="14" t="s">
        <v>2336</v>
      </c>
      <c r="E113" s="11" t="s">
        <v>352</v>
      </c>
      <c r="F113" s="76" t="s">
        <v>8787</v>
      </c>
      <c r="G113" s="12" t="s">
        <v>407</v>
      </c>
      <c r="H113" s="12">
        <v>192</v>
      </c>
      <c r="I113" s="12">
        <v>7200</v>
      </c>
      <c r="J113" s="12">
        <v>4</v>
      </c>
      <c r="K113" s="12">
        <v>2</v>
      </c>
      <c r="L113" s="75" t="s">
        <v>4267</v>
      </c>
      <c r="M113" s="75" t="s">
        <v>4261</v>
      </c>
      <c r="N113" s="75" t="s">
        <v>4288</v>
      </c>
      <c r="O113" s="20" t="s">
        <v>2714</v>
      </c>
      <c r="P113" s="14" t="s">
        <v>2690</v>
      </c>
      <c r="Q113" s="3">
        <v>247.43</v>
      </c>
      <c r="R113" s="3">
        <v>452</v>
      </c>
      <c r="S113" s="18" t="s">
        <v>2715</v>
      </c>
      <c r="T113" s="12"/>
    </row>
    <row r="114" spans="1:20" x14ac:dyDescent="0.25">
      <c r="A114" s="18" t="s">
        <v>2716</v>
      </c>
      <c r="B114" s="11" t="s">
        <v>2717</v>
      </c>
      <c r="C114" s="4" t="str">
        <f t="shared" si="1"/>
        <v>ASRock</v>
      </c>
      <c r="D114" s="14" t="s">
        <v>4242</v>
      </c>
      <c r="E114" s="11" t="s">
        <v>352</v>
      </c>
      <c r="F114" s="76" t="s">
        <v>8787</v>
      </c>
      <c r="G114" s="12" t="s">
        <v>407</v>
      </c>
      <c r="H114" s="12">
        <v>192</v>
      </c>
      <c r="I114" s="12">
        <v>7200</v>
      </c>
      <c r="J114" s="12">
        <v>4</v>
      </c>
      <c r="K114" s="12">
        <v>2</v>
      </c>
      <c r="L114" s="75" t="s">
        <v>4289</v>
      </c>
      <c r="M114" s="75" t="s">
        <v>4261</v>
      </c>
      <c r="N114" s="75" t="s">
        <v>4290</v>
      </c>
      <c r="O114" s="20" t="s">
        <v>2718</v>
      </c>
      <c r="P114" s="14" t="s">
        <v>2690</v>
      </c>
      <c r="Q114" s="3">
        <v>455.79</v>
      </c>
      <c r="R114" s="3">
        <v>631.38</v>
      </c>
      <c r="S114" s="18" t="s">
        <v>2719</v>
      </c>
      <c r="T114" s="12"/>
    </row>
    <row r="115" spans="1:20" x14ac:dyDescent="0.25">
      <c r="A115" s="18" t="s">
        <v>2720</v>
      </c>
      <c r="B115" s="11" t="s">
        <v>2721</v>
      </c>
      <c r="C115" s="4" t="str">
        <f t="shared" si="1"/>
        <v>ASRock</v>
      </c>
      <c r="D115" s="14" t="s">
        <v>4242</v>
      </c>
      <c r="E115" s="11" t="s">
        <v>352</v>
      </c>
      <c r="F115" s="76" t="s">
        <v>8787</v>
      </c>
      <c r="G115" s="12" t="s">
        <v>407</v>
      </c>
      <c r="H115" s="12">
        <v>192</v>
      </c>
      <c r="I115" s="12">
        <v>7400</v>
      </c>
      <c r="J115" s="12">
        <v>4</v>
      </c>
      <c r="K115" s="12">
        <v>2</v>
      </c>
      <c r="L115" s="75" t="s">
        <v>4289</v>
      </c>
      <c r="M115" s="75" t="s">
        <v>4261</v>
      </c>
      <c r="N115" s="75" t="s">
        <v>4290</v>
      </c>
      <c r="O115" s="20" t="s">
        <v>2718</v>
      </c>
      <c r="P115" s="14" t="s">
        <v>2690</v>
      </c>
      <c r="Q115" s="3">
        <v>482.11</v>
      </c>
      <c r="R115" s="3">
        <v>645.75</v>
      </c>
      <c r="S115" s="18" t="s">
        <v>2722</v>
      </c>
      <c r="T115" s="12"/>
    </row>
    <row r="116" spans="1:20" x14ac:dyDescent="0.25">
      <c r="A116" s="18" t="s">
        <v>2723</v>
      </c>
      <c r="B116" s="11" t="s">
        <v>2724</v>
      </c>
      <c r="C116" s="4" t="str">
        <f t="shared" si="1"/>
        <v>ASRock</v>
      </c>
      <c r="D116" s="14" t="s">
        <v>2294</v>
      </c>
      <c r="E116" s="11" t="s">
        <v>352</v>
      </c>
      <c r="F116" s="76" t="s">
        <v>8787</v>
      </c>
      <c r="G116" s="12" t="s">
        <v>406</v>
      </c>
      <c r="H116" s="12">
        <v>128</v>
      </c>
      <c r="I116" s="12">
        <v>5333</v>
      </c>
      <c r="J116" s="12">
        <v>4</v>
      </c>
      <c r="K116" s="12">
        <v>2</v>
      </c>
      <c r="L116" s="75" t="s">
        <v>4250</v>
      </c>
      <c r="M116" s="75" t="s">
        <v>4244</v>
      </c>
      <c r="N116" s="75" t="s">
        <v>4254</v>
      </c>
      <c r="O116" s="20" t="s">
        <v>2574</v>
      </c>
      <c r="P116" s="14" t="s">
        <v>2681</v>
      </c>
      <c r="Q116" s="3">
        <v>148.9</v>
      </c>
      <c r="R116" s="3">
        <v>251.45</v>
      </c>
      <c r="S116" s="18" t="s">
        <v>2725</v>
      </c>
      <c r="T116" s="12"/>
    </row>
    <row r="117" spans="1:20" x14ac:dyDescent="0.25">
      <c r="A117" s="18" t="s">
        <v>2726</v>
      </c>
      <c r="B117" s="11" t="s">
        <v>2727</v>
      </c>
      <c r="C117" s="4" t="str">
        <f t="shared" si="1"/>
        <v>ASRock</v>
      </c>
      <c r="D117" s="14" t="s">
        <v>2311</v>
      </c>
      <c r="E117" s="11" t="s">
        <v>352</v>
      </c>
      <c r="F117" s="76" t="s">
        <v>8787</v>
      </c>
      <c r="G117" s="12" t="s">
        <v>407</v>
      </c>
      <c r="H117" s="12">
        <v>96</v>
      </c>
      <c r="I117" s="12">
        <v>7000</v>
      </c>
      <c r="J117" s="12">
        <v>2</v>
      </c>
      <c r="K117" s="12">
        <v>2</v>
      </c>
      <c r="L117" s="75">
        <v>5</v>
      </c>
      <c r="M117" s="75">
        <v>16</v>
      </c>
      <c r="N117" s="75">
        <v>16</v>
      </c>
      <c r="O117" s="20" t="s">
        <v>2728</v>
      </c>
      <c r="P117" s="14" t="s">
        <v>2681</v>
      </c>
      <c r="Q117" s="3">
        <v>197.17</v>
      </c>
      <c r="R117" s="3">
        <v>279</v>
      </c>
      <c r="S117" s="18" t="s">
        <v>2729</v>
      </c>
      <c r="T117" s="12"/>
    </row>
    <row r="118" spans="1:20" x14ac:dyDescent="0.25">
      <c r="A118" s="18" t="s">
        <v>2730</v>
      </c>
      <c r="B118" s="11" t="s">
        <v>2731</v>
      </c>
      <c r="C118" s="4" t="str">
        <f t="shared" si="1"/>
        <v>ASRock</v>
      </c>
      <c r="D118" s="14" t="s">
        <v>2336</v>
      </c>
      <c r="E118" s="11" t="s">
        <v>398</v>
      </c>
      <c r="F118" s="76" t="s">
        <v>8788</v>
      </c>
      <c r="G118" s="12" t="s">
        <v>407</v>
      </c>
      <c r="H118" s="12">
        <v>256</v>
      </c>
      <c r="I118" s="12">
        <v>9066</v>
      </c>
      <c r="J118" s="12">
        <v>4</v>
      </c>
      <c r="K118" s="12">
        <v>2</v>
      </c>
      <c r="L118" s="75" t="s">
        <v>4272</v>
      </c>
      <c r="M118" s="75" t="s">
        <v>4261</v>
      </c>
      <c r="N118" s="75" t="s">
        <v>4273</v>
      </c>
      <c r="O118" s="20" t="s">
        <v>2732</v>
      </c>
      <c r="P118" s="14" t="s">
        <v>2610</v>
      </c>
      <c r="Q118" s="3">
        <v>249.38</v>
      </c>
      <c r="R118" s="3">
        <v>337.69</v>
      </c>
      <c r="S118" s="18" t="s">
        <v>2733</v>
      </c>
      <c r="T118" s="12"/>
    </row>
    <row r="119" spans="1:20" x14ac:dyDescent="0.25">
      <c r="A119" s="18" t="s">
        <v>2734</v>
      </c>
      <c r="B119" s="11" t="s">
        <v>2735</v>
      </c>
      <c r="C119" s="4" t="str">
        <f t="shared" si="1"/>
        <v>ASRock</v>
      </c>
      <c r="D119" s="14" t="s">
        <v>2336</v>
      </c>
      <c r="E119" s="11" t="s">
        <v>398</v>
      </c>
      <c r="F119" s="76" t="s">
        <v>8788</v>
      </c>
      <c r="G119" s="12" t="s">
        <v>407</v>
      </c>
      <c r="H119" s="12">
        <v>256</v>
      </c>
      <c r="I119" s="12">
        <v>8666</v>
      </c>
      <c r="J119" s="12">
        <v>4</v>
      </c>
      <c r="K119" s="12">
        <v>2</v>
      </c>
      <c r="L119" s="75" t="s">
        <v>4279</v>
      </c>
      <c r="M119" s="75" t="s">
        <v>4284</v>
      </c>
      <c r="N119" s="75" t="s">
        <v>4284</v>
      </c>
      <c r="O119" s="20" t="s">
        <v>2736</v>
      </c>
      <c r="P119" s="14" t="s">
        <v>2610</v>
      </c>
      <c r="Q119" s="3">
        <v>231.43</v>
      </c>
      <c r="R119" s="3">
        <v>334.77</v>
      </c>
      <c r="S119" s="18" t="s">
        <v>2737</v>
      </c>
      <c r="T119" s="12"/>
    </row>
    <row r="120" spans="1:20" x14ac:dyDescent="0.25">
      <c r="A120" s="18" t="s">
        <v>2738</v>
      </c>
      <c r="B120" s="11" t="s">
        <v>2739</v>
      </c>
      <c r="C120" s="4" t="str">
        <f t="shared" si="1"/>
        <v>ASRock</v>
      </c>
      <c r="D120" s="14" t="s">
        <v>2336</v>
      </c>
      <c r="E120" s="11" t="s">
        <v>398</v>
      </c>
      <c r="F120" s="76" t="s">
        <v>8788</v>
      </c>
      <c r="G120" s="12" t="s">
        <v>407</v>
      </c>
      <c r="H120" s="12">
        <v>256</v>
      </c>
      <c r="I120" s="12">
        <v>8666</v>
      </c>
      <c r="J120" s="12">
        <v>4</v>
      </c>
      <c r="K120" s="12">
        <v>2</v>
      </c>
      <c r="L120" s="75" t="s">
        <v>4279</v>
      </c>
      <c r="M120" s="75" t="s">
        <v>4284</v>
      </c>
      <c r="N120" s="75" t="s">
        <v>4284</v>
      </c>
      <c r="O120" s="20" t="s">
        <v>2740</v>
      </c>
      <c r="P120" s="14" t="s">
        <v>2610</v>
      </c>
      <c r="Q120" s="3">
        <v>236</v>
      </c>
      <c r="R120" s="3">
        <v>296.95</v>
      </c>
      <c r="S120" s="18" t="s">
        <v>2741</v>
      </c>
      <c r="T120" s="12"/>
    </row>
    <row r="121" spans="1:20" x14ac:dyDescent="0.25">
      <c r="A121" s="18" t="s">
        <v>2742</v>
      </c>
      <c r="B121" s="11" t="s">
        <v>2743</v>
      </c>
      <c r="C121" s="4" t="str">
        <f t="shared" si="1"/>
        <v>ASRock</v>
      </c>
      <c r="D121" s="14" t="s">
        <v>2336</v>
      </c>
      <c r="E121" s="11" t="s">
        <v>398</v>
      </c>
      <c r="F121" s="76" t="s">
        <v>8788</v>
      </c>
      <c r="G121" s="12" t="s">
        <v>407</v>
      </c>
      <c r="H121" s="12">
        <v>256</v>
      </c>
      <c r="I121" s="12">
        <v>8666</v>
      </c>
      <c r="J121" s="12">
        <v>4</v>
      </c>
      <c r="K121" s="12">
        <v>2</v>
      </c>
      <c r="L121" s="75" t="s">
        <v>4279</v>
      </c>
      <c r="M121" s="75" t="s">
        <v>4284</v>
      </c>
      <c r="N121" s="75" t="s">
        <v>4284</v>
      </c>
      <c r="O121" s="20" t="s">
        <v>2736</v>
      </c>
      <c r="P121" s="14" t="s">
        <v>2610</v>
      </c>
      <c r="Q121" s="3">
        <v>203.45</v>
      </c>
      <c r="R121" s="3">
        <v>241.43</v>
      </c>
      <c r="S121" s="18" t="s">
        <v>2744</v>
      </c>
      <c r="T121" s="12"/>
    </row>
    <row r="122" spans="1:20" x14ac:dyDescent="0.25">
      <c r="A122" s="18" t="s">
        <v>2745</v>
      </c>
      <c r="B122" s="11" t="s">
        <v>2746</v>
      </c>
      <c r="C122" s="4" t="str">
        <f t="shared" si="1"/>
        <v>ASRock</v>
      </c>
      <c r="D122" s="14" t="s">
        <v>2336</v>
      </c>
      <c r="E122" s="11" t="s">
        <v>398</v>
      </c>
      <c r="F122" s="76" t="s">
        <v>8788</v>
      </c>
      <c r="G122" s="12" t="s">
        <v>407</v>
      </c>
      <c r="H122" s="12">
        <v>256</v>
      </c>
      <c r="I122" s="12">
        <v>8666</v>
      </c>
      <c r="J122" s="12">
        <v>4</v>
      </c>
      <c r="K122" s="12">
        <v>2</v>
      </c>
      <c r="L122" s="75" t="s">
        <v>4279</v>
      </c>
      <c r="M122" s="75" t="s">
        <v>4284</v>
      </c>
      <c r="N122" s="75" t="s">
        <v>4284</v>
      </c>
      <c r="O122" s="20" t="s">
        <v>2740</v>
      </c>
      <c r="P122" s="14" t="s">
        <v>2610</v>
      </c>
      <c r="Q122" s="3">
        <v>217.54</v>
      </c>
      <c r="R122" s="3">
        <v>273.77999999999997</v>
      </c>
      <c r="S122" s="18" t="s">
        <v>2747</v>
      </c>
      <c r="T122" s="12"/>
    </row>
    <row r="123" spans="1:20" x14ac:dyDescent="0.25">
      <c r="A123" s="18" t="s">
        <v>2748</v>
      </c>
      <c r="B123" s="11" t="s">
        <v>2749</v>
      </c>
      <c r="C123" s="4" t="str">
        <f t="shared" si="1"/>
        <v>ASRock</v>
      </c>
      <c r="D123" s="14" t="s">
        <v>2336</v>
      </c>
      <c r="E123" s="11" t="s">
        <v>398</v>
      </c>
      <c r="F123" s="76" t="s">
        <v>8788</v>
      </c>
      <c r="G123" s="12" t="s">
        <v>407</v>
      </c>
      <c r="H123" s="12">
        <v>256</v>
      </c>
      <c r="I123" s="12">
        <v>9066</v>
      </c>
      <c r="J123" s="12">
        <v>4</v>
      </c>
      <c r="K123" s="12">
        <v>2</v>
      </c>
      <c r="L123" s="75" t="s">
        <v>4272</v>
      </c>
      <c r="M123" s="75" t="s">
        <v>4278</v>
      </c>
      <c r="N123" s="75" t="s">
        <v>4273</v>
      </c>
      <c r="O123" s="20" t="s">
        <v>2609</v>
      </c>
      <c r="P123" s="14" t="s">
        <v>2610</v>
      </c>
      <c r="Q123" s="3">
        <v>268.83</v>
      </c>
      <c r="R123" s="3">
        <v>332.74</v>
      </c>
      <c r="S123" s="18" t="s">
        <v>2750</v>
      </c>
      <c r="T123" s="12"/>
    </row>
    <row r="124" spans="1:20" x14ac:dyDescent="0.25">
      <c r="A124" s="18" t="s">
        <v>2751</v>
      </c>
      <c r="B124" s="11" t="s">
        <v>2752</v>
      </c>
      <c r="C124" s="4" t="str">
        <f t="shared" si="1"/>
        <v>ASRock</v>
      </c>
      <c r="D124" s="14" t="s">
        <v>2336</v>
      </c>
      <c r="E124" s="11" t="s">
        <v>398</v>
      </c>
      <c r="F124" s="76" t="s">
        <v>8788</v>
      </c>
      <c r="G124" s="12" t="s">
        <v>407</v>
      </c>
      <c r="H124" s="12">
        <v>256</v>
      </c>
      <c r="I124" s="12">
        <v>9200</v>
      </c>
      <c r="J124" s="12">
        <v>4</v>
      </c>
      <c r="K124" s="12">
        <v>2</v>
      </c>
      <c r="L124" s="75" t="s">
        <v>2285</v>
      </c>
      <c r="M124" s="75" t="s">
        <v>4247</v>
      </c>
      <c r="N124" s="75" t="s">
        <v>418</v>
      </c>
      <c r="O124" s="20" t="s">
        <v>2614</v>
      </c>
      <c r="P124" s="14" t="s">
        <v>2610</v>
      </c>
      <c r="Q124" s="3">
        <v>494.88</v>
      </c>
      <c r="R124" s="3">
        <v>575</v>
      </c>
      <c r="S124" s="18" t="s">
        <v>2753</v>
      </c>
      <c r="T124" s="12"/>
    </row>
    <row r="125" spans="1:20" x14ac:dyDescent="0.25">
      <c r="A125" s="18" t="s">
        <v>2754</v>
      </c>
      <c r="B125" s="11" t="s">
        <v>2755</v>
      </c>
      <c r="C125" s="4" t="str">
        <f t="shared" si="1"/>
        <v>ASRock</v>
      </c>
      <c r="D125" s="14" t="s">
        <v>4242</v>
      </c>
      <c r="E125" s="11" t="s">
        <v>398</v>
      </c>
      <c r="F125" s="76" t="s">
        <v>8788</v>
      </c>
      <c r="G125" s="12" t="s">
        <v>407</v>
      </c>
      <c r="H125" s="12">
        <v>256</v>
      </c>
      <c r="I125" s="12">
        <v>9200</v>
      </c>
      <c r="J125" s="12">
        <v>4</v>
      </c>
      <c r="K125" s="12">
        <v>2</v>
      </c>
      <c r="L125" s="75" t="s">
        <v>4289</v>
      </c>
      <c r="M125" s="75" t="s">
        <v>4261</v>
      </c>
      <c r="N125" s="75" t="s">
        <v>4290</v>
      </c>
      <c r="O125" s="20" t="s">
        <v>2756</v>
      </c>
      <c r="P125" s="14" t="s">
        <v>2610</v>
      </c>
      <c r="Q125" s="3">
        <v>803.74</v>
      </c>
      <c r="R125" s="3">
        <v>1005.79</v>
      </c>
      <c r="S125" s="18" t="s">
        <v>2757</v>
      </c>
      <c r="T125" s="12"/>
    </row>
    <row r="126" spans="1:20" x14ac:dyDescent="0.25">
      <c r="A126" s="18" t="s">
        <v>2758</v>
      </c>
      <c r="B126" s="11" t="s">
        <v>2759</v>
      </c>
      <c r="C126" s="4" t="str">
        <f t="shared" si="1"/>
        <v>ASRock</v>
      </c>
      <c r="D126" s="14" t="s">
        <v>2336</v>
      </c>
      <c r="E126" s="11" t="s">
        <v>398</v>
      </c>
      <c r="F126" s="76" t="s">
        <v>8788</v>
      </c>
      <c r="G126" s="12" t="s">
        <v>407</v>
      </c>
      <c r="H126" s="12">
        <v>256</v>
      </c>
      <c r="I126" s="12">
        <v>9200</v>
      </c>
      <c r="J126" s="12">
        <v>4</v>
      </c>
      <c r="K126" s="12">
        <v>2</v>
      </c>
      <c r="L126" s="75" t="s">
        <v>2285</v>
      </c>
      <c r="M126" s="75" t="s">
        <v>4247</v>
      </c>
      <c r="N126" s="75" t="s">
        <v>418</v>
      </c>
      <c r="O126" s="20" t="s">
        <v>2614</v>
      </c>
      <c r="P126" s="14" t="s">
        <v>2610</v>
      </c>
      <c r="Q126" s="3">
        <v>410.31</v>
      </c>
      <c r="R126" s="3">
        <v>491.65</v>
      </c>
      <c r="S126" s="18" t="s">
        <v>2760</v>
      </c>
      <c r="T126" s="12"/>
    </row>
    <row r="127" spans="1:20" x14ac:dyDescent="0.25">
      <c r="A127" s="18" t="s">
        <v>2761</v>
      </c>
      <c r="B127" s="11" t="s">
        <v>2762</v>
      </c>
      <c r="C127" s="4" t="str">
        <f t="shared" si="1"/>
        <v>ASUS</v>
      </c>
      <c r="D127" s="14" t="s">
        <v>2336</v>
      </c>
      <c r="E127" s="11" t="s">
        <v>351</v>
      </c>
      <c r="F127" s="76" t="s">
        <v>8774</v>
      </c>
      <c r="G127" s="12" t="s">
        <v>407</v>
      </c>
      <c r="H127" s="12">
        <v>192</v>
      </c>
      <c r="I127" s="12">
        <v>8000</v>
      </c>
      <c r="J127" s="12">
        <v>4</v>
      </c>
      <c r="K127" s="12">
        <v>2</v>
      </c>
      <c r="L127" s="75" t="s">
        <v>4270</v>
      </c>
      <c r="M127" s="75" t="s">
        <v>4291</v>
      </c>
      <c r="N127" s="75" t="s">
        <v>4257</v>
      </c>
      <c r="O127" s="20" t="s">
        <v>2763</v>
      </c>
      <c r="P127" s="14" t="s">
        <v>2630</v>
      </c>
      <c r="Q127" s="3">
        <v>195.9</v>
      </c>
      <c r="R127" s="3">
        <v>310.99</v>
      </c>
      <c r="S127" s="18" t="s">
        <v>2764</v>
      </c>
      <c r="T127" s="12"/>
    </row>
    <row r="128" spans="1:20" x14ac:dyDescent="0.25">
      <c r="A128" s="18" t="s">
        <v>2765</v>
      </c>
      <c r="B128" s="11" t="s">
        <v>2766</v>
      </c>
      <c r="C128" s="4" t="str">
        <f t="shared" si="1"/>
        <v>ASUS</v>
      </c>
      <c r="D128" s="14" t="s">
        <v>2294</v>
      </c>
      <c r="E128" s="11" t="s">
        <v>350</v>
      </c>
      <c r="F128" s="76" t="s">
        <v>8770</v>
      </c>
      <c r="G128" s="12" t="s">
        <v>406</v>
      </c>
      <c r="H128" s="12">
        <v>128</v>
      </c>
      <c r="I128" s="12">
        <v>4800</v>
      </c>
      <c r="J128" s="12">
        <v>4</v>
      </c>
      <c r="K128" s="12">
        <v>2</v>
      </c>
      <c r="L128" s="75" t="s">
        <v>4243</v>
      </c>
      <c r="M128" s="75" t="s">
        <v>4251</v>
      </c>
      <c r="N128" s="75" t="s">
        <v>4251</v>
      </c>
      <c r="O128" s="20" t="s">
        <v>2304</v>
      </c>
      <c r="P128" s="14" t="s">
        <v>2296</v>
      </c>
      <c r="Q128" s="3">
        <v>69.88</v>
      </c>
      <c r="R128" s="3">
        <v>122.49</v>
      </c>
      <c r="S128" s="18" t="s">
        <v>2767</v>
      </c>
      <c r="T128" s="12"/>
    </row>
    <row r="129" spans="1:20" x14ac:dyDescent="0.25">
      <c r="A129" s="18" t="s">
        <v>2768</v>
      </c>
      <c r="B129" s="11" t="s">
        <v>2769</v>
      </c>
      <c r="C129" s="4" t="str">
        <f t="shared" si="1"/>
        <v>ASUS</v>
      </c>
      <c r="D129" s="14" t="s">
        <v>2294</v>
      </c>
      <c r="E129" s="11" t="s">
        <v>350</v>
      </c>
      <c r="F129" s="76" t="s">
        <v>8770</v>
      </c>
      <c r="G129" s="12" t="s">
        <v>406</v>
      </c>
      <c r="H129" s="12">
        <v>64</v>
      </c>
      <c r="I129" s="12">
        <v>4600</v>
      </c>
      <c r="J129" s="12">
        <v>2</v>
      </c>
      <c r="K129" s="12">
        <v>2</v>
      </c>
      <c r="L129" s="75" t="s">
        <v>4243</v>
      </c>
      <c r="M129" s="75" t="s">
        <v>4251</v>
      </c>
      <c r="N129" s="75" t="s">
        <v>4251</v>
      </c>
      <c r="O129" s="20" t="s">
        <v>2304</v>
      </c>
      <c r="P129" s="14" t="s">
        <v>2296</v>
      </c>
      <c r="Q129" s="3">
        <v>65.89</v>
      </c>
      <c r="R129" s="3">
        <v>128.94</v>
      </c>
      <c r="S129" s="18" t="s">
        <v>2770</v>
      </c>
      <c r="T129" s="12"/>
    </row>
    <row r="130" spans="1:20" x14ac:dyDescent="0.25">
      <c r="A130" s="18" t="s">
        <v>2771</v>
      </c>
      <c r="B130" s="11" t="s">
        <v>2772</v>
      </c>
      <c r="C130" s="4" t="str">
        <f t="shared" si="1"/>
        <v>ASUS</v>
      </c>
      <c r="D130" s="14" t="s">
        <v>2294</v>
      </c>
      <c r="E130" s="11" t="s">
        <v>350</v>
      </c>
      <c r="F130" s="76" t="s">
        <v>8770</v>
      </c>
      <c r="G130" s="12" t="s">
        <v>406</v>
      </c>
      <c r="H130" s="12">
        <v>64</v>
      </c>
      <c r="I130" s="12">
        <v>4600</v>
      </c>
      <c r="J130" s="12">
        <v>2</v>
      </c>
      <c r="K130" s="12">
        <v>2</v>
      </c>
      <c r="L130" s="75" t="s">
        <v>4243</v>
      </c>
      <c r="M130" s="75" t="s">
        <v>4251</v>
      </c>
      <c r="N130" s="75" t="s">
        <v>4251</v>
      </c>
      <c r="O130" s="20" t="s">
        <v>2304</v>
      </c>
      <c r="P130" s="14" t="s">
        <v>2296</v>
      </c>
      <c r="Q130" s="3">
        <v>53.82</v>
      </c>
      <c r="R130" s="3">
        <v>179.99</v>
      </c>
      <c r="S130" s="18" t="s">
        <v>2773</v>
      </c>
      <c r="T130" s="12"/>
    </row>
    <row r="131" spans="1:20" x14ac:dyDescent="0.25">
      <c r="A131" s="18" t="s">
        <v>2774</v>
      </c>
      <c r="B131" s="11" t="s">
        <v>2775</v>
      </c>
      <c r="C131" s="4" t="str">
        <f t="shared" si="1"/>
        <v>ASUS</v>
      </c>
      <c r="D131" s="14" t="s">
        <v>2294</v>
      </c>
      <c r="E131" s="11" t="s">
        <v>350</v>
      </c>
      <c r="F131" s="76" t="s">
        <v>8770</v>
      </c>
      <c r="G131" s="12" t="s">
        <v>406</v>
      </c>
      <c r="H131" s="12">
        <v>64</v>
      </c>
      <c r="I131" s="12">
        <v>5100</v>
      </c>
      <c r="J131" s="12">
        <v>2</v>
      </c>
      <c r="K131" s="12">
        <v>2</v>
      </c>
      <c r="L131" s="75" t="s">
        <v>4246</v>
      </c>
      <c r="M131" s="75" t="s">
        <v>4249</v>
      </c>
      <c r="N131" s="75" t="s">
        <v>4249</v>
      </c>
      <c r="O131" s="20" t="s">
        <v>2304</v>
      </c>
      <c r="P131" s="14" t="s">
        <v>2296</v>
      </c>
      <c r="Q131" s="3">
        <v>58.51</v>
      </c>
      <c r="R131" s="3">
        <v>196.99</v>
      </c>
      <c r="S131" s="18" t="s">
        <v>2776</v>
      </c>
      <c r="T131" s="12"/>
    </row>
    <row r="132" spans="1:20" x14ac:dyDescent="0.25">
      <c r="A132" s="18" t="s">
        <v>2777</v>
      </c>
      <c r="B132" s="11" t="s">
        <v>2778</v>
      </c>
      <c r="C132" s="4" t="str">
        <f t="shared" si="1"/>
        <v>ASUS</v>
      </c>
      <c r="D132" s="14" t="s">
        <v>2294</v>
      </c>
      <c r="E132" s="11" t="s">
        <v>351</v>
      </c>
      <c r="F132" s="76" t="s">
        <v>8771</v>
      </c>
      <c r="G132" s="12" t="s">
        <v>407</v>
      </c>
      <c r="H132" s="12">
        <v>192</v>
      </c>
      <c r="I132" s="12">
        <v>7600</v>
      </c>
      <c r="J132" s="12">
        <v>4</v>
      </c>
      <c r="K132" s="12">
        <v>2</v>
      </c>
      <c r="L132" s="75" t="s">
        <v>4250</v>
      </c>
      <c r="M132" s="75" t="s">
        <v>4251</v>
      </c>
      <c r="N132" s="75" t="s">
        <v>4251</v>
      </c>
      <c r="O132" s="20" t="s">
        <v>2779</v>
      </c>
      <c r="P132" s="14" t="s">
        <v>2322</v>
      </c>
      <c r="Q132" s="3">
        <v>93.9</v>
      </c>
      <c r="R132" s="3">
        <v>157.29</v>
      </c>
      <c r="S132" s="18" t="s">
        <v>2780</v>
      </c>
      <c r="T132" s="12"/>
    </row>
    <row r="133" spans="1:20" x14ac:dyDescent="0.25">
      <c r="A133" s="18" t="s">
        <v>2781</v>
      </c>
      <c r="B133" s="11" t="s">
        <v>2782</v>
      </c>
      <c r="C133" s="4" t="str">
        <f t="shared" si="1"/>
        <v>ASUS</v>
      </c>
      <c r="D133" s="14" t="s">
        <v>2294</v>
      </c>
      <c r="E133" s="11" t="s">
        <v>351</v>
      </c>
      <c r="F133" s="76" t="s">
        <v>8771</v>
      </c>
      <c r="G133" s="12" t="s">
        <v>407</v>
      </c>
      <c r="H133" s="12">
        <v>96</v>
      </c>
      <c r="I133" s="12">
        <v>7200</v>
      </c>
      <c r="J133" s="12">
        <v>2</v>
      </c>
      <c r="K133" s="12">
        <v>2</v>
      </c>
      <c r="L133" s="75" t="s">
        <v>4250</v>
      </c>
      <c r="M133" s="75" t="s">
        <v>4251</v>
      </c>
      <c r="N133" s="75" t="s">
        <v>4251</v>
      </c>
      <c r="O133" s="20" t="s">
        <v>2783</v>
      </c>
      <c r="P133" s="14" t="s">
        <v>2322</v>
      </c>
      <c r="Q133" s="3">
        <v>108.75</v>
      </c>
      <c r="R133" s="3">
        <v>161.4</v>
      </c>
      <c r="S133" s="18" t="s">
        <v>2784</v>
      </c>
      <c r="T133" s="12"/>
    </row>
    <row r="134" spans="1:20" x14ac:dyDescent="0.25">
      <c r="A134" s="18" t="s">
        <v>2785</v>
      </c>
      <c r="B134" s="11" t="s">
        <v>2786</v>
      </c>
      <c r="C134" s="4" t="str">
        <f t="shared" si="1"/>
        <v>ASUS</v>
      </c>
      <c r="D134" s="14" t="s">
        <v>2294</v>
      </c>
      <c r="E134" s="11" t="s">
        <v>351</v>
      </c>
      <c r="F134" s="76" t="s">
        <v>8771</v>
      </c>
      <c r="G134" s="12" t="s">
        <v>407</v>
      </c>
      <c r="H134" s="12">
        <v>96</v>
      </c>
      <c r="I134" s="12">
        <v>7200</v>
      </c>
      <c r="J134" s="12">
        <v>2</v>
      </c>
      <c r="K134" s="12">
        <v>2</v>
      </c>
      <c r="L134" s="75" t="s">
        <v>4259</v>
      </c>
      <c r="M134" s="75" t="s">
        <v>4249</v>
      </c>
      <c r="N134" s="75" t="s">
        <v>4249</v>
      </c>
      <c r="O134" s="20" t="s">
        <v>2783</v>
      </c>
      <c r="P134" s="14" t="s">
        <v>2322</v>
      </c>
      <c r="Q134" s="3">
        <v>89.89</v>
      </c>
      <c r="R134" s="3">
        <v>221.39</v>
      </c>
      <c r="S134" s="18" t="s">
        <v>2787</v>
      </c>
      <c r="T134" s="12"/>
    </row>
    <row r="135" spans="1:20" x14ac:dyDescent="0.25">
      <c r="A135" s="18" t="s">
        <v>2789</v>
      </c>
      <c r="B135" s="11" t="s">
        <v>2790</v>
      </c>
      <c r="C135" s="4" t="str">
        <f t="shared" si="1"/>
        <v>ASUS</v>
      </c>
      <c r="D135" s="14" t="s">
        <v>2294</v>
      </c>
      <c r="E135" s="11" t="s">
        <v>350</v>
      </c>
      <c r="F135" s="76" t="s">
        <v>8772</v>
      </c>
      <c r="G135" s="12" t="s">
        <v>406</v>
      </c>
      <c r="H135" s="12">
        <v>128</v>
      </c>
      <c r="I135" s="12">
        <v>4800</v>
      </c>
      <c r="J135" s="12">
        <v>4</v>
      </c>
      <c r="K135" s="12">
        <v>2</v>
      </c>
      <c r="L135" s="75" t="s">
        <v>4250</v>
      </c>
      <c r="M135" s="75" t="s">
        <v>4251</v>
      </c>
      <c r="N135" s="75" t="s">
        <v>4251</v>
      </c>
      <c r="O135" s="20" t="s">
        <v>2791</v>
      </c>
      <c r="P135" s="14" t="s">
        <v>2360</v>
      </c>
      <c r="Q135" s="3">
        <v>87.74</v>
      </c>
      <c r="R135" s="3">
        <v>220.79</v>
      </c>
      <c r="S135" s="18" t="s">
        <v>2792</v>
      </c>
      <c r="T135" s="12"/>
    </row>
    <row r="136" spans="1:20" x14ac:dyDescent="0.25">
      <c r="A136" s="18" t="s">
        <v>2793</v>
      </c>
      <c r="B136" s="11" t="s">
        <v>2794</v>
      </c>
      <c r="C136" s="4" t="str">
        <f t="shared" si="1"/>
        <v>ASUS</v>
      </c>
      <c r="D136" s="14" t="s">
        <v>2294</v>
      </c>
      <c r="E136" s="11" t="s">
        <v>350</v>
      </c>
      <c r="F136" s="76" t="s">
        <v>8772</v>
      </c>
      <c r="G136" s="12" t="s">
        <v>406</v>
      </c>
      <c r="H136" s="12">
        <v>128</v>
      </c>
      <c r="I136" s="12">
        <v>4866</v>
      </c>
      <c r="J136" s="12">
        <v>4</v>
      </c>
      <c r="K136" s="12">
        <v>2</v>
      </c>
      <c r="L136" s="75" t="s">
        <v>4250</v>
      </c>
      <c r="M136" s="75" t="s">
        <v>4251</v>
      </c>
      <c r="N136" s="75" t="s">
        <v>4251</v>
      </c>
      <c r="O136" s="20" t="s">
        <v>2795</v>
      </c>
      <c r="P136" s="14" t="s">
        <v>2360</v>
      </c>
      <c r="Q136" s="3">
        <v>104.72</v>
      </c>
      <c r="R136" s="3">
        <v>249.7</v>
      </c>
      <c r="S136" s="18" t="s">
        <v>2796</v>
      </c>
      <c r="T136" s="12"/>
    </row>
    <row r="137" spans="1:20" x14ac:dyDescent="0.25">
      <c r="A137" s="18" t="s">
        <v>2797</v>
      </c>
      <c r="B137" s="11" t="s">
        <v>2798</v>
      </c>
      <c r="C137" s="4" t="str">
        <f t="shared" ref="C137:C200" si="2">LEFT(A137, FIND(" ",A137)-1)</f>
        <v>ASUS</v>
      </c>
      <c r="D137" s="14" t="s">
        <v>2294</v>
      </c>
      <c r="E137" s="11" t="s">
        <v>350</v>
      </c>
      <c r="F137" s="76" t="s">
        <v>8772</v>
      </c>
      <c r="G137" s="12" t="s">
        <v>406</v>
      </c>
      <c r="H137" s="12">
        <v>128</v>
      </c>
      <c r="I137" s="12">
        <v>4800</v>
      </c>
      <c r="J137" s="12">
        <v>4</v>
      </c>
      <c r="K137" s="12">
        <v>2</v>
      </c>
      <c r="L137" s="75" t="s">
        <v>4250</v>
      </c>
      <c r="M137" s="75" t="s">
        <v>4251</v>
      </c>
      <c r="N137" s="75" t="s">
        <v>4251</v>
      </c>
      <c r="O137" s="20" t="s">
        <v>2791</v>
      </c>
      <c r="P137" s="14" t="s">
        <v>2360</v>
      </c>
      <c r="Q137" s="3">
        <v>97.39</v>
      </c>
      <c r="R137" s="3">
        <v>317.63</v>
      </c>
      <c r="S137" s="18" t="s">
        <v>2799</v>
      </c>
      <c r="T137" s="12"/>
    </row>
    <row r="138" spans="1:20" x14ac:dyDescent="0.25">
      <c r="A138" s="18" t="s">
        <v>2800</v>
      </c>
      <c r="B138" s="11" t="s">
        <v>2801</v>
      </c>
      <c r="C138" s="4" t="str">
        <f t="shared" si="2"/>
        <v>ASUS</v>
      </c>
      <c r="D138" s="14" t="s">
        <v>2294</v>
      </c>
      <c r="E138" s="11" t="s">
        <v>350</v>
      </c>
      <c r="F138" s="76" t="s">
        <v>8772</v>
      </c>
      <c r="G138" s="12" t="s">
        <v>406</v>
      </c>
      <c r="H138" s="12">
        <v>128</v>
      </c>
      <c r="I138" s="12">
        <v>4866</v>
      </c>
      <c r="J138" s="12">
        <v>4</v>
      </c>
      <c r="K138" s="12">
        <v>2</v>
      </c>
      <c r="L138" s="75" t="s">
        <v>4250</v>
      </c>
      <c r="M138" s="75" t="s">
        <v>4251</v>
      </c>
      <c r="N138" s="75" t="s">
        <v>4251</v>
      </c>
      <c r="O138" s="20" t="s">
        <v>2791</v>
      </c>
      <c r="P138" s="14" t="s">
        <v>2360</v>
      </c>
      <c r="Q138" s="3">
        <v>99.89</v>
      </c>
      <c r="R138" s="3">
        <v>233.29</v>
      </c>
      <c r="S138" s="18" t="s">
        <v>2802</v>
      </c>
      <c r="T138" s="12"/>
    </row>
    <row r="139" spans="1:20" x14ac:dyDescent="0.25">
      <c r="A139" s="18" t="s">
        <v>2803</v>
      </c>
      <c r="B139" s="11" t="s">
        <v>2804</v>
      </c>
      <c r="C139" s="4" t="str">
        <f t="shared" si="2"/>
        <v>ASUS</v>
      </c>
      <c r="D139" s="14" t="s">
        <v>2294</v>
      </c>
      <c r="E139" s="11" t="s">
        <v>350</v>
      </c>
      <c r="F139" s="76" t="s">
        <v>8772</v>
      </c>
      <c r="G139" s="12" t="s">
        <v>406</v>
      </c>
      <c r="H139" s="12">
        <v>64</v>
      </c>
      <c r="I139" s="12">
        <v>5100</v>
      </c>
      <c r="J139" s="12">
        <v>2</v>
      </c>
      <c r="K139" s="12">
        <v>2</v>
      </c>
      <c r="L139" s="75" t="s">
        <v>4259</v>
      </c>
      <c r="M139" s="75" t="s">
        <v>4249</v>
      </c>
      <c r="N139" s="75" t="s">
        <v>4249</v>
      </c>
      <c r="O139" s="20" t="s">
        <v>2805</v>
      </c>
      <c r="P139" s="14" t="s">
        <v>2360</v>
      </c>
      <c r="Q139" s="3">
        <v>95.89</v>
      </c>
      <c r="R139" s="3">
        <v>228.1</v>
      </c>
      <c r="S139" s="18" t="s">
        <v>2806</v>
      </c>
      <c r="T139" s="12"/>
    </row>
    <row r="140" spans="1:20" x14ac:dyDescent="0.25">
      <c r="A140" s="18" t="s">
        <v>2807</v>
      </c>
      <c r="B140" s="11" t="s">
        <v>2808</v>
      </c>
      <c r="C140" s="4" t="str">
        <f t="shared" si="2"/>
        <v>ASUS</v>
      </c>
      <c r="D140" s="14" t="s">
        <v>2336</v>
      </c>
      <c r="E140" s="11" t="s">
        <v>350</v>
      </c>
      <c r="F140" s="76" t="s">
        <v>8772</v>
      </c>
      <c r="G140" s="12" t="s">
        <v>406</v>
      </c>
      <c r="H140" s="12">
        <v>128</v>
      </c>
      <c r="I140" s="12">
        <v>4800</v>
      </c>
      <c r="J140" s="12">
        <v>4</v>
      </c>
      <c r="K140" s="12">
        <v>2</v>
      </c>
      <c r="L140" s="75" t="s">
        <v>4292</v>
      </c>
      <c r="M140" s="75" t="s">
        <v>4275</v>
      </c>
      <c r="N140" s="75" t="s">
        <v>4276</v>
      </c>
      <c r="O140" s="20" t="s">
        <v>2809</v>
      </c>
      <c r="P140" s="14" t="s">
        <v>2341</v>
      </c>
      <c r="Q140" s="3">
        <v>107.5</v>
      </c>
      <c r="R140" s="3">
        <v>184.45</v>
      </c>
      <c r="S140" s="18" t="s">
        <v>2810</v>
      </c>
      <c r="T140" s="12"/>
    </row>
    <row r="141" spans="1:20" x14ac:dyDescent="0.25">
      <c r="A141" s="18" t="s">
        <v>2811</v>
      </c>
      <c r="B141" s="11" t="s">
        <v>2812</v>
      </c>
      <c r="C141" s="4" t="str">
        <f t="shared" si="2"/>
        <v>ASUS</v>
      </c>
      <c r="D141" s="14" t="s">
        <v>2294</v>
      </c>
      <c r="E141" s="11" t="s">
        <v>351</v>
      </c>
      <c r="F141" s="76" t="s">
        <v>8773</v>
      </c>
      <c r="G141" s="12" t="s">
        <v>407</v>
      </c>
      <c r="H141" s="12">
        <v>192</v>
      </c>
      <c r="I141" s="12">
        <v>5600</v>
      </c>
      <c r="J141" s="12">
        <v>4</v>
      </c>
      <c r="K141" s="12">
        <v>2</v>
      </c>
      <c r="L141" s="75" t="s">
        <v>4260</v>
      </c>
      <c r="M141" s="75" t="s">
        <v>4261</v>
      </c>
      <c r="N141" s="75" t="s">
        <v>4261</v>
      </c>
      <c r="O141" s="20" t="s">
        <v>2813</v>
      </c>
      <c r="P141" s="14" t="s">
        <v>2389</v>
      </c>
      <c r="Q141" s="3">
        <v>205.29</v>
      </c>
      <c r="R141" s="3">
        <v>280.83</v>
      </c>
      <c r="S141" s="18" t="s">
        <v>2814</v>
      </c>
      <c r="T141" s="12"/>
    </row>
    <row r="142" spans="1:20" x14ac:dyDescent="0.25">
      <c r="A142" s="18" t="s">
        <v>2815</v>
      </c>
      <c r="B142" s="11" t="s">
        <v>2816</v>
      </c>
      <c r="C142" s="4" t="str">
        <f t="shared" si="2"/>
        <v>ASUS</v>
      </c>
      <c r="D142" s="14" t="s">
        <v>2294</v>
      </c>
      <c r="E142" s="11" t="s">
        <v>351</v>
      </c>
      <c r="F142" s="76" t="s">
        <v>8773</v>
      </c>
      <c r="G142" s="12" t="s">
        <v>407</v>
      </c>
      <c r="H142" s="12">
        <v>192</v>
      </c>
      <c r="I142" s="12">
        <v>7600</v>
      </c>
      <c r="J142" s="12">
        <v>4</v>
      </c>
      <c r="K142" s="12">
        <v>2</v>
      </c>
      <c r="L142" s="75" t="s">
        <v>4260</v>
      </c>
      <c r="M142" s="75" t="s">
        <v>4261</v>
      </c>
      <c r="N142" s="75" t="s">
        <v>4261</v>
      </c>
      <c r="O142" s="20" t="s">
        <v>2813</v>
      </c>
      <c r="P142" s="14" t="s">
        <v>2389</v>
      </c>
      <c r="Q142" s="3">
        <v>141.88999999999999</v>
      </c>
      <c r="R142" s="3">
        <v>258.64</v>
      </c>
      <c r="S142" s="18" t="s">
        <v>2817</v>
      </c>
      <c r="T142" s="12"/>
    </row>
    <row r="143" spans="1:20" x14ac:dyDescent="0.25">
      <c r="A143" s="18" t="s">
        <v>2818</v>
      </c>
      <c r="B143" s="11" t="s">
        <v>2819</v>
      </c>
      <c r="C143" s="4" t="str">
        <f t="shared" si="2"/>
        <v>ASUS</v>
      </c>
      <c r="D143" s="14" t="s">
        <v>2294</v>
      </c>
      <c r="E143" s="11" t="s">
        <v>351</v>
      </c>
      <c r="F143" s="76" t="s">
        <v>8773</v>
      </c>
      <c r="G143" s="12" t="s">
        <v>407</v>
      </c>
      <c r="H143" s="12">
        <v>192</v>
      </c>
      <c r="I143" s="12">
        <v>7600</v>
      </c>
      <c r="J143" s="12">
        <v>4</v>
      </c>
      <c r="K143" s="12">
        <v>2</v>
      </c>
      <c r="L143" s="75" t="s">
        <v>4260</v>
      </c>
      <c r="M143" s="75" t="s">
        <v>4261</v>
      </c>
      <c r="N143" s="75" t="s">
        <v>4261</v>
      </c>
      <c r="O143" s="20" t="s">
        <v>2813</v>
      </c>
      <c r="P143" s="14" t="s">
        <v>2389</v>
      </c>
      <c r="Q143" s="3">
        <v>124.28</v>
      </c>
      <c r="R143" s="3">
        <v>279.39999999999998</v>
      </c>
      <c r="S143" s="18" t="s">
        <v>2820</v>
      </c>
      <c r="T143" s="12"/>
    </row>
    <row r="144" spans="1:20" x14ac:dyDescent="0.25">
      <c r="A144" s="18" t="s">
        <v>2821</v>
      </c>
      <c r="B144" s="11" t="s">
        <v>2822</v>
      </c>
      <c r="C144" s="4" t="str">
        <f t="shared" si="2"/>
        <v>ASUS</v>
      </c>
      <c r="D144" s="14" t="s">
        <v>2294</v>
      </c>
      <c r="E144" s="11" t="s">
        <v>351</v>
      </c>
      <c r="F144" s="76" t="s">
        <v>8773</v>
      </c>
      <c r="G144" s="12" t="s">
        <v>407</v>
      </c>
      <c r="H144" s="12">
        <v>192</v>
      </c>
      <c r="I144" s="12">
        <v>5600</v>
      </c>
      <c r="J144" s="12">
        <v>4</v>
      </c>
      <c r="K144" s="12">
        <v>2</v>
      </c>
      <c r="L144" s="75" t="s">
        <v>4260</v>
      </c>
      <c r="M144" s="75" t="s">
        <v>4261</v>
      </c>
      <c r="N144" s="75" t="s">
        <v>4261</v>
      </c>
      <c r="O144" s="20" t="s">
        <v>2823</v>
      </c>
      <c r="P144" s="14" t="s">
        <v>2389</v>
      </c>
      <c r="Q144" s="3">
        <v>172.32</v>
      </c>
      <c r="R144" s="3">
        <v>353.09</v>
      </c>
      <c r="S144" s="18" t="s">
        <v>2824</v>
      </c>
      <c r="T144" s="12"/>
    </row>
    <row r="145" spans="1:20" x14ac:dyDescent="0.25">
      <c r="A145" s="18" t="s">
        <v>2825</v>
      </c>
      <c r="B145" s="11" t="s">
        <v>2826</v>
      </c>
      <c r="C145" s="4" t="str">
        <f t="shared" si="2"/>
        <v>ASUS</v>
      </c>
      <c r="D145" s="14" t="s">
        <v>2294</v>
      </c>
      <c r="E145" s="11" t="s">
        <v>351</v>
      </c>
      <c r="F145" s="76" t="s">
        <v>8773</v>
      </c>
      <c r="G145" s="12" t="s">
        <v>407</v>
      </c>
      <c r="H145" s="12">
        <v>192</v>
      </c>
      <c r="I145" s="12">
        <v>7600</v>
      </c>
      <c r="J145" s="12">
        <v>4</v>
      </c>
      <c r="K145" s="12">
        <v>2</v>
      </c>
      <c r="L145" s="75" t="s">
        <v>4260</v>
      </c>
      <c r="M145" s="75" t="s">
        <v>4261</v>
      </c>
      <c r="N145" s="75" t="s">
        <v>4261</v>
      </c>
      <c r="O145" s="20" t="s">
        <v>2823</v>
      </c>
      <c r="P145" s="14" t="s">
        <v>2389</v>
      </c>
      <c r="Q145" s="3">
        <v>149.69999999999999</v>
      </c>
      <c r="R145" s="3">
        <v>285.29000000000002</v>
      </c>
      <c r="S145" s="18" t="s">
        <v>2827</v>
      </c>
      <c r="T145" s="12"/>
    </row>
    <row r="146" spans="1:20" x14ac:dyDescent="0.25">
      <c r="A146" s="18" t="s">
        <v>2828</v>
      </c>
      <c r="B146" s="11" t="s">
        <v>2829</v>
      </c>
      <c r="C146" s="4" t="str">
        <f t="shared" si="2"/>
        <v>ASUS</v>
      </c>
      <c r="D146" s="14" t="s">
        <v>2294</v>
      </c>
      <c r="E146" s="11" t="s">
        <v>351</v>
      </c>
      <c r="F146" s="76" t="s">
        <v>8773</v>
      </c>
      <c r="G146" s="12" t="s">
        <v>407</v>
      </c>
      <c r="H146" s="12">
        <v>192</v>
      </c>
      <c r="I146" s="12">
        <v>5600</v>
      </c>
      <c r="J146" s="12">
        <v>4</v>
      </c>
      <c r="K146" s="12">
        <v>2</v>
      </c>
      <c r="L146" s="75" t="s">
        <v>4260</v>
      </c>
      <c r="M146" s="75" t="s">
        <v>4261</v>
      </c>
      <c r="N146" s="75" t="s">
        <v>4261</v>
      </c>
      <c r="O146" s="20" t="s">
        <v>2813</v>
      </c>
      <c r="P146" s="14" t="s">
        <v>2389</v>
      </c>
      <c r="Q146" s="3">
        <v>182</v>
      </c>
      <c r="R146" s="3">
        <v>288.16000000000003</v>
      </c>
      <c r="S146" s="18" t="s">
        <v>2830</v>
      </c>
      <c r="T146" s="12"/>
    </row>
    <row r="147" spans="1:20" x14ac:dyDescent="0.25">
      <c r="A147" s="18" t="s">
        <v>2831</v>
      </c>
      <c r="B147" s="11" t="s">
        <v>2832</v>
      </c>
      <c r="C147" s="4" t="str">
        <f t="shared" si="2"/>
        <v>ASUS</v>
      </c>
      <c r="D147" s="14" t="s">
        <v>2294</v>
      </c>
      <c r="E147" s="11" t="s">
        <v>351</v>
      </c>
      <c r="F147" s="76" t="s">
        <v>8773</v>
      </c>
      <c r="G147" s="12" t="s">
        <v>407</v>
      </c>
      <c r="H147" s="12">
        <v>96</v>
      </c>
      <c r="I147" s="12">
        <v>8000</v>
      </c>
      <c r="J147" s="12">
        <v>2</v>
      </c>
      <c r="K147" s="12">
        <v>2</v>
      </c>
      <c r="L147" s="75" t="s">
        <v>4260</v>
      </c>
      <c r="M147" s="75" t="s">
        <v>4251</v>
      </c>
      <c r="N147" s="75" t="s">
        <v>4251</v>
      </c>
      <c r="O147" s="20" t="s">
        <v>2813</v>
      </c>
      <c r="P147" s="14" t="s">
        <v>2389</v>
      </c>
      <c r="Q147" s="3">
        <v>118</v>
      </c>
      <c r="R147" s="3">
        <v>254.59</v>
      </c>
      <c r="S147" s="18" t="s">
        <v>2833</v>
      </c>
      <c r="T147" s="12"/>
    </row>
    <row r="148" spans="1:20" x14ac:dyDescent="0.25">
      <c r="A148" s="18" t="s">
        <v>2834</v>
      </c>
      <c r="B148" s="11" t="s">
        <v>2835</v>
      </c>
      <c r="C148" s="4" t="str">
        <f t="shared" si="2"/>
        <v>ASUS</v>
      </c>
      <c r="D148" s="14" t="s">
        <v>2294</v>
      </c>
      <c r="E148" s="11" t="s">
        <v>351</v>
      </c>
      <c r="F148" s="76" t="s">
        <v>8773</v>
      </c>
      <c r="G148" s="12" t="s">
        <v>407</v>
      </c>
      <c r="H148" s="12">
        <v>96</v>
      </c>
      <c r="I148" s="12">
        <v>7200</v>
      </c>
      <c r="J148" s="12">
        <v>2</v>
      </c>
      <c r="K148" s="12">
        <v>2</v>
      </c>
      <c r="L148" s="75" t="s">
        <v>4271</v>
      </c>
      <c r="M148" s="75" t="s">
        <v>4249</v>
      </c>
      <c r="N148" s="75" t="s">
        <v>4249</v>
      </c>
      <c r="O148" s="20" t="s">
        <v>2779</v>
      </c>
      <c r="P148" s="14" t="s">
        <v>2389</v>
      </c>
      <c r="Q148" s="3">
        <v>111.89</v>
      </c>
      <c r="R148" s="3">
        <v>238.49</v>
      </c>
      <c r="S148" s="18" t="s">
        <v>2836</v>
      </c>
      <c r="T148" s="12"/>
    </row>
    <row r="149" spans="1:20" x14ac:dyDescent="0.25">
      <c r="A149" s="18" t="s">
        <v>2837</v>
      </c>
      <c r="B149" s="11" t="s">
        <v>2838</v>
      </c>
      <c r="C149" s="4" t="str">
        <f t="shared" si="2"/>
        <v>ASUS</v>
      </c>
      <c r="D149" s="14" t="s">
        <v>2336</v>
      </c>
      <c r="E149" s="11" t="s">
        <v>351</v>
      </c>
      <c r="F149" s="76" t="s">
        <v>8773</v>
      </c>
      <c r="G149" s="12" t="s">
        <v>407</v>
      </c>
      <c r="H149" s="12">
        <v>192</v>
      </c>
      <c r="I149" s="12">
        <v>7600</v>
      </c>
      <c r="J149" s="12">
        <v>4</v>
      </c>
      <c r="K149" s="12">
        <v>2</v>
      </c>
      <c r="L149" s="75" t="s">
        <v>4262</v>
      </c>
      <c r="M149" s="75" t="s">
        <v>4258</v>
      </c>
      <c r="N149" s="75" t="s">
        <v>4257</v>
      </c>
      <c r="O149" s="20" t="s">
        <v>2839</v>
      </c>
      <c r="P149" s="14" t="s">
        <v>2389</v>
      </c>
      <c r="Q149" s="3">
        <v>144.49</v>
      </c>
      <c r="R149" s="3">
        <v>242.76</v>
      </c>
      <c r="S149" s="18" t="s">
        <v>2840</v>
      </c>
      <c r="T149" s="12"/>
    </row>
    <row r="150" spans="1:20" x14ac:dyDescent="0.25">
      <c r="A150" s="18" t="s">
        <v>2841</v>
      </c>
      <c r="B150" s="11" t="s">
        <v>2842</v>
      </c>
      <c r="C150" s="4" t="str">
        <f t="shared" si="2"/>
        <v>ASUS</v>
      </c>
      <c r="D150" s="14" t="s">
        <v>2336</v>
      </c>
      <c r="E150" s="11" t="s">
        <v>351</v>
      </c>
      <c r="F150" s="76" t="s">
        <v>8773</v>
      </c>
      <c r="G150" s="12" t="s">
        <v>407</v>
      </c>
      <c r="H150" s="12">
        <v>192</v>
      </c>
      <c r="I150" s="12">
        <v>7600</v>
      </c>
      <c r="J150" s="12">
        <v>4</v>
      </c>
      <c r="K150" s="12">
        <v>2</v>
      </c>
      <c r="L150" s="75" t="s">
        <v>4262</v>
      </c>
      <c r="M150" s="75" t="s">
        <v>4258</v>
      </c>
      <c r="N150" s="75" t="s">
        <v>4257</v>
      </c>
      <c r="O150" s="20" t="s">
        <v>2843</v>
      </c>
      <c r="P150" s="14" t="s">
        <v>2389</v>
      </c>
      <c r="Q150" s="3">
        <v>191.9</v>
      </c>
      <c r="R150" s="3">
        <v>246.13</v>
      </c>
      <c r="S150" s="18" t="s">
        <v>2844</v>
      </c>
      <c r="T150" s="12"/>
    </row>
    <row r="151" spans="1:20" x14ac:dyDescent="0.25">
      <c r="A151" s="18" t="s">
        <v>2845</v>
      </c>
      <c r="B151" s="11" t="s">
        <v>2846</v>
      </c>
      <c r="C151" s="4" t="str">
        <f t="shared" si="2"/>
        <v>ASUS</v>
      </c>
      <c r="D151" s="14" t="s">
        <v>2336</v>
      </c>
      <c r="E151" s="11" t="s">
        <v>351</v>
      </c>
      <c r="F151" s="76" t="s">
        <v>8773</v>
      </c>
      <c r="G151" s="12" t="s">
        <v>407</v>
      </c>
      <c r="H151" s="12">
        <v>192</v>
      </c>
      <c r="I151" s="12">
        <v>7600</v>
      </c>
      <c r="J151" s="12">
        <v>4</v>
      </c>
      <c r="K151" s="12">
        <v>2</v>
      </c>
      <c r="L151" s="75" t="s">
        <v>4262</v>
      </c>
      <c r="M151" s="75" t="s">
        <v>4258</v>
      </c>
      <c r="N151" s="75" t="s">
        <v>4257</v>
      </c>
      <c r="O151" s="20" t="s">
        <v>2839</v>
      </c>
      <c r="P151" s="14" t="s">
        <v>2389</v>
      </c>
      <c r="Q151" s="3">
        <v>161.9</v>
      </c>
      <c r="R151" s="3">
        <v>298</v>
      </c>
      <c r="S151" s="18" t="s">
        <v>2847</v>
      </c>
      <c r="T151" s="12"/>
    </row>
    <row r="152" spans="1:20" x14ac:dyDescent="0.25">
      <c r="A152" s="18" t="s">
        <v>2848</v>
      </c>
      <c r="B152" s="11" t="s">
        <v>2849</v>
      </c>
      <c r="C152" s="4" t="str">
        <f t="shared" si="2"/>
        <v>ASUS</v>
      </c>
      <c r="D152" s="14" t="s">
        <v>2294</v>
      </c>
      <c r="E152" s="11" t="s">
        <v>352</v>
      </c>
      <c r="F152" s="76" t="s">
        <v>8783</v>
      </c>
      <c r="G152" s="12" t="s">
        <v>406</v>
      </c>
      <c r="H152" s="12">
        <v>128</v>
      </c>
      <c r="I152" s="12">
        <v>5333</v>
      </c>
      <c r="J152" s="12">
        <v>4</v>
      </c>
      <c r="K152" s="12">
        <v>2</v>
      </c>
      <c r="L152" s="75" t="s">
        <v>4250</v>
      </c>
      <c r="M152" s="75" t="s">
        <v>4261</v>
      </c>
      <c r="N152" s="75" t="s">
        <v>4254</v>
      </c>
      <c r="O152" s="20" t="s">
        <v>2779</v>
      </c>
      <c r="P152" s="14" t="s">
        <v>2438</v>
      </c>
      <c r="Q152" s="3">
        <v>121.9</v>
      </c>
      <c r="R152" s="3">
        <v>185.71</v>
      </c>
      <c r="S152" s="18" t="s">
        <v>2850</v>
      </c>
      <c r="T152" s="12"/>
    </row>
    <row r="153" spans="1:20" x14ac:dyDescent="0.25">
      <c r="A153" s="18" t="s">
        <v>2851</v>
      </c>
      <c r="B153" s="11" t="s">
        <v>2852</v>
      </c>
      <c r="C153" s="4" t="str">
        <f t="shared" si="2"/>
        <v>ASUS</v>
      </c>
      <c r="D153" s="14" t="s">
        <v>2294</v>
      </c>
      <c r="E153" s="11" t="s">
        <v>352</v>
      </c>
      <c r="F153" s="76" t="s">
        <v>8783</v>
      </c>
      <c r="G153" s="12" t="s">
        <v>406</v>
      </c>
      <c r="H153" s="12">
        <v>128</v>
      </c>
      <c r="I153" s="12">
        <v>5333</v>
      </c>
      <c r="J153" s="12">
        <v>4</v>
      </c>
      <c r="K153" s="12">
        <v>2</v>
      </c>
      <c r="L153" s="75" t="s">
        <v>4250</v>
      </c>
      <c r="M153" s="75" t="s">
        <v>4261</v>
      </c>
      <c r="N153" s="75" t="s">
        <v>4254</v>
      </c>
      <c r="O153" s="20" t="s">
        <v>2853</v>
      </c>
      <c r="P153" s="14" t="s">
        <v>2438</v>
      </c>
      <c r="Q153" s="3">
        <v>129.86000000000001</v>
      </c>
      <c r="R153" s="3">
        <v>274.54000000000002</v>
      </c>
      <c r="S153" s="18" t="s">
        <v>2854</v>
      </c>
      <c r="T153" s="12"/>
    </row>
    <row r="154" spans="1:20" x14ac:dyDescent="0.25">
      <c r="A154" s="18" t="s">
        <v>2855</v>
      </c>
      <c r="B154" s="11" t="s">
        <v>2856</v>
      </c>
      <c r="C154" s="4" t="str">
        <f t="shared" si="2"/>
        <v>ASUS</v>
      </c>
      <c r="D154" s="14" t="s">
        <v>2294</v>
      </c>
      <c r="E154" s="11" t="s">
        <v>352</v>
      </c>
      <c r="F154" s="76" t="s">
        <v>8783</v>
      </c>
      <c r="G154" s="12" t="s">
        <v>406</v>
      </c>
      <c r="H154" s="12">
        <v>64</v>
      </c>
      <c r="I154" s="12">
        <v>5333</v>
      </c>
      <c r="J154" s="12">
        <v>2</v>
      </c>
      <c r="K154" s="12">
        <v>2</v>
      </c>
      <c r="L154" s="75" t="s">
        <v>4250</v>
      </c>
      <c r="M154" s="75" t="s">
        <v>4251</v>
      </c>
      <c r="N154" s="75" t="s">
        <v>4251</v>
      </c>
      <c r="O154" s="20" t="s">
        <v>2779</v>
      </c>
      <c r="P154" s="14" t="s">
        <v>2438</v>
      </c>
      <c r="Q154" s="3">
        <v>91.74</v>
      </c>
      <c r="R154" s="3">
        <v>218.23</v>
      </c>
      <c r="S154" s="18" t="s">
        <v>2857</v>
      </c>
      <c r="T154" s="12"/>
    </row>
    <row r="155" spans="1:20" x14ac:dyDescent="0.25">
      <c r="A155" s="18" t="s">
        <v>2858</v>
      </c>
      <c r="B155" s="11" t="s">
        <v>2859</v>
      </c>
      <c r="C155" s="4" t="str">
        <f t="shared" si="2"/>
        <v>ASUS</v>
      </c>
      <c r="D155" s="14" t="s">
        <v>2336</v>
      </c>
      <c r="E155" s="11" t="s">
        <v>352</v>
      </c>
      <c r="F155" s="76" t="s">
        <v>8783</v>
      </c>
      <c r="G155" s="12" t="s">
        <v>406</v>
      </c>
      <c r="H155" s="12">
        <v>128</v>
      </c>
      <c r="I155" s="12">
        <v>5066</v>
      </c>
      <c r="J155" s="12">
        <v>4</v>
      </c>
      <c r="K155" s="12">
        <v>2</v>
      </c>
      <c r="L155" s="75" t="s">
        <v>4255</v>
      </c>
      <c r="M155" s="75" t="s">
        <v>4258</v>
      </c>
      <c r="N155" s="75" t="s">
        <v>4257</v>
      </c>
      <c r="O155" s="20" t="s">
        <v>2860</v>
      </c>
      <c r="P155" s="14" t="s">
        <v>2438</v>
      </c>
      <c r="Q155" s="3">
        <v>131.9</v>
      </c>
      <c r="R155" s="3">
        <v>177.51</v>
      </c>
      <c r="S155" s="18" t="s">
        <v>2861</v>
      </c>
      <c r="T155" s="12"/>
    </row>
    <row r="156" spans="1:20" x14ac:dyDescent="0.25">
      <c r="A156" s="18" t="s">
        <v>2862</v>
      </c>
      <c r="B156" s="11" t="s">
        <v>2863</v>
      </c>
      <c r="C156" s="4" t="str">
        <f t="shared" si="2"/>
        <v>ASUS</v>
      </c>
      <c r="D156" s="14" t="s">
        <v>2294</v>
      </c>
      <c r="E156" s="11" t="s">
        <v>352</v>
      </c>
      <c r="F156" s="76" t="s">
        <v>8784</v>
      </c>
      <c r="G156" s="12" t="s">
        <v>406</v>
      </c>
      <c r="H156" s="12">
        <v>128</v>
      </c>
      <c r="I156" s="12">
        <v>5333</v>
      </c>
      <c r="J156" s="12">
        <v>4</v>
      </c>
      <c r="K156" s="12">
        <v>2</v>
      </c>
      <c r="L156" s="75" t="s">
        <v>4260</v>
      </c>
      <c r="M156" s="75" t="s">
        <v>4261</v>
      </c>
      <c r="N156" s="75" t="s">
        <v>4254</v>
      </c>
      <c r="O156" s="20" t="s">
        <v>2779</v>
      </c>
      <c r="P156" s="14" t="s">
        <v>2443</v>
      </c>
      <c r="Q156" s="3">
        <v>119.9</v>
      </c>
      <c r="R156" s="3">
        <v>222.28</v>
      </c>
      <c r="S156" s="18" t="s">
        <v>2864</v>
      </c>
      <c r="T156" s="12"/>
    </row>
    <row r="157" spans="1:20" x14ac:dyDescent="0.25">
      <c r="A157" s="18" t="s">
        <v>2865</v>
      </c>
      <c r="B157" s="11" t="s">
        <v>2866</v>
      </c>
      <c r="C157" s="4" t="str">
        <f t="shared" si="2"/>
        <v>ASUS</v>
      </c>
      <c r="D157" s="14" t="s">
        <v>2294</v>
      </c>
      <c r="E157" s="11" t="s">
        <v>352</v>
      </c>
      <c r="F157" s="76" t="s">
        <v>8784</v>
      </c>
      <c r="G157" s="12" t="s">
        <v>407</v>
      </c>
      <c r="H157" s="12">
        <v>128</v>
      </c>
      <c r="I157" s="12">
        <v>7200</v>
      </c>
      <c r="J157" s="12">
        <v>4</v>
      </c>
      <c r="K157" s="12">
        <v>2</v>
      </c>
      <c r="L157" s="75" t="s">
        <v>4260</v>
      </c>
      <c r="M157" s="75" t="s">
        <v>4261</v>
      </c>
      <c r="N157" s="75" t="s">
        <v>4254</v>
      </c>
      <c r="O157" s="20" t="s">
        <v>2853</v>
      </c>
      <c r="P157" s="14" t="s">
        <v>2443</v>
      </c>
      <c r="Q157" s="3">
        <v>149.9</v>
      </c>
      <c r="R157" s="3">
        <v>239</v>
      </c>
      <c r="S157" s="18" t="s">
        <v>2867</v>
      </c>
      <c r="T157" s="12"/>
    </row>
    <row r="158" spans="1:20" x14ac:dyDescent="0.25">
      <c r="A158" s="18" t="s">
        <v>2868</v>
      </c>
      <c r="B158" s="11" t="s">
        <v>2869</v>
      </c>
      <c r="C158" s="4" t="str">
        <f t="shared" si="2"/>
        <v>ASUS</v>
      </c>
      <c r="D158" s="14" t="s">
        <v>2294</v>
      </c>
      <c r="E158" s="11" t="s">
        <v>352</v>
      </c>
      <c r="F158" s="76" t="s">
        <v>8784</v>
      </c>
      <c r="G158" s="12" t="s">
        <v>406</v>
      </c>
      <c r="H158" s="12">
        <v>128</v>
      </c>
      <c r="I158" s="12">
        <v>5333</v>
      </c>
      <c r="J158" s="12">
        <v>4</v>
      </c>
      <c r="K158" s="12">
        <v>2</v>
      </c>
      <c r="L158" s="75" t="s">
        <v>4260</v>
      </c>
      <c r="M158" s="75" t="s">
        <v>4261</v>
      </c>
      <c r="N158" s="75" t="s">
        <v>4254</v>
      </c>
      <c r="O158" s="20" t="s">
        <v>2853</v>
      </c>
      <c r="P158" s="14" t="s">
        <v>2443</v>
      </c>
      <c r="Q158" s="3">
        <v>133.88999999999999</v>
      </c>
      <c r="R158" s="3">
        <v>277.19</v>
      </c>
      <c r="S158" s="18" t="s">
        <v>2870</v>
      </c>
      <c r="T158" s="12"/>
    </row>
    <row r="159" spans="1:20" x14ac:dyDescent="0.25">
      <c r="A159" s="18" t="s">
        <v>2871</v>
      </c>
      <c r="B159" s="11" t="s">
        <v>2872</v>
      </c>
      <c r="C159" s="4" t="str">
        <f t="shared" si="2"/>
        <v>ASUS</v>
      </c>
      <c r="D159" s="14" t="s">
        <v>2294</v>
      </c>
      <c r="E159" s="11" t="s">
        <v>352</v>
      </c>
      <c r="F159" s="76" t="s">
        <v>8784</v>
      </c>
      <c r="G159" s="12" t="s">
        <v>407</v>
      </c>
      <c r="H159" s="12">
        <v>128</v>
      </c>
      <c r="I159" s="12">
        <v>7200</v>
      </c>
      <c r="J159" s="12">
        <v>4</v>
      </c>
      <c r="K159" s="12">
        <v>2</v>
      </c>
      <c r="L159" s="75" t="s">
        <v>4260</v>
      </c>
      <c r="M159" s="75" t="s">
        <v>4261</v>
      </c>
      <c r="N159" s="75" t="s">
        <v>4254</v>
      </c>
      <c r="O159" s="20" t="s">
        <v>2779</v>
      </c>
      <c r="P159" s="14" t="s">
        <v>2443</v>
      </c>
      <c r="Q159" s="3">
        <v>119.76</v>
      </c>
      <c r="R159" s="3">
        <v>262</v>
      </c>
      <c r="S159" s="18" t="s">
        <v>2873</v>
      </c>
      <c r="T159" s="12"/>
    </row>
    <row r="160" spans="1:20" x14ac:dyDescent="0.25">
      <c r="A160" s="18" t="s">
        <v>2874</v>
      </c>
      <c r="B160" s="11" t="s">
        <v>2875</v>
      </c>
      <c r="C160" s="4" t="str">
        <f t="shared" si="2"/>
        <v>ASUS</v>
      </c>
      <c r="D160" s="14" t="s">
        <v>2294</v>
      </c>
      <c r="E160" s="11" t="s">
        <v>352</v>
      </c>
      <c r="F160" s="76" t="s">
        <v>8784</v>
      </c>
      <c r="G160" s="12" t="s">
        <v>407</v>
      </c>
      <c r="H160" s="12">
        <v>96</v>
      </c>
      <c r="I160" s="12">
        <v>8000</v>
      </c>
      <c r="J160" s="12">
        <v>2</v>
      </c>
      <c r="K160" s="12">
        <v>2</v>
      </c>
      <c r="L160" s="75" t="s">
        <v>4260</v>
      </c>
      <c r="M160" s="75" t="s">
        <v>4251</v>
      </c>
      <c r="N160" s="75" t="s">
        <v>4251</v>
      </c>
      <c r="O160" s="20" t="s">
        <v>2779</v>
      </c>
      <c r="P160" s="14" t="s">
        <v>2443</v>
      </c>
      <c r="Q160" s="3">
        <v>115.69</v>
      </c>
      <c r="R160" s="3">
        <v>171.41</v>
      </c>
      <c r="S160" s="18" t="s">
        <v>2876</v>
      </c>
      <c r="T160" s="12"/>
    </row>
    <row r="161" spans="1:20" x14ac:dyDescent="0.25">
      <c r="A161" s="18" t="s">
        <v>2877</v>
      </c>
      <c r="B161" s="11" t="s">
        <v>2878</v>
      </c>
      <c r="C161" s="4" t="str">
        <f t="shared" si="2"/>
        <v>ASUS</v>
      </c>
      <c r="D161" s="14" t="s">
        <v>2294</v>
      </c>
      <c r="E161" s="11" t="s">
        <v>352</v>
      </c>
      <c r="F161" s="76" t="s">
        <v>8784</v>
      </c>
      <c r="G161" s="12" t="s">
        <v>406</v>
      </c>
      <c r="H161" s="12">
        <v>64</v>
      </c>
      <c r="I161" s="12">
        <v>5333</v>
      </c>
      <c r="J161" s="12">
        <v>2</v>
      </c>
      <c r="K161" s="12">
        <v>2</v>
      </c>
      <c r="L161" s="75" t="s">
        <v>4260</v>
      </c>
      <c r="M161" s="75" t="s">
        <v>4251</v>
      </c>
      <c r="N161" s="75" t="s">
        <v>4251</v>
      </c>
      <c r="O161" s="20" t="s">
        <v>2779</v>
      </c>
      <c r="P161" s="14" t="s">
        <v>2443</v>
      </c>
      <c r="Q161" s="3">
        <v>103.28</v>
      </c>
      <c r="R161" s="3">
        <v>232</v>
      </c>
      <c r="S161" s="18" t="s">
        <v>2879</v>
      </c>
      <c r="T161" s="12"/>
    </row>
    <row r="162" spans="1:20" x14ac:dyDescent="0.25">
      <c r="A162" s="18" t="s">
        <v>2880</v>
      </c>
      <c r="B162" s="11" t="s">
        <v>2881</v>
      </c>
      <c r="C162" s="4" t="str">
        <f t="shared" si="2"/>
        <v>ASUS</v>
      </c>
      <c r="D162" s="14" t="s">
        <v>2294</v>
      </c>
      <c r="E162" s="11" t="s">
        <v>352</v>
      </c>
      <c r="F162" s="76" t="s">
        <v>8784</v>
      </c>
      <c r="G162" s="12" t="s">
        <v>407</v>
      </c>
      <c r="H162" s="12">
        <v>128</v>
      </c>
      <c r="I162" s="12">
        <v>7200</v>
      </c>
      <c r="J162" s="12">
        <v>4</v>
      </c>
      <c r="K162" s="12">
        <v>2</v>
      </c>
      <c r="L162" s="75" t="s">
        <v>4260</v>
      </c>
      <c r="M162" s="75" t="s">
        <v>4244</v>
      </c>
      <c r="N162" s="75" t="s">
        <v>4254</v>
      </c>
      <c r="O162" s="20" t="s">
        <v>2779</v>
      </c>
      <c r="P162" s="14" t="s">
        <v>2443</v>
      </c>
      <c r="Q162" s="3">
        <v>141.9</v>
      </c>
      <c r="R162" s="3">
        <v>208.5</v>
      </c>
      <c r="S162" s="18" t="s">
        <v>2882</v>
      </c>
      <c r="T162" s="12"/>
    </row>
    <row r="163" spans="1:20" x14ac:dyDescent="0.25">
      <c r="A163" s="18" t="s">
        <v>2883</v>
      </c>
      <c r="B163" s="11" t="s">
        <v>2884</v>
      </c>
      <c r="C163" s="4" t="str">
        <f t="shared" si="2"/>
        <v>ASUS</v>
      </c>
      <c r="D163" s="14" t="s">
        <v>2294</v>
      </c>
      <c r="E163" s="11" t="s">
        <v>352</v>
      </c>
      <c r="F163" s="76" t="s">
        <v>8784</v>
      </c>
      <c r="G163" s="12" t="s">
        <v>406</v>
      </c>
      <c r="H163" s="12">
        <v>64</v>
      </c>
      <c r="I163" s="12">
        <v>5333</v>
      </c>
      <c r="J163" s="12">
        <v>2</v>
      </c>
      <c r="K163" s="12">
        <v>2</v>
      </c>
      <c r="L163" s="75" t="s">
        <v>4260</v>
      </c>
      <c r="M163" s="75" t="s">
        <v>4251</v>
      </c>
      <c r="N163" s="75" t="s">
        <v>4251</v>
      </c>
      <c r="O163" s="20" t="s">
        <v>2779</v>
      </c>
      <c r="P163" s="14" t="s">
        <v>2443</v>
      </c>
      <c r="Q163" s="3">
        <v>95.9</v>
      </c>
      <c r="R163" s="3">
        <v>233.99</v>
      </c>
      <c r="S163" s="18" t="s">
        <v>2885</v>
      </c>
      <c r="T163" s="12"/>
    </row>
    <row r="164" spans="1:20" x14ac:dyDescent="0.25">
      <c r="A164" s="18" t="s">
        <v>2886</v>
      </c>
      <c r="B164" s="11" t="s">
        <v>2887</v>
      </c>
      <c r="C164" s="4" t="str">
        <f t="shared" si="2"/>
        <v>ASUS</v>
      </c>
      <c r="D164" s="14" t="s">
        <v>2336</v>
      </c>
      <c r="E164" s="11" t="s">
        <v>352</v>
      </c>
      <c r="F164" s="76" t="s">
        <v>8784</v>
      </c>
      <c r="G164" s="12" t="s">
        <v>407</v>
      </c>
      <c r="H164" s="12">
        <v>192</v>
      </c>
      <c r="I164" s="12">
        <v>7200</v>
      </c>
      <c r="J164" s="12">
        <v>4</v>
      </c>
      <c r="K164" s="12">
        <v>2</v>
      </c>
      <c r="L164" s="75" t="s">
        <v>4270</v>
      </c>
      <c r="M164" s="75" t="s">
        <v>4258</v>
      </c>
      <c r="N164" s="75" t="s">
        <v>4257</v>
      </c>
      <c r="O164" s="20" t="s">
        <v>2860</v>
      </c>
      <c r="P164" s="14" t="s">
        <v>2443</v>
      </c>
      <c r="Q164" s="3">
        <v>130.01</v>
      </c>
      <c r="R164" s="3">
        <v>269.8</v>
      </c>
      <c r="S164" s="18" t="s">
        <v>2888</v>
      </c>
      <c r="T164" s="12"/>
    </row>
    <row r="165" spans="1:20" x14ac:dyDescent="0.25">
      <c r="A165" s="18" t="s">
        <v>2889</v>
      </c>
      <c r="B165" s="11" t="s">
        <v>2890</v>
      </c>
      <c r="C165" s="4" t="str">
        <f t="shared" si="2"/>
        <v>ASUS</v>
      </c>
      <c r="D165" s="14" t="s">
        <v>2336</v>
      </c>
      <c r="E165" s="11" t="s">
        <v>352</v>
      </c>
      <c r="F165" s="76" t="s">
        <v>8784</v>
      </c>
      <c r="G165" s="12" t="s">
        <v>406</v>
      </c>
      <c r="H165" s="12">
        <v>128</v>
      </c>
      <c r="I165" s="12">
        <v>5066</v>
      </c>
      <c r="J165" s="12">
        <v>4</v>
      </c>
      <c r="K165" s="12">
        <v>2</v>
      </c>
      <c r="L165" s="75" t="s">
        <v>4270</v>
      </c>
      <c r="M165" s="75" t="s">
        <v>4258</v>
      </c>
      <c r="N165" s="75" t="s">
        <v>4257</v>
      </c>
      <c r="O165" s="20" t="s">
        <v>2860</v>
      </c>
      <c r="P165" s="14" t="s">
        <v>2443</v>
      </c>
      <c r="Q165" s="3">
        <v>117.41</v>
      </c>
      <c r="R165" s="3">
        <v>1320.37</v>
      </c>
      <c r="S165" s="18" t="s">
        <v>2891</v>
      </c>
      <c r="T165" s="12"/>
    </row>
    <row r="166" spans="1:20" x14ac:dyDescent="0.25">
      <c r="A166" s="18" t="s">
        <v>2892</v>
      </c>
      <c r="B166" s="11" t="s">
        <v>2893</v>
      </c>
      <c r="C166" s="4" t="str">
        <f t="shared" si="2"/>
        <v>ASUS</v>
      </c>
      <c r="D166" s="14" t="s">
        <v>2294</v>
      </c>
      <c r="E166" s="11" t="s">
        <v>351</v>
      </c>
      <c r="F166" s="76" t="s">
        <v>8780</v>
      </c>
      <c r="G166" s="12" t="s">
        <v>407</v>
      </c>
      <c r="H166" s="12">
        <v>192</v>
      </c>
      <c r="I166" s="12">
        <v>7600</v>
      </c>
      <c r="J166" s="12">
        <v>4</v>
      </c>
      <c r="K166" s="12">
        <v>2</v>
      </c>
      <c r="L166" s="75" t="s">
        <v>4250</v>
      </c>
      <c r="M166" s="75" t="s">
        <v>4261</v>
      </c>
      <c r="N166" s="75" t="s">
        <v>4251</v>
      </c>
      <c r="O166" s="20" t="s">
        <v>2894</v>
      </c>
      <c r="P166" s="14" t="s">
        <v>2895</v>
      </c>
      <c r="Q166" s="3">
        <v>152.72999999999999</v>
      </c>
      <c r="R166" s="3">
        <v>261.62</v>
      </c>
      <c r="S166" s="18" t="s">
        <v>2896</v>
      </c>
      <c r="T166" s="12"/>
    </row>
    <row r="167" spans="1:20" x14ac:dyDescent="0.25">
      <c r="A167" s="18" t="s">
        <v>2897</v>
      </c>
      <c r="B167" s="11" t="s">
        <v>2898</v>
      </c>
      <c r="C167" s="4" t="str">
        <f t="shared" si="2"/>
        <v>ASUS</v>
      </c>
      <c r="D167" s="14" t="s">
        <v>2294</v>
      </c>
      <c r="E167" s="11" t="s">
        <v>351</v>
      </c>
      <c r="F167" s="76" t="s">
        <v>8780</v>
      </c>
      <c r="G167" s="12" t="s">
        <v>407</v>
      </c>
      <c r="H167" s="12">
        <v>192</v>
      </c>
      <c r="I167" s="12">
        <v>7600</v>
      </c>
      <c r="J167" s="12">
        <v>4</v>
      </c>
      <c r="K167" s="12">
        <v>2</v>
      </c>
      <c r="L167" s="75" t="s">
        <v>4250</v>
      </c>
      <c r="M167" s="75" t="s">
        <v>4261</v>
      </c>
      <c r="N167" s="75" t="s">
        <v>4251</v>
      </c>
      <c r="O167" s="20" t="s">
        <v>2899</v>
      </c>
      <c r="P167" s="14" t="s">
        <v>2895</v>
      </c>
      <c r="Q167" s="3">
        <v>127.9</v>
      </c>
      <c r="R167" s="3">
        <v>216.78</v>
      </c>
      <c r="S167" s="18" t="s">
        <v>2900</v>
      </c>
      <c r="T167" s="12"/>
    </row>
    <row r="168" spans="1:20" x14ac:dyDescent="0.25">
      <c r="A168" s="18" t="s">
        <v>2901</v>
      </c>
      <c r="B168" s="11" t="s">
        <v>2902</v>
      </c>
      <c r="C168" s="4" t="str">
        <f t="shared" si="2"/>
        <v>ASUS</v>
      </c>
      <c r="D168" s="14" t="s">
        <v>2336</v>
      </c>
      <c r="E168" s="11" t="s">
        <v>351</v>
      </c>
      <c r="F168" s="76" t="s">
        <v>8780</v>
      </c>
      <c r="G168" s="12" t="s">
        <v>407</v>
      </c>
      <c r="H168" s="12">
        <v>192</v>
      </c>
      <c r="I168" s="12">
        <v>7600</v>
      </c>
      <c r="J168" s="12">
        <v>4</v>
      </c>
      <c r="K168" s="12">
        <v>2</v>
      </c>
      <c r="L168" s="75" t="s">
        <v>4292</v>
      </c>
      <c r="M168" s="75" t="s">
        <v>4293</v>
      </c>
      <c r="N168" s="75" t="s">
        <v>4293</v>
      </c>
      <c r="O168" s="20" t="s">
        <v>2903</v>
      </c>
      <c r="P168" s="14" t="s">
        <v>2895</v>
      </c>
      <c r="Q168" s="3">
        <v>165.68</v>
      </c>
      <c r="R168" s="3">
        <v>254.99</v>
      </c>
      <c r="S168" s="18" t="s">
        <v>2904</v>
      </c>
      <c r="T168" s="12"/>
    </row>
    <row r="169" spans="1:20" x14ac:dyDescent="0.25">
      <c r="A169" s="18" t="s">
        <v>2905</v>
      </c>
      <c r="B169" s="11" t="s">
        <v>2906</v>
      </c>
      <c r="C169" s="4" t="str">
        <f t="shared" si="2"/>
        <v>ASUS</v>
      </c>
      <c r="D169" s="14" t="s">
        <v>2336</v>
      </c>
      <c r="E169" s="11" t="s">
        <v>351</v>
      </c>
      <c r="F169" s="76" t="s">
        <v>8775</v>
      </c>
      <c r="G169" s="12" t="s">
        <v>407</v>
      </c>
      <c r="H169" s="12">
        <v>192</v>
      </c>
      <c r="I169" s="12">
        <v>8000</v>
      </c>
      <c r="J169" s="12">
        <v>4</v>
      </c>
      <c r="K169" s="12">
        <v>2</v>
      </c>
      <c r="L169" s="75" t="s">
        <v>4270</v>
      </c>
      <c r="M169" s="75" t="s">
        <v>4291</v>
      </c>
      <c r="N169" s="75" t="s">
        <v>4257</v>
      </c>
      <c r="O169" s="20" t="s">
        <v>2763</v>
      </c>
      <c r="P169" s="14" t="s">
        <v>2504</v>
      </c>
      <c r="Q169" s="3">
        <v>243.99</v>
      </c>
      <c r="R169" s="3">
        <v>305.7</v>
      </c>
      <c r="S169" s="18" t="s">
        <v>2907</v>
      </c>
      <c r="T169" s="12"/>
    </row>
    <row r="170" spans="1:20" x14ac:dyDescent="0.25">
      <c r="A170" s="18" t="s">
        <v>2908</v>
      </c>
      <c r="B170" s="11" t="s">
        <v>2909</v>
      </c>
      <c r="C170" s="4" t="str">
        <f t="shared" si="2"/>
        <v>ASUS</v>
      </c>
      <c r="D170" s="14" t="s">
        <v>2294</v>
      </c>
      <c r="E170" s="11" t="s">
        <v>398</v>
      </c>
      <c r="F170" s="76" t="s">
        <v>8785</v>
      </c>
      <c r="G170" s="12" t="s">
        <v>407</v>
      </c>
      <c r="H170" s="12">
        <v>256</v>
      </c>
      <c r="I170" s="12">
        <v>8666</v>
      </c>
      <c r="J170" s="12">
        <v>4</v>
      </c>
      <c r="K170" s="12">
        <v>2</v>
      </c>
      <c r="L170" s="75" t="s">
        <v>4272</v>
      </c>
      <c r="M170" s="75" t="s">
        <v>4244</v>
      </c>
      <c r="N170" s="75" t="s">
        <v>4254</v>
      </c>
      <c r="O170" s="20" t="s">
        <v>2823</v>
      </c>
      <c r="P170" s="14" t="s">
        <v>2530</v>
      </c>
      <c r="Q170" s="3">
        <v>177.9</v>
      </c>
      <c r="R170" s="3">
        <v>261.62</v>
      </c>
      <c r="S170" s="18" t="s">
        <v>2910</v>
      </c>
      <c r="T170" s="12"/>
    </row>
    <row r="171" spans="1:20" x14ac:dyDescent="0.25">
      <c r="A171" s="18" t="s">
        <v>2911</v>
      </c>
      <c r="B171" s="11" t="s">
        <v>2912</v>
      </c>
      <c r="C171" s="4" t="str">
        <f t="shared" si="2"/>
        <v>ASUS</v>
      </c>
      <c r="D171" s="14" t="s">
        <v>2294</v>
      </c>
      <c r="E171" s="11" t="s">
        <v>398</v>
      </c>
      <c r="F171" s="76" t="s">
        <v>8785</v>
      </c>
      <c r="G171" s="12" t="s">
        <v>407</v>
      </c>
      <c r="H171" s="12">
        <v>256</v>
      </c>
      <c r="I171" s="12">
        <v>8666</v>
      </c>
      <c r="J171" s="12">
        <v>4</v>
      </c>
      <c r="K171" s="12">
        <v>2</v>
      </c>
      <c r="L171" s="75" t="s">
        <v>4272</v>
      </c>
      <c r="M171" s="75" t="s">
        <v>4244</v>
      </c>
      <c r="N171" s="75" t="s">
        <v>4254</v>
      </c>
      <c r="O171" s="20" t="s">
        <v>2813</v>
      </c>
      <c r="P171" s="14" t="s">
        <v>2530</v>
      </c>
      <c r="Q171" s="3">
        <v>175.1</v>
      </c>
      <c r="R171" s="3">
        <v>241.14</v>
      </c>
      <c r="S171" s="18" t="s">
        <v>2913</v>
      </c>
      <c r="T171" s="12"/>
    </row>
    <row r="172" spans="1:20" x14ac:dyDescent="0.25">
      <c r="A172" s="18" t="s">
        <v>2914</v>
      </c>
      <c r="B172" s="11" t="s">
        <v>2915</v>
      </c>
      <c r="C172" s="4" t="str">
        <f t="shared" si="2"/>
        <v>ASUS</v>
      </c>
      <c r="D172" s="14" t="s">
        <v>2294</v>
      </c>
      <c r="E172" s="11" t="s">
        <v>398</v>
      </c>
      <c r="F172" s="76" t="s">
        <v>8785</v>
      </c>
      <c r="G172" s="12" t="s">
        <v>407</v>
      </c>
      <c r="H172" s="12">
        <v>128</v>
      </c>
      <c r="I172" s="12">
        <v>8800</v>
      </c>
      <c r="J172" s="12">
        <v>2</v>
      </c>
      <c r="K172" s="12">
        <v>2</v>
      </c>
      <c r="L172" s="75" t="s">
        <v>4260</v>
      </c>
      <c r="M172" s="75" t="s">
        <v>4251</v>
      </c>
      <c r="N172" s="75" t="s">
        <v>4251</v>
      </c>
      <c r="O172" s="20" t="s">
        <v>2813</v>
      </c>
      <c r="P172" s="14" t="s">
        <v>2530</v>
      </c>
      <c r="Q172" s="3">
        <v>150.37</v>
      </c>
      <c r="R172" s="3">
        <v>215.6</v>
      </c>
      <c r="S172" s="18" t="s">
        <v>2916</v>
      </c>
      <c r="T172" s="12"/>
    </row>
    <row r="173" spans="1:20" x14ac:dyDescent="0.25">
      <c r="A173" s="18" t="s">
        <v>2917</v>
      </c>
      <c r="B173" s="11" t="s">
        <v>2918</v>
      </c>
      <c r="C173" s="4" t="str">
        <f t="shared" si="2"/>
        <v>ASUS</v>
      </c>
      <c r="D173" s="14" t="s">
        <v>2336</v>
      </c>
      <c r="E173" s="11" t="s">
        <v>398</v>
      </c>
      <c r="F173" s="76" t="s">
        <v>8785</v>
      </c>
      <c r="G173" s="12" t="s">
        <v>407</v>
      </c>
      <c r="H173" s="12">
        <v>256</v>
      </c>
      <c r="I173" s="12">
        <v>8666</v>
      </c>
      <c r="J173" s="12">
        <v>4</v>
      </c>
      <c r="K173" s="12">
        <v>2</v>
      </c>
      <c r="L173" s="75" t="s">
        <v>4294</v>
      </c>
      <c r="M173" s="75" t="s">
        <v>4295</v>
      </c>
      <c r="N173" s="75" t="s">
        <v>4295</v>
      </c>
      <c r="O173" s="20" t="s">
        <v>2919</v>
      </c>
      <c r="P173" s="14" t="s">
        <v>2530</v>
      </c>
      <c r="Q173" s="3">
        <v>193.9</v>
      </c>
      <c r="R173" s="3">
        <v>307.39999999999998</v>
      </c>
      <c r="S173" s="18" t="s">
        <v>2920</v>
      </c>
      <c r="T173" s="12"/>
    </row>
    <row r="174" spans="1:20" x14ac:dyDescent="0.25">
      <c r="A174" s="18" t="s">
        <v>2921</v>
      </c>
      <c r="B174" s="11" t="s">
        <v>2922</v>
      </c>
      <c r="C174" s="4" t="str">
        <f t="shared" si="2"/>
        <v>ASUS</v>
      </c>
      <c r="D174" s="14" t="s">
        <v>2336</v>
      </c>
      <c r="E174" s="11" t="s">
        <v>398</v>
      </c>
      <c r="F174" s="76" t="s">
        <v>8785</v>
      </c>
      <c r="G174" s="12" t="s">
        <v>407</v>
      </c>
      <c r="H174" s="12">
        <v>256</v>
      </c>
      <c r="I174" s="12">
        <v>8666</v>
      </c>
      <c r="J174" s="12">
        <v>4</v>
      </c>
      <c r="K174" s="12">
        <v>2</v>
      </c>
      <c r="L174" s="75" t="s">
        <v>2285</v>
      </c>
      <c r="M174" s="75" t="s">
        <v>4247</v>
      </c>
      <c r="N174" s="75" t="s">
        <v>418</v>
      </c>
      <c r="O174" s="20" t="s">
        <v>2923</v>
      </c>
      <c r="P174" s="14" t="s">
        <v>2530</v>
      </c>
      <c r="Q174" s="3">
        <v>170.01</v>
      </c>
      <c r="R174" s="3">
        <v>276.45</v>
      </c>
      <c r="S174" s="18" t="s">
        <v>2924</v>
      </c>
      <c r="T174" s="12"/>
    </row>
    <row r="175" spans="1:20" x14ac:dyDescent="0.25">
      <c r="A175" s="18" t="s">
        <v>2925</v>
      </c>
      <c r="B175" s="11" t="s">
        <v>2926</v>
      </c>
      <c r="C175" s="4" t="str">
        <f t="shared" si="2"/>
        <v>ASUS</v>
      </c>
      <c r="D175" s="14" t="s">
        <v>2336</v>
      </c>
      <c r="E175" s="11" t="s">
        <v>352</v>
      </c>
      <c r="F175" s="76" t="s">
        <v>8790</v>
      </c>
      <c r="G175" s="12" t="s">
        <v>407</v>
      </c>
      <c r="H175" s="12">
        <v>192</v>
      </c>
      <c r="I175" s="12">
        <v>7200</v>
      </c>
      <c r="J175" s="12">
        <v>4</v>
      </c>
      <c r="K175" s="12">
        <v>2</v>
      </c>
      <c r="L175" s="75" t="s">
        <v>4296</v>
      </c>
      <c r="M175" s="75" t="s">
        <v>4285</v>
      </c>
      <c r="N175" s="75" t="s">
        <v>4286</v>
      </c>
      <c r="O175" s="20" t="s">
        <v>2927</v>
      </c>
      <c r="P175" s="14" t="s">
        <v>2928</v>
      </c>
      <c r="Q175" s="3">
        <v>167.38</v>
      </c>
      <c r="R175" s="3">
        <v>305.99</v>
      </c>
      <c r="S175" s="18" t="s">
        <v>2929</v>
      </c>
      <c r="T175" s="12"/>
    </row>
    <row r="176" spans="1:20" x14ac:dyDescent="0.25">
      <c r="A176" s="18" t="s">
        <v>2930</v>
      </c>
      <c r="B176" s="11" t="s">
        <v>2931</v>
      </c>
      <c r="C176" s="4" t="str">
        <f t="shared" si="2"/>
        <v>ASUS</v>
      </c>
      <c r="D176" s="14" t="s">
        <v>2336</v>
      </c>
      <c r="E176" s="11" t="s">
        <v>352</v>
      </c>
      <c r="F176" s="76" t="s">
        <v>8790</v>
      </c>
      <c r="G176" s="12" t="s">
        <v>406</v>
      </c>
      <c r="H176" s="12">
        <v>128</v>
      </c>
      <c r="I176" s="12">
        <v>5066</v>
      </c>
      <c r="J176" s="12">
        <v>4</v>
      </c>
      <c r="K176" s="12">
        <v>2</v>
      </c>
      <c r="L176" s="75" t="s">
        <v>4296</v>
      </c>
      <c r="M176" s="75" t="s">
        <v>4285</v>
      </c>
      <c r="N176" s="75" t="s">
        <v>4286</v>
      </c>
      <c r="O176" s="20" t="s">
        <v>2927</v>
      </c>
      <c r="P176" s="14" t="s">
        <v>2928</v>
      </c>
      <c r="Q176" s="3">
        <v>179</v>
      </c>
      <c r="R176" s="3">
        <v>316.39</v>
      </c>
      <c r="S176" s="18" t="s">
        <v>2932</v>
      </c>
      <c r="T176" s="12"/>
    </row>
    <row r="177" spans="1:20" x14ac:dyDescent="0.25">
      <c r="A177" s="18" t="s">
        <v>2933</v>
      </c>
      <c r="B177" s="11" t="s">
        <v>2934</v>
      </c>
      <c r="C177" s="4" t="str">
        <f t="shared" si="2"/>
        <v>ASUS</v>
      </c>
      <c r="D177" s="14" t="s">
        <v>2294</v>
      </c>
      <c r="E177" s="11" t="s">
        <v>398</v>
      </c>
      <c r="F177" s="76" t="s">
        <v>8791</v>
      </c>
      <c r="G177" s="12" t="s">
        <v>407</v>
      </c>
      <c r="H177" s="12">
        <v>128</v>
      </c>
      <c r="I177" s="12">
        <v>6400</v>
      </c>
      <c r="J177" s="12">
        <v>2</v>
      </c>
      <c r="K177" s="12">
        <v>2</v>
      </c>
      <c r="L177" s="75" t="s">
        <v>4271</v>
      </c>
      <c r="M177" s="75" t="s">
        <v>4249</v>
      </c>
      <c r="N177" s="75" t="s">
        <v>4249</v>
      </c>
      <c r="O177" s="20" t="s">
        <v>2935</v>
      </c>
      <c r="P177" s="14" t="s">
        <v>2936</v>
      </c>
      <c r="Q177" s="3">
        <v>128.01</v>
      </c>
      <c r="R177" s="3">
        <v>168.39</v>
      </c>
      <c r="S177" s="18" t="s">
        <v>2937</v>
      </c>
      <c r="T177" s="12"/>
    </row>
    <row r="178" spans="1:20" x14ac:dyDescent="0.25">
      <c r="A178" s="18" t="s">
        <v>2938</v>
      </c>
      <c r="B178" s="11" t="s">
        <v>2939</v>
      </c>
      <c r="C178" s="4" t="str">
        <f t="shared" si="2"/>
        <v>ASUS</v>
      </c>
      <c r="D178" s="14" t="s">
        <v>2294</v>
      </c>
      <c r="E178" s="11" t="s">
        <v>398</v>
      </c>
      <c r="F178" s="76" t="s">
        <v>8791</v>
      </c>
      <c r="G178" s="12" t="s">
        <v>407</v>
      </c>
      <c r="H178" s="12">
        <v>128</v>
      </c>
      <c r="I178" s="12">
        <v>6400</v>
      </c>
      <c r="J178" s="12">
        <v>2</v>
      </c>
      <c r="K178" s="12">
        <v>2</v>
      </c>
      <c r="L178" s="75" t="s">
        <v>4271</v>
      </c>
      <c r="M178" s="75" t="s">
        <v>4249</v>
      </c>
      <c r="N178" s="75" t="s">
        <v>4249</v>
      </c>
      <c r="O178" s="20" t="s">
        <v>2940</v>
      </c>
      <c r="P178" s="14" t="s">
        <v>2936</v>
      </c>
      <c r="Q178" s="3">
        <v>119.76</v>
      </c>
      <c r="R178" s="3">
        <v>161.32</v>
      </c>
      <c r="S178" s="18" t="s">
        <v>2941</v>
      </c>
      <c r="T178" s="12"/>
    </row>
    <row r="179" spans="1:20" x14ac:dyDescent="0.25">
      <c r="A179" s="18" t="s">
        <v>2942</v>
      </c>
      <c r="B179" s="11" t="s">
        <v>2943</v>
      </c>
      <c r="C179" s="4" t="str">
        <f t="shared" si="2"/>
        <v>ASUS</v>
      </c>
      <c r="D179" s="14" t="s">
        <v>2336</v>
      </c>
      <c r="E179" s="11" t="s">
        <v>351</v>
      </c>
      <c r="F179" s="76" t="s">
        <v>8779</v>
      </c>
      <c r="G179" s="12" t="s">
        <v>407</v>
      </c>
      <c r="H179" s="12">
        <v>192</v>
      </c>
      <c r="I179" s="12">
        <v>8000</v>
      </c>
      <c r="J179" s="12">
        <v>4</v>
      </c>
      <c r="K179" s="12">
        <v>2</v>
      </c>
      <c r="L179" s="75" t="s">
        <v>4272</v>
      </c>
      <c r="M179" s="75" t="s">
        <v>4278</v>
      </c>
      <c r="N179" s="75" t="s">
        <v>4273</v>
      </c>
      <c r="O179" s="20" t="s">
        <v>2944</v>
      </c>
      <c r="P179" s="14" t="s">
        <v>2635</v>
      </c>
      <c r="Q179" s="3">
        <v>308.55</v>
      </c>
      <c r="R179" s="3">
        <v>487.99</v>
      </c>
      <c r="S179" s="18" t="s">
        <v>2945</v>
      </c>
      <c r="T179" s="12"/>
    </row>
    <row r="180" spans="1:20" x14ac:dyDescent="0.25">
      <c r="A180" s="18" t="s">
        <v>2946</v>
      </c>
      <c r="B180" s="11" t="s">
        <v>2947</v>
      </c>
      <c r="C180" s="4" t="str">
        <f t="shared" si="2"/>
        <v>ASUS</v>
      </c>
      <c r="D180" s="14" t="s">
        <v>2336</v>
      </c>
      <c r="E180" s="11" t="s">
        <v>351</v>
      </c>
      <c r="F180" s="76" t="s">
        <v>8781</v>
      </c>
      <c r="G180" s="12" t="s">
        <v>407</v>
      </c>
      <c r="H180" s="12">
        <v>192</v>
      </c>
      <c r="I180" s="12">
        <v>7600</v>
      </c>
      <c r="J180" s="12">
        <v>4</v>
      </c>
      <c r="K180" s="12">
        <v>2</v>
      </c>
      <c r="L180" s="75" t="s">
        <v>4297</v>
      </c>
      <c r="M180" s="75" t="s">
        <v>4256</v>
      </c>
      <c r="N180" s="75" t="s">
        <v>4256</v>
      </c>
      <c r="O180" s="20" t="s">
        <v>2923</v>
      </c>
      <c r="P180" s="14" t="s">
        <v>2948</v>
      </c>
      <c r="Q180" s="3">
        <v>240.6</v>
      </c>
      <c r="R180" s="3">
        <v>345.92</v>
      </c>
      <c r="S180" s="18" t="s">
        <v>2949</v>
      </c>
      <c r="T180" s="12"/>
    </row>
    <row r="181" spans="1:20" x14ac:dyDescent="0.25">
      <c r="A181" s="18" t="s">
        <v>2950</v>
      </c>
      <c r="B181" s="11" t="s">
        <v>2951</v>
      </c>
      <c r="C181" s="4" t="str">
        <f t="shared" si="2"/>
        <v>ASUS</v>
      </c>
      <c r="D181" s="14" t="s">
        <v>2336</v>
      </c>
      <c r="E181" s="11" t="s">
        <v>351</v>
      </c>
      <c r="F181" s="76" t="s">
        <v>8781</v>
      </c>
      <c r="G181" s="12" t="s">
        <v>407</v>
      </c>
      <c r="H181" s="12">
        <v>192</v>
      </c>
      <c r="I181" s="12">
        <v>7600</v>
      </c>
      <c r="J181" s="12">
        <v>4</v>
      </c>
      <c r="K181" s="12">
        <v>2</v>
      </c>
      <c r="L181" s="75" t="s">
        <v>4297</v>
      </c>
      <c r="M181" s="75" t="s">
        <v>4256</v>
      </c>
      <c r="N181" s="75" t="s">
        <v>4256</v>
      </c>
      <c r="O181" s="20" t="s">
        <v>2952</v>
      </c>
      <c r="P181" s="14" t="s">
        <v>2948</v>
      </c>
      <c r="Q181" s="3">
        <v>230.45</v>
      </c>
      <c r="R181" s="3">
        <v>341</v>
      </c>
      <c r="S181" s="18" t="s">
        <v>2953</v>
      </c>
      <c r="T181" s="12"/>
    </row>
    <row r="182" spans="1:20" x14ac:dyDescent="0.25">
      <c r="A182" s="18" t="s">
        <v>2954</v>
      </c>
      <c r="B182" s="11" t="s">
        <v>2955</v>
      </c>
      <c r="C182" s="4" t="str">
        <f t="shared" si="2"/>
        <v>ASUS</v>
      </c>
      <c r="D182" s="14" t="s">
        <v>2336</v>
      </c>
      <c r="E182" s="11" t="s">
        <v>351</v>
      </c>
      <c r="F182" s="76" t="s">
        <v>8781</v>
      </c>
      <c r="G182" s="12" t="s">
        <v>407</v>
      </c>
      <c r="H182" s="12">
        <v>192</v>
      </c>
      <c r="I182" s="12">
        <v>7600</v>
      </c>
      <c r="J182" s="12">
        <v>4</v>
      </c>
      <c r="K182" s="12">
        <v>2</v>
      </c>
      <c r="L182" s="75" t="s">
        <v>4297</v>
      </c>
      <c r="M182" s="75" t="s">
        <v>4256</v>
      </c>
      <c r="N182" s="75" t="s">
        <v>4256</v>
      </c>
      <c r="O182" s="20" t="s">
        <v>2923</v>
      </c>
      <c r="P182" s="14" t="s">
        <v>2948</v>
      </c>
      <c r="Q182" s="3">
        <v>236.81</v>
      </c>
      <c r="R182" s="3">
        <v>379</v>
      </c>
      <c r="S182" s="18" t="s">
        <v>2956</v>
      </c>
      <c r="T182" s="12"/>
    </row>
    <row r="183" spans="1:20" x14ac:dyDescent="0.25">
      <c r="A183" s="18" t="s">
        <v>2957</v>
      </c>
      <c r="B183" s="11" t="s">
        <v>2958</v>
      </c>
      <c r="C183" s="4" t="str">
        <f t="shared" si="2"/>
        <v>ASUS</v>
      </c>
      <c r="D183" s="14" t="s">
        <v>2336</v>
      </c>
      <c r="E183" s="11" t="s">
        <v>351</v>
      </c>
      <c r="F183" s="76" t="s">
        <v>8777</v>
      </c>
      <c r="G183" s="12" t="s">
        <v>407</v>
      </c>
      <c r="H183" s="12">
        <v>192</v>
      </c>
      <c r="I183" s="12">
        <v>8000</v>
      </c>
      <c r="J183" s="12">
        <v>4</v>
      </c>
      <c r="K183" s="12">
        <v>2</v>
      </c>
      <c r="L183" s="75" t="s">
        <v>4272</v>
      </c>
      <c r="M183" s="75" t="s">
        <v>4261</v>
      </c>
      <c r="N183" s="75" t="s">
        <v>4251</v>
      </c>
      <c r="O183" s="20" t="s">
        <v>2959</v>
      </c>
      <c r="P183" s="14" t="s">
        <v>2960</v>
      </c>
      <c r="Q183" s="3">
        <v>239.87</v>
      </c>
      <c r="R183" s="3">
        <v>415</v>
      </c>
      <c r="S183" s="18" t="s">
        <v>2961</v>
      </c>
      <c r="T183" s="12"/>
    </row>
    <row r="184" spans="1:20" x14ac:dyDescent="0.25">
      <c r="A184" s="18" t="s">
        <v>2962</v>
      </c>
      <c r="B184" s="11" t="s">
        <v>2963</v>
      </c>
      <c r="C184" s="4" t="str">
        <f t="shared" si="2"/>
        <v>ASUS</v>
      </c>
      <c r="D184" s="14" t="s">
        <v>2336</v>
      </c>
      <c r="E184" s="11" t="s">
        <v>351</v>
      </c>
      <c r="F184" s="76" t="s">
        <v>8777</v>
      </c>
      <c r="G184" s="12" t="s">
        <v>407</v>
      </c>
      <c r="H184" s="12">
        <v>192</v>
      </c>
      <c r="I184" s="12">
        <v>8000</v>
      </c>
      <c r="J184" s="12">
        <v>4</v>
      </c>
      <c r="K184" s="12">
        <v>2</v>
      </c>
      <c r="L184" s="75" t="s">
        <v>4279</v>
      </c>
      <c r="M184" s="75" t="s">
        <v>4291</v>
      </c>
      <c r="N184" s="75" t="s">
        <v>4298</v>
      </c>
      <c r="O184" s="20" t="s">
        <v>2964</v>
      </c>
      <c r="P184" s="14" t="s">
        <v>2960</v>
      </c>
      <c r="Q184" s="3">
        <v>284.89999999999998</v>
      </c>
      <c r="R184" s="3">
        <v>527.89</v>
      </c>
      <c r="S184" s="18" t="s">
        <v>2965</v>
      </c>
      <c r="T184" s="12"/>
    </row>
    <row r="185" spans="1:20" x14ac:dyDescent="0.25">
      <c r="A185" s="18" t="s">
        <v>2966</v>
      </c>
      <c r="B185" s="11" t="s">
        <v>2967</v>
      </c>
      <c r="C185" s="4" t="str">
        <f t="shared" si="2"/>
        <v>ASUS</v>
      </c>
      <c r="D185" s="14" t="s">
        <v>2336</v>
      </c>
      <c r="E185" s="11" t="s">
        <v>352</v>
      </c>
      <c r="F185" s="76" t="s">
        <v>8789</v>
      </c>
      <c r="G185" s="12" t="s">
        <v>407</v>
      </c>
      <c r="H185" s="12">
        <v>128</v>
      </c>
      <c r="I185" s="12">
        <v>6000</v>
      </c>
      <c r="J185" s="12">
        <v>4</v>
      </c>
      <c r="K185" s="12">
        <v>2</v>
      </c>
      <c r="L185" s="75" t="s">
        <v>4299</v>
      </c>
      <c r="M185" s="75" t="s">
        <v>4300</v>
      </c>
      <c r="N185" s="75" t="s">
        <v>4286</v>
      </c>
      <c r="O185" s="20" t="s">
        <v>2968</v>
      </c>
      <c r="P185" s="14" t="s">
        <v>450</v>
      </c>
      <c r="Q185" s="3">
        <v>239.48</v>
      </c>
      <c r="R185" s="3">
        <v>501.62</v>
      </c>
      <c r="S185" s="18" t="s">
        <v>2969</v>
      </c>
      <c r="T185" s="12"/>
    </row>
    <row r="186" spans="1:20" x14ac:dyDescent="0.25">
      <c r="A186" s="18" t="s">
        <v>2970</v>
      </c>
      <c r="B186" s="11" t="s">
        <v>2971</v>
      </c>
      <c r="C186" s="4" t="str">
        <f t="shared" si="2"/>
        <v>ASUS</v>
      </c>
      <c r="D186" s="14" t="s">
        <v>2336</v>
      </c>
      <c r="E186" s="11" t="s">
        <v>352</v>
      </c>
      <c r="F186" s="76" t="s">
        <v>8789</v>
      </c>
      <c r="G186" s="12" t="s">
        <v>406</v>
      </c>
      <c r="H186" s="12">
        <v>128</v>
      </c>
      <c r="I186" s="12">
        <v>5333</v>
      </c>
      <c r="J186" s="12">
        <v>4</v>
      </c>
      <c r="K186" s="12">
        <v>2</v>
      </c>
      <c r="L186" s="75" t="s">
        <v>4274</v>
      </c>
      <c r="M186" s="75" t="s">
        <v>4293</v>
      </c>
      <c r="N186" s="75" t="s">
        <v>4301</v>
      </c>
      <c r="O186" s="20" t="s">
        <v>2972</v>
      </c>
      <c r="P186" s="14" t="s">
        <v>450</v>
      </c>
      <c r="Q186" s="3">
        <v>175</v>
      </c>
      <c r="R186" s="3">
        <v>285</v>
      </c>
      <c r="S186" s="18" t="s">
        <v>2973</v>
      </c>
      <c r="T186" s="12"/>
    </row>
    <row r="187" spans="1:20" x14ac:dyDescent="0.25">
      <c r="A187" s="18" t="s">
        <v>2974</v>
      </c>
      <c r="B187" s="11" t="s">
        <v>2975</v>
      </c>
      <c r="C187" s="4" t="str">
        <f t="shared" si="2"/>
        <v>ASUS</v>
      </c>
      <c r="D187" s="14" t="s">
        <v>2336</v>
      </c>
      <c r="E187" s="11" t="s">
        <v>352</v>
      </c>
      <c r="F187" s="76" t="s">
        <v>8789</v>
      </c>
      <c r="G187" s="12" t="s">
        <v>407</v>
      </c>
      <c r="H187" s="12">
        <v>128</v>
      </c>
      <c r="I187" s="12">
        <v>6000</v>
      </c>
      <c r="J187" s="12">
        <v>4</v>
      </c>
      <c r="K187" s="12">
        <v>2</v>
      </c>
      <c r="L187" s="75" t="s">
        <v>4274</v>
      </c>
      <c r="M187" s="75" t="s">
        <v>4293</v>
      </c>
      <c r="N187" s="75" t="s">
        <v>4301</v>
      </c>
      <c r="O187" s="20" t="s">
        <v>2976</v>
      </c>
      <c r="P187" s="14" t="s">
        <v>450</v>
      </c>
      <c r="Q187" s="3">
        <v>299.89999999999998</v>
      </c>
      <c r="R187" s="3">
        <v>310.20999999999998</v>
      </c>
      <c r="S187" s="18" t="s">
        <v>2977</v>
      </c>
      <c r="T187" s="12"/>
    </row>
    <row r="188" spans="1:20" x14ac:dyDescent="0.25">
      <c r="A188" s="18" t="s">
        <v>2978</v>
      </c>
      <c r="B188" s="11" t="s">
        <v>2979</v>
      </c>
      <c r="C188" s="4" t="str">
        <f t="shared" si="2"/>
        <v>ASUS</v>
      </c>
      <c r="D188" s="14" t="s">
        <v>2336</v>
      </c>
      <c r="E188" s="11" t="s">
        <v>352</v>
      </c>
      <c r="F188" s="76" t="s">
        <v>8787</v>
      </c>
      <c r="G188" s="12" t="s">
        <v>407</v>
      </c>
      <c r="H188" s="12">
        <v>192</v>
      </c>
      <c r="I188" s="12">
        <v>7200</v>
      </c>
      <c r="J188" s="12">
        <v>4</v>
      </c>
      <c r="K188" s="12">
        <v>2</v>
      </c>
      <c r="L188" s="75" t="s">
        <v>4296</v>
      </c>
      <c r="M188" s="75" t="s">
        <v>4300</v>
      </c>
      <c r="N188" s="75" t="s">
        <v>4286</v>
      </c>
      <c r="O188" s="20" t="s">
        <v>2980</v>
      </c>
      <c r="P188" s="14" t="s">
        <v>2681</v>
      </c>
      <c r="Q188" s="3">
        <v>264.3</v>
      </c>
      <c r="R188" s="3">
        <v>371</v>
      </c>
      <c r="S188" s="18" t="s">
        <v>2981</v>
      </c>
      <c r="T188" s="12"/>
    </row>
    <row r="189" spans="1:20" x14ac:dyDescent="0.25">
      <c r="A189" s="18" t="s">
        <v>2982</v>
      </c>
      <c r="B189" s="11" t="s">
        <v>2983</v>
      </c>
      <c r="C189" s="4" t="str">
        <f t="shared" si="2"/>
        <v>ASUS</v>
      </c>
      <c r="D189" s="14" t="s">
        <v>2294</v>
      </c>
      <c r="E189" s="11" t="s">
        <v>352</v>
      </c>
      <c r="F189" s="76" t="s">
        <v>8787</v>
      </c>
      <c r="G189" s="12" t="s">
        <v>407</v>
      </c>
      <c r="H189" s="12">
        <v>192</v>
      </c>
      <c r="I189" s="12">
        <v>7200</v>
      </c>
      <c r="J189" s="12">
        <v>4</v>
      </c>
      <c r="K189" s="12">
        <v>2</v>
      </c>
      <c r="L189" s="75" t="s">
        <v>4279</v>
      </c>
      <c r="M189" s="75" t="s">
        <v>4258</v>
      </c>
      <c r="N189" s="75" t="s">
        <v>4257</v>
      </c>
      <c r="O189" s="20" t="s">
        <v>2984</v>
      </c>
      <c r="P189" s="14" t="s">
        <v>2681</v>
      </c>
      <c r="Q189" s="3">
        <v>193.96</v>
      </c>
      <c r="R189" s="3">
        <v>333.1</v>
      </c>
      <c r="S189" s="18" t="s">
        <v>2985</v>
      </c>
      <c r="T189" s="12"/>
    </row>
    <row r="190" spans="1:20" x14ac:dyDescent="0.25">
      <c r="A190" s="18" t="s">
        <v>2986</v>
      </c>
      <c r="B190" s="11" t="s">
        <v>2987</v>
      </c>
      <c r="C190" s="4" t="str">
        <f t="shared" si="2"/>
        <v>ASUS</v>
      </c>
      <c r="D190" s="14" t="s">
        <v>2336</v>
      </c>
      <c r="E190" s="11" t="s">
        <v>352</v>
      </c>
      <c r="F190" s="76" t="s">
        <v>8787</v>
      </c>
      <c r="G190" s="12" t="s">
        <v>407</v>
      </c>
      <c r="H190" s="12">
        <v>192</v>
      </c>
      <c r="I190" s="12">
        <v>7200</v>
      </c>
      <c r="J190" s="12">
        <v>4</v>
      </c>
      <c r="K190" s="12">
        <v>2</v>
      </c>
      <c r="L190" s="75" t="s">
        <v>4302</v>
      </c>
      <c r="M190" s="75" t="s">
        <v>4293</v>
      </c>
      <c r="N190" s="75" t="s">
        <v>4301</v>
      </c>
      <c r="O190" s="20" t="s">
        <v>2972</v>
      </c>
      <c r="P190" s="14" t="s">
        <v>2681</v>
      </c>
      <c r="Q190" s="3">
        <v>183.36</v>
      </c>
      <c r="R190" s="3">
        <v>427</v>
      </c>
      <c r="S190" s="18" t="s">
        <v>2988</v>
      </c>
      <c r="T190" s="12"/>
    </row>
    <row r="191" spans="1:20" x14ac:dyDescent="0.25">
      <c r="A191" s="18" t="s">
        <v>2989</v>
      </c>
      <c r="B191" s="11" t="s">
        <v>2990</v>
      </c>
      <c r="C191" s="4" t="str">
        <f t="shared" si="2"/>
        <v>ASUS</v>
      </c>
      <c r="D191" s="14" t="s">
        <v>2336</v>
      </c>
      <c r="E191" s="11" t="s">
        <v>352</v>
      </c>
      <c r="F191" s="76" t="s">
        <v>8787</v>
      </c>
      <c r="G191" s="12" t="s">
        <v>407</v>
      </c>
      <c r="H191" s="12">
        <v>192</v>
      </c>
      <c r="I191" s="12">
        <v>7200</v>
      </c>
      <c r="J191" s="12">
        <v>4</v>
      </c>
      <c r="K191" s="12">
        <v>2</v>
      </c>
      <c r="L191" s="75" t="s">
        <v>4302</v>
      </c>
      <c r="M191" s="75" t="s">
        <v>4293</v>
      </c>
      <c r="N191" s="75" t="s">
        <v>4301</v>
      </c>
      <c r="O191" s="20" t="s">
        <v>2976</v>
      </c>
      <c r="P191" s="14" t="s">
        <v>2681</v>
      </c>
      <c r="Q191" s="3">
        <v>215</v>
      </c>
      <c r="R191" s="3">
        <v>328</v>
      </c>
      <c r="S191" s="18" t="s">
        <v>2991</v>
      </c>
      <c r="T191" s="12"/>
    </row>
    <row r="192" spans="1:20" x14ac:dyDescent="0.25">
      <c r="A192" s="18" t="s">
        <v>2992</v>
      </c>
      <c r="B192" s="11" t="s">
        <v>2993</v>
      </c>
      <c r="C192" s="4" t="str">
        <f t="shared" si="2"/>
        <v>ASUS</v>
      </c>
      <c r="D192" s="14" t="s">
        <v>2294</v>
      </c>
      <c r="E192" s="11" t="s">
        <v>398</v>
      </c>
      <c r="F192" s="76" t="s">
        <v>8788</v>
      </c>
      <c r="G192" s="12" t="s">
        <v>407</v>
      </c>
      <c r="H192" s="12">
        <v>256</v>
      </c>
      <c r="I192" s="12">
        <v>8666</v>
      </c>
      <c r="J192" s="12">
        <v>4</v>
      </c>
      <c r="K192" s="12">
        <v>2</v>
      </c>
      <c r="L192" s="75" t="s">
        <v>4279</v>
      </c>
      <c r="M192" s="75" t="s">
        <v>4291</v>
      </c>
      <c r="N192" s="75" t="s">
        <v>4291</v>
      </c>
      <c r="O192" s="20" t="s">
        <v>2508</v>
      </c>
      <c r="P192" s="14" t="s">
        <v>2994</v>
      </c>
      <c r="Q192" s="3">
        <v>218.9</v>
      </c>
      <c r="R192" s="3">
        <v>356</v>
      </c>
      <c r="S192" s="18" t="s">
        <v>2995</v>
      </c>
      <c r="T192" s="12"/>
    </row>
    <row r="193" spans="1:20" x14ac:dyDescent="0.25">
      <c r="A193" s="18" t="s">
        <v>2996</v>
      </c>
      <c r="B193" s="11" t="s">
        <v>2997</v>
      </c>
      <c r="C193" s="4" t="str">
        <f t="shared" si="2"/>
        <v>ASUS</v>
      </c>
      <c r="D193" s="14" t="s">
        <v>2336</v>
      </c>
      <c r="E193" s="11" t="s">
        <v>398</v>
      </c>
      <c r="F193" s="76" t="s">
        <v>8788</v>
      </c>
      <c r="G193" s="12" t="s">
        <v>407</v>
      </c>
      <c r="H193" s="12">
        <v>256</v>
      </c>
      <c r="I193" s="12">
        <v>8666</v>
      </c>
      <c r="J193" s="12">
        <v>4</v>
      </c>
      <c r="K193" s="12">
        <v>2</v>
      </c>
      <c r="L193" s="75" t="s">
        <v>4279</v>
      </c>
      <c r="M193" s="75" t="s">
        <v>4291</v>
      </c>
      <c r="N193" s="75" t="s">
        <v>4291</v>
      </c>
      <c r="O193" s="20" t="s">
        <v>2998</v>
      </c>
      <c r="P193" s="14" t="s">
        <v>2610</v>
      </c>
      <c r="Q193" s="3">
        <v>242.35</v>
      </c>
      <c r="R193" s="3">
        <v>334</v>
      </c>
      <c r="S193" s="18" t="s">
        <v>2999</v>
      </c>
      <c r="T193" s="12"/>
    </row>
    <row r="194" spans="1:20" x14ac:dyDescent="0.25">
      <c r="A194" s="18" t="s">
        <v>3000</v>
      </c>
      <c r="B194" s="11" t="s">
        <v>3001</v>
      </c>
      <c r="C194" s="4" t="str">
        <f t="shared" si="2"/>
        <v>ASUS</v>
      </c>
      <c r="D194" s="14" t="s">
        <v>2336</v>
      </c>
      <c r="E194" s="11" t="s">
        <v>398</v>
      </c>
      <c r="F194" s="76" t="s">
        <v>8788</v>
      </c>
      <c r="G194" s="12" t="s">
        <v>407</v>
      </c>
      <c r="H194" s="12">
        <v>256</v>
      </c>
      <c r="I194" s="12">
        <v>8666</v>
      </c>
      <c r="J194" s="12">
        <v>4</v>
      </c>
      <c r="K194" s="12">
        <v>2</v>
      </c>
      <c r="L194" s="75" t="s">
        <v>4279</v>
      </c>
      <c r="M194" s="75" t="s">
        <v>4291</v>
      </c>
      <c r="N194" s="75" t="s">
        <v>4291</v>
      </c>
      <c r="O194" s="20" t="s">
        <v>3002</v>
      </c>
      <c r="P194" s="14" t="s">
        <v>2610</v>
      </c>
      <c r="Q194" s="3">
        <v>254.46</v>
      </c>
      <c r="R194" s="3">
        <v>428</v>
      </c>
      <c r="S194" s="18" t="s">
        <v>3003</v>
      </c>
      <c r="T194" s="12"/>
    </row>
    <row r="195" spans="1:20" x14ac:dyDescent="0.25">
      <c r="A195" s="18" t="s">
        <v>3004</v>
      </c>
      <c r="B195" s="11" t="s">
        <v>3005</v>
      </c>
      <c r="C195" s="4" t="str">
        <f t="shared" si="2"/>
        <v>ASUS</v>
      </c>
      <c r="D195" s="14" t="s">
        <v>2294</v>
      </c>
      <c r="E195" s="11" t="s">
        <v>350</v>
      </c>
      <c r="F195" s="76" t="s">
        <v>8770</v>
      </c>
      <c r="G195" s="12" t="s">
        <v>406</v>
      </c>
      <c r="H195" s="12">
        <v>64</v>
      </c>
      <c r="I195" s="12">
        <v>4866</v>
      </c>
      <c r="J195" s="12">
        <v>2</v>
      </c>
      <c r="K195" s="12">
        <v>2</v>
      </c>
      <c r="L195" s="75" t="s">
        <v>4243</v>
      </c>
      <c r="M195" s="75" t="s">
        <v>4251</v>
      </c>
      <c r="N195" s="75" t="s">
        <v>4251</v>
      </c>
      <c r="O195" s="20" t="s">
        <v>2304</v>
      </c>
      <c r="P195" s="14" t="s">
        <v>3006</v>
      </c>
      <c r="Q195" s="3">
        <v>69.900000000000006</v>
      </c>
      <c r="R195" s="3">
        <v>204.7</v>
      </c>
      <c r="S195" s="18" t="s">
        <v>3007</v>
      </c>
      <c r="T195" s="12"/>
    </row>
    <row r="196" spans="1:20" x14ac:dyDescent="0.25">
      <c r="A196" s="18" t="s">
        <v>3008</v>
      </c>
      <c r="B196" s="11" t="s">
        <v>3009</v>
      </c>
      <c r="C196" s="4" t="str">
        <f t="shared" si="2"/>
        <v>ASUS</v>
      </c>
      <c r="D196" s="14" t="s">
        <v>2294</v>
      </c>
      <c r="E196" s="11" t="s">
        <v>351</v>
      </c>
      <c r="F196" s="76" t="s">
        <v>8771</v>
      </c>
      <c r="G196" s="12" t="s">
        <v>407</v>
      </c>
      <c r="H196" s="12">
        <v>96</v>
      </c>
      <c r="I196" s="12">
        <v>8000</v>
      </c>
      <c r="J196" s="12">
        <v>2</v>
      </c>
      <c r="K196" s="12">
        <v>2</v>
      </c>
      <c r="L196" s="75" t="s">
        <v>4250</v>
      </c>
      <c r="M196" s="75" t="s">
        <v>4251</v>
      </c>
      <c r="N196" s="75" t="s">
        <v>4251</v>
      </c>
      <c r="O196" s="20" t="s">
        <v>2779</v>
      </c>
      <c r="P196" s="14" t="s">
        <v>3010</v>
      </c>
      <c r="Q196" s="3">
        <v>119.9</v>
      </c>
      <c r="R196" s="3">
        <v>174.57</v>
      </c>
      <c r="S196" s="18" t="s">
        <v>3011</v>
      </c>
      <c r="T196" s="12"/>
    </row>
    <row r="197" spans="1:20" x14ac:dyDescent="0.25">
      <c r="A197" s="18" t="s">
        <v>3012</v>
      </c>
      <c r="B197" s="11" t="s">
        <v>3013</v>
      </c>
      <c r="C197" s="4" t="str">
        <f t="shared" si="2"/>
        <v>ASUS</v>
      </c>
      <c r="D197" s="14" t="s">
        <v>2294</v>
      </c>
      <c r="E197" s="11" t="s">
        <v>351</v>
      </c>
      <c r="F197" s="76" t="s">
        <v>8771</v>
      </c>
      <c r="G197" s="12" t="s">
        <v>407</v>
      </c>
      <c r="H197" s="12">
        <v>96</v>
      </c>
      <c r="I197" s="12">
        <v>7200</v>
      </c>
      <c r="J197" s="12">
        <v>2</v>
      </c>
      <c r="K197" s="12">
        <v>2</v>
      </c>
      <c r="L197" s="75" t="s">
        <v>4259</v>
      </c>
      <c r="M197" s="75" t="s">
        <v>4249</v>
      </c>
      <c r="N197" s="75" t="s">
        <v>4249</v>
      </c>
      <c r="O197" s="20" t="s">
        <v>2783</v>
      </c>
      <c r="P197" s="14" t="s">
        <v>450</v>
      </c>
      <c r="Q197" s="3">
        <v>92.6</v>
      </c>
      <c r="R197" s="3">
        <v>135.6</v>
      </c>
      <c r="S197" s="18" t="s">
        <v>3014</v>
      </c>
      <c r="T197" s="12"/>
    </row>
    <row r="198" spans="1:20" x14ac:dyDescent="0.25">
      <c r="A198" s="18" t="s">
        <v>3015</v>
      </c>
      <c r="B198" s="11" t="s">
        <v>3016</v>
      </c>
      <c r="C198" s="4" t="str">
        <f t="shared" si="2"/>
        <v>ASUS</v>
      </c>
      <c r="D198" s="14" t="s">
        <v>2294</v>
      </c>
      <c r="E198" s="11" t="s">
        <v>350</v>
      </c>
      <c r="F198" s="76" t="s">
        <v>8772</v>
      </c>
      <c r="G198" s="12" t="s">
        <v>406</v>
      </c>
      <c r="H198" s="12">
        <v>128</v>
      </c>
      <c r="I198" s="12">
        <v>4800</v>
      </c>
      <c r="J198" s="12">
        <v>4</v>
      </c>
      <c r="K198" s="12">
        <v>2</v>
      </c>
      <c r="L198" s="75" t="s">
        <v>4259</v>
      </c>
      <c r="M198" s="75" t="s">
        <v>418</v>
      </c>
      <c r="N198" s="75" t="s">
        <v>418</v>
      </c>
      <c r="O198" s="20" t="s">
        <v>3017</v>
      </c>
      <c r="P198" s="14" t="s">
        <v>450</v>
      </c>
      <c r="Q198" s="3">
        <v>126.13</v>
      </c>
      <c r="R198" s="3">
        <v>206</v>
      </c>
      <c r="S198" s="18" t="s">
        <v>3018</v>
      </c>
      <c r="T198" s="12"/>
    </row>
    <row r="199" spans="1:20" x14ac:dyDescent="0.25">
      <c r="A199" s="18" t="s">
        <v>3019</v>
      </c>
      <c r="B199" s="11" t="s">
        <v>3020</v>
      </c>
      <c r="C199" s="4" t="str">
        <f t="shared" si="2"/>
        <v>ASUS</v>
      </c>
      <c r="D199" s="14" t="s">
        <v>2294</v>
      </c>
      <c r="E199" s="11" t="s">
        <v>351</v>
      </c>
      <c r="F199" s="76" t="s">
        <v>8773</v>
      </c>
      <c r="G199" s="12" t="s">
        <v>407</v>
      </c>
      <c r="H199" s="12">
        <v>192</v>
      </c>
      <c r="I199" s="12">
        <v>7600</v>
      </c>
      <c r="J199" s="12">
        <v>4</v>
      </c>
      <c r="K199" s="12">
        <v>2</v>
      </c>
      <c r="L199" s="75" t="s">
        <v>4260</v>
      </c>
      <c r="M199" s="75" t="s">
        <v>4244</v>
      </c>
      <c r="N199" s="75" t="s">
        <v>4254</v>
      </c>
      <c r="O199" s="20" t="s">
        <v>3021</v>
      </c>
      <c r="P199" s="14" t="s">
        <v>450</v>
      </c>
      <c r="Q199" s="3">
        <v>153.6</v>
      </c>
      <c r="R199" s="3">
        <v>285.19</v>
      </c>
      <c r="S199" s="18" t="s">
        <v>3022</v>
      </c>
      <c r="T199" s="12"/>
    </row>
    <row r="200" spans="1:20" x14ac:dyDescent="0.25">
      <c r="A200" s="18" t="s">
        <v>3023</v>
      </c>
      <c r="B200" s="11" t="s">
        <v>3024</v>
      </c>
      <c r="C200" s="4" t="str">
        <f t="shared" si="2"/>
        <v>ASUS</v>
      </c>
      <c r="D200" s="14" t="s">
        <v>2294</v>
      </c>
      <c r="E200" s="11" t="s">
        <v>352</v>
      </c>
      <c r="F200" s="76" t="s">
        <v>8783</v>
      </c>
      <c r="G200" s="12" t="s">
        <v>406</v>
      </c>
      <c r="H200" s="12">
        <v>128</v>
      </c>
      <c r="I200" s="12">
        <v>5000</v>
      </c>
      <c r="J200" s="12">
        <v>4</v>
      </c>
      <c r="K200" s="12">
        <v>2</v>
      </c>
      <c r="L200" s="75" t="s">
        <v>4250</v>
      </c>
      <c r="M200" s="75" t="s">
        <v>4251</v>
      </c>
      <c r="N200" s="75" t="s">
        <v>4251</v>
      </c>
      <c r="O200" s="20" t="s">
        <v>3025</v>
      </c>
      <c r="P200" s="14" t="s">
        <v>450</v>
      </c>
      <c r="Q200" s="3">
        <v>103.02</v>
      </c>
      <c r="R200" s="3">
        <v>198</v>
      </c>
      <c r="S200" s="18" t="s">
        <v>3026</v>
      </c>
      <c r="T200" s="12"/>
    </row>
    <row r="201" spans="1:20" x14ac:dyDescent="0.25">
      <c r="A201" s="18" t="s">
        <v>3027</v>
      </c>
      <c r="B201" s="11" t="s">
        <v>3028</v>
      </c>
      <c r="C201" s="4" t="str">
        <f t="shared" ref="C201:C264" si="3">LEFT(A201, FIND(" ",A201)-1)</f>
        <v>ASUS</v>
      </c>
      <c r="D201" s="14" t="s">
        <v>2294</v>
      </c>
      <c r="E201" s="11" t="s">
        <v>352</v>
      </c>
      <c r="F201" s="76" t="s">
        <v>8784</v>
      </c>
      <c r="G201" s="12" t="s">
        <v>407</v>
      </c>
      <c r="H201" s="12">
        <v>192</v>
      </c>
      <c r="I201" s="12">
        <v>6200</v>
      </c>
      <c r="J201" s="12">
        <v>4</v>
      </c>
      <c r="K201" s="12">
        <v>2</v>
      </c>
      <c r="L201" s="75" t="s">
        <v>4250</v>
      </c>
      <c r="M201" s="75" t="s">
        <v>4251</v>
      </c>
      <c r="N201" s="75" t="s">
        <v>4251</v>
      </c>
      <c r="O201" s="20" t="s">
        <v>3025</v>
      </c>
      <c r="P201" s="14" t="s">
        <v>2443</v>
      </c>
      <c r="Q201" s="3">
        <v>133.28</v>
      </c>
      <c r="R201" s="3">
        <v>251</v>
      </c>
      <c r="S201" s="18" t="s">
        <v>3029</v>
      </c>
      <c r="T201" s="12"/>
    </row>
    <row r="202" spans="1:20" x14ac:dyDescent="0.25">
      <c r="A202" s="18" t="s">
        <v>3030</v>
      </c>
      <c r="B202" s="11" t="s">
        <v>3031</v>
      </c>
      <c r="C202" s="4" t="str">
        <f t="shared" si="3"/>
        <v>ASUS</v>
      </c>
      <c r="D202" s="14" t="s">
        <v>2294</v>
      </c>
      <c r="E202" s="11" t="s">
        <v>352</v>
      </c>
      <c r="F202" s="76" t="s">
        <v>8784</v>
      </c>
      <c r="G202" s="12" t="s">
        <v>407</v>
      </c>
      <c r="H202" s="12">
        <v>192</v>
      </c>
      <c r="I202" s="12">
        <v>6200</v>
      </c>
      <c r="J202" s="12">
        <v>4</v>
      </c>
      <c r="K202" s="12">
        <v>2</v>
      </c>
      <c r="L202" s="75" t="s">
        <v>4250</v>
      </c>
      <c r="M202" s="75" t="s">
        <v>4251</v>
      </c>
      <c r="N202" s="75" t="s">
        <v>4251</v>
      </c>
      <c r="O202" s="20" t="s">
        <v>3025</v>
      </c>
      <c r="P202" s="14" t="s">
        <v>450</v>
      </c>
      <c r="Q202" s="3">
        <v>144.47999999999999</v>
      </c>
      <c r="R202" s="3">
        <v>304.99</v>
      </c>
      <c r="S202" s="18" t="s">
        <v>3032</v>
      </c>
      <c r="T202" s="12"/>
    </row>
    <row r="203" spans="1:20" x14ac:dyDescent="0.25">
      <c r="A203" s="18" t="s">
        <v>3033</v>
      </c>
      <c r="B203" s="11" t="s">
        <v>3034</v>
      </c>
      <c r="C203" s="4" t="str">
        <f t="shared" si="3"/>
        <v>ASUS</v>
      </c>
      <c r="D203" s="14" t="s">
        <v>2336</v>
      </c>
      <c r="E203" s="11" t="s">
        <v>352</v>
      </c>
      <c r="F203" s="76" t="s">
        <v>8792</v>
      </c>
      <c r="G203" s="12" t="s">
        <v>407</v>
      </c>
      <c r="H203" s="12">
        <v>192</v>
      </c>
      <c r="I203" s="12">
        <v>6000</v>
      </c>
      <c r="J203" s="12">
        <v>4</v>
      </c>
      <c r="K203" s="12">
        <v>2</v>
      </c>
      <c r="L203" s="75" t="s">
        <v>4303</v>
      </c>
      <c r="M203" s="75" t="s">
        <v>4293</v>
      </c>
      <c r="N203" s="75" t="s">
        <v>4304</v>
      </c>
      <c r="O203" s="20" t="s">
        <v>3035</v>
      </c>
      <c r="P203" s="14" t="s">
        <v>450</v>
      </c>
      <c r="Q203" s="3">
        <v>466.85</v>
      </c>
      <c r="R203" s="3">
        <v>668.87</v>
      </c>
      <c r="S203" s="18" t="s">
        <v>3036</v>
      </c>
      <c r="T203" s="12"/>
    </row>
    <row r="204" spans="1:20" x14ac:dyDescent="0.25">
      <c r="A204" s="18" t="s">
        <v>3037</v>
      </c>
      <c r="B204" s="11" t="s">
        <v>3038</v>
      </c>
      <c r="C204" s="4" t="str">
        <f t="shared" si="3"/>
        <v>ASUS</v>
      </c>
      <c r="D204" s="14" t="s">
        <v>2336</v>
      </c>
      <c r="E204" s="11" t="s">
        <v>352</v>
      </c>
      <c r="F204" s="76" t="s">
        <v>8792</v>
      </c>
      <c r="G204" s="12" t="s">
        <v>407</v>
      </c>
      <c r="H204" s="12">
        <v>192</v>
      </c>
      <c r="I204" s="12">
        <v>6000</v>
      </c>
      <c r="J204" s="12">
        <v>4</v>
      </c>
      <c r="K204" s="12">
        <v>2</v>
      </c>
      <c r="L204" s="75" t="s">
        <v>4303</v>
      </c>
      <c r="M204" s="75" t="s">
        <v>4293</v>
      </c>
      <c r="N204" s="75" t="s">
        <v>4304</v>
      </c>
      <c r="O204" s="20" t="s">
        <v>3035</v>
      </c>
      <c r="P204" s="14" t="s">
        <v>450</v>
      </c>
      <c r="Q204" s="3">
        <v>560.41</v>
      </c>
      <c r="R204" s="3">
        <v>798.75</v>
      </c>
      <c r="S204" s="18" t="s">
        <v>3039</v>
      </c>
      <c r="T204" s="12"/>
    </row>
    <row r="205" spans="1:20" x14ac:dyDescent="0.25">
      <c r="A205" s="18" t="s">
        <v>3040</v>
      </c>
      <c r="B205" s="11" t="s">
        <v>3041</v>
      </c>
      <c r="C205" s="4" t="str">
        <f t="shared" si="3"/>
        <v>ASUS</v>
      </c>
      <c r="D205" s="14" t="s">
        <v>2294</v>
      </c>
      <c r="E205" s="11" t="s">
        <v>352</v>
      </c>
      <c r="F205" s="76" t="s">
        <v>8792</v>
      </c>
      <c r="G205" s="12" t="s">
        <v>407</v>
      </c>
      <c r="H205" s="12">
        <v>192</v>
      </c>
      <c r="I205" s="12">
        <v>6000</v>
      </c>
      <c r="J205" s="12">
        <v>4</v>
      </c>
      <c r="K205" s="12">
        <v>2</v>
      </c>
      <c r="L205" s="75" t="s">
        <v>4267</v>
      </c>
      <c r="M205" s="75" t="s">
        <v>4254</v>
      </c>
      <c r="N205" s="75" t="s">
        <v>4254</v>
      </c>
      <c r="O205" s="20" t="s">
        <v>2779</v>
      </c>
      <c r="P205" s="14" t="s">
        <v>450</v>
      </c>
      <c r="Q205" s="3">
        <v>524.84</v>
      </c>
      <c r="R205" s="3">
        <v>741.06</v>
      </c>
      <c r="S205" s="18" t="s">
        <v>3042</v>
      </c>
      <c r="T205" s="12"/>
    </row>
    <row r="206" spans="1:20" x14ac:dyDescent="0.25">
      <c r="A206" s="18" t="s">
        <v>3043</v>
      </c>
      <c r="B206" s="11" t="s">
        <v>3044</v>
      </c>
      <c r="C206" s="4" t="str">
        <f t="shared" si="3"/>
        <v>ASUS</v>
      </c>
      <c r="D206" s="14" t="s">
        <v>2336</v>
      </c>
      <c r="E206" s="11" t="s">
        <v>398</v>
      </c>
      <c r="F206" s="76" t="s">
        <v>8788</v>
      </c>
      <c r="G206" s="12" t="s">
        <v>407</v>
      </c>
      <c r="H206" s="12">
        <v>192</v>
      </c>
      <c r="I206" s="12">
        <v>9066</v>
      </c>
      <c r="J206" s="12">
        <v>4</v>
      </c>
      <c r="K206" s="12">
        <v>2</v>
      </c>
      <c r="L206" s="75" t="s">
        <v>4289</v>
      </c>
      <c r="M206" s="75" t="s">
        <v>4261</v>
      </c>
      <c r="N206" s="75" t="s">
        <v>4290</v>
      </c>
      <c r="O206" s="20" t="s">
        <v>3045</v>
      </c>
      <c r="P206" s="14" t="s">
        <v>450</v>
      </c>
      <c r="Q206" s="3">
        <v>543.9</v>
      </c>
      <c r="R206" s="3">
        <v>741.62</v>
      </c>
      <c r="S206" s="18" t="s">
        <v>3046</v>
      </c>
      <c r="T206" s="12"/>
    </row>
    <row r="207" spans="1:20" x14ac:dyDescent="0.25">
      <c r="A207" s="18" t="s">
        <v>3047</v>
      </c>
      <c r="B207" s="11" t="s">
        <v>3048</v>
      </c>
      <c r="C207" s="4" t="str">
        <f t="shared" si="3"/>
        <v>ASUS</v>
      </c>
      <c r="D207" s="14" t="s">
        <v>2336</v>
      </c>
      <c r="E207" s="11" t="s">
        <v>351</v>
      </c>
      <c r="F207" s="76" t="s">
        <v>8773</v>
      </c>
      <c r="G207" s="12" t="s">
        <v>407</v>
      </c>
      <c r="H207" s="12">
        <v>192</v>
      </c>
      <c r="I207" s="12">
        <v>7600</v>
      </c>
      <c r="J207" s="12">
        <v>4</v>
      </c>
      <c r="K207" s="12">
        <v>2</v>
      </c>
      <c r="L207" s="75" t="s">
        <v>4262</v>
      </c>
      <c r="M207" s="75" t="s">
        <v>4256</v>
      </c>
      <c r="N207" s="75" t="s">
        <v>4283</v>
      </c>
      <c r="O207" s="20" t="s">
        <v>3049</v>
      </c>
      <c r="P207" s="14" t="s">
        <v>2389</v>
      </c>
      <c r="Q207" s="3">
        <v>223.07</v>
      </c>
      <c r="R207" s="3">
        <v>426.19</v>
      </c>
      <c r="S207" s="18" t="s">
        <v>3050</v>
      </c>
      <c r="T207" s="12"/>
    </row>
    <row r="208" spans="1:20" x14ac:dyDescent="0.25">
      <c r="A208" s="18" t="s">
        <v>3051</v>
      </c>
      <c r="B208" s="11" t="s">
        <v>3052</v>
      </c>
      <c r="C208" s="4" t="str">
        <f t="shared" si="3"/>
        <v>ASUS</v>
      </c>
      <c r="D208" s="14" t="s">
        <v>2336</v>
      </c>
      <c r="E208" s="11" t="s">
        <v>352</v>
      </c>
      <c r="F208" s="76" t="s">
        <v>8783</v>
      </c>
      <c r="G208" s="12" t="s">
        <v>406</v>
      </c>
      <c r="H208" s="12">
        <v>128</v>
      </c>
      <c r="I208" s="12">
        <v>5333</v>
      </c>
      <c r="J208" s="12">
        <v>4</v>
      </c>
      <c r="K208" s="12">
        <v>2</v>
      </c>
      <c r="L208" s="75" t="s">
        <v>4277</v>
      </c>
      <c r="M208" s="75" t="s">
        <v>4244</v>
      </c>
      <c r="N208" s="75" t="s">
        <v>4254</v>
      </c>
      <c r="O208" s="20" t="s">
        <v>3053</v>
      </c>
      <c r="P208" s="14" t="s">
        <v>2438</v>
      </c>
      <c r="Q208" s="3">
        <v>154.97999999999999</v>
      </c>
      <c r="R208" s="3">
        <v>338.59</v>
      </c>
      <c r="S208" s="18" t="s">
        <v>3054</v>
      </c>
      <c r="T208" s="12"/>
    </row>
    <row r="209" spans="1:20" x14ac:dyDescent="0.25">
      <c r="A209" s="18" t="s">
        <v>3055</v>
      </c>
      <c r="B209" s="11" t="s">
        <v>3056</v>
      </c>
      <c r="C209" s="4" t="str">
        <f t="shared" si="3"/>
        <v>ASUS</v>
      </c>
      <c r="D209" s="14" t="s">
        <v>2336</v>
      </c>
      <c r="E209" s="11" t="s">
        <v>351</v>
      </c>
      <c r="F209" s="76" t="s">
        <v>8779</v>
      </c>
      <c r="G209" s="12" t="s">
        <v>407</v>
      </c>
      <c r="H209" s="12">
        <v>192</v>
      </c>
      <c r="I209" s="12">
        <v>8000</v>
      </c>
      <c r="J209" s="12">
        <v>4</v>
      </c>
      <c r="K209" s="12">
        <v>2</v>
      </c>
      <c r="L209" s="75" t="s">
        <v>4289</v>
      </c>
      <c r="M209" s="75" t="s">
        <v>4261</v>
      </c>
      <c r="N209" s="75" t="s">
        <v>4305</v>
      </c>
      <c r="O209" s="20" t="s">
        <v>3057</v>
      </c>
      <c r="P209" s="14" t="s">
        <v>2635</v>
      </c>
      <c r="Q209" s="3">
        <v>524.52</v>
      </c>
      <c r="R209" s="3">
        <v>781.38</v>
      </c>
      <c r="S209" s="18" t="s">
        <v>3058</v>
      </c>
      <c r="T209" s="12"/>
    </row>
    <row r="210" spans="1:20" x14ac:dyDescent="0.25">
      <c r="A210" s="18" t="s">
        <v>3059</v>
      </c>
      <c r="B210" s="11" t="s">
        <v>3060</v>
      </c>
      <c r="C210" s="4" t="str">
        <f t="shared" si="3"/>
        <v>ASUS</v>
      </c>
      <c r="D210" s="14" t="s">
        <v>2336</v>
      </c>
      <c r="E210" s="11" t="s">
        <v>352</v>
      </c>
      <c r="F210" s="76" t="s">
        <v>8787</v>
      </c>
      <c r="G210" s="12" t="s">
        <v>407</v>
      </c>
      <c r="H210" s="12">
        <v>192</v>
      </c>
      <c r="I210" s="12">
        <v>7200</v>
      </c>
      <c r="J210" s="12">
        <v>4</v>
      </c>
      <c r="K210" s="12">
        <v>2</v>
      </c>
      <c r="L210" s="75" t="s">
        <v>4289</v>
      </c>
      <c r="M210" s="75" t="s">
        <v>4261</v>
      </c>
      <c r="N210" s="75" t="s">
        <v>4290</v>
      </c>
      <c r="O210" s="20" t="s">
        <v>2980</v>
      </c>
      <c r="P210" s="14" t="s">
        <v>2690</v>
      </c>
      <c r="Q210" s="3">
        <v>425.56</v>
      </c>
      <c r="R210" s="3">
        <v>653</v>
      </c>
      <c r="S210" s="18" t="s">
        <v>3061</v>
      </c>
      <c r="T210" s="12"/>
    </row>
    <row r="211" spans="1:20" x14ac:dyDescent="0.25">
      <c r="A211" s="18" t="s">
        <v>3062</v>
      </c>
      <c r="B211" s="11" t="s">
        <v>3063</v>
      </c>
      <c r="C211" s="4" t="str">
        <f t="shared" si="3"/>
        <v>ASUS</v>
      </c>
      <c r="D211" s="14" t="s">
        <v>2336</v>
      </c>
      <c r="E211" s="11" t="s">
        <v>398</v>
      </c>
      <c r="F211" s="76" t="s">
        <v>8788</v>
      </c>
      <c r="G211" s="12" t="s">
        <v>407</v>
      </c>
      <c r="H211" s="12">
        <v>192</v>
      </c>
      <c r="I211" s="12">
        <v>9066</v>
      </c>
      <c r="J211" s="12">
        <v>4</v>
      </c>
      <c r="K211" s="12">
        <v>2</v>
      </c>
      <c r="L211" s="75" t="s">
        <v>4289</v>
      </c>
      <c r="M211" s="75" t="s">
        <v>4261</v>
      </c>
      <c r="N211" s="75" t="s">
        <v>4290</v>
      </c>
      <c r="O211" s="20" t="s">
        <v>3064</v>
      </c>
      <c r="P211" s="14" t="s">
        <v>2610</v>
      </c>
      <c r="Q211" s="3">
        <v>488.32</v>
      </c>
      <c r="R211" s="3">
        <v>879.98</v>
      </c>
      <c r="S211" s="18" t="s">
        <v>3065</v>
      </c>
      <c r="T211" s="12"/>
    </row>
    <row r="212" spans="1:20" x14ac:dyDescent="0.25">
      <c r="A212" s="18" t="s">
        <v>3066</v>
      </c>
      <c r="B212" s="11" t="s">
        <v>3067</v>
      </c>
      <c r="C212" s="4" t="str">
        <f t="shared" si="3"/>
        <v>ASUS</v>
      </c>
      <c r="D212" s="14" t="s">
        <v>4242</v>
      </c>
      <c r="E212" s="11" t="s">
        <v>350</v>
      </c>
      <c r="F212" s="76" t="s">
        <v>8782</v>
      </c>
      <c r="G212" s="12" t="s">
        <v>406</v>
      </c>
      <c r="H212" s="12">
        <v>128</v>
      </c>
      <c r="I212" s="12">
        <v>5000</v>
      </c>
      <c r="J212" s="12">
        <v>4</v>
      </c>
      <c r="K212" s="12">
        <v>2</v>
      </c>
      <c r="L212" s="75" t="s">
        <v>4264</v>
      </c>
      <c r="M212" s="75" t="s">
        <v>4244</v>
      </c>
      <c r="N212" s="75" t="s">
        <v>4306</v>
      </c>
      <c r="O212" s="20" t="s">
        <v>3068</v>
      </c>
      <c r="P212" s="14" t="s">
        <v>3069</v>
      </c>
      <c r="Q212" s="3">
        <v>652.74</v>
      </c>
      <c r="R212" s="3">
        <v>991.71</v>
      </c>
      <c r="S212" s="18" t="s">
        <v>3070</v>
      </c>
      <c r="T212" s="12"/>
    </row>
    <row r="213" spans="1:20" x14ac:dyDescent="0.25">
      <c r="A213" s="18" t="s">
        <v>3071</v>
      </c>
      <c r="B213" s="11" t="s">
        <v>3072</v>
      </c>
      <c r="C213" s="4" t="str">
        <f t="shared" si="3"/>
        <v>ASUS</v>
      </c>
      <c r="D213" s="14" t="s">
        <v>3073</v>
      </c>
      <c r="E213" s="11" t="s">
        <v>350</v>
      </c>
      <c r="F213" s="76" t="s">
        <v>8782</v>
      </c>
      <c r="G213" s="12" t="s">
        <v>406</v>
      </c>
      <c r="H213" s="12">
        <v>64</v>
      </c>
      <c r="I213" s="12">
        <v>4800</v>
      </c>
      <c r="J213" s="12">
        <v>2</v>
      </c>
      <c r="K213" s="12">
        <v>2</v>
      </c>
      <c r="L213" s="75">
        <v>4</v>
      </c>
      <c r="M213" s="75">
        <v>16</v>
      </c>
      <c r="N213" s="75">
        <v>16</v>
      </c>
      <c r="O213" s="20" t="s">
        <v>3074</v>
      </c>
      <c r="P213" s="14" t="s">
        <v>3075</v>
      </c>
      <c r="Q213" s="3">
        <v>298.89999999999998</v>
      </c>
      <c r="R213" s="3">
        <v>516</v>
      </c>
      <c r="S213" s="18" t="s">
        <v>3076</v>
      </c>
      <c r="T213" s="12"/>
    </row>
    <row r="214" spans="1:20" x14ac:dyDescent="0.25">
      <c r="A214" s="18" t="s">
        <v>3077</v>
      </c>
      <c r="B214" s="11" t="s">
        <v>3078</v>
      </c>
      <c r="C214" s="4" t="str">
        <f t="shared" si="3"/>
        <v>ASUS</v>
      </c>
      <c r="D214" s="14" t="s">
        <v>2336</v>
      </c>
      <c r="E214" s="11" t="s">
        <v>351</v>
      </c>
      <c r="F214" s="76" t="s">
        <v>8779</v>
      </c>
      <c r="G214" s="12" t="s">
        <v>407</v>
      </c>
      <c r="H214" s="12">
        <v>192</v>
      </c>
      <c r="I214" s="12">
        <v>8000</v>
      </c>
      <c r="J214" s="12">
        <v>4</v>
      </c>
      <c r="K214" s="12">
        <v>2</v>
      </c>
      <c r="L214" s="75" t="s">
        <v>4289</v>
      </c>
      <c r="M214" s="75" t="s">
        <v>4244</v>
      </c>
      <c r="N214" s="75" t="s">
        <v>4306</v>
      </c>
      <c r="O214" s="20" t="s">
        <v>3079</v>
      </c>
      <c r="P214" s="14" t="s">
        <v>3080</v>
      </c>
      <c r="Q214" s="3">
        <v>817.15</v>
      </c>
      <c r="R214" s="3">
        <v>1307.49</v>
      </c>
      <c r="S214" s="18" t="s">
        <v>3081</v>
      </c>
      <c r="T214" s="12"/>
    </row>
    <row r="215" spans="1:20" x14ac:dyDescent="0.25">
      <c r="A215" s="18" t="s">
        <v>3082</v>
      </c>
      <c r="B215" s="11" t="s">
        <v>3083</v>
      </c>
      <c r="C215" s="4" t="str">
        <f t="shared" si="3"/>
        <v>ASUS</v>
      </c>
      <c r="D215" s="14" t="s">
        <v>2336</v>
      </c>
      <c r="E215" s="11" t="s">
        <v>351</v>
      </c>
      <c r="F215" s="76" t="s">
        <v>8778</v>
      </c>
      <c r="G215" s="12" t="s">
        <v>407</v>
      </c>
      <c r="H215" s="12">
        <v>192</v>
      </c>
      <c r="I215" s="12">
        <v>8600</v>
      </c>
      <c r="J215" s="12">
        <v>4</v>
      </c>
      <c r="K215" s="12">
        <v>2</v>
      </c>
      <c r="L215" s="75" t="s">
        <v>4280</v>
      </c>
      <c r="M215" s="75" t="s">
        <v>4247</v>
      </c>
      <c r="N215" s="75" t="s">
        <v>4281</v>
      </c>
      <c r="O215" s="20" t="s">
        <v>3084</v>
      </c>
      <c r="P215" s="14" t="s">
        <v>3085</v>
      </c>
      <c r="Q215" s="3">
        <v>624.15</v>
      </c>
      <c r="R215" s="3">
        <v>918.8</v>
      </c>
      <c r="S215" s="18" t="s">
        <v>3086</v>
      </c>
      <c r="T215" s="12"/>
    </row>
    <row r="216" spans="1:20" x14ac:dyDescent="0.25">
      <c r="A216" s="18" t="s">
        <v>3087</v>
      </c>
      <c r="B216" s="11" t="s">
        <v>3088</v>
      </c>
      <c r="C216" s="4" t="str">
        <f t="shared" si="3"/>
        <v>ASUS</v>
      </c>
      <c r="D216" s="14" t="s">
        <v>2336</v>
      </c>
      <c r="E216" s="11" t="s">
        <v>352</v>
      </c>
      <c r="F216" s="76" t="s">
        <v>8789</v>
      </c>
      <c r="G216" s="12" t="s">
        <v>407</v>
      </c>
      <c r="H216" s="12">
        <v>128</v>
      </c>
      <c r="I216" s="12">
        <v>6400</v>
      </c>
      <c r="J216" s="12">
        <v>4</v>
      </c>
      <c r="K216" s="12">
        <v>2</v>
      </c>
      <c r="L216" s="75" t="s">
        <v>4289</v>
      </c>
      <c r="M216" s="75" t="s">
        <v>4261</v>
      </c>
      <c r="N216" s="75" t="s">
        <v>4290</v>
      </c>
      <c r="O216" s="20" t="s">
        <v>3089</v>
      </c>
      <c r="P216" s="14" t="s">
        <v>450</v>
      </c>
      <c r="Q216" s="3">
        <v>599</v>
      </c>
      <c r="R216" s="3">
        <v>599</v>
      </c>
      <c r="S216" s="18" t="s">
        <v>3090</v>
      </c>
      <c r="T216" s="12"/>
    </row>
    <row r="217" spans="1:20" x14ac:dyDescent="0.25">
      <c r="A217" s="18" t="s">
        <v>3091</v>
      </c>
      <c r="B217" s="11" t="s">
        <v>3092</v>
      </c>
      <c r="C217" s="4" t="str">
        <f t="shared" si="3"/>
        <v>ASUS</v>
      </c>
      <c r="D217" s="14" t="s">
        <v>2336</v>
      </c>
      <c r="E217" s="11" t="s">
        <v>352</v>
      </c>
      <c r="F217" s="76" t="s">
        <v>8789</v>
      </c>
      <c r="G217" s="12" t="s">
        <v>407</v>
      </c>
      <c r="H217" s="12">
        <v>128</v>
      </c>
      <c r="I217" s="12">
        <v>6400</v>
      </c>
      <c r="J217" s="12">
        <v>4</v>
      </c>
      <c r="K217" s="12">
        <v>2</v>
      </c>
      <c r="L217" s="75" t="s">
        <v>4289</v>
      </c>
      <c r="M217" s="75" t="s">
        <v>4261</v>
      </c>
      <c r="N217" s="75" t="s">
        <v>4290</v>
      </c>
      <c r="O217" s="20" t="s">
        <v>3089</v>
      </c>
      <c r="P217" s="14" t="s">
        <v>450</v>
      </c>
      <c r="Q217" s="3">
        <v>572.30999999999995</v>
      </c>
      <c r="R217" s="3">
        <v>647.29</v>
      </c>
      <c r="S217" s="18" t="s">
        <v>3093</v>
      </c>
      <c r="T217" s="12"/>
    </row>
    <row r="218" spans="1:20" x14ac:dyDescent="0.25">
      <c r="A218" s="18" t="s">
        <v>3094</v>
      </c>
      <c r="B218" s="11" t="s">
        <v>3095</v>
      </c>
      <c r="C218" s="4" t="str">
        <f t="shared" si="3"/>
        <v>ASUS</v>
      </c>
      <c r="D218" s="14" t="s">
        <v>2336</v>
      </c>
      <c r="E218" s="11" t="s">
        <v>352</v>
      </c>
      <c r="F218" s="76" t="s">
        <v>8787</v>
      </c>
      <c r="G218" s="12" t="s">
        <v>407</v>
      </c>
      <c r="H218" s="12">
        <v>96</v>
      </c>
      <c r="I218" s="12">
        <v>8400</v>
      </c>
      <c r="J218" s="12">
        <v>2</v>
      </c>
      <c r="K218" s="12">
        <v>2</v>
      </c>
      <c r="L218" s="75" t="s">
        <v>4307</v>
      </c>
      <c r="M218" s="75" t="s">
        <v>4308</v>
      </c>
      <c r="N218" s="75" t="s">
        <v>4309</v>
      </c>
      <c r="O218" s="20" t="s">
        <v>3096</v>
      </c>
      <c r="P218" s="14" t="s">
        <v>2681</v>
      </c>
      <c r="Q218" s="3">
        <v>549</v>
      </c>
      <c r="R218" s="3">
        <v>897.14</v>
      </c>
      <c r="S218" s="18" t="s">
        <v>3097</v>
      </c>
      <c r="T218" s="12"/>
    </row>
    <row r="219" spans="1:20" x14ac:dyDescent="0.25">
      <c r="A219" s="18" t="s">
        <v>3098</v>
      </c>
      <c r="B219" s="11" t="s">
        <v>3099</v>
      </c>
      <c r="C219" s="4" t="str">
        <f t="shared" si="3"/>
        <v>ASUS</v>
      </c>
      <c r="D219" s="14" t="s">
        <v>2336</v>
      </c>
      <c r="E219" s="11" t="s">
        <v>352</v>
      </c>
      <c r="F219" s="76" t="s">
        <v>8787</v>
      </c>
      <c r="G219" s="12" t="s">
        <v>407</v>
      </c>
      <c r="H219" s="12">
        <v>192</v>
      </c>
      <c r="I219" s="12">
        <v>8000</v>
      </c>
      <c r="J219" s="12">
        <v>4</v>
      </c>
      <c r="K219" s="12">
        <v>2</v>
      </c>
      <c r="L219" s="75" t="s">
        <v>4289</v>
      </c>
      <c r="M219" s="75" t="s">
        <v>4278</v>
      </c>
      <c r="N219" s="75" t="s">
        <v>4290</v>
      </c>
      <c r="O219" s="20" t="s">
        <v>3100</v>
      </c>
      <c r="P219" s="14" t="s">
        <v>2681</v>
      </c>
      <c r="Q219" s="3">
        <v>548.80999999999995</v>
      </c>
      <c r="R219" s="3">
        <v>1122.9000000000001</v>
      </c>
      <c r="S219" s="18" t="s">
        <v>3101</v>
      </c>
      <c r="T219" s="12"/>
    </row>
    <row r="220" spans="1:20" x14ac:dyDescent="0.25">
      <c r="A220" s="18" t="s">
        <v>3102</v>
      </c>
      <c r="B220" s="11" t="s">
        <v>3103</v>
      </c>
      <c r="C220" s="4" t="str">
        <f t="shared" si="3"/>
        <v>ASUS</v>
      </c>
      <c r="D220" s="14" t="s">
        <v>2336</v>
      </c>
      <c r="E220" s="11" t="s">
        <v>352</v>
      </c>
      <c r="F220" s="76" t="s">
        <v>8787</v>
      </c>
      <c r="G220" s="12" t="s">
        <v>407</v>
      </c>
      <c r="H220" s="12">
        <v>192</v>
      </c>
      <c r="I220" s="12">
        <v>8000</v>
      </c>
      <c r="J220" s="12">
        <v>4</v>
      </c>
      <c r="K220" s="12">
        <v>2</v>
      </c>
      <c r="L220" s="75" t="s">
        <v>4289</v>
      </c>
      <c r="M220" s="75" t="s">
        <v>4278</v>
      </c>
      <c r="N220" s="75" t="s">
        <v>4290</v>
      </c>
      <c r="O220" s="20" t="s">
        <v>3100</v>
      </c>
      <c r="P220" s="14" t="s">
        <v>2681</v>
      </c>
      <c r="Q220" s="3">
        <v>1234.2</v>
      </c>
      <c r="R220" s="3">
        <v>1899.28</v>
      </c>
      <c r="S220" s="18" t="s">
        <v>3104</v>
      </c>
      <c r="T220" s="12"/>
    </row>
    <row r="221" spans="1:20" x14ac:dyDescent="0.25">
      <c r="A221" s="18" t="s">
        <v>3105</v>
      </c>
      <c r="B221" s="11" t="s">
        <v>3106</v>
      </c>
      <c r="C221" s="4" t="str">
        <f t="shared" si="3"/>
        <v>ASUS</v>
      </c>
      <c r="D221" s="14" t="s">
        <v>2336</v>
      </c>
      <c r="E221" s="11" t="s">
        <v>352</v>
      </c>
      <c r="F221" s="76" t="s">
        <v>8787</v>
      </c>
      <c r="G221" s="12" t="s">
        <v>407</v>
      </c>
      <c r="H221" s="12">
        <v>192</v>
      </c>
      <c r="I221" s="12">
        <v>7800</v>
      </c>
      <c r="J221" s="12">
        <v>4</v>
      </c>
      <c r="K221" s="12">
        <v>2</v>
      </c>
      <c r="L221" s="75" t="s">
        <v>4289</v>
      </c>
      <c r="M221" s="75" t="s">
        <v>4261</v>
      </c>
      <c r="N221" s="75" t="s">
        <v>4290</v>
      </c>
      <c r="O221" s="20" t="s">
        <v>3107</v>
      </c>
      <c r="P221" s="14" t="s">
        <v>3108</v>
      </c>
      <c r="Q221" s="3">
        <v>408.4</v>
      </c>
      <c r="R221" s="3">
        <v>954.2</v>
      </c>
      <c r="S221" s="18" t="s">
        <v>3109</v>
      </c>
      <c r="T221" s="12"/>
    </row>
    <row r="222" spans="1:20" x14ac:dyDescent="0.25">
      <c r="A222" s="18" t="s">
        <v>3110</v>
      </c>
      <c r="B222" s="11" t="s">
        <v>3111</v>
      </c>
      <c r="C222" s="4" t="str">
        <f t="shared" si="3"/>
        <v>ASUS</v>
      </c>
      <c r="D222" s="14" t="s">
        <v>2336</v>
      </c>
      <c r="E222" s="11" t="s">
        <v>398</v>
      </c>
      <c r="F222" s="76" t="s">
        <v>8788</v>
      </c>
      <c r="G222" s="12" t="s">
        <v>407</v>
      </c>
      <c r="H222" s="12">
        <v>128</v>
      </c>
      <c r="I222" s="12">
        <v>9600</v>
      </c>
      <c r="J222" s="12">
        <v>2</v>
      </c>
      <c r="K222" s="12">
        <v>2</v>
      </c>
      <c r="L222" s="75" t="s">
        <v>4307</v>
      </c>
      <c r="M222" s="75" t="s">
        <v>4308</v>
      </c>
      <c r="N222" s="75" t="s">
        <v>4309</v>
      </c>
      <c r="O222" s="20" t="s">
        <v>3112</v>
      </c>
      <c r="P222" s="14" t="s">
        <v>2610</v>
      </c>
      <c r="Q222" s="3">
        <v>654</v>
      </c>
      <c r="R222" s="3">
        <v>933.07</v>
      </c>
      <c r="S222" s="18" t="s">
        <v>3113</v>
      </c>
      <c r="T222" s="12"/>
    </row>
    <row r="223" spans="1:20" x14ac:dyDescent="0.25">
      <c r="A223" s="18" t="s">
        <v>3114</v>
      </c>
      <c r="B223" s="11" t="s">
        <v>3115</v>
      </c>
      <c r="C223" s="4" t="str">
        <f t="shared" si="3"/>
        <v>ASUS</v>
      </c>
      <c r="D223" s="14" t="s">
        <v>4242</v>
      </c>
      <c r="E223" s="11" t="s">
        <v>398</v>
      </c>
      <c r="F223" s="76" t="s">
        <v>8788</v>
      </c>
      <c r="G223" s="12" t="s">
        <v>407</v>
      </c>
      <c r="H223" s="12">
        <v>256</v>
      </c>
      <c r="I223" s="12">
        <v>9200</v>
      </c>
      <c r="J223" s="12">
        <v>4</v>
      </c>
      <c r="K223" s="12">
        <v>2</v>
      </c>
      <c r="L223" s="75" t="s">
        <v>4289</v>
      </c>
      <c r="M223" s="75" t="s">
        <v>4278</v>
      </c>
      <c r="N223" s="75" t="s">
        <v>4290</v>
      </c>
      <c r="O223" s="20" t="s">
        <v>3116</v>
      </c>
      <c r="P223" s="14" t="s">
        <v>2610</v>
      </c>
      <c r="Q223" s="3">
        <v>1344.28</v>
      </c>
      <c r="R223" s="3">
        <v>2302.2399999999998</v>
      </c>
      <c r="S223" s="18" t="s">
        <v>3117</v>
      </c>
      <c r="T223" s="12"/>
    </row>
    <row r="224" spans="1:20" x14ac:dyDescent="0.25">
      <c r="A224" s="18" t="s">
        <v>3118</v>
      </c>
      <c r="B224" s="11" t="s">
        <v>3119</v>
      </c>
      <c r="C224" s="4" t="str">
        <f t="shared" si="3"/>
        <v>ASUS</v>
      </c>
      <c r="D224" s="14" t="s">
        <v>2336</v>
      </c>
      <c r="E224" s="11" t="s">
        <v>398</v>
      </c>
      <c r="F224" s="76" t="s">
        <v>8788</v>
      </c>
      <c r="G224" s="12" t="s">
        <v>407</v>
      </c>
      <c r="H224" s="12">
        <v>256</v>
      </c>
      <c r="I224" s="12">
        <v>9200</v>
      </c>
      <c r="J224" s="12">
        <v>4</v>
      </c>
      <c r="K224" s="12">
        <v>2</v>
      </c>
      <c r="L224" s="75" t="s">
        <v>4272</v>
      </c>
      <c r="M224" s="75" t="s">
        <v>4244</v>
      </c>
      <c r="N224" s="75" t="s">
        <v>4254</v>
      </c>
      <c r="O224" s="20" t="s">
        <v>3120</v>
      </c>
      <c r="P224" s="14" t="s">
        <v>3121</v>
      </c>
      <c r="Q224" s="3">
        <v>739.9</v>
      </c>
      <c r="R224" s="3">
        <v>950.23</v>
      </c>
      <c r="S224" s="18" t="s">
        <v>3122</v>
      </c>
      <c r="T224" s="12"/>
    </row>
    <row r="225" spans="1:20" x14ac:dyDescent="0.25">
      <c r="A225" s="18" t="s">
        <v>3123</v>
      </c>
      <c r="B225" s="11" t="s">
        <v>3124</v>
      </c>
      <c r="C225" s="4" t="str">
        <f t="shared" si="3"/>
        <v>ASUS</v>
      </c>
      <c r="D225" s="14" t="s">
        <v>2336</v>
      </c>
      <c r="E225" s="11" t="s">
        <v>398</v>
      </c>
      <c r="F225" s="76" t="s">
        <v>8788</v>
      </c>
      <c r="G225" s="12" t="s">
        <v>407</v>
      </c>
      <c r="H225" s="12">
        <v>256</v>
      </c>
      <c r="I225" s="12">
        <v>9200</v>
      </c>
      <c r="J225" s="12">
        <v>4</v>
      </c>
      <c r="K225" s="12">
        <v>2</v>
      </c>
      <c r="L225" s="75" t="s">
        <v>4272</v>
      </c>
      <c r="M225" s="75" t="s">
        <v>4254</v>
      </c>
      <c r="N225" s="75" t="s">
        <v>4254</v>
      </c>
      <c r="O225" s="20" t="s">
        <v>3125</v>
      </c>
      <c r="P225" s="14" t="s">
        <v>3126</v>
      </c>
      <c r="Q225" s="3">
        <v>783.9</v>
      </c>
      <c r="R225" s="3">
        <v>1059.69</v>
      </c>
      <c r="S225" s="18" t="s">
        <v>3127</v>
      </c>
      <c r="T225" s="12"/>
    </row>
    <row r="226" spans="1:20" x14ac:dyDescent="0.25">
      <c r="A226" s="18" t="s">
        <v>3128</v>
      </c>
      <c r="B226" s="11" t="s">
        <v>3129</v>
      </c>
      <c r="C226" s="4" t="str">
        <f t="shared" si="3"/>
        <v>ASUS</v>
      </c>
      <c r="D226" s="14" t="s">
        <v>2336</v>
      </c>
      <c r="E226" s="11" t="s">
        <v>350</v>
      </c>
      <c r="F226" s="76" t="s">
        <v>8772</v>
      </c>
      <c r="G226" s="12" t="s">
        <v>406</v>
      </c>
      <c r="H226" s="12">
        <v>128</v>
      </c>
      <c r="I226" s="12">
        <v>5100</v>
      </c>
      <c r="J226" s="12">
        <v>4</v>
      </c>
      <c r="K226" s="12">
        <v>2</v>
      </c>
      <c r="L226" s="75" t="s">
        <v>4292</v>
      </c>
      <c r="M226" s="75" t="s">
        <v>4275</v>
      </c>
      <c r="N226" s="75" t="s">
        <v>4276</v>
      </c>
      <c r="O226" s="20" t="s">
        <v>2809</v>
      </c>
      <c r="P226" s="14" t="s">
        <v>2341</v>
      </c>
      <c r="Q226" s="3">
        <v>129.9</v>
      </c>
      <c r="R226" s="3">
        <v>217.76</v>
      </c>
      <c r="S226" s="18" t="s">
        <v>3130</v>
      </c>
      <c r="T226" s="12"/>
    </row>
    <row r="227" spans="1:20" x14ac:dyDescent="0.25">
      <c r="A227" s="18" t="s">
        <v>3131</v>
      </c>
      <c r="B227" s="11" t="s">
        <v>3132</v>
      </c>
      <c r="C227" s="4" t="str">
        <f t="shared" si="3"/>
        <v>ASUS</v>
      </c>
      <c r="D227" s="14" t="s">
        <v>2336</v>
      </c>
      <c r="E227" s="11" t="s">
        <v>350</v>
      </c>
      <c r="F227" s="76" t="s">
        <v>8772</v>
      </c>
      <c r="G227" s="12" t="s">
        <v>406</v>
      </c>
      <c r="H227" s="12">
        <v>128</v>
      </c>
      <c r="I227" s="12">
        <v>5100</v>
      </c>
      <c r="J227" s="12">
        <v>4</v>
      </c>
      <c r="K227" s="12">
        <v>2</v>
      </c>
      <c r="L227" s="75" t="s">
        <v>4292</v>
      </c>
      <c r="M227" s="75" t="s">
        <v>4275</v>
      </c>
      <c r="N227" s="75" t="s">
        <v>4276</v>
      </c>
      <c r="O227" s="20" t="s">
        <v>2809</v>
      </c>
      <c r="P227" s="14" t="s">
        <v>2341</v>
      </c>
      <c r="Q227" s="3">
        <v>135.07</v>
      </c>
      <c r="R227" s="3">
        <v>279.20999999999998</v>
      </c>
      <c r="S227" s="18" t="s">
        <v>3133</v>
      </c>
      <c r="T227" s="12"/>
    </row>
    <row r="228" spans="1:20" x14ac:dyDescent="0.25">
      <c r="A228" s="18" t="s">
        <v>3134</v>
      </c>
      <c r="B228" s="11" t="s">
        <v>3135</v>
      </c>
      <c r="C228" s="4" t="str">
        <f t="shared" si="3"/>
        <v>ASUS</v>
      </c>
      <c r="D228" s="14" t="s">
        <v>2336</v>
      </c>
      <c r="E228" s="11" t="s">
        <v>350</v>
      </c>
      <c r="F228" s="76" t="s">
        <v>8772</v>
      </c>
      <c r="G228" s="12" t="s">
        <v>406</v>
      </c>
      <c r="H228" s="12">
        <v>128</v>
      </c>
      <c r="I228" s="12">
        <v>5100</v>
      </c>
      <c r="J228" s="12">
        <v>4</v>
      </c>
      <c r="K228" s="12">
        <v>2</v>
      </c>
      <c r="L228" s="75" t="s">
        <v>4292</v>
      </c>
      <c r="M228" s="75" t="s">
        <v>4275</v>
      </c>
      <c r="N228" s="75" t="s">
        <v>4276</v>
      </c>
      <c r="O228" s="20" t="s">
        <v>3136</v>
      </c>
      <c r="P228" s="14" t="s">
        <v>2341</v>
      </c>
      <c r="Q228" s="3">
        <v>150.37</v>
      </c>
      <c r="R228" s="3">
        <v>237.99</v>
      </c>
      <c r="S228" s="18" t="s">
        <v>3137</v>
      </c>
      <c r="T228" s="12"/>
    </row>
    <row r="229" spans="1:20" x14ac:dyDescent="0.25">
      <c r="A229" s="18" t="s">
        <v>3138</v>
      </c>
      <c r="B229" s="11" t="s">
        <v>3139</v>
      </c>
      <c r="C229" s="4" t="str">
        <f t="shared" si="3"/>
        <v>ASUS</v>
      </c>
      <c r="D229" s="14" t="s">
        <v>2336</v>
      </c>
      <c r="E229" s="11" t="s">
        <v>351</v>
      </c>
      <c r="F229" s="76" t="s">
        <v>8773</v>
      </c>
      <c r="G229" s="12" t="s">
        <v>407</v>
      </c>
      <c r="H229" s="12">
        <v>192</v>
      </c>
      <c r="I229" s="12">
        <v>7600</v>
      </c>
      <c r="J229" s="12">
        <v>4</v>
      </c>
      <c r="K229" s="12">
        <v>2</v>
      </c>
      <c r="L229" s="75" t="s">
        <v>4262</v>
      </c>
      <c r="M229" s="75" t="s">
        <v>4258</v>
      </c>
      <c r="N229" s="75" t="s">
        <v>4257</v>
      </c>
      <c r="O229" s="20" t="s">
        <v>2952</v>
      </c>
      <c r="P229" s="14" t="s">
        <v>2389</v>
      </c>
      <c r="Q229" s="3">
        <v>203.37</v>
      </c>
      <c r="R229" s="3">
        <v>399.99</v>
      </c>
      <c r="S229" s="18" t="s">
        <v>3140</v>
      </c>
      <c r="T229" s="12"/>
    </row>
    <row r="230" spans="1:20" x14ac:dyDescent="0.25">
      <c r="A230" s="18" t="s">
        <v>3141</v>
      </c>
      <c r="B230" s="11" t="s">
        <v>3142</v>
      </c>
      <c r="C230" s="4" t="str">
        <f t="shared" si="3"/>
        <v>ASUS</v>
      </c>
      <c r="D230" s="14" t="s">
        <v>2336</v>
      </c>
      <c r="E230" s="11" t="s">
        <v>351</v>
      </c>
      <c r="F230" s="76" t="s">
        <v>8774</v>
      </c>
      <c r="G230" s="12" t="s">
        <v>407</v>
      </c>
      <c r="H230" s="12">
        <v>192</v>
      </c>
      <c r="I230" s="12">
        <v>8000</v>
      </c>
      <c r="J230" s="12">
        <v>4</v>
      </c>
      <c r="K230" s="12">
        <v>2</v>
      </c>
      <c r="L230" s="75" t="s">
        <v>4289</v>
      </c>
      <c r="M230" s="75" t="s">
        <v>4261</v>
      </c>
      <c r="N230" s="75" t="s">
        <v>4273</v>
      </c>
      <c r="O230" s="20" t="s">
        <v>3143</v>
      </c>
      <c r="P230" s="14" t="s">
        <v>2630</v>
      </c>
      <c r="Q230" s="3">
        <v>278.7</v>
      </c>
      <c r="R230" s="3">
        <v>441.89</v>
      </c>
      <c r="S230" s="18" t="s">
        <v>3144</v>
      </c>
      <c r="T230" s="12"/>
    </row>
    <row r="231" spans="1:20" x14ac:dyDescent="0.25">
      <c r="A231" s="18" t="s">
        <v>3145</v>
      </c>
      <c r="B231" s="11" t="s">
        <v>3146</v>
      </c>
      <c r="C231" s="4" t="str">
        <f t="shared" si="3"/>
        <v>ASUS</v>
      </c>
      <c r="D231" s="14" t="s">
        <v>2336</v>
      </c>
      <c r="E231" s="11" t="s">
        <v>351</v>
      </c>
      <c r="F231" s="76" t="s">
        <v>8774</v>
      </c>
      <c r="G231" s="12" t="s">
        <v>407</v>
      </c>
      <c r="H231" s="12">
        <v>192</v>
      </c>
      <c r="I231" s="12">
        <v>8000</v>
      </c>
      <c r="J231" s="12">
        <v>4</v>
      </c>
      <c r="K231" s="12">
        <v>2</v>
      </c>
      <c r="L231" s="75" t="s">
        <v>4279</v>
      </c>
      <c r="M231" s="75" t="s">
        <v>4258</v>
      </c>
      <c r="N231" s="75" t="s">
        <v>4257</v>
      </c>
      <c r="O231" s="20" t="s">
        <v>3147</v>
      </c>
      <c r="P231" s="14" t="s">
        <v>2630</v>
      </c>
      <c r="Q231" s="3">
        <v>221.03</v>
      </c>
      <c r="R231" s="3">
        <v>396</v>
      </c>
      <c r="S231" s="18" t="s">
        <v>3148</v>
      </c>
      <c r="T231" s="12"/>
    </row>
    <row r="232" spans="1:20" x14ac:dyDescent="0.25">
      <c r="A232" s="18" t="s">
        <v>3149</v>
      </c>
      <c r="B232" s="11" t="s">
        <v>3150</v>
      </c>
      <c r="C232" s="4" t="str">
        <f t="shared" si="3"/>
        <v>ASUS</v>
      </c>
      <c r="D232" s="14" t="s">
        <v>2311</v>
      </c>
      <c r="E232" s="11" t="s">
        <v>351</v>
      </c>
      <c r="F232" s="76" t="s">
        <v>8774</v>
      </c>
      <c r="G232" s="12" t="s">
        <v>407</v>
      </c>
      <c r="H232" s="12">
        <v>96</v>
      </c>
      <c r="I232" s="12">
        <v>8000</v>
      </c>
      <c r="J232" s="12">
        <v>2</v>
      </c>
      <c r="K232" s="12">
        <v>2</v>
      </c>
      <c r="L232" s="75">
        <v>5</v>
      </c>
      <c r="M232" s="75">
        <v>16</v>
      </c>
      <c r="N232" s="75">
        <v>16</v>
      </c>
      <c r="O232" s="20" t="s">
        <v>3151</v>
      </c>
      <c r="P232" s="14" t="s">
        <v>2403</v>
      </c>
      <c r="Q232" s="3">
        <v>249.54</v>
      </c>
      <c r="R232" s="3">
        <v>382</v>
      </c>
      <c r="S232" s="18" t="s">
        <v>3152</v>
      </c>
      <c r="T232" s="12"/>
    </row>
    <row r="233" spans="1:20" x14ac:dyDescent="0.25">
      <c r="A233" s="18" t="s">
        <v>3153</v>
      </c>
      <c r="B233" s="11" t="s">
        <v>3154</v>
      </c>
      <c r="C233" s="4" t="str">
        <f t="shared" si="3"/>
        <v>ASUS</v>
      </c>
      <c r="D233" s="14" t="s">
        <v>2336</v>
      </c>
      <c r="E233" s="11" t="s">
        <v>352</v>
      </c>
      <c r="F233" s="76" t="s">
        <v>8783</v>
      </c>
      <c r="G233" s="12" t="s">
        <v>407</v>
      </c>
      <c r="H233" s="12">
        <v>128</v>
      </c>
      <c r="I233" s="12">
        <v>6000</v>
      </c>
      <c r="J233" s="12">
        <v>4</v>
      </c>
      <c r="K233" s="12">
        <v>2</v>
      </c>
      <c r="L233" s="75" t="s">
        <v>4310</v>
      </c>
      <c r="M233" s="75" t="s">
        <v>4258</v>
      </c>
      <c r="N233" s="75" t="s">
        <v>4257</v>
      </c>
      <c r="O233" s="20" t="s">
        <v>3155</v>
      </c>
      <c r="P233" s="14" t="s">
        <v>2438</v>
      </c>
      <c r="Q233" s="3">
        <v>285</v>
      </c>
      <c r="R233" s="3">
        <v>379.86</v>
      </c>
      <c r="S233" s="18" t="s">
        <v>3156</v>
      </c>
      <c r="T233" s="12"/>
    </row>
    <row r="234" spans="1:20" x14ac:dyDescent="0.25">
      <c r="A234" s="18" t="s">
        <v>3157</v>
      </c>
      <c r="B234" s="11" t="s">
        <v>3158</v>
      </c>
      <c r="C234" s="4" t="str">
        <f t="shared" si="3"/>
        <v>ASUS</v>
      </c>
      <c r="D234" s="14" t="s">
        <v>2336</v>
      </c>
      <c r="E234" s="11" t="s">
        <v>352</v>
      </c>
      <c r="F234" s="76" t="s">
        <v>8783</v>
      </c>
      <c r="G234" s="12" t="s">
        <v>406</v>
      </c>
      <c r="H234" s="12">
        <v>128</v>
      </c>
      <c r="I234" s="12">
        <v>5333</v>
      </c>
      <c r="J234" s="12">
        <v>4</v>
      </c>
      <c r="K234" s="12">
        <v>2</v>
      </c>
      <c r="L234" s="75" t="s">
        <v>4310</v>
      </c>
      <c r="M234" s="75" t="s">
        <v>4258</v>
      </c>
      <c r="N234" s="75" t="s">
        <v>4257</v>
      </c>
      <c r="O234" s="20" t="s">
        <v>3155</v>
      </c>
      <c r="P234" s="14" t="s">
        <v>2438</v>
      </c>
      <c r="Q234" s="3">
        <v>199.9</v>
      </c>
      <c r="R234" s="3">
        <v>342.19</v>
      </c>
      <c r="S234" s="18" t="s">
        <v>3159</v>
      </c>
      <c r="T234" s="12"/>
    </row>
    <row r="235" spans="1:20" x14ac:dyDescent="0.25">
      <c r="A235" s="18" t="s">
        <v>3160</v>
      </c>
      <c r="B235" s="11" t="s">
        <v>3161</v>
      </c>
      <c r="C235" s="4" t="str">
        <f t="shared" si="3"/>
        <v>ASUS</v>
      </c>
      <c r="D235" s="14" t="s">
        <v>2336</v>
      </c>
      <c r="E235" s="11" t="s">
        <v>352</v>
      </c>
      <c r="F235" s="76" t="s">
        <v>8783</v>
      </c>
      <c r="G235" s="12" t="s">
        <v>407</v>
      </c>
      <c r="H235" s="12">
        <v>128</v>
      </c>
      <c r="I235" s="12">
        <v>6000</v>
      </c>
      <c r="J235" s="12">
        <v>4</v>
      </c>
      <c r="K235" s="12">
        <v>2</v>
      </c>
      <c r="L235" s="75" t="s">
        <v>4310</v>
      </c>
      <c r="M235" s="75" t="s">
        <v>4258</v>
      </c>
      <c r="N235" s="75" t="s">
        <v>4257</v>
      </c>
      <c r="O235" s="20" t="s">
        <v>3162</v>
      </c>
      <c r="P235" s="14" t="s">
        <v>2438</v>
      </c>
      <c r="Q235" s="3">
        <v>221.35</v>
      </c>
      <c r="R235" s="3">
        <v>302.14999999999998</v>
      </c>
      <c r="S235" s="18" t="s">
        <v>3163</v>
      </c>
      <c r="T235" s="12"/>
    </row>
    <row r="236" spans="1:20" x14ac:dyDescent="0.25">
      <c r="A236" s="18" t="s">
        <v>3164</v>
      </c>
      <c r="B236" s="11" t="s">
        <v>3165</v>
      </c>
      <c r="C236" s="4" t="str">
        <f t="shared" si="3"/>
        <v>ASUS</v>
      </c>
      <c r="D236" s="14" t="s">
        <v>2336</v>
      </c>
      <c r="E236" s="11" t="s">
        <v>352</v>
      </c>
      <c r="F236" s="76" t="s">
        <v>8784</v>
      </c>
      <c r="G236" s="12" t="s">
        <v>407</v>
      </c>
      <c r="H236" s="12">
        <v>192</v>
      </c>
      <c r="I236" s="12">
        <v>7800</v>
      </c>
      <c r="J236" s="12">
        <v>4</v>
      </c>
      <c r="K236" s="12">
        <v>2</v>
      </c>
      <c r="L236" s="75" t="s">
        <v>4310</v>
      </c>
      <c r="M236" s="75" t="s">
        <v>4258</v>
      </c>
      <c r="N236" s="75" t="s">
        <v>4257</v>
      </c>
      <c r="O236" s="20" t="s">
        <v>3166</v>
      </c>
      <c r="P236" s="14" t="s">
        <v>2443</v>
      </c>
      <c r="Q236" s="3">
        <v>213.03</v>
      </c>
      <c r="R236" s="3">
        <v>361.9</v>
      </c>
      <c r="S236" s="18" t="s">
        <v>3167</v>
      </c>
      <c r="T236" s="12"/>
    </row>
    <row r="237" spans="1:20" x14ac:dyDescent="0.25">
      <c r="A237" s="18" t="s">
        <v>3168</v>
      </c>
      <c r="B237" s="11" t="s">
        <v>3169</v>
      </c>
      <c r="C237" s="4" t="str">
        <f t="shared" si="3"/>
        <v>ASUS</v>
      </c>
      <c r="D237" s="14" t="s">
        <v>2336</v>
      </c>
      <c r="E237" s="11" t="s">
        <v>352</v>
      </c>
      <c r="F237" s="76" t="s">
        <v>8784</v>
      </c>
      <c r="G237" s="12" t="s">
        <v>407</v>
      </c>
      <c r="H237" s="12">
        <v>192</v>
      </c>
      <c r="I237" s="12">
        <v>7800</v>
      </c>
      <c r="J237" s="12">
        <v>4</v>
      </c>
      <c r="K237" s="12">
        <v>2</v>
      </c>
      <c r="L237" s="75" t="s">
        <v>4310</v>
      </c>
      <c r="M237" s="75" t="s">
        <v>4258</v>
      </c>
      <c r="N237" s="75" t="s">
        <v>4257</v>
      </c>
      <c r="O237" s="20" t="s">
        <v>3166</v>
      </c>
      <c r="P237" s="14" t="s">
        <v>2443</v>
      </c>
      <c r="Q237" s="3">
        <v>218.4</v>
      </c>
      <c r="R237" s="3">
        <v>359.69</v>
      </c>
      <c r="S237" s="18" t="s">
        <v>3170</v>
      </c>
      <c r="T237" s="12"/>
    </row>
    <row r="238" spans="1:20" x14ac:dyDescent="0.25">
      <c r="A238" s="18" t="s">
        <v>3171</v>
      </c>
      <c r="B238" s="11" t="s">
        <v>3172</v>
      </c>
      <c r="C238" s="4" t="str">
        <f t="shared" si="3"/>
        <v>ASUS</v>
      </c>
      <c r="D238" s="14" t="s">
        <v>2294</v>
      </c>
      <c r="E238" s="11" t="s">
        <v>352</v>
      </c>
      <c r="F238" s="76" t="s">
        <v>8784</v>
      </c>
      <c r="G238" s="12" t="s">
        <v>407</v>
      </c>
      <c r="H238" s="12">
        <v>192</v>
      </c>
      <c r="I238" s="12">
        <v>7800</v>
      </c>
      <c r="J238" s="12">
        <v>4</v>
      </c>
      <c r="K238" s="12">
        <v>2</v>
      </c>
      <c r="L238" s="75" t="s">
        <v>4279</v>
      </c>
      <c r="M238" s="75" t="s">
        <v>4258</v>
      </c>
      <c r="N238" s="75" t="s">
        <v>4257</v>
      </c>
      <c r="O238" s="20" t="s">
        <v>2853</v>
      </c>
      <c r="P238" s="14" t="s">
        <v>2443</v>
      </c>
      <c r="Q238" s="3">
        <v>193.9</v>
      </c>
      <c r="R238" s="3">
        <v>323</v>
      </c>
      <c r="S238" s="18" t="s">
        <v>3173</v>
      </c>
      <c r="T238" s="12"/>
    </row>
    <row r="239" spans="1:20" x14ac:dyDescent="0.25">
      <c r="A239" s="18" t="s">
        <v>3174</v>
      </c>
      <c r="B239" s="11" t="s">
        <v>3175</v>
      </c>
      <c r="C239" s="4" t="str">
        <f t="shared" si="3"/>
        <v>ASUS</v>
      </c>
      <c r="D239" s="14" t="s">
        <v>2294</v>
      </c>
      <c r="E239" s="11" t="s">
        <v>352</v>
      </c>
      <c r="F239" s="76" t="s">
        <v>8784</v>
      </c>
      <c r="G239" s="12" t="s">
        <v>406</v>
      </c>
      <c r="H239" s="12">
        <v>128</v>
      </c>
      <c r="I239" s="12">
        <v>5333</v>
      </c>
      <c r="J239" s="12">
        <v>4</v>
      </c>
      <c r="K239" s="12">
        <v>2</v>
      </c>
      <c r="L239" s="75" t="s">
        <v>4279</v>
      </c>
      <c r="M239" s="75" t="s">
        <v>4258</v>
      </c>
      <c r="N239" s="75" t="s">
        <v>4257</v>
      </c>
      <c r="O239" s="20" t="s">
        <v>2853</v>
      </c>
      <c r="P239" s="14" t="s">
        <v>2443</v>
      </c>
      <c r="Q239" s="3">
        <v>212.6</v>
      </c>
      <c r="R239" s="3">
        <v>331.2</v>
      </c>
      <c r="S239" s="18" t="s">
        <v>3176</v>
      </c>
      <c r="T239" s="12"/>
    </row>
    <row r="240" spans="1:20" x14ac:dyDescent="0.25">
      <c r="A240" s="18" t="s">
        <v>3177</v>
      </c>
      <c r="B240" s="11" t="s">
        <v>3178</v>
      </c>
      <c r="C240" s="4" t="str">
        <f t="shared" si="3"/>
        <v>ASUS</v>
      </c>
      <c r="D240" s="14" t="s">
        <v>2311</v>
      </c>
      <c r="E240" s="11" t="s">
        <v>352</v>
      </c>
      <c r="F240" s="76" t="s">
        <v>8784</v>
      </c>
      <c r="G240" s="12" t="s">
        <v>407</v>
      </c>
      <c r="H240" s="12">
        <v>96</v>
      </c>
      <c r="I240" s="12">
        <v>7600</v>
      </c>
      <c r="J240" s="12">
        <v>2</v>
      </c>
      <c r="K240" s="12">
        <v>2</v>
      </c>
      <c r="L240" s="75">
        <v>5</v>
      </c>
      <c r="M240" s="75">
        <v>16</v>
      </c>
      <c r="N240" s="75">
        <v>16</v>
      </c>
      <c r="O240" s="20" t="s">
        <v>3179</v>
      </c>
      <c r="P240" s="14" t="s">
        <v>2443</v>
      </c>
      <c r="Q240" s="3">
        <v>184.52</v>
      </c>
      <c r="R240" s="3">
        <v>276</v>
      </c>
      <c r="S240" s="18" t="s">
        <v>3180</v>
      </c>
      <c r="T240" s="12"/>
    </row>
    <row r="241" spans="1:20" x14ac:dyDescent="0.25">
      <c r="A241" s="18" t="s">
        <v>3181</v>
      </c>
      <c r="B241" s="11" t="s">
        <v>3182</v>
      </c>
      <c r="C241" s="4" t="str">
        <f t="shared" si="3"/>
        <v>ASUS</v>
      </c>
      <c r="D241" s="14" t="s">
        <v>2336</v>
      </c>
      <c r="E241" s="11" t="s">
        <v>351</v>
      </c>
      <c r="F241" s="76" t="s">
        <v>8775</v>
      </c>
      <c r="G241" s="12" t="s">
        <v>407</v>
      </c>
      <c r="H241" s="12">
        <v>192</v>
      </c>
      <c r="I241" s="12">
        <v>8000</v>
      </c>
      <c r="J241" s="12">
        <v>4</v>
      </c>
      <c r="K241" s="12">
        <v>2</v>
      </c>
      <c r="L241" s="75" t="s">
        <v>2285</v>
      </c>
      <c r="M241" s="75" t="s">
        <v>4247</v>
      </c>
      <c r="N241" s="75" t="s">
        <v>418</v>
      </c>
      <c r="O241" s="20" t="s">
        <v>3183</v>
      </c>
      <c r="P241" s="14" t="s">
        <v>2484</v>
      </c>
      <c r="Q241" s="3">
        <v>276.37</v>
      </c>
      <c r="R241" s="3">
        <v>395</v>
      </c>
      <c r="S241" s="18" t="s">
        <v>3184</v>
      </c>
      <c r="T241" s="12"/>
    </row>
    <row r="242" spans="1:20" x14ac:dyDescent="0.25">
      <c r="A242" s="18" t="s">
        <v>3185</v>
      </c>
      <c r="B242" s="11" t="s">
        <v>3186</v>
      </c>
      <c r="C242" s="4" t="str">
        <f t="shared" si="3"/>
        <v>ASUS</v>
      </c>
      <c r="D242" s="14" t="s">
        <v>2336</v>
      </c>
      <c r="E242" s="11" t="s">
        <v>351</v>
      </c>
      <c r="F242" s="76" t="s">
        <v>8775</v>
      </c>
      <c r="G242" s="12" t="s">
        <v>407</v>
      </c>
      <c r="H242" s="12">
        <v>192</v>
      </c>
      <c r="I242" s="12">
        <v>8000</v>
      </c>
      <c r="J242" s="12">
        <v>4</v>
      </c>
      <c r="K242" s="12">
        <v>2</v>
      </c>
      <c r="L242" s="75" t="s">
        <v>2285</v>
      </c>
      <c r="M242" s="75" t="s">
        <v>4247</v>
      </c>
      <c r="N242" s="75" t="s">
        <v>418</v>
      </c>
      <c r="O242" s="20" t="s">
        <v>3187</v>
      </c>
      <c r="P242" s="14" t="s">
        <v>2504</v>
      </c>
      <c r="Q242" s="3">
        <v>359.98</v>
      </c>
      <c r="R242" s="3">
        <v>504.42</v>
      </c>
      <c r="S242" s="18" t="s">
        <v>3188</v>
      </c>
      <c r="T242" s="12"/>
    </row>
    <row r="243" spans="1:20" x14ac:dyDescent="0.25">
      <c r="A243" s="18" t="s">
        <v>3189</v>
      </c>
      <c r="B243" s="11" t="s">
        <v>3190</v>
      </c>
      <c r="C243" s="4" t="str">
        <f t="shared" si="3"/>
        <v>ASUS</v>
      </c>
      <c r="D243" s="14" t="s">
        <v>2336</v>
      </c>
      <c r="E243" s="11" t="s">
        <v>351</v>
      </c>
      <c r="F243" s="76" t="s">
        <v>8775</v>
      </c>
      <c r="G243" s="12" t="s">
        <v>407</v>
      </c>
      <c r="H243" s="12">
        <v>192</v>
      </c>
      <c r="I243" s="12">
        <v>8000</v>
      </c>
      <c r="J243" s="12">
        <v>4</v>
      </c>
      <c r="K243" s="12">
        <v>2</v>
      </c>
      <c r="L243" s="75" t="s">
        <v>2285</v>
      </c>
      <c r="M243" s="75" t="s">
        <v>4247</v>
      </c>
      <c r="N243" s="75" t="s">
        <v>418</v>
      </c>
      <c r="O243" s="20" t="s">
        <v>3191</v>
      </c>
      <c r="P243" s="14" t="s">
        <v>2484</v>
      </c>
      <c r="Q243" s="3">
        <v>307.63</v>
      </c>
      <c r="R243" s="3">
        <v>445</v>
      </c>
      <c r="S243" s="18" t="s">
        <v>3192</v>
      </c>
      <c r="T243" s="12"/>
    </row>
    <row r="244" spans="1:20" x14ac:dyDescent="0.25">
      <c r="A244" s="18" t="s">
        <v>3193</v>
      </c>
      <c r="B244" s="11" t="s">
        <v>3194</v>
      </c>
      <c r="C244" s="4" t="str">
        <f t="shared" si="3"/>
        <v>ASUS</v>
      </c>
      <c r="D244" s="14" t="s">
        <v>2311</v>
      </c>
      <c r="E244" s="11" t="s">
        <v>351</v>
      </c>
      <c r="F244" s="76" t="s">
        <v>8775</v>
      </c>
      <c r="G244" s="12" t="s">
        <v>407</v>
      </c>
      <c r="H244" s="12">
        <v>96</v>
      </c>
      <c r="I244" s="12">
        <v>8400</v>
      </c>
      <c r="J244" s="12">
        <v>2</v>
      </c>
      <c r="K244" s="12">
        <v>2</v>
      </c>
      <c r="L244" s="75">
        <v>5</v>
      </c>
      <c r="M244" s="75">
        <v>16</v>
      </c>
      <c r="N244" s="75">
        <v>16</v>
      </c>
      <c r="O244" s="20" t="s">
        <v>3195</v>
      </c>
      <c r="P244" s="14" t="s">
        <v>2484</v>
      </c>
      <c r="Q244" s="3">
        <v>308.01</v>
      </c>
      <c r="R244" s="3">
        <v>429</v>
      </c>
      <c r="S244" s="18" t="s">
        <v>3196</v>
      </c>
      <c r="T244" s="12"/>
    </row>
    <row r="245" spans="1:20" x14ac:dyDescent="0.25">
      <c r="A245" s="18" t="s">
        <v>3197</v>
      </c>
      <c r="B245" s="11" t="s">
        <v>3198</v>
      </c>
      <c r="C245" s="4" t="str">
        <f t="shared" si="3"/>
        <v>ASUS</v>
      </c>
      <c r="D245" s="14" t="s">
        <v>2336</v>
      </c>
      <c r="E245" s="11" t="s">
        <v>398</v>
      </c>
      <c r="F245" s="76" t="s">
        <v>8785</v>
      </c>
      <c r="G245" s="12" t="s">
        <v>407</v>
      </c>
      <c r="H245" s="12">
        <v>256</v>
      </c>
      <c r="I245" s="12">
        <v>8600</v>
      </c>
      <c r="J245" s="12">
        <v>4</v>
      </c>
      <c r="K245" s="12">
        <v>2</v>
      </c>
      <c r="L245" s="75" t="s">
        <v>2285</v>
      </c>
      <c r="M245" s="75" t="s">
        <v>4247</v>
      </c>
      <c r="N245" s="75" t="s">
        <v>418</v>
      </c>
      <c r="O245" s="20" t="s">
        <v>3199</v>
      </c>
      <c r="P245" s="14" t="s">
        <v>2530</v>
      </c>
      <c r="Q245" s="3">
        <v>252.81</v>
      </c>
      <c r="R245" s="3">
        <v>417.29</v>
      </c>
      <c r="S245" s="18" t="s">
        <v>3200</v>
      </c>
      <c r="T245" s="12"/>
    </row>
    <row r="246" spans="1:20" x14ac:dyDescent="0.25">
      <c r="A246" s="18" t="s">
        <v>3201</v>
      </c>
      <c r="B246" s="11" t="s">
        <v>3202</v>
      </c>
      <c r="C246" s="4" t="str">
        <f t="shared" si="3"/>
        <v>ASUS</v>
      </c>
      <c r="D246" s="14" t="s">
        <v>2336</v>
      </c>
      <c r="E246" s="11" t="s">
        <v>398</v>
      </c>
      <c r="F246" s="76" t="s">
        <v>8785</v>
      </c>
      <c r="G246" s="12" t="s">
        <v>407</v>
      </c>
      <c r="H246" s="12">
        <v>256</v>
      </c>
      <c r="I246" s="12">
        <v>9066</v>
      </c>
      <c r="J246" s="12">
        <v>4</v>
      </c>
      <c r="K246" s="12">
        <v>2</v>
      </c>
      <c r="L246" s="75" t="s">
        <v>2285</v>
      </c>
      <c r="M246" s="75" t="s">
        <v>4247</v>
      </c>
      <c r="N246" s="75" t="s">
        <v>418</v>
      </c>
      <c r="O246" s="20" t="s">
        <v>3199</v>
      </c>
      <c r="P246" s="14" t="s">
        <v>2530</v>
      </c>
      <c r="Q246" s="3">
        <v>293.60000000000002</v>
      </c>
      <c r="R246" s="3">
        <v>446.51</v>
      </c>
      <c r="S246" s="18" t="s">
        <v>3203</v>
      </c>
      <c r="T246" s="12"/>
    </row>
    <row r="247" spans="1:20" x14ac:dyDescent="0.25">
      <c r="A247" s="18" t="s">
        <v>3204</v>
      </c>
      <c r="B247" s="11" t="s">
        <v>3205</v>
      </c>
      <c r="C247" s="4" t="str">
        <f t="shared" si="3"/>
        <v>ASUS</v>
      </c>
      <c r="D247" s="14" t="s">
        <v>2294</v>
      </c>
      <c r="E247" s="11" t="s">
        <v>398</v>
      </c>
      <c r="F247" s="76" t="s">
        <v>8785</v>
      </c>
      <c r="G247" s="12" t="s">
        <v>407</v>
      </c>
      <c r="H247" s="12">
        <v>256</v>
      </c>
      <c r="I247" s="12">
        <v>9066</v>
      </c>
      <c r="J247" s="12">
        <v>4</v>
      </c>
      <c r="K247" s="12">
        <v>2</v>
      </c>
      <c r="L247" s="75">
        <v>5</v>
      </c>
      <c r="M247" s="75">
        <v>16</v>
      </c>
      <c r="N247" s="75">
        <v>16</v>
      </c>
      <c r="O247" s="20" t="s">
        <v>3206</v>
      </c>
      <c r="P247" s="14" t="s">
        <v>2530</v>
      </c>
      <c r="Q247" s="3">
        <v>258.72000000000003</v>
      </c>
      <c r="R247" s="3">
        <v>368</v>
      </c>
      <c r="S247" s="18" t="s">
        <v>3207</v>
      </c>
      <c r="T247" s="12"/>
    </row>
    <row r="248" spans="1:20" x14ac:dyDescent="0.25">
      <c r="A248" s="18" t="s">
        <v>3208</v>
      </c>
      <c r="B248" s="11" t="s">
        <v>3209</v>
      </c>
      <c r="C248" s="4" t="str">
        <f t="shared" si="3"/>
        <v>ASUS</v>
      </c>
      <c r="D248" s="14" t="s">
        <v>2311</v>
      </c>
      <c r="E248" s="11" t="s">
        <v>398</v>
      </c>
      <c r="F248" s="76" t="s">
        <v>8785</v>
      </c>
      <c r="G248" s="12" t="s">
        <v>407</v>
      </c>
      <c r="H248" s="12">
        <v>128</v>
      </c>
      <c r="I248" s="12">
        <v>9066</v>
      </c>
      <c r="J248" s="12">
        <v>2</v>
      </c>
      <c r="K248" s="12">
        <v>2</v>
      </c>
      <c r="L248" s="75">
        <v>5</v>
      </c>
      <c r="M248" s="75">
        <v>16</v>
      </c>
      <c r="N248" s="75">
        <v>16</v>
      </c>
      <c r="O248" s="20" t="s">
        <v>3210</v>
      </c>
      <c r="P248" s="14" t="s">
        <v>2530</v>
      </c>
      <c r="Q248" s="3">
        <v>246.83</v>
      </c>
      <c r="R248" s="3">
        <v>357</v>
      </c>
      <c r="S248" s="18" t="s">
        <v>3211</v>
      </c>
      <c r="T248" s="12"/>
    </row>
    <row r="249" spans="1:20" x14ac:dyDescent="0.25">
      <c r="A249" s="18" t="s">
        <v>3212</v>
      </c>
      <c r="B249" s="11" t="s">
        <v>3213</v>
      </c>
      <c r="C249" s="4" t="str">
        <f t="shared" si="3"/>
        <v>ASUS</v>
      </c>
      <c r="D249" s="14" t="s">
        <v>2311</v>
      </c>
      <c r="E249" s="11" t="s">
        <v>350</v>
      </c>
      <c r="F249" s="76" t="s">
        <v>8782</v>
      </c>
      <c r="G249" s="12" t="s">
        <v>406</v>
      </c>
      <c r="H249" s="12">
        <v>64</v>
      </c>
      <c r="I249" s="12">
        <v>4800</v>
      </c>
      <c r="J249" s="12">
        <v>2</v>
      </c>
      <c r="K249" s="12">
        <v>2</v>
      </c>
      <c r="L249" s="75">
        <v>4</v>
      </c>
      <c r="M249" s="75">
        <v>16</v>
      </c>
      <c r="N249" s="75">
        <v>16</v>
      </c>
      <c r="O249" s="20" t="s">
        <v>3214</v>
      </c>
      <c r="P249" s="14" t="s">
        <v>3075</v>
      </c>
      <c r="Q249" s="3">
        <v>388.49</v>
      </c>
      <c r="R249" s="3">
        <v>470.72</v>
      </c>
      <c r="S249" s="18" t="s">
        <v>3215</v>
      </c>
      <c r="T249" s="12"/>
    </row>
    <row r="250" spans="1:20" x14ac:dyDescent="0.25">
      <c r="A250" s="18" t="s">
        <v>3216</v>
      </c>
      <c r="B250" s="11" t="s">
        <v>3217</v>
      </c>
      <c r="C250" s="4" t="str">
        <f t="shared" si="3"/>
        <v>ASUS</v>
      </c>
      <c r="D250" s="14" t="s">
        <v>2336</v>
      </c>
      <c r="E250" s="11" t="s">
        <v>351</v>
      </c>
      <c r="F250" s="76" t="s">
        <v>8779</v>
      </c>
      <c r="G250" s="12" t="s">
        <v>407</v>
      </c>
      <c r="H250" s="12">
        <v>192</v>
      </c>
      <c r="I250" s="12">
        <v>8000</v>
      </c>
      <c r="J250" s="12">
        <v>4</v>
      </c>
      <c r="K250" s="12">
        <v>2</v>
      </c>
      <c r="L250" s="75" t="s">
        <v>4267</v>
      </c>
      <c r="M250" s="75" t="s">
        <v>4244</v>
      </c>
      <c r="N250" s="75" t="s">
        <v>4254</v>
      </c>
      <c r="O250" s="20" t="s">
        <v>3218</v>
      </c>
      <c r="P250" s="14" t="s">
        <v>2635</v>
      </c>
      <c r="Q250" s="3">
        <v>351.41</v>
      </c>
      <c r="R250" s="3">
        <v>469.89</v>
      </c>
      <c r="S250" s="18" t="s">
        <v>3219</v>
      </c>
      <c r="T250" s="12"/>
    </row>
    <row r="251" spans="1:20" x14ac:dyDescent="0.25">
      <c r="A251" s="18" t="s">
        <v>3220</v>
      </c>
      <c r="B251" s="11" t="s">
        <v>3221</v>
      </c>
      <c r="C251" s="4" t="str">
        <f t="shared" si="3"/>
        <v>ASUS</v>
      </c>
      <c r="D251" s="14" t="s">
        <v>2336</v>
      </c>
      <c r="E251" s="11" t="s">
        <v>351</v>
      </c>
      <c r="F251" s="76" t="s">
        <v>8779</v>
      </c>
      <c r="G251" s="12" t="s">
        <v>407</v>
      </c>
      <c r="H251" s="12">
        <v>192</v>
      </c>
      <c r="I251" s="12">
        <v>8000</v>
      </c>
      <c r="J251" s="12">
        <v>4</v>
      </c>
      <c r="K251" s="12">
        <v>2</v>
      </c>
      <c r="L251" s="75" t="s">
        <v>4289</v>
      </c>
      <c r="M251" s="75" t="s">
        <v>4261</v>
      </c>
      <c r="N251" s="75" t="s">
        <v>4273</v>
      </c>
      <c r="O251" s="20" t="s">
        <v>3222</v>
      </c>
      <c r="P251" s="14" t="s">
        <v>2635</v>
      </c>
      <c r="Q251" s="3">
        <v>508.14</v>
      </c>
      <c r="R251" s="3">
        <v>818.37</v>
      </c>
      <c r="S251" s="18" t="s">
        <v>3223</v>
      </c>
      <c r="T251" s="12"/>
    </row>
    <row r="252" spans="1:20" x14ac:dyDescent="0.25">
      <c r="A252" s="18" t="s">
        <v>3224</v>
      </c>
      <c r="B252" s="11" t="s">
        <v>3225</v>
      </c>
      <c r="C252" s="4" t="str">
        <f t="shared" si="3"/>
        <v>ASUS</v>
      </c>
      <c r="D252" s="14" t="s">
        <v>2336</v>
      </c>
      <c r="E252" s="11" t="s">
        <v>351</v>
      </c>
      <c r="F252" s="76" t="s">
        <v>8779</v>
      </c>
      <c r="G252" s="12" t="s">
        <v>407</v>
      </c>
      <c r="H252" s="12">
        <v>192</v>
      </c>
      <c r="I252" s="12">
        <v>8000</v>
      </c>
      <c r="J252" s="12">
        <v>4</v>
      </c>
      <c r="K252" s="12">
        <v>2</v>
      </c>
      <c r="L252" s="75" t="s">
        <v>4267</v>
      </c>
      <c r="M252" s="75" t="s">
        <v>4244</v>
      </c>
      <c r="N252" s="75" t="s">
        <v>4254</v>
      </c>
      <c r="O252" s="20" t="s">
        <v>3218</v>
      </c>
      <c r="P252" s="14" t="s">
        <v>2635</v>
      </c>
      <c r="Q252" s="3">
        <v>341.14</v>
      </c>
      <c r="R252" s="3">
        <v>516</v>
      </c>
      <c r="S252" s="18" t="s">
        <v>3226</v>
      </c>
      <c r="T252" s="12"/>
    </row>
    <row r="253" spans="1:20" x14ac:dyDescent="0.25">
      <c r="A253" s="18" t="s">
        <v>3227</v>
      </c>
      <c r="B253" s="11" t="s">
        <v>3228</v>
      </c>
      <c r="C253" s="4" t="str">
        <f t="shared" si="3"/>
        <v>ASUS</v>
      </c>
      <c r="D253" s="14" t="s">
        <v>2311</v>
      </c>
      <c r="E253" s="11" t="s">
        <v>351</v>
      </c>
      <c r="F253" s="76" t="s">
        <v>8779</v>
      </c>
      <c r="G253" s="12" t="s">
        <v>407</v>
      </c>
      <c r="H253" s="12">
        <v>96</v>
      </c>
      <c r="I253" s="12">
        <v>8000</v>
      </c>
      <c r="J253" s="12">
        <v>2</v>
      </c>
      <c r="K253" s="12">
        <v>2</v>
      </c>
      <c r="L253" s="75">
        <v>5</v>
      </c>
      <c r="M253" s="75">
        <v>16</v>
      </c>
      <c r="N253" s="75">
        <v>16</v>
      </c>
      <c r="O253" s="20" t="s">
        <v>3229</v>
      </c>
      <c r="P253" s="14" t="s">
        <v>3230</v>
      </c>
      <c r="Q253" s="3">
        <v>388.43</v>
      </c>
      <c r="R253" s="3">
        <v>535.70000000000005</v>
      </c>
      <c r="S253" s="18" t="s">
        <v>3231</v>
      </c>
      <c r="T253" s="12"/>
    </row>
    <row r="254" spans="1:20" x14ac:dyDescent="0.25">
      <c r="A254" s="18" t="s">
        <v>3232</v>
      </c>
      <c r="B254" s="11" t="s">
        <v>3233</v>
      </c>
      <c r="C254" s="4" t="str">
        <f t="shared" si="3"/>
        <v>ASUS</v>
      </c>
      <c r="D254" s="14" t="s">
        <v>2336</v>
      </c>
      <c r="E254" s="11" t="s">
        <v>351</v>
      </c>
      <c r="F254" s="76" t="s">
        <v>8777</v>
      </c>
      <c r="G254" s="12" t="s">
        <v>407</v>
      </c>
      <c r="H254" s="12">
        <v>192</v>
      </c>
      <c r="I254" s="12">
        <v>8000</v>
      </c>
      <c r="J254" s="12">
        <v>4</v>
      </c>
      <c r="K254" s="12">
        <v>2</v>
      </c>
      <c r="L254" s="75" t="s">
        <v>2285</v>
      </c>
      <c r="M254" s="75" t="s">
        <v>4247</v>
      </c>
      <c r="N254" s="75" t="s">
        <v>418</v>
      </c>
      <c r="O254" s="20" t="s">
        <v>3234</v>
      </c>
      <c r="P254" s="14" t="s">
        <v>2960</v>
      </c>
      <c r="Q254" s="3">
        <v>381.68</v>
      </c>
      <c r="R254" s="3">
        <v>592.41999999999996</v>
      </c>
      <c r="S254" s="18" t="s">
        <v>3235</v>
      </c>
      <c r="T254" s="12"/>
    </row>
    <row r="255" spans="1:20" x14ac:dyDescent="0.25">
      <c r="A255" s="18" t="s">
        <v>3236</v>
      </c>
      <c r="B255" s="11" t="s">
        <v>3237</v>
      </c>
      <c r="C255" s="4" t="str">
        <f t="shared" si="3"/>
        <v>ASUS</v>
      </c>
      <c r="D255" s="14" t="s">
        <v>2336</v>
      </c>
      <c r="E255" s="11" t="s">
        <v>351</v>
      </c>
      <c r="F255" s="76" t="s">
        <v>8778</v>
      </c>
      <c r="G255" s="12" t="s">
        <v>407</v>
      </c>
      <c r="H255" s="12">
        <v>192</v>
      </c>
      <c r="I255" s="12">
        <v>8400</v>
      </c>
      <c r="J255" s="12">
        <v>4</v>
      </c>
      <c r="K255" s="12">
        <v>2</v>
      </c>
      <c r="L255" s="75" t="s">
        <v>2285</v>
      </c>
      <c r="M255" s="75" t="s">
        <v>4247</v>
      </c>
      <c r="N255" s="75" t="s">
        <v>4247</v>
      </c>
      <c r="O255" s="20" t="s">
        <v>3238</v>
      </c>
      <c r="P255" s="14" t="s">
        <v>3239</v>
      </c>
      <c r="Q255" s="3">
        <v>506</v>
      </c>
      <c r="R255" s="3">
        <v>685.99</v>
      </c>
      <c r="S255" s="18" t="s">
        <v>3240</v>
      </c>
      <c r="T255" s="12"/>
    </row>
    <row r="256" spans="1:20" x14ac:dyDescent="0.25">
      <c r="A256" s="18" t="s">
        <v>3241</v>
      </c>
      <c r="B256" s="11" t="s">
        <v>3242</v>
      </c>
      <c r="C256" s="4" t="str">
        <f t="shared" si="3"/>
        <v>ASUS</v>
      </c>
      <c r="D256" s="14" t="s">
        <v>2336</v>
      </c>
      <c r="E256" s="11" t="s">
        <v>351</v>
      </c>
      <c r="F256" s="76" t="s">
        <v>8777</v>
      </c>
      <c r="G256" s="12" t="s">
        <v>407</v>
      </c>
      <c r="H256" s="12">
        <v>192</v>
      </c>
      <c r="I256" s="12">
        <v>8000</v>
      </c>
      <c r="J256" s="12">
        <v>4</v>
      </c>
      <c r="K256" s="12">
        <v>2</v>
      </c>
      <c r="L256" s="75" t="s">
        <v>2285</v>
      </c>
      <c r="M256" s="75" t="s">
        <v>4247</v>
      </c>
      <c r="N256" s="75" t="s">
        <v>418</v>
      </c>
      <c r="O256" s="20" t="s">
        <v>3234</v>
      </c>
      <c r="P256" s="14" t="s">
        <v>2960</v>
      </c>
      <c r="Q256" s="3">
        <v>369.95</v>
      </c>
      <c r="R256" s="3">
        <v>560.37</v>
      </c>
      <c r="S256" s="18" t="s">
        <v>3243</v>
      </c>
      <c r="T256" s="12"/>
    </row>
    <row r="257" spans="1:20" x14ac:dyDescent="0.25">
      <c r="A257" s="18" t="s">
        <v>3244</v>
      </c>
      <c r="B257" s="11" t="s">
        <v>3245</v>
      </c>
      <c r="C257" s="4" t="str">
        <f t="shared" si="3"/>
        <v>ASUS</v>
      </c>
      <c r="D257" s="14" t="s">
        <v>2311</v>
      </c>
      <c r="E257" s="11" t="s">
        <v>351</v>
      </c>
      <c r="F257" s="76" t="s">
        <v>8777</v>
      </c>
      <c r="G257" s="12" t="s">
        <v>407</v>
      </c>
      <c r="H257" s="12">
        <v>96</v>
      </c>
      <c r="I257" s="12">
        <v>8600</v>
      </c>
      <c r="J257" s="12">
        <v>2</v>
      </c>
      <c r="K257" s="12">
        <v>2</v>
      </c>
      <c r="L257" s="75">
        <v>5</v>
      </c>
      <c r="M257" s="75">
        <v>16</v>
      </c>
      <c r="N257" s="75">
        <v>16</v>
      </c>
      <c r="O257" s="20" t="s">
        <v>3229</v>
      </c>
      <c r="P257" s="14" t="s">
        <v>2960</v>
      </c>
      <c r="Q257" s="3">
        <v>439.46</v>
      </c>
      <c r="R257" s="3">
        <v>568.99</v>
      </c>
      <c r="S257" s="18" t="s">
        <v>3246</v>
      </c>
      <c r="T257" s="12"/>
    </row>
    <row r="258" spans="1:20" x14ac:dyDescent="0.25">
      <c r="A258" s="18" t="s">
        <v>3247</v>
      </c>
      <c r="B258" s="11" t="s">
        <v>3248</v>
      </c>
      <c r="C258" s="4" t="str">
        <f t="shared" si="3"/>
        <v>ASUS</v>
      </c>
      <c r="D258" s="14" t="s">
        <v>2336</v>
      </c>
      <c r="E258" s="11" t="s">
        <v>352</v>
      </c>
      <c r="F258" s="76" t="s">
        <v>8789</v>
      </c>
      <c r="G258" s="12" t="s">
        <v>407</v>
      </c>
      <c r="H258" s="12">
        <v>128</v>
      </c>
      <c r="I258" s="12">
        <v>6400</v>
      </c>
      <c r="J258" s="12">
        <v>4</v>
      </c>
      <c r="K258" s="12">
        <v>2</v>
      </c>
      <c r="L258" s="75" t="s">
        <v>4277</v>
      </c>
      <c r="M258" s="75" t="s">
        <v>4244</v>
      </c>
      <c r="N258" s="75" t="s">
        <v>4254</v>
      </c>
      <c r="O258" s="20" t="s">
        <v>3249</v>
      </c>
      <c r="P258" s="14" t="s">
        <v>450</v>
      </c>
      <c r="Q258" s="3">
        <v>234.26</v>
      </c>
      <c r="R258" s="3">
        <v>461.75</v>
      </c>
      <c r="S258" s="18" t="s">
        <v>3250</v>
      </c>
      <c r="T258" s="12"/>
    </row>
    <row r="259" spans="1:20" x14ac:dyDescent="0.25">
      <c r="A259" s="18" t="s">
        <v>3251</v>
      </c>
      <c r="B259" s="11" t="s">
        <v>3252</v>
      </c>
      <c r="C259" s="4" t="str">
        <f t="shared" si="3"/>
        <v>ASUS</v>
      </c>
      <c r="D259" s="14" t="s">
        <v>2336</v>
      </c>
      <c r="E259" s="11" t="s">
        <v>352</v>
      </c>
      <c r="F259" s="76" t="s">
        <v>8789</v>
      </c>
      <c r="G259" s="12" t="s">
        <v>407</v>
      </c>
      <c r="H259" s="12">
        <v>128</v>
      </c>
      <c r="I259" s="12">
        <v>6400</v>
      </c>
      <c r="J259" s="12">
        <v>4</v>
      </c>
      <c r="K259" s="12">
        <v>2</v>
      </c>
      <c r="L259" s="75" t="s">
        <v>4270</v>
      </c>
      <c r="M259" s="75" t="s">
        <v>4256</v>
      </c>
      <c r="N259" s="75" t="s">
        <v>4284</v>
      </c>
      <c r="O259" s="20" t="s">
        <v>3253</v>
      </c>
      <c r="P259" s="14" t="s">
        <v>450</v>
      </c>
      <c r="Q259" s="3">
        <v>254</v>
      </c>
      <c r="R259" s="3">
        <v>568.38</v>
      </c>
      <c r="S259" s="18" t="s">
        <v>3254</v>
      </c>
      <c r="T259" s="12"/>
    </row>
    <row r="260" spans="1:20" x14ac:dyDescent="0.25">
      <c r="A260" s="18" t="s">
        <v>3255</v>
      </c>
      <c r="B260" s="11" t="s">
        <v>3256</v>
      </c>
      <c r="C260" s="4" t="str">
        <f t="shared" si="3"/>
        <v>ASUS</v>
      </c>
      <c r="D260" s="14" t="s">
        <v>2336</v>
      </c>
      <c r="E260" s="11" t="s">
        <v>352</v>
      </c>
      <c r="F260" s="76" t="s">
        <v>8789</v>
      </c>
      <c r="G260" s="12" t="s">
        <v>407</v>
      </c>
      <c r="H260" s="12">
        <v>128</v>
      </c>
      <c r="I260" s="12">
        <v>6400</v>
      </c>
      <c r="J260" s="12">
        <v>4</v>
      </c>
      <c r="K260" s="12">
        <v>2</v>
      </c>
      <c r="L260" s="75" t="s">
        <v>4277</v>
      </c>
      <c r="M260" s="75" t="s">
        <v>4244</v>
      </c>
      <c r="N260" s="75" t="s">
        <v>4254</v>
      </c>
      <c r="O260" s="20" t="s">
        <v>2980</v>
      </c>
      <c r="P260" s="14" t="s">
        <v>450</v>
      </c>
      <c r="Q260" s="3">
        <v>372.74</v>
      </c>
      <c r="R260" s="3">
        <v>9532.69</v>
      </c>
      <c r="S260" s="18" t="s">
        <v>3257</v>
      </c>
      <c r="T260" s="12"/>
    </row>
    <row r="261" spans="1:20" x14ac:dyDescent="0.25">
      <c r="A261" s="18" t="s">
        <v>3258</v>
      </c>
      <c r="B261" s="11" t="s">
        <v>3259</v>
      </c>
      <c r="C261" s="4" t="str">
        <f t="shared" si="3"/>
        <v>ASUS</v>
      </c>
      <c r="D261" s="14" t="s">
        <v>2294</v>
      </c>
      <c r="E261" s="11" t="s">
        <v>352</v>
      </c>
      <c r="F261" s="76" t="s">
        <v>8789</v>
      </c>
      <c r="G261" s="12" t="s">
        <v>407</v>
      </c>
      <c r="H261" s="12">
        <v>128</v>
      </c>
      <c r="I261" s="12">
        <v>6000</v>
      </c>
      <c r="J261" s="12">
        <v>4</v>
      </c>
      <c r="K261" s="12">
        <v>2</v>
      </c>
      <c r="L261" s="75" t="s">
        <v>4267</v>
      </c>
      <c r="M261" s="75" t="s">
        <v>4244</v>
      </c>
      <c r="N261" s="75" t="s">
        <v>4254</v>
      </c>
      <c r="O261" s="20" t="s">
        <v>3260</v>
      </c>
      <c r="P261" s="14" t="s">
        <v>450</v>
      </c>
      <c r="Q261" s="3">
        <v>425.8</v>
      </c>
      <c r="R261" s="3">
        <v>788.44</v>
      </c>
      <c r="S261" s="18" t="s">
        <v>3261</v>
      </c>
      <c r="T261" s="12"/>
    </row>
    <row r="262" spans="1:20" x14ac:dyDescent="0.25">
      <c r="A262" s="18" t="s">
        <v>3262</v>
      </c>
      <c r="B262" s="11" t="s">
        <v>3263</v>
      </c>
      <c r="C262" s="4" t="str">
        <f t="shared" si="3"/>
        <v>ASUS</v>
      </c>
      <c r="D262" s="14" t="s">
        <v>2336</v>
      </c>
      <c r="E262" s="11" t="s">
        <v>352</v>
      </c>
      <c r="F262" s="76" t="s">
        <v>8787</v>
      </c>
      <c r="G262" s="12" t="s">
        <v>406</v>
      </c>
      <c r="H262" s="12">
        <v>128</v>
      </c>
      <c r="I262" s="12">
        <v>5333</v>
      </c>
      <c r="J262" s="12">
        <v>4</v>
      </c>
      <c r="K262" s="12">
        <v>2</v>
      </c>
      <c r="L262" s="75" t="s">
        <v>4287</v>
      </c>
      <c r="M262" s="75" t="s">
        <v>4256</v>
      </c>
      <c r="N262" s="75" t="s">
        <v>4284</v>
      </c>
      <c r="O262" s="20" t="s">
        <v>2980</v>
      </c>
      <c r="P262" s="14" t="s">
        <v>2681</v>
      </c>
      <c r="Q262" s="3">
        <v>292.89999999999998</v>
      </c>
      <c r="R262" s="3">
        <v>433.9</v>
      </c>
      <c r="S262" s="18" t="s">
        <v>3264</v>
      </c>
      <c r="T262" s="12"/>
    </row>
    <row r="263" spans="1:20" x14ac:dyDescent="0.25">
      <c r="A263" s="18" t="s">
        <v>3265</v>
      </c>
      <c r="B263" s="11" t="s">
        <v>3266</v>
      </c>
      <c r="C263" s="4" t="str">
        <f t="shared" si="3"/>
        <v>ASUS</v>
      </c>
      <c r="D263" s="14" t="s">
        <v>2336</v>
      </c>
      <c r="E263" s="11" t="s">
        <v>352</v>
      </c>
      <c r="F263" s="76" t="s">
        <v>8787</v>
      </c>
      <c r="G263" s="12" t="s">
        <v>407</v>
      </c>
      <c r="H263" s="12">
        <v>192</v>
      </c>
      <c r="I263" s="12">
        <v>8000</v>
      </c>
      <c r="J263" s="12">
        <v>4</v>
      </c>
      <c r="K263" s="12">
        <v>2</v>
      </c>
      <c r="L263" s="75" t="s">
        <v>4267</v>
      </c>
      <c r="M263" s="75" t="s">
        <v>4244</v>
      </c>
      <c r="N263" s="75" t="s">
        <v>4254</v>
      </c>
      <c r="O263" s="20" t="s">
        <v>3267</v>
      </c>
      <c r="P263" s="14" t="s">
        <v>2681</v>
      </c>
      <c r="Q263" s="3">
        <v>292.86</v>
      </c>
      <c r="R263" s="3">
        <v>471.15</v>
      </c>
      <c r="S263" s="18" t="s">
        <v>3268</v>
      </c>
      <c r="T263" s="12"/>
    </row>
    <row r="264" spans="1:20" x14ac:dyDescent="0.25">
      <c r="A264" s="18" t="s">
        <v>3269</v>
      </c>
      <c r="B264" s="11" t="s">
        <v>3270</v>
      </c>
      <c r="C264" s="4" t="str">
        <f t="shared" si="3"/>
        <v>ASUS</v>
      </c>
      <c r="D264" s="14" t="s">
        <v>2336</v>
      </c>
      <c r="E264" s="11" t="s">
        <v>352</v>
      </c>
      <c r="F264" s="76" t="s">
        <v>8787</v>
      </c>
      <c r="G264" s="12" t="s">
        <v>407</v>
      </c>
      <c r="H264" s="12">
        <v>192</v>
      </c>
      <c r="I264" s="12">
        <v>7800</v>
      </c>
      <c r="J264" s="12">
        <v>4</v>
      </c>
      <c r="K264" s="12">
        <v>2</v>
      </c>
      <c r="L264" s="75" t="s">
        <v>4272</v>
      </c>
      <c r="M264" s="75" t="s">
        <v>4261</v>
      </c>
      <c r="N264" s="75" t="s">
        <v>4273</v>
      </c>
      <c r="O264" s="20" t="s">
        <v>3064</v>
      </c>
      <c r="P264" s="14" t="s">
        <v>2681</v>
      </c>
      <c r="Q264" s="3">
        <v>331.94</v>
      </c>
      <c r="R264" s="3">
        <v>616.48</v>
      </c>
      <c r="S264" s="18" t="s">
        <v>3271</v>
      </c>
      <c r="T264" s="12"/>
    </row>
    <row r="265" spans="1:20" x14ac:dyDescent="0.25">
      <c r="A265" s="18" t="s">
        <v>3272</v>
      </c>
      <c r="B265" s="11" t="s">
        <v>3273</v>
      </c>
      <c r="C265" s="4" t="str">
        <f t="shared" ref="C265:C328" si="4">LEFT(A265, FIND(" ",A265)-1)</f>
        <v>ASUS</v>
      </c>
      <c r="D265" s="14" t="s">
        <v>2336</v>
      </c>
      <c r="E265" s="11" t="s">
        <v>352</v>
      </c>
      <c r="F265" s="76" t="s">
        <v>8787</v>
      </c>
      <c r="G265" s="12" t="s">
        <v>407</v>
      </c>
      <c r="H265" s="12">
        <v>192</v>
      </c>
      <c r="I265" s="12">
        <v>8000</v>
      </c>
      <c r="J265" s="12">
        <v>4</v>
      </c>
      <c r="K265" s="12">
        <v>2</v>
      </c>
      <c r="L265" s="75" t="s">
        <v>4272</v>
      </c>
      <c r="M265" s="75" t="s">
        <v>4261</v>
      </c>
      <c r="N265" s="75" t="s">
        <v>4273</v>
      </c>
      <c r="O265" s="20" t="s">
        <v>3274</v>
      </c>
      <c r="P265" s="14" t="s">
        <v>2681</v>
      </c>
      <c r="Q265" s="3">
        <v>365.61</v>
      </c>
      <c r="R265" s="3">
        <v>767.13</v>
      </c>
      <c r="S265" s="18" t="s">
        <v>3275</v>
      </c>
      <c r="T265" s="12"/>
    </row>
    <row r="266" spans="1:20" x14ac:dyDescent="0.25">
      <c r="A266" s="18" t="s">
        <v>3276</v>
      </c>
      <c r="B266" s="11" t="s">
        <v>3277</v>
      </c>
      <c r="C266" s="4" t="str">
        <f t="shared" si="4"/>
        <v>ASUS</v>
      </c>
      <c r="D266" s="14" t="s">
        <v>2336</v>
      </c>
      <c r="E266" s="11" t="s">
        <v>352</v>
      </c>
      <c r="F266" s="76" t="s">
        <v>8787</v>
      </c>
      <c r="G266" s="12" t="s">
        <v>407</v>
      </c>
      <c r="H266" s="12">
        <v>192</v>
      </c>
      <c r="I266" s="12">
        <v>7800</v>
      </c>
      <c r="J266" s="12">
        <v>4</v>
      </c>
      <c r="K266" s="12">
        <v>2</v>
      </c>
      <c r="L266" s="75" t="s">
        <v>4287</v>
      </c>
      <c r="M266" s="75" t="s">
        <v>4256</v>
      </c>
      <c r="N266" s="75" t="s">
        <v>4284</v>
      </c>
      <c r="O266" s="20" t="s">
        <v>2980</v>
      </c>
      <c r="P266" s="14" t="s">
        <v>2681</v>
      </c>
      <c r="Q266" s="3">
        <v>285.87</v>
      </c>
      <c r="R266" s="3">
        <v>846.56</v>
      </c>
      <c r="S266" s="18" t="s">
        <v>3278</v>
      </c>
      <c r="T266" s="12"/>
    </row>
    <row r="267" spans="1:20" x14ac:dyDescent="0.25">
      <c r="A267" s="18" t="s">
        <v>3279</v>
      </c>
      <c r="B267" s="11" t="s">
        <v>3280</v>
      </c>
      <c r="C267" s="4" t="str">
        <f t="shared" si="4"/>
        <v>ASUS</v>
      </c>
      <c r="D267" s="14" t="s">
        <v>2336</v>
      </c>
      <c r="E267" s="11" t="s">
        <v>352</v>
      </c>
      <c r="F267" s="76" t="s">
        <v>8787</v>
      </c>
      <c r="G267" s="12" t="s">
        <v>407</v>
      </c>
      <c r="H267" s="12">
        <v>192</v>
      </c>
      <c r="I267" s="12">
        <v>8000</v>
      </c>
      <c r="J267" s="12">
        <v>4</v>
      </c>
      <c r="K267" s="12">
        <v>2</v>
      </c>
      <c r="L267" s="75" t="s">
        <v>4267</v>
      </c>
      <c r="M267" s="75" t="s">
        <v>4244</v>
      </c>
      <c r="N267" s="75" t="s">
        <v>4254</v>
      </c>
      <c r="O267" s="20" t="s">
        <v>3267</v>
      </c>
      <c r="P267" s="14" t="s">
        <v>2681</v>
      </c>
      <c r="Q267" s="3">
        <v>479.9</v>
      </c>
      <c r="R267" s="3">
        <v>804</v>
      </c>
      <c r="S267" s="18" t="s">
        <v>3281</v>
      </c>
      <c r="T267" s="12"/>
    </row>
    <row r="268" spans="1:20" x14ac:dyDescent="0.25">
      <c r="A268" s="18" t="s">
        <v>3282</v>
      </c>
      <c r="B268" s="11" t="s">
        <v>3283</v>
      </c>
      <c r="C268" s="4" t="str">
        <f t="shared" si="4"/>
        <v>ASUS</v>
      </c>
      <c r="D268" s="14" t="s">
        <v>2336</v>
      </c>
      <c r="E268" s="11" t="s">
        <v>352</v>
      </c>
      <c r="F268" s="76" t="s">
        <v>8787</v>
      </c>
      <c r="G268" s="12" t="s">
        <v>407</v>
      </c>
      <c r="H268" s="12">
        <v>192</v>
      </c>
      <c r="I268" s="12">
        <v>7800</v>
      </c>
      <c r="J268" s="12">
        <v>4</v>
      </c>
      <c r="K268" s="12">
        <v>2</v>
      </c>
      <c r="L268" s="75" t="s">
        <v>4267</v>
      </c>
      <c r="M268" s="75" t="s">
        <v>4244</v>
      </c>
      <c r="N268" s="75" t="s">
        <v>4254</v>
      </c>
      <c r="O268" s="20" t="s">
        <v>2980</v>
      </c>
      <c r="P268" s="14" t="s">
        <v>2681</v>
      </c>
      <c r="Q268" s="3">
        <v>257.52</v>
      </c>
      <c r="R268" s="3">
        <v>427.9</v>
      </c>
      <c r="S268" s="18" t="s">
        <v>3284</v>
      </c>
      <c r="T268" s="12"/>
    </row>
    <row r="269" spans="1:20" x14ac:dyDescent="0.25">
      <c r="A269" s="18" t="s">
        <v>3285</v>
      </c>
      <c r="B269" s="11" t="s">
        <v>3286</v>
      </c>
      <c r="C269" s="4" t="str">
        <f t="shared" si="4"/>
        <v>ASUS</v>
      </c>
      <c r="D269" s="14" t="s">
        <v>2311</v>
      </c>
      <c r="E269" s="11" t="s">
        <v>352</v>
      </c>
      <c r="F269" s="76" t="s">
        <v>8787</v>
      </c>
      <c r="G269" s="12" t="s">
        <v>407</v>
      </c>
      <c r="H269" s="12">
        <v>96</v>
      </c>
      <c r="I269" s="12">
        <v>7600</v>
      </c>
      <c r="J269" s="12">
        <v>2</v>
      </c>
      <c r="K269" s="12">
        <v>2</v>
      </c>
      <c r="L269" s="75">
        <v>5</v>
      </c>
      <c r="M269" s="75">
        <v>16</v>
      </c>
      <c r="N269" s="75">
        <v>16</v>
      </c>
      <c r="O269" s="20" t="s">
        <v>3229</v>
      </c>
      <c r="P269" s="14" t="s">
        <v>3287</v>
      </c>
      <c r="Q269" s="3">
        <v>380.89</v>
      </c>
      <c r="R269" s="3">
        <v>551.89</v>
      </c>
      <c r="S269" s="18" t="s">
        <v>3288</v>
      </c>
      <c r="T269" s="12"/>
    </row>
    <row r="270" spans="1:20" x14ac:dyDescent="0.25">
      <c r="A270" s="18" t="s">
        <v>3289</v>
      </c>
      <c r="B270" s="11" t="s">
        <v>3290</v>
      </c>
      <c r="C270" s="4" t="str">
        <f t="shared" si="4"/>
        <v>ASUS</v>
      </c>
      <c r="D270" s="14" t="s">
        <v>2336</v>
      </c>
      <c r="E270" s="11" t="s">
        <v>398</v>
      </c>
      <c r="F270" s="76" t="s">
        <v>8788</v>
      </c>
      <c r="G270" s="12" t="s">
        <v>407</v>
      </c>
      <c r="H270" s="12">
        <v>256</v>
      </c>
      <c r="I270" s="12">
        <v>9066</v>
      </c>
      <c r="J270" s="12">
        <v>4</v>
      </c>
      <c r="K270" s="12">
        <v>2</v>
      </c>
      <c r="L270" s="75" t="s">
        <v>2285</v>
      </c>
      <c r="M270" s="75" t="s">
        <v>4247</v>
      </c>
      <c r="N270" s="75" t="s">
        <v>418</v>
      </c>
      <c r="O270" s="20" t="s">
        <v>3291</v>
      </c>
      <c r="P270" s="14" t="s">
        <v>2610</v>
      </c>
      <c r="Q270" s="3">
        <v>377</v>
      </c>
      <c r="R270" s="3">
        <v>884.6</v>
      </c>
      <c r="S270" s="18" t="s">
        <v>3292</v>
      </c>
      <c r="T270" s="12"/>
    </row>
    <row r="271" spans="1:20" x14ac:dyDescent="0.25">
      <c r="A271" s="18" t="s">
        <v>3293</v>
      </c>
      <c r="B271" s="11" t="s">
        <v>3294</v>
      </c>
      <c r="C271" s="4" t="str">
        <f t="shared" si="4"/>
        <v>ASUS</v>
      </c>
      <c r="D271" s="14" t="s">
        <v>2336</v>
      </c>
      <c r="E271" s="11" t="s">
        <v>398</v>
      </c>
      <c r="F271" s="76" t="s">
        <v>8788</v>
      </c>
      <c r="G271" s="12" t="s">
        <v>407</v>
      </c>
      <c r="H271" s="12">
        <v>256</v>
      </c>
      <c r="I271" s="12">
        <v>8800</v>
      </c>
      <c r="J271" s="12">
        <v>4</v>
      </c>
      <c r="K271" s="12">
        <v>2</v>
      </c>
      <c r="L271" s="75" t="s">
        <v>2285</v>
      </c>
      <c r="M271" s="75" t="s">
        <v>4247</v>
      </c>
      <c r="N271" s="75" t="s">
        <v>418</v>
      </c>
      <c r="O271" s="20" t="s">
        <v>3295</v>
      </c>
      <c r="P271" s="14" t="s">
        <v>2610</v>
      </c>
      <c r="Q271" s="3">
        <v>549.58000000000004</v>
      </c>
      <c r="R271" s="3">
        <v>928.27</v>
      </c>
      <c r="S271" s="18" t="s">
        <v>3296</v>
      </c>
      <c r="T271" s="12"/>
    </row>
    <row r="272" spans="1:20" x14ac:dyDescent="0.25">
      <c r="A272" s="18" t="s">
        <v>3297</v>
      </c>
      <c r="B272" s="11" t="s">
        <v>3298</v>
      </c>
      <c r="C272" s="4" t="str">
        <f t="shared" si="4"/>
        <v>ASUS</v>
      </c>
      <c r="D272" s="14" t="s">
        <v>2336</v>
      </c>
      <c r="E272" s="11" t="s">
        <v>398</v>
      </c>
      <c r="F272" s="76" t="s">
        <v>8788</v>
      </c>
      <c r="G272" s="12" t="s">
        <v>407</v>
      </c>
      <c r="H272" s="12">
        <v>256</v>
      </c>
      <c r="I272" s="12">
        <v>8600</v>
      </c>
      <c r="J272" s="12">
        <v>4</v>
      </c>
      <c r="K272" s="12">
        <v>2</v>
      </c>
      <c r="L272" s="75" t="s">
        <v>2285</v>
      </c>
      <c r="M272" s="75" t="s">
        <v>4247</v>
      </c>
      <c r="N272" s="75" t="s">
        <v>418</v>
      </c>
      <c r="O272" s="20" t="s">
        <v>3291</v>
      </c>
      <c r="P272" s="14" t="s">
        <v>2610</v>
      </c>
      <c r="Q272" s="3">
        <v>437</v>
      </c>
      <c r="R272" s="3">
        <v>603.16999999999996</v>
      </c>
      <c r="S272" s="18" t="s">
        <v>3299</v>
      </c>
      <c r="T272" s="12"/>
    </row>
    <row r="273" spans="1:20" x14ac:dyDescent="0.25">
      <c r="A273" s="18" t="s">
        <v>3300</v>
      </c>
      <c r="B273" s="11" t="s">
        <v>3301</v>
      </c>
      <c r="C273" s="4" t="str">
        <f t="shared" si="4"/>
        <v>ASUS</v>
      </c>
      <c r="D273" s="14" t="s">
        <v>2336</v>
      </c>
      <c r="E273" s="11" t="s">
        <v>398</v>
      </c>
      <c r="F273" s="76" t="s">
        <v>8788</v>
      </c>
      <c r="G273" s="12" t="s">
        <v>407</v>
      </c>
      <c r="H273" s="12">
        <v>256</v>
      </c>
      <c r="I273" s="12">
        <v>9066</v>
      </c>
      <c r="J273" s="12">
        <v>4</v>
      </c>
      <c r="K273" s="12">
        <v>2</v>
      </c>
      <c r="L273" s="75" t="s">
        <v>4272</v>
      </c>
      <c r="M273" s="75" t="s">
        <v>4261</v>
      </c>
      <c r="N273" s="75" t="s">
        <v>4273</v>
      </c>
      <c r="O273" s="20" t="s">
        <v>3302</v>
      </c>
      <c r="P273" s="14" t="s">
        <v>2610</v>
      </c>
      <c r="Q273" s="3">
        <v>418.9</v>
      </c>
      <c r="R273" s="3">
        <v>572.73</v>
      </c>
      <c r="S273" s="18" t="s">
        <v>3303</v>
      </c>
      <c r="T273" s="12"/>
    </row>
    <row r="274" spans="1:20" x14ac:dyDescent="0.25">
      <c r="A274" s="18" t="s">
        <v>3304</v>
      </c>
      <c r="B274" s="11" t="s">
        <v>3305</v>
      </c>
      <c r="C274" s="4" t="str">
        <f t="shared" si="4"/>
        <v>ASUS</v>
      </c>
      <c r="D274" s="14" t="s">
        <v>2311</v>
      </c>
      <c r="E274" s="11" t="s">
        <v>398</v>
      </c>
      <c r="F274" s="76" t="s">
        <v>8788</v>
      </c>
      <c r="G274" s="12" t="s">
        <v>407</v>
      </c>
      <c r="H274" s="12">
        <v>128</v>
      </c>
      <c r="I274" s="12">
        <v>9200</v>
      </c>
      <c r="J274" s="12">
        <v>2</v>
      </c>
      <c r="K274" s="12">
        <v>2</v>
      </c>
      <c r="L274" s="75">
        <v>5</v>
      </c>
      <c r="M274" s="75">
        <v>16</v>
      </c>
      <c r="N274" s="75">
        <v>16</v>
      </c>
      <c r="O274" s="20" t="s">
        <v>3306</v>
      </c>
      <c r="P274" s="14" t="s">
        <v>3307</v>
      </c>
      <c r="Q274" s="3">
        <v>376</v>
      </c>
      <c r="R274" s="3">
        <v>580.66999999999996</v>
      </c>
      <c r="S274" s="18" t="s">
        <v>3308</v>
      </c>
      <c r="T274" s="12"/>
    </row>
    <row r="275" spans="1:20" x14ac:dyDescent="0.25">
      <c r="A275" s="18" t="s">
        <v>3309</v>
      </c>
      <c r="B275" s="11" t="s">
        <v>3310</v>
      </c>
      <c r="C275" s="4" t="str">
        <f t="shared" si="4"/>
        <v>ASUS</v>
      </c>
      <c r="D275" s="14" t="s">
        <v>2294</v>
      </c>
      <c r="E275" s="11" t="s">
        <v>350</v>
      </c>
      <c r="F275" s="76" t="s">
        <v>8770</v>
      </c>
      <c r="G275" s="12" t="s">
        <v>406</v>
      </c>
      <c r="H275" s="12">
        <v>128</v>
      </c>
      <c r="I275" s="12">
        <v>4800</v>
      </c>
      <c r="J275" s="12">
        <v>4</v>
      </c>
      <c r="K275" s="12">
        <v>2</v>
      </c>
      <c r="L275" s="75" t="s">
        <v>4243</v>
      </c>
      <c r="M275" s="75" t="s">
        <v>4251</v>
      </c>
      <c r="N275" s="75" t="s">
        <v>4251</v>
      </c>
      <c r="O275" s="20" t="s">
        <v>2304</v>
      </c>
      <c r="P275" s="14" t="s">
        <v>2296</v>
      </c>
      <c r="Q275" s="3">
        <v>81.91</v>
      </c>
      <c r="R275" s="3">
        <v>374.9</v>
      </c>
      <c r="S275" s="18" t="s">
        <v>3311</v>
      </c>
      <c r="T275" s="12"/>
    </row>
    <row r="276" spans="1:20" x14ac:dyDescent="0.25">
      <c r="A276" s="18" t="s">
        <v>3312</v>
      </c>
      <c r="B276" s="11" t="s">
        <v>3313</v>
      </c>
      <c r="C276" s="4" t="str">
        <f t="shared" si="4"/>
        <v>ASUS</v>
      </c>
      <c r="D276" s="14" t="s">
        <v>2294</v>
      </c>
      <c r="E276" s="11" t="s">
        <v>350</v>
      </c>
      <c r="F276" s="76" t="s">
        <v>8770</v>
      </c>
      <c r="G276" s="12" t="s">
        <v>406</v>
      </c>
      <c r="H276" s="12">
        <v>128</v>
      </c>
      <c r="I276" s="12">
        <v>4800</v>
      </c>
      <c r="J276" s="12">
        <v>4</v>
      </c>
      <c r="K276" s="12">
        <v>2</v>
      </c>
      <c r="L276" s="75" t="s">
        <v>4243</v>
      </c>
      <c r="M276" s="75" t="s">
        <v>4251</v>
      </c>
      <c r="N276" s="75" t="s">
        <v>4251</v>
      </c>
      <c r="O276" s="20" t="s">
        <v>3314</v>
      </c>
      <c r="P276" s="14" t="s">
        <v>2296</v>
      </c>
      <c r="Q276" s="3">
        <v>84.9</v>
      </c>
      <c r="R276" s="3">
        <v>226.39</v>
      </c>
      <c r="S276" s="18" t="s">
        <v>3315</v>
      </c>
      <c r="T276" s="12"/>
    </row>
    <row r="277" spans="1:20" x14ac:dyDescent="0.25">
      <c r="A277" s="18" t="s">
        <v>3316</v>
      </c>
      <c r="B277" s="11" t="s">
        <v>3317</v>
      </c>
      <c r="C277" s="4" t="str">
        <f t="shared" si="4"/>
        <v>ASUS</v>
      </c>
      <c r="D277" s="14" t="s">
        <v>2294</v>
      </c>
      <c r="E277" s="11" t="s">
        <v>351</v>
      </c>
      <c r="F277" s="76" t="s">
        <v>8771</v>
      </c>
      <c r="G277" s="12" t="s">
        <v>407</v>
      </c>
      <c r="H277" s="12">
        <v>192</v>
      </c>
      <c r="I277" s="12">
        <v>7600</v>
      </c>
      <c r="J277" s="12">
        <v>4</v>
      </c>
      <c r="K277" s="12">
        <v>2</v>
      </c>
      <c r="L277" s="75" t="s">
        <v>4250</v>
      </c>
      <c r="M277" s="75" t="s">
        <v>4251</v>
      </c>
      <c r="N277" s="75" t="s">
        <v>4251</v>
      </c>
      <c r="O277" s="20" t="s">
        <v>2779</v>
      </c>
      <c r="P277" s="14" t="s">
        <v>2322</v>
      </c>
      <c r="Q277" s="3">
        <v>114.67</v>
      </c>
      <c r="R277" s="3">
        <v>248.99</v>
      </c>
      <c r="S277" s="18" t="s">
        <v>3318</v>
      </c>
      <c r="T277" s="12"/>
    </row>
    <row r="278" spans="1:20" x14ac:dyDescent="0.25">
      <c r="A278" s="18" t="s">
        <v>3319</v>
      </c>
      <c r="B278" s="11" t="s">
        <v>3320</v>
      </c>
      <c r="C278" s="4" t="str">
        <f t="shared" si="4"/>
        <v>ASUS</v>
      </c>
      <c r="D278" s="14" t="s">
        <v>2294</v>
      </c>
      <c r="E278" s="11" t="s">
        <v>351</v>
      </c>
      <c r="F278" s="76" t="s">
        <v>8771</v>
      </c>
      <c r="G278" s="12" t="s">
        <v>407</v>
      </c>
      <c r="H278" s="12">
        <v>192</v>
      </c>
      <c r="I278" s="12">
        <v>7600</v>
      </c>
      <c r="J278" s="12">
        <v>4</v>
      </c>
      <c r="K278" s="12">
        <v>2</v>
      </c>
      <c r="L278" s="75" t="s">
        <v>4250</v>
      </c>
      <c r="M278" s="75" t="s">
        <v>4251</v>
      </c>
      <c r="N278" s="75" t="s">
        <v>4251</v>
      </c>
      <c r="O278" s="20" t="s">
        <v>2853</v>
      </c>
      <c r="P278" s="14" t="s">
        <v>2322</v>
      </c>
      <c r="Q278" s="3">
        <v>135.6</v>
      </c>
      <c r="R278" s="3">
        <v>290.81</v>
      </c>
      <c r="S278" s="18" t="s">
        <v>3321</v>
      </c>
      <c r="T278" s="12"/>
    </row>
    <row r="279" spans="1:20" x14ac:dyDescent="0.25">
      <c r="A279" s="18" t="s">
        <v>3322</v>
      </c>
      <c r="B279" s="11" t="s">
        <v>3323</v>
      </c>
      <c r="C279" s="4" t="str">
        <f t="shared" si="4"/>
        <v>ASUS</v>
      </c>
      <c r="D279" s="14" t="s">
        <v>2336</v>
      </c>
      <c r="E279" s="11" t="s">
        <v>351</v>
      </c>
      <c r="F279" s="76" t="s">
        <v>8771</v>
      </c>
      <c r="G279" s="12" t="s">
        <v>407</v>
      </c>
      <c r="H279" s="12">
        <v>192</v>
      </c>
      <c r="I279" s="12">
        <v>7600</v>
      </c>
      <c r="J279" s="12">
        <v>4</v>
      </c>
      <c r="K279" s="12">
        <v>2</v>
      </c>
      <c r="L279" s="75" t="s">
        <v>4255</v>
      </c>
      <c r="M279" s="75" t="s">
        <v>4258</v>
      </c>
      <c r="N279" s="75" t="s">
        <v>4263</v>
      </c>
      <c r="O279" s="20" t="s">
        <v>3324</v>
      </c>
      <c r="P279" s="14" t="s">
        <v>2322</v>
      </c>
      <c r="Q279" s="3">
        <v>169.6</v>
      </c>
      <c r="R279" s="3">
        <v>217.59</v>
      </c>
      <c r="S279" s="18" t="s">
        <v>3325</v>
      </c>
      <c r="T279" s="12"/>
    </row>
    <row r="280" spans="1:20" x14ac:dyDescent="0.25">
      <c r="A280" s="18" t="s">
        <v>3326</v>
      </c>
      <c r="B280" s="11" t="s">
        <v>3327</v>
      </c>
      <c r="C280" s="4" t="str">
        <f t="shared" si="4"/>
        <v>ASUS</v>
      </c>
      <c r="D280" s="14" t="s">
        <v>2294</v>
      </c>
      <c r="E280" s="11" t="s">
        <v>350</v>
      </c>
      <c r="F280" s="76" t="s">
        <v>8772</v>
      </c>
      <c r="G280" s="12" t="s">
        <v>406</v>
      </c>
      <c r="H280" s="12">
        <v>128</v>
      </c>
      <c r="I280" s="12">
        <v>4800</v>
      </c>
      <c r="J280" s="12">
        <v>4</v>
      </c>
      <c r="K280" s="12">
        <v>2</v>
      </c>
      <c r="L280" s="75" t="s">
        <v>4250</v>
      </c>
      <c r="M280" s="75" t="s">
        <v>4244</v>
      </c>
      <c r="N280" s="75" t="s">
        <v>4254</v>
      </c>
      <c r="O280" s="20" t="s">
        <v>2805</v>
      </c>
      <c r="P280" s="14" t="s">
        <v>2360</v>
      </c>
      <c r="Q280" s="3">
        <v>125.89</v>
      </c>
      <c r="R280" s="3">
        <v>254</v>
      </c>
      <c r="S280" s="18" t="s">
        <v>3328</v>
      </c>
      <c r="T280" s="12"/>
    </row>
    <row r="281" spans="1:20" x14ac:dyDescent="0.25">
      <c r="A281" s="18" t="s">
        <v>3329</v>
      </c>
      <c r="B281" s="11" t="s">
        <v>3330</v>
      </c>
      <c r="C281" s="4" t="str">
        <f t="shared" si="4"/>
        <v>ASUS</v>
      </c>
      <c r="D281" s="14" t="s">
        <v>2294</v>
      </c>
      <c r="E281" s="11" t="s">
        <v>350</v>
      </c>
      <c r="F281" s="76" t="s">
        <v>8772</v>
      </c>
      <c r="G281" s="12" t="s">
        <v>406</v>
      </c>
      <c r="H281" s="12">
        <v>128</v>
      </c>
      <c r="I281" s="12">
        <v>4866</v>
      </c>
      <c r="J281" s="12">
        <v>4</v>
      </c>
      <c r="K281" s="12">
        <v>2</v>
      </c>
      <c r="L281" s="75" t="s">
        <v>4250</v>
      </c>
      <c r="M281" s="75" t="s">
        <v>4244</v>
      </c>
      <c r="N281" s="75" t="s">
        <v>4254</v>
      </c>
      <c r="O281" s="20" t="s">
        <v>3331</v>
      </c>
      <c r="P281" s="14" t="s">
        <v>2360</v>
      </c>
      <c r="Q281" s="3">
        <v>129.78</v>
      </c>
      <c r="R281" s="3">
        <v>363.48</v>
      </c>
      <c r="S281" s="18" t="s">
        <v>3332</v>
      </c>
      <c r="T281" s="12"/>
    </row>
    <row r="282" spans="1:20" x14ac:dyDescent="0.25">
      <c r="A282" s="18" t="s">
        <v>3333</v>
      </c>
      <c r="B282" s="11" t="s">
        <v>3334</v>
      </c>
      <c r="C282" s="4" t="str">
        <f t="shared" si="4"/>
        <v>ASUS</v>
      </c>
      <c r="D282" s="14" t="s">
        <v>2336</v>
      </c>
      <c r="E282" s="11" t="s">
        <v>350</v>
      </c>
      <c r="F282" s="76" t="s">
        <v>8772</v>
      </c>
      <c r="G282" s="12" t="s">
        <v>406</v>
      </c>
      <c r="H282" s="12">
        <v>128</v>
      </c>
      <c r="I282" s="12">
        <v>4600</v>
      </c>
      <c r="J282" s="12">
        <v>4</v>
      </c>
      <c r="K282" s="12">
        <v>2</v>
      </c>
      <c r="L282" s="75" t="s">
        <v>4292</v>
      </c>
      <c r="M282" s="75" t="s">
        <v>4275</v>
      </c>
      <c r="N282" s="75" t="s">
        <v>4276</v>
      </c>
      <c r="O282" s="20" t="s">
        <v>2809</v>
      </c>
      <c r="P282" s="14" t="s">
        <v>2341</v>
      </c>
      <c r="Q282" s="3">
        <v>120.94</v>
      </c>
      <c r="R282" s="3">
        <v>188</v>
      </c>
      <c r="S282" s="18" t="s">
        <v>3335</v>
      </c>
      <c r="T282" s="12"/>
    </row>
    <row r="283" spans="1:20" x14ac:dyDescent="0.25">
      <c r="A283" s="18" t="s">
        <v>3336</v>
      </c>
      <c r="B283" s="11" t="s">
        <v>3337</v>
      </c>
      <c r="C283" s="4" t="str">
        <f t="shared" si="4"/>
        <v>ASUS</v>
      </c>
      <c r="D283" s="14" t="s">
        <v>2336</v>
      </c>
      <c r="E283" s="11" t="s">
        <v>350</v>
      </c>
      <c r="F283" s="76" t="s">
        <v>8772</v>
      </c>
      <c r="G283" s="12" t="s">
        <v>406</v>
      </c>
      <c r="H283" s="12">
        <v>128</v>
      </c>
      <c r="I283" s="12">
        <v>4866</v>
      </c>
      <c r="J283" s="12">
        <v>4</v>
      </c>
      <c r="K283" s="12">
        <v>2</v>
      </c>
      <c r="L283" s="75" t="s">
        <v>4292</v>
      </c>
      <c r="M283" s="75" t="s">
        <v>4275</v>
      </c>
      <c r="N283" s="75" t="s">
        <v>4276</v>
      </c>
      <c r="O283" s="20" t="s">
        <v>3136</v>
      </c>
      <c r="P283" s="14" t="s">
        <v>2341</v>
      </c>
      <c r="Q283" s="3">
        <v>136.53</v>
      </c>
      <c r="R283" s="3">
        <v>281.2</v>
      </c>
      <c r="S283" s="18" t="s">
        <v>3338</v>
      </c>
      <c r="T283" s="12"/>
    </row>
    <row r="284" spans="1:20" x14ac:dyDescent="0.25">
      <c r="A284" s="18" t="s">
        <v>3339</v>
      </c>
      <c r="B284" s="11" t="s">
        <v>3340</v>
      </c>
      <c r="C284" s="4" t="str">
        <f t="shared" si="4"/>
        <v>ASUS</v>
      </c>
      <c r="D284" s="14" t="s">
        <v>2336</v>
      </c>
      <c r="E284" s="11" t="s">
        <v>350</v>
      </c>
      <c r="F284" s="76" t="s">
        <v>8772</v>
      </c>
      <c r="G284" s="12" t="s">
        <v>406</v>
      </c>
      <c r="H284" s="12">
        <v>128</v>
      </c>
      <c r="I284" s="12">
        <v>5100</v>
      </c>
      <c r="J284" s="12">
        <v>4</v>
      </c>
      <c r="K284" s="12">
        <v>2</v>
      </c>
      <c r="L284" s="75" t="s">
        <v>4292</v>
      </c>
      <c r="M284" s="75" t="s">
        <v>4275</v>
      </c>
      <c r="N284" s="75" t="s">
        <v>4276</v>
      </c>
      <c r="O284" s="20" t="s">
        <v>2809</v>
      </c>
      <c r="P284" s="14" t="s">
        <v>2341</v>
      </c>
      <c r="Q284" s="3">
        <v>134.63</v>
      </c>
      <c r="R284" s="3">
        <v>279.29000000000002</v>
      </c>
      <c r="S284" s="18" t="s">
        <v>3341</v>
      </c>
      <c r="T284" s="12"/>
    </row>
    <row r="285" spans="1:20" x14ac:dyDescent="0.25">
      <c r="A285" s="18" t="s">
        <v>3342</v>
      </c>
      <c r="B285" s="11" t="s">
        <v>3343</v>
      </c>
      <c r="C285" s="4" t="str">
        <f t="shared" si="4"/>
        <v>ASUS</v>
      </c>
      <c r="D285" s="14" t="s">
        <v>2336</v>
      </c>
      <c r="E285" s="11" t="s">
        <v>351</v>
      </c>
      <c r="F285" s="76" t="s">
        <v>8773</v>
      </c>
      <c r="G285" s="12" t="s">
        <v>407</v>
      </c>
      <c r="H285" s="12">
        <v>192</v>
      </c>
      <c r="I285" s="12">
        <v>8000</v>
      </c>
      <c r="J285" s="12">
        <v>4</v>
      </c>
      <c r="K285" s="12">
        <v>2</v>
      </c>
      <c r="L285" s="75" t="s">
        <v>4260</v>
      </c>
      <c r="M285" s="75" t="s">
        <v>4244</v>
      </c>
      <c r="N285" s="75" t="s">
        <v>4251</v>
      </c>
      <c r="O285" s="20" t="s">
        <v>3344</v>
      </c>
      <c r="P285" s="14" t="s">
        <v>2389</v>
      </c>
      <c r="Q285" s="3">
        <v>151.11000000000001</v>
      </c>
      <c r="R285" s="3">
        <v>297.58999999999997</v>
      </c>
      <c r="S285" s="18" t="s">
        <v>3345</v>
      </c>
      <c r="T285" s="12"/>
    </row>
    <row r="286" spans="1:20" x14ac:dyDescent="0.25">
      <c r="A286" s="18" t="s">
        <v>3346</v>
      </c>
      <c r="B286" s="11" t="s">
        <v>3347</v>
      </c>
      <c r="C286" s="4" t="str">
        <f t="shared" si="4"/>
        <v>ASUS</v>
      </c>
      <c r="D286" s="14" t="s">
        <v>2294</v>
      </c>
      <c r="E286" s="11" t="s">
        <v>351</v>
      </c>
      <c r="F286" s="76" t="s">
        <v>8773</v>
      </c>
      <c r="G286" s="12" t="s">
        <v>407</v>
      </c>
      <c r="H286" s="12">
        <v>192</v>
      </c>
      <c r="I286" s="12">
        <v>7600</v>
      </c>
      <c r="J286" s="12">
        <v>4</v>
      </c>
      <c r="K286" s="12">
        <v>2</v>
      </c>
      <c r="L286" s="75" t="s">
        <v>4260</v>
      </c>
      <c r="M286" s="75" t="s">
        <v>4251</v>
      </c>
      <c r="N286" s="75" t="s">
        <v>4251</v>
      </c>
      <c r="O286" s="20" t="s">
        <v>2813</v>
      </c>
      <c r="P286" s="14" t="s">
        <v>2389</v>
      </c>
      <c r="Q286" s="3">
        <v>140</v>
      </c>
      <c r="R286" s="3">
        <v>287.58999999999997</v>
      </c>
      <c r="S286" s="18" t="s">
        <v>3348</v>
      </c>
      <c r="T286" s="12"/>
    </row>
    <row r="287" spans="1:20" x14ac:dyDescent="0.25">
      <c r="A287" s="18" t="s">
        <v>3349</v>
      </c>
      <c r="B287" s="11" t="s">
        <v>3350</v>
      </c>
      <c r="C287" s="4" t="str">
        <f t="shared" si="4"/>
        <v>ASUS</v>
      </c>
      <c r="D287" s="14" t="s">
        <v>2294</v>
      </c>
      <c r="E287" s="11" t="s">
        <v>351</v>
      </c>
      <c r="F287" s="76" t="s">
        <v>8773</v>
      </c>
      <c r="G287" s="12" t="s">
        <v>407</v>
      </c>
      <c r="H287" s="12">
        <v>192</v>
      </c>
      <c r="I287" s="12">
        <v>7600</v>
      </c>
      <c r="J287" s="12">
        <v>4</v>
      </c>
      <c r="K287" s="12">
        <v>2</v>
      </c>
      <c r="L287" s="75" t="s">
        <v>4260</v>
      </c>
      <c r="M287" s="75" t="s">
        <v>4251</v>
      </c>
      <c r="N287" s="75" t="s">
        <v>4251</v>
      </c>
      <c r="O287" s="20" t="s">
        <v>2823</v>
      </c>
      <c r="P287" s="14" t="s">
        <v>2389</v>
      </c>
      <c r="Q287" s="3">
        <v>157.9</v>
      </c>
      <c r="R287" s="3">
        <v>290.8</v>
      </c>
      <c r="S287" s="18" t="s">
        <v>3351</v>
      </c>
      <c r="T287" s="12"/>
    </row>
    <row r="288" spans="1:20" x14ac:dyDescent="0.25">
      <c r="A288" s="18" t="s">
        <v>3352</v>
      </c>
      <c r="B288" s="11" t="s">
        <v>3353</v>
      </c>
      <c r="C288" s="4" t="str">
        <f t="shared" si="4"/>
        <v>ASUS</v>
      </c>
      <c r="D288" s="14" t="s">
        <v>2294</v>
      </c>
      <c r="E288" s="11" t="s">
        <v>351</v>
      </c>
      <c r="F288" s="76" t="s">
        <v>8773</v>
      </c>
      <c r="G288" s="12" t="s">
        <v>407</v>
      </c>
      <c r="H288" s="12">
        <v>192</v>
      </c>
      <c r="I288" s="12">
        <v>7600</v>
      </c>
      <c r="J288" s="12">
        <v>4</v>
      </c>
      <c r="K288" s="12">
        <v>2</v>
      </c>
      <c r="L288" s="75" t="s">
        <v>4260</v>
      </c>
      <c r="M288" s="75" t="s">
        <v>4244</v>
      </c>
      <c r="N288" s="75" t="s">
        <v>4254</v>
      </c>
      <c r="O288" s="20" t="s">
        <v>2813</v>
      </c>
      <c r="P288" s="14" t="s">
        <v>2389</v>
      </c>
      <c r="Q288" s="3">
        <v>165.59</v>
      </c>
      <c r="R288" s="3">
        <v>324.19</v>
      </c>
      <c r="S288" s="18" t="s">
        <v>3354</v>
      </c>
      <c r="T288" s="12"/>
    </row>
    <row r="289" spans="1:20" x14ac:dyDescent="0.25">
      <c r="A289" s="18" t="s">
        <v>3355</v>
      </c>
      <c r="B289" s="11" t="s">
        <v>3356</v>
      </c>
      <c r="C289" s="4" t="str">
        <f t="shared" si="4"/>
        <v>ASUS</v>
      </c>
      <c r="D289" s="14" t="s">
        <v>2294</v>
      </c>
      <c r="E289" s="11" t="s">
        <v>351</v>
      </c>
      <c r="F289" s="76" t="s">
        <v>8773</v>
      </c>
      <c r="G289" s="12" t="s">
        <v>407</v>
      </c>
      <c r="H289" s="12">
        <v>192</v>
      </c>
      <c r="I289" s="12">
        <v>7600</v>
      </c>
      <c r="J289" s="12">
        <v>4</v>
      </c>
      <c r="K289" s="12">
        <v>2</v>
      </c>
      <c r="L289" s="75" t="s">
        <v>4260</v>
      </c>
      <c r="M289" s="75" t="s">
        <v>4244</v>
      </c>
      <c r="N289" s="75" t="s">
        <v>4254</v>
      </c>
      <c r="O289" s="20" t="s">
        <v>2823</v>
      </c>
      <c r="P289" s="14" t="s">
        <v>2389</v>
      </c>
      <c r="Q289" s="3">
        <v>169.95</v>
      </c>
      <c r="R289" s="3">
        <v>270.52999999999997</v>
      </c>
      <c r="S289" s="18" t="s">
        <v>3357</v>
      </c>
      <c r="T289" s="12"/>
    </row>
    <row r="290" spans="1:20" x14ac:dyDescent="0.25">
      <c r="A290" s="18" t="s">
        <v>3358</v>
      </c>
      <c r="B290" s="11" t="s">
        <v>3359</v>
      </c>
      <c r="C290" s="4" t="str">
        <f t="shared" si="4"/>
        <v>ASUS</v>
      </c>
      <c r="D290" s="14" t="s">
        <v>2336</v>
      </c>
      <c r="E290" s="11" t="s">
        <v>351</v>
      </c>
      <c r="F290" s="76" t="s">
        <v>8773</v>
      </c>
      <c r="G290" s="12" t="s">
        <v>407</v>
      </c>
      <c r="H290" s="12">
        <v>192</v>
      </c>
      <c r="I290" s="12">
        <v>7600</v>
      </c>
      <c r="J290" s="12">
        <v>4</v>
      </c>
      <c r="K290" s="12">
        <v>2</v>
      </c>
      <c r="L290" s="75" t="s">
        <v>4262</v>
      </c>
      <c r="M290" s="75" t="s">
        <v>4258</v>
      </c>
      <c r="N290" s="75" t="s">
        <v>4257</v>
      </c>
      <c r="O290" s="20" t="s">
        <v>3360</v>
      </c>
      <c r="P290" s="14" t="s">
        <v>2389</v>
      </c>
      <c r="Q290" s="3">
        <v>157.44999999999999</v>
      </c>
      <c r="R290" s="3">
        <v>311.58999999999997</v>
      </c>
      <c r="S290" s="18" t="s">
        <v>3361</v>
      </c>
      <c r="T290" s="12"/>
    </row>
    <row r="291" spans="1:20" x14ac:dyDescent="0.25">
      <c r="A291" s="18" t="s">
        <v>3362</v>
      </c>
      <c r="B291" s="11" t="s">
        <v>3363</v>
      </c>
      <c r="C291" s="4" t="str">
        <f t="shared" si="4"/>
        <v>ASUS</v>
      </c>
      <c r="D291" s="14" t="s">
        <v>2336</v>
      </c>
      <c r="E291" s="11" t="s">
        <v>351</v>
      </c>
      <c r="F291" s="76" t="s">
        <v>8773</v>
      </c>
      <c r="G291" s="12" t="s">
        <v>407</v>
      </c>
      <c r="H291" s="12">
        <v>192</v>
      </c>
      <c r="I291" s="12">
        <v>7600</v>
      </c>
      <c r="J291" s="12">
        <v>4</v>
      </c>
      <c r="K291" s="12">
        <v>2</v>
      </c>
      <c r="L291" s="75" t="s">
        <v>4262</v>
      </c>
      <c r="M291" s="75" t="s">
        <v>4258</v>
      </c>
      <c r="N291" s="75" t="s">
        <v>4257</v>
      </c>
      <c r="O291" s="20" t="s">
        <v>2952</v>
      </c>
      <c r="P291" s="14" t="s">
        <v>2389</v>
      </c>
      <c r="Q291" s="3">
        <v>183.36</v>
      </c>
      <c r="R291" s="3">
        <v>308</v>
      </c>
      <c r="S291" s="18" t="s">
        <v>3364</v>
      </c>
      <c r="T291" s="12"/>
    </row>
    <row r="292" spans="1:20" x14ac:dyDescent="0.25">
      <c r="A292" s="18" t="s">
        <v>3365</v>
      </c>
      <c r="B292" s="11" t="s">
        <v>3366</v>
      </c>
      <c r="C292" s="4" t="str">
        <f t="shared" si="4"/>
        <v>ASUS</v>
      </c>
      <c r="D292" s="14" t="s">
        <v>2294</v>
      </c>
      <c r="E292" s="11" t="s">
        <v>352</v>
      </c>
      <c r="F292" s="76" t="s">
        <v>8783</v>
      </c>
      <c r="G292" s="12" t="s">
        <v>406</v>
      </c>
      <c r="H292" s="12">
        <v>128</v>
      </c>
      <c r="I292" s="12">
        <v>5333</v>
      </c>
      <c r="J292" s="12">
        <v>4</v>
      </c>
      <c r="K292" s="12">
        <v>2</v>
      </c>
      <c r="L292" s="75" t="s">
        <v>4250</v>
      </c>
      <c r="M292" s="75" t="s">
        <v>4244</v>
      </c>
      <c r="N292" s="75" t="s">
        <v>4254</v>
      </c>
      <c r="O292" s="20" t="s">
        <v>3025</v>
      </c>
      <c r="P292" s="14" t="s">
        <v>2438</v>
      </c>
      <c r="Q292" s="3">
        <v>175.03</v>
      </c>
      <c r="R292" s="3">
        <v>245.63</v>
      </c>
      <c r="S292" s="18" t="s">
        <v>3367</v>
      </c>
      <c r="T292" s="12"/>
    </row>
    <row r="293" spans="1:20" x14ac:dyDescent="0.25">
      <c r="A293" s="18" t="s">
        <v>3368</v>
      </c>
      <c r="B293" s="11" t="s">
        <v>3369</v>
      </c>
      <c r="C293" s="4" t="str">
        <f t="shared" si="4"/>
        <v>ASUS</v>
      </c>
      <c r="D293" s="14" t="s">
        <v>2294</v>
      </c>
      <c r="E293" s="11" t="s">
        <v>352</v>
      </c>
      <c r="F293" s="76" t="s">
        <v>8783</v>
      </c>
      <c r="G293" s="12" t="s">
        <v>406</v>
      </c>
      <c r="H293" s="12">
        <v>128</v>
      </c>
      <c r="I293" s="12">
        <v>5333</v>
      </c>
      <c r="J293" s="12">
        <v>4</v>
      </c>
      <c r="K293" s="12">
        <v>2</v>
      </c>
      <c r="L293" s="75" t="s">
        <v>4267</v>
      </c>
      <c r="M293" s="75" t="s">
        <v>4265</v>
      </c>
      <c r="N293" s="75" t="s">
        <v>4266</v>
      </c>
      <c r="O293" s="20" t="s">
        <v>2779</v>
      </c>
      <c r="P293" s="14" t="s">
        <v>2438</v>
      </c>
      <c r="Q293" s="3">
        <v>151.47</v>
      </c>
      <c r="R293" s="3">
        <v>295.89999999999998</v>
      </c>
      <c r="S293" s="18" t="s">
        <v>3370</v>
      </c>
      <c r="T293" s="12"/>
    </row>
    <row r="294" spans="1:20" x14ac:dyDescent="0.25">
      <c r="A294" s="18" t="s">
        <v>3371</v>
      </c>
      <c r="B294" s="11" t="s">
        <v>3372</v>
      </c>
      <c r="C294" s="4" t="str">
        <f t="shared" si="4"/>
        <v>ASUS</v>
      </c>
      <c r="D294" s="14" t="s">
        <v>2294</v>
      </c>
      <c r="E294" s="11" t="s">
        <v>352</v>
      </c>
      <c r="F294" s="76" t="s">
        <v>8783</v>
      </c>
      <c r="G294" s="12" t="s">
        <v>407</v>
      </c>
      <c r="H294" s="12">
        <v>128</v>
      </c>
      <c r="I294" s="12">
        <v>6000</v>
      </c>
      <c r="J294" s="12">
        <v>4</v>
      </c>
      <c r="K294" s="12">
        <v>2</v>
      </c>
      <c r="L294" s="75" t="s">
        <v>4267</v>
      </c>
      <c r="M294" s="75" t="s">
        <v>4265</v>
      </c>
      <c r="N294" s="75" t="s">
        <v>4266</v>
      </c>
      <c r="O294" s="20" t="s">
        <v>2853</v>
      </c>
      <c r="P294" s="14" t="s">
        <v>2438</v>
      </c>
      <c r="Q294" s="3">
        <v>162.6</v>
      </c>
      <c r="R294" s="3">
        <v>293</v>
      </c>
      <c r="S294" s="18" t="s">
        <v>3373</v>
      </c>
      <c r="T294" s="12"/>
    </row>
    <row r="295" spans="1:20" x14ac:dyDescent="0.25">
      <c r="A295" s="18" t="s">
        <v>3374</v>
      </c>
      <c r="B295" s="11" t="s">
        <v>3375</v>
      </c>
      <c r="C295" s="4" t="str">
        <f t="shared" si="4"/>
        <v>ASUS</v>
      </c>
      <c r="D295" s="14" t="s">
        <v>2294</v>
      </c>
      <c r="E295" s="11" t="s">
        <v>352</v>
      </c>
      <c r="F295" s="76" t="s">
        <v>8783</v>
      </c>
      <c r="G295" s="12" t="s">
        <v>406</v>
      </c>
      <c r="H295" s="12">
        <v>128</v>
      </c>
      <c r="I295" s="12">
        <v>5333</v>
      </c>
      <c r="J295" s="12">
        <v>4</v>
      </c>
      <c r="K295" s="12">
        <v>2</v>
      </c>
      <c r="L295" s="75" t="s">
        <v>4267</v>
      </c>
      <c r="M295" s="75" t="s">
        <v>4265</v>
      </c>
      <c r="N295" s="75" t="s">
        <v>4266</v>
      </c>
      <c r="O295" s="20" t="s">
        <v>2853</v>
      </c>
      <c r="P295" s="14" t="s">
        <v>2438</v>
      </c>
      <c r="Q295" s="3">
        <v>163.9</v>
      </c>
      <c r="R295" s="3">
        <v>260.73</v>
      </c>
      <c r="S295" s="18" t="s">
        <v>3376</v>
      </c>
      <c r="T295" s="12"/>
    </row>
    <row r="296" spans="1:20" x14ac:dyDescent="0.25">
      <c r="A296" s="18" t="s">
        <v>3377</v>
      </c>
      <c r="B296" s="11" t="s">
        <v>3378</v>
      </c>
      <c r="C296" s="4" t="str">
        <f t="shared" si="4"/>
        <v>ASUS</v>
      </c>
      <c r="D296" s="14" t="s">
        <v>2336</v>
      </c>
      <c r="E296" s="11" t="s">
        <v>352</v>
      </c>
      <c r="F296" s="76" t="s">
        <v>8783</v>
      </c>
      <c r="G296" s="12" t="s">
        <v>406</v>
      </c>
      <c r="H296" s="12">
        <v>128</v>
      </c>
      <c r="I296" s="12">
        <v>5333</v>
      </c>
      <c r="J296" s="12">
        <v>4</v>
      </c>
      <c r="K296" s="12">
        <v>2</v>
      </c>
      <c r="L296" s="75" t="s">
        <v>4310</v>
      </c>
      <c r="M296" s="75" t="s">
        <v>4258</v>
      </c>
      <c r="N296" s="75" t="s">
        <v>4257</v>
      </c>
      <c r="O296" s="20" t="s">
        <v>3155</v>
      </c>
      <c r="P296" s="14" t="s">
        <v>2438</v>
      </c>
      <c r="Q296" s="3">
        <v>193.68</v>
      </c>
      <c r="R296" s="3">
        <v>267</v>
      </c>
      <c r="S296" s="18" t="s">
        <v>3379</v>
      </c>
      <c r="T296" s="12"/>
    </row>
    <row r="297" spans="1:20" x14ac:dyDescent="0.25">
      <c r="A297" s="18" t="s">
        <v>3380</v>
      </c>
      <c r="B297" s="11" t="s">
        <v>3381</v>
      </c>
      <c r="C297" s="4" t="str">
        <f t="shared" si="4"/>
        <v>ASUS</v>
      </c>
      <c r="D297" s="14" t="s">
        <v>2294</v>
      </c>
      <c r="E297" s="11" t="s">
        <v>352</v>
      </c>
      <c r="F297" s="76" t="s">
        <v>8784</v>
      </c>
      <c r="G297" s="12" t="s">
        <v>407</v>
      </c>
      <c r="H297" s="12">
        <v>192</v>
      </c>
      <c r="I297" s="12">
        <v>7200</v>
      </c>
      <c r="J297" s="12">
        <v>4</v>
      </c>
      <c r="K297" s="12">
        <v>2</v>
      </c>
      <c r="L297" s="75" t="s">
        <v>4272</v>
      </c>
      <c r="M297" s="75" t="s">
        <v>4244</v>
      </c>
      <c r="N297" s="75" t="s">
        <v>4254</v>
      </c>
      <c r="O297" s="20" t="s">
        <v>3382</v>
      </c>
      <c r="P297" s="14" t="s">
        <v>2443</v>
      </c>
      <c r="Q297" s="3">
        <v>185.68</v>
      </c>
      <c r="R297" s="3">
        <v>275.02999999999997</v>
      </c>
      <c r="S297" s="18" t="s">
        <v>3383</v>
      </c>
      <c r="T297" s="12"/>
    </row>
    <row r="298" spans="1:20" x14ac:dyDescent="0.25">
      <c r="A298" s="18" t="s">
        <v>3384</v>
      </c>
      <c r="B298" s="11" t="s">
        <v>3385</v>
      </c>
      <c r="C298" s="4" t="str">
        <f t="shared" si="4"/>
        <v>ASUS</v>
      </c>
      <c r="D298" s="14" t="s">
        <v>2294</v>
      </c>
      <c r="E298" s="11" t="s">
        <v>352</v>
      </c>
      <c r="F298" s="76" t="s">
        <v>8784</v>
      </c>
      <c r="G298" s="12" t="s">
        <v>406</v>
      </c>
      <c r="H298" s="12">
        <v>128</v>
      </c>
      <c r="I298" s="12">
        <v>5333</v>
      </c>
      <c r="J298" s="12">
        <v>4</v>
      </c>
      <c r="K298" s="12">
        <v>2</v>
      </c>
      <c r="L298" s="75" t="s">
        <v>4272</v>
      </c>
      <c r="M298" s="75" t="s">
        <v>4244</v>
      </c>
      <c r="N298" s="75" t="s">
        <v>4254</v>
      </c>
      <c r="O298" s="20" t="s">
        <v>3382</v>
      </c>
      <c r="P298" s="14" t="s">
        <v>2443</v>
      </c>
      <c r="Q298" s="3">
        <v>165.48</v>
      </c>
      <c r="R298" s="3">
        <v>302.92</v>
      </c>
      <c r="S298" s="18" t="s">
        <v>3386</v>
      </c>
      <c r="T298" s="12"/>
    </row>
    <row r="299" spans="1:20" x14ac:dyDescent="0.25">
      <c r="A299" s="18" t="s">
        <v>3387</v>
      </c>
      <c r="B299" s="11" t="s">
        <v>3388</v>
      </c>
      <c r="C299" s="4" t="str">
        <f t="shared" si="4"/>
        <v>ASUS</v>
      </c>
      <c r="D299" s="14" t="s">
        <v>2294</v>
      </c>
      <c r="E299" s="11" t="s">
        <v>352</v>
      </c>
      <c r="F299" s="76" t="s">
        <v>8784</v>
      </c>
      <c r="G299" s="12" t="s">
        <v>406</v>
      </c>
      <c r="H299" s="12">
        <v>128</v>
      </c>
      <c r="I299" s="12">
        <v>5333</v>
      </c>
      <c r="J299" s="12">
        <v>4</v>
      </c>
      <c r="K299" s="12">
        <v>2</v>
      </c>
      <c r="L299" s="75" t="s">
        <v>4260</v>
      </c>
      <c r="M299" s="75" t="s">
        <v>4244</v>
      </c>
      <c r="N299" s="75" t="s">
        <v>4254</v>
      </c>
      <c r="O299" s="20" t="s">
        <v>3025</v>
      </c>
      <c r="P299" s="14" t="s">
        <v>2443</v>
      </c>
      <c r="Q299" s="3">
        <v>124.9</v>
      </c>
      <c r="R299" s="3">
        <v>279.19</v>
      </c>
      <c r="S299" s="18" t="s">
        <v>3389</v>
      </c>
      <c r="T299" s="12"/>
    </row>
    <row r="300" spans="1:20" x14ac:dyDescent="0.25">
      <c r="A300" s="18" t="s">
        <v>3390</v>
      </c>
      <c r="B300" s="11" t="s">
        <v>3391</v>
      </c>
      <c r="C300" s="4" t="str">
        <f t="shared" si="4"/>
        <v>ASUS</v>
      </c>
      <c r="D300" s="14" t="s">
        <v>2294</v>
      </c>
      <c r="E300" s="11" t="s">
        <v>352</v>
      </c>
      <c r="F300" s="76" t="s">
        <v>8784</v>
      </c>
      <c r="G300" s="12" t="s">
        <v>407</v>
      </c>
      <c r="H300" s="12">
        <v>192</v>
      </c>
      <c r="I300" s="12">
        <v>7200</v>
      </c>
      <c r="J300" s="12">
        <v>4</v>
      </c>
      <c r="K300" s="12">
        <v>2</v>
      </c>
      <c r="L300" s="75" t="s">
        <v>4272</v>
      </c>
      <c r="M300" s="75" t="s">
        <v>4244</v>
      </c>
      <c r="N300" s="75" t="s">
        <v>4254</v>
      </c>
      <c r="O300" s="20" t="s">
        <v>2779</v>
      </c>
      <c r="P300" s="14" t="s">
        <v>2443</v>
      </c>
      <c r="Q300" s="3">
        <v>163.28</v>
      </c>
      <c r="R300" s="3">
        <v>247</v>
      </c>
      <c r="S300" s="18" t="s">
        <v>3392</v>
      </c>
      <c r="T300" s="12"/>
    </row>
    <row r="301" spans="1:20" x14ac:dyDescent="0.25">
      <c r="A301" s="18" t="s">
        <v>3393</v>
      </c>
      <c r="B301" s="11" t="s">
        <v>3394</v>
      </c>
      <c r="C301" s="4" t="str">
        <f t="shared" si="4"/>
        <v>ASUS</v>
      </c>
      <c r="D301" s="14" t="s">
        <v>2294</v>
      </c>
      <c r="E301" s="11" t="s">
        <v>352</v>
      </c>
      <c r="F301" s="76" t="s">
        <v>8784</v>
      </c>
      <c r="G301" s="12" t="s">
        <v>406</v>
      </c>
      <c r="H301" s="12">
        <v>128</v>
      </c>
      <c r="I301" s="12">
        <v>5333</v>
      </c>
      <c r="J301" s="12">
        <v>4</v>
      </c>
      <c r="K301" s="12">
        <v>2</v>
      </c>
      <c r="L301" s="75" t="s">
        <v>4272</v>
      </c>
      <c r="M301" s="75" t="s">
        <v>4244</v>
      </c>
      <c r="N301" s="75" t="s">
        <v>4254</v>
      </c>
      <c r="O301" s="20" t="s">
        <v>2779</v>
      </c>
      <c r="P301" s="14" t="s">
        <v>2443</v>
      </c>
      <c r="Q301" s="3">
        <v>148.02000000000001</v>
      </c>
      <c r="R301" s="3">
        <v>220.3</v>
      </c>
      <c r="S301" s="18" t="s">
        <v>3395</v>
      </c>
      <c r="T301" s="12"/>
    </row>
    <row r="302" spans="1:20" x14ac:dyDescent="0.25">
      <c r="A302" s="18" t="s">
        <v>3396</v>
      </c>
      <c r="B302" s="11" t="s">
        <v>3397</v>
      </c>
      <c r="C302" s="4" t="str">
        <f t="shared" si="4"/>
        <v>ASUS</v>
      </c>
      <c r="D302" s="14" t="s">
        <v>2294</v>
      </c>
      <c r="E302" s="11" t="s">
        <v>352</v>
      </c>
      <c r="F302" s="76" t="s">
        <v>8784</v>
      </c>
      <c r="G302" s="12" t="s">
        <v>407</v>
      </c>
      <c r="H302" s="12">
        <v>192</v>
      </c>
      <c r="I302" s="12">
        <v>7800</v>
      </c>
      <c r="J302" s="12">
        <v>4</v>
      </c>
      <c r="K302" s="12">
        <v>2</v>
      </c>
      <c r="L302" s="75" t="s">
        <v>4267</v>
      </c>
      <c r="M302" s="75" t="s">
        <v>4254</v>
      </c>
      <c r="N302" s="75" t="s">
        <v>4254</v>
      </c>
      <c r="O302" s="20" t="s">
        <v>3398</v>
      </c>
      <c r="P302" s="14" t="s">
        <v>2443</v>
      </c>
      <c r="Q302" s="3">
        <v>166.9</v>
      </c>
      <c r="R302" s="3">
        <v>226.61</v>
      </c>
      <c r="S302" s="18" t="s">
        <v>3399</v>
      </c>
      <c r="T302" s="12"/>
    </row>
    <row r="303" spans="1:20" x14ac:dyDescent="0.25">
      <c r="A303" s="18" t="s">
        <v>3400</v>
      </c>
      <c r="B303" s="11" t="s">
        <v>3401</v>
      </c>
      <c r="C303" s="4" t="str">
        <f t="shared" si="4"/>
        <v>ASUS</v>
      </c>
      <c r="D303" s="14" t="s">
        <v>2294</v>
      </c>
      <c r="E303" s="11" t="s">
        <v>352</v>
      </c>
      <c r="F303" s="76" t="s">
        <v>8784</v>
      </c>
      <c r="G303" s="12" t="s">
        <v>407</v>
      </c>
      <c r="H303" s="12">
        <v>192</v>
      </c>
      <c r="I303" s="12">
        <v>7200</v>
      </c>
      <c r="J303" s="12">
        <v>4</v>
      </c>
      <c r="K303" s="12">
        <v>2</v>
      </c>
      <c r="L303" s="75" t="s">
        <v>4272</v>
      </c>
      <c r="M303" s="75" t="s">
        <v>4244</v>
      </c>
      <c r="N303" s="75" t="s">
        <v>4254</v>
      </c>
      <c r="O303" s="20" t="s">
        <v>2853</v>
      </c>
      <c r="P303" s="14" t="s">
        <v>2443</v>
      </c>
      <c r="Q303" s="3">
        <v>178.9</v>
      </c>
      <c r="R303" s="3">
        <v>250.74</v>
      </c>
      <c r="S303" s="18" t="s">
        <v>3402</v>
      </c>
      <c r="T303" s="12"/>
    </row>
    <row r="304" spans="1:20" x14ac:dyDescent="0.25">
      <c r="A304" s="18" t="s">
        <v>3403</v>
      </c>
      <c r="B304" s="11" t="s">
        <v>3404</v>
      </c>
      <c r="C304" s="4" t="str">
        <f t="shared" si="4"/>
        <v>ASUS</v>
      </c>
      <c r="D304" s="14" t="s">
        <v>2294</v>
      </c>
      <c r="E304" s="11" t="s">
        <v>352</v>
      </c>
      <c r="F304" s="76" t="s">
        <v>8784</v>
      </c>
      <c r="G304" s="12" t="s">
        <v>406</v>
      </c>
      <c r="H304" s="12">
        <v>128</v>
      </c>
      <c r="I304" s="12">
        <v>5333</v>
      </c>
      <c r="J304" s="12">
        <v>4</v>
      </c>
      <c r="K304" s="12">
        <v>2</v>
      </c>
      <c r="L304" s="75" t="s">
        <v>4272</v>
      </c>
      <c r="M304" s="75" t="s">
        <v>4244</v>
      </c>
      <c r="N304" s="75" t="s">
        <v>4254</v>
      </c>
      <c r="O304" s="20" t="s">
        <v>2853</v>
      </c>
      <c r="P304" s="14" t="s">
        <v>2443</v>
      </c>
      <c r="Q304" s="3">
        <v>171.94</v>
      </c>
      <c r="R304" s="3">
        <v>348</v>
      </c>
      <c r="S304" s="18" t="s">
        <v>3405</v>
      </c>
      <c r="T304" s="12"/>
    </row>
    <row r="305" spans="1:20" x14ac:dyDescent="0.25">
      <c r="A305" s="18" t="s">
        <v>3406</v>
      </c>
      <c r="B305" s="11" t="s">
        <v>3407</v>
      </c>
      <c r="C305" s="4" t="str">
        <f t="shared" si="4"/>
        <v>ASUS</v>
      </c>
      <c r="D305" s="14" t="s">
        <v>2294</v>
      </c>
      <c r="E305" s="11" t="s">
        <v>352</v>
      </c>
      <c r="F305" s="76" t="s">
        <v>8784</v>
      </c>
      <c r="G305" s="12" t="s">
        <v>407</v>
      </c>
      <c r="H305" s="12">
        <v>192</v>
      </c>
      <c r="I305" s="12">
        <v>7800</v>
      </c>
      <c r="J305" s="12">
        <v>4</v>
      </c>
      <c r="K305" s="12">
        <v>2</v>
      </c>
      <c r="L305" s="75" t="s">
        <v>4267</v>
      </c>
      <c r="M305" s="75" t="s">
        <v>4254</v>
      </c>
      <c r="N305" s="75" t="s">
        <v>4254</v>
      </c>
      <c r="O305" s="20" t="s">
        <v>3408</v>
      </c>
      <c r="P305" s="14" t="s">
        <v>2443</v>
      </c>
      <c r="Q305" s="3">
        <v>175.55</v>
      </c>
      <c r="R305" s="3">
        <v>258.60000000000002</v>
      </c>
      <c r="S305" s="18" t="s">
        <v>3409</v>
      </c>
      <c r="T305" s="12"/>
    </row>
    <row r="306" spans="1:20" x14ac:dyDescent="0.25">
      <c r="A306" s="18" t="s">
        <v>3410</v>
      </c>
      <c r="B306" s="11" t="s">
        <v>3411</v>
      </c>
      <c r="C306" s="4" t="str">
        <f t="shared" si="4"/>
        <v>ASUS</v>
      </c>
      <c r="D306" s="14" t="s">
        <v>2336</v>
      </c>
      <c r="E306" s="11" t="s">
        <v>352</v>
      </c>
      <c r="F306" s="76" t="s">
        <v>8784</v>
      </c>
      <c r="G306" s="12" t="s">
        <v>407</v>
      </c>
      <c r="H306" s="12">
        <v>192</v>
      </c>
      <c r="I306" s="12">
        <v>7200</v>
      </c>
      <c r="J306" s="12">
        <v>4</v>
      </c>
      <c r="K306" s="12">
        <v>2</v>
      </c>
      <c r="L306" s="75" t="s">
        <v>4310</v>
      </c>
      <c r="M306" s="75" t="s">
        <v>4258</v>
      </c>
      <c r="N306" s="75" t="s">
        <v>4257</v>
      </c>
      <c r="O306" s="20" t="s">
        <v>3166</v>
      </c>
      <c r="P306" s="14" t="s">
        <v>2443</v>
      </c>
      <c r="Q306" s="3">
        <v>146.02000000000001</v>
      </c>
      <c r="R306" s="3">
        <v>280.72000000000003</v>
      </c>
      <c r="S306" s="18" t="s">
        <v>3412</v>
      </c>
      <c r="T306" s="12"/>
    </row>
    <row r="307" spans="1:20" x14ac:dyDescent="0.25">
      <c r="A307" s="18" t="s">
        <v>3413</v>
      </c>
      <c r="B307" s="11" t="s">
        <v>3414</v>
      </c>
      <c r="C307" s="4" t="str">
        <f t="shared" si="4"/>
        <v>ASUS</v>
      </c>
      <c r="D307" s="14" t="s">
        <v>2336</v>
      </c>
      <c r="E307" s="11" t="s">
        <v>352</v>
      </c>
      <c r="F307" s="76" t="s">
        <v>8784</v>
      </c>
      <c r="G307" s="12" t="s">
        <v>406</v>
      </c>
      <c r="H307" s="12">
        <v>128</v>
      </c>
      <c r="I307" s="12">
        <v>5333</v>
      </c>
      <c r="J307" s="12">
        <v>4</v>
      </c>
      <c r="K307" s="12">
        <v>2</v>
      </c>
      <c r="L307" s="75" t="s">
        <v>4310</v>
      </c>
      <c r="M307" s="75" t="s">
        <v>4258</v>
      </c>
      <c r="N307" s="75" t="s">
        <v>4257</v>
      </c>
      <c r="O307" s="20" t="s">
        <v>3166</v>
      </c>
      <c r="P307" s="14" t="s">
        <v>2443</v>
      </c>
      <c r="Q307" s="3">
        <v>153.91999999999999</v>
      </c>
      <c r="R307" s="3">
        <v>302.66000000000003</v>
      </c>
      <c r="S307" s="18" t="s">
        <v>3415</v>
      </c>
      <c r="T307" s="12"/>
    </row>
    <row r="308" spans="1:20" x14ac:dyDescent="0.25">
      <c r="A308" s="18" t="s">
        <v>3416</v>
      </c>
      <c r="B308" s="11" t="s">
        <v>3417</v>
      </c>
      <c r="C308" s="4" t="str">
        <f t="shared" si="4"/>
        <v>ASUS</v>
      </c>
      <c r="D308" s="14" t="s">
        <v>2294</v>
      </c>
      <c r="E308" s="11" t="s">
        <v>351</v>
      </c>
      <c r="F308" s="76" t="s">
        <v>8775</v>
      </c>
      <c r="G308" s="12" t="s">
        <v>407</v>
      </c>
      <c r="H308" s="12">
        <v>192</v>
      </c>
      <c r="I308" s="12">
        <v>8000</v>
      </c>
      <c r="J308" s="12">
        <v>4</v>
      </c>
      <c r="K308" s="12">
        <v>2</v>
      </c>
      <c r="L308" s="75" t="s">
        <v>2285</v>
      </c>
      <c r="M308" s="75" t="s">
        <v>4249</v>
      </c>
      <c r="N308" s="75" t="s">
        <v>4249</v>
      </c>
      <c r="O308" s="20" t="s">
        <v>3418</v>
      </c>
      <c r="P308" s="14" t="s">
        <v>2504</v>
      </c>
      <c r="Q308" s="3">
        <v>212.78</v>
      </c>
      <c r="R308" s="3">
        <v>332</v>
      </c>
      <c r="S308" s="18" t="s">
        <v>3419</v>
      </c>
      <c r="T308" s="12"/>
    </row>
    <row r="309" spans="1:20" x14ac:dyDescent="0.25">
      <c r="A309" s="18" t="s">
        <v>3420</v>
      </c>
      <c r="B309" s="11" t="s">
        <v>3421</v>
      </c>
      <c r="C309" s="4" t="str">
        <f t="shared" si="4"/>
        <v>ASUS</v>
      </c>
      <c r="D309" s="14" t="s">
        <v>2294</v>
      </c>
      <c r="E309" s="11" t="s">
        <v>351</v>
      </c>
      <c r="F309" s="76" t="s">
        <v>8775</v>
      </c>
      <c r="G309" s="12" t="s">
        <v>407</v>
      </c>
      <c r="H309" s="12">
        <v>192</v>
      </c>
      <c r="I309" s="12">
        <v>8000</v>
      </c>
      <c r="J309" s="12">
        <v>4</v>
      </c>
      <c r="K309" s="12">
        <v>2</v>
      </c>
      <c r="L309" s="75" t="s">
        <v>2285</v>
      </c>
      <c r="M309" s="75" t="s">
        <v>4249</v>
      </c>
      <c r="N309" s="75" t="s">
        <v>4249</v>
      </c>
      <c r="O309" s="20" t="s">
        <v>3422</v>
      </c>
      <c r="P309" s="14" t="s">
        <v>2504</v>
      </c>
      <c r="Q309" s="3">
        <v>230.63</v>
      </c>
      <c r="R309" s="3">
        <v>329</v>
      </c>
      <c r="S309" s="18" t="s">
        <v>3423</v>
      </c>
      <c r="T309" s="12"/>
    </row>
    <row r="310" spans="1:20" x14ac:dyDescent="0.25">
      <c r="A310" s="18" t="s">
        <v>3424</v>
      </c>
      <c r="B310" s="11" t="s">
        <v>3425</v>
      </c>
      <c r="C310" s="4" t="str">
        <f t="shared" si="4"/>
        <v>ASUS</v>
      </c>
      <c r="D310" s="14" t="s">
        <v>2336</v>
      </c>
      <c r="E310" s="11" t="s">
        <v>351</v>
      </c>
      <c r="F310" s="76" t="s">
        <v>8775</v>
      </c>
      <c r="G310" s="12" t="s">
        <v>407</v>
      </c>
      <c r="H310" s="12">
        <v>192</v>
      </c>
      <c r="I310" s="12">
        <v>8000</v>
      </c>
      <c r="J310" s="12">
        <v>4</v>
      </c>
      <c r="K310" s="12">
        <v>2</v>
      </c>
      <c r="L310" s="75" t="s">
        <v>4279</v>
      </c>
      <c r="M310" s="75" t="s">
        <v>4258</v>
      </c>
      <c r="N310" s="75" t="s">
        <v>4257</v>
      </c>
      <c r="O310" s="20" t="s">
        <v>3426</v>
      </c>
      <c r="P310" s="14" t="s">
        <v>2504</v>
      </c>
      <c r="Q310" s="3">
        <v>246.9</v>
      </c>
      <c r="R310" s="3">
        <v>353</v>
      </c>
      <c r="S310" s="18" t="s">
        <v>3427</v>
      </c>
      <c r="T310" s="12"/>
    </row>
    <row r="311" spans="1:20" x14ac:dyDescent="0.25">
      <c r="A311" s="18" t="s">
        <v>3428</v>
      </c>
      <c r="B311" s="11" t="s">
        <v>3429</v>
      </c>
      <c r="C311" s="4" t="str">
        <f t="shared" si="4"/>
        <v>ASUS</v>
      </c>
      <c r="D311" s="14" t="s">
        <v>2294</v>
      </c>
      <c r="E311" s="11" t="s">
        <v>398</v>
      </c>
      <c r="F311" s="76" t="s">
        <v>8785</v>
      </c>
      <c r="G311" s="12" t="s">
        <v>407</v>
      </c>
      <c r="H311" s="12">
        <v>256</v>
      </c>
      <c r="I311" s="12">
        <v>8800</v>
      </c>
      <c r="J311" s="12">
        <v>4</v>
      </c>
      <c r="K311" s="12">
        <v>2</v>
      </c>
      <c r="L311" s="75" t="s">
        <v>2285</v>
      </c>
      <c r="M311" s="75" t="s">
        <v>418</v>
      </c>
      <c r="N311" s="75" t="s">
        <v>418</v>
      </c>
      <c r="O311" s="20" t="s">
        <v>3418</v>
      </c>
      <c r="P311" s="14" t="s">
        <v>2530</v>
      </c>
      <c r="Q311" s="3">
        <v>205.11</v>
      </c>
      <c r="R311" s="3">
        <v>323</v>
      </c>
      <c r="S311" s="18" t="s">
        <v>3430</v>
      </c>
      <c r="T311" s="12"/>
    </row>
    <row r="312" spans="1:20" x14ac:dyDescent="0.25">
      <c r="A312" s="18" t="s">
        <v>3431</v>
      </c>
      <c r="B312" s="11" t="s">
        <v>3432</v>
      </c>
      <c r="C312" s="4" t="str">
        <f t="shared" si="4"/>
        <v>ASUS</v>
      </c>
      <c r="D312" s="14" t="s">
        <v>2294</v>
      </c>
      <c r="E312" s="11" t="s">
        <v>398</v>
      </c>
      <c r="F312" s="76" t="s">
        <v>8785</v>
      </c>
      <c r="G312" s="12" t="s">
        <v>407</v>
      </c>
      <c r="H312" s="12">
        <v>256</v>
      </c>
      <c r="I312" s="12">
        <v>8800</v>
      </c>
      <c r="J312" s="12">
        <v>4</v>
      </c>
      <c r="K312" s="12">
        <v>2</v>
      </c>
      <c r="L312" s="75" t="s">
        <v>2285</v>
      </c>
      <c r="M312" s="75" t="s">
        <v>418</v>
      </c>
      <c r="N312" s="75" t="s">
        <v>418</v>
      </c>
      <c r="O312" s="20" t="s">
        <v>3422</v>
      </c>
      <c r="P312" s="14" t="s">
        <v>2530</v>
      </c>
      <c r="Q312" s="3">
        <v>213.9</v>
      </c>
      <c r="R312" s="3">
        <v>339</v>
      </c>
      <c r="S312" s="18" t="s">
        <v>3433</v>
      </c>
      <c r="T312" s="12"/>
    </row>
    <row r="313" spans="1:20" x14ac:dyDescent="0.25">
      <c r="A313" s="18" t="s">
        <v>3434</v>
      </c>
      <c r="B313" s="11" t="s">
        <v>3435</v>
      </c>
      <c r="C313" s="4" t="str">
        <f t="shared" si="4"/>
        <v>ASUS</v>
      </c>
      <c r="D313" s="14" t="s">
        <v>2336</v>
      </c>
      <c r="E313" s="11" t="s">
        <v>398</v>
      </c>
      <c r="F313" s="76" t="s">
        <v>8785</v>
      </c>
      <c r="G313" s="12" t="s">
        <v>407</v>
      </c>
      <c r="H313" s="12">
        <v>256</v>
      </c>
      <c r="I313" s="12">
        <v>8666</v>
      </c>
      <c r="J313" s="12">
        <v>4</v>
      </c>
      <c r="K313" s="12">
        <v>2</v>
      </c>
      <c r="L313" s="75" t="s">
        <v>4272</v>
      </c>
      <c r="M313" s="75" t="s">
        <v>4244</v>
      </c>
      <c r="N313" s="75" t="s">
        <v>4254</v>
      </c>
      <c r="O313" s="20" t="s">
        <v>3436</v>
      </c>
      <c r="P313" s="14" t="s">
        <v>2530</v>
      </c>
      <c r="Q313" s="3">
        <v>235.9</v>
      </c>
      <c r="R313" s="3">
        <v>340</v>
      </c>
      <c r="S313" s="18" t="s">
        <v>3437</v>
      </c>
      <c r="T313" s="12"/>
    </row>
    <row r="314" spans="1:20" x14ac:dyDescent="0.25">
      <c r="A314" s="18" t="s">
        <v>3438</v>
      </c>
      <c r="B314" s="11" t="s">
        <v>3439</v>
      </c>
      <c r="C314" s="4" t="str">
        <f t="shared" si="4"/>
        <v>ASUS</v>
      </c>
      <c r="D314" s="14" t="s">
        <v>2336</v>
      </c>
      <c r="E314" s="11" t="s">
        <v>352</v>
      </c>
      <c r="F314" s="76" t="s">
        <v>8786</v>
      </c>
      <c r="G314" s="12" t="s">
        <v>406</v>
      </c>
      <c r="H314" s="12">
        <v>128</v>
      </c>
      <c r="I314" s="12">
        <v>5333</v>
      </c>
      <c r="J314" s="12">
        <v>4</v>
      </c>
      <c r="K314" s="12">
        <v>2</v>
      </c>
      <c r="L314" s="75" t="s">
        <v>4310</v>
      </c>
      <c r="M314" s="75" t="s">
        <v>4258</v>
      </c>
      <c r="N314" s="75" t="s">
        <v>4257</v>
      </c>
      <c r="O314" s="20" t="s">
        <v>3440</v>
      </c>
      <c r="P314" s="14" t="s">
        <v>2570</v>
      </c>
      <c r="Q314" s="3">
        <v>202.27</v>
      </c>
      <c r="R314" s="3">
        <v>281.67</v>
      </c>
      <c r="S314" s="18" t="s">
        <v>3441</v>
      </c>
      <c r="T314" s="12"/>
    </row>
    <row r="315" spans="1:20" x14ac:dyDescent="0.25">
      <c r="A315" s="18" t="s">
        <v>3442</v>
      </c>
      <c r="B315" s="11" t="s">
        <v>3443</v>
      </c>
      <c r="C315" s="4" t="str">
        <f t="shared" si="4"/>
        <v>ASUS</v>
      </c>
      <c r="D315" s="14" t="s">
        <v>2336</v>
      </c>
      <c r="E315" s="11" t="s">
        <v>352</v>
      </c>
      <c r="F315" s="76" t="s">
        <v>8790</v>
      </c>
      <c r="G315" s="12" t="s">
        <v>407</v>
      </c>
      <c r="H315" s="12">
        <v>192</v>
      </c>
      <c r="I315" s="12">
        <v>7200</v>
      </c>
      <c r="J315" s="12">
        <v>4</v>
      </c>
      <c r="K315" s="12">
        <v>2</v>
      </c>
      <c r="L315" s="75" t="s">
        <v>4270</v>
      </c>
      <c r="M315" s="75" t="s">
        <v>4258</v>
      </c>
      <c r="N315" s="75" t="s">
        <v>4257</v>
      </c>
      <c r="O315" s="20" t="s">
        <v>3444</v>
      </c>
      <c r="P315" s="14" t="s">
        <v>2928</v>
      </c>
      <c r="Q315" s="3">
        <v>211.41</v>
      </c>
      <c r="R315" s="3">
        <v>364.63</v>
      </c>
      <c r="S315" s="18" t="s">
        <v>3445</v>
      </c>
      <c r="T315" s="12"/>
    </row>
    <row r="316" spans="1:20" x14ac:dyDescent="0.25">
      <c r="A316" s="18" t="s">
        <v>3446</v>
      </c>
      <c r="B316" s="11" t="s">
        <v>3447</v>
      </c>
      <c r="C316" s="4" t="str">
        <f t="shared" si="4"/>
        <v>ASUS</v>
      </c>
      <c r="D316" s="14" t="s">
        <v>2336</v>
      </c>
      <c r="E316" s="11" t="s">
        <v>351</v>
      </c>
      <c r="F316" s="76" t="s">
        <v>8779</v>
      </c>
      <c r="G316" s="12" t="s">
        <v>407</v>
      </c>
      <c r="H316" s="12">
        <v>192</v>
      </c>
      <c r="I316" s="12">
        <v>8000</v>
      </c>
      <c r="J316" s="12">
        <v>4</v>
      </c>
      <c r="K316" s="12">
        <v>2</v>
      </c>
      <c r="L316" s="75" t="s">
        <v>4272</v>
      </c>
      <c r="M316" s="75" t="s">
        <v>4278</v>
      </c>
      <c r="N316" s="75" t="s">
        <v>4273</v>
      </c>
      <c r="O316" s="20" t="s">
        <v>2944</v>
      </c>
      <c r="P316" s="14" t="s">
        <v>2635</v>
      </c>
      <c r="Q316" s="3">
        <v>482.78</v>
      </c>
      <c r="R316" s="3">
        <v>1960</v>
      </c>
      <c r="S316" s="18" t="s">
        <v>3448</v>
      </c>
      <c r="T316" s="12"/>
    </row>
    <row r="317" spans="1:20" x14ac:dyDescent="0.25">
      <c r="A317" s="18" t="s">
        <v>3449</v>
      </c>
      <c r="B317" s="11" t="s">
        <v>3450</v>
      </c>
      <c r="C317" s="4" t="str">
        <f t="shared" si="4"/>
        <v>ASUS</v>
      </c>
      <c r="D317" s="14" t="s">
        <v>2336</v>
      </c>
      <c r="E317" s="11" t="s">
        <v>351</v>
      </c>
      <c r="F317" s="76" t="s">
        <v>8777</v>
      </c>
      <c r="G317" s="12" t="s">
        <v>407</v>
      </c>
      <c r="H317" s="12">
        <v>192</v>
      </c>
      <c r="I317" s="12">
        <v>8000</v>
      </c>
      <c r="J317" s="12">
        <v>4</v>
      </c>
      <c r="K317" s="12">
        <v>2</v>
      </c>
      <c r="L317" s="75" t="s">
        <v>2285</v>
      </c>
      <c r="M317" s="75" t="s">
        <v>4247</v>
      </c>
      <c r="N317" s="75" t="s">
        <v>418</v>
      </c>
      <c r="O317" s="20" t="s">
        <v>3451</v>
      </c>
      <c r="P317" s="14" t="s">
        <v>2960</v>
      </c>
      <c r="Q317" s="3">
        <v>320.79000000000002</v>
      </c>
      <c r="R317" s="3">
        <v>493.14</v>
      </c>
      <c r="S317" s="18" t="s">
        <v>3452</v>
      </c>
      <c r="T317" s="12"/>
    </row>
    <row r="318" spans="1:20" x14ac:dyDescent="0.25">
      <c r="A318" s="18" t="s">
        <v>3453</v>
      </c>
      <c r="B318" s="11" t="s">
        <v>3454</v>
      </c>
      <c r="C318" s="4" t="str">
        <f t="shared" si="4"/>
        <v>ASUS</v>
      </c>
      <c r="D318" s="14" t="s">
        <v>2336</v>
      </c>
      <c r="E318" s="11" t="s">
        <v>352</v>
      </c>
      <c r="F318" s="76" t="s">
        <v>8789</v>
      </c>
      <c r="G318" s="12" t="s">
        <v>407</v>
      </c>
      <c r="H318" s="12">
        <v>128</v>
      </c>
      <c r="I318" s="12">
        <v>6000</v>
      </c>
      <c r="J318" s="12">
        <v>4</v>
      </c>
      <c r="K318" s="12">
        <v>2</v>
      </c>
      <c r="L318" s="75" t="s">
        <v>4299</v>
      </c>
      <c r="M318" s="75" t="s">
        <v>4300</v>
      </c>
      <c r="N318" s="75" t="s">
        <v>4286</v>
      </c>
      <c r="O318" s="20" t="s">
        <v>2968</v>
      </c>
      <c r="P318" s="14" t="s">
        <v>450</v>
      </c>
      <c r="Q318" s="3">
        <v>226.79</v>
      </c>
      <c r="R318" s="3">
        <v>252.87</v>
      </c>
      <c r="S318" s="18" t="s">
        <v>3455</v>
      </c>
      <c r="T318" s="12"/>
    </row>
    <row r="319" spans="1:20" x14ac:dyDescent="0.25">
      <c r="A319" s="18" t="s">
        <v>3456</v>
      </c>
      <c r="B319" s="11" t="s">
        <v>3457</v>
      </c>
      <c r="C319" s="4" t="str">
        <f t="shared" si="4"/>
        <v>ASUS</v>
      </c>
      <c r="D319" s="14" t="s">
        <v>2336</v>
      </c>
      <c r="E319" s="11" t="s">
        <v>352</v>
      </c>
      <c r="F319" s="76" t="s">
        <v>8789</v>
      </c>
      <c r="G319" s="12" t="s">
        <v>407</v>
      </c>
      <c r="H319" s="12">
        <v>128</v>
      </c>
      <c r="I319" s="12">
        <v>6000</v>
      </c>
      <c r="J319" s="12">
        <v>4</v>
      </c>
      <c r="K319" s="12">
        <v>2</v>
      </c>
      <c r="L319" s="75" t="s">
        <v>4299</v>
      </c>
      <c r="M319" s="75" t="s">
        <v>4300</v>
      </c>
      <c r="N319" s="75" t="s">
        <v>4286</v>
      </c>
      <c r="O319" s="20" t="s">
        <v>2980</v>
      </c>
      <c r="P319" s="14" t="s">
        <v>450</v>
      </c>
      <c r="Q319" s="3">
        <v>279.89999999999998</v>
      </c>
      <c r="R319" s="3">
        <v>478.36</v>
      </c>
      <c r="S319" s="18" t="s">
        <v>3458</v>
      </c>
      <c r="T319" s="12"/>
    </row>
    <row r="320" spans="1:20" x14ac:dyDescent="0.25">
      <c r="A320" s="18" t="s">
        <v>3459</v>
      </c>
      <c r="B320" s="11" t="s">
        <v>3460</v>
      </c>
      <c r="C320" s="4" t="str">
        <f t="shared" si="4"/>
        <v>ASUS</v>
      </c>
      <c r="D320" s="14" t="s">
        <v>2336</v>
      </c>
      <c r="E320" s="11" t="s">
        <v>352</v>
      </c>
      <c r="F320" s="76" t="s">
        <v>8789</v>
      </c>
      <c r="G320" s="12" t="s">
        <v>406</v>
      </c>
      <c r="H320" s="12">
        <v>128</v>
      </c>
      <c r="I320" s="12">
        <v>5333</v>
      </c>
      <c r="J320" s="12">
        <v>4</v>
      </c>
      <c r="K320" s="12">
        <v>2</v>
      </c>
      <c r="L320" s="75" t="s">
        <v>4299</v>
      </c>
      <c r="M320" s="75" t="s">
        <v>4300</v>
      </c>
      <c r="N320" s="75" t="s">
        <v>4286</v>
      </c>
      <c r="O320" s="20" t="s">
        <v>2980</v>
      </c>
      <c r="P320" s="14" t="s">
        <v>450</v>
      </c>
      <c r="Q320" s="3">
        <v>245.99</v>
      </c>
      <c r="R320" s="3">
        <v>629</v>
      </c>
      <c r="S320" s="18" t="s">
        <v>3461</v>
      </c>
      <c r="T320" s="12"/>
    </row>
    <row r="321" spans="1:20" x14ac:dyDescent="0.25">
      <c r="A321" s="18" t="s">
        <v>3462</v>
      </c>
      <c r="B321" s="11" t="s">
        <v>3463</v>
      </c>
      <c r="C321" s="4" t="str">
        <f t="shared" si="4"/>
        <v>ASUS</v>
      </c>
      <c r="D321" s="14" t="s">
        <v>2336</v>
      </c>
      <c r="E321" s="11" t="s">
        <v>352</v>
      </c>
      <c r="F321" s="76" t="s">
        <v>8787</v>
      </c>
      <c r="G321" s="12" t="s">
        <v>407</v>
      </c>
      <c r="H321" s="12">
        <v>192</v>
      </c>
      <c r="I321" s="12">
        <v>7200</v>
      </c>
      <c r="J321" s="12">
        <v>4</v>
      </c>
      <c r="K321" s="12">
        <v>2</v>
      </c>
      <c r="L321" s="75" t="s">
        <v>4272</v>
      </c>
      <c r="M321" s="75" t="s">
        <v>4278</v>
      </c>
      <c r="N321" s="75" t="s">
        <v>4273</v>
      </c>
      <c r="O321" s="20" t="s">
        <v>3464</v>
      </c>
      <c r="P321" s="14" t="s">
        <v>2681</v>
      </c>
      <c r="Q321" s="3">
        <v>256.42</v>
      </c>
      <c r="R321" s="3">
        <v>462.91</v>
      </c>
      <c r="S321" s="18" t="s">
        <v>3465</v>
      </c>
      <c r="T321" s="12"/>
    </row>
    <row r="322" spans="1:20" x14ac:dyDescent="0.25">
      <c r="A322" s="18" t="s">
        <v>3466</v>
      </c>
      <c r="B322" s="11" t="s">
        <v>3467</v>
      </c>
      <c r="C322" s="4" t="str">
        <f t="shared" si="4"/>
        <v>ASUS</v>
      </c>
      <c r="D322" s="14" t="s">
        <v>2336</v>
      </c>
      <c r="E322" s="11" t="s">
        <v>352</v>
      </c>
      <c r="F322" s="76" t="s">
        <v>8787</v>
      </c>
      <c r="G322" s="12" t="s">
        <v>406</v>
      </c>
      <c r="H322" s="12">
        <v>128</v>
      </c>
      <c r="I322" s="12">
        <v>5333</v>
      </c>
      <c r="J322" s="12">
        <v>4</v>
      </c>
      <c r="K322" s="12">
        <v>2</v>
      </c>
      <c r="L322" s="75" t="s">
        <v>4296</v>
      </c>
      <c r="M322" s="75" t="s">
        <v>4300</v>
      </c>
      <c r="N322" s="75" t="s">
        <v>4286</v>
      </c>
      <c r="O322" s="20" t="s">
        <v>2968</v>
      </c>
      <c r="P322" s="14" t="s">
        <v>2681</v>
      </c>
      <c r="Q322" s="3">
        <v>184.52</v>
      </c>
      <c r="R322" s="3">
        <v>500.14</v>
      </c>
      <c r="S322" s="18" t="s">
        <v>3468</v>
      </c>
      <c r="T322" s="12"/>
    </row>
    <row r="323" spans="1:20" x14ac:dyDescent="0.25">
      <c r="A323" s="18" t="s">
        <v>3469</v>
      </c>
      <c r="B323" s="11" t="s">
        <v>3470</v>
      </c>
      <c r="C323" s="4" t="str">
        <f t="shared" si="4"/>
        <v>ASUS</v>
      </c>
      <c r="D323" s="14" t="s">
        <v>2336</v>
      </c>
      <c r="E323" s="11" t="s">
        <v>352</v>
      </c>
      <c r="F323" s="76" t="s">
        <v>8787</v>
      </c>
      <c r="G323" s="12" t="s">
        <v>407</v>
      </c>
      <c r="H323" s="12">
        <v>192</v>
      </c>
      <c r="I323" s="12">
        <v>7200</v>
      </c>
      <c r="J323" s="12">
        <v>4</v>
      </c>
      <c r="K323" s="12">
        <v>2</v>
      </c>
      <c r="L323" s="75" t="s">
        <v>4296</v>
      </c>
      <c r="M323" s="75" t="s">
        <v>4300</v>
      </c>
      <c r="N323" s="75" t="s">
        <v>4286</v>
      </c>
      <c r="O323" s="20" t="s">
        <v>2980</v>
      </c>
      <c r="P323" s="14" t="s">
        <v>2681</v>
      </c>
      <c r="Q323" s="3">
        <v>226.12</v>
      </c>
      <c r="R323" s="3">
        <v>467.57</v>
      </c>
      <c r="S323" s="18" t="s">
        <v>3471</v>
      </c>
      <c r="T323" s="12"/>
    </row>
    <row r="324" spans="1:20" x14ac:dyDescent="0.25">
      <c r="A324" s="18" t="s">
        <v>3472</v>
      </c>
      <c r="B324" s="11" t="s">
        <v>3473</v>
      </c>
      <c r="C324" s="4" t="str">
        <f t="shared" si="4"/>
        <v>ASUS</v>
      </c>
      <c r="D324" s="14" t="s">
        <v>2336</v>
      </c>
      <c r="E324" s="11" t="s">
        <v>352</v>
      </c>
      <c r="F324" s="76" t="s">
        <v>8787</v>
      </c>
      <c r="G324" s="12" t="s">
        <v>406</v>
      </c>
      <c r="H324" s="12">
        <v>128</v>
      </c>
      <c r="I324" s="12">
        <v>5333</v>
      </c>
      <c r="J324" s="12">
        <v>4</v>
      </c>
      <c r="K324" s="12">
        <v>2</v>
      </c>
      <c r="L324" s="75" t="s">
        <v>4296</v>
      </c>
      <c r="M324" s="75" t="s">
        <v>4300</v>
      </c>
      <c r="N324" s="75" t="s">
        <v>4286</v>
      </c>
      <c r="O324" s="20" t="s">
        <v>2980</v>
      </c>
      <c r="P324" s="14" t="s">
        <v>2681</v>
      </c>
      <c r="Q324" s="3">
        <v>208</v>
      </c>
      <c r="R324" s="3">
        <v>441</v>
      </c>
      <c r="S324" s="18" t="s">
        <v>3474</v>
      </c>
      <c r="T324" s="12"/>
    </row>
    <row r="325" spans="1:20" x14ac:dyDescent="0.25">
      <c r="A325" s="18" t="s">
        <v>3475</v>
      </c>
      <c r="B325" s="11" t="s">
        <v>3476</v>
      </c>
      <c r="C325" s="4" t="str">
        <f t="shared" si="4"/>
        <v>ASUS</v>
      </c>
      <c r="D325" s="14" t="s">
        <v>2336</v>
      </c>
      <c r="E325" s="11" t="s">
        <v>352</v>
      </c>
      <c r="F325" s="76" t="s">
        <v>8787</v>
      </c>
      <c r="G325" s="12" t="s">
        <v>407</v>
      </c>
      <c r="H325" s="12">
        <v>192</v>
      </c>
      <c r="I325" s="12">
        <v>7800</v>
      </c>
      <c r="J325" s="12">
        <v>4</v>
      </c>
      <c r="K325" s="12">
        <v>2</v>
      </c>
      <c r="L325" s="75" t="s">
        <v>4296</v>
      </c>
      <c r="M325" s="75" t="s">
        <v>4311</v>
      </c>
      <c r="N325" s="75" t="s">
        <v>4286</v>
      </c>
      <c r="O325" s="20" t="s">
        <v>2980</v>
      </c>
      <c r="P325" s="14" t="s">
        <v>2681</v>
      </c>
      <c r="Q325" s="3">
        <v>252</v>
      </c>
      <c r="R325" s="3">
        <v>461</v>
      </c>
      <c r="S325" s="18" t="s">
        <v>3477</v>
      </c>
      <c r="T325" s="12"/>
    </row>
    <row r="326" spans="1:20" x14ac:dyDescent="0.25">
      <c r="A326" s="18" t="s">
        <v>3478</v>
      </c>
      <c r="B326" s="11" t="s">
        <v>3479</v>
      </c>
      <c r="C326" s="4" t="str">
        <f t="shared" si="4"/>
        <v>ASUS</v>
      </c>
      <c r="D326" s="14" t="s">
        <v>2336</v>
      </c>
      <c r="E326" s="11" t="s">
        <v>398</v>
      </c>
      <c r="F326" s="76" t="s">
        <v>8788</v>
      </c>
      <c r="G326" s="12" t="s">
        <v>407</v>
      </c>
      <c r="H326" s="12">
        <v>256</v>
      </c>
      <c r="I326" s="12">
        <v>9066</v>
      </c>
      <c r="J326" s="12">
        <v>4</v>
      </c>
      <c r="K326" s="12">
        <v>2</v>
      </c>
      <c r="L326" s="75" t="s">
        <v>4294</v>
      </c>
      <c r="M326" s="75" t="s">
        <v>4300</v>
      </c>
      <c r="N326" s="75" t="s">
        <v>4286</v>
      </c>
      <c r="O326" s="20" t="s">
        <v>3480</v>
      </c>
      <c r="P326" s="14" t="s">
        <v>2610</v>
      </c>
      <c r="Q326" s="3">
        <v>281.99</v>
      </c>
      <c r="R326" s="3">
        <v>696.16</v>
      </c>
      <c r="S326" s="18" t="s">
        <v>3481</v>
      </c>
      <c r="T326" s="12"/>
    </row>
    <row r="327" spans="1:20" x14ac:dyDescent="0.25">
      <c r="A327" s="18" t="s">
        <v>3482</v>
      </c>
      <c r="B327" s="11" t="s">
        <v>3483</v>
      </c>
      <c r="C327" s="4" t="str">
        <f t="shared" si="4"/>
        <v>ASUS</v>
      </c>
      <c r="D327" s="14" t="s">
        <v>2336</v>
      </c>
      <c r="E327" s="11" t="s">
        <v>398</v>
      </c>
      <c r="F327" s="76" t="s">
        <v>8788</v>
      </c>
      <c r="G327" s="12" t="s">
        <v>407</v>
      </c>
      <c r="H327" s="12">
        <v>256</v>
      </c>
      <c r="I327" s="12">
        <v>9066</v>
      </c>
      <c r="J327" s="12">
        <v>4</v>
      </c>
      <c r="K327" s="12">
        <v>2</v>
      </c>
      <c r="L327" s="75" t="s">
        <v>4294</v>
      </c>
      <c r="M327" s="75" t="s">
        <v>4300</v>
      </c>
      <c r="N327" s="75" t="s">
        <v>4286</v>
      </c>
      <c r="O327" s="20" t="s">
        <v>3480</v>
      </c>
      <c r="P327" s="14" t="s">
        <v>2610</v>
      </c>
      <c r="Q327" s="3">
        <v>314.06</v>
      </c>
      <c r="R327" s="3">
        <v>493.1</v>
      </c>
      <c r="S327" s="18" t="s">
        <v>3484</v>
      </c>
      <c r="T327" s="12"/>
    </row>
    <row r="328" spans="1:20" x14ac:dyDescent="0.25">
      <c r="A328" s="18" t="s">
        <v>3485</v>
      </c>
      <c r="B328" s="11" t="s">
        <v>450</v>
      </c>
      <c r="C328" s="4" t="str">
        <f t="shared" si="4"/>
        <v>Biostar</v>
      </c>
      <c r="D328" s="14" t="s">
        <v>2294</v>
      </c>
      <c r="E328" s="11" t="s">
        <v>350</v>
      </c>
      <c r="F328" s="76" t="s">
        <v>8770</v>
      </c>
      <c r="G328" s="12" t="s">
        <v>406</v>
      </c>
      <c r="H328" s="12">
        <v>64</v>
      </c>
      <c r="I328" s="12">
        <v>4266</v>
      </c>
      <c r="J328" s="12">
        <v>2</v>
      </c>
      <c r="K328" s="12">
        <v>2</v>
      </c>
      <c r="L328" s="75" t="s">
        <v>4243</v>
      </c>
      <c r="M328" s="75" t="s">
        <v>4251</v>
      </c>
      <c r="N328" s="75" t="s">
        <v>4251</v>
      </c>
      <c r="O328" s="20" t="s">
        <v>3486</v>
      </c>
      <c r="P328" s="14" t="s">
        <v>2296</v>
      </c>
      <c r="Q328" s="3">
        <v>52.9</v>
      </c>
      <c r="R328" s="3">
        <v>86.41</v>
      </c>
      <c r="S328" s="18" t="s">
        <v>3487</v>
      </c>
      <c r="T328" s="12"/>
    </row>
    <row r="329" spans="1:20" x14ac:dyDescent="0.25">
      <c r="A329" s="18" t="s">
        <v>3488</v>
      </c>
      <c r="B329" s="11" t="s">
        <v>450</v>
      </c>
      <c r="C329" s="4" t="str">
        <f t="shared" ref="C329:C392" si="5">LEFT(A329, FIND(" ",A329)-1)</f>
        <v>Biostar</v>
      </c>
      <c r="D329" s="14" t="s">
        <v>2294</v>
      </c>
      <c r="E329" s="11" t="s">
        <v>351</v>
      </c>
      <c r="F329" s="76" t="s">
        <v>8771</v>
      </c>
      <c r="G329" s="12" t="s">
        <v>407</v>
      </c>
      <c r="H329" s="12">
        <v>128</v>
      </c>
      <c r="I329" s="12">
        <v>6000</v>
      </c>
      <c r="J329" s="12">
        <v>4</v>
      </c>
      <c r="K329" s="12">
        <v>2</v>
      </c>
      <c r="L329" s="75" t="s">
        <v>4297</v>
      </c>
      <c r="M329" s="75" t="s">
        <v>4298</v>
      </c>
      <c r="N329" s="75" t="s">
        <v>4298</v>
      </c>
      <c r="O329" s="20" t="s">
        <v>3489</v>
      </c>
      <c r="P329" s="14" t="s">
        <v>2322</v>
      </c>
      <c r="Q329" s="3">
        <v>108.94</v>
      </c>
      <c r="R329" s="3">
        <v>143.99</v>
      </c>
      <c r="S329" s="18" t="s">
        <v>3490</v>
      </c>
      <c r="T329" s="12"/>
    </row>
    <row r="330" spans="1:20" x14ac:dyDescent="0.25">
      <c r="A330" s="18" t="s">
        <v>3491</v>
      </c>
      <c r="B330" s="11" t="s">
        <v>450</v>
      </c>
      <c r="C330" s="4" t="str">
        <f t="shared" si="5"/>
        <v>Biostar</v>
      </c>
      <c r="D330" s="14" t="s">
        <v>2294</v>
      </c>
      <c r="E330" s="11" t="s">
        <v>350</v>
      </c>
      <c r="F330" s="76" t="s">
        <v>8772</v>
      </c>
      <c r="G330" s="12" t="s">
        <v>406</v>
      </c>
      <c r="H330" s="12">
        <v>64</v>
      </c>
      <c r="I330" s="12">
        <v>4266</v>
      </c>
      <c r="J330" s="12">
        <v>2</v>
      </c>
      <c r="K330" s="12">
        <v>2</v>
      </c>
      <c r="L330" s="75" t="s">
        <v>4243</v>
      </c>
      <c r="M330" s="75" t="s">
        <v>4251</v>
      </c>
      <c r="N330" s="75" t="s">
        <v>4251</v>
      </c>
      <c r="O330" s="20" t="s">
        <v>3486</v>
      </c>
      <c r="P330" s="14" t="s">
        <v>2360</v>
      </c>
      <c r="Q330" s="3">
        <v>67.900000000000006</v>
      </c>
      <c r="R330" s="3">
        <v>93.9</v>
      </c>
      <c r="S330" s="18" t="s">
        <v>3492</v>
      </c>
      <c r="T330" s="12"/>
    </row>
    <row r="331" spans="1:20" x14ac:dyDescent="0.25">
      <c r="A331" s="18" t="s">
        <v>3493</v>
      </c>
      <c r="B331" s="11" t="s">
        <v>450</v>
      </c>
      <c r="C331" s="4" t="str">
        <f t="shared" si="5"/>
        <v>Biostar</v>
      </c>
      <c r="D331" s="14" t="s">
        <v>2294</v>
      </c>
      <c r="E331" s="11" t="s">
        <v>350</v>
      </c>
      <c r="F331" s="76" t="s">
        <v>8772</v>
      </c>
      <c r="G331" s="12" t="s">
        <v>406</v>
      </c>
      <c r="H331" s="12">
        <v>128</v>
      </c>
      <c r="I331" s="12">
        <v>4933</v>
      </c>
      <c r="J331" s="12">
        <v>4</v>
      </c>
      <c r="K331" s="12">
        <v>2</v>
      </c>
      <c r="L331" s="75" t="s">
        <v>4250</v>
      </c>
      <c r="M331" s="75" t="s">
        <v>4244</v>
      </c>
      <c r="N331" s="75" t="s">
        <v>4254</v>
      </c>
      <c r="O331" s="20" t="s">
        <v>3017</v>
      </c>
      <c r="P331" s="14" t="s">
        <v>2360</v>
      </c>
      <c r="Q331" s="3">
        <v>86.09</v>
      </c>
      <c r="R331" s="3">
        <v>121</v>
      </c>
      <c r="S331" s="18" t="s">
        <v>3494</v>
      </c>
      <c r="T331" s="12"/>
    </row>
    <row r="332" spans="1:20" x14ac:dyDescent="0.25">
      <c r="A332" s="18" t="s">
        <v>3495</v>
      </c>
      <c r="B332" s="11" t="s">
        <v>450</v>
      </c>
      <c r="C332" s="4" t="str">
        <f t="shared" si="5"/>
        <v>Biostar</v>
      </c>
      <c r="D332" s="14" t="s">
        <v>2294</v>
      </c>
      <c r="E332" s="11" t="s">
        <v>351</v>
      </c>
      <c r="F332" s="76" t="s">
        <v>8773</v>
      </c>
      <c r="G332" s="12" t="s">
        <v>407</v>
      </c>
      <c r="H332" s="12">
        <v>128</v>
      </c>
      <c r="I332" s="12">
        <v>6000</v>
      </c>
      <c r="J332" s="12">
        <v>4</v>
      </c>
      <c r="K332" s="12">
        <v>2</v>
      </c>
      <c r="L332" s="75" t="s">
        <v>4262</v>
      </c>
      <c r="M332" s="75" t="s">
        <v>4298</v>
      </c>
      <c r="N332" s="75" t="s">
        <v>4298</v>
      </c>
      <c r="O332" s="20" t="s">
        <v>2472</v>
      </c>
      <c r="P332" s="14" t="s">
        <v>2389</v>
      </c>
      <c r="Q332" s="3">
        <v>116.38</v>
      </c>
      <c r="R332" s="3">
        <v>175.92</v>
      </c>
      <c r="S332" s="18" t="s">
        <v>3496</v>
      </c>
      <c r="T332" s="12"/>
    </row>
    <row r="333" spans="1:20" x14ac:dyDescent="0.25">
      <c r="A333" s="18" t="s">
        <v>3497</v>
      </c>
      <c r="B333" s="11" t="s">
        <v>450</v>
      </c>
      <c r="C333" s="4" t="str">
        <f t="shared" si="5"/>
        <v>Biostar</v>
      </c>
      <c r="D333" s="14" t="s">
        <v>2294</v>
      </c>
      <c r="E333" s="11" t="s">
        <v>351</v>
      </c>
      <c r="F333" s="76" t="s">
        <v>8773</v>
      </c>
      <c r="G333" s="12" t="s">
        <v>407</v>
      </c>
      <c r="H333" s="12">
        <v>128</v>
      </c>
      <c r="I333" s="12">
        <v>6000</v>
      </c>
      <c r="J333" s="12">
        <v>4</v>
      </c>
      <c r="K333" s="12">
        <v>2</v>
      </c>
      <c r="L333" s="75" t="s">
        <v>4264</v>
      </c>
      <c r="M333" s="75" t="s">
        <v>4244</v>
      </c>
      <c r="N333" s="75" t="s">
        <v>4254</v>
      </c>
      <c r="O333" s="20" t="s">
        <v>2472</v>
      </c>
      <c r="P333" s="14" t="s">
        <v>2389</v>
      </c>
      <c r="Q333" s="3">
        <v>160.97</v>
      </c>
      <c r="R333" s="3">
        <v>317</v>
      </c>
      <c r="S333" s="18" t="s">
        <v>3498</v>
      </c>
      <c r="T333" s="12"/>
    </row>
    <row r="334" spans="1:20" x14ac:dyDescent="0.25">
      <c r="A334" s="18" t="s">
        <v>3499</v>
      </c>
      <c r="B334" s="11" t="s">
        <v>450</v>
      </c>
      <c r="C334" s="4" t="str">
        <f t="shared" si="5"/>
        <v>Biostar</v>
      </c>
      <c r="D334" s="14" t="s">
        <v>2294</v>
      </c>
      <c r="E334" s="11" t="s">
        <v>351</v>
      </c>
      <c r="F334" s="76" t="s">
        <v>8773</v>
      </c>
      <c r="G334" s="12" t="s">
        <v>407</v>
      </c>
      <c r="H334" s="12">
        <v>96</v>
      </c>
      <c r="I334" s="12">
        <v>6000</v>
      </c>
      <c r="J334" s="12">
        <v>2</v>
      </c>
      <c r="K334" s="12">
        <v>2</v>
      </c>
      <c r="L334" s="75" t="s">
        <v>4259</v>
      </c>
      <c r="M334" s="75" t="s">
        <v>4249</v>
      </c>
      <c r="N334" s="75" t="s">
        <v>4249</v>
      </c>
      <c r="O334" s="20" t="s">
        <v>2783</v>
      </c>
      <c r="P334" s="14" t="s">
        <v>2389</v>
      </c>
      <c r="Q334" s="3">
        <v>87.9</v>
      </c>
      <c r="R334" s="3">
        <v>125.09</v>
      </c>
      <c r="S334" s="18" t="s">
        <v>3500</v>
      </c>
      <c r="T334" s="12"/>
    </row>
    <row r="335" spans="1:20" x14ac:dyDescent="0.25">
      <c r="A335" s="18" t="s">
        <v>3501</v>
      </c>
      <c r="B335" s="11" t="s">
        <v>450</v>
      </c>
      <c r="C335" s="4" t="str">
        <f t="shared" si="5"/>
        <v>Biostar</v>
      </c>
      <c r="D335" s="14" t="s">
        <v>2311</v>
      </c>
      <c r="E335" s="11" t="s">
        <v>352</v>
      </c>
      <c r="F335" s="76" t="s">
        <v>8783</v>
      </c>
      <c r="G335" s="12" t="s">
        <v>406</v>
      </c>
      <c r="H335" s="12">
        <v>64</v>
      </c>
      <c r="I335" s="12">
        <v>5000</v>
      </c>
      <c r="J335" s="12">
        <v>2</v>
      </c>
      <c r="K335" s="12">
        <v>2</v>
      </c>
      <c r="L335" s="75">
        <v>5</v>
      </c>
      <c r="M335" s="75">
        <v>16</v>
      </c>
      <c r="N335" s="75">
        <v>16</v>
      </c>
      <c r="O335" s="20" t="s">
        <v>3502</v>
      </c>
      <c r="P335" s="14" t="s">
        <v>2438</v>
      </c>
      <c r="Q335" s="3">
        <v>124.89</v>
      </c>
      <c r="R335" s="3">
        <v>299</v>
      </c>
      <c r="S335" s="18" t="s">
        <v>3503</v>
      </c>
      <c r="T335" s="12"/>
    </row>
    <row r="336" spans="1:20" x14ac:dyDescent="0.25">
      <c r="A336" s="18" t="s">
        <v>3504</v>
      </c>
      <c r="B336" s="11" t="s">
        <v>450</v>
      </c>
      <c r="C336" s="4" t="str">
        <f t="shared" si="5"/>
        <v>Biostar</v>
      </c>
      <c r="D336" s="14" t="s">
        <v>2336</v>
      </c>
      <c r="E336" s="11" t="s">
        <v>352</v>
      </c>
      <c r="F336" s="76" t="s">
        <v>8784</v>
      </c>
      <c r="G336" s="12" t="s">
        <v>407</v>
      </c>
      <c r="H336" s="12">
        <v>128</v>
      </c>
      <c r="I336" s="12">
        <v>6400</v>
      </c>
      <c r="J336" s="12">
        <v>4</v>
      </c>
      <c r="K336" s="12">
        <v>2</v>
      </c>
      <c r="L336" s="75" t="s">
        <v>4270</v>
      </c>
      <c r="M336" s="75" t="s">
        <v>4258</v>
      </c>
      <c r="N336" s="75" t="s">
        <v>4257</v>
      </c>
      <c r="O336" s="20" t="s">
        <v>3505</v>
      </c>
      <c r="P336" s="14" t="s">
        <v>2443</v>
      </c>
      <c r="Q336" s="3">
        <v>130.5</v>
      </c>
      <c r="R336" s="3">
        <v>198</v>
      </c>
      <c r="S336" s="18" t="s">
        <v>3506</v>
      </c>
      <c r="T336" s="12"/>
    </row>
    <row r="337" spans="1:20" x14ac:dyDescent="0.25">
      <c r="A337" s="18" t="s">
        <v>3507</v>
      </c>
      <c r="B337" s="11" t="s">
        <v>450</v>
      </c>
      <c r="C337" s="4" t="str">
        <f t="shared" si="5"/>
        <v>Biostar</v>
      </c>
      <c r="D337" s="14" t="s">
        <v>2294</v>
      </c>
      <c r="E337" s="11" t="s">
        <v>352</v>
      </c>
      <c r="F337" s="76" t="s">
        <v>8784</v>
      </c>
      <c r="G337" s="12" t="s">
        <v>407</v>
      </c>
      <c r="H337" s="12">
        <v>128</v>
      </c>
      <c r="I337" s="12">
        <v>6000</v>
      </c>
      <c r="J337" s="12">
        <v>4</v>
      </c>
      <c r="K337" s="12">
        <v>2</v>
      </c>
      <c r="L337" s="75" t="s">
        <v>4267</v>
      </c>
      <c r="M337" s="75" t="s">
        <v>4244</v>
      </c>
      <c r="N337" s="75" t="s">
        <v>4254</v>
      </c>
      <c r="O337" s="20" t="s">
        <v>3508</v>
      </c>
      <c r="P337" s="14" t="s">
        <v>3509</v>
      </c>
      <c r="Q337" s="3">
        <v>122.9</v>
      </c>
      <c r="R337" s="3">
        <v>301</v>
      </c>
      <c r="S337" s="18" t="s">
        <v>3510</v>
      </c>
      <c r="T337" s="12"/>
    </row>
    <row r="338" spans="1:20" x14ac:dyDescent="0.25">
      <c r="A338" s="18" t="s">
        <v>3511</v>
      </c>
      <c r="B338" s="11" t="s">
        <v>450</v>
      </c>
      <c r="C338" s="4" t="str">
        <f t="shared" si="5"/>
        <v>Biostar</v>
      </c>
      <c r="D338" s="14" t="s">
        <v>2294</v>
      </c>
      <c r="E338" s="11" t="s">
        <v>352</v>
      </c>
      <c r="F338" s="76" t="s">
        <v>8784</v>
      </c>
      <c r="G338" s="12" t="s">
        <v>406</v>
      </c>
      <c r="H338" s="12">
        <v>64</v>
      </c>
      <c r="I338" s="12">
        <v>4400</v>
      </c>
      <c r="J338" s="12">
        <v>2</v>
      </c>
      <c r="K338" s="12">
        <v>2</v>
      </c>
      <c r="L338" s="75" t="s">
        <v>4259</v>
      </c>
      <c r="M338" s="75" t="s">
        <v>4249</v>
      </c>
      <c r="N338" s="75" t="s">
        <v>4249</v>
      </c>
      <c r="O338" s="20" t="s">
        <v>3512</v>
      </c>
      <c r="P338" s="14" t="s">
        <v>2443</v>
      </c>
      <c r="Q338" s="3">
        <v>94.85</v>
      </c>
      <c r="R338" s="3">
        <v>121.99</v>
      </c>
      <c r="S338" s="18" t="s">
        <v>3513</v>
      </c>
      <c r="T338" s="12"/>
    </row>
    <row r="339" spans="1:20" x14ac:dyDescent="0.25">
      <c r="A339" s="18" t="s">
        <v>3514</v>
      </c>
      <c r="B339" s="11" t="s">
        <v>450</v>
      </c>
      <c r="C339" s="4" t="str">
        <f t="shared" si="5"/>
        <v>Biostar</v>
      </c>
      <c r="D339" s="14" t="s">
        <v>2294</v>
      </c>
      <c r="E339" s="11" t="s">
        <v>352</v>
      </c>
      <c r="F339" s="76" t="s">
        <v>8784</v>
      </c>
      <c r="G339" s="12" t="s">
        <v>406</v>
      </c>
      <c r="H339" s="12">
        <v>128</v>
      </c>
      <c r="I339" s="12">
        <v>4600</v>
      </c>
      <c r="J339" s="12">
        <v>4</v>
      </c>
      <c r="K339" s="12">
        <v>2</v>
      </c>
      <c r="L339" s="75" t="s">
        <v>4255</v>
      </c>
      <c r="M339" s="75" t="s">
        <v>4298</v>
      </c>
      <c r="N339" s="75" t="s">
        <v>4298</v>
      </c>
      <c r="O339" s="20" t="s">
        <v>3515</v>
      </c>
      <c r="P339" s="14" t="s">
        <v>3516</v>
      </c>
      <c r="Q339" s="3">
        <v>95.9</v>
      </c>
      <c r="R339" s="3">
        <v>144</v>
      </c>
      <c r="S339" s="18" t="s">
        <v>3517</v>
      </c>
      <c r="T339" s="12"/>
    </row>
    <row r="340" spans="1:20" x14ac:dyDescent="0.25">
      <c r="A340" s="18" t="s">
        <v>3518</v>
      </c>
      <c r="B340" s="11" t="s">
        <v>450</v>
      </c>
      <c r="C340" s="4" t="str">
        <f t="shared" si="5"/>
        <v>Biostar</v>
      </c>
      <c r="D340" s="14" t="s">
        <v>2311</v>
      </c>
      <c r="E340" s="11" t="s">
        <v>352</v>
      </c>
      <c r="F340" s="76" t="s">
        <v>8784</v>
      </c>
      <c r="G340" s="12" t="s">
        <v>407</v>
      </c>
      <c r="H340" s="12">
        <v>96</v>
      </c>
      <c r="I340" s="12">
        <v>6400</v>
      </c>
      <c r="J340" s="12">
        <v>2</v>
      </c>
      <c r="K340" s="12">
        <v>2</v>
      </c>
      <c r="L340" s="75">
        <v>5</v>
      </c>
      <c r="M340" s="75">
        <v>16</v>
      </c>
      <c r="N340" s="75">
        <v>16</v>
      </c>
      <c r="O340" s="20" t="s">
        <v>3519</v>
      </c>
      <c r="P340" s="14" t="s">
        <v>2443</v>
      </c>
      <c r="Q340" s="3">
        <v>132.9</v>
      </c>
      <c r="R340" s="3">
        <v>174</v>
      </c>
      <c r="S340" s="18" t="s">
        <v>3520</v>
      </c>
      <c r="T340" s="12"/>
    </row>
    <row r="341" spans="1:20" x14ac:dyDescent="0.25">
      <c r="A341" s="18" t="s">
        <v>3521</v>
      </c>
      <c r="B341" s="11" t="s">
        <v>450</v>
      </c>
      <c r="C341" s="4" t="str">
        <f t="shared" si="5"/>
        <v>Biostar</v>
      </c>
      <c r="D341" s="14" t="s">
        <v>2336</v>
      </c>
      <c r="E341" s="11" t="s">
        <v>352</v>
      </c>
      <c r="F341" s="76" t="s">
        <v>8783</v>
      </c>
      <c r="G341" s="12" t="s">
        <v>406</v>
      </c>
      <c r="H341" s="12">
        <v>128</v>
      </c>
      <c r="I341" s="12">
        <v>5000</v>
      </c>
      <c r="J341" s="12">
        <v>4</v>
      </c>
      <c r="K341" s="12">
        <v>2</v>
      </c>
      <c r="L341" s="75" t="s">
        <v>4270</v>
      </c>
      <c r="M341" s="75" t="s">
        <v>4258</v>
      </c>
      <c r="N341" s="75" t="s">
        <v>4257</v>
      </c>
      <c r="O341" s="20" t="s">
        <v>3522</v>
      </c>
      <c r="P341" s="14" t="s">
        <v>3523</v>
      </c>
      <c r="Q341" s="3">
        <v>120.47</v>
      </c>
      <c r="R341" s="3">
        <v>235.32</v>
      </c>
      <c r="S341" s="18" t="s">
        <v>3524</v>
      </c>
      <c r="T341" s="12"/>
    </row>
    <row r="342" spans="1:20" x14ac:dyDescent="0.25">
      <c r="A342" s="18" t="s">
        <v>3525</v>
      </c>
      <c r="B342" s="11" t="s">
        <v>450</v>
      </c>
      <c r="C342" s="4" t="str">
        <f t="shared" si="5"/>
        <v>Biostar</v>
      </c>
      <c r="D342" s="14" t="s">
        <v>2336</v>
      </c>
      <c r="E342" s="11" t="s">
        <v>352</v>
      </c>
      <c r="F342" s="76" t="s">
        <v>8789</v>
      </c>
      <c r="G342" s="12" t="s">
        <v>406</v>
      </c>
      <c r="H342" s="12">
        <v>128</v>
      </c>
      <c r="I342" s="12">
        <v>5000</v>
      </c>
      <c r="J342" s="12">
        <v>4</v>
      </c>
      <c r="K342" s="12">
        <v>2</v>
      </c>
      <c r="L342" s="75" t="s">
        <v>4270</v>
      </c>
      <c r="M342" s="75" t="s">
        <v>4258</v>
      </c>
      <c r="N342" s="75" t="s">
        <v>4257</v>
      </c>
      <c r="O342" s="20" t="s">
        <v>3522</v>
      </c>
      <c r="P342" s="14" t="s">
        <v>450</v>
      </c>
      <c r="Q342" s="3">
        <v>165.41</v>
      </c>
      <c r="R342" s="3">
        <v>349</v>
      </c>
      <c r="S342" s="18" t="s">
        <v>3526</v>
      </c>
      <c r="T342" s="12"/>
    </row>
    <row r="343" spans="1:20" x14ac:dyDescent="0.25">
      <c r="A343" s="18" t="s">
        <v>3527</v>
      </c>
      <c r="B343" s="11" t="s">
        <v>450</v>
      </c>
      <c r="C343" s="4" t="str">
        <f t="shared" si="5"/>
        <v>Biostar</v>
      </c>
      <c r="D343" s="14" t="s">
        <v>2294</v>
      </c>
      <c r="E343" s="11" t="s">
        <v>352</v>
      </c>
      <c r="F343" s="76" t="s">
        <v>8789</v>
      </c>
      <c r="G343" s="12" t="s">
        <v>406</v>
      </c>
      <c r="H343" s="12">
        <v>64</v>
      </c>
      <c r="I343" s="12">
        <v>4400</v>
      </c>
      <c r="J343" s="12">
        <v>2</v>
      </c>
      <c r="K343" s="12">
        <v>2</v>
      </c>
      <c r="L343" s="75" t="s">
        <v>4259</v>
      </c>
      <c r="M343" s="75" t="s">
        <v>4249</v>
      </c>
      <c r="N343" s="75" t="s">
        <v>4249</v>
      </c>
      <c r="O343" s="20" t="s">
        <v>3528</v>
      </c>
      <c r="P343" s="14" t="s">
        <v>450</v>
      </c>
      <c r="Q343" s="3">
        <v>90.9</v>
      </c>
      <c r="R343" s="3">
        <v>126</v>
      </c>
      <c r="S343" s="18" t="s">
        <v>3529</v>
      </c>
      <c r="T343" s="12"/>
    </row>
    <row r="344" spans="1:20" x14ac:dyDescent="0.25">
      <c r="A344" s="18" t="s">
        <v>3530</v>
      </c>
      <c r="B344" s="11" t="s">
        <v>450</v>
      </c>
      <c r="C344" s="4" t="str">
        <f t="shared" si="5"/>
        <v>Biostar</v>
      </c>
      <c r="D344" s="14" t="s">
        <v>2336</v>
      </c>
      <c r="E344" s="11" t="s">
        <v>352</v>
      </c>
      <c r="F344" s="76" t="s">
        <v>8787</v>
      </c>
      <c r="G344" s="12" t="s">
        <v>407</v>
      </c>
      <c r="H344" s="12">
        <v>128</v>
      </c>
      <c r="I344" s="12">
        <v>7200</v>
      </c>
      <c r="J344" s="12">
        <v>4</v>
      </c>
      <c r="K344" s="12">
        <v>2</v>
      </c>
      <c r="L344" s="75" t="s">
        <v>4289</v>
      </c>
      <c r="M344" s="75" t="s">
        <v>4261</v>
      </c>
      <c r="N344" s="75" t="s">
        <v>4290</v>
      </c>
      <c r="O344" s="20" t="s">
        <v>3531</v>
      </c>
      <c r="P344" s="14" t="s">
        <v>2690</v>
      </c>
      <c r="Q344" s="3">
        <v>386.89</v>
      </c>
      <c r="R344" s="3">
        <v>535</v>
      </c>
      <c r="S344" s="18" t="s">
        <v>3532</v>
      </c>
      <c r="T344" s="12"/>
    </row>
    <row r="345" spans="1:20" x14ac:dyDescent="0.25">
      <c r="A345" s="18" t="s">
        <v>3533</v>
      </c>
      <c r="B345" s="11" t="s">
        <v>450</v>
      </c>
      <c r="C345" s="4" t="str">
        <f t="shared" si="5"/>
        <v>Biostar</v>
      </c>
      <c r="D345" s="14" t="s">
        <v>2336</v>
      </c>
      <c r="E345" s="11" t="s">
        <v>398</v>
      </c>
      <c r="F345" s="76" t="s">
        <v>8788</v>
      </c>
      <c r="G345" s="12" t="s">
        <v>407</v>
      </c>
      <c r="H345" s="12">
        <v>192</v>
      </c>
      <c r="I345" s="12">
        <v>8000</v>
      </c>
      <c r="J345" s="12">
        <v>4</v>
      </c>
      <c r="K345" s="12">
        <v>2</v>
      </c>
      <c r="L345" s="75" t="s">
        <v>4312</v>
      </c>
      <c r="M345" s="75" t="s">
        <v>4261</v>
      </c>
      <c r="N345" s="75" t="s">
        <v>4290</v>
      </c>
      <c r="O345" s="20" t="s">
        <v>3534</v>
      </c>
      <c r="P345" s="14" t="s">
        <v>2610</v>
      </c>
      <c r="Q345" s="3">
        <v>590</v>
      </c>
      <c r="R345" s="3">
        <v>632.9</v>
      </c>
      <c r="S345" s="18" t="s">
        <v>3535</v>
      </c>
      <c r="T345" s="12"/>
    </row>
    <row r="346" spans="1:20" x14ac:dyDescent="0.25">
      <c r="A346" s="18" t="s">
        <v>3536</v>
      </c>
      <c r="B346" s="11" t="s">
        <v>450</v>
      </c>
      <c r="C346" s="4" t="str">
        <f t="shared" si="5"/>
        <v>Biostar</v>
      </c>
      <c r="D346" s="14" t="s">
        <v>2336</v>
      </c>
      <c r="E346" s="11" t="s">
        <v>398</v>
      </c>
      <c r="F346" s="76" t="s">
        <v>8788</v>
      </c>
      <c r="G346" s="12" t="s">
        <v>407</v>
      </c>
      <c r="H346" s="12">
        <v>192</v>
      </c>
      <c r="I346" s="12">
        <v>8000</v>
      </c>
      <c r="J346" s="12">
        <v>4</v>
      </c>
      <c r="K346" s="12">
        <v>2</v>
      </c>
      <c r="L346" s="75" t="s">
        <v>4270</v>
      </c>
      <c r="M346" s="75" t="s">
        <v>4258</v>
      </c>
      <c r="N346" s="75" t="s">
        <v>4257</v>
      </c>
      <c r="O346" s="20" t="s">
        <v>2557</v>
      </c>
      <c r="P346" s="14" t="s">
        <v>2610</v>
      </c>
      <c r="Q346" s="3">
        <v>222.9</v>
      </c>
      <c r="R346" s="3">
        <v>237.9</v>
      </c>
      <c r="S346" s="18" t="s">
        <v>3537</v>
      </c>
      <c r="T346" s="12"/>
    </row>
    <row r="347" spans="1:20" x14ac:dyDescent="0.25">
      <c r="A347" s="18" t="s">
        <v>3538</v>
      </c>
      <c r="B347" s="11" t="s">
        <v>450</v>
      </c>
      <c r="C347" s="4" t="str">
        <f t="shared" si="5"/>
        <v>Biostar</v>
      </c>
      <c r="D347" s="14" t="s">
        <v>2336</v>
      </c>
      <c r="E347" s="11" t="s">
        <v>398</v>
      </c>
      <c r="F347" s="76" t="s">
        <v>8788</v>
      </c>
      <c r="G347" s="12" t="s">
        <v>407</v>
      </c>
      <c r="H347" s="12">
        <v>192</v>
      </c>
      <c r="I347" s="12">
        <v>9066</v>
      </c>
      <c r="J347" s="12">
        <v>4</v>
      </c>
      <c r="K347" s="12">
        <v>2</v>
      </c>
      <c r="L347" s="75" t="s">
        <v>4270</v>
      </c>
      <c r="M347" s="75" t="s">
        <v>4258</v>
      </c>
      <c r="N347" s="75" t="s">
        <v>4257</v>
      </c>
      <c r="O347" s="20" t="s">
        <v>3539</v>
      </c>
      <c r="P347" s="14" t="s">
        <v>2610</v>
      </c>
      <c r="Q347" s="3">
        <v>209.9</v>
      </c>
      <c r="R347" s="3">
        <v>274.97000000000003</v>
      </c>
      <c r="S347" s="18" t="s">
        <v>3540</v>
      </c>
      <c r="T347" s="12"/>
    </row>
    <row r="348" spans="1:20" x14ac:dyDescent="0.25">
      <c r="A348" s="18" t="s">
        <v>3541</v>
      </c>
      <c r="B348" s="11" t="s">
        <v>450</v>
      </c>
      <c r="C348" s="4" t="str">
        <f t="shared" si="5"/>
        <v>GIGABYTE</v>
      </c>
      <c r="D348" s="14" t="s">
        <v>2336</v>
      </c>
      <c r="E348" s="11" t="s">
        <v>350</v>
      </c>
      <c r="F348" s="76" t="s">
        <v>8770</v>
      </c>
      <c r="G348" s="12" t="s">
        <v>406</v>
      </c>
      <c r="H348" s="12">
        <v>128</v>
      </c>
      <c r="I348" s="12">
        <v>4733</v>
      </c>
      <c r="J348" s="12">
        <v>4</v>
      </c>
      <c r="K348" s="12">
        <v>2</v>
      </c>
      <c r="L348" s="75" t="s">
        <v>4313</v>
      </c>
      <c r="M348" s="75" t="s">
        <v>4275</v>
      </c>
      <c r="N348" s="75" t="s">
        <v>4314</v>
      </c>
      <c r="O348" s="20" t="s">
        <v>2788</v>
      </c>
      <c r="P348" s="14" t="s">
        <v>2296</v>
      </c>
      <c r="Q348" s="3">
        <v>83.64</v>
      </c>
      <c r="R348" s="3">
        <v>131.25</v>
      </c>
      <c r="S348" s="18" t="s">
        <v>3542</v>
      </c>
      <c r="T348" s="12"/>
    </row>
    <row r="349" spans="1:20" x14ac:dyDescent="0.25">
      <c r="A349" s="18" t="s">
        <v>3543</v>
      </c>
      <c r="B349" s="11" t="s">
        <v>450</v>
      </c>
      <c r="C349" s="4" t="str">
        <f t="shared" si="5"/>
        <v>GIGABYTE</v>
      </c>
      <c r="D349" s="14" t="s">
        <v>2311</v>
      </c>
      <c r="E349" s="11" t="s">
        <v>350</v>
      </c>
      <c r="F349" s="76" t="s">
        <v>8770</v>
      </c>
      <c r="G349" s="12" t="s">
        <v>406</v>
      </c>
      <c r="H349" s="12">
        <v>64</v>
      </c>
      <c r="I349" s="12">
        <v>5300</v>
      </c>
      <c r="J349" s="12">
        <v>2</v>
      </c>
      <c r="K349" s="12">
        <v>2</v>
      </c>
      <c r="L349" s="75">
        <v>3</v>
      </c>
      <c r="M349" s="75">
        <v>16</v>
      </c>
      <c r="N349" s="75">
        <v>16</v>
      </c>
      <c r="O349" s="20" t="s">
        <v>3544</v>
      </c>
      <c r="P349" s="14" t="s">
        <v>2296</v>
      </c>
      <c r="Q349" s="3">
        <v>107.92</v>
      </c>
      <c r="R349" s="3">
        <v>138.51</v>
      </c>
      <c r="S349" s="18" t="s">
        <v>3545</v>
      </c>
      <c r="T349" s="12"/>
    </row>
    <row r="350" spans="1:20" x14ac:dyDescent="0.25">
      <c r="A350" s="18" t="s">
        <v>3546</v>
      </c>
      <c r="B350" s="11" t="s">
        <v>450</v>
      </c>
      <c r="C350" s="4" t="str">
        <f t="shared" si="5"/>
        <v>GIGABYTE</v>
      </c>
      <c r="D350" s="14" t="s">
        <v>2294</v>
      </c>
      <c r="E350" s="11" t="s">
        <v>350</v>
      </c>
      <c r="F350" s="76" t="s">
        <v>8770</v>
      </c>
      <c r="G350" s="12" t="s">
        <v>406</v>
      </c>
      <c r="H350" s="12">
        <v>128</v>
      </c>
      <c r="I350" s="12">
        <v>4733</v>
      </c>
      <c r="J350" s="12">
        <v>4</v>
      </c>
      <c r="K350" s="12">
        <v>2</v>
      </c>
      <c r="L350" s="75" t="s">
        <v>4243</v>
      </c>
      <c r="M350" s="75" t="s">
        <v>4251</v>
      </c>
      <c r="N350" s="75" t="s">
        <v>4251</v>
      </c>
      <c r="O350" s="20" t="s">
        <v>3314</v>
      </c>
      <c r="P350" s="14" t="s">
        <v>2296</v>
      </c>
      <c r="Q350" s="3">
        <v>85.43</v>
      </c>
      <c r="R350" s="3">
        <v>110.9</v>
      </c>
      <c r="S350" s="18" t="s">
        <v>3547</v>
      </c>
      <c r="T350" s="12"/>
    </row>
    <row r="351" spans="1:20" x14ac:dyDescent="0.25">
      <c r="A351" s="18" t="s">
        <v>3548</v>
      </c>
      <c r="B351" s="11" t="s">
        <v>450</v>
      </c>
      <c r="C351" s="4" t="str">
        <f t="shared" si="5"/>
        <v>GIGABYTE</v>
      </c>
      <c r="D351" s="14" t="s">
        <v>2294</v>
      </c>
      <c r="E351" s="11" t="s">
        <v>350</v>
      </c>
      <c r="F351" s="76" t="s">
        <v>8770</v>
      </c>
      <c r="G351" s="12" t="s">
        <v>406</v>
      </c>
      <c r="H351" s="12">
        <v>128</v>
      </c>
      <c r="I351" s="12">
        <v>4733</v>
      </c>
      <c r="J351" s="12">
        <v>4</v>
      </c>
      <c r="K351" s="12">
        <v>2</v>
      </c>
      <c r="L351" s="75" t="s">
        <v>4246</v>
      </c>
      <c r="M351" s="75" t="s">
        <v>4249</v>
      </c>
      <c r="N351" s="75" t="s">
        <v>4249</v>
      </c>
      <c r="O351" s="20" t="s">
        <v>3549</v>
      </c>
      <c r="P351" s="14" t="s">
        <v>2296</v>
      </c>
      <c r="Q351" s="3">
        <v>65.89</v>
      </c>
      <c r="R351" s="3">
        <v>95.03</v>
      </c>
      <c r="S351" s="18" t="s">
        <v>3550</v>
      </c>
      <c r="T351" s="12"/>
    </row>
    <row r="352" spans="1:20" x14ac:dyDescent="0.25">
      <c r="A352" s="18" t="s">
        <v>3551</v>
      </c>
      <c r="B352" s="11" t="s">
        <v>450</v>
      </c>
      <c r="C352" s="4" t="str">
        <f t="shared" si="5"/>
        <v>GIGABYTE</v>
      </c>
      <c r="D352" s="14" t="s">
        <v>2294</v>
      </c>
      <c r="E352" s="11" t="s">
        <v>350</v>
      </c>
      <c r="F352" s="76" t="s">
        <v>8770</v>
      </c>
      <c r="G352" s="12" t="s">
        <v>406</v>
      </c>
      <c r="H352" s="12">
        <v>64</v>
      </c>
      <c r="I352" s="12">
        <v>5100</v>
      </c>
      <c r="J352" s="12">
        <v>2</v>
      </c>
      <c r="K352" s="12">
        <v>2</v>
      </c>
      <c r="L352" s="75" t="s">
        <v>4246</v>
      </c>
      <c r="M352" s="75" t="s">
        <v>4249</v>
      </c>
      <c r="N352" s="75" t="s">
        <v>4249</v>
      </c>
      <c r="O352" s="20" t="s">
        <v>3549</v>
      </c>
      <c r="P352" s="14" t="s">
        <v>2296</v>
      </c>
      <c r="Q352" s="3">
        <v>53.73</v>
      </c>
      <c r="R352" s="3">
        <v>77.400000000000006</v>
      </c>
      <c r="S352" s="18" t="s">
        <v>3552</v>
      </c>
      <c r="T352" s="12"/>
    </row>
    <row r="353" spans="1:20" x14ac:dyDescent="0.25">
      <c r="A353" s="18" t="s">
        <v>3553</v>
      </c>
      <c r="B353" s="11" t="s">
        <v>450</v>
      </c>
      <c r="C353" s="4" t="str">
        <f t="shared" si="5"/>
        <v>GIGABYTE</v>
      </c>
      <c r="D353" s="14" t="s">
        <v>2294</v>
      </c>
      <c r="E353" s="11" t="s">
        <v>350</v>
      </c>
      <c r="F353" s="76" t="s">
        <v>8770</v>
      </c>
      <c r="G353" s="12" t="s">
        <v>406</v>
      </c>
      <c r="H353" s="12">
        <v>64</v>
      </c>
      <c r="I353" s="12">
        <v>5000</v>
      </c>
      <c r="J353" s="12">
        <v>2</v>
      </c>
      <c r="K353" s="12">
        <v>2</v>
      </c>
      <c r="L353" s="75" t="s">
        <v>4243</v>
      </c>
      <c r="M353" s="75" t="s">
        <v>4251</v>
      </c>
      <c r="N353" s="75" t="s">
        <v>4251</v>
      </c>
      <c r="O353" s="20" t="s">
        <v>2304</v>
      </c>
      <c r="P353" s="14" t="s">
        <v>2296</v>
      </c>
      <c r="Q353" s="3">
        <v>57.9</v>
      </c>
      <c r="R353" s="3">
        <v>89.9</v>
      </c>
      <c r="S353" s="18" t="s">
        <v>3554</v>
      </c>
      <c r="T353" s="12"/>
    </row>
    <row r="354" spans="1:20" x14ac:dyDescent="0.25">
      <c r="A354" s="18" t="s">
        <v>3555</v>
      </c>
      <c r="B354" s="11" t="s">
        <v>450</v>
      </c>
      <c r="C354" s="4" t="str">
        <f t="shared" si="5"/>
        <v>GIGABYTE</v>
      </c>
      <c r="D354" s="14" t="s">
        <v>2311</v>
      </c>
      <c r="E354" s="11" t="s">
        <v>351</v>
      </c>
      <c r="F354" s="76" t="s">
        <v>8771</v>
      </c>
      <c r="G354" s="12" t="s">
        <v>407</v>
      </c>
      <c r="H354" s="12">
        <v>128</v>
      </c>
      <c r="I354" s="12">
        <v>6400</v>
      </c>
      <c r="J354" s="12">
        <v>2</v>
      </c>
      <c r="K354" s="12">
        <v>2</v>
      </c>
      <c r="L354" s="75">
        <v>4</v>
      </c>
      <c r="M354" s="75">
        <v>16</v>
      </c>
      <c r="N354" s="75">
        <v>16</v>
      </c>
      <c r="O354" s="20" t="s">
        <v>2479</v>
      </c>
      <c r="P354" s="14" t="s">
        <v>2317</v>
      </c>
      <c r="Q354" s="3">
        <v>179</v>
      </c>
      <c r="R354" s="3">
        <v>391.14</v>
      </c>
      <c r="S354" s="18" t="s">
        <v>3556</v>
      </c>
      <c r="T354" s="12"/>
    </row>
    <row r="355" spans="1:20" x14ac:dyDescent="0.25">
      <c r="A355" s="18" t="s">
        <v>3557</v>
      </c>
      <c r="B355" s="11" t="s">
        <v>450</v>
      </c>
      <c r="C355" s="4" t="str">
        <f t="shared" si="5"/>
        <v>GIGABYTE</v>
      </c>
      <c r="D355" s="14" t="s">
        <v>2294</v>
      </c>
      <c r="E355" s="11" t="s">
        <v>351</v>
      </c>
      <c r="F355" s="76" t="s">
        <v>8771</v>
      </c>
      <c r="G355" s="12" t="s">
        <v>407</v>
      </c>
      <c r="H355" s="12">
        <v>256</v>
      </c>
      <c r="I355" s="12">
        <v>7600</v>
      </c>
      <c r="J355" s="12">
        <v>4</v>
      </c>
      <c r="K355" s="12">
        <v>2</v>
      </c>
      <c r="L355" s="75" t="s">
        <v>4259</v>
      </c>
      <c r="M355" s="75" t="s">
        <v>4249</v>
      </c>
      <c r="N355" s="75" t="s">
        <v>4249</v>
      </c>
      <c r="O355" s="20" t="s">
        <v>2629</v>
      </c>
      <c r="P355" s="14" t="s">
        <v>2322</v>
      </c>
      <c r="Q355" s="3">
        <v>99.22</v>
      </c>
      <c r="R355" s="3">
        <v>145.47999999999999</v>
      </c>
      <c r="S355" s="18" t="s">
        <v>3558</v>
      </c>
      <c r="T355" s="12"/>
    </row>
    <row r="356" spans="1:20" x14ac:dyDescent="0.25">
      <c r="A356" s="18" t="s">
        <v>3559</v>
      </c>
      <c r="B356" s="11" t="s">
        <v>450</v>
      </c>
      <c r="C356" s="4" t="str">
        <f t="shared" si="5"/>
        <v>GIGABYTE</v>
      </c>
      <c r="D356" s="14" t="s">
        <v>2294</v>
      </c>
      <c r="E356" s="11" t="s">
        <v>351</v>
      </c>
      <c r="F356" s="76" t="s">
        <v>8771</v>
      </c>
      <c r="G356" s="12" t="s">
        <v>407</v>
      </c>
      <c r="H356" s="12">
        <v>256</v>
      </c>
      <c r="I356" s="12">
        <v>8000</v>
      </c>
      <c r="J356" s="12">
        <v>4</v>
      </c>
      <c r="K356" s="12">
        <v>2</v>
      </c>
      <c r="L356" s="75" t="s">
        <v>4259</v>
      </c>
      <c r="M356" s="75" t="s">
        <v>4249</v>
      </c>
      <c r="N356" s="75" t="s">
        <v>4249</v>
      </c>
      <c r="O356" s="20" t="s">
        <v>2629</v>
      </c>
      <c r="P356" s="14" t="s">
        <v>2322</v>
      </c>
      <c r="Q356" s="3">
        <v>117.89</v>
      </c>
      <c r="R356" s="3">
        <v>153.51</v>
      </c>
      <c r="S356" s="18" t="s">
        <v>3560</v>
      </c>
      <c r="T356" s="12"/>
    </row>
    <row r="357" spans="1:20" x14ac:dyDescent="0.25">
      <c r="A357" s="18" t="s">
        <v>3561</v>
      </c>
      <c r="B357" s="11" t="s">
        <v>450</v>
      </c>
      <c r="C357" s="4" t="str">
        <f t="shared" si="5"/>
        <v>GIGABYTE</v>
      </c>
      <c r="D357" s="14" t="s">
        <v>2294</v>
      </c>
      <c r="E357" s="11" t="s">
        <v>351</v>
      </c>
      <c r="F357" s="76" t="s">
        <v>8771</v>
      </c>
      <c r="G357" s="12" t="s">
        <v>407</v>
      </c>
      <c r="H357" s="12">
        <v>128</v>
      </c>
      <c r="I357" s="12">
        <v>6400</v>
      </c>
      <c r="J357" s="12">
        <v>2</v>
      </c>
      <c r="K357" s="12">
        <v>2</v>
      </c>
      <c r="L357" s="75" t="s">
        <v>4259</v>
      </c>
      <c r="M357" s="75" t="s">
        <v>4249</v>
      </c>
      <c r="N357" s="75" t="s">
        <v>4249</v>
      </c>
      <c r="O357" s="20" t="s">
        <v>3562</v>
      </c>
      <c r="P357" s="14" t="s">
        <v>2322</v>
      </c>
      <c r="Q357" s="3">
        <v>84.89</v>
      </c>
      <c r="R357" s="3">
        <v>124.38</v>
      </c>
      <c r="S357" s="18" t="s">
        <v>3563</v>
      </c>
      <c r="T357" s="12"/>
    </row>
    <row r="358" spans="1:20" x14ac:dyDescent="0.25">
      <c r="A358" s="18" t="s">
        <v>3564</v>
      </c>
      <c r="B358" s="11" t="s">
        <v>450</v>
      </c>
      <c r="C358" s="4" t="str">
        <f t="shared" si="5"/>
        <v>GIGABYTE</v>
      </c>
      <c r="D358" s="14" t="s">
        <v>2311</v>
      </c>
      <c r="E358" s="11" t="s">
        <v>350</v>
      </c>
      <c r="F358" s="76" t="s">
        <v>8776</v>
      </c>
      <c r="G358" s="12" t="s">
        <v>406</v>
      </c>
      <c r="H358" s="12">
        <v>64</v>
      </c>
      <c r="I358" s="12">
        <v>3600</v>
      </c>
      <c r="J358" s="12">
        <v>2</v>
      </c>
      <c r="K358" s="12">
        <v>2</v>
      </c>
      <c r="L358" s="75">
        <v>3</v>
      </c>
      <c r="M358" s="75">
        <v>16</v>
      </c>
      <c r="N358" s="75">
        <v>16</v>
      </c>
      <c r="O358" s="20" t="s">
        <v>3314</v>
      </c>
      <c r="P358" s="14" t="s">
        <v>2337</v>
      </c>
      <c r="Q358" s="3">
        <v>169</v>
      </c>
      <c r="R358" s="3">
        <v>169</v>
      </c>
      <c r="S358" s="18" t="s">
        <v>3565</v>
      </c>
      <c r="T358" s="12"/>
    </row>
    <row r="359" spans="1:20" x14ac:dyDescent="0.25">
      <c r="A359" s="18" t="s">
        <v>3566</v>
      </c>
      <c r="B359" s="11" t="s">
        <v>450</v>
      </c>
      <c r="C359" s="4" t="str">
        <f t="shared" si="5"/>
        <v>GIGABYTE</v>
      </c>
      <c r="D359" s="14" t="s">
        <v>2336</v>
      </c>
      <c r="E359" s="11" t="s">
        <v>350</v>
      </c>
      <c r="F359" s="76" t="s">
        <v>8772</v>
      </c>
      <c r="G359" s="12" t="s">
        <v>406</v>
      </c>
      <c r="H359" s="12">
        <v>128</v>
      </c>
      <c r="I359" s="12">
        <v>4733</v>
      </c>
      <c r="J359" s="12">
        <v>4</v>
      </c>
      <c r="K359" s="12">
        <v>2</v>
      </c>
      <c r="L359" s="75" t="s">
        <v>4255</v>
      </c>
      <c r="M359" s="75" t="s">
        <v>4256</v>
      </c>
      <c r="N359" s="75" t="s">
        <v>4263</v>
      </c>
      <c r="O359" s="20" t="s">
        <v>3136</v>
      </c>
      <c r="P359" s="14" t="s">
        <v>2360</v>
      </c>
      <c r="Q359" s="3">
        <v>153.28</v>
      </c>
      <c r="R359" s="3">
        <v>185.1</v>
      </c>
      <c r="S359" s="18" t="s">
        <v>3567</v>
      </c>
      <c r="T359" s="12"/>
    </row>
    <row r="360" spans="1:20" x14ac:dyDescent="0.25">
      <c r="A360" s="18" t="s">
        <v>3568</v>
      </c>
      <c r="B360" s="11" t="s">
        <v>450</v>
      </c>
      <c r="C360" s="4" t="str">
        <f t="shared" si="5"/>
        <v>GIGABYTE</v>
      </c>
      <c r="D360" s="14" t="s">
        <v>2336</v>
      </c>
      <c r="E360" s="11" t="s">
        <v>350</v>
      </c>
      <c r="F360" s="76" t="s">
        <v>8772</v>
      </c>
      <c r="G360" s="12" t="s">
        <v>406</v>
      </c>
      <c r="H360" s="12">
        <v>128</v>
      </c>
      <c r="I360" s="12">
        <v>4733</v>
      </c>
      <c r="J360" s="12">
        <v>4</v>
      </c>
      <c r="K360" s="12">
        <v>2</v>
      </c>
      <c r="L360" s="75" t="s">
        <v>4255</v>
      </c>
      <c r="M360" s="75" t="s">
        <v>4256</v>
      </c>
      <c r="N360" s="75" t="s">
        <v>4263</v>
      </c>
      <c r="O360" s="20" t="s">
        <v>3136</v>
      </c>
      <c r="P360" s="14" t="s">
        <v>2360</v>
      </c>
      <c r="Q360" s="3">
        <v>141.9</v>
      </c>
      <c r="R360" s="3">
        <v>179.99</v>
      </c>
      <c r="S360" s="18" t="s">
        <v>3569</v>
      </c>
      <c r="T360" s="12"/>
    </row>
    <row r="361" spans="1:20" x14ac:dyDescent="0.25">
      <c r="A361" s="18" t="s">
        <v>3570</v>
      </c>
      <c r="B361" s="11" t="s">
        <v>450</v>
      </c>
      <c r="C361" s="4" t="str">
        <f t="shared" si="5"/>
        <v>GIGABYTE</v>
      </c>
      <c r="D361" s="14" t="s">
        <v>2336</v>
      </c>
      <c r="E361" s="11" t="s">
        <v>350</v>
      </c>
      <c r="F361" s="76" t="s">
        <v>8772</v>
      </c>
      <c r="G361" s="12" t="s">
        <v>406</v>
      </c>
      <c r="H361" s="12">
        <v>128</v>
      </c>
      <c r="I361" s="12">
        <v>4733</v>
      </c>
      <c r="J361" s="12">
        <v>4</v>
      </c>
      <c r="K361" s="12">
        <v>2</v>
      </c>
      <c r="L361" s="75" t="s">
        <v>4255</v>
      </c>
      <c r="M361" s="75" t="s">
        <v>4256</v>
      </c>
      <c r="N361" s="75" t="s">
        <v>4263</v>
      </c>
      <c r="O361" s="20" t="s">
        <v>2809</v>
      </c>
      <c r="P361" s="14" t="s">
        <v>2360</v>
      </c>
      <c r="Q361" s="3">
        <v>119.9</v>
      </c>
      <c r="R361" s="3">
        <v>174.42</v>
      </c>
      <c r="S361" s="18" t="s">
        <v>3571</v>
      </c>
      <c r="T361" s="12"/>
    </row>
    <row r="362" spans="1:20" x14ac:dyDescent="0.25">
      <c r="A362" s="18" t="s">
        <v>3572</v>
      </c>
      <c r="B362" s="11" t="s">
        <v>450</v>
      </c>
      <c r="C362" s="4" t="str">
        <f t="shared" si="5"/>
        <v>GIGABYTE</v>
      </c>
      <c r="D362" s="14" t="s">
        <v>2336</v>
      </c>
      <c r="E362" s="11" t="s">
        <v>350</v>
      </c>
      <c r="F362" s="76" t="s">
        <v>8772</v>
      </c>
      <c r="G362" s="12" t="s">
        <v>406</v>
      </c>
      <c r="H362" s="12">
        <v>128</v>
      </c>
      <c r="I362" s="12">
        <v>4733</v>
      </c>
      <c r="J362" s="12">
        <v>4</v>
      </c>
      <c r="K362" s="12">
        <v>2</v>
      </c>
      <c r="L362" s="75" t="s">
        <v>4292</v>
      </c>
      <c r="M362" s="75" t="s">
        <v>4275</v>
      </c>
      <c r="N362" s="75" t="s">
        <v>4314</v>
      </c>
      <c r="O362" s="20" t="s">
        <v>2809</v>
      </c>
      <c r="P362" s="14" t="s">
        <v>2360</v>
      </c>
      <c r="Q362" s="3">
        <v>99.95</v>
      </c>
      <c r="R362" s="3">
        <v>149.87</v>
      </c>
      <c r="S362" s="18" t="s">
        <v>3573</v>
      </c>
      <c r="T362" s="12"/>
    </row>
    <row r="363" spans="1:20" x14ac:dyDescent="0.25">
      <c r="A363" s="18" t="s">
        <v>3574</v>
      </c>
      <c r="B363" s="11" t="s">
        <v>450</v>
      </c>
      <c r="C363" s="4" t="str">
        <f t="shared" si="5"/>
        <v>GIGABYTE</v>
      </c>
      <c r="D363" s="14" t="s">
        <v>2311</v>
      </c>
      <c r="E363" s="11" t="s">
        <v>350</v>
      </c>
      <c r="F363" s="76" t="s">
        <v>8772</v>
      </c>
      <c r="G363" s="12" t="s">
        <v>406</v>
      </c>
      <c r="H363" s="12">
        <v>64</v>
      </c>
      <c r="I363" s="12">
        <v>5300</v>
      </c>
      <c r="J363" s="12">
        <v>2</v>
      </c>
      <c r="K363" s="12">
        <v>2</v>
      </c>
      <c r="L363" s="75">
        <v>4</v>
      </c>
      <c r="M363" s="75">
        <v>16</v>
      </c>
      <c r="N363" s="75">
        <v>16</v>
      </c>
      <c r="O363" s="20" t="s">
        <v>3575</v>
      </c>
      <c r="P363" s="14" t="s">
        <v>2360</v>
      </c>
      <c r="Q363" s="3">
        <v>151.06</v>
      </c>
      <c r="R363" s="3">
        <v>257.69</v>
      </c>
      <c r="S363" s="18" t="s">
        <v>3576</v>
      </c>
      <c r="T363" s="12"/>
    </row>
    <row r="364" spans="1:20" x14ac:dyDescent="0.25">
      <c r="A364" s="18" t="s">
        <v>3577</v>
      </c>
      <c r="B364" s="11" t="s">
        <v>450</v>
      </c>
      <c r="C364" s="4" t="str">
        <f t="shared" si="5"/>
        <v>GIGABYTE</v>
      </c>
      <c r="D364" s="14" t="s">
        <v>2294</v>
      </c>
      <c r="E364" s="11" t="s">
        <v>350</v>
      </c>
      <c r="F364" s="76" t="s">
        <v>8772</v>
      </c>
      <c r="G364" s="12" t="s">
        <v>406</v>
      </c>
      <c r="H364" s="12">
        <v>128</v>
      </c>
      <c r="I364" s="12">
        <v>4733</v>
      </c>
      <c r="J364" s="12">
        <v>4</v>
      </c>
      <c r="K364" s="12">
        <v>2</v>
      </c>
      <c r="L364" s="75" t="s">
        <v>4250</v>
      </c>
      <c r="M364" s="75" t="s">
        <v>4244</v>
      </c>
      <c r="N364" s="75" t="s">
        <v>4254</v>
      </c>
      <c r="O364" s="20" t="s">
        <v>3578</v>
      </c>
      <c r="P364" s="14" t="s">
        <v>2360</v>
      </c>
      <c r="Q364" s="3">
        <v>96.17</v>
      </c>
      <c r="R364" s="3">
        <v>182.36</v>
      </c>
      <c r="S364" s="18" t="s">
        <v>3579</v>
      </c>
      <c r="T364" s="12"/>
    </row>
    <row r="365" spans="1:20" x14ac:dyDescent="0.25">
      <c r="A365" s="18" t="s">
        <v>3580</v>
      </c>
      <c r="B365" s="11" t="s">
        <v>450</v>
      </c>
      <c r="C365" s="4" t="str">
        <f t="shared" si="5"/>
        <v>GIGABYTE</v>
      </c>
      <c r="D365" s="14" t="s">
        <v>2294</v>
      </c>
      <c r="E365" s="11" t="s">
        <v>350</v>
      </c>
      <c r="F365" s="76" t="s">
        <v>8772</v>
      </c>
      <c r="G365" s="12" t="s">
        <v>406</v>
      </c>
      <c r="H365" s="12">
        <v>128</v>
      </c>
      <c r="I365" s="12">
        <v>4733</v>
      </c>
      <c r="J365" s="12">
        <v>4</v>
      </c>
      <c r="K365" s="12">
        <v>2</v>
      </c>
      <c r="L365" s="75" t="s">
        <v>4250</v>
      </c>
      <c r="M365" s="75" t="s">
        <v>4244</v>
      </c>
      <c r="N365" s="75" t="s">
        <v>4254</v>
      </c>
      <c r="O365" s="20" t="s">
        <v>3581</v>
      </c>
      <c r="P365" s="14" t="s">
        <v>2360</v>
      </c>
      <c r="Q365" s="3">
        <v>96.9</v>
      </c>
      <c r="R365" s="3">
        <v>146.54</v>
      </c>
      <c r="S365" s="18" t="s">
        <v>3582</v>
      </c>
      <c r="T365" s="12"/>
    </row>
    <row r="366" spans="1:20" x14ac:dyDescent="0.25">
      <c r="A366" s="18" t="s">
        <v>3583</v>
      </c>
      <c r="B366" s="11" t="s">
        <v>450</v>
      </c>
      <c r="C366" s="4" t="str">
        <f t="shared" si="5"/>
        <v>GIGABYTE</v>
      </c>
      <c r="D366" s="14" t="s">
        <v>2294</v>
      </c>
      <c r="E366" s="11" t="s">
        <v>350</v>
      </c>
      <c r="F366" s="76" t="s">
        <v>8772</v>
      </c>
      <c r="G366" s="12" t="s">
        <v>406</v>
      </c>
      <c r="H366" s="12">
        <v>128</v>
      </c>
      <c r="I366" s="12">
        <v>4733</v>
      </c>
      <c r="J366" s="12">
        <v>4</v>
      </c>
      <c r="K366" s="12">
        <v>2</v>
      </c>
      <c r="L366" s="75" t="s">
        <v>4250</v>
      </c>
      <c r="M366" s="75" t="s">
        <v>4244</v>
      </c>
      <c r="N366" s="75" t="s">
        <v>4254</v>
      </c>
      <c r="O366" s="20" t="s">
        <v>3578</v>
      </c>
      <c r="P366" s="14" t="s">
        <v>2360</v>
      </c>
      <c r="Q366" s="3">
        <v>91.37</v>
      </c>
      <c r="R366" s="3">
        <v>131.05000000000001</v>
      </c>
      <c r="S366" s="18" t="s">
        <v>3584</v>
      </c>
      <c r="T366" s="12"/>
    </row>
    <row r="367" spans="1:20" x14ac:dyDescent="0.25">
      <c r="A367" s="18" t="s">
        <v>3585</v>
      </c>
      <c r="B367" s="11" t="s">
        <v>450</v>
      </c>
      <c r="C367" s="4" t="str">
        <f t="shared" si="5"/>
        <v>GIGABYTE</v>
      </c>
      <c r="D367" s="14" t="s">
        <v>2294</v>
      </c>
      <c r="E367" s="11" t="s">
        <v>350</v>
      </c>
      <c r="F367" s="76" t="s">
        <v>8772</v>
      </c>
      <c r="G367" s="12" t="s">
        <v>406</v>
      </c>
      <c r="H367" s="12">
        <v>128</v>
      </c>
      <c r="I367" s="12">
        <v>4733</v>
      </c>
      <c r="J367" s="12">
        <v>4</v>
      </c>
      <c r="K367" s="12">
        <v>2</v>
      </c>
      <c r="L367" s="75" t="s">
        <v>4250</v>
      </c>
      <c r="M367" s="75" t="s">
        <v>4244</v>
      </c>
      <c r="N367" s="75" t="s">
        <v>4254</v>
      </c>
      <c r="O367" s="20" t="s">
        <v>3581</v>
      </c>
      <c r="P367" s="14" t="s">
        <v>2360</v>
      </c>
      <c r="Q367" s="3">
        <v>91.9</v>
      </c>
      <c r="R367" s="3">
        <v>222.03</v>
      </c>
      <c r="S367" s="18" t="s">
        <v>3586</v>
      </c>
      <c r="T367" s="12"/>
    </row>
    <row r="368" spans="1:20" x14ac:dyDescent="0.25">
      <c r="A368" s="18" t="s">
        <v>3587</v>
      </c>
      <c r="B368" s="11" t="s">
        <v>450</v>
      </c>
      <c r="C368" s="4" t="str">
        <f t="shared" si="5"/>
        <v>GIGABYTE</v>
      </c>
      <c r="D368" s="14" t="s">
        <v>2294</v>
      </c>
      <c r="E368" s="11" t="s">
        <v>350</v>
      </c>
      <c r="F368" s="76" t="s">
        <v>8772</v>
      </c>
      <c r="G368" s="12" t="s">
        <v>406</v>
      </c>
      <c r="H368" s="12">
        <v>64</v>
      </c>
      <c r="I368" s="12">
        <v>4733</v>
      </c>
      <c r="J368" s="12">
        <v>4</v>
      </c>
      <c r="K368" s="12">
        <v>2</v>
      </c>
      <c r="L368" s="75" t="s">
        <v>4259</v>
      </c>
      <c r="M368" s="75" t="s">
        <v>4249</v>
      </c>
      <c r="N368" s="75" t="s">
        <v>4249</v>
      </c>
      <c r="O368" s="20" t="s">
        <v>3588</v>
      </c>
      <c r="P368" s="14" t="s">
        <v>2360</v>
      </c>
      <c r="Q368" s="3">
        <v>79.89</v>
      </c>
      <c r="R368" s="3">
        <v>116.19</v>
      </c>
      <c r="S368" s="18" t="s">
        <v>3589</v>
      </c>
      <c r="T368" s="12"/>
    </row>
    <row r="369" spans="1:20" x14ac:dyDescent="0.25">
      <c r="A369" s="18" t="s">
        <v>3590</v>
      </c>
      <c r="B369" s="11" t="s">
        <v>450</v>
      </c>
      <c r="C369" s="4" t="str">
        <f t="shared" si="5"/>
        <v>GIGABYTE</v>
      </c>
      <c r="D369" s="14" t="s">
        <v>2336</v>
      </c>
      <c r="E369" s="11" t="s">
        <v>351</v>
      </c>
      <c r="F369" s="76" t="s">
        <v>8773</v>
      </c>
      <c r="G369" s="12" t="s">
        <v>407</v>
      </c>
      <c r="H369" s="12">
        <v>256</v>
      </c>
      <c r="I369" s="12">
        <v>8000</v>
      </c>
      <c r="J369" s="12">
        <v>4</v>
      </c>
      <c r="K369" s="12">
        <v>2</v>
      </c>
      <c r="L369" s="75" t="s">
        <v>4264</v>
      </c>
      <c r="M369" s="75" t="s">
        <v>4244</v>
      </c>
      <c r="N369" s="75" t="s">
        <v>4254</v>
      </c>
      <c r="O369" s="20" t="s">
        <v>3591</v>
      </c>
      <c r="P369" s="14" t="s">
        <v>2389</v>
      </c>
      <c r="Q369" s="3">
        <v>204.49</v>
      </c>
      <c r="R369" s="3">
        <v>331</v>
      </c>
      <c r="S369" s="18" t="s">
        <v>3592</v>
      </c>
      <c r="T369" s="12"/>
    </row>
    <row r="370" spans="1:20" x14ac:dyDescent="0.25">
      <c r="A370" s="18" t="s">
        <v>3593</v>
      </c>
      <c r="B370" s="11" t="s">
        <v>450</v>
      </c>
      <c r="C370" s="4" t="str">
        <f t="shared" si="5"/>
        <v>GIGABYTE</v>
      </c>
      <c r="D370" s="14" t="s">
        <v>2336</v>
      </c>
      <c r="E370" s="11" t="s">
        <v>351</v>
      </c>
      <c r="F370" s="76" t="s">
        <v>8773</v>
      </c>
      <c r="G370" s="12" t="s">
        <v>407</v>
      </c>
      <c r="H370" s="12">
        <v>256</v>
      </c>
      <c r="I370" s="12">
        <v>8000</v>
      </c>
      <c r="J370" s="12">
        <v>4</v>
      </c>
      <c r="K370" s="12">
        <v>2</v>
      </c>
      <c r="L370" s="75" t="s">
        <v>4250</v>
      </c>
      <c r="M370" s="75" t="s">
        <v>4261</v>
      </c>
      <c r="N370" s="75" t="s">
        <v>4251</v>
      </c>
      <c r="O370" s="20" t="s">
        <v>3591</v>
      </c>
      <c r="P370" s="14" t="s">
        <v>2389</v>
      </c>
      <c r="Q370" s="3">
        <v>285</v>
      </c>
      <c r="R370" s="3">
        <v>3379</v>
      </c>
      <c r="S370" s="18" t="s">
        <v>3594</v>
      </c>
      <c r="T370" s="12"/>
    </row>
    <row r="371" spans="1:20" x14ac:dyDescent="0.25">
      <c r="A371" s="18" t="s">
        <v>3595</v>
      </c>
      <c r="B371" s="11" t="s">
        <v>450</v>
      </c>
      <c r="C371" s="4" t="str">
        <f t="shared" si="5"/>
        <v>GIGABYTE</v>
      </c>
      <c r="D371" s="14" t="s">
        <v>2336</v>
      </c>
      <c r="E371" s="11" t="s">
        <v>351</v>
      </c>
      <c r="F371" s="76" t="s">
        <v>8773</v>
      </c>
      <c r="G371" s="12" t="s">
        <v>407</v>
      </c>
      <c r="H371" s="12">
        <v>256</v>
      </c>
      <c r="I371" s="12">
        <v>8000</v>
      </c>
      <c r="J371" s="12">
        <v>4</v>
      </c>
      <c r="K371" s="12">
        <v>2</v>
      </c>
      <c r="L371" s="75" t="s">
        <v>4250</v>
      </c>
      <c r="M371" s="75" t="s">
        <v>4261</v>
      </c>
      <c r="N371" s="75" t="s">
        <v>4251</v>
      </c>
      <c r="O371" s="20" t="s">
        <v>3596</v>
      </c>
      <c r="P371" s="14" t="s">
        <v>2389</v>
      </c>
      <c r="Q371" s="3">
        <v>215</v>
      </c>
      <c r="R371" s="3">
        <v>885</v>
      </c>
      <c r="S371" s="18" t="s">
        <v>3597</v>
      </c>
      <c r="T371" s="12"/>
    </row>
    <row r="372" spans="1:20" x14ac:dyDescent="0.25">
      <c r="A372" s="18" t="s">
        <v>3598</v>
      </c>
      <c r="B372" s="11" t="s">
        <v>450</v>
      </c>
      <c r="C372" s="4" t="str">
        <f t="shared" si="5"/>
        <v>GIGABYTE</v>
      </c>
      <c r="D372" s="14" t="s">
        <v>2336</v>
      </c>
      <c r="E372" s="11" t="s">
        <v>351</v>
      </c>
      <c r="F372" s="76" t="s">
        <v>8773</v>
      </c>
      <c r="G372" s="12" t="s">
        <v>407</v>
      </c>
      <c r="H372" s="12">
        <v>256</v>
      </c>
      <c r="I372" s="12">
        <v>8000</v>
      </c>
      <c r="J372" s="12">
        <v>4</v>
      </c>
      <c r="K372" s="12">
        <v>2</v>
      </c>
      <c r="L372" s="75" t="s">
        <v>4250</v>
      </c>
      <c r="M372" s="75" t="s">
        <v>4261</v>
      </c>
      <c r="N372" s="75" t="s">
        <v>4251</v>
      </c>
      <c r="O372" s="20" t="s">
        <v>3596</v>
      </c>
      <c r="P372" s="14" t="s">
        <v>2389</v>
      </c>
      <c r="Q372" s="3">
        <v>186.37</v>
      </c>
      <c r="R372" s="3">
        <v>267</v>
      </c>
      <c r="S372" s="18" t="s">
        <v>3599</v>
      </c>
      <c r="T372" s="12"/>
    </row>
    <row r="373" spans="1:20" x14ac:dyDescent="0.25">
      <c r="A373" s="18" t="s">
        <v>3600</v>
      </c>
      <c r="B373" s="11" t="s">
        <v>450</v>
      </c>
      <c r="C373" s="4" t="str">
        <f t="shared" si="5"/>
        <v>GIGABYTE</v>
      </c>
      <c r="D373" s="14" t="s">
        <v>2336</v>
      </c>
      <c r="E373" s="11" t="s">
        <v>351</v>
      </c>
      <c r="F373" s="76" t="s">
        <v>8773</v>
      </c>
      <c r="G373" s="12" t="s">
        <v>407</v>
      </c>
      <c r="H373" s="12">
        <v>256</v>
      </c>
      <c r="I373" s="12">
        <v>7600</v>
      </c>
      <c r="J373" s="12">
        <v>4</v>
      </c>
      <c r="K373" s="12">
        <v>2</v>
      </c>
      <c r="L373" s="75" t="s">
        <v>4255</v>
      </c>
      <c r="M373" s="75" t="s">
        <v>4291</v>
      </c>
      <c r="N373" s="75" t="s">
        <v>4298</v>
      </c>
      <c r="O373" s="20" t="s">
        <v>3601</v>
      </c>
      <c r="P373" s="14" t="s">
        <v>2389</v>
      </c>
      <c r="Q373" s="3">
        <v>141.27000000000001</v>
      </c>
      <c r="R373" s="3">
        <v>168.22</v>
      </c>
      <c r="S373" s="18" t="s">
        <v>3602</v>
      </c>
      <c r="T373" s="12"/>
    </row>
    <row r="374" spans="1:20" x14ac:dyDescent="0.25">
      <c r="A374" s="18" t="s">
        <v>3603</v>
      </c>
      <c r="B374" s="11" t="s">
        <v>450</v>
      </c>
      <c r="C374" s="4" t="str">
        <f t="shared" si="5"/>
        <v>GIGABYTE</v>
      </c>
      <c r="D374" s="14" t="s">
        <v>2336</v>
      </c>
      <c r="E374" s="11" t="s">
        <v>351</v>
      </c>
      <c r="F374" s="76" t="s">
        <v>8773</v>
      </c>
      <c r="G374" s="12" t="s">
        <v>407</v>
      </c>
      <c r="H374" s="12">
        <v>256</v>
      </c>
      <c r="I374" s="12">
        <v>7600</v>
      </c>
      <c r="J374" s="12">
        <v>4</v>
      </c>
      <c r="K374" s="12">
        <v>2</v>
      </c>
      <c r="L374" s="75" t="s">
        <v>4255</v>
      </c>
      <c r="M374" s="75" t="s">
        <v>4291</v>
      </c>
      <c r="N374" s="75" t="s">
        <v>4298</v>
      </c>
      <c r="O374" s="20" t="s">
        <v>3604</v>
      </c>
      <c r="P374" s="14" t="s">
        <v>2389</v>
      </c>
      <c r="Q374" s="3">
        <v>139.94999999999999</v>
      </c>
      <c r="R374" s="3">
        <v>525</v>
      </c>
      <c r="S374" s="18" t="s">
        <v>3605</v>
      </c>
      <c r="T374" s="12"/>
    </row>
    <row r="375" spans="1:20" x14ac:dyDescent="0.25">
      <c r="A375" s="18" t="s">
        <v>3606</v>
      </c>
      <c r="B375" s="11" t="s">
        <v>450</v>
      </c>
      <c r="C375" s="4" t="str">
        <f t="shared" si="5"/>
        <v>GIGABYTE</v>
      </c>
      <c r="D375" s="14" t="s">
        <v>2336</v>
      </c>
      <c r="E375" s="11" t="s">
        <v>351</v>
      </c>
      <c r="F375" s="76" t="s">
        <v>8773</v>
      </c>
      <c r="G375" s="12" t="s">
        <v>407</v>
      </c>
      <c r="H375" s="12">
        <v>256</v>
      </c>
      <c r="I375" s="12">
        <v>8000</v>
      </c>
      <c r="J375" s="12">
        <v>4</v>
      </c>
      <c r="K375" s="12">
        <v>2</v>
      </c>
      <c r="L375" s="75" t="s">
        <v>4250</v>
      </c>
      <c r="M375" s="75" t="s">
        <v>4261</v>
      </c>
      <c r="N375" s="75" t="s">
        <v>4251</v>
      </c>
      <c r="O375" s="20" t="s">
        <v>3607</v>
      </c>
      <c r="P375" s="14" t="s">
        <v>2389</v>
      </c>
      <c r="Q375" s="3">
        <v>168.5</v>
      </c>
      <c r="R375" s="3">
        <v>241</v>
      </c>
      <c r="S375" s="18" t="s">
        <v>3608</v>
      </c>
      <c r="T375" s="12"/>
    </row>
    <row r="376" spans="1:20" x14ac:dyDescent="0.25">
      <c r="A376" s="18" t="s">
        <v>3609</v>
      </c>
      <c r="B376" s="11" t="s">
        <v>450</v>
      </c>
      <c r="C376" s="4" t="str">
        <f t="shared" si="5"/>
        <v>GIGABYTE</v>
      </c>
      <c r="D376" s="14" t="s">
        <v>2336</v>
      </c>
      <c r="E376" s="11" t="s">
        <v>351</v>
      </c>
      <c r="F376" s="76" t="s">
        <v>8773</v>
      </c>
      <c r="G376" s="12" t="s">
        <v>407</v>
      </c>
      <c r="H376" s="12">
        <v>256</v>
      </c>
      <c r="I376" s="12">
        <v>7600</v>
      </c>
      <c r="J376" s="12">
        <v>4</v>
      </c>
      <c r="K376" s="12">
        <v>2</v>
      </c>
      <c r="L376" s="75" t="s">
        <v>4255</v>
      </c>
      <c r="M376" s="75" t="s">
        <v>4291</v>
      </c>
      <c r="N376" s="75" t="s">
        <v>4298</v>
      </c>
      <c r="O376" s="20" t="s">
        <v>3604</v>
      </c>
      <c r="P376" s="14" t="s">
        <v>2389</v>
      </c>
      <c r="Q376" s="3">
        <v>178.9</v>
      </c>
      <c r="R376" s="3">
        <v>188.9</v>
      </c>
      <c r="S376" s="18" t="s">
        <v>3610</v>
      </c>
      <c r="T376" s="12"/>
    </row>
    <row r="377" spans="1:20" x14ac:dyDescent="0.25">
      <c r="A377" s="18" t="s">
        <v>3611</v>
      </c>
      <c r="B377" s="11" t="s">
        <v>450</v>
      </c>
      <c r="C377" s="4" t="str">
        <f t="shared" si="5"/>
        <v>GIGABYTE</v>
      </c>
      <c r="D377" s="14" t="s">
        <v>2336</v>
      </c>
      <c r="E377" s="11" t="s">
        <v>351</v>
      </c>
      <c r="F377" s="76" t="s">
        <v>8773</v>
      </c>
      <c r="G377" s="12" t="s">
        <v>407</v>
      </c>
      <c r="H377" s="12">
        <v>256</v>
      </c>
      <c r="I377" s="12">
        <v>7600</v>
      </c>
      <c r="J377" s="12">
        <v>4</v>
      </c>
      <c r="K377" s="12">
        <v>2</v>
      </c>
      <c r="L377" s="75" t="s">
        <v>4255</v>
      </c>
      <c r="M377" s="75" t="s">
        <v>4291</v>
      </c>
      <c r="N377" s="75" t="s">
        <v>4298</v>
      </c>
      <c r="O377" s="20" t="s">
        <v>3604</v>
      </c>
      <c r="P377" s="14" t="s">
        <v>2389</v>
      </c>
      <c r="Q377" s="3">
        <v>141.99</v>
      </c>
      <c r="R377" s="3">
        <v>217.54</v>
      </c>
      <c r="S377" s="18" t="s">
        <v>3612</v>
      </c>
      <c r="T377" s="12"/>
    </row>
    <row r="378" spans="1:20" x14ac:dyDescent="0.25">
      <c r="A378" s="18" t="s">
        <v>3613</v>
      </c>
      <c r="B378" s="11" t="s">
        <v>450</v>
      </c>
      <c r="C378" s="4" t="str">
        <f t="shared" si="5"/>
        <v>GIGABYTE</v>
      </c>
      <c r="D378" s="14" t="s">
        <v>2336</v>
      </c>
      <c r="E378" s="11" t="s">
        <v>351</v>
      </c>
      <c r="F378" s="76" t="s">
        <v>8774</v>
      </c>
      <c r="G378" s="12" t="s">
        <v>407</v>
      </c>
      <c r="H378" s="12">
        <v>256</v>
      </c>
      <c r="I378" s="12">
        <v>8000</v>
      </c>
      <c r="J378" s="12">
        <v>4</v>
      </c>
      <c r="K378" s="12">
        <v>2</v>
      </c>
      <c r="L378" s="75" t="s">
        <v>4277</v>
      </c>
      <c r="M378" s="75" t="s">
        <v>4261</v>
      </c>
      <c r="N378" s="75" t="s">
        <v>4251</v>
      </c>
      <c r="O378" s="20" t="s">
        <v>3614</v>
      </c>
      <c r="P378" s="14" t="s">
        <v>2630</v>
      </c>
      <c r="Q378" s="3">
        <v>204.96</v>
      </c>
      <c r="R378" s="3">
        <v>265.3</v>
      </c>
      <c r="S378" s="18" t="s">
        <v>3615</v>
      </c>
      <c r="T378" s="12"/>
    </row>
    <row r="379" spans="1:20" x14ac:dyDescent="0.25">
      <c r="A379" s="18" t="s">
        <v>3616</v>
      </c>
      <c r="B379" s="11" t="s">
        <v>450</v>
      </c>
      <c r="C379" s="4" t="str">
        <f t="shared" si="5"/>
        <v>GIGABYTE</v>
      </c>
      <c r="D379" s="14" t="s">
        <v>2336</v>
      </c>
      <c r="E379" s="11" t="s">
        <v>351</v>
      </c>
      <c r="F379" s="76" t="s">
        <v>8774</v>
      </c>
      <c r="G379" s="12" t="s">
        <v>407</v>
      </c>
      <c r="H379" s="12">
        <v>256</v>
      </c>
      <c r="I379" s="12">
        <v>8000</v>
      </c>
      <c r="J379" s="12">
        <v>4</v>
      </c>
      <c r="K379" s="12">
        <v>2</v>
      </c>
      <c r="L379" s="75">
        <v>5</v>
      </c>
      <c r="M379" s="75">
        <v>16</v>
      </c>
      <c r="N379" s="75">
        <v>16</v>
      </c>
      <c r="O379" s="20" t="s">
        <v>3614</v>
      </c>
      <c r="P379" s="14" t="s">
        <v>2630</v>
      </c>
      <c r="Q379" s="3">
        <v>298</v>
      </c>
      <c r="R379" s="3">
        <v>406</v>
      </c>
      <c r="S379" s="18" t="s">
        <v>3617</v>
      </c>
      <c r="T379" s="12"/>
    </row>
    <row r="380" spans="1:20" x14ac:dyDescent="0.25">
      <c r="A380" s="18" t="s">
        <v>3618</v>
      </c>
      <c r="B380" s="11" t="s">
        <v>450</v>
      </c>
      <c r="C380" s="4" t="str">
        <f t="shared" si="5"/>
        <v>GIGABYTE</v>
      </c>
      <c r="D380" s="14" t="s">
        <v>2311</v>
      </c>
      <c r="E380" s="11" t="s">
        <v>351</v>
      </c>
      <c r="F380" s="76" t="s">
        <v>8773</v>
      </c>
      <c r="G380" s="12" t="s">
        <v>407</v>
      </c>
      <c r="H380" s="12">
        <v>128</v>
      </c>
      <c r="I380" s="12">
        <v>6400</v>
      </c>
      <c r="J380" s="12">
        <v>2</v>
      </c>
      <c r="K380" s="12">
        <v>2</v>
      </c>
      <c r="L380" s="75">
        <v>4</v>
      </c>
      <c r="M380" s="75">
        <v>16</v>
      </c>
      <c r="N380" s="75">
        <v>16</v>
      </c>
      <c r="O380" s="20" t="s">
        <v>2479</v>
      </c>
      <c r="P380" s="14" t="s">
        <v>2384</v>
      </c>
      <c r="Q380" s="3">
        <v>161.88999999999999</v>
      </c>
      <c r="R380" s="3">
        <v>203.93</v>
      </c>
      <c r="S380" s="18" t="s">
        <v>3619</v>
      </c>
      <c r="T380" s="12"/>
    </row>
    <row r="381" spans="1:20" x14ac:dyDescent="0.25">
      <c r="A381" s="18" t="s">
        <v>3620</v>
      </c>
      <c r="B381" s="11" t="s">
        <v>450</v>
      </c>
      <c r="C381" s="4" t="str">
        <f t="shared" si="5"/>
        <v>GIGABYTE</v>
      </c>
      <c r="D381" s="14" t="s">
        <v>2294</v>
      </c>
      <c r="E381" s="11" t="s">
        <v>351</v>
      </c>
      <c r="F381" s="76" t="s">
        <v>8773</v>
      </c>
      <c r="G381" s="12" t="s">
        <v>407</v>
      </c>
      <c r="H381" s="12">
        <v>256</v>
      </c>
      <c r="I381" s="12">
        <v>8000</v>
      </c>
      <c r="J381" s="12">
        <v>4</v>
      </c>
      <c r="K381" s="12">
        <v>2</v>
      </c>
      <c r="L381" s="75" t="s">
        <v>4271</v>
      </c>
      <c r="M381" s="75" t="s">
        <v>4247</v>
      </c>
      <c r="N381" s="75" t="s">
        <v>418</v>
      </c>
      <c r="O381" s="20" t="s">
        <v>3621</v>
      </c>
      <c r="P381" s="14" t="s">
        <v>2389</v>
      </c>
      <c r="Q381" s="3">
        <v>217.81</v>
      </c>
      <c r="R381" s="3">
        <v>294.89</v>
      </c>
      <c r="S381" s="18" t="s">
        <v>3622</v>
      </c>
      <c r="T381" s="12"/>
    </row>
    <row r="382" spans="1:20" x14ac:dyDescent="0.25">
      <c r="A382" s="18" t="s">
        <v>3623</v>
      </c>
      <c r="B382" s="11" t="s">
        <v>450</v>
      </c>
      <c r="C382" s="4" t="str">
        <f t="shared" si="5"/>
        <v>GIGABYTE</v>
      </c>
      <c r="D382" s="14" t="s">
        <v>2294</v>
      </c>
      <c r="E382" s="11" t="s">
        <v>351</v>
      </c>
      <c r="F382" s="76" t="s">
        <v>8773</v>
      </c>
      <c r="G382" s="12" t="s">
        <v>407</v>
      </c>
      <c r="H382" s="12">
        <v>256</v>
      </c>
      <c r="I382" s="12">
        <v>8000</v>
      </c>
      <c r="J382" s="12">
        <v>4</v>
      </c>
      <c r="K382" s="12">
        <v>2</v>
      </c>
      <c r="L382" s="75" t="s">
        <v>4271</v>
      </c>
      <c r="M382" s="75" t="s">
        <v>4247</v>
      </c>
      <c r="N382" s="75" t="s">
        <v>418</v>
      </c>
      <c r="O382" s="20" t="s">
        <v>3624</v>
      </c>
      <c r="P382" s="14" t="s">
        <v>2389</v>
      </c>
      <c r="Q382" s="3">
        <v>186.29</v>
      </c>
      <c r="R382" s="3">
        <v>257.10000000000002</v>
      </c>
      <c r="S382" s="18" t="s">
        <v>3625</v>
      </c>
      <c r="T382" s="12"/>
    </row>
    <row r="383" spans="1:20" x14ac:dyDescent="0.25">
      <c r="A383" s="18" t="s">
        <v>3626</v>
      </c>
      <c r="B383" s="11" t="s">
        <v>450</v>
      </c>
      <c r="C383" s="4" t="str">
        <f t="shared" si="5"/>
        <v>GIGABYTE</v>
      </c>
      <c r="D383" s="14" t="s">
        <v>2294</v>
      </c>
      <c r="E383" s="11" t="s">
        <v>351</v>
      </c>
      <c r="F383" s="76" t="s">
        <v>8773</v>
      </c>
      <c r="G383" s="12" t="s">
        <v>407</v>
      </c>
      <c r="H383" s="12">
        <v>256</v>
      </c>
      <c r="I383" s="12">
        <v>8000</v>
      </c>
      <c r="J383" s="12">
        <v>4</v>
      </c>
      <c r="K383" s="12">
        <v>2</v>
      </c>
      <c r="L383" s="75" t="s">
        <v>4259</v>
      </c>
      <c r="M383" s="75" t="s">
        <v>4249</v>
      </c>
      <c r="N383" s="75" t="s">
        <v>4249</v>
      </c>
      <c r="O383" s="20" t="s">
        <v>3627</v>
      </c>
      <c r="P383" s="14" t="s">
        <v>2389</v>
      </c>
      <c r="Q383" s="3">
        <v>117.64</v>
      </c>
      <c r="R383" s="3">
        <v>163.93</v>
      </c>
      <c r="S383" s="18" t="s">
        <v>3628</v>
      </c>
      <c r="T383" s="12"/>
    </row>
    <row r="384" spans="1:20" x14ac:dyDescent="0.25">
      <c r="A384" s="18" t="s">
        <v>3629</v>
      </c>
      <c r="B384" s="11" t="s">
        <v>450</v>
      </c>
      <c r="C384" s="4" t="str">
        <f t="shared" si="5"/>
        <v>GIGABYTE</v>
      </c>
      <c r="D384" s="14" t="s">
        <v>2294</v>
      </c>
      <c r="E384" s="11" t="s">
        <v>351</v>
      </c>
      <c r="F384" s="76" t="s">
        <v>8773</v>
      </c>
      <c r="G384" s="12" t="s">
        <v>407</v>
      </c>
      <c r="H384" s="12">
        <v>256</v>
      </c>
      <c r="I384" s="12">
        <v>8000</v>
      </c>
      <c r="J384" s="12">
        <v>4</v>
      </c>
      <c r="K384" s="12">
        <v>2</v>
      </c>
      <c r="L384" s="75" t="s">
        <v>4259</v>
      </c>
      <c r="M384" s="75" t="s">
        <v>4249</v>
      </c>
      <c r="N384" s="75" t="s">
        <v>4249</v>
      </c>
      <c r="O384" s="20" t="s">
        <v>3627</v>
      </c>
      <c r="P384" s="14" t="s">
        <v>2389</v>
      </c>
      <c r="Q384" s="3">
        <v>129.88999999999999</v>
      </c>
      <c r="R384" s="3">
        <v>196.01</v>
      </c>
      <c r="S384" s="18" t="s">
        <v>3630</v>
      </c>
      <c r="T384" s="12"/>
    </row>
    <row r="385" spans="1:20" x14ac:dyDescent="0.25">
      <c r="A385" s="18" t="s">
        <v>3631</v>
      </c>
      <c r="B385" s="11" t="s">
        <v>450</v>
      </c>
      <c r="C385" s="4" t="str">
        <f t="shared" si="5"/>
        <v>GIGABYTE</v>
      </c>
      <c r="D385" s="14" t="s">
        <v>2294</v>
      </c>
      <c r="E385" s="11" t="s">
        <v>351</v>
      </c>
      <c r="F385" s="76" t="s">
        <v>8773</v>
      </c>
      <c r="G385" s="12" t="s">
        <v>407</v>
      </c>
      <c r="H385" s="12">
        <v>256</v>
      </c>
      <c r="I385" s="12">
        <v>8000</v>
      </c>
      <c r="J385" s="12">
        <v>4</v>
      </c>
      <c r="K385" s="12">
        <v>2</v>
      </c>
      <c r="L385" s="75" t="s">
        <v>4259</v>
      </c>
      <c r="M385" s="75" t="s">
        <v>4249</v>
      </c>
      <c r="N385" s="75" t="s">
        <v>4249</v>
      </c>
      <c r="O385" s="20" t="s">
        <v>3632</v>
      </c>
      <c r="P385" s="14" t="s">
        <v>2389</v>
      </c>
      <c r="Q385" s="3">
        <v>130.9</v>
      </c>
      <c r="R385" s="3">
        <v>201.88</v>
      </c>
      <c r="S385" s="18" t="s">
        <v>3633</v>
      </c>
      <c r="T385" s="12"/>
    </row>
    <row r="386" spans="1:20" x14ac:dyDescent="0.25">
      <c r="A386" s="18" t="s">
        <v>3634</v>
      </c>
      <c r="B386" s="11" t="s">
        <v>450</v>
      </c>
      <c r="C386" s="4" t="str">
        <f t="shared" si="5"/>
        <v>GIGABYTE</v>
      </c>
      <c r="D386" s="14" t="s">
        <v>2294</v>
      </c>
      <c r="E386" s="11" t="s">
        <v>351</v>
      </c>
      <c r="F386" s="76" t="s">
        <v>8773</v>
      </c>
      <c r="G386" s="12" t="s">
        <v>407</v>
      </c>
      <c r="H386" s="12">
        <v>256</v>
      </c>
      <c r="I386" s="12">
        <v>8000</v>
      </c>
      <c r="J386" s="12">
        <v>4</v>
      </c>
      <c r="K386" s="12">
        <v>2</v>
      </c>
      <c r="L386" s="75" t="s">
        <v>4259</v>
      </c>
      <c r="M386" s="75" t="s">
        <v>4249</v>
      </c>
      <c r="N386" s="75" t="s">
        <v>4249</v>
      </c>
      <c r="O386" s="20" t="s">
        <v>3627</v>
      </c>
      <c r="P386" s="14" t="s">
        <v>2389</v>
      </c>
      <c r="Q386" s="3">
        <v>147</v>
      </c>
      <c r="R386" s="3">
        <v>207.06</v>
      </c>
      <c r="S386" s="18" t="s">
        <v>3635</v>
      </c>
      <c r="T386" s="12"/>
    </row>
    <row r="387" spans="1:20" x14ac:dyDescent="0.25">
      <c r="A387" s="18" t="s">
        <v>3636</v>
      </c>
      <c r="B387" s="11" t="s">
        <v>450</v>
      </c>
      <c r="C387" s="4" t="str">
        <f t="shared" si="5"/>
        <v>GIGABYTE</v>
      </c>
      <c r="D387" s="14" t="s">
        <v>2294</v>
      </c>
      <c r="E387" s="11" t="s">
        <v>351</v>
      </c>
      <c r="F387" s="76" t="s">
        <v>8773</v>
      </c>
      <c r="G387" s="12" t="s">
        <v>407</v>
      </c>
      <c r="H387" s="12">
        <v>256</v>
      </c>
      <c r="I387" s="12">
        <v>8000</v>
      </c>
      <c r="J387" s="12">
        <v>4</v>
      </c>
      <c r="K387" s="12">
        <v>2</v>
      </c>
      <c r="L387" s="75" t="s">
        <v>4259</v>
      </c>
      <c r="M387" s="75" t="s">
        <v>4249</v>
      </c>
      <c r="N387" s="75" t="s">
        <v>4249</v>
      </c>
      <c r="O387" s="20" t="s">
        <v>3637</v>
      </c>
      <c r="P387" s="14" t="s">
        <v>2389</v>
      </c>
      <c r="Q387" s="3">
        <v>160.82</v>
      </c>
      <c r="R387" s="3">
        <v>222.31</v>
      </c>
      <c r="S387" s="18" t="s">
        <v>3638</v>
      </c>
      <c r="T387" s="12"/>
    </row>
    <row r="388" spans="1:20" x14ac:dyDescent="0.25">
      <c r="A388" s="18" t="s">
        <v>3639</v>
      </c>
      <c r="B388" s="11" t="s">
        <v>450</v>
      </c>
      <c r="C388" s="4" t="str">
        <f t="shared" si="5"/>
        <v>GIGABYTE</v>
      </c>
      <c r="D388" s="14" t="s">
        <v>2294</v>
      </c>
      <c r="E388" s="11" t="s">
        <v>351</v>
      </c>
      <c r="F388" s="76" t="s">
        <v>8773</v>
      </c>
      <c r="G388" s="12" t="s">
        <v>407</v>
      </c>
      <c r="H388" s="12">
        <v>256</v>
      </c>
      <c r="I388" s="12">
        <v>8000</v>
      </c>
      <c r="J388" s="12">
        <v>4</v>
      </c>
      <c r="K388" s="12">
        <v>2</v>
      </c>
      <c r="L388" s="75" t="s">
        <v>4259</v>
      </c>
      <c r="M388" s="75" t="s">
        <v>4249</v>
      </c>
      <c r="N388" s="75" t="s">
        <v>4249</v>
      </c>
      <c r="O388" s="20" t="s">
        <v>3640</v>
      </c>
      <c r="P388" s="14" t="s">
        <v>2389</v>
      </c>
      <c r="Q388" s="3">
        <v>144.16</v>
      </c>
      <c r="R388" s="3">
        <v>144.16</v>
      </c>
      <c r="S388" s="18" t="s">
        <v>3641</v>
      </c>
      <c r="T388" s="12"/>
    </row>
    <row r="389" spans="1:20" x14ac:dyDescent="0.25">
      <c r="A389" s="18" t="s">
        <v>3642</v>
      </c>
      <c r="B389" s="11" t="s">
        <v>450</v>
      </c>
      <c r="C389" s="4" t="str">
        <f t="shared" si="5"/>
        <v>GIGABYTE</v>
      </c>
      <c r="D389" s="14" t="s">
        <v>2294</v>
      </c>
      <c r="E389" s="11" t="s">
        <v>351</v>
      </c>
      <c r="F389" s="76" t="s">
        <v>8773</v>
      </c>
      <c r="G389" s="12" t="s">
        <v>407</v>
      </c>
      <c r="H389" s="12">
        <v>128</v>
      </c>
      <c r="I389" s="12">
        <v>6400</v>
      </c>
      <c r="J389" s="12">
        <v>2</v>
      </c>
      <c r="K389" s="12">
        <v>2</v>
      </c>
      <c r="L389" s="75" t="s">
        <v>4259</v>
      </c>
      <c r="M389" s="75" t="s">
        <v>4249</v>
      </c>
      <c r="N389" s="75" t="s">
        <v>4249</v>
      </c>
      <c r="O389" s="20" t="s">
        <v>3562</v>
      </c>
      <c r="P389" s="14" t="s">
        <v>2389</v>
      </c>
      <c r="Q389" s="3">
        <v>99.82</v>
      </c>
      <c r="R389" s="3">
        <v>147.63</v>
      </c>
      <c r="S389" s="18" t="s">
        <v>3643</v>
      </c>
      <c r="T389" s="12"/>
    </row>
    <row r="390" spans="1:20" x14ac:dyDescent="0.25">
      <c r="A390" s="18" t="s">
        <v>3644</v>
      </c>
      <c r="B390" s="11" t="s">
        <v>450</v>
      </c>
      <c r="C390" s="4" t="str">
        <f t="shared" si="5"/>
        <v>GIGABYTE</v>
      </c>
      <c r="D390" s="14" t="s">
        <v>2336</v>
      </c>
      <c r="E390" s="11" t="s">
        <v>352</v>
      </c>
      <c r="F390" s="76" t="s">
        <v>8784</v>
      </c>
      <c r="G390" s="12" t="s">
        <v>407</v>
      </c>
      <c r="H390" s="12">
        <v>192</v>
      </c>
      <c r="I390" s="12">
        <v>7600</v>
      </c>
      <c r="J390" s="12">
        <v>4</v>
      </c>
      <c r="K390" s="12">
        <v>2</v>
      </c>
      <c r="L390" s="75" t="s">
        <v>4250</v>
      </c>
      <c r="M390" s="75" t="s">
        <v>4261</v>
      </c>
      <c r="N390" s="75" t="s">
        <v>4251</v>
      </c>
      <c r="O390" s="20" t="s">
        <v>3645</v>
      </c>
      <c r="P390" s="14" t="s">
        <v>2443</v>
      </c>
      <c r="Q390" s="3">
        <v>437.18</v>
      </c>
      <c r="R390" s="3">
        <v>2570.46</v>
      </c>
      <c r="S390" s="18" t="s">
        <v>3646</v>
      </c>
      <c r="T390" s="12"/>
    </row>
    <row r="391" spans="1:20" x14ac:dyDescent="0.25">
      <c r="A391" s="18" t="s">
        <v>3647</v>
      </c>
      <c r="B391" s="11" t="s">
        <v>450</v>
      </c>
      <c r="C391" s="4" t="str">
        <f t="shared" si="5"/>
        <v>GIGABYTE</v>
      </c>
      <c r="D391" s="14" t="s">
        <v>2336</v>
      </c>
      <c r="E391" s="11" t="s">
        <v>352</v>
      </c>
      <c r="F391" s="76" t="s">
        <v>8784</v>
      </c>
      <c r="G391" s="12" t="s">
        <v>407</v>
      </c>
      <c r="H391" s="12">
        <v>192</v>
      </c>
      <c r="I391" s="12">
        <v>7600</v>
      </c>
      <c r="J391" s="12">
        <v>4</v>
      </c>
      <c r="K391" s="12">
        <v>2</v>
      </c>
      <c r="L391" s="75" t="s">
        <v>4250</v>
      </c>
      <c r="M391" s="75" t="s">
        <v>4261</v>
      </c>
      <c r="N391" s="75" t="s">
        <v>4251</v>
      </c>
      <c r="O391" s="20" t="s">
        <v>3648</v>
      </c>
      <c r="P391" s="14" t="s">
        <v>2443</v>
      </c>
      <c r="Q391" s="3">
        <v>184.9</v>
      </c>
      <c r="R391" s="3">
        <v>302.2</v>
      </c>
      <c r="S391" s="18" t="s">
        <v>3649</v>
      </c>
      <c r="T391" s="12"/>
    </row>
    <row r="392" spans="1:20" x14ac:dyDescent="0.25">
      <c r="A392" s="18" t="s">
        <v>3650</v>
      </c>
      <c r="B392" s="11" t="s">
        <v>450</v>
      </c>
      <c r="C392" s="4" t="str">
        <f t="shared" si="5"/>
        <v>GIGABYTE</v>
      </c>
      <c r="D392" s="14" t="s">
        <v>2336</v>
      </c>
      <c r="E392" s="11" t="s">
        <v>352</v>
      </c>
      <c r="F392" s="76" t="s">
        <v>8784</v>
      </c>
      <c r="G392" s="12" t="s">
        <v>406</v>
      </c>
      <c r="H392" s="12">
        <v>128</v>
      </c>
      <c r="I392" s="12">
        <v>5333</v>
      </c>
      <c r="J392" s="12">
        <v>4</v>
      </c>
      <c r="K392" s="12">
        <v>2</v>
      </c>
      <c r="L392" s="75" t="s">
        <v>4250</v>
      </c>
      <c r="M392" s="75" t="s">
        <v>4261</v>
      </c>
      <c r="N392" s="75" t="s">
        <v>4251</v>
      </c>
      <c r="O392" s="20" t="s">
        <v>3648</v>
      </c>
      <c r="P392" s="14" t="s">
        <v>2443</v>
      </c>
      <c r="Q392" s="3">
        <v>185.4</v>
      </c>
      <c r="R392" s="3">
        <v>276.23</v>
      </c>
      <c r="S392" s="18" t="s">
        <v>3651</v>
      </c>
      <c r="T392" s="12"/>
    </row>
    <row r="393" spans="1:20" x14ac:dyDescent="0.25">
      <c r="A393" s="18" t="s">
        <v>3652</v>
      </c>
      <c r="B393" s="11" t="s">
        <v>450</v>
      </c>
      <c r="C393" s="4" t="str">
        <f t="shared" ref="C393:C456" si="6">LEFT(A393, FIND(" ",A393)-1)</f>
        <v>GIGABYTE</v>
      </c>
      <c r="D393" s="14" t="s">
        <v>2336</v>
      </c>
      <c r="E393" s="11" t="s">
        <v>352</v>
      </c>
      <c r="F393" s="76" t="s">
        <v>8784</v>
      </c>
      <c r="G393" s="12" t="s">
        <v>406</v>
      </c>
      <c r="H393" s="12">
        <v>128</v>
      </c>
      <c r="I393" s="12">
        <v>5333</v>
      </c>
      <c r="J393" s="12">
        <v>4</v>
      </c>
      <c r="K393" s="12">
        <v>2</v>
      </c>
      <c r="L393" s="75" t="s">
        <v>4250</v>
      </c>
      <c r="M393" s="75" t="s">
        <v>4261</v>
      </c>
      <c r="N393" s="75" t="s">
        <v>4254</v>
      </c>
      <c r="O393" s="20" t="s">
        <v>3648</v>
      </c>
      <c r="P393" s="14" t="s">
        <v>2443</v>
      </c>
      <c r="Q393" s="3">
        <v>207</v>
      </c>
      <c r="R393" s="3">
        <v>281.04000000000002</v>
      </c>
      <c r="S393" s="18" t="s">
        <v>3653</v>
      </c>
      <c r="T393" s="12"/>
    </row>
    <row r="394" spans="1:20" x14ac:dyDescent="0.25">
      <c r="A394" s="18" t="s">
        <v>3654</v>
      </c>
      <c r="B394" s="11" t="s">
        <v>450</v>
      </c>
      <c r="C394" s="4" t="str">
        <f t="shared" si="6"/>
        <v>GIGABYTE</v>
      </c>
      <c r="D394" s="14" t="s">
        <v>2336</v>
      </c>
      <c r="E394" s="11" t="s">
        <v>352</v>
      </c>
      <c r="F394" s="76" t="s">
        <v>8784</v>
      </c>
      <c r="G394" s="12" t="s">
        <v>407</v>
      </c>
      <c r="H394" s="12">
        <v>192</v>
      </c>
      <c r="I394" s="12">
        <v>7600</v>
      </c>
      <c r="J394" s="12">
        <v>4</v>
      </c>
      <c r="K394" s="12">
        <v>2</v>
      </c>
      <c r="L394" s="75" t="s">
        <v>4292</v>
      </c>
      <c r="M394" s="75" t="s">
        <v>4295</v>
      </c>
      <c r="N394" s="75" t="s">
        <v>4315</v>
      </c>
      <c r="O394" s="20" t="s">
        <v>3655</v>
      </c>
      <c r="P394" s="14" t="s">
        <v>2443</v>
      </c>
      <c r="Q394" s="3">
        <v>125.9</v>
      </c>
      <c r="R394" s="3">
        <v>174.65</v>
      </c>
      <c r="S394" s="18" t="s">
        <v>3656</v>
      </c>
      <c r="T394" s="12"/>
    </row>
    <row r="395" spans="1:20" x14ac:dyDescent="0.25">
      <c r="A395" s="18" t="s">
        <v>3657</v>
      </c>
      <c r="B395" s="11" t="s">
        <v>450</v>
      </c>
      <c r="C395" s="4" t="str">
        <f t="shared" si="6"/>
        <v>GIGABYTE</v>
      </c>
      <c r="D395" s="14" t="s">
        <v>2336</v>
      </c>
      <c r="E395" s="11" t="s">
        <v>352</v>
      </c>
      <c r="F395" s="76" t="s">
        <v>8784</v>
      </c>
      <c r="G395" s="12" t="s">
        <v>407</v>
      </c>
      <c r="H395" s="12">
        <v>192</v>
      </c>
      <c r="I395" s="12">
        <v>7600</v>
      </c>
      <c r="J395" s="12">
        <v>4</v>
      </c>
      <c r="K395" s="12">
        <v>2</v>
      </c>
      <c r="L395" s="75" t="s">
        <v>4292</v>
      </c>
      <c r="M395" s="75" t="s">
        <v>4295</v>
      </c>
      <c r="N395" s="75" t="s">
        <v>4315</v>
      </c>
      <c r="O395" s="20" t="s">
        <v>3658</v>
      </c>
      <c r="P395" s="14" t="s">
        <v>2443</v>
      </c>
      <c r="Q395" s="3">
        <v>143.93</v>
      </c>
      <c r="R395" s="3">
        <v>200.15</v>
      </c>
      <c r="S395" s="18" t="s">
        <v>3659</v>
      </c>
      <c r="T395" s="12"/>
    </row>
    <row r="396" spans="1:20" x14ac:dyDescent="0.25">
      <c r="A396" s="18" t="s">
        <v>3660</v>
      </c>
      <c r="B396" s="11" t="s">
        <v>450</v>
      </c>
      <c r="C396" s="4" t="str">
        <f t="shared" si="6"/>
        <v>GIGABYTE</v>
      </c>
      <c r="D396" s="14" t="s">
        <v>2336</v>
      </c>
      <c r="E396" s="11" t="s">
        <v>352</v>
      </c>
      <c r="F396" s="76" t="s">
        <v>8784</v>
      </c>
      <c r="G396" s="12" t="s">
        <v>406</v>
      </c>
      <c r="H396" s="12">
        <v>128</v>
      </c>
      <c r="I396" s="12">
        <v>5333</v>
      </c>
      <c r="J396" s="12">
        <v>4</v>
      </c>
      <c r="K396" s="12">
        <v>2</v>
      </c>
      <c r="L396" s="75" t="s">
        <v>4292</v>
      </c>
      <c r="M396" s="75" t="s">
        <v>4295</v>
      </c>
      <c r="N396" s="75" t="s">
        <v>4315</v>
      </c>
      <c r="O396" s="20" t="s">
        <v>3658</v>
      </c>
      <c r="P396" s="14" t="s">
        <v>2443</v>
      </c>
      <c r="Q396" s="3">
        <v>127.18</v>
      </c>
      <c r="R396" s="3">
        <v>175.9</v>
      </c>
      <c r="S396" s="18" t="s">
        <v>3661</v>
      </c>
      <c r="T396" s="12"/>
    </row>
    <row r="397" spans="1:20" x14ac:dyDescent="0.25">
      <c r="A397" s="18" t="s">
        <v>3662</v>
      </c>
      <c r="B397" s="11" t="s">
        <v>450</v>
      </c>
      <c r="C397" s="4" t="str">
        <f t="shared" si="6"/>
        <v>GIGABYTE</v>
      </c>
      <c r="D397" s="14" t="s">
        <v>2336</v>
      </c>
      <c r="E397" s="11" t="s">
        <v>352</v>
      </c>
      <c r="F397" s="76" t="s">
        <v>8784</v>
      </c>
      <c r="G397" s="12" t="s">
        <v>406</v>
      </c>
      <c r="H397" s="12">
        <v>128</v>
      </c>
      <c r="I397" s="12">
        <v>5333</v>
      </c>
      <c r="J397" s="12">
        <v>4</v>
      </c>
      <c r="K397" s="12">
        <v>2</v>
      </c>
      <c r="L397" s="75" t="s">
        <v>4292</v>
      </c>
      <c r="M397" s="75" t="s">
        <v>4295</v>
      </c>
      <c r="N397" s="75" t="s">
        <v>4315</v>
      </c>
      <c r="O397" s="20" t="s">
        <v>3655</v>
      </c>
      <c r="P397" s="14" t="s">
        <v>2443</v>
      </c>
      <c r="Q397" s="3">
        <v>116.9</v>
      </c>
      <c r="R397" s="3">
        <v>151.80000000000001</v>
      </c>
      <c r="S397" s="18" t="s">
        <v>3663</v>
      </c>
      <c r="T397" s="12"/>
    </row>
    <row r="398" spans="1:20" x14ac:dyDescent="0.25">
      <c r="A398" s="18" t="s">
        <v>3664</v>
      </c>
      <c r="B398" s="11" t="s">
        <v>450</v>
      </c>
      <c r="C398" s="4" t="str">
        <f t="shared" si="6"/>
        <v>GIGABYTE</v>
      </c>
      <c r="D398" s="14" t="s">
        <v>2336</v>
      </c>
      <c r="E398" s="11" t="s">
        <v>352</v>
      </c>
      <c r="F398" s="76" t="s">
        <v>8784</v>
      </c>
      <c r="G398" s="12" t="s">
        <v>407</v>
      </c>
      <c r="H398" s="12">
        <v>192</v>
      </c>
      <c r="I398" s="12">
        <v>7600</v>
      </c>
      <c r="J398" s="12">
        <v>4</v>
      </c>
      <c r="K398" s="12">
        <v>2</v>
      </c>
      <c r="L398" s="75" t="s">
        <v>4250</v>
      </c>
      <c r="M398" s="75" t="s">
        <v>4261</v>
      </c>
      <c r="N398" s="75" t="s">
        <v>4251</v>
      </c>
      <c r="O398" s="20" t="s">
        <v>3645</v>
      </c>
      <c r="P398" s="14" t="s">
        <v>2443</v>
      </c>
      <c r="Q398" s="3">
        <v>144.9</v>
      </c>
      <c r="R398" s="3">
        <v>200.15</v>
      </c>
      <c r="S398" s="18" t="s">
        <v>3665</v>
      </c>
      <c r="T398" s="12"/>
    </row>
    <row r="399" spans="1:20" x14ac:dyDescent="0.25">
      <c r="A399" s="18" t="s">
        <v>3666</v>
      </c>
      <c r="B399" s="11" t="s">
        <v>450</v>
      </c>
      <c r="C399" s="4" t="str">
        <f t="shared" si="6"/>
        <v>GIGABYTE</v>
      </c>
      <c r="D399" s="14" t="s">
        <v>2336</v>
      </c>
      <c r="E399" s="11" t="s">
        <v>352</v>
      </c>
      <c r="F399" s="76" t="s">
        <v>8784</v>
      </c>
      <c r="G399" s="12" t="s">
        <v>407</v>
      </c>
      <c r="H399" s="12">
        <v>192</v>
      </c>
      <c r="I399" s="12">
        <v>7600</v>
      </c>
      <c r="J399" s="12">
        <v>4</v>
      </c>
      <c r="K399" s="12">
        <v>2</v>
      </c>
      <c r="L399" s="75" t="s">
        <v>4250</v>
      </c>
      <c r="M399" s="75" t="s">
        <v>4261</v>
      </c>
      <c r="N399" s="75" t="s">
        <v>4251</v>
      </c>
      <c r="O399" s="20" t="s">
        <v>3648</v>
      </c>
      <c r="P399" s="14" t="s">
        <v>2443</v>
      </c>
      <c r="Q399" s="3">
        <v>145.4</v>
      </c>
      <c r="R399" s="3">
        <v>217</v>
      </c>
      <c r="S399" s="18" t="s">
        <v>3667</v>
      </c>
      <c r="T399" s="12"/>
    </row>
    <row r="400" spans="1:20" x14ac:dyDescent="0.25">
      <c r="A400" s="18" t="s">
        <v>3668</v>
      </c>
      <c r="B400" s="11" t="s">
        <v>450</v>
      </c>
      <c r="C400" s="4" t="str">
        <f t="shared" si="6"/>
        <v>GIGABYTE</v>
      </c>
      <c r="D400" s="14" t="s">
        <v>2336</v>
      </c>
      <c r="E400" s="11" t="s">
        <v>352</v>
      </c>
      <c r="F400" s="76" t="s">
        <v>8784</v>
      </c>
      <c r="G400" s="12" t="s">
        <v>406</v>
      </c>
      <c r="H400" s="12">
        <v>128</v>
      </c>
      <c r="I400" s="12">
        <v>5333</v>
      </c>
      <c r="J400" s="12">
        <v>4</v>
      </c>
      <c r="K400" s="12">
        <v>2</v>
      </c>
      <c r="L400" s="75" t="s">
        <v>4250</v>
      </c>
      <c r="M400" s="75" t="s">
        <v>4261</v>
      </c>
      <c r="N400" s="75" t="s">
        <v>4251</v>
      </c>
      <c r="O400" s="20" t="s">
        <v>3645</v>
      </c>
      <c r="P400" s="14" t="s">
        <v>2443</v>
      </c>
      <c r="Q400" s="3">
        <v>127.89</v>
      </c>
      <c r="R400" s="3">
        <v>186</v>
      </c>
      <c r="S400" s="18" t="s">
        <v>3669</v>
      </c>
      <c r="T400" s="12"/>
    </row>
    <row r="401" spans="1:20" x14ac:dyDescent="0.25">
      <c r="A401" s="18" t="s">
        <v>3670</v>
      </c>
      <c r="B401" s="11" t="s">
        <v>450</v>
      </c>
      <c r="C401" s="4" t="str">
        <f t="shared" si="6"/>
        <v>GIGABYTE</v>
      </c>
      <c r="D401" s="14" t="s">
        <v>2311</v>
      </c>
      <c r="E401" s="11" t="s">
        <v>352</v>
      </c>
      <c r="F401" s="76" t="s">
        <v>8784</v>
      </c>
      <c r="G401" s="12" t="s">
        <v>407</v>
      </c>
      <c r="H401" s="12">
        <v>64</v>
      </c>
      <c r="I401" s="12">
        <v>8000</v>
      </c>
      <c r="J401" s="12">
        <v>2</v>
      </c>
      <c r="K401" s="12">
        <v>2</v>
      </c>
      <c r="L401" s="75">
        <v>4</v>
      </c>
      <c r="M401" s="75">
        <v>16</v>
      </c>
      <c r="N401" s="75">
        <v>16</v>
      </c>
      <c r="O401" s="20" t="s">
        <v>2578</v>
      </c>
      <c r="P401" s="14" t="s">
        <v>3671</v>
      </c>
      <c r="Q401" s="3">
        <v>181.9</v>
      </c>
      <c r="R401" s="3">
        <v>265.14</v>
      </c>
      <c r="S401" s="18" t="s">
        <v>3672</v>
      </c>
      <c r="T401" s="12"/>
    </row>
    <row r="402" spans="1:20" x14ac:dyDescent="0.25">
      <c r="A402" s="18" t="s">
        <v>3673</v>
      </c>
      <c r="B402" s="11" t="s">
        <v>450</v>
      </c>
      <c r="C402" s="4" t="str">
        <f t="shared" si="6"/>
        <v>GIGABYTE</v>
      </c>
      <c r="D402" s="14" t="s">
        <v>2311</v>
      </c>
      <c r="E402" s="11" t="s">
        <v>352</v>
      </c>
      <c r="F402" s="76" t="s">
        <v>8784</v>
      </c>
      <c r="G402" s="12" t="s">
        <v>406</v>
      </c>
      <c r="H402" s="12">
        <v>64</v>
      </c>
      <c r="I402" s="12">
        <v>5333</v>
      </c>
      <c r="J402" s="12">
        <v>2</v>
      </c>
      <c r="K402" s="12">
        <v>2</v>
      </c>
      <c r="L402" s="75">
        <v>4</v>
      </c>
      <c r="M402" s="75">
        <v>16</v>
      </c>
      <c r="N402" s="75">
        <v>16</v>
      </c>
      <c r="O402" s="20" t="s">
        <v>2578</v>
      </c>
      <c r="P402" s="14" t="s">
        <v>2443</v>
      </c>
      <c r="Q402" s="3">
        <v>178.9</v>
      </c>
      <c r="R402" s="3">
        <v>295.44</v>
      </c>
      <c r="S402" s="18" t="s">
        <v>3674</v>
      </c>
      <c r="T402" s="12"/>
    </row>
    <row r="403" spans="1:20" x14ac:dyDescent="0.25">
      <c r="A403" s="18" t="s">
        <v>3675</v>
      </c>
      <c r="B403" s="11" t="s">
        <v>450</v>
      </c>
      <c r="C403" s="4" t="str">
        <f t="shared" si="6"/>
        <v>GIGABYTE</v>
      </c>
      <c r="D403" s="14" t="s">
        <v>2294</v>
      </c>
      <c r="E403" s="11" t="s">
        <v>352</v>
      </c>
      <c r="F403" s="76" t="s">
        <v>8784</v>
      </c>
      <c r="G403" s="12" t="s">
        <v>407</v>
      </c>
      <c r="H403" s="12">
        <v>192</v>
      </c>
      <c r="I403" s="12">
        <v>7600</v>
      </c>
      <c r="J403" s="12">
        <v>4</v>
      </c>
      <c r="K403" s="12">
        <v>2</v>
      </c>
      <c r="L403" s="75" t="s">
        <v>4271</v>
      </c>
      <c r="M403" s="75" t="s">
        <v>4247</v>
      </c>
      <c r="N403" s="75" t="s">
        <v>418</v>
      </c>
      <c r="O403" s="20" t="s">
        <v>3676</v>
      </c>
      <c r="P403" s="14" t="s">
        <v>2443</v>
      </c>
      <c r="Q403" s="3">
        <v>168.9</v>
      </c>
      <c r="R403" s="3">
        <v>215.34</v>
      </c>
      <c r="S403" s="18" t="s">
        <v>3677</v>
      </c>
      <c r="T403" s="12"/>
    </row>
    <row r="404" spans="1:20" x14ac:dyDescent="0.25">
      <c r="A404" s="18" t="s">
        <v>3678</v>
      </c>
      <c r="B404" s="11" t="s">
        <v>450</v>
      </c>
      <c r="C404" s="4" t="str">
        <f t="shared" si="6"/>
        <v>GIGABYTE</v>
      </c>
      <c r="D404" s="14" t="s">
        <v>2294</v>
      </c>
      <c r="E404" s="11" t="s">
        <v>352</v>
      </c>
      <c r="F404" s="76" t="s">
        <v>8784</v>
      </c>
      <c r="G404" s="12" t="s">
        <v>407</v>
      </c>
      <c r="H404" s="12">
        <v>192</v>
      </c>
      <c r="I404" s="12">
        <v>8266</v>
      </c>
      <c r="J404" s="12">
        <v>4</v>
      </c>
      <c r="K404" s="12">
        <v>2</v>
      </c>
      <c r="L404" s="75" t="s">
        <v>2285</v>
      </c>
      <c r="M404" s="75" t="s">
        <v>4247</v>
      </c>
      <c r="N404" s="75" t="s">
        <v>418</v>
      </c>
      <c r="O404" s="20" t="s">
        <v>3676</v>
      </c>
      <c r="P404" s="14" t="s">
        <v>2443</v>
      </c>
      <c r="Q404" s="3">
        <v>179</v>
      </c>
      <c r="R404" s="3">
        <v>4302.3999999999996</v>
      </c>
      <c r="S404" s="18" t="s">
        <v>3679</v>
      </c>
      <c r="T404" s="12"/>
    </row>
    <row r="405" spans="1:20" x14ac:dyDescent="0.25">
      <c r="A405" s="18" t="s">
        <v>3680</v>
      </c>
      <c r="B405" s="11" t="s">
        <v>450</v>
      </c>
      <c r="C405" s="4" t="str">
        <f t="shared" si="6"/>
        <v>GIGABYTE</v>
      </c>
      <c r="D405" s="14" t="s">
        <v>2294</v>
      </c>
      <c r="E405" s="11" t="s">
        <v>352</v>
      </c>
      <c r="F405" s="76" t="s">
        <v>8784</v>
      </c>
      <c r="G405" s="12" t="s">
        <v>407</v>
      </c>
      <c r="H405" s="12">
        <v>256</v>
      </c>
      <c r="I405" s="12">
        <v>5600</v>
      </c>
      <c r="J405" s="12">
        <v>4</v>
      </c>
      <c r="K405" s="12">
        <v>2</v>
      </c>
      <c r="L405" s="75" t="s">
        <v>4250</v>
      </c>
      <c r="M405" s="75" t="s">
        <v>4251</v>
      </c>
      <c r="N405" s="75" t="s">
        <v>4251</v>
      </c>
      <c r="O405" s="20" t="s">
        <v>2461</v>
      </c>
      <c r="P405" s="14" t="s">
        <v>2443</v>
      </c>
      <c r="Q405" s="3">
        <v>113.06</v>
      </c>
      <c r="R405" s="3">
        <v>162.26</v>
      </c>
      <c r="S405" s="18" t="s">
        <v>3681</v>
      </c>
      <c r="T405" s="12"/>
    </row>
    <row r="406" spans="1:20" x14ac:dyDescent="0.25">
      <c r="A406" s="18" t="s">
        <v>3682</v>
      </c>
      <c r="B406" s="11" t="s">
        <v>450</v>
      </c>
      <c r="C406" s="4" t="str">
        <f t="shared" si="6"/>
        <v>GIGABYTE</v>
      </c>
      <c r="D406" s="14" t="s">
        <v>2294</v>
      </c>
      <c r="E406" s="11" t="s">
        <v>352</v>
      </c>
      <c r="F406" s="76" t="s">
        <v>8784</v>
      </c>
      <c r="G406" s="12" t="s">
        <v>406</v>
      </c>
      <c r="H406" s="12">
        <v>128</v>
      </c>
      <c r="I406" s="12">
        <v>5333</v>
      </c>
      <c r="J406" s="12">
        <v>4</v>
      </c>
      <c r="K406" s="12">
        <v>2</v>
      </c>
      <c r="L406" s="75" t="s">
        <v>4250</v>
      </c>
      <c r="M406" s="75" t="s">
        <v>4251</v>
      </c>
      <c r="N406" s="75" t="s">
        <v>4251</v>
      </c>
      <c r="O406" s="20" t="s">
        <v>2461</v>
      </c>
      <c r="P406" s="14" t="s">
        <v>2443</v>
      </c>
      <c r="Q406" s="3">
        <v>97.9</v>
      </c>
      <c r="R406" s="3">
        <v>122.77</v>
      </c>
      <c r="S406" s="18" t="s">
        <v>3683</v>
      </c>
      <c r="T406" s="12"/>
    </row>
    <row r="407" spans="1:20" x14ac:dyDescent="0.25">
      <c r="A407" s="18" t="s">
        <v>3684</v>
      </c>
      <c r="B407" s="11" t="s">
        <v>450</v>
      </c>
      <c r="C407" s="4" t="str">
        <f t="shared" si="6"/>
        <v>GIGABYTE</v>
      </c>
      <c r="D407" s="14" t="s">
        <v>2294</v>
      </c>
      <c r="E407" s="11" t="s">
        <v>352</v>
      </c>
      <c r="F407" s="76" t="s">
        <v>8784</v>
      </c>
      <c r="G407" s="12" t="s">
        <v>407</v>
      </c>
      <c r="H407" s="12">
        <v>192</v>
      </c>
      <c r="I407" s="12">
        <v>7600</v>
      </c>
      <c r="J407" s="12">
        <v>4</v>
      </c>
      <c r="K407" s="12">
        <v>2</v>
      </c>
      <c r="L407" s="75" t="s">
        <v>4250</v>
      </c>
      <c r="M407" s="75" t="s">
        <v>4251</v>
      </c>
      <c r="N407" s="75" t="s">
        <v>4251</v>
      </c>
      <c r="O407" s="20" t="s">
        <v>2631</v>
      </c>
      <c r="P407" s="14" t="s">
        <v>2443</v>
      </c>
      <c r="Q407" s="3">
        <v>116.89</v>
      </c>
      <c r="R407" s="3">
        <v>165.84</v>
      </c>
      <c r="S407" s="18" t="s">
        <v>3685</v>
      </c>
      <c r="T407" s="12"/>
    </row>
    <row r="408" spans="1:20" x14ac:dyDescent="0.25">
      <c r="A408" s="18" t="s">
        <v>3686</v>
      </c>
      <c r="B408" s="11" t="s">
        <v>450</v>
      </c>
      <c r="C408" s="4" t="str">
        <f t="shared" si="6"/>
        <v>GIGABYTE</v>
      </c>
      <c r="D408" s="14" t="s">
        <v>2294</v>
      </c>
      <c r="E408" s="11" t="s">
        <v>352</v>
      </c>
      <c r="F408" s="76" t="s">
        <v>8784</v>
      </c>
      <c r="G408" s="12" t="s">
        <v>407</v>
      </c>
      <c r="H408" s="12">
        <v>192</v>
      </c>
      <c r="I408" s="12">
        <v>7600</v>
      </c>
      <c r="J408" s="12">
        <v>4</v>
      </c>
      <c r="K408" s="12">
        <v>2</v>
      </c>
      <c r="L408" s="75" t="s">
        <v>4250</v>
      </c>
      <c r="M408" s="75" t="s">
        <v>4251</v>
      </c>
      <c r="N408" s="75" t="s">
        <v>4251</v>
      </c>
      <c r="O408" s="20" t="s">
        <v>3687</v>
      </c>
      <c r="P408" s="14" t="s">
        <v>2443</v>
      </c>
      <c r="Q408" s="3">
        <v>121.74</v>
      </c>
      <c r="R408" s="3">
        <v>182.99</v>
      </c>
      <c r="S408" s="18" t="s">
        <v>3688</v>
      </c>
      <c r="T408" s="12"/>
    </row>
    <row r="409" spans="1:20" x14ac:dyDescent="0.25">
      <c r="A409" s="18" t="s">
        <v>3689</v>
      </c>
      <c r="B409" s="11" t="s">
        <v>450</v>
      </c>
      <c r="C409" s="4" t="str">
        <f t="shared" si="6"/>
        <v>GIGABYTE</v>
      </c>
      <c r="D409" s="14" t="s">
        <v>2294</v>
      </c>
      <c r="E409" s="11" t="s">
        <v>352</v>
      </c>
      <c r="F409" s="76" t="s">
        <v>8784</v>
      </c>
      <c r="G409" s="12" t="s">
        <v>406</v>
      </c>
      <c r="H409" s="12">
        <v>128</v>
      </c>
      <c r="I409" s="12">
        <v>5333</v>
      </c>
      <c r="J409" s="12">
        <v>4</v>
      </c>
      <c r="K409" s="12">
        <v>2</v>
      </c>
      <c r="L409" s="75" t="s">
        <v>4250</v>
      </c>
      <c r="M409" s="75" t="s">
        <v>4251</v>
      </c>
      <c r="N409" s="75" t="s">
        <v>4251</v>
      </c>
      <c r="O409" s="20" t="s">
        <v>3690</v>
      </c>
      <c r="P409" s="14" t="s">
        <v>2443</v>
      </c>
      <c r="Q409" s="3">
        <v>108.2</v>
      </c>
      <c r="R409" s="3">
        <v>167.51</v>
      </c>
      <c r="S409" s="18" t="s">
        <v>3691</v>
      </c>
      <c r="T409" s="12"/>
    </row>
    <row r="410" spans="1:20" x14ac:dyDescent="0.25">
      <c r="A410" s="18" t="s">
        <v>3692</v>
      </c>
      <c r="B410" s="11" t="s">
        <v>450</v>
      </c>
      <c r="C410" s="4" t="str">
        <f t="shared" si="6"/>
        <v>GIGABYTE</v>
      </c>
      <c r="D410" s="14" t="s">
        <v>2294</v>
      </c>
      <c r="E410" s="11" t="s">
        <v>352</v>
      </c>
      <c r="F410" s="76" t="s">
        <v>8784</v>
      </c>
      <c r="G410" s="12" t="s">
        <v>406</v>
      </c>
      <c r="H410" s="12">
        <v>128</v>
      </c>
      <c r="I410" s="12">
        <v>5333</v>
      </c>
      <c r="J410" s="12">
        <v>4</v>
      </c>
      <c r="K410" s="12">
        <v>2</v>
      </c>
      <c r="L410" s="75" t="s">
        <v>4250</v>
      </c>
      <c r="M410" s="75" t="s">
        <v>4251</v>
      </c>
      <c r="N410" s="75" t="s">
        <v>4251</v>
      </c>
      <c r="O410" s="20" t="s">
        <v>2631</v>
      </c>
      <c r="P410" s="14" t="s">
        <v>2443</v>
      </c>
      <c r="Q410" s="3">
        <v>98.89</v>
      </c>
      <c r="R410" s="3">
        <v>149</v>
      </c>
      <c r="S410" s="18" t="s">
        <v>3693</v>
      </c>
      <c r="T410" s="12"/>
    </row>
    <row r="411" spans="1:20" x14ac:dyDescent="0.25">
      <c r="A411" s="18" t="s">
        <v>3694</v>
      </c>
      <c r="B411" s="11" t="s">
        <v>450</v>
      </c>
      <c r="C411" s="4" t="str">
        <f t="shared" si="6"/>
        <v>GIGABYTE</v>
      </c>
      <c r="D411" s="14" t="s">
        <v>2294</v>
      </c>
      <c r="E411" s="11" t="s">
        <v>352</v>
      </c>
      <c r="F411" s="76" t="s">
        <v>8784</v>
      </c>
      <c r="G411" s="12" t="s">
        <v>406</v>
      </c>
      <c r="H411" s="12">
        <v>64</v>
      </c>
      <c r="I411" s="12">
        <v>5333</v>
      </c>
      <c r="J411" s="12">
        <v>2</v>
      </c>
      <c r="K411" s="12">
        <v>2</v>
      </c>
      <c r="L411" s="75" t="s">
        <v>4259</v>
      </c>
      <c r="M411" s="75" t="s">
        <v>4249</v>
      </c>
      <c r="N411" s="75" t="s">
        <v>4249</v>
      </c>
      <c r="O411" s="20" t="s">
        <v>2461</v>
      </c>
      <c r="P411" s="14" t="s">
        <v>2443</v>
      </c>
      <c r="Q411" s="3">
        <v>101.9</v>
      </c>
      <c r="R411" s="3">
        <v>140.82</v>
      </c>
      <c r="S411" s="18" t="s">
        <v>3695</v>
      </c>
      <c r="T411" s="12"/>
    </row>
    <row r="412" spans="1:20" x14ac:dyDescent="0.25">
      <c r="A412" s="18" t="s">
        <v>3696</v>
      </c>
      <c r="B412" s="11" t="s">
        <v>450</v>
      </c>
      <c r="C412" s="4" t="str">
        <f t="shared" si="6"/>
        <v>GIGABYTE</v>
      </c>
      <c r="D412" s="14" t="s">
        <v>2294</v>
      </c>
      <c r="E412" s="11" t="s">
        <v>352</v>
      </c>
      <c r="F412" s="76" t="s">
        <v>8784</v>
      </c>
      <c r="G412" s="12" t="s">
        <v>406</v>
      </c>
      <c r="H412" s="12">
        <v>128</v>
      </c>
      <c r="I412" s="12">
        <v>5333</v>
      </c>
      <c r="J412" s="12">
        <v>4</v>
      </c>
      <c r="K412" s="12">
        <v>2</v>
      </c>
      <c r="L412" s="75" t="s">
        <v>4250</v>
      </c>
      <c r="M412" s="75" t="s">
        <v>4251</v>
      </c>
      <c r="N412" s="75" t="s">
        <v>4251</v>
      </c>
      <c r="O412" s="20" t="s">
        <v>3687</v>
      </c>
      <c r="P412" s="14" t="s">
        <v>2443</v>
      </c>
      <c r="Q412" s="3">
        <v>129.35</v>
      </c>
      <c r="R412" s="3">
        <v>181.8</v>
      </c>
      <c r="S412" s="18" t="s">
        <v>3697</v>
      </c>
      <c r="T412" s="12"/>
    </row>
    <row r="413" spans="1:20" x14ac:dyDescent="0.25">
      <c r="A413" s="18" t="s">
        <v>3698</v>
      </c>
      <c r="B413" s="11" t="s">
        <v>450</v>
      </c>
      <c r="C413" s="4" t="str">
        <f t="shared" si="6"/>
        <v>GIGABYTE</v>
      </c>
      <c r="D413" s="14" t="s">
        <v>2294</v>
      </c>
      <c r="E413" s="11" t="s">
        <v>352</v>
      </c>
      <c r="F413" s="76" t="s">
        <v>8784</v>
      </c>
      <c r="G413" s="12" t="s">
        <v>407</v>
      </c>
      <c r="H413" s="12">
        <v>192</v>
      </c>
      <c r="I413" s="12">
        <v>7600</v>
      </c>
      <c r="J413" s="12">
        <v>4</v>
      </c>
      <c r="K413" s="12">
        <v>2</v>
      </c>
      <c r="L413" s="75" t="s">
        <v>4259</v>
      </c>
      <c r="M413" s="75" t="s">
        <v>4247</v>
      </c>
      <c r="N413" s="75" t="s">
        <v>418</v>
      </c>
      <c r="O413" s="20" t="s">
        <v>3699</v>
      </c>
      <c r="P413" s="14" t="s">
        <v>2443</v>
      </c>
      <c r="Q413" s="3">
        <v>139.9</v>
      </c>
      <c r="R413" s="3">
        <v>200.15</v>
      </c>
      <c r="S413" s="18" t="s">
        <v>3700</v>
      </c>
      <c r="T413" s="12"/>
    </row>
    <row r="414" spans="1:20" x14ac:dyDescent="0.25">
      <c r="A414" s="18" t="s">
        <v>3701</v>
      </c>
      <c r="B414" s="11" t="s">
        <v>450</v>
      </c>
      <c r="C414" s="4" t="str">
        <f t="shared" si="6"/>
        <v>GIGABYTE</v>
      </c>
      <c r="D414" s="14" t="s">
        <v>2294</v>
      </c>
      <c r="E414" s="11" t="s">
        <v>352</v>
      </c>
      <c r="F414" s="76" t="s">
        <v>8784</v>
      </c>
      <c r="G414" s="12" t="s">
        <v>406</v>
      </c>
      <c r="H414" s="12">
        <v>128</v>
      </c>
      <c r="I414" s="12">
        <v>5333</v>
      </c>
      <c r="J414" s="12">
        <v>4</v>
      </c>
      <c r="K414" s="12">
        <v>2</v>
      </c>
      <c r="L414" s="75" t="s">
        <v>4259</v>
      </c>
      <c r="M414" s="75" t="s">
        <v>4247</v>
      </c>
      <c r="N414" s="75" t="s">
        <v>418</v>
      </c>
      <c r="O414" s="20" t="s">
        <v>3702</v>
      </c>
      <c r="P414" s="14" t="s">
        <v>2443</v>
      </c>
      <c r="Q414" s="3">
        <v>111.78</v>
      </c>
      <c r="R414" s="3">
        <v>171.32</v>
      </c>
      <c r="S414" s="18" t="s">
        <v>3703</v>
      </c>
      <c r="T414" s="12"/>
    </row>
    <row r="415" spans="1:20" x14ac:dyDescent="0.25">
      <c r="A415" s="18" t="s">
        <v>3704</v>
      </c>
      <c r="B415" s="11" t="s">
        <v>450</v>
      </c>
      <c r="C415" s="4" t="str">
        <f t="shared" si="6"/>
        <v>GIGABYTE</v>
      </c>
      <c r="D415" s="14" t="s">
        <v>2336</v>
      </c>
      <c r="E415" s="11" t="s">
        <v>351</v>
      </c>
      <c r="F415" s="76" t="s">
        <v>8775</v>
      </c>
      <c r="G415" s="12" t="s">
        <v>407</v>
      </c>
      <c r="H415" s="12">
        <v>256</v>
      </c>
      <c r="I415" s="12">
        <v>8600</v>
      </c>
      <c r="J415" s="12">
        <v>4</v>
      </c>
      <c r="K415" s="12">
        <v>2</v>
      </c>
      <c r="L415" s="75" t="s">
        <v>4289</v>
      </c>
      <c r="M415" s="75" t="s">
        <v>4261</v>
      </c>
      <c r="N415" s="75" t="s">
        <v>4305</v>
      </c>
      <c r="O415" s="20" t="s">
        <v>3705</v>
      </c>
      <c r="P415" s="14" t="s">
        <v>2504</v>
      </c>
      <c r="Q415" s="3">
        <v>419.94</v>
      </c>
      <c r="R415" s="3">
        <v>509.95</v>
      </c>
      <c r="S415" s="18" t="s">
        <v>3706</v>
      </c>
      <c r="T415" s="12"/>
    </row>
    <row r="416" spans="1:20" x14ac:dyDescent="0.25">
      <c r="A416" s="18" t="s">
        <v>3707</v>
      </c>
      <c r="B416" s="11" t="s">
        <v>450</v>
      </c>
      <c r="C416" s="4" t="str">
        <f t="shared" si="6"/>
        <v>GIGABYTE</v>
      </c>
      <c r="D416" s="14" t="s">
        <v>2336</v>
      </c>
      <c r="E416" s="11" t="s">
        <v>351</v>
      </c>
      <c r="F416" s="76" t="s">
        <v>8775</v>
      </c>
      <c r="G416" s="12" t="s">
        <v>407</v>
      </c>
      <c r="H416" s="12">
        <v>256</v>
      </c>
      <c r="I416" s="12">
        <v>8200</v>
      </c>
      <c r="J416" s="12">
        <v>4</v>
      </c>
      <c r="K416" s="12">
        <v>2</v>
      </c>
      <c r="L416" s="75" t="s">
        <v>4277</v>
      </c>
      <c r="M416" s="75" t="s">
        <v>4261</v>
      </c>
      <c r="N416" s="75" t="s">
        <v>4251</v>
      </c>
      <c r="O416" s="20" t="s">
        <v>3591</v>
      </c>
      <c r="P416" s="14" t="s">
        <v>2504</v>
      </c>
      <c r="Q416" s="3">
        <v>235</v>
      </c>
      <c r="R416" s="3">
        <v>407.78</v>
      </c>
      <c r="S416" s="18" t="s">
        <v>3708</v>
      </c>
      <c r="T416" s="12"/>
    </row>
    <row r="417" spans="1:20" x14ac:dyDescent="0.25">
      <c r="A417" s="18" t="s">
        <v>3709</v>
      </c>
      <c r="B417" s="11" t="s">
        <v>450</v>
      </c>
      <c r="C417" s="4" t="str">
        <f t="shared" si="6"/>
        <v>GIGABYTE</v>
      </c>
      <c r="D417" s="14" t="s">
        <v>2336</v>
      </c>
      <c r="E417" s="11" t="s">
        <v>351</v>
      </c>
      <c r="F417" s="76" t="s">
        <v>8775</v>
      </c>
      <c r="G417" s="12" t="s">
        <v>407</v>
      </c>
      <c r="H417" s="12">
        <v>256</v>
      </c>
      <c r="I417" s="12">
        <v>8200</v>
      </c>
      <c r="J417" s="12">
        <v>4</v>
      </c>
      <c r="K417" s="12">
        <v>2</v>
      </c>
      <c r="L417" s="75" t="s">
        <v>4277</v>
      </c>
      <c r="M417" s="75" t="s">
        <v>4261</v>
      </c>
      <c r="N417" s="75" t="s">
        <v>4251</v>
      </c>
      <c r="O417" s="20" t="s">
        <v>3591</v>
      </c>
      <c r="P417" s="14" t="s">
        <v>2504</v>
      </c>
      <c r="Q417" s="3">
        <v>231.95</v>
      </c>
      <c r="R417" s="3">
        <v>327.63</v>
      </c>
      <c r="S417" s="18" t="s">
        <v>3710</v>
      </c>
      <c r="T417" s="12"/>
    </row>
    <row r="418" spans="1:20" x14ac:dyDescent="0.25">
      <c r="A418" s="18" t="s">
        <v>3711</v>
      </c>
      <c r="B418" s="11" t="s">
        <v>450</v>
      </c>
      <c r="C418" s="4" t="str">
        <f t="shared" si="6"/>
        <v>GIGABYTE</v>
      </c>
      <c r="D418" s="14" t="s">
        <v>2336</v>
      </c>
      <c r="E418" s="11" t="s">
        <v>351</v>
      </c>
      <c r="F418" s="76" t="s">
        <v>8775</v>
      </c>
      <c r="G418" s="12" t="s">
        <v>407</v>
      </c>
      <c r="H418" s="12">
        <v>256</v>
      </c>
      <c r="I418" s="12">
        <v>8200</v>
      </c>
      <c r="J418" s="12">
        <v>4</v>
      </c>
      <c r="K418" s="12">
        <v>2</v>
      </c>
      <c r="L418" s="75" t="s">
        <v>4310</v>
      </c>
      <c r="M418" s="75" t="s">
        <v>4291</v>
      </c>
      <c r="N418" s="75" t="s">
        <v>4298</v>
      </c>
      <c r="O418" s="20" t="s">
        <v>3712</v>
      </c>
      <c r="P418" s="14" t="s">
        <v>2504</v>
      </c>
      <c r="Q418" s="3">
        <v>190.84</v>
      </c>
      <c r="R418" s="3">
        <v>265</v>
      </c>
      <c r="S418" s="18" t="s">
        <v>3713</v>
      </c>
      <c r="T418" s="12"/>
    </row>
    <row r="419" spans="1:20" x14ac:dyDescent="0.25">
      <c r="A419" s="18" t="s">
        <v>3714</v>
      </c>
      <c r="B419" s="11" t="s">
        <v>450</v>
      </c>
      <c r="C419" s="4" t="str">
        <f t="shared" si="6"/>
        <v>GIGABYTE</v>
      </c>
      <c r="D419" s="14" t="s">
        <v>2336</v>
      </c>
      <c r="E419" s="11" t="s">
        <v>351</v>
      </c>
      <c r="F419" s="76" t="s">
        <v>8775</v>
      </c>
      <c r="G419" s="12" t="s">
        <v>407</v>
      </c>
      <c r="H419" s="12">
        <v>256</v>
      </c>
      <c r="I419" s="12">
        <v>8200</v>
      </c>
      <c r="J419" s="12">
        <v>4</v>
      </c>
      <c r="K419" s="12">
        <v>2</v>
      </c>
      <c r="L419" s="75" t="s">
        <v>4310</v>
      </c>
      <c r="M419" s="75" t="s">
        <v>4291</v>
      </c>
      <c r="N419" s="75" t="s">
        <v>4298</v>
      </c>
      <c r="O419" s="20" t="s">
        <v>3712</v>
      </c>
      <c r="P419" s="14" t="s">
        <v>2504</v>
      </c>
      <c r="Q419" s="3">
        <v>176.38</v>
      </c>
      <c r="R419" s="3">
        <v>254</v>
      </c>
      <c r="S419" s="18" t="s">
        <v>3715</v>
      </c>
      <c r="T419" s="12"/>
    </row>
    <row r="420" spans="1:20" x14ac:dyDescent="0.25">
      <c r="A420" s="18" t="s">
        <v>3716</v>
      </c>
      <c r="B420" s="11" t="s">
        <v>450</v>
      </c>
      <c r="C420" s="4" t="str">
        <f t="shared" si="6"/>
        <v>GIGABYTE</v>
      </c>
      <c r="D420" s="14" t="s">
        <v>2336</v>
      </c>
      <c r="E420" s="11" t="s">
        <v>351</v>
      </c>
      <c r="F420" s="76" t="s">
        <v>8775</v>
      </c>
      <c r="G420" s="12" t="s">
        <v>407</v>
      </c>
      <c r="H420" s="12">
        <v>256</v>
      </c>
      <c r="I420" s="12">
        <v>8200</v>
      </c>
      <c r="J420" s="12">
        <v>4</v>
      </c>
      <c r="K420" s="12">
        <v>2</v>
      </c>
      <c r="L420" s="75" t="s">
        <v>4277</v>
      </c>
      <c r="M420" s="75" t="s">
        <v>4251</v>
      </c>
      <c r="N420" s="75" t="s">
        <v>4251</v>
      </c>
      <c r="O420" s="20" t="s">
        <v>3591</v>
      </c>
      <c r="P420" s="14" t="s">
        <v>2504</v>
      </c>
      <c r="Q420" s="3">
        <v>204.99</v>
      </c>
      <c r="R420" s="3">
        <v>303.32</v>
      </c>
      <c r="S420" s="18" t="s">
        <v>3717</v>
      </c>
      <c r="T420" s="12"/>
    </row>
    <row r="421" spans="1:20" x14ac:dyDescent="0.25">
      <c r="A421" s="18" t="s">
        <v>3718</v>
      </c>
      <c r="B421" s="11" t="s">
        <v>450</v>
      </c>
      <c r="C421" s="4" t="str">
        <f t="shared" si="6"/>
        <v>GIGABYTE</v>
      </c>
      <c r="D421" s="14" t="s">
        <v>2311</v>
      </c>
      <c r="E421" s="11" t="s">
        <v>351</v>
      </c>
      <c r="F421" s="76" t="s">
        <v>8775</v>
      </c>
      <c r="G421" s="12" t="s">
        <v>407</v>
      </c>
      <c r="H421" s="12">
        <v>128</v>
      </c>
      <c r="I421" s="12">
        <v>8400</v>
      </c>
      <c r="J421" s="12">
        <v>2</v>
      </c>
      <c r="K421" s="12">
        <v>2</v>
      </c>
      <c r="L421" s="75">
        <v>5</v>
      </c>
      <c r="M421" s="75">
        <v>16</v>
      </c>
      <c r="N421" s="75">
        <v>16</v>
      </c>
      <c r="O421" s="20" t="s">
        <v>2402</v>
      </c>
      <c r="P421" s="14" t="s">
        <v>2484</v>
      </c>
      <c r="Q421" s="3">
        <v>284.99</v>
      </c>
      <c r="R421" s="3">
        <v>409</v>
      </c>
      <c r="S421" s="18" t="s">
        <v>3719</v>
      </c>
      <c r="T421" s="12"/>
    </row>
    <row r="422" spans="1:20" x14ac:dyDescent="0.25">
      <c r="A422" s="18" t="s">
        <v>3720</v>
      </c>
      <c r="B422" s="11" t="s">
        <v>450</v>
      </c>
      <c r="C422" s="4" t="str">
        <f t="shared" si="6"/>
        <v>GIGABYTE</v>
      </c>
      <c r="D422" s="14" t="s">
        <v>2294</v>
      </c>
      <c r="E422" s="11" t="s">
        <v>351</v>
      </c>
      <c r="F422" s="76" t="s">
        <v>8775</v>
      </c>
      <c r="G422" s="12" t="s">
        <v>407</v>
      </c>
      <c r="H422" s="12">
        <v>256</v>
      </c>
      <c r="I422" s="12">
        <v>8200</v>
      </c>
      <c r="J422" s="12">
        <v>4</v>
      </c>
      <c r="K422" s="12">
        <v>2</v>
      </c>
      <c r="L422" s="75" t="s">
        <v>2285</v>
      </c>
      <c r="M422" s="75" t="s">
        <v>4247</v>
      </c>
      <c r="N422" s="75" t="s">
        <v>418</v>
      </c>
      <c r="O422" s="20" t="s">
        <v>3621</v>
      </c>
      <c r="P422" s="14" t="s">
        <v>2504</v>
      </c>
      <c r="Q422" s="3">
        <v>218.18</v>
      </c>
      <c r="R422" s="3">
        <v>300</v>
      </c>
      <c r="S422" s="18" t="s">
        <v>3721</v>
      </c>
      <c r="T422" s="12"/>
    </row>
    <row r="423" spans="1:20" x14ac:dyDescent="0.25">
      <c r="A423" s="18" t="s">
        <v>3722</v>
      </c>
      <c r="B423" s="11" t="s">
        <v>450</v>
      </c>
      <c r="C423" s="4" t="str">
        <f t="shared" si="6"/>
        <v>GIGABYTE</v>
      </c>
      <c r="D423" s="14" t="s">
        <v>2294</v>
      </c>
      <c r="E423" s="11" t="s">
        <v>351</v>
      </c>
      <c r="F423" s="76" t="s">
        <v>8775</v>
      </c>
      <c r="G423" s="12" t="s">
        <v>407</v>
      </c>
      <c r="H423" s="12">
        <v>256</v>
      </c>
      <c r="I423" s="12">
        <v>8200</v>
      </c>
      <c r="J423" s="12">
        <v>4</v>
      </c>
      <c r="K423" s="12">
        <v>2</v>
      </c>
      <c r="L423" s="75" t="s">
        <v>4268</v>
      </c>
      <c r="M423" s="75" t="s">
        <v>4247</v>
      </c>
      <c r="N423" s="75" t="s">
        <v>418</v>
      </c>
      <c r="O423" s="20" t="s">
        <v>3723</v>
      </c>
      <c r="P423" s="14" t="s">
        <v>2504</v>
      </c>
      <c r="Q423" s="3">
        <v>139.88999999999999</v>
      </c>
      <c r="R423" s="3">
        <v>192</v>
      </c>
      <c r="S423" s="18" t="s">
        <v>3724</v>
      </c>
      <c r="T423" s="12"/>
    </row>
    <row r="424" spans="1:20" x14ac:dyDescent="0.25">
      <c r="A424" s="18" t="s">
        <v>3725</v>
      </c>
      <c r="B424" s="11" t="s">
        <v>450</v>
      </c>
      <c r="C424" s="4" t="str">
        <f t="shared" si="6"/>
        <v>GIGABYTE</v>
      </c>
      <c r="D424" s="14" t="s">
        <v>2294</v>
      </c>
      <c r="E424" s="11" t="s">
        <v>351</v>
      </c>
      <c r="F424" s="76" t="s">
        <v>8775</v>
      </c>
      <c r="G424" s="12" t="s">
        <v>407</v>
      </c>
      <c r="H424" s="12">
        <v>256</v>
      </c>
      <c r="I424" s="12">
        <v>8200</v>
      </c>
      <c r="J424" s="12">
        <v>4</v>
      </c>
      <c r="K424" s="12">
        <v>2</v>
      </c>
      <c r="L424" s="75" t="s">
        <v>4268</v>
      </c>
      <c r="M424" s="75" t="s">
        <v>4247</v>
      </c>
      <c r="N424" s="75" t="s">
        <v>418</v>
      </c>
      <c r="O424" s="20" t="s">
        <v>3726</v>
      </c>
      <c r="P424" s="14" t="s">
        <v>2504</v>
      </c>
      <c r="Q424" s="3">
        <v>152.9</v>
      </c>
      <c r="R424" s="3">
        <v>217.31</v>
      </c>
      <c r="S424" s="18" t="s">
        <v>3727</v>
      </c>
      <c r="T424" s="12"/>
    </row>
    <row r="425" spans="1:20" x14ac:dyDescent="0.25">
      <c r="A425" s="18" t="s">
        <v>3728</v>
      </c>
      <c r="B425" s="11" t="s">
        <v>450</v>
      </c>
      <c r="C425" s="4" t="str">
        <f t="shared" si="6"/>
        <v>GIGABYTE</v>
      </c>
      <c r="D425" s="14" t="s">
        <v>2294</v>
      </c>
      <c r="E425" s="11" t="s">
        <v>351</v>
      </c>
      <c r="F425" s="76" t="s">
        <v>8775</v>
      </c>
      <c r="G425" s="12" t="s">
        <v>407</v>
      </c>
      <c r="H425" s="12">
        <v>256</v>
      </c>
      <c r="I425" s="12">
        <v>8200</v>
      </c>
      <c r="J425" s="12">
        <v>4</v>
      </c>
      <c r="K425" s="12">
        <v>2</v>
      </c>
      <c r="L425" s="75" t="s">
        <v>4268</v>
      </c>
      <c r="M425" s="75" t="s">
        <v>4247</v>
      </c>
      <c r="N425" s="75" t="s">
        <v>418</v>
      </c>
      <c r="O425" s="20" t="s">
        <v>3624</v>
      </c>
      <c r="P425" s="14" t="s">
        <v>2504</v>
      </c>
      <c r="Q425" s="3">
        <v>191.89</v>
      </c>
      <c r="R425" s="3">
        <v>265</v>
      </c>
      <c r="S425" s="18" t="s">
        <v>3729</v>
      </c>
      <c r="T425" s="12"/>
    </row>
    <row r="426" spans="1:20" x14ac:dyDescent="0.25">
      <c r="A426" s="18" t="s">
        <v>3730</v>
      </c>
      <c r="B426" s="11" t="s">
        <v>450</v>
      </c>
      <c r="C426" s="4" t="str">
        <f t="shared" si="6"/>
        <v>GIGABYTE</v>
      </c>
      <c r="D426" s="14" t="s">
        <v>2336</v>
      </c>
      <c r="E426" s="11" t="s">
        <v>398</v>
      </c>
      <c r="F426" s="76" t="s">
        <v>8785</v>
      </c>
      <c r="G426" s="12" t="s">
        <v>407</v>
      </c>
      <c r="H426" s="12">
        <v>256</v>
      </c>
      <c r="I426" s="12">
        <v>9200</v>
      </c>
      <c r="J426" s="12">
        <v>4</v>
      </c>
      <c r="K426" s="12">
        <v>2</v>
      </c>
      <c r="L426" s="75" t="s">
        <v>4272</v>
      </c>
      <c r="M426" s="75" t="s">
        <v>4261</v>
      </c>
      <c r="N426" s="75" t="s">
        <v>4251</v>
      </c>
      <c r="O426" s="20" t="s">
        <v>3621</v>
      </c>
      <c r="P426" s="14" t="s">
        <v>2530</v>
      </c>
      <c r="Q426" s="3">
        <v>229.94</v>
      </c>
      <c r="R426" s="3">
        <v>329.53</v>
      </c>
      <c r="S426" s="18" t="s">
        <v>3731</v>
      </c>
      <c r="T426" s="12"/>
    </row>
    <row r="427" spans="1:20" x14ac:dyDescent="0.25">
      <c r="A427" s="18" t="s">
        <v>3732</v>
      </c>
      <c r="B427" s="11" t="s">
        <v>450</v>
      </c>
      <c r="C427" s="4" t="str">
        <f t="shared" si="6"/>
        <v>GIGABYTE</v>
      </c>
      <c r="D427" s="14" t="s">
        <v>2336</v>
      </c>
      <c r="E427" s="11" t="s">
        <v>398</v>
      </c>
      <c r="F427" s="76" t="s">
        <v>8785</v>
      </c>
      <c r="G427" s="12" t="s">
        <v>407</v>
      </c>
      <c r="H427" s="12">
        <v>256</v>
      </c>
      <c r="I427" s="12">
        <v>9066</v>
      </c>
      <c r="J427" s="12">
        <v>4</v>
      </c>
      <c r="K427" s="12">
        <v>2</v>
      </c>
      <c r="L427" s="75" t="s">
        <v>4294</v>
      </c>
      <c r="M427" s="75" t="s">
        <v>4295</v>
      </c>
      <c r="N427" s="75" t="s">
        <v>4315</v>
      </c>
      <c r="O427" s="20" t="s">
        <v>3726</v>
      </c>
      <c r="P427" s="14" t="s">
        <v>2530</v>
      </c>
      <c r="Q427" s="3">
        <v>157.9</v>
      </c>
      <c r="R427" s="3">
        <v>196.9</v>
      </c>
      <c r="S427" s="18" t="s">
        <v>3733</v>
      </c>
      <c r="T427" s="12"/>
    </row>
    <row r="428" spans="1:20" x14ac:dyDescent="0.25">
      <c r="A428" s="18" t="s">
        <v>3734</v>
      </c>
      <c r="B428" s="11" t="s">
        <v>450</v>
      </c>
      <c r="C428" s="4" t="str">
        <f t="shared" si="6"/>
        <v>GIGABYTE</v>
      </c>
      <c r="D428" s="14" t="s">
        <v>2336</v>
      </c>
      <c r="E428" s="11" t="s">
        <v>398</v>
      </c>
      <c r="F428" s="76" t="s">
        <v>8785</v>
      </c>
      <c r="G428" s="12" t="s">
        <v>407</v>
      </c>
      <c r="H428" s="12">
        <v>256</v>
      </c>
      <c r="I428" s="12">
        <v>9066</v>
      </c>
      <c r="J428" s="12">
        <v>4</v>
      </c>
      <c r="K428" s="12">
        <v>2</v>
      </c>
      <c r="L428" s="75" t="s">
        <v>4294</v>
      </c>
      <c r="M428" s="75" t="s">
        <v>4295</v>
      </c>
      <c r="N428" s="75" t="s">
        <v>4315</v>
      </c>
      <c r="O428" s="20" t="s">
        <v>3624</v>
      </c>
      <c r="P428" s="14" t="s">
        <v>2530</v>
      </c>
      <c r="Q428" s="3">
        <v>169.94</v>
      </c>
      <c r="R428" s="3">
        <v>251.85</v>
      </c>
      <c r="S428" s="18" t="s">
        <v>3735</v>
      </c>
      <c r="T428" s="12"/>
    </row>
    <row r="429" spans="1:20" x14ac:dyDescent="0.25">
      <c r="A429" s="18" t="s">
        <v>3736</v>
      </c>
      <c r="B429" s="11" t="s">
        <v>450</v>
      </c>
      <c r="C429" s="4" t="str">
        <f t="shared" si="6"/>
        <v>GIGABYTE</v>
      </c>
      <c r="D429" s="14" t="s">
        <v>2336</v>
      </c>
      <c r="E429" s="11" t="s">
        <v>398</v>
      </c>
      <c r="F429" s="76" t="s">
        <v>8785</v>
      </c>
      <c r="G429" s="12" t="s">
        <v>407</v>
      </c>
      <c r="H429" s="12">
        <v>256</v>
      </c>
      <c r="I429" s="12">
        <v>9066</v>
      </c>
      <c r="J429" s="12">
        <v>4</v>
      </c>
      <c r="K429" s="12">
        <v>2</v>
      </c>
      <c r="L429" s="75" t="s">
        <v>4272</v>
      </c>
      <c r="M429" s="75" t="s">
        <v>4261</v>
      </c>
      <c r="N429" s="75" t="s">
        <v>4251</v>
      </c>
      <c r="O429" s="20" t="s">
        <v>3591</v>
      </c>
      <c r="P429" s="14" t="s">
        <v>2530</v>
      </c>
      <c r="Q429" s="3">
        <v>187.95</v>
      </c>
      <c r="R429" s="3">
        <v>277.58999999999997</v>
      </c>
      <c r="S429" s="18" t="s">
        <v>3737</v>
      </c>
      <c r="T429" s="12"/>
    </row>
    <row r="430" spans="1:20" x14ac:dyDescent="0.25">
      <c r="A430" s="18" t="s">
        <v>3738</v>
      </c>
      <c r="B430" s="11" t="s">
        <v>450</v>
      </c>
      <c r="C430" s="4" t="str">
        <f t="shared" si="6"/>
        <v>GIGABYTE</v>
      </c>
      <c r="D430" s="14" t="s">
        <v>2336</v>
      </c>
      <c r="E430" s="11" t="s">
        <v>398</v>
      </c>
      <c r="F430" s="76" t="s">
        <v>8785</v>
      </c>
      <c r="G430" s="12" t="s">
        <v>407</v>
      </c>
      <c r="H430" s="12">
        <v>256</v>
      </c>
      <c r="I430" s="12">
        <v>9066</v>
      </c>
      <c r="J430" s="12">
        <v>4</v>
      </c>
      <c r="K430" s="12">
        <v>2</v>
      </c>
      <c r="L430" s="75" t="s">
        <v>4272</v>
      </c>
      <c r="M430" s="75" t="s">
        <v>4261</v>
      </c>
      <c r="N430" s="75" t="s">
        <v>4251</v>
      </c>
      <c r="O430" s="20" t="s">
        <v>3621</v>
      </c>
      <c r="P430" s="14" t="s">
        <v>2530</v>
      </c>
      <c r="Q430" s="3">
        <v>199.94</v>
      </c>
      <c r="R430" s="3">
        <v>311.89999999999998</v>
      </c>
      <c r="S430" s="18" t="s">
        <v>3739</v>
      </c>
      <c r="T430" s="12"/>
    </row>
    <row r="431" spans="1:20" x14ac:dyDescent="0.25">
      <c r="A431" s="18" t="s">
        <v>3740</v>
      </c>
      <c r="B431" s="11" t="s">
        <v>450</v>
      </c>
      <c r="C431" s="4" t="str">
        <f t="shared" si="6"/>
        <v>GIGABYTE</v>
      </c>
      <c r="D431" s="14" t="s">
        <v>2311</v>
      </c>
      <c r="E431" s="11" t="s">
        <v>398</v>
      </c>
      <c r="F431" s="76" t="s">
        <v>8785</v>
      </c>
      <c r="G431" s="12" t="s">
        <v>407</v>
      </c>
      <c r="H431" s="12">
        <v>128</v>
      </c>
      <c r="I431" s="12">
        <v>9200</v>
      </c>
      <c r="J431" s="12">
        <v>2</v>
      </c>
      <c r="K431" s="12">
        <v>2</v>
      </c>
      <c r="L431" s="75">
        <v>5</v>
      </c>
      <c r="M431" s="75">
        <v>16</v>
      </c>
      <c r="N431" s="75">
        <v>16</v>
      </c>
      <c r="O431" s="20" t="s">
        <v>2402</v>
      </c>
      <c r="P431" s="14" t="s">
        <v>3741</v>
      </c>
      <c r="Q431" s="3">
        <v>293</v>
      </c>
      <c r="R431" s="3">
        <v>345.26</v>
      </c>
      <c r="S431" s="18" t="s">
        <v>3742</v>
      </c>
      <c r="T431" s="12"/>
    </row>
    <row r="432" spans="1:20" x14ac:dyDescent="0.25">
      <c r="A432" s="18" t="s">
        <v>3743</v>
      </c>
      <c r="B432" s="11" t="s">
        <v>450</v>
      </c>
      <c r="C432" s="4" t="str">
        <f t="shared" si="6"/>
        <v>GIGABYTE</v>
      </c>
      <c r="D432" s="14" t="s">
        <v>2294</v>
      </c>
      <c r="E432" s="11" t="s">
        <v>398</v>
      </c>
      <c r="F432" s="76" t="s">
        <v>8785</v>
      </c>
      <c r="G432" s="12" t="s">
        <v>407</v>
      </c>
      <c r="H432" s="12">
        <v>256</v>
      </c>
      <c r="I432" s="12">
        <v>9200</v>
      </c>
      <c r="J432" s="12">
        <v>4</v>
      </c>
      <c r="K432" s="12">
        <v>2</v>
      </c>
      <c r="L432" s="75" t="s">
        <v>2285</v>
      </c>
      <c r="M432" s="75" t="s">
        <v>4247</v>
      </c>
      <c r="N432" s="75" t="s">
        <v>418</v>
      </c>
      <c r="O432" s="20" t="s">
        <v>3744</v>
      </c>
      <c r="P432" s="14" t="s">
        <v>2530</v>
      </c>
      <c r="Q432" s="3">
        <v>204.89</v>
      </c>
      <c r="R432" s="3">
        <v>303.32</v>
      </c>
      <c r="S432" s="18" t="s">
        <v>3745</v>
      </c>
      <c r="T432" s="12"/>
    </row>
    <row r="433" spans="1:20" x14ac:dyDescent="0.25">
      <c r="A433" s="18" t="s">
        <v>3746</v>
      </c>
      <c r="B433" s="11" t="s">
        <v>450</v>
      </c>
      <c r="C433" s="4" t="str">
        <f t="shared" si="6"/>
        <v>GIGABYTE</v>
      </c>
      <c r="D433" s="14" t="s">
        <v>2294</v>
      </c>
      <c r="E433" s="11" t="s">
        <v>398</v>
      </c>
      <c r="F433" s="76" t="s">
        <v>8785</v>
      </c>
      <c r="G433" s="12" t="s">
        <v>407</v>
      </c>
      <c r="H433" s="12">
        <v>256</v>
      </c>
      <c r="I433" s="12">
        <v>9200</v>
      </c>
      <c r="J433" s="12">
        <v>4</v>
      </c>
      <c r="K433" s="12">
        <v>2</v>
      </c>
      <c r="L433" s="75" t="s">
        <v>2285</v>
      </c>
      <c r="M433" s="75" t="s">
        <v>4247</v>
      </c>
      <c r="N433" s="75" t="s">
        <v>418</v>
      </c>
      <c r="O433" s="20" t="s">
        <v>3744</v>
      </c>
      <c r="P433" s="14" t="s">
        <v>2530</v>
      </c>
      <c r="Q433" s="3">
        <v>199.94</v>
      </c>
      <c r="R433" s="3">
        <v>311.89999999999998</v>
      </c>
      <c r="S433" s="18" t="s">
        <v>3747</v>
      </c>
      <c r="T433" s="12"/>
    </row>
    <row r="434" spans="1:20" x14ac:dyDescent="0.25">
      <c r="A434" s="18" t="s">
        <v>3748</v>
      </c>
      <c r="B434" s="11" t="s">
        <v>450</v>
      </c>
      <c r="C434" s="4" t="str">
        <f t="shared" si="6"/>
        <v>GIGABYTE</v>
      </c>
      <c r="D434" s="14" t="s">
        <v>2294</v>
      </c>
      <c r="E434" s="11" t="s">
        <v>398</v>
      </c>
      <c r="F434" s="76" t="s">
        <v>8785</v>
      </c>
      <c r="G434" s="12" t="s">
        <v>407</v>
      </c>
      <c r="H434" s="12">
        <v>256</v>
      </c>
      <c r="I434" s="12">
        <v>9066</v>
      </c>
      <c r="J434" s="12">
        <v>4</v>
      </c>
      <c r="K434" s="12">
        <v>2</v>
      </c>
      <c r="L434" s="75" t="s">
        <v>4277</v>
      </c>
      <c r="M434" s="75" t="s">
        <v>4251</v>
      </c>
      <c r="N434" s="75" t="s">
        <v>4251</v>
      </c>
      <c r="O434" s="20" t="s">
        <v>2631</v>
      </c>
      <c r="P434" s="14" t="s">
        <v>2530</v>
      </c>
      <c r="Q434" s="3">
        <v>134.9</v>
      </c>
      <c r="R434" s="3">
        <v>200.15</v>
      </c>
      <c r="S434" s="18" t="s">
        <v>3749</v>
      </c>
      <c r="T434" s="12"/>
    </row>
    <row r="435" spans="1:20" x14ac:dyDescent="0.25">
      <c r="A435" s="18" t="s">
        <v>3750</v>
      </c>
      <c r="B435" s="11" t="s">
        <v>450</v>
      </c>
      <c r="C435" s="4" t="str">
        <f t="shared" si="6"/>
        <v>GIGABYTE</v>
      </c>
      <c r="D435" s="14" t="s">
        <v>2294</v>
      </c>
      <c r="E435" s="11" t="s">
        <v>398</v>
      </c>
      <c r="F435" s="76" t="s">
        <v>8785</v>
      </c>
      <c r="G435" s="12" t="s">
        <v>407</v>
      </c>
      <c r="H435" s="12">
        <v>256</v>
      </c>
      <c r="I435" s="12">
        <v>9066</v>
      </c>
      <c r="J435" s="12">
        <v>4</v>
      </c>
      <c r="K435" s="12">
        <v>2</v>
      </c>
      <c r="L435" s="75" t="s">
        <v>4272</v>
      </c>
      <c r="M435" s="75" t="s">
        <v>4261</v>
      </c>
      <c r="N435" s="75" t="s">
        <v>4251</v>
      </c>
      <c r="O435" s="20" t="s">
        <v>3751</v>
      </c>
      <c r="P435" s="14" t="s">
        <v>2530</v>
      </c>
      <c r="Q435" s="3">
        <v>147.94999999999999</v>
      </c>
      <c r="R435" s="3">
        <v>210</v>
      </c>
      <c r="S435" s="18" t="s">
        <v>3752</v>
      </c>
      <c r="T435" s="12"/>
    </row>
    <row r="436" spans="1:20" x14ac:dyDescent="0.25">
      <c r="A436" s="18" t="s">
        <v>3753</v>
      </c>
      <c r="B436" s="11" t="s">
        <v>450</v>
      </c>
      <c r="C436" s="4" t="str">
        <f t="shared" si="6"/>
        <v>GIGABYTE</v>
      </c>
      <c r="D436" s="14" t="s">
        <v>2294</v>
      </c>
      <c r="E436" s="11" t="s">
        <v>398</v>
      </c>
      <c r="F436" s="76" t="s">
        <v>8785</v>
      </c>
      <c r="G436" s="12" t="s">
        <v>407</v>
      </c>
      <c r="H436" s="12">
        <v>256</v>
      </c>
      <c r="I436" s="12">
        <v>9066</v>
      </c>
      <c r="J436" s="12">
        <v>4</v>
      </c>
      <c r="K436" s="12">
        <v>2</v>
      </c>
      <c r="L436" s="75" t="s">
        <v>4279</v>
      </c>
      <c r="M436" s="75" t="s">
        <v>4291</v>
      </c>
      <c r="N436" s="75" t="s">
        <v>4298</v>
      </c>
      <c r="O436" s="20" t="s">
        <v>3754</v>
      </c>
      <c r="P436" s="14" t="s">
        <v>2530</v>
      </c>
      <c r="Q436" s="3">
        <v>159.94999999999999</v>
      </c>
      <c r="R436" s="3">
        <v>234.46</v>
      </c>
      <c r="S436" s="18" t="s">
        <v>3755</v>
      </c>
      <c r="T436" s="12"/>
    </row>
    <row r="437" spans="1:20" x14ac:dyDescent="0.25">
      <c r="A437" s="18" t="s">
        <v>3756</v>
      </c>
      <c r="B437" s="11" t="s">
        <v>450</v>
      </c>
      <c r="C437" s="4" t="str">
        <f t="shared" si="6"/>
        <v>GIGABYTE</v>
      </c>
      <c r="D437" s="14" t="s">
        <v>2294</v>
      </c>
      <c r="E437" s="11" t="s">
        <v>398</v>
      </c>
      <c r="F437" s="76" t="s">
        <v>8785</v>
      </c>
      <c r="G437" s="12" t="s">
        <v>407</v>
      </c>
      <c r="H437" s="12">
        <v>128</v>
      </c>
      <c r="I437" s="12">
        <v>9066</v>
      </c>
      <c r="J437" s="12">
        <v>2</v>
      </c>
      <c r="K437" s="12">
        <v>2</v>
      </c>
      <c r="L437" s="75" t="s">
        <v>2285</v>
      </c>
      <c r="M437" s="75" t="s">
        <v>4247</v>
      </c>
      <c r="N437" s="75" t="s">
        <v>418</v>
      </c>
      <c r="O437" s="20" t="s">
        <v>3751</v>
      </c>
      <c r="P437" s="14" t="s">
        <v>2530</v>
      </c>
      <c r="Q437" s="3">
        <v>137.9</v>
      </c>
      <c r="R437" s="3">
        <v>187</v>
      </c>
      <c r="S437" s="18" t="s">
        <v>3757</v>
      </c>
      <c r="T437" s="12"/>
    </row>
    <row r="438" spans="1:20" x14ac:dyDescent="0.25">
      <c r="A438" s="18" t="s">
        <v>3758</v>
      </c>
      <c r="B438" s="11" t="s">
        <v>450</v>
      </c>
      <c r="C438" s="4" t="str">
        <f t="shared" si="6"/>
        <v>GIGABYTE</v>
      </c>
      <c r="D438" s="14" t="s">
        <v>2294</v>
      </c>
      <c r="E438" s="11" t="s">
        <v>398</v>
      </c>
      <c r="F438" s="76" t="s">
        <v>8785</v>
      </c>
      <c r="G438" s="12" t="s">
        <v>407</v>
      </c>
      <c r="H438" s="12">
        <v>256</v>
      </c>
      <c r="I438" s="12">
        <v>9200</v>
      </c>
      <c r="J438" s="12">
        <v>4</v>
      </c>
      <c r="K438" s="12">
        <v>2</v>
      </c>
      <c r="L438" s="75" t="s">
        <v>2285</v>
      </c>
      <c r="M438" s="75" t="s">
        <v>4247</v>
      </c>
      <c r="N438" s="75" t="s">
        <v>418</v>
      </c>
      <c r="O438" s="20" t="s">
        <v>3759</v>
      </c>
      <c r="P438" s="14" t="s">
        <v>2530</v>
      </c>
      <c r="Q438" s="3">
        <v>184.94</v>
      </c>
      <c r="R438" s="3">
        <v>275.68</v>
      </c>
      <c r="S438" s="18" t="s">
        <v>3760</v>
      </c>
      <c r="T438" s="12"/>
    </row>
    <row r="439" spans="1:20" x14ac:dyDescent="0.25">
      <c r="A439" s="18" t="s">
        <v>3761</v>
      </c>
      <c r="B439" s="11" t="s">
        <v>3762</v>
      </c>
      <c r="C439" s="4" t="str">
        <f t="shared" si="6"/>
        <v>GIGABYTE</v>
      </c>
      <c r="D439" s="14" t="s">
        <v>2294</v>
      </c>
      <c r="E439" s="11" t="s">
        <v>350</v>
      </c>
      <c r="F439" s="76" t="s">
        <v>8772</v>
      </c>
      <c r="G439" s="12" t="s">
        <v>406</v>
      </c>
      <c r="H439" s="12">
        <v>128</v>
      </c>
      <c r="I439" s="12">
        <v>3200</v>
      </c>
      <c r="J439" s="12">
        <v>4</v>
      </c>
      <c r="K439" s="12">
        <v>2</v>
      </c>
      <c r="L439" s="75" t="s">
        <v>4271</v>
      </c>
      <c r="M439" s="75" t="s">
        <v>418</v>
      </c>
      <c r="N439" s="75" t="s">
        <v>418</v>
      </c>
      <c r="O439" s="20" t="s">
        <v>3763</v>
      </c>
      <c r="P439" s="14" t="s">
        <v>2341</v>
      </c>
      <c r="Q439" s="3">
        <v>499.95</v>
      </c>
      <c r="R439" s="3">
        <v>499.95</v>
      </c>
      <c r="S439" s="18" t="s">
        <v>3764</v>
      </c>
      <c r="T439" s="12"/>
    </row>
    <row r="440" spans="1:20" x14ac:dyDescent="0.25">
      <c r="A440" s="18" t="s">
        <v>3765</v>
      </c>
      <c r="B440" s="11" t="s">
        <v>450</v>
      </c>
      <c r="C440" s="4" t="str">
        <f t="shared" si="6"/>
        <v>GIGABYTE</v>
      </c>
      <c r="D440" s="14" t="s">
        <v>2294</v>
      </c>
      <c r="E440" s="11" t="s">
        <v>352</v>
      </c>
      <c r="F440" s="76" t="s">
        <v>8793</v>
      </c>
      <c r="G440" s="12" t="s">
        <v>407</v>
      </c>
      <c r="H440" s="12">
        <v>128</v>
      </c>
      <c r="I440" s="12">
        <v>5600</v>
      </c>
      <c r="J440" s="12">
        <v>4</v>
      </c>
      <c r="K440" s="12">
        <v>2</v>
      </c>
      <c r="L440" s="75" t="s">
        <v>4264</v>
      </c>
      <c r="M440" s="75" t="s">
        <v>4244</v>
      </c>
      <c r="N440" s="75" t="s">
        <v>4254</v>
      </c>
      <c r="O440" s="20" t="s">
        <v>3655</v>
      </c>
      <c r="P440" s="14" t="s">
        <v>450</v>
      </c>
      <c r="Q440" s="3">
        <v>188</v>
      </c>
      <c r="R440" s="3">
        <v>273.10000000000002</v>
      </c>
      <c r="S440" s="18" t="s">
        <v>3766</v>
      </c>
      <c r="T440" s="12"/>
    </row>
    <row r="441" spans="1:20" x14ac:dyDescent="0.25">
      <c r="A441" s="18" t="s">
        <v>3767</v>
      </c>
      <c r="B441" s="11" t="s">
        <v>450</v>
      </c>
      <c r="C441" s="4" t="str">
        <f t="shared" si="6"/>
        <v>GIGABYTE</v>
      </c>
      <c r="D441" s="14" t="s">
        <v>4242</v>
      </c>
      <c r="E441" s="11" t="s">
        <v>350</v>
      </c>
      <c r="F441" s="76" t="s">
        <v>8782</v>
      </c>
      <c r="G441" s="12" t="s">
        <v>406</v>
      </c>
      <c r="H441" s="12">
        <v>128</v>
      </c>
      <c r="I441" s="12">
        <v>5200</v>
      </c>
      <c r="J441" s="12">
        <v>4</v>
      </c>
      <c r="K441" s="12">
        <v>2</v>
      </c>
      <c r="L441" s="75" t="s">
        <v>4260</v>
      </c>
      <c r="M441" s="75" t="s">
        <v>4261</v>
      </c>
      <c r="N441" s="75" t="s">
        <v>4290</v>
      </c>
      <c r="O441" s="20" t="s">
        <v>3768</v>
      </c>
      <c r="P441" s="14" t="s">
        <v>3069</v>
      </c>
      <c r="Q441" s="3">
        <v>764</v>
      </c>
      <c r="R441" s="3">
        <v>790.27</v>
      </c>
      <c r="S441" s="18" t="s">
        <v>3769</v>
      </c>
      <c r="T441" s="12"/>
    </row>
    <row r="442" spans="1:20" x14ac:dyDescent="0.25">
      <c r="A442" s="18" t="s">
        <v>3770</v>
      </c>
      <c r="B442" s="11" t="s">
        <v>450</v>
      </c>
      <c r="C442" s="4" t="str">
        <f t="shared" si="6"/>
        <v>GIGABYTE</v>
      </c>
      <c r="D442" s="14" t="s">
        <v>2336</v>
      </c>
      <c r="E442" s="11" t="s">
        <v>351</v>
      </c>
      <c r="F442" s="76" t="s">
        <v>8781</v>
      </c>
      <c r="G442" s="12" t="s">
        <v>407</v>
      </c>
      <c r="H442" s="12">
        <v>256</v>
      </c>
      <c r="I442" s="12">
        <v>8000</v>
      </c>
      <c r="J442" s="12">
        <v>4</v>
      </c>
      <c r="K442" s="12">
        <v>2</v>
      </c>
      <c r="L442" s="75" t="s">
        <v>4264</v>
      </c>
      <c r="M442" s="75" t="s">
        <v>4261</v>
      </c>
      <c r="N442" s="75" t="s">
        <v>4288</v>
      </c>
      <c r="O442" s="20" t="s">
        <v>3771</v>
      </c>
      <c r="P442" s="14" t="s">
        <v>3772</v>
      </c>
      <c r="Q442" s="3">
        <v>315.05</v>
      </c>
      <c r="R442" s="3">
        <v>363.05</v>
      </c>
      <c r="S442" s="18" t="s">
        <v>3773</v>
      </c>
      <c r="T442" s="12"/>
    </row>
    <row r="443" spans="1:20" x14ac:dyDescent="0.25">
      <c r="A443" s="18" t="s">
        <v>3774</v>
      </c>
      <c r="B443" s="11" t="s">
        <v>450</v>
      </c>
      <c r="C443" s="4" t="str">
        <f t="shared" si="6"/>
        <v>GIGABYTE</v>
      </c>
      <c r="D443" s="14" t="s">
        <v>2336</v>
      </c>
      <c r="E443" s="11" t="s">
        <v>351</v>
      </c>
      <c r="F443" s="76" t="s">
        <v>8781</v>
      </c>
      <c r="G443" s="12" t="s">
        <v>407</v>
      </c>
      <c r="H443" s="12">
        <v>256</v>
      </c>
      <c r="I443" s="12">
        <v>8000</v>
      </c>
      <c r="J443" s="12">
        <v>4</v>
      </c>
      <c r="K443" s="12">
        <v>2</v>
      </c>
      <c r="L443" s="75" t="s">
        <v>4250</v>
      </c>
      <c r="M443" s="75" t="s">
        <v>4261</v>
      </c>
      <c r="N443" s="75" t="s">
        <v>4288</v>
      </c>
      <c r="O443" s="20" t="s">
        <v>3771</v>
      </c>
      <c r="P443" s="14" t="s">
        <v>3772</v>
      </c>
      <c r="Q443" s="3">
        <v>222.33</v>
      </c>
      <c r="R443" s="3">
        <v>343.31</v>
      </c>
      <c r="S443" s="18" t="s">
        <v>3775</v>
      </c>
      <c r="T443" s="12"/>
    </row>
    <row r="444" spans="1:20" x14ac:dyDescent="0.25">
      <c r="A444" s="18" t="s">
        <v>3776</v>
      </c>
      <c r="B444" s="11" t="s">
        <v>450</v>
      </c>
      <c r="C444" s="4" t="str">
        <f t="shared" si="6"/>
        <v>GIGABYTE</v>
      </c>
      <c r="D444" s="14" t="s">
        <v>4242</v>
      </c>
      <c r="E444" s="11" t="s">
        <v>351</v>
      </c>
      <c r="F444" s="76" t="s">
        <v>8779</v>
      </c>
      <c r="G444" s="12" t="s">
        <v>407</v>
      </c>
      <c r="H444" s="12">
        <v>256</v>
      </c>
      <c r="I444" s="12">
        <v>8000</v>
      </c>
      <c r="J444" s="12">
        <v>4</v>
      </c>
      <c r="K444" s="12">
        <v>2</v>
      </c>
      <c r="L444" s="75" t="s">
        <v>4267</v>
      </c>
      <c r="M444" s="75" t="s">
        <v>4261</v>
      </c>
      <c r="N444" s="75" t="s">
        <v>4288</v>
      </c>
      <c r="O444" s="20" t="s">
        <v>3777</v>
      </c>
      <c r="P444" s="14" t="s">
        <v>3080</v>
      </c>
      <c r="Q444" s="3">
        <v>435.95</v>
      </c>
      <c r="R444" s="3">
        <v>977.96</v>
      </c>
      <c r="S444" s="18" t="s">
        <v>3778</v>
      </c>
      <c r="T444" s="12"/>
    </row>
    <row r="445" spans="1:20" x14ac:dyDescent="0.25">
      <c r="A445" s="18" t="s">
        <v>3779</v>
      </c>
      <c r="B445" s="11" t="s">
        <v>450</v>
      </c>
      <c r="C445" s="4" t="str">
        <f t="shared" si="6"/>
        <v>GIGABYTE</v>
      </c>
      <c r="D445" s="14" t="s">
        <v>2336</v>
      </c>
      <c r="E445" s="11" t="s">
        <v>351</v>
      </c>
      <c r="F445" s="76" t="s">
        <v>8777</v>
      </c>
      <c r="G445" s="12" t="s">
        <v>407</v>
      </c>
      <c r="H445" s="12">
        <v>256</v>
      </c>
      <c r="I445" s="12">
        <v>8000</v>
      </c>
      <c r="J445" s="12">
        <v>4</v>
      </c>
      <c r="K445" s="12">
        <v>2</v>
      </c>
      <c r="L445" s="75" t="s">
        <v>4267</v>
      </c>
      <c r="M445" s="75" t="s">
        <v>4261</v>
      </c>
      <c r="N445" s="75" t="s">
        <v>4288</v>
      </c>
      <c r="O445" s="20" t="s">
        <v>3780</v>
      </c>
      <c r="P445" s="14" t="s">
        <v>3781</v>
      </c>
      <c r="Q445" s="3">
        <v>300</v>
      </c>
      <c r="R445" s="3">
        <v>432</v>
      </c>
      <c r="S445" s="18" t="s">
        <v>3782</v>
      </c>
      <c r="T445" s="12"/>
    </row>
    <row r="446" spans="1:20" x14ac:dyDescent="0.25">
      <c r="A446" s="18" t="s">
        <v>3783</v>
      </c>
      <c r="B446" s="11" t="s">
        <v>450</v>
      </c>
      <c r="C446" s="4" t="str">
        <f t="shared" si="6"/>
        <v>GIGABYTE</v>
      </c>
      <c r="D446" s="14" t="s">
        <v>2336</v>
      </c>
      <c r="E446" s="11" t="s">
        <v>351</v>
      </c>
      <c r="F446" s="76" t="s">
        <v>8777</v>
      </c>
      <c r="G446" s="12" t="s">
        <v>407</v>
      </c>
      <c r="H446" s="12">
        <v>256</v>
      </c>
      <c r="I446" s="12">
        <v>8000</v>
      </c>
      <c r="J446" s="12">
        <v>4</v>
      </c>
      <c r="K446" s="12">
        <v>2</v>
      </c>
      <c r="L446" s="75" t="s">
        <v>4267</v>
      </c>
      <c r="M446" s="75" t="s">
        <v>4261</v>
      </c>
      <c r="N446" s="75" t="s">
        <v>4288</v>
      </c>
      <c r="O446" s="20" t="s">
        <v>3780</v>
      </c>
      <c r="P446" s="14" t="s">
        <v>3781</v>
      </c>
      <c r="Q446" s="3">
        <v>289.99</v>
      </c>
      <c r="R446" s="3">
        <v>417</v>
      </c>
      <c r="S446" s="18" t="s">
        <v>3784</v>
      </c>
      <c r="T446" s="12"/>
    </row>
    <row r="447" spans="1:20" x14ac:dyDescent="0.25">
      <c r="A447" s="18" t="s">
        <v>3785</v>
      </c>
      <c r="B447" s="11" t="s">
        <v>450</v>
      </c>
      <c r="C447" s="4" t="str">
        <f t="shared" si="6"/>
        <v>GIGABYTE</v>
      </c>
      <c r="D447" s="14" t="s">
        <v>2336</v>
      </c>
      <c r="E447" s="11" t="s">
        <v>351</v>
      </c>
      <c r="F447" s="76" t="s">
        <v>8777</v>
      </c>
      <c r="G447" s="12" t="s">
        <v>407</v>
      </c>
      <c r="H447" s="12">
        <v>256</v>
      </c>
      <c r="I447" s="12">
        <v>8000</v>
      </c>
      <c r="J447" s="12">
        <v>4</v>
      </c>
      <c r="K447" s="12">
        <v>2</v>
      </c>
      <c r="L447" s="75" t="s">
        <v>4277</v>
      </c>
      <c r="M447" s="75" t="s">
        <v>4261</v>
      </c>
      <c r="N447" s="75" t="s">
        <v>4251</v>
      </c>
      <c r="O447" s="20" t="s">
        <v>3786</v>
      </c>
      <c r="P447" s="14" t="s">
        <v>3781</v>
      </c>
      <c r="Q447" s="3">
        <v>244.3</v>
      </c>
      <c r="R447" s="3">
        <v>340</v>
      </c>
      <c r="S447" s="18" t="s">
        <v>3787</v>
      </c>
      <c r="T447" s="12"/>
    </row>
    <row r="448" spans="1:20" x14ac:dyDescent="0.25">
      <c r="A448" s="18" t="s">
        <v>3788</v>
      </c>
      <c r="B448" s="11" t="s">
        <v>450</v>
      </c>
      <c r="C448" s="4" t="str">
        <f t="shared" si="6"/>
        <v>GIGABYTE</v>
      </c>
      <c r="D448" s="14" t="s">
        <v>2336</v>
      </c>
      <c r="E448" s="11" t="s">
        <v>351</v>
      </c>
      <c r="F448" s="76" t="s">
        <v>8777</v>
      </c>
      <c r="G448" s="12" t="s">
        <v>407</v>
      </c>
      <c r="H448" s="12">
        <v>256</v>
      </c>
      <c r="I448" s="12">
        <v>8000</v>
      </c>
      <c r="J448" s="12">
        <v>4</v>
      </c>
      <c r="K448" s="12">
        <v>2</v>
      </c>
      <c r="L448" s="75" t="s">
        <v>4277</v>
      </c>
      <c r="M448" s="75" t="s">
        <v>4261</v>
      </c>
      <c r="N448" s="75" t="s">
        <v>4251</v>
      </c>
      <c r="O448" s="20" t="s">
        <v>3786</v>
      </c>
      <c r="P448" s="14" t="s">
        <v>3781</v>
      </c>
      <c r="Q448" s="3">
        <v>209.99</v>
      </c>
      <c r="R448" s="3">
        <v>323</v>
      </c>
      <c r="S448" s="18" t="s">
        <v>3789</v>
      </c>
      <c r="T448" s="12"/>
    </row>
    <row r="449" spans="1:20" x14ac:dyDescent="0.25">
      <c r="A449" s="18" t="s">
        <v>3790</v>
      </c>
      <c r="B449" s="11" t="s">
        <v>450</v>
      </c>
      <c r="C449" s="4" t="str">
        <f t="shared" si="6"/>
        <v>GIGABYTE</v>
      </c>
      <c r="D449" s="14" t="s">
        <v>2336</v>
      </c>
      <c r="E449" s="11" t="s">
        <v>351</v>
      </c>
      <c r="F449" s="76" t="s">
        <v>8777</v>
      </c>
      <c r="G449" s="12" t="s">
        <v>407</v>
      </c>
      <c r="H449" s="12">
        <v>256</v>
      </c>
      <c r="I449" s="12">
        <v>8000</v>
      </c>
      <c r="J449" s="12">
        <v>4</v>
      </c>
      <c r="K449" s="12">
        <v>2</v>
      </c>
      <c r="L449" s="75" t="s">
        <v>4277</v>
      </c>
      <c r="M449" s="75" t="s">
        <v>4261</v>
      </c>
      <c r="N449" s="75" t="s">
        <v>4251</v>
      </c>
      <c r="O449" s="20" t="s">
        <v>3786</v>
      </c>
      <c r="P449" s="14" t="s">
        <v>3781</v>
      </c>
      <c r="Q449" s="3">
        <v>253.99</v>
      </c>
      <c r="R449" s="3">
        <v>375</v>
      </c>
      <c r="S449" s="18" t="s">
        <v>3791</v>
      </c>
      <c r="T449" s="12"/>
    </row>
    <row r="450" spans="1:20" x14ac:dyDescent="0.25">
      <c r="A450" s="18" t="s">
        <v>3792</v>
      </c>
      <c r="B450" s="11" t="s">
        <v>450</v>
      </c>
      <c r="C450" s="4" t="str">
        <f t="shared" si="6"/>
        <v>GIGABYTE</v>
      </c>
      <c r="D450" s="14" t="s">
        <v>2336</v>
      </c>
      <c r="E450" s="11" t="s">
        <v>351</v>
      </c>
      <c r="F450" s="76" t="s">
        <v>8778</v>
      </c>
      <c r="G450" s="12" t="s">
        <v>407</v>
      </c>
      <c r="H450" s="12">
        <v>256</v>
      </c>
      <c r="I450" s="12">
        <v>8000</v>
      </c>
      <c r="J450" s="12">
        <v>4</v>
      </c>
      <c r="K450" s="12">
        <v>2</v>
      </c>
      <c r="L450" s="75" t="s">
        <v>4267</v>
      </c>
      <c r="M450" s="75" t="s">
        <v>4261</v>
      </c>
      <c r="N450" s="75" t="s">
        <v>4273</v>
      </c>
      <c r="O450" s="20" t="s">
        <v>3780</v>
      </c>
      <c r="P450" s="14" t="s">
        <v>3239</v>
      </c>
      <c r="Q450" s="3">
        <v>319.75</v>
      </c>
      <c r="R450" s="3">
        <v>449</v>
      </c>
      <c r="S450" s="18" t="s">
        <v>3793</v>
      </c>
      <c r="T450" s="12"/>
    </row>
    <row r="451" spans="1:20" x14ac:dyDescent="0.25">
      <c r="A451" s="18" t="s">
        <v>3794</v>
      </c>
      <c r="B451" s="11" t="s">
        <v>450</v>
      </c>
      <c r="C451" s="4" t="str">
        <f t="shared" si="6"/>
        <v>GIGABYTE</v>
      </c>
      <c r="D451" s="14" t="s">
        <v>2336</v>
      </c>
      <c r="E451" s="11" t="s">
        <v>351</v>
      </c>
      <c r="F451" s="76" t="s">
        <v>8778</v>
      </c>
      <c r="G451" s="12" t="s">
        <v>407</v>
      </c>
      <c r="H451" s="12">
        <v>256</v>
      </c>
      <c r="I451" s="12">
        <v>8200</v>
      </c>
      <c r="J451" s="12">
        <v>4</v>
      </c>
      <c r="K451" s="12">
        <v>2</v>
      </c>
      <c r="L451" s="75" t="s">
        <v>4267</v>
      </c>
      <c r="M451" s="75" t="s">
        <v>4261</v>
      </c>
      <c r="N451" s="75" t="s">
        <v>4273</v>
      </c>
      <c r="O451" s="20" t="s">
        <v>3780</v>
      </c>
      <c r="P451" s="14" t="s">
        <v>3239</v>
      </c>
      <c r="Q451" s="3">
        <v>524.38</v>
      </c>
      <c r="R451" s="3">
        <v>747</v>
      </c>
      <c r="S451" s="18" t="s">
        <v>3795</v>
      </c>
      <c r="T451" s="12"/>
    </row>
    <row r="452" spans="1:20" x14ac:dyDescent="0.25">
      <c r="A452" s="18" t="s">
        <v>3796</v>
      </c>
      <c r="B452" s="11" t="s">
        <v>450</v>
      </c>
      <c r="C452" s="4" t="str">
        <f t="shared" si="6"/>
        <v>GIGABYTE</v>
      </c>
      <c r="D452" s="14" t="s">
        <v>2336</v>
      </c>
      <c r="E452" s="11" t="s">
        <v>351</v>
      </c>
      <c r="F452" s="76" t="s">
        <v>8778</v>
      </c>
      <c r="G452" s="12" t="s">
        <v>407</v>
      </c>
      <c r="H452" s="12">
        <v>256</v>
      </c>
      <c r="I452" s="12">
        <v>8000</v>
      </c>
      <c r="J452" s="12">
        <v>4</v>
      </c>
      <c r="K452" s="12">
        <v>2</v>
      </c>
      <c r="L452" s="75" t="s">
        <v>4267</v>
      </c>
      <c r="M452" s="75" t="s">
        <v>4261</v>
      </c>
      <c r="N452" s="75" t="s">
        <v>4273</v>
      </c>
      <c r="O452" s="20" t="s">
        <v>3780</v>
      </c>
      <c r="P452" s="14" t="s">
        <v>3239</v>
      </c>
      <c r="Q452" s="3">
        <v>366.14</v>
      </c>
      <c r="R452" s="3">
        <v>515</v>
      </c>
      <c r="S452" s="18" t="s">
        <v>3797</v>
      </c>
      <c r="T452" s="12"/>
    </row>
    <row r="453" spans="1:20" x14ac:dyDescent="0.25">
      <c r="A453" s="18" t="s">
        <v>3798</v>
      </c>
      <c r="B453" s="11" t="s">
        <v>450</v>
      </c>
      <c r="C453" s="4" t="str">
        <f t="shared" si="6"/>
        <v>GIGABYTE</v>
      </c>
      <c r="D453" s="14" t="s">
        <v>2336</v>
      </c>
      <c r="E453" s="11" t="s">
        <v>351</v>
      </c>
      <c r="F453" s="76" t="s">
        <v>8778</v>
      </c>
      <c r="G453" s="12" t="s">
        <v>407</v>
      </c>
      <c r="H453" s="12">
        <v>256</v>
      </c>
      <c r="I453" s="12">
        <v>8000</v>
      </c>
      <c r="J453" s="12">
        <v>4</v>
      </c>
      <c r="K453" s="12">
        <v>2</v>
      </c>
      <c r="L453" s="75" t="s">
        <v>4267</v>
      </c>
      <c r="M453" s="75" t="s">
        <v>4261</v>
      </c>
      <c r="N453" s="75" t="s">
        <v>4273</v>
      </c>
      <c r="O453" s="20" t="s">
        <v>3780</v>
      </c>
      <c r="P453" s="14" t="s">
        <v>3239</v>
      </c>
      <c r="Q453" s="3">
        <v>350.99</v>
      </c>
      <c r="R453" s="3">
        <v>498</v>
      </c>
      <c r="S453" s="18" t="s">
        <v>3799</v>
      </c>
      <c r="T453" s="12"/>
    </row>
    <row r="454" spans="1:20" x14ac:dyDescent="0.25">
      <c r="A454" s="18" t="s">
        <v>3800</v>
      </c>
      <c r="B454" s="11" t="s">
        <v>450</v>
      </c>
      <c r="C454" s="4" t="str">
        <f t="shared" si="6"/>
        <v>GIGABYTE</v>
      </c>
      <c r="D454" s="14" t="s">
        <v>4242</v>
      </c>
      <c r="E454" s="11" t="s">
        <v>351</v>
      </c>
      <c r="F454" s="76" t="s">
        <v>8778</v>
      </c>
      <c r="G454" s="12" t="s">
        <v>407</v>
      </c>
      <c r="H454" s="12">
        <v>256</v>
      </c>
      <c r="I454" s="12">
        <v>8800</v>
      </c>
      <c r="J454" s="12">
        <v>4</v>
      </c>
      <c r="K454" s="12">
        <v>2</v>
      </c>
      <c r="L454" s="75" t="s">
        <v>4289</v>
      </c>
      <c r="M454" s="75" t="s">
        <v>4261</v>
      </c>
      <c r="N454" s="75" t="s">
        <v>4305</v>
      </c>
      <c r="O454" s="20" t="s">
        <v>3801</v>
      </c>
      <c r="P454" s="14" t="s">
        <v>3239</v>
      </c>
      <c r="Q454" s="3">
        <v>855.98</v>
      </c>
      <c r="R454" s="3">
        <v>1200.9000000000001</v>
      </c>
      <c r="S454" s="18" t="s">
        <v>3802</v>
      </c>
      <c r="T454" s="12"/>
    </row>
    <row r="455" spans="1:20" x14ac:dyDescent="0.25">
      <c r="A455" s="18" t="s">
        <v>3803</v>
      </c>
      <c r="B455" s="11" t="s">
        <v>450</v>
      </c>
      <c r="C455" s="4" t="str">
        <f t="shared" si="6"/>
        <v>GIGABYTE</v>
      </c>
      <c r="D455" s="14" t="s">
        <v>2311</v>
      </c>
      <c r="E455" s="11" t="s">
        <v>351</v>
      </c>
      <c r="F455" s="76" t="s">
        <v>8777</v>
      </c>
      <c r="G455" s="12" t="s">
        <v>407</v>
      </c>
      <c r="H455" s="12">
        <v>128</v>
      </c>
      <c r="I455" s="12">
        <v>8400</v>
      </c>
      <c r="J455" s="12">
        <v>2</v>
      </c>
      <c r="K455" s="12">
        <v>2</v>
      </c>
      <c r="L455" s="75">
        <v>5</v>
      </c>
      <c r="M455" s="75">
        <v>16</v>
      </c>
      <c r="N455" s="75">
        <v>16</v>
      </c>
      <c r="O455" s="20" t="s">
        <v>3754</v>
      </c>
      <c r="P455" s="14" t="s">
        <v>2960</v>
      </c>
      <c r="Q455" s="3">
        <v>323.99</v>
      </c>
      <c r="R455" s="3">
        <v>444</v>
      </c>
      <c r="S455" s="18" t="s">
        <v>3804</v>
      </c>
      <c r="T455" s="12"/>
    </row>
    <row r="456" spans="1:20" x14ac:dyDescent="0.25">
      <c r="A456" s="18" t="s">
        <v>3805</v>
      </c>
      <c r="B456" s="11" t="s">
        <v>450</v>
      </c>
      <c r="C456" s="4" t="str">
        <f t="shared" si="6"/>
        <v>GIGABYTE</v>
      </c>
      <c r="D456" s="14" t="s">
        <v>4242</v>
      </c>
      <c r="E456" s="11" t="s">
        <v>352</v>
      </c>
      <c r="F456" s="76" t="s">
        <v>8789</v>
      </c>
      <c r="G456" s="12" t="s">
        <v>407</v>
      </c>
      <c r="H456" s="12">
        <v>64</v>
      </c>
      <c r="I456" s="12">
        <v>7000</v>
      </c>
      <c r="J456" s="12">
        <v>2</v>
      </c>
      <c r="K456" s="12">
        <v>2</v>
      </c>
      <c r="L456" s="75" t="s">
        <v>4316</v>
      </c>
      <c r="M456" s="75" t="s">
        <v>4261</v>
      </c>
      <c r="N456" s="75" t="s">
        <v>4290</v>
      </c>
      <c r="O456" s="20" t="s">
        <v>3806</v>
      </c>
      <c r="P456" s="14" t="s">
        <v>450</v>
      </c>
      <c r="Q456" s="3">
        <v>329.98</v>
      </c>
      <c r="R456" s="3">
        <v>458.03</v>
      </c>
      <c r="S456" s="18" t="s">
        <v>3807</v>
      </c>
      <c r="T456" s="12"/>
    </row>
    <row r="457" spans="1:20" x14ac:dyDescent="0.25">
      <c r="A457" s="18" t="s">
        <v>3808</v>
      </c>
      <c r="B457" s="11" t="s">
        <v>450</v>
      </c>
      <c r="C457" s="4" t="str">
        <f t="shared" ref="C457:C520" si="7">LEFT(A457, FIND(" ",A457)-1)</f>
        <v>GIGABYTE</v>
      </c>
      <c r="D457" s="14" t="s">
        <v>2336</v>
      </c>
      <c r="E457" s="11" t="s">
        <v>352</v>
      </c>
      <c r="F457" s="76" t="s">
        <v>8789</v>
      </c>
      <c r="G457" s="12" t="s">
        <v>407</v>
      </c>
      <c r="H457" s="12">
        <v>128</v>
      </c>
      <c r="I457" s="12">
        <v>6200</v>
      </c>
      <c r="J457" s="12">
        <v>4</v>
      </c>
      <c r="K457" s="12">
        <v>2</v>
      </c>
      <c r="L457" s="75" t="s">
        <v>4277</v>
      </c>
      <c r="M457" s="75" t="s">
        <v>4261</v>
      </c>
      <c r="N457" s="75" t="s">
        <v>4273</v>
      </c>
      <c r="O457" s="20" t="s">
        <v>3809</v>
      </c>
      <c r="P457" s="14" t="s">
        <v>450</v>
      </c>
      <c r="Q457" s="3">
        <v>349.35</v>
      </c>
      <c r="R457" s="3">
        <v>482.01</v>
      </c>
      <c r="S457" s="18" t="s">
        <v>3810</v>
      </c>
      <c r="T457" s="12"/>
    </row>
    <row r="458" spans="1:20" x14ac:dyDescent="0.25">
      <c r="A458" s="18" t="s">
        <v>3811</v>
      </c>
      <c r="B458" s="11" t="s">
        <v>450</v>
      </c>
      <c r="C458" s="4" t="str">
        <f t="shared" si="7"/>
        <v>GIGABYTE</v>
      </c>
      <c r="D458" s="14" t="s">
        <v>2336</v>
      </c>
      <c r="E458" s="11" t="s">
        <v>352</v>
      </c>
      <c r="F458" s="76" t="s">
        <v>8787</v>
      </c>
      <c r="G458" s="12" t="s">
        <v>407</v>
      </c>
      <c r="H458" s="12">
        <v>192</v>
      </c>
      <c r="I458" s="12">
        <v>7600</v>
      </c>
      <c r="J458" s="12">
        <v>4</v>
      </c>
      <c r="K458" s="12">
        <v>2</v>
      </c>
      <c r="L458" s="75" t="s">
        <v>4267</v>
      </c>
      <c r="M458" s="75" t="s">
        <v>4261</v>
      </c>
      <c r="N458" s="75" t="s">
        <v>4273</v>
      </c>
      <c r="O458" s="20" t="s">
        <v>3812</v>
      </c>
      <c r="P458" s="14" t="s">
        <v>2681</v>
      </c>
      <c r="Q458" s="3">
        <v>199</v>
      </c>
      <c r="R458" s="3">
        <v>384</v>
      </c>
      <c r="S458" s="18" t="s">
        <v>3813</v>
      </c>
      <c r="T458" s="12"/>
    </row>
    <row r="459" spans="1:20" x14ac:dyDescent="0.25">
      <c r="A459" s="18" t="s">
        <v>3814</v>
      </c>
      <c r="B459" s="11" t="s">
        <v>450</v>
      </c>
      <c r="C459" s="4" t="str">
        <f t="shared" si="7"/>
        <v>GIGABYTE</v>
      </c>
      <c r="D459" s="14" t="s">
        <v>2336</v>
      </c>
      <c r="E459" s="11" t="s">
        <v>352</v>
      </c>
      <c r="F459" s="76" t="s">
        <v>8787</v>
      </c>
      <c r="G459" s="12" t="s">
        <v>407</v>
      </c>
      <c r="H459" s="12">
        <v>192</v>
      </c>
      <c r="I459" s="12">
        <v>7600</v>
      </c>
      <c r="J459" s="12">
        <v>4</v>
      </c>
      <c r="K459" s="12">
        <v>2</v>
      </c>
      <c r="L459" s="75" t="s">
        <v>4267</v>
      </c>
      <c r="M459" s="75" t="s">
        <v>4261</v>
      </c>
      <c r="N459" s="75" t="s">
        <v>4273</v>
      </c>
      <c r="O459" s="20" t="s">
        <v>3815</v>
      </c>
      <c r="P459" s="14" t="s">
        <v>3108</v>
      </c>
      <c r="Q459" s="3">
        <v>235.89</v>
      </c>
      <c r="R459" s="3">
        <v>441.63</v>
      </c>
      <c r="S459" s="18" t="s">
        <v>3816</v>
      </c>
      <c r="T459" s="12"/>
    </row>
    <row r="460" spans="1:20" x14ac:dyDescent="0.25">
      <c r="A460" s="18" t="s">
        <v>3817</v>
      </c>
      <c r="B460" s="11" t="s">
        <v>450</v>
      </c>
      <c r="C460" s="4" t="str">
        <f t="shared" si="7"/>
        <v>GIGABYTE</v>
      </c>
      <c r="D460" s="14" t="s">
        <v>2336</v>
      </c>
      <c r="E460" s="11" t="s">
        <v>352</v>
      </c>
      <c r="F460" s="76" t="s">
        <v>8787</v>
      </c>
      <c r="G460" s="12" t="s">
        <v>406</v>
      </c>
      <c r="H460" s="12">
        <v>128</v>
      </c>
      <c r="I460" s="12">
        <v>5333</v>
      </c>
      <c r="J460" s="12">
        <v>4</v>
      </c>
      <c r="K460" s="12">
        <v>2</v>
      </c>
      <c r="L460" s="75" t="s">
        <v>4267</v>
      </c>
      <c r="M460" s="75" t="s">
        <v>4261</v>
      </c>
      <c r="N460" s="75" t="s">
        <v>4273</v>
      </c>
      <c r="O460" s="20" t="s">
        <v>3815</v>
      </c>
      <c r="P460" s="14" t="s">
        <v>2681</v>
      </c>
      <c r="Q460" s="3">
        <v>238.89</v>
      </c>
      <c r="R460" s="3">
        <v>333</v>
      </c>
      <c r="S460" s="18" t="s">
        <v>3818</v>
      </c>
      <c r="T460" s="12"/>
    </row>
    <row r="461" spans="1:20" x14ac:dyDescent="0.25">
      <c r="A461" s="18" t="s">
        <v>3819</v>
      </c>
      <c r="B461" s="11" t="s">
        <v>450</v>
      </c>
      <c r="C461" s="4" t="str">
        <f t="shared" si="7"/>
        <v>GIGABYTE</v>
      </c>
      <c r="D461" s="14" t="s">
        <v>2336</v>
      </c>
      <c r="E461" s="11" t="s">
        <v>352</v>
      </c>
      <c r="F461" s="76" t="s">
        <v>8787</v>
      </c>
      <c r="G461" s="12" t="s">
        <v>407</v>
      </c>
      <c r="H461" s="12">
        <v>192</v>
      </c>
      <c r="I461" s="12">
        <v>7600</v>
      </c>
      <c r="J461" s="12">
        <v>4</v>
      </c>
      <c r="K461" s="12">
        <v>2</v>
      </c>
      <c r="L461" s="75" t="s">
        <v>4267</v>
      </c>
      <c r="M461" s="75" t="s">
        <v>4261</v>
      </c>
      <c r="N461" s="75" t="s">
        <v>4273</v>
      </c>
      <c r="O461" s="20" t="s">
        <v>3815</v>
      </c>
      <c r="P461" s="14" t="s">
        <v>3108</v>
      </c>
      <c r="Q461" s="3">
        <v>237</v>
      </c>
      <c r="R461" s="3">
        <v>543.91</v>
      </c>
      <c r="S461" s="18" t="s">
        <v>3820</v>
      </c>
      <c r="T461" s="12"/>
    </row>
    <row r="462" spans="1:20" x14ac:dyDescent="0.25">
      <c r="A462" s="18" t="s">
        <v>3821</v>
      </c>
      <c r="B462" s="11" t="s">
        <v>450</v>
      </c>
      <c r="C462" s="4" t="str">
        <f t="shared" si="7"/>
        <v>GIGABYTE</v>
      </c>
      <c r="D462" s="14" t="s">
        <v>2336</v>
      </c>
      <c r="E462" s="11" t="s">
        <v>352</v>
      </c>
      <c r="F462" s="76" t="s">
        <v>8787</v>
      </c>
      <c r="G462" s="12" t="s">
        <v>407</v>
      </c>
      <c r="H462" s="12">
        <v>192</v>
      </c>
      <c r="I462" s="12">
        <v>7600</v>
      </c>
      <c r="J462" s="12">
        <v>4</v>
      </c>
      <c r="K462" s="12">
        <v>2</v>
      </c>
      <c r="L462" s="75" t="s">
        <v>4267</v>
      </c>
      <c r="M462" s="75" t="s">
        <v>4261</v>
      </c>
      <c r="N462" s="75" t="s">
        <v>4273</v>
      </c>
      <c r="O462" s="20" t="s">
        <v>3815</v>
      </c>
      <c r="P462" s="14" t="s">
        <v>3108</v>
      </c>
      <c r="Q462" s="3">
        <v>265.89</v>
      </c>
      <c r="R462" s="3">
        <v>315.35000000000002</v>
      </c>
      <c r="S462" s="18" t="s">
        <v>3822</v>
      </c>
      <c r="T462" s="12"/>
    </row>
    <row r="463" spans="1:20" x14ac:dyDescent="0.25">
      <c r="A463" s="18" t="s">
        <v>3823</v>
      </c>
      <c r="B463" s="11" t="s">
        <v>450</v>
      </c>
      <c r="C463" s="4" t="str">
        <f t="shared" si="7"/>
        <v>GIGABYTE</v>
      </c>
      <c r="D463" s="14" t="s">
        <v>2336</v>
      </c>
      <c r="E463" s="11" t="s">
        <v>352</v>
      </c>
      <c r="F463" s="76" t="s">
        <v>8787</v>
      </c>
      <c r="G463" s="12" t="s">
        <v>406</v>
      </c>
      <c r="H463" s="12">
        <v>128</v>
      </c>
      <c r="I463" s="12">
        <v>5333</v>
      </c>
      <c r="J463" s="12">
        <v>4</v>
      </c>
      <c r="K463" s="12">
        <v>2</v>
      </c>
      <c r="L463" s="75" t="s">
        <v>4267</v>
      </c>
      <c r="M463" s="75" t="s">
        <v>4261</v>
      </c>
      <c r="N463" s="75" t="s">
        <v>4273</v>
      </c>
      <c r="O463" s="20" t="s">
        <v>3824</v>
      </c>
      <c r="P463" s="14" t="s">
        <v>2681</v>
      </c>
      <c r="Q463" s="3">
        <v>186.9</v>
      </c>
      <c r="R463" s="3">
        <v>333.34</v>
      </c>
      <c r="S463" s="18" t="s">
        <v>3825</v>
      </c>
      <c r="T463" s="12"/>
    </row>
    <row r="464" spans="1:20" x14ac:dyDescent="0.25">
      <c r="A464" s="18" t="s">
        <v>3826</v>
      </c>
      <c r="B464" s="11" t="s">
        <v>450</v>
      </c>
      <c r="C464" s="4" t="str">
        <f t="shared" si="7"/>
        <v>GIGABYTE</v>
      </c>
      <c r="D464" s="14" t="s">
        <v>2336</v>
      </c>
      <c r="E464" s="11" t="s">
        <v>352</v>
      </c>
      <c r="F464" s="76" t="s">
        <v>8787</v>
      </c>
      <c r="G464" s="12" t="s">
        <v>407</v>
      </c>
      <c r="H464" s="12">
        <v>192</v>
      </c>
      <c r="I464" s="12">
        <v>8266</v>
      </c>
      <c r="J464" s="12">
        <v>4</v>
      </c>
      <c r="K464" s="12">
        <v>2</v>
      </c>
      <c r="L464" s="75" t="s">
        <v>4272</v>
      </c>
      <c r="M464" s="75" t="s">
        <v>4261</v>
      </c>
      <c r="N464" s="75" t="s">
        <v>4273</v>
      </c>
      <c r="O464" s="20" t="s">
        <v>3815</v>
      </c>
      <c r="P464" s="14" t="s">
        <v>3108</v>
      </c>
      <c r="Q464" s="3">
        <v>278.62</v>
      </c>
      <c r="R464" s="3">
        <v>426.36</v>
      </c>
      <c r="S464" s="18" t="s">
        <v>3827</v>
      </c>
      <c r="T464" s="12"/>
    </row>
    <row r="465" spans="1:20" x14ac:dyDescent="0.25">
      <c r="A465" s="18" t="s">
        <v>3828</v>
      </c>
      <c r="B465" s="11" t="s">
        <v>450</v>
      </c>
      <c r="C465" s="4" t="str">
        <f t="shared" si="7"/>
        <v>GIGABYTE</v>
      </c>
      <c r="D465" s="14" t="s">
        <v>4242</v>
      </c>
      <c r="E465" s="11" t="s">
        <v>352</v>
      </c>
      <c r="F465" s="76" t="s">
        <v>8787</v>
      </c>
      <c r="G465" s="12" t="s">
        <v>407</v>
      </c>
      <c r="H465" s="12">
        <v>192</v>
      </c>
      <c r="I465" s="12">
        <v>8000</v>
      </c>
      <c r="J465" s="12">
        <v>4</v>
      </c>
      <c r="K465" s="12">
        <v>2</v>
      </c>
      <c r="L465" s="75" t="s">
        <v>4277</v>
      </c>
      <c r="M465" s="75" t="s">
        <v>4261</v>
      </c>
      <c r="N465" s="75" t="s">
        <v>4254</v>
      </c>
      <c r="O465" s="20" t="s">
        <v>3829</v>
      </c>
      <c r="P465" s="14" t="s">
        <v>2681</v>
      </c>
      <c r="Q465" s="3">
        <v>436.91</v>
      </c>
      <c r="R465" s="3">
        <v>604</v>
      </c>
      <c r="S465" s="18" t="s">
        <v>3830</v>
      </c>
      <c r="T465" s="12"/>
    </row>
    <row r="466" spans="1:20" x14ac:dyDescent="0.25">
      <c r="A466" s="18" t="s">
        <v>3831</v>
      </c>
      <c r="B466" s="11" t="s">
        <v>450</v>
      </c>
      <c r="C466" s="4" t="str">
        <f t="shared" si="7"/>
        <v>GIGABYTE</v>
      </c>
      <c r="D466" s="14" t="s">
        <v>4242</v>
      </c>
      <c r="E466" s="11" t="s">
        <v>352</v>
      </c>
      <c r="F466" s="76" t="s">
        <v>8787</v>
      </c>
      <c r="G466" s="12" t="s">
        <v>407</v>
      </c>
      <c r="H466" s="12">
        <v>192</v>
      </c>
      <c r="I466" s="12">
        <v>8266</v>
      </c>
      <c r="J466" s="12">
        <v>4</v>
      </c>
      <c r="K466" s="12">
        <v>2</v>
      </c>
      <c r="L466" s="75" t="s">
        <v>4277</v>
      </c>
      <c r="M466" s="75" t="s">
        <v>4261</v>
      </c>
      <c r="N466" s="75" t="s">
        <v>4254</v>
      </c>
      <c r="O466" s="20" t="s">
        <v>3812</v>
      </c>
      <c r="P466" s="14" t="s">
        <v>2681</v>
      </c>
      <c r="Q466" s="3">
        <v>460.85</v>
      </c>
      <c r="R466" s="3">
        <v>635</v>
      </c>
      <c r="S466" s="18" t="s">
        <v>3832</v>
      </c>
      <c r="T466" s="12"/>
    </row>
    <row r="467" spans="1:20" x14ac:dyDescent="0.25">
      <c r="A467" s="18" t="s">
        <v>3833</v>
      </c>
      <c r="B467" s="11" t="s">
        <v>450</v>
      </c>
      <c r="C467" s="4" t="str">
        <f t="shared" si="7"/>
        <v>GIGABYTE</v>
      </c>
      <c r="D467" s="14" t="s">
        <v>2336</v>
      </c>
      <c r="E467" s="11" t="s">
        <v>352</v>
      </c>
      <c r="F467" s="76" t="s">
        <v>8787</v>
      </c>
      <c r="G467" s="12" t="s">
        <v>407</v>
      </c>
      <c r="H467" s="12">
        <v>192</v>
      </c>
      <c r="I467" s="12">
        <v>8266</v>
      </c>
      <c r="J467" s="12">
        <v>4</v>
      </c>
      <c r="K467" s="12">
        <v>2</v>
      </c>
      <c r="L467" s="75" t="s">
        <v>4267</v>
      </c>
      <c r="M467" s="75" t="s">
        <v>4261</v>
      </c>
      <c r="N467" s="75" t="s">
        <v>4273</v>
      </c>
      <c r="O467" s="20" t="s">
        <v>3834</v>
      </c>
      <c r="P467" s="14" t="s">
        <v>2681</v>
      </c>
      <c r="Q467" s="3">
        <v>319.95</v>
      </c>
      <c r="R467" s="3">
        <v>523.96</v>
      </c>
      <c r="S467" s="18" t="s">
        <v>3835</v>
      </c>
      <c r="T467" s="12"/>
    </row>
    <row r="468" spans="1:20" x14ac:dyDescent="0.25">
      <c r="A468" s="18" t="s">
        <v>3836</v>
      </c>
      <c r="B468" s="11" t="s">
        <v>450</v>
      </c>
      <c r="C468" s="4" t="str">
        <f t="shared" si="7"/>
        <v>GIGABYTE</v>
      </c>
      <c r="D468" s="14" t="s">
        <v>2336</v>
      </c>
      <c r="E468" s="11" t="s">
        <v>352</v>
      </c>
      <c r="F468" s="76" t="s">
        <v>8787</v>
      </c>
      <c r="G468" s="12" t="s">
        <v>407</v>
      </c>
      <c r="H468" s="12">
        <v>192</v>
      </c>
      <c r="I468" s="12">
        <v>8266</v>
      </c>
      <c r="J468" s="12">
        <v>4</v>
      </c>
      <c r="K468" s="12">
        <v>2</v>
      </c>
      <c r="L468" s="75" t="s">
        <v>4267</v>
      </c>
      <c r="M468" s="75" t="s">
        <v>4261</v>
      </c>
      <c r="N468" s="75" t="s">
        <v>4273</v>
      </c>
      <c r="O468" s="20" t="s">
        <v>3834</v>
      </c>
      <c r="P468" s="14" t="s">
        <v>2681</v>
      </c>
      <c r="Q468" s="3">
        <v>312.89999999999998</v>
      </c>
      <c r="R468" s="3">
        <v>454.63</v>
      </c>
      <c r="S468" s="18" t="s">
        <v>3837</v>
      </c>
      <c r="T468" s="12"/>
    </row>
    <row r="469" spans="1:20" x14ac:dyDescent="0.25">
      <c r="A469" s="18" t="s">
        <v>3838</v>
      </c>
      <c r="B469" s="11" t="s">
        <v>450</v>
      </c>
      <c r="C469" s="4" t="str">
        <f t="shared" si="7"/>
        <v>GIGABYTE</v>
      </c>
      <c r="D469" s="14" t="s">
        <v>4242</v>
      </c>
      <c r="E469" s="11" t="s">
        <v>352</v>
      </c>
      <c r="F469" s="76" t="s">
        <v>8787</v>
      </c>
      <c r="G469" s="12" t="s">
        <v>407</v>
      </c>
      <c r="H469" s="12">
        <v>96</v>
      </c>
      <c r="I469" s="12">
        <v>8333</v>
      </c>
      <c r="J469" s="12">
        <v>2</v>
      </c>
      <c r="K469" s="12">
        <v>2</v>
      </c>
      <c r="L469" s="75" t="s">
        <v>4316</v>
      </c>
      <c r="M469" s="75" t="s">
        <v>4261</v>
      </c>
      <c r="N469" s="75" t="s">
        <v>4290</v>
      </c>
      <c r="O469" s="20" t="s">
        <v>3815</v>
      </c>
      <c r="P469" s="14" t="s">
        <v>2681</v>
      </c>
      <c r="Q469" s="3">
        <v>391</v>
      </c>
      <c r="R469" s="3">
        <v>732.07</v>
      </c>
      <c r="S469" s="18" t="s">
        <v>3839</v>
      </c>
      <c r="T469" s="12"/>
    </row>
    <row r="470" spans="1:20" x14ac:dyDescent="0.25">
      <c r="A470" s="18" t="s">
        <v>3840</v>
      </c>
      <c r="B470" s="11" t="s">
        <v>450</v>
      </c>
      <c r="C470" s="4" t="str">
        <f t="shared" si="7"/>
        <v>GIGABYTE</v>
      </c>
      <c r="D470" s="14" t="s">
        <v>4242</v>
      </c>
      <c r="E470" s="11" t="s">
        <v>352</v>
      </c>
      <c r="F470" s="76" t="s">
        <v>8787</v>
      </c>
      <c r="G470" s="12" t="s">
        <v>407</v>
      </c>
      <c r="H470" s="12">
        <v>192</v>
      </c>
      <c r="I470" s="12">
        <v>8266</v>
      </c>
      <c r="J470" s="12">
        <v>4</v>
      </c>
      <c r="K470" s="12">
        <v>2</v>
      </c>
      <c r="L470" s="75" t="s">
        <v>4268</v>
      </c>
      <c r="M470" s="75" t="s">
        <v>4247</v>
      </c>
      <c r="N470" s="75" t="s">
        <v>418</v>
      </c>
      <c r="O470" s="20" t="s">
        <v>3841</v>
      </c>
      <c r="P470" s="14" t="s">
        <v>2681</v>
      </c>
      <c r="Q470" s="3">
        <v>1937.66</v>
      </c>
      <c r="R470" s="3">
        <v>2081.14</v>
      </c>
      <c r="S470" s="18" t="s">
        <v>3842</v>
      </c>
      <c r="T470" s="12"/>
    </row>
    <row r="471" spans="1:20" x14ac:dyDescent="0.25">
      <c r="A471" s="18" t="s">
        <v>3843</v>
      </c>
      <c r="B471" s="11" t="s">
        <v>450</v>
      </c>
      <c r="C471" s="4" t="str">
        <f t="shared" si="7"/>
        <v>GIGABYTE</v>
      </c>
      <c r="D471" s="14" t="s">
        <v>2336</v>
      </c>
      <c r="E471" s="11" t="s">
        <v>352</v>
      </c>
      <c r="F471" s="76" t="s">
        <v>8787</v>
      </c>
      <c r="G471" s="12" t="s">
        <v>407</v>
      </c>
      <c r="H471" s="12">
        <v>192</v>
      </c>
      <c r="I471" s="12">
        <v>7600</v>
      </c>
      <c r="J471" s="12">
        <v>4</v>
      </c>
      <c r="K471" s="12">
        <v>2</v>
      </c>
      <c r="L471" s="75" t="s">
        <v>4274</v>
      </c>
      <c r="M471" s="75" t="s">
        <v>4285</v>
      </c>
      <c r="N471" s="75" t="s">
        <v>4276</v>
      </c>
      <c r="O471" s="20" t="s">
        <v>3844</v>
      </c>
      <c r="P471" s="14" t="s">
        <v>2681</v>
      </c>
      <c r="Q471" s="3">
        <v>174.9</v>
      </c>
      <c r="R471" s="3">
        <v>201.93</v>
      </c>
      <c r="S471" s="18" t="s">
        <v>3845</v>
      </c>
      <c r="T471" s="12"/>
    </row>
    <row r="472" spans="1:20" x14ac:dyDescent="0.25">
      <c r="A472" s="18" t="s">
        <v>3846</v>
      </c>
      <c r="B472" s="11" t="s">
        <v>450</v>
      </c>
      <c r="C472" s="4" t="str">
        <f t="shared" si="7"/>
        <v>GIGABYTE</v>
      </c>
      <c r="D472" s="14" t="s">
        <v>2336</v>
      </c>
      <c r="E472" s="11" t="s">
        <v>352</v>
      </c>
      <c r="F472" s="76" t="s">
        <v>8787</v>
      </c>
      <c r="G472" s="12" t="s">
        <v>407</v>
      </c>
      <c r="H472" s="12">
        <v>192</v>
      </c>
      <c r="I472" s="12">
        <v>7600</v>
      </c>
      <c r="J472" s="12">
        <v>4</v>
      </c>
      <c r="K472" s="12">
        <v>2</v>
      </c>
      <c r="L472" s="75" t="s">
        <v>4274</v>
      </c>
      <c r="M472" s="75" t="s">
        <v>4285</v>
      </c>
      <c r="N472" s="75" t="s">
        <v>4276</v>
      </c>
      <c r="O472" s="20" t="s">
        <v>3847</v>
      </c>
      <c r="P472" s="14" t="s">
        <v>2681</v>
      </c>
      <c r="Q472" s="3">
        <v>182.89</v>
      </c>
      <c r="R472" s="3">
        <v>230.1</v>
      </c>
      <c r="S472" s="18" t="s">
        <v>3848</v>
      </c>
      <c r="T472" s="12"/>
    </row>
    <row r="473" spans="1:20" x14ac:dyDescent="0.25">
      <c r="A473" s="18" t="s">
        <v>3849</v>
      </c>
      <c r="B473" s="11" t="s">
        <v>450</v>
      </c>
      <c r="C473" s="4" t="str">
        <f t="shared" si="7"/>
        <v>GIGABYTE</v>
      </c>
      <c r="D473" s="14" t="s">
        <v>2336</v>
      </c>
      <c r="E473" s="11" t="s">
        <v>352</v>
      </c>
      <c r="F473" s="76" t="s">
        <v>8787</v>
      </c>
      <c r="G473" s="12" t="s">
        <v>407</v>
      </c>
      <c r="H473" s="12">
        <v>192</v>
      </c>
      <c r="I473" s="12">
        <v>7600</v>
      </c>
      <c r="J473" s="12">
        <v>4</v>
      </c>
      <c r="K473" s="12">
        <v>2</v>
      </c>
      <c r="L473" s="75" t="s">
        <v>4274</v>
      </c>
      <c r="M473" s="75" t="s">
        <v>4285</v>
      </c>
      <c r="N473" s="75" t="s">
        <v>4276</v>
      </c>
      <c r="O473" s="20" t="s">
        <v>3847</v>
      </c>
      <c r="P473" s="14" t="s">
        <v>2681</v>
      </c>
      <c r="Q473" s="3">
        <v>187.9</v>
      </c>
      <c r="R473" s="3">
        <v>279.26</v>
      </c>
      <c r="S473" s="18" t="s">
        <v>3850</v>
      </c>
      <c r="T473" s="12"/>
    </row>
    <row r="474" spans="1:20" x14ac:dyDescent="0.25">
      <c r="A474" s="18" t="s">
        <v>3851</v>
      </c>
      <c r="B474" s="11" t="s">
        <v>450</v>
      </c>
      <c r="C474" s="4" t="str">
        <f t="shared" si="7"/>
        <v>GIGABYTE</v>
      </c>
      <c r="D474" s="14" t="s">
        <v>2336</v>
      </c>
      <c r="E474" s="11" t="s">
        <v>352</v>
      </c>
      <c r="F474" s="76" t="s">
        <v>8787</v>
      </c>
      <c r="G474" s="12" t="s">
        <v>407</v>
      </c>
      <c r="H474" s="12">
        <v>192</v>
      </c>
      <c r="I474" s="12">
        <v>7600</v>
      </c>
      <c r="J474" s="12">
        <v>4</v>
      </c>
      <c r="K474" s="12">
        <v>2</v>
      </c>
      <c r="L474" s="75" t="s">
        <v>4267</v>
      </c>
      <c r="M474" s="75" t="s">
        <v>4261</v>
      </c>
      <c r="N474" s="75" t="s">
        <v>4273</v>
      </c>
      <c r="O474" s="20" t="s">
        <v>3815</v>
      </c>
      <c r="P474" s="14" t="s">
        <v>3108</v>
      </c>
      <c r="Q474" s="3">
        <v>254.5</v>
      </c>
      <c r="R474" s="3">
        <v>319.89999999999998</v>
      </c>
      <c r="S474" s="18" t="s">
        <v>3852</v>
      </c>
      <c r="T474" s="12"/>
    </row>
    <row r="475" spans="1:20" x14ac:dyDescent="0.25">
      <c r="A475" s="18" t="s">
        <v>3853</v>
      </c>
      <c r="B475" s="11" t="s">
        <v>450</v>
      </c>
      <c r="C475" s="4" t="str">
        <f t="shared" si="7"/>
        <v>GIGABYTE</v>
      </c>
      <c r="D475" s="14" t="s">
        <v>2336</v>
      </c>
      <c r="E475" s="11" t="s">
        <v>352</v>
      </c>
      <c r="F475" s="76" t="s">
        <v>8787</v>
      </c>
      <c r="G475" s="12" t="s">
        <v>406</v>
      </c>
      <c r="H475" s="12">
        <v>128</v>
      </c>
      <c r="I475" s="12">
        <v>5333</v>
      </c>
      <c r="J475" s="12">
        <v>4</v>
      </c>
      <c r="K475" s="12">
        <v>2</v>
      </c>
      <c r="L475" s="75" t="s">
        <v>4250</v>
      </c>
      <c r="M475" s="75" t="s">
        <v>4261</v>
      </c>
      <c r="N475" s="75" t="s">
        <v>4251</v>
      </c>
      <c r="O475" s="20" t="s">
        <v>3645</v>
      </c>
      <c r="P475" s="14" t="s">
        <v>2681</v>
      </c>
      <c r="Q475" s="3">
        <v>156.9</v>
      </c>
      <c r="R475" s="3">
        <v>222.1</v>
      </c>
      <c r="S475" s="18" t="s">
        <v>3854</v>
      </c>
      <c r="T475" s="12"/>
    </row>
    <row r="476" spans="1:20" x14ac:dyDescent="0.25">
      <c r="A476" s="18" t="s">
        <v>3855</v>
      </c>
      <c r="B476" s="11" t="s">
        <v>450</v>
      </c>
      <c r="C476" s="4" t="str">
        <f t="shared" si="7"/>
        <v>GIGABYTE</v>
      </c>
      <c r="D476" s="14" t="s">
        <v>2336</v>
      </c>
      <c r="E476" s="11" t="s">
        <v>352</v>
      </c>
      <c r="F476" s="76" t="s">
        <v>8787</v>
      </c>
      <c r="G476" s="12" t="s">
        <v>407</v>
      </c>
      <c r="H476" s="12">
        <v>192</v>
      </c>
      <c r="I476" s="12">
        <v>7600</v>
      </c>
      <c r="J476" s="12">
        <v>4</v>
      </c>
      <c r="K476" s="12">
        <v>2</v>
      </c>
      <c r="L476" s="75" t="s">
        <v>4274</v>
      </c>
      <c r="M476" s="75" t="s">
        <v>4285</v>
      </c>
      <c r="N476" s="75" t="s">
        <v>4276</v>
      </c>
      <c r="O476" s="20" t="s">
        <v>3856</v>
      </c>
      <c r="P476" s="14" t="s">
        <v>3108</v>
      </c>
      <c r="Q476" s="3">
        <v>168.9</v>
      </c>
      <c r="R476" s="3">
        <v>239</v>
      </c>
      <c r="S476" s="18" t="s">
        <v>3857</v>
      </c>
      <c r="T476" s="12"/>
    </row>
    <row r="477" spans="1:20" x14ac:dyDescent="0.25">
      <c r="A477" s="18" t="s">
        <v>3858</v>
      </c>
      <c r="B477" s="11" t="s">
        <v>450</v>
      </c>
      <c r="C477" s="4" t="str">
        <f t="shared" si="7"/>
        <v>GIGABYTE</v>
      </c>
      <c r="D477" s="14" t="s">
        <v>2336</v>
      </c>
      <c r="E477" s="11" t="s">
        <v>352</v>
      </c>
      <c r="F477" s="76" t="s">
        <v>8787</v>
      </c>
      <c r="G477" s="12" t="s">
        <v>407</v>
      </c>
      <c r="H477" s="12">
        <v>192</v>
      </c>
      <c r="I477" s="12">
        <v>7600</v>
      </c>
      <c r="J477" s="12">
        <v>4</v>
      </c>
      <c r="K477" s="12">
        <v>2</v>
      </c>
      <c r="L477" s="75" t="s">
        <v>4274</v>
      </c>
      <c r="M477" s="75" t="s">
        <v>4285</v>
      </c>
      <c r="N477" s="75" t="s">
        <v>4276</v>
      </c>
      <c r="O477" s="20" t="s">
        <v>3859</v>
      </c>
      <c r="P477" s="14" t="s">
        <v>3108</v>
      </c>
      <c r="Q477" s="3">
        <v>212.54</v>
      </c>
      <c r="R477" s="3">
        <v>281.51</v>
      </c>
      <c r="S477" s="18" t="s">
        <v>3860</v>
      </c>
      <c r="T477" s="12"/>
    </row>
    <row r="478" spans="1:20" x14ac:dyDescent="0.25">
      <c r="A478" s="18" t="s">
        <v>3861</v>
      </c>
      <c r="B478" s="11" t="s">
        <v>450</v>
      </c>
      <c r="C478" s="4" t="str">
        <f t="shared" si="7"/>
        <v>GIGABYTE</v>
      </c>
      <c r="D478" s="14" t="s">
        <v>4242</v>
      </c>
      <c r="E478" s="11" t="s">
        <v>398</v>
      </c>
      <c r="F478" s="76" t="s">
        <v>8788</v>
      </c>
      <c r="G478" s="12" t="s">
        <v>407</v>
      </c>
      <c r="H478" s="12">
        <v>256</v>
      </c>
      <c r="I478" s="12">
        <v>9500</v>
      </c>
      <c r="J478" s="12">
        <v>4</v>
      </c>
      <c r="K478" s="12">
        <v>2</v>
      </c>
      <c r="L478" s="75" t="s">
        <v>4289</v>
      </c>
      <c r="M478" s="75" t="s">
        <v>4261</v>
      </c>
      <c r="N478" s="75" t="s">
        <v>4290</v>
      </c>
      <c r="O478" s="20" t="s">
        <v>3862</v>
      </c>
      <c r="P478" s="14" t="s">
        <v>3863</v>
      </c>
      <c r="Q478" s="3">
        <v>719.95</v>
      </c>
      <c r="R478" s="3">
        <v>1012.13</v>
      </c>
      <c r="S478" s="18" t="s">
        <v>3864</v>
      </c>
      <c r="T478" s="12"/>
    </row>
    <row r="479" spans="1:20" x14ac:dyDescent="0.25">
      <c r="A479" s="18" t="s">
        <v>3865</v>
      </c>
      <c r="B479" s="11" t="s">
        <v>450</v>
      </c>
      <c r="C479" s="4" t="str">
        <f t="shared" si="7"/>
        <v>GIGABYTE</v>
      </c>
      <c r="D479" s="14" t="s">
        <v>2336</v>
      </c>
      <c r="E479" s="11" t="s">
        <v>398</v>
      </c>
      <c r="F479" s="76" t="s">
        <v>8788</v>
      </c>
      <c r="G479" s="12" t="s">
        <v>407</v>
      </c>
      <c r="H479" s="12">
        <v>256</v>
      </c>
      <c r="I479" s="12">
        <v>8800</v>
      </c>
      <c r="J479" s="12">
        <v>4</v>
      </c>
      <c r="K479" s="12">
        <v>2</v>
      </c>
      <c r="L479" s="75" t="s">
        <v>4289</v>
      </c>
      <c r="M479" s="75" t="s">
        <v>4261</v>
      </c>
      <c r="N479" s="75" t="s">
        <v>4290</v>
      </c>
      <c r="O479" s="20" t="s">
        <v>3866</v>
      </c>
      <c r="P479" s="14" t="s">
        <v>2610</v>
      </c>
      <c r="Q479" s="3">
        <v>350.35</v>
      </c>
      <c r="R479" s="3">
        <v>517.29</v>
      </c>
      <c r="S479" s="18" t="s">
        <v>3867</v>
      </c>
      <c r="T479" s="12"/>
    </row>
    <row r="480" spans="1:20" x14ac:dyDescent="0.25">
      <c r="A480" s="18" t="s">
        <v>3868</v>
      </c>
      <c r="B480" s="11" t="s">
        <v>450</v>
      </c>
      <c r="C480" s="4" t="str">
        <f t="shared" si="7"/>
        <v>GIGABYTE</v>
      </c>
      <c r="D480" s="14" t="s">
        <v>4242</v>
      </c>
      <c r="E480" s="11" t="s">
        <v>398</v>
      </c>
      <c r="F480" s="76" t="s">
        <v>8788</v>
      </c>
      <c r="G480" s="12" t="s">
        <v>407</v>
      </c>
      <c r="H480" s="12">
        <v>256</v>
      </c>
      <c r="I480" s="12">
        <v>9500</v>
      </c>
      <c r="J480" s="12">
        <v>4</v>
      </c>
      <c r="K480" s="12">
        <v>2</v>
      </c>
      <c r="L480" s="75" t="s">
        <v>4289</v>
      </c>
      <c r="M480" s="75" t="s">
        <v>4261</v>
      </c>
      <c r="N480" s="75" t="s">
        <v>4290</v>
      </c>
      <c r="O480" s="20" t="s">
        <v>3862</v>
      </c>
      <c r="P480" s="14" t="s">
        <v>3863</v>
      </c>
      <c r="Q480" s="3">
        <v>647.79</v>
      </c>
      <c r="R480" s="3">
        <v>746</v>
      </c>
      <c r="S480" s="18" t="s">
        <v>3869</v>
      </c>
      <c r="T480" s="12"/>
    </row>
    <row r="481" spans="1:20" x14ac:dyDescent="0.25">
      <c r="A481" s="18" t="s">
        <v>3870</v>
      </c>
      <c r="B481" s="11" t="s">
        <v>450</v>
      </c>
      <c r="C481" s="4" t="str">
        <f t="shared" si="7"/>
        <v>GIGABYTE</v>
      </c>
      <c r="D481" s="14" t="s">
        <v>2336</v>
      </c>
      <c r="E481" s="11" t="s">
        <v>398</v>
      </c>
      <c r="F481" s="76" t="s">
        <v>8788</v>
      </c>
      <c r="G481" s="12" t="s">
        <v>407</v>
      </c>
      <c r="H481" s="12">
        <v>256</v>
      </c>
      <c r="I481" s="12">
        <v>8800</v>
      </c>
      <c r="J481" s="12">
        <v>4</v>
      </c>
      <c r="K481" s="12">
        <v>2</v>
      </c>
      <c r="L481" s="75" t="s">
        <v>4272</v>
      </c>
      <c r="M481" s="75" t="s">
        <v>4261</v>
      </c>
      <c r="N481" s="75" t="s">
        <v>4273</v>
      </c>
      <c r="O481" s="20" t="s">
        <v>3871</v>
      </c>
      <c r="P481" s="14" t="s">
        <v>2610</v>
      </c>
      <c r="Q481" s="3">
        <v>294.14</v>
      </c>
      <c r="R481" s="3">
        <v>427</v>
      </c>
      <c r="S481" s="18" t="s">
        <v>3872</v>
      </c>
      <c r="T481" s="12"/>
    </row>
    <row r="482" spans="1:20" x14ac:dyDescent="0.25">
      <c r="A482" s="18" t="s">
        <v>3873</v>
      </c>
      <c r="B482" s="11" t="s">
        <v>450</v>
      </c>
      <c r="C482" s="4" t="str">
        <f t="shared" si="7"/>
        <v>GIGABYTE</v>
      </c>
      <c r="D482" s="14" t="s">
        <v>2336</v>
      </c>
      <c r="E482" s="11" t="s">
        <v>398</v>
      </c>
      <c r="F482" s="76" t="s">
        <v>8788</v>
      </c>
      <c r="G482" s="12" t="s">
        <v>407</v>
      </c>
      <c r="H482" s="12">
        <v>256</v>
      </c>
      <c r="I482" s="12">
        <v>8800</v>
      </c>
      <c r="J482" s="12">
        <v>4</v>
      </c>
      <c r="K482" s="12">
        <v>2</v>
      </c>
      <c r="L482" s="75" t="s">
        <v>4272</v>
      </c>
      <c r="M482" s="75" t="s">
        <v>4261</v>
      </c>
      <c r="N482" s="75" t="s">
        <v>4273</v>
      </c>
      <c r="O482" s="20" t="s">
        <v>3871</v>
      </c>
      <c r="P482" s="14" t="s">
        <v>2610</v>
      </c>
      <c r="Q482" s="3">
        <v>282.99</v>
      </c>
      <c r="R482" s="3">
        <v>426.99</v>
      </c>
      <c r="S482" s="18" t="s">
        <v>3874</v>
      </c>
      <c r="T482" s="12"/>
    </row>
    <row r="483" spans="1:20" x14ac:dyDescent="0.25">
      <c r="A483" s="18" t="s">
        <v>3875</v>
      </c>
      <c r="B483" s="11" t="s">
        <v>450</v>
      </c>
      <c r="C483" s="4" t="str">
        <f t="shared" si="7"/>
        <v>GIGABYTE</v>
      </c>
      <c r="D483" s="14" t="s">
        <v>2336</v>
      </c>
      <c r="E483" s="11" t="s">
        <v>398</v>
      </c>
      <c r="F483" s="76" t="s">
        <v>8788</v>
      </c>
      <c r="G483" s="12" t="s">
        <v>407</v>
      </c>
      <c r="H483" s="12">
        <v>256</v>
      </c>
      <c r="I483" s="12">
        <v>9500</v>
      </c>
      <c r="J483" s="12">
        <v>4</v>
      </c>
      <c r="K483" s="12">
        <v>2</v>
      </c>
      <c r="L483" s="75" t="s">
        <v>4272</v>
      </c>
      <c r="M483" s="75" t="s">
        <v>4261</v>
      </c>
      <c r="N483" s="75" t="s">
        <v>4254</v>
      </c>
      <c r="O483" s="20" t="s">
        <v>3876</v>
      </c>
      <c r="P483" s="14" t="s">
        <v>2610</v>
      </c>
      <c r="Q483" s="3">
        <v>337.93</v>
      </c>
      <c r="R483" s="3">
        <v>500.61</v>
      </c>
      <c r="S483" s="18" t="s">
        <v>3877</v>
      </c>
      <c r="T483" s="12"/>
    </row>
    <row r="484" spans="1:20" x14ac:dyDescent="0.25">
      <c r="A484" s="18" t="s">
        <v>3878</v>
      </c>
      <c r="B484" s="11" t="s">
        <v>450</v>
      </c>
      <c r="C484" s="4" t="str">
        <f t="shared" si="7"/>
        <v>GIGABYTE</v>
      </c>
      <c r="D484" s="14" t="s">
        <v>2336</v>
      </c>
      <c r="E484" s="11" t="s">
        <v>398</v>
      </c>
      <c r="F484" s="76" t="s">
        <v>8788</v>
      </c>
      <c r="G484" s="12" t="s">
        <v>407</v>
      </c>
      <c r="H484" s="12">
        <v>256</v>
      </c>
      <c r="I484" s="12">
        <v>9500</v>
      </c>
      <c r="J484" s="12">
        <v>4</v>
      </c>
      <c r="K484" s="12">
        <v>2</v>
      </c>
      <c r="L484" s="75" t="s">
        <v>4267</v>
      </c>
      <c r="M484" s="75" t="s">
        <v>4261</v>
      </c>
      <c r="N484" s="75" t="s">
        <v>4254</v>
      </c>
      <c r="O484" s="20" t="s">
        <v>3879</v>
      </c>
      <c r="P484" s="14" t="s">
        <v>2610</v>
      </c>
      <c r="Q484" s="3">
        <v>585.9</v>
      </c>
      <c r="R484" s="3">
        <v>834</v>
      </c>
      <c r="S484" s="18" t="s">
        <v>3880</v>
      </c>
      <c r="T484" s="12"/>
    </row>
    <row r="485" spans="1:20" x14ac:dyDescent="0.25">
      <c r="A485" s="18" t="s">
        <v>3881</v>
      </c>
      <c r="B485" s="11" t="s">
        <v>450</v>
      </c>
      <c r="C485" s="4" t="str">
        <f t="shared" si="7"/>
        <v>GIGABYTE</v>
      </c>
      <c r="D485" s="14" t="s">
        <v>4242</v>
      </c>
      <c r="E485" s="11" t="s">
        <v>398</v>
      </c>
      <c r="F485" s="76" t="s">
        <v>8788</v>
      </c>
      <c r="G485" s="12" t="s">
        <v>407</v>
      </c>
      <c r="H485" s="12">
        <v>256</v>
      </c>
      <c r="I485" s="12">
        <v>9500</v>
      </c>
      <c r="J485" s="12">
        <v>4</v>
      </c>
      <c r="K485" s="12">
        <v>2</v>
      </c>
      <c r="L485" s="75" t="s">
        <v>4289</v>
      </c>
      <c r="M485" s="75" t="s">
        <v>4261</v>
      </c>
      <c r="N485" s="75" t="s">
        <v>4290</v>
      </c>
      <c r="O485" s="20" t="s">
        <v>3882</v>
      </c>
      <c r="P485" s="14" t="s">
        <v>2610</v>
      </c>
      <c r="Q485" s="3">
        <v>848.9</v>
      </c>
      <c r="R485" s="3">
        <v>969</v>
      </c>
      <c r="S485" s="18" t="s">
        <v>3883</v>
      </c>
      <c r="T485" s="12"/>
    </row>
    <row r="486" spans="1:20" x14ac:dyDescent="0.25">
      <c r="A486" s="18" t="s">
        <v>3884</v>
      </c>
      <c r="B486" s="11" t="s">
        <v>450</v>
      </c>
      <c r="C486" s="4" t="str">
        <f t="shared" si="7"/>
        <v>GIGABYTE</v>
      </c>
      <c r="D486" s="14" t="s">
        <v>2336</v>
      </c>
      <c r="E486" s="11" t="s">
        <v>398</v>
      </c>
      <c r="F486" s="76" t="s">
        <v>8788</v>
      </c>
      <c r="G486" s="12" t="s">
        <v>407</v>
      </c>
      <c r="H486" s="12">
        <v>256</v>
      </c>
      <c r="I486" s="12">
        <v>9500</v>
      </c>
      <c r="J486" s="12">
        <v>4</v>
      </c>
      <c r="K486" s="12">
        <v>2</v>
      </c>
      <c r="L486" s="75" t="s">
        <v>4272</v>
      </c>
      <c r="M486" s="75" t="s">
        <v>4261</v>
      </c>
      <c r="N486" s="75" t="s">
        <v>4254</v>
      </c>
      <c r="O486" s="20" t="s">
        <v>3876</v>
      </c>
      <c r="P486" s="14" t="s">
        <v>2610</v>
      </c>
      <c r="Q486" s="3">
        <v>308.36</v>
      </c>
      <c r="R486" s="3">
        <v>550.41</v>
      </c>
      <c r="S486" s="18" t="s">
        <v>3885</v>
      </c>
      <c r="T486" s="12"/>
    </row>
    <row r="487" spans="1:20" x14ac:dyDescent="0.25">
      <c r="A487" s="18" t="s">
        <v>3886</v>
      </c>
      <c r="B487" s="11" t="s">
        <v>450</v>
      </c>
      <c r="C487" s="4" t="str">
        <f t="shared" si="7"/>
        <v>GIGABYTE</v>
      </c>
      <c r="D487" s="14" t="s">
        <v>4242</v>
      </c>
      <c r="E487" s="11" t="s">
        <v>398</v>
      </c>
      <c r="F487" s="76" t="s">
        <v>8788</v>
      </c>
      <c r="G487" s="12" t="s">
        <v>407</v>
      </c>
      <c r="H487" s="12">
        <v>256</v>
      </c>
      <c r="I487" s="12">
        <v>9500</v>
      </c>
      <c r="J487" s="12">
        <v>4</v>
      </c>
      <c r="K487" s="12">
        <v>2</v>
      </c>
      <c r="L487" s="75" t="s">
        <v>4289</v>
      </c>
      <c r="M487" s="75" t="s">
        <v>4261</v>
      </c>
      <c r="N487" s="75" t="s">
        <v>4290</v>
      </c>
      <c r="O487" s="20" t="s">
        <v>3887</v>
      </c>
      <c r="P487" s="14" t="s">
        <v>2610</v>
      </c>
      <c r="Q487" s="3">
        <v>1499</v>
      </c>
      <c r="R487" s="3">
        <v>2072.1</v>
      </c>
      <c r="S487" s="18" t="s">
        <v>3888</v>
      </c>
      <c r="T487" s="12"/>
    </row>
    <row r="488" spans="1:20" x14ac:dyDescent="0.25">
      <c r="A488" s="18" t="s">
        <v>3889</v>
      </c>
      <c r="B488" s="11" t="s">
        <v>450</v>
      </c>
      <c r="C488" s="4" t="str">
        <f t="shared" si="7"/>
        <v>GIGABYTE</v>
      </c>
      <c r="D488" s="14" t="s">
        <v>2336</v>
      </c>
      <c r="E488" s="11" t="s">
        <v>398</v>
      </c>
      <c r="F488" s="76" t="s">
        <v>8788</v>
      </c>
      <c r="G488" s="12" t="s">
        <v>407</v>
      </c>
      <c r="H488" s="12">
        <v>256</v>
      </c>
      <c r="I488" s="12">
        <v>8800</v>
      </c>
      <c r="J488" s="12">
        <v>4</v>
      </c>
      <c r="K488" s="12">
        <v>2</v>
      </c>
      <c r="L488" s="75" t="s">
        <v>4272</v>
      </c>
      <c r="M488" s="75" t="s">
        <v>4261</v>
      </c>
      <c r="N488" s="75" t="s">
        <v>4273</v>
      </c>
      <c r="O488" s="20" t="s">
        <v>3890</v>
      </c>
      <c r="P488" s="14" t="s">
        <v>2610</v>
      </c>
      <c r="Q488" s="3">
        <v>224.9</v>
      </c>
      <c r="R488" s="3">
        <v>327.39</v>
      </c>
      <c r="S488" s="18" t="s">
        <v>3891</v>
      </c>
      <c r="T488" s="12"/>
    </row>
    <row r="489" spans="1:20" x14ac:dyDescent="0.25">
      <c r="A489" s="18" t="s">
        <v>3892</v>
      </c>
      <c r="B489" s="11" t="s">
        <v>450</v>
      </c>
      <c r="C489" s="4" t="str">
        <f t="shared" si="7"/>
        <v>GIGABYTE</v>
      </c>
      <c r="D489" s="14" t="s">
        <v>2336</v>
      </c>
      <c r="E489" s="11" t="s">
        <v>398</v>
      </c>
      <c r="F489" s="76" t="s">
        <v>8788</v>
      </c>
      <c r="G489" s="12" t="s">
        <v>407</v>
      </c>
      <c r="H489" s="12">
        <v>256</v>
      </c>
      <c r="I489" s="12">
        <v>8800</v>
      </c>
      <c r="J489" s="12">
        <v>4</v>
      </c>
      <c r="K489" s="12">
        <v>2</v>
      </c>
      <c r="L489" s="75" t="s">
        <v>4272</v>
      </c>
      <c r="M489" s="75" t="s">
        <v>4261</v>
      </c>
      <c r="N489" s="75" t="s">
        <v>4273</v>
      </c>
      <c r="O489" s="20" t="s">
        <v>3882</v>
      </c>
      <c r="P489" s="14" t="s">
        <v>2610</v>
      </c>
      <c r="Q489" s="3">
        <v>229.94</v>
      </c>
      <c r="R489" s="3">
        <v>351.45</v>
      </c>
      <c r="S489" s="18" t="s">
        <v>3893</v>
      </c>
      <c r="T489" s="12"/>
    </row>
    <row r="490" spans="1:20" x14ac:dyDescent="0.25">
      <c r="A490" s="18" t="s">
        <v>3894</v>
      </c>
      <c r="B490" s="11" t="s">
        <v>450</v>
      </c>
      <c r="C490" s="4" t="str">
        <f t="shared" si="7"/>
        <v>GIGABYTE</v>
      </c>
      <c r="D490" s="14" t="s">
        <v>2336</v>
      </c>
      <c r="E490" s="11" t="s">
        <v>398</v>
      </c>
      <c r="F490" s="76" t="s">
        <v>8788</v>
      </c>
      <c r="G490" s="12" t="s">
        <v>407</v>
      </c>
      <c r="H490" s="12">
        <v>256</v>
      </c>
      <c r="I490" s="12">
        <v>8800</v>
      </c>
      <c r="J490" s="12">
        <v>4</v>
      </c>
      <c r="K490" s="12">
        <v>2</v>
      </c>
      <c r="L490" s="75" t="s">
        <v>4272</v>
      </c>
      <c r="M490" s="75" t="s">
        <v>4261</v>
      </c>
      <c r="N490" s="75" t="s">
        <v>4273</v>
      </c>
      <c r="O490" s="20" t="s">
        <v>3882</v>
      </c>
      <c r="P490" s="14" t="s">
        <v>2610</v>
      </c>
      <c r="Q490" s="3">
        <v>249.95</v>
      </c>
      <c r="R490" s="3">
        <v>384.81</v>
      </c>
      <c r="S490" s="18" t="s">
        <v>3895</v>
      </c>
      <c r="T490" s="12"/>
    </row>
    <row r="491" spans="1:20" x14ac:dyDescent="0.25">
      <c r="A491" s="18" t="s">
        <v>3896</v>
      </c>
      <c r="B491" s="11" t="s">
        <v>450</v>
      </c>
      <c r="C491" s="4" t="str">
        <f t="shared" si="7"/>
        <v>GIGABYTE</v>
      </c>
      <c r="D491" s="14" t="s">
        <v>2336</v>
      </c>
      <c r="E491" s="11" t="s">
        <v>398</v>
      </c>
      <c r="F491" s="76" t="s">
        <v>8788</v>
      </c>
      <c r="G491" s="12" t="s">
        <v>407</v>
      </c>
      <c r="H491" s="12">
        <v>256</v>
      </c>
      <c r="I491" s="12">
        <v>8800</v>
      </c>
      <c r="J491" s="12">
        <v>4</v>
      </c>
      <c r="K491" s="12">
        <v>2</v>
      </c>
      <c r="L491" s="75" t="s">
        <v>4279</v>
      </c>
      <c r="M491" s="75" t="s">
        <v>4291</v>
      </c>
      <c r="N491" s="75" t="s">
        <v>4291</v>
      </c>
      <c r="O491" s="20" t="s">
        <v>3897</v>
      </c>
      <c r="P491" s="14" t="s">
        <v>2610</v>
      </c>
      <c r="Q491" s="3">
        <v>217.45</v>
      </c>
      <c r="R491" s="3">
        <v>292</v>
      </c>
      <c r="S491" s="18" t="s">
        <v>3898</v>
      </c>
      <c r="T491" s="12"/>
    </row>
    <row r="492" spans="1:20" x14ac:dyDescent="0.25">
      <c r="A492" s="18" t="s">
        <v>3899</v>
      </c>
      <c r="B492" s="11" t="s">
        <v>450</v>
      </c>
      <c r="C492" s="4" t="str">
        <f t="shared" si="7"/>
        <v>GIGABYTE</v>
      </c>
      <c r="D492" s="14" t="s">
        <v>2311</v>
      </c>
      <c r="E492" s="11" t="s">
        <v>398</v>
      </c>
      <c r="F492" s="76" t="s">
        <v>8788</v>
      </c>
      <c r="G492" s="12" t="s">
        <v>407</v>
      </c>
      <c r="H492" s="12">
        <v>128</v>
      </c>
      <c r="I492" s="12">
        <v>8800</v>
      </c>
      <c r="J492" s="12">
        <v>2</v>
      </c>
      <c r="K492" s="12">
        <v>2</v>
      </c>
      <c r="L492" s="75">
        <v>5</v>
      </c>
      <c r="M492" s="75">
        <v>16</v>
      </c>
      <c r="N492" s="75">
        <v>16</v>
      </c>
      <c r="O492" s="20" t="s">
        <v>2402</v>
      </c>
      <c r="P492" s="14" t="s">
        <v>2623</v>
      </c>
      <c r="Q492" s="3">
        <v>343</v>
      </c>
      <c r="R492" s="3">
        <v>469</v>
      </c>
      <c r="S492" s="18" t="s">
        <v>3900</v>
      </c>
      <c r="T492" s="12"/>
    </row>
    <row r="493" spans="1:20" x14ac:dyDescent="0.25">
      <c r="A493" s="18" t="s">
        <v>3901</v>
      </c>
      <c r="B493" s="11" t="s">
        <v>450</v>
      </c>
      <c r="C493" s="4" t="str">
        <f t="shared" si="7"/>
        <v>GIGABYTE</v>
      </c>
      <c r="D493" s="14" t="s">
        <v>2294</v>
      </c>
      <c r="E493" s="11" t="s">
        <v>398</v>
      </c>
      <c r="F493" s="76" t="s">
        <v>8788</v>
      </c>
      <c r="G493" s="12" t="s">
        <v>407</v>
      </c>
      <c r="H493" s="12">
        <v>256</v>
      </c>
      <c r="I493" s="12">
        <v>8800</v>
      </c>
      <c r="J493" s="12">
        <v>4</v>
      </c>
      <c r="K493" s="12">
        <v>2</v>
      </c>
      <c r="L493" s="75" t="s">
        <v>2285</v>
      </c>
      <c r="M493" s="75" t="s">
        <v>4247</v>
      </c>
      <c r="N493" s="75" t="s">
        <v>418</v>
      </c>
      <c r="O493" s="20" t="s">
        <v>3902</v>
      </c>
      <c r="P493" s="14" t="s">
        <v>2610</v>
      </c>
      <c r="Q493" s="3">
        <v>249.78</v>
      </c>
      <c r="R493" s="3">
        <v>345</v>
      </c>
      <c r="S493" s="18" t="s">
        <v>3903</v>
      </c>
      <c r="T493" s="12"/>
    </row>
    <row r="494" spans="1:20" x14ac:dyDescent="0.25">
      <c r="A494" s="18" t="s">
        <v>3904</v>
      </c>
      <c r="B494" s="11" t="s">
        <v>450</v>
      </c>
      <c r="C494" s="4" t="str">
        <f t="shared" si="7"/>
        <v>GIGABYTE</v>
      </c>
      <c r="D494" s="14" t="s">
        <v>2294</v>
      </c>
      <c r="E494" s="11" t="s">
        <v>398</v>
      </c>
      <c r="F494" s="76" t="s">
        <v>8788</v>
      </c>
      <c r="G494" s="12" t="s">
        <v>407</v>
      </c>
      <c r="H494" s="12">
        <v>256</v>
      </c>
      <c r="I494" s="12">
        <v>8800</v>
      </c>
      <c r="J494" s="12">
        <v>4</v>
      </c>
      <c r="K494" s="12">
        <v>2</v>
      </c>
      <c r="L494" s="75" t="s">
        <v>2285</v>
      </c>
      <c r="M494" s="75" t="s">
        <v>4247</v>
      </c>
      <c r="N494" s="75" t="s">
        <v>418</v>
      </c>
      <c r="O494" s="20" t="s">
        <v>3905</v>
      </c>
      <c r="P494" s="14" t="s">
        <v>2610</v>
      </c>
      <c r="Q494" s="3">
        <v>194.85</v>
      </c>
      <c r="R494" s="3">
        <v>658</v>
      </c>
      <c r="S494" s="18" t="s">
        <v>3906</v>
      </c>
      <c r="T494" s="12"/>
    </row>
    <row r="495" spans="1:20" x14ac:dyDescent="0.25">
      <c r="A495" s="18" t="s">
        <v>3907</v>
      </c>
      <c r="B495" s="11" t="s">
        <v>3908</v>
      </c>
      <c r="C495" s="4" t="str">
        <f t="shared" si="7"/>
        <v>MSI</v>
      </c>
      <c r="D495" s="14" t="s">
        <v>2294</v>
      </c>
      <c r="E495" s="11" t="s">
        <v>350</v>
      </c>
      <c r="F495" s="76" t="s">
        <v>8770</v>
      </c>
      <c r="G495" s="12" t="s">
        <v>406</v>
      </c>
      <c r="H495" s="12">
        <v>64</v>
      </c>
      <c r="I495" s="12">
        <v>4600</v>
      </c>
      <c r="J495" s="12">
        <v>2</v>
      </c>
      <c r="K495" s="12">
        <v>2</v>
      </c>
      <c r="L495" s="75" t="s">
        <v>4243</v>
      </c>
      <c r="M495" s="75" t="s">
        <v>4251</v>
      </c>
      <c r="N495" s="75" t="s">
        <v>4251</v>
      </c>
      <c r="O495" s="20" t="s">
        <v>2304</v>
      </c>
      <c r="P495" s="14" t="s">
        <v>2296</v>
      </c>
      <c r="Q495" s="3">
        <v>61.94</v>
      </c>
      <c r="R495" s="3">
        <v>289.05</v>
      </c>
      <c r="S495" s="18" t="s">
        <v>3909</v>
      </c>
      <c r="T495" s="12"/>
    </row>
    <row r="496" spans="1:20" x14ac:dyDescent="0.25">
      <c r="A496" s="18" t="s">
        <v>3910</v>
      </c>
      <c r="B496" s="11" t="s">
        <v>3911</v>
      </c>
      <c r="C496" s="4" t="str">
        <f t="shared" si="7"/>
        <v>MSI</v>
      </c>
      <c r="D496" s="14" t="s">
        <v>2294</v>
      </c>
      <c r="E496" s="11" t="s">
        <v>350</v>
      </c>
      <c r="F496" s="76" t="s">
        <v>8770</v>
      </c>
      <c r="G496" s="12" t="s">
        <v>406</v>
      </c>
      <c r="H496" s="12">
        <v>64</v>
      </c>
      <c r="I496" s="12">
        <v>4600</v>
      </c>
      <c r="J496" s="12">
        <v>2</v>
      </c>
      <c r="K496" s="12">
        <v>2</v>
      </c>
      <c r="L496" s="75" t="s">
        <v>4246</v>
      </c>
      <c r="M496" s="75" t="s">
        <v>4249</v>
      </c>
      <c r="N496" s="75" t="s">
        <v>4249</v>
      </c>
      <c r="O496" s="20" t="s">
        <v>2304</v>
      </c>
      <c r="P496" s="14" t="s">
        <v>2296</v>
      </c>
      <c r="Q496" s="3">
        <v>52.9</v>
      </c>
      <c r="R496" s="3">
        <v>99</v>
      </c>
      <c r="S496" s="18" t="s">
        <v>3912</v>
      </c>
      <c r="T496" s="12"/>
    </row>
    <row r="497" spans="1:20" x14ac:dyDescent="0.25">
      <c r="A497" s="18" t="s">
        <v>3913</v>
      </c>
      <c r="B497" s="11" t="s">
        <v>3914</v>
      </c>
      <c r="C497" s="4" t="str">
        <f t="shared" si="7"/>
        <v>MSI</v>
      </c>
      <c r="D497" s="14" t="s">
        <v>2336</v>
      </c>
      <c r="E497" s="11" t="s">
        <v>350</v>
      </c>
      <c r="F497" s="76" t="s">
        <v>8772</v>
      </c>
      <c r="G497" s="12" t="s">
        <v>406</v>
      </c>
      <c r="H497" s="12">
        <v>128</v>
      </c>
      <c r="I497" s="12">
        <v>4400</v>
      </c>
      <c r="J497" s="12">
        <v>4</v>
      </c>
      <c r="K497" s="12">
        <v>2</v>
      </c>
      <c r="L497" s="75" t="s">
        <v>4317</v>
      </c>
      <c r="M497" s="75" t="s">
        <v>4252</v>
      </c>
      <c r="N497" s="75" t="s">
        <v>4253</v>
      </c>
      <c r="O497" s="20" t="s">
        <v>3915</v>
      </c>
      <c r="P497" s="14" t="s">
        <v>2341</v>
      </c>
      <c r="Q497" s="3">
        <v>100.99</v>
      </c>
      <c r="R497" s="3">
        <v>148.75</v>
      </c>
      <c r="S497" s="18" t="s">
        <v>3916</v>
      </c>
      <c r="T497" s="12"/>
    </row>
    <row r="498" spans="1:20" x14ac:dyDescent="0.25">
      <c r="A498" s="18" t="s">
        <v>3917</v>
      </c>
      <c r="B498" s="11" t="s">
        <v>3918</v>
      </c>
      <c r="C498" s="4" t="str">
        <f t="shared" si="7"/>
        <v>MSI</v>
      </c>
      <c r="D498" s="14" t="s">
        <v>2336</v>
      </c>
      <c r="E498" s="11" t="s">
        <v>350</v>
      </c>
      <c r="F498" s="76" t="s">
        <v>8772</v>
      </c>
      <c r="G498" s="12" t="s">
        <v>406</v>
      </c>
      <c r="H498" s="12">
        <v>128</v>
      </c>
      <c r="I498" s="12">
        <v>4400</v>
      </c>
      <c r="J498" s="12">
        <v>4</v>
      </c>
      <c r="K498" s="12">
        <v>2</v>
      </c>
      <c r="L498" s="75" t="s">
        <v>4255</v>
      </c>
      <c r="M498" s="75" t="s">
        <v>4258</v>
      </c>
      <c r="N498" s="75" t="s">
        <v>4257</v>
      </c>
      <c r="O498" s="20" t="s">
        <v>3919</v>
      </c>
      <c r="P498" s="14" t="s">
        <v>2341</v>
      </c>
      <c r="Q498" s="3">
        <v>110.89</v>
      </c>
      <c r="R498" s="3">
        <v>171</v>
      </c>
      <c r="S498" s="18" t="s">
        <v>3920</v>
      </c>
      <c r="T498" s="12"/>
    </row>
    <row r="499" spans="1:20" x14ac:dyDescent="0.25">
      <c r="A499" s="18" t="s">
        <v>3921</v>
      </c>
      <c r="B499" s="11" t="s">
        <v>3922</v>
      </c>
      <c r="C499" s="4" t="str">
        <f t="shared" si="7"/>
        <v>MSI</v>
      </c>
      <c r="D499" s="14" t="s">
        <v>2294</v>
      </c>
      <c r="E499" s="11" t="s">
        <v>350</v>
      </c>
      <c r="F499" s="76" t="s">
        <v>8772</v>
      </c>
      <c r="G499" s="12" t="s">
        <v>406</v>
      </c>
      <c r="H499" s="12">
        <v>128</v>
      </c>
      <c r="I499" s="12">
        <v>4400</v>
      </c>
      <c r="J499" s="12">
        <v>4</v>
      </c>
      <c r="K499" s="12">
        <v>2</v>
      </c>
      <c r="L499" s="75" t="s">
        <v>4250</v>
      </c>
      <c r="M499" s="75" t="s">
        <v>4251</v>
      </c>
      <c r="N499" s="75" t="s">
        <v>4251</v>
      </c>
      <c r="O499" s="20" t="s">
        <v>3923</v>
      </c>
      <c r="P499" s="14" t="s">
        <v>2360</v>
      </c>
      <c r="Q499" s="3">
        <v>92.9</v>
      </c>
      <c r="R499" s="3">
        <v>177</v>
      </c>
      <c r="S499" s="18" t="s">
        <v>3924</v>
      </c>
      <c r="T499" s="12"/>
    </row>
    <row r="500" spans="1:20" x14ac:dyDescent="0.25">
      <c r="A500" s="18" t="s">
        <v>3925</v>
      </c>
      <c r="B500" s="11" t="s">
        <v>3926</v>
      </c>
      <c r="C500" s="4" t="str">
        <f t="shared" si="7"/>
        <v>MSI</v>
      </c>
      <c r="D500" s="14" t="s">
        <v>2294</v>
      </c>
      <c r="E500" s="11" t="s">
        <v>350</v>
      </c>
      <c r="F500" s="76" t="s">
        <v>8772</v>
      </c>
      <c r="G500" s="12" t="s">
        <v>406</v>
      </c>
      <c r="H500" s="12">
        <v>128</v>
      </c>
      <c r="I500" s="12">
        <v>4400</v>
      </c>
      <c r="J500" s="12">
        <v>4</v>
      </c>
      <c r="K500" s="12">
        <v>2</v>
      </c>
      <c r="L500" s="75" t="s">
        <v>4250</v>
      </c>
      <c r="M500" s="75" t="s">
        <v>4251</v>
      </c>
      <c r="N500" s="75" t="s">
        <v>4251</v>
      </c>
      <c r="O500" s="20" t="s">
        <v>3927</v>
      </c>
      <c r="P500" s="14" t="s">
        <v>2360</v>
      </c>
      <c r="Q500" s="3">
        <v>108.89</v>
      </c>
      <c r="R500" s="3">
        <v>183</v>
      </c>
      <c r="S500" s="18" t="s">
        <v>3928</v>
      </c>
      <c r="T500" s="12"/>
    </row>
    <row r="501" spans="1:20" x14ac:dyDescent="0.25">
      <c r="A501" s="18" t="s">
        <v>3929</v>
      </c>
      <c r="B501" s="11" t="s">
        <v>3930</v>
      </c>
      <c r="C501" s="4" t="str">
        <f t="shared" si="7"/>
        <v>MSI</v>
      </c>
      <c r="D501" s="14" t="s">
        <v>2336</v>
      </c>
      <c r="E501" s="11" t="s">
        <v>351</v>
      </c>
      <c r="F501" s="76" t="s">
        <v>8773</v>
      </c>
      <c r="G501" s="12" t="s">
        <v>407</v>
      </c>
      <c r="H501" s="12">
        <v>256</v>
      </c>
      <c r="I501" s="12">
        <v>7200</v>
      </c>
      <c r="J501" s="12">
        <v>4</v>
      </c>
      <c r="K501" s="12">
        <v>2</v>
      </c>
      <c r="L501" s="75" t="s">
        <v>4264</v>
      </c>
      <c r="M501" s="75" t="s">
        <v>4244</v>
      </c>
      <c r="N501" s="75" t="s">
        <v>4254</v>
      </c>
      <c r="O501" s="20" t="s">
        <v>3931</v>
      </c>
      <c r="P501" s="14" t="s">
        <v>2389</v>
      </c>
      <c r="Q501" s="3">
        <v>166.28</v>
      </c>
      <c r="R501" s="3">
        <v>276.64</v>
      </c>
      <c r="S501" s="18" t="s">
        <v>3932</v>
      </c>
      <c r="T501" s="12"/>
    </row>
    <row r="502" spans="1:20" x14ac:dyDescent="0.25">
      <c r="A502" s="18" t="s">
        <v>3933</v>
      </c>
      <c r="B502" s="11" t="s">
        <v>3934</v>
      </c>
      <c r="C502" s="4" t="str">
        <f t="shared" si="7"/>
        <v>MSI</v>
      </c>
      <c r="D502" s="14" t="s">
        <v>2294</v>
      </c>
      <c r="E502" s="11" t="s">
        <v>351</v>
      </c>
      <c r="F502" s="76" t="s">
        <v>8773</v>
      </c>
      <c r="G502" s="12" t="s">
        <v>407</v>
      </c>
      <c r="H502" s="12">
        <v>256</v>
      </c>
      <c r="I502" s="12">
        <v>7200</v>
      </c>
      <c r="J502" s="12">
        <v>4</v>
      </c>
      <c r="K502" s="12">
        <v>2</v>
      </c>
      <c r="L502" s="75" t="s">
        <v>4250</v>
      </c>
      <c r="M502" s="75" t="s">
        <v>4251</v>
      </c>
      <c r="N502" s="75" t="s">
        <v>4251</v>
      </c>
      <c r="O502" s="20" t="s">
        <v>3935</v>
      </c>
      <c r="P502" s="14" t="s">
        <v>2389</v>
      </c>
      <c r="Q502" s="3">
        <v>156.37</v>
      </c>
      <c r="R502" s="3">
        <v>203.34</v>
      </c>
      <c r="S502" s="18" t="s">
        <v>3936</v>
      </c>
      <c r="T502" s="12"/>
    </row>
    <row r="503" spans="1:20" x14ac:dyDescent="0.25">
      <c r="A503" s="18" t="s">
        <v>3937</v>
      </c>
      <c r="B503" s="11" t="s">
        <v>3938</v>
      </c>
      <c r="C503" s="4" t="str">
        <f t="shared" si="7"/>
        <v>MSI</v>
      </c>
      <c r="D503" s="14" t="s">
        <v>2294</v>
      </c>
      <c r="E503" s="11" t="s">
        <v>351</v>
      </c>
      <c r="F503" s="76" t="s">
        <v>8773</v>
      </c>
      <c r="G503" s="12" t="s">
        <v>407</v>
      </c>
      <c r="H503" s="12">
        <v>256</v>
      </c>
      <c r="I503" s="12">
        <v>7600</v>
      </c>
      <c r="J503" s="12">
        <v>4</v>
      </c>
      <c r="K503" s="12">
        <v>2</v>
      </c>
      <c r="L503" s="75" t="s">
        <v>4259</v>
      </c>
      <c r="M503" s="75" t="s">
        <v>4249</v>
      </c>
      <c r="N503" s="75" t="s">
        <v>4249</v>
      </c>
      <c r="O503" s="20" t="s">
        <v>3935</v>
      </c>
      <c r="P503" s="14" t="s">
        <v>2389</v>
      </c>
      <c r="Q503" s="3">
        <v>228.99</v>
      </c>
      <c r="R503" s="3">
        <v>347.79</v>
      </c>
      <c r="S503" s="18" t="s">
        <v>3939</v>
      </c>
      <c r="T503" s="12"/>
    </row>
    <row r="504" spans="1:20" x14ac:dyDescent="0.25">
      <c r="A504" s="18" t="s">
        <v>3940</v>
      </c>
      <c r="B504" s="11" t="s">
        <v>3941</v>
      </c>
      <c r="C504" s="4" t="str">
        <f t="shared" si="7"/>
        <v>MSI</v>
      </c>
      <c r="D504" s="14" t="s">
        <v>2336</v>
      </c>
      <c r="E504" s="11" t="s">
        <v>352</v>
      </c>
      <c r="F504" s="76" t="s">
        <v>8784</v>
      </c>
      <c r="G504" s="12" t="s">
        <v>407</v>
      </c>
      <c r="H504" s="12">
        <v>256</v>
      </c>
      <c r="I504" s="12">
        <v>6800</v>
      </c>
      <c r="J504" s="12">
        <v>4</v>
      </c>
      <c r="K504" s="12">
        <v>2</v>
      </c>
      <c r="L504" s="75" t="s">
        <v>4318</v>
      </c>
      <c r="M504" s="75" t="s">
        <v>4295</v>
      </c>
      <c r="N504" s="75" t="s">
        <v>4276</v>
      </c>
      <c r="O504" s="20" t="s">
        <v>3942</v>
      </c>
      <c r="P504" s="14" t="s">
        <v>2443</v>
      </c>
      <c r="Q504" s="3">
        <v>156</v>
      </c>
      <c r="R504" s="3">
        <v>199.85</v>
      </c>
      <c r="S504" s="18" t="s">
        <v>3943</v>
      </c>
      <c r="T504" s="12"/>
    </row>
    <row r="505" spans="1:20" x14ac:dyDescent="0.25">
      <c r="A505" s="18" t="s">
        <v>3944</v>
      </c>
      <c r="B505" s="11" t="s">
        <v>3945</v>
      </c>
      <c r="C505" s="4" t="str">
        <f t="shared" si="7"/>
        <v>MSI</v>
      </c>
      <c r="D505" s="14" t="s">
        <v>2336</v>
      </c>
      <c r="E505" s="11" t="s">
        <v>352</v>
      </c>
      <c r="F505" s="76" t="s">
        <v>8784</v>
      </c>
      <c r="G505" s="12" t="s">
        <v>406</v>
      </c>
      <c r="H505" s="12">
        <v>128</v>
      </c>
      <c r="I505" s="12">
        <v>5333</v>
      </c>
      <c r="J505" s="12">
        <v>4</v>
      </c>
      <c r="K505" s="12">
        <v>2</v>
      </c>
      <c r="L505" s="75" t="s">
        <v>4318</v>
      </c>
      <c r="M505" s="75" t="s">
        <v>4295</v>
      </c>
      <c r="N505" s="75" t="s">
        <v>4276</v>
      </c>
      <c r="O505" s="20" t="s">
        <v>3942</v>
      </c>
      <c r="P505" s="14" t="s">
        <v>2443</v>
      </c>
      <c r="Q505" s="3">
        <v>141.1</v>
      </c>
      <c r="R505" s="3">
        <v>187.76</v>
      </c>
      <c r="S505" s="18" t="s">
        <v>3946</v>
      </c>
      <c r="T505" s="12"/>
    </row>
    <row r="506" spans="1:20" x14ac:dyDescent="0.25">
      <c r="A506" s="18" t="s">
        <v>3947</v>
      </c>
      <c r="B506" s="11" t="s">
        <v>3948</v>
      </c>
      <c r="C506" s="4" t="str">
        <f t="shared" si="7"/>
        <v>MSI</v>
      </c>
      <c r="D506" s="14" t="s">
        <v>2294</v>
      </c>
      <c r="E506" s="11" t="s">
        <v>352</v>
      </c>
      <c r="F506" s="76" t="s">
        <v>8784</v>
      </c>
      <c r="G506" s="12" t="s">
        <v>407</v>
      </c>
      <c r="H506" s="12">
        <v>256</v>
      </c>
      <c r="I506" s="12">
        <v>6800</v>
      </c>
      <c r="J506" s="12">
        <v>4</v>
      </c>
      <c r="K506" s="12">
        <v>2</v>
      </c>
      <c r="L506" s="75" t="s">
        <v>4264</v>
      </c>
      <c r="M506" s="75" t="s">
        <v>4244</v>
      </c>
      <c r="N506" s="75" t="s">
        <v>4254</v>
      </c>
      <c r="O506" s="20" t="s">
        <v>3949</v>
      </c>
      <c r="P506" s="14" t="s">
        <v>2443</v>
      </c>
      <c r="Q506" s="3">
        <v>152.9</v>
      </c>
      <c r="R506" s="3">
        <v>207.3</v>
      </c>
      <c r="S506" s="18" t="s">
        <v>3950</v>
      </c>
      <c r="T506" s="12"/>
    </row>
    <row r="507" spans="1:20" x14ac:dyDescent="0.25">
      <c r="A507" s="18" t="s">
        <v>3951</v>
      </c>
      <c r="B507" s="11" t="s">
        <v>3952</v>
      </c>
      <c r="C507" s="4" t="str">
        <f t="shared" si="7"/>
        <v>MSI</v>
      </c>
      <c r="D507" s="14" t="s">
        <v>2294</v>
      </c>
      <c r="E507" s="11" t="s">
        <v>352</v>
      </c>
      <c r="F507" s="76" t="s">
        <v>8784</v>
      </c>
      <c r="G507" s="12" t="s">
        <v>407</v>
      </c>
      <c r="H507" s="12">
        <v>256</v>
      </c>
      <c r="I507" s="12">
        <v>7800</v>
      </c>
      <c r="J507" s="12">
        <v>4</v>
      </c>
      <c r="K507" s="12">
        <v>2</v>
      </c>
      <c r="L507" s="75" t="s">
        <v>4267</v>
      </c>
      <c r="M507" s="75" t="s">
        <v>4244</v>
      </c>
      <c r="N507" s="75" t="s">
        <v>4254</v>
      </c>
      <c r="O507" s="20" t="s">
        <v>3949</v>
      </c>
      <c r="P507" s="14" t="s">
        <v>2443</v>
      </c>
      <c r="Q507" s="3">
        <v>137.9</v>
      </c>
      <c r="R507" s="3">
        <v>261.41000000000003</v>
      </c>
      <c r="S507" s="18" t="s">
        <v>3953</v>
      </c>
      <c r="T507" s="12"/>
    </row>
    <row r="508" spans="1:20" x14ac:dyDescent="0.25">
      <c r="A508" s="18" t="s">
        <v>3954</v>
      </c>
      <c r="B508" s="11" t="s">
        <v>3955</v>
      </c>
      <c r="C508" s="4" t="str">
        <f t="shared" si="7"/>
        <v>MSI</v>
      </c>
      <c r="D508" s="14" t="s">
        <v>2336</v>
      </c>
      <c r="E508" s="11" t="s">
        <v>351</v>
      </c>
      <c r="F508" s="76" t="s">
        <v>8780</v>
      </c>
      <c r="G508" s="12" t="s">
        <v>407</v>
      </c>
      <c r="H508" s="12">
        <v>256</v>
      </c>
      <c r="I508" s="12">
        <v>8000</v>
      </c>
      <c r="J508" s="12">
        <v>4</v>
      </c>
      <c r="K508" s="12">
        <v>2</v>
      </c>
      <c r="L508" s="75" t="s">
        <v>4292</v>
      </c>
      <c r="M508" s="75" t="s">
        <v>4295</v>
      </c>
      <c r="N508" s="75" t="s">
        <v>4295</v>
      </c>
      <c r="O508" s="20" t="s">
        <v>3956</v>
      </c>
      <c r="P508" s="14" t="s">
        <v>2895</v>
      </c>
      <c r="Q508" s="3">
        <v>165</v>
      </c>
      <c r="R508" s="3">
        <v>212.89</v>
      </c>
      <c r="S508" s="18" t="s">
        <v>3957</v>
      </c>
      <c r="T508" s="12"/>
    </row>
    <row r="509" spans="1:20" x14ac:dyDescent="0.25">
      <c r="A509" s="18" t="s">
        <v>3958</v>
      </c>
      <c r="B509" s="11" t="s">
        <v>3959</v>
      </c>
      <c r="C509" s="4" t="str">
        <f t="shared" si="7"/>
        <v>MSI</v>
      </c>
      <c r="D509" s="14" t="s">
        <v>2336</v>
      </c>
      <c r="E509" s="11" t="s">
        <v>351</v>
      </c>
      <c r="F509" s="76" t="s">
        <v>8775</v>
      </c>
      <c r="G509" s="12" t="s">
        <v>407</v>
      </c>
      <c r="H509" s="12">
        <v>256</v>
      </c>
      <c r="I509" s="12">
        <v>8200</v>
      </c>
      <c r="J509" s="12">
        <v>4</v>
      </c>
      <c r="K509" s="12">
        <v>2</v>
      </c>
      <c r="L509" s="75" t="s">
        <v>4270</v>
      </c>
      <c r="M509" s="75" t="s">
        <v>4291</v>
      </c>
      <c r="N509" s="75" t="s">
        <v>4257</v>
      </c>
      <c r="O509" s="20" t="s">
        <v>3960</v>
      </c>
      <c r="P509" s="14" t="s">
        <v>2504</v>
      </c>
      <c r="Q509" s="3">
        <v>194.9</v>
      </c>
      <c r="R509" s="3">
        <v>263.27</v>
      </c>
      <c r="S509" s="18" t="s">
        <v>3961</v>
      </c>
      <c r="T509" s="12"/>
    </row>
    <row r="510" spans="1:20" x14ac:dyDescent="0.25">
      <c r="A510" s="18" t="s">
        <v>3962</v>
      </c>
      <c r="B510" s="11" t="s">
        <v>3963</v>
      </c>
      <c r="C510" s="4" t="str">
        <f t="shared" si="7"/>
        <v>MSI</v>
      </c>
      <c r="D510" s="14" t="s">
        <v>2336</v>
      </c>
      <c r="E510" s="11" t="s">
        <v>398</v>
      </c>
      <c r="F510" s="76" t="s">
        <v>8785</v>
      </c>
      <c r="G510" s="12" t="s">
        <v>407</v>
      </c>
      <c r="H510" s="12">
        <v>256</v>
      </c>
      <c r="I510" s="12">
        <v>8600</v>
      </c>
      <c r="J510" s="12">
        <v>4</v>
      </c>
      <c r="K510" s="12">
        <v>2</v>
      </c>
      <c r="L510" s="75" t="s">
        <v>4279</v>
      </c>
      <c r="M510" s="75" t="s">
        <v>4291</v>
      </c>
      <c r="N510" s="75" t="s">
        <v>4291</v>
      </c>
      <c r="O510" s="20" t="s">
        <v>3964</v>
      </c>
      <c r="P510" s="14" t="s">
        <v>2530</v>
      </c>
      <c r="Q510" s="3">
        <v>184.99</v>
      </c>
      <c r="R510" s="3">
        <v>245.96</v>
      </c>
      <c r="S510" s="18" t="s">
        <v>3965</v>
      </c>
      <c r="T510" s="12"/>
    </row>
    <row r="511" spans="1:20" x14ac:dyDescent="0.25">
      <c r="A511" s="18" t="s">
        <v>3966</v>
      </c>
      <c r="B511" s="11" t="s">
        <v>3967</v>
      </c>
      <c r="C511" s="4" t="str">
        <f t="shared" si="7"/>
        <v>MSI</v>
      </c>
      <c r="D511" s="14" t="s">
        <v>2294</v>
      </c>
      <c r="E511" s="11" t="s">
        <v>398</v>
      </c>
      <c r="F511" s="76" t="s">
        <v>8785</v>
      </c>
      <c r="G511" s="12" t="s">
        <v>407</v>
      </c>
      <c r="H511" s="12">
        <v>256</v>
      </c>
      <c r="I511" s="12">
        <v>8600</v>
      </c>
      <c r="J511" s="12">
        <v>4</v>
      </c>
      <c r="K511" s="12">
        <v>2</v>
      </c>
      <c r="L511" s="75" t="s">
        <v>4279</v>
      </c>
      <c r="M511" s="75" t="s">
        <v>4291</v>
      </c>
      <c r="N511" s="75" t="s">
        <v>4291</v>
      </c>
      <c r="O511" s="20" t="s">
        <v>3968</v>
      </c>
      <c r="P511" s="14" t="s">
        <v>2530</v>
      </c>
      <c r="Q511" s="3">
        <v>183.5</v>
      </c>
      <c r="R511" s="3">
        <v>292.60000000000002</v>
      </c>
      <c r="S511" s="18" t="s">
        <v>3969</v>
      </c>
      <c r="T511" s="12"/>
    </row>
    <row r="512" spans="1:20" x14ac:dyDescent="0.25">
      <c r="A512" s="18" t="s">
        <v>3970</v>
      </c>
      <c r="B512" s="11" t="s">
        <v>3971</v>
      </c>
      <c r="C512" s="4" t="str">
        <f t="shared" si="7"/>
        <v>MSI</v>
      </c>
      <c r="D512" s="14" t="s">
        <v>2336</v>
      </c>
      <c r="E512" s="11" t="s">
        <v>350</v>
      </c>
      <c r="F512" s="76" t="s">
        <v>8772</v>
      </c>
      <c r="G512" s="12" t="s">
        <v>406</v>
      </c>
      <c r="H512" s="12">
        <v>128</v>
      </c>
      <c r="I512" s="12">
        <v>5100</v>
      </c>
      <c r="J512" s="12">
        <v>4</v>
      </c>
      <c r="K512" s="12">
        <v>2</v>
      </c>
      <c r="L512" s="75" t="s">
        <v>4255</v>
      </c>
      <c r="M512" s="75" t="s">
        <v>4258</v>
      </c>
      <c r="N512" s="75" t="s">
        <v>4257</v>
      </c>
      <c r="O512" s="20" t="s">
        <v>3919</v>
      </c>
      <c r="P512" s="14" t="s">
        <v>2341</v>
      </c>
      <c r="Q512" s="3">
        <v>165.12</v>
      </c>
      <c r="R512" s="3">
        <v>329.61</v>
      </c>
      <c r="S512" s="18" t="s">
        <v>3972</v>
      </c>
      <c r="T512" s="12"/>
    </row>
    <row r="513" spans="1:20" x14ac:dyDescent="0.25">
      <c r="A513" s="18" t="s">
        <v>3973</v>
      </c>
      <c r="B513" s="11" t="s">
        <v>3974</v>
      </c>
      <c r="C513" s="4" t="str">
        <f t="shared" si="7"/>
        <v>MSI</v>
      </c>
      <c r="D513" s="14" t="s">
        <v>2336</v>
      </c>
      <c r="E513" s="11" t="s">
        <v>350</v>
      </c>
      <c r="F513" s="76" t="s">
        <v>8772</v>
      </c>
      <c r="G513" s="12" t="s">
        <v>406</v>
      </c>
      <c r="H513" s="12">
        <v>128</v>
      </c>
      <c r="I513" s="12">
        <v>5100</v>
      </c>
      <c r="J513" s="12">
        <v>4</v>
      </c>
      <c r="K513" s="12">
        <v>2</v>
      </c>
      <c r="L513" s="75" t="s">
        <v>4255</v>
      </c>
      <c r="M513" s="75" t="s">
        <v>4258</v>
      </c>
      <c r="N513" s="75" t="s">
        <v>4257</v>
      </c>
      <c r="O513" s="20" t="s">
        <v>3975</v>
      </c>
      <c r="P513" s="14" t="s">
        <v>2341</v>
      </c>
      <c r="Q513" s="3">
        <v>157.88999999999999</v>
      </c>
      <c r="R513" s="3">
        <v>407.16</v>
      </c>
      <c r="S513" s="18" t="s">
        <v>3976</v>
      </c>
      <c r="T513" s="12"/>
    </row>
    <row r="514" spans="1:20" x14ac:dyDescent="0.25">
      <c r="A514" s="18" t="s">
        <v>3977</v>
      </c>
      <c r="B514" s="11" t="s">
        <v>3978</v>
      </c>
      <c r="C514" s="4" t="str">
        <f t="shared" si="7"/>
        <v>MSI</v>
      </c>
      <c r="D514" s="14" t="s">
        <v>2336</v>
      </c>
      <c r="E514" s="11" t="s">
        <v>351</v>
      </c>
      <c r="F514" s="76" t="s">
        <v>8773</v>
      </c>
      <c r="G514" s="12" t="s">
        <v>407</v>
      </c>
      <c r="H514" s="12">
        <v>256</v>
      </c>
      <c r="I514" s="12">
        <v>7600</v>
      </c>
      <c r="J514" s="12">
        <v>4</v>
      </c>
      <c r="K514" s="12">
        <v>2</v>
      </c>
      <c r="L514" s="75" t="s">
        <v>4264</v>
      </c>
      <c r="M514" s="75" t="s">
        <v>4244</v>
      </c>
      <c r="N514" s="75" t="s">
        <v>4245</v>
      </c>
      <c r="O514" s="20" t="s">
        <v>2465</v>
      </c>
      <c r="P514" s="14" t="s">
        <v>3979</v>
      </c>
      <c r="Q514" s="3">
        <v>199.89</v>
      </c>
      <c r="R514" s="3">
        <v>393.83</v>
      </c>
      <c r="S514" s="18" t="s">
        <v>3980</v>
      </c>
      <c r="T514" s="12"/>
    </row>
    <row r="515" spans="1:20" x14ac:dyDescent="0.25">
      <c r="A515" s="18" t="s">
        <v>3981</v>
      </c>
      <c r="B515" s="11" t="s">
        <v>3982</v>
      </c>
      <c r="C515" s="4" t="str">
        <f t="shared" si="7"/>
        <v>MSI</v>
      </c>
      <c r="D515" s="14" t="s">
        <v>2294</v>
      </c>
      <c r="E515" s="11" t="s">
        <v>351</v>
      </c>
      <c r="F515" s="76" t="s">
        <v>8773</v>
      </c>
      <c r="G515" s="12" t="s">
        <v>407</v>
      </c>
      <c r="H515" s="12">
        <v>256</v>
      </c>
      <c r="I515" s="12">
        <v>7600</v>
      </c>
      <c r="J515" s="12">
        <v>4</v>
      </c>
      <c r="K515" s="12">
        <v>2</v>
      </c>
      <c r="L515" s="75" t="s">
        <v>4264</v>
      </c>
      <c r="M515" s="75" t="s">
        <v>4244</v>
      </c>
      <c r="N515" s="75" t="s">
        <v>4254</v>
      </c>
      <c r="O515" s="20" t="s">
        <v>3935</v>
      </c>
      <c r="P515" s="14" t="s">
        <v>3979</v>
      </c>
      <c r="Q515" s="3">
        <v>206.88</v>
      </c>
      <c r="R515" s="3">
        <v>432.61</v>
      </c>
      <c r="S515" s="18" t="s">
        <v>3983</v>
      </c>
      <c r="T515" s="12"/>
    </row>
    <row r="516" spans="1:20" x14ac:dyDescent="0.25">
      <c r="A516" s="18" t="s">
        <v>3984</v>
      </c>
      <c r="B516" s="11" t="s">
        <v>3985</v>
      </c>
      <c r="C516" s="4" t="str">
        <f t="shared" si="7"/>
        <v>MSI</v>
      </c>
      <c r="D516" s="14" t="s">
        <v>2336</v>
      </c>
      <c r="E516" s="11" t="s">
        <v>352</v>
      </c>
      <c r="F516" s="76" t="s">
        <v>8784</v>
      </c>
      <c r="G516" s="12" t="s">
        <v>407</v>
      </c>
      <c r="H516" s="12">
        <v>256</v>
      </c>
      <c r="I516" s="12">
        <v>7000</v>
      </c>
      <c r="J516" s="12">
        <v>4</v>
      </c>
      <c r="K516" s="12">
        <v>2</v>
      </c>
      <c r="L516" s="75" t="s">
        <v>4267</v>
      </c>
      <c r="M516" s="75" t="s">
        <v>4265</v>
      </c>
      <c r="N516" s="75" t="s">
        <v>4266</v>
      </c>
      <c r="O516" s="20" t="s">
        <v>3107</v>
      </c>
      <c r="P516" s="14" t="s">
        <v>2443</v>
      </c>
      <c r="Q516" s="3">
        <v>183.9</v>
      </c>
      <c r="R516" s="3">
        <v>263.05</v>
      </c>
      <c r="S516" s="18" t="s">
        <v>3986</v>
      </c>
      <c r="T516" s="12"/>
    </row>
    <row r="517" spans="1:20" x14ac:dyDescent="0.25">
      <c r="A517" s="18" t="s">
        <v>3987</v>
      </c>
      <c r="B517" s="11" t="s">
        <v>3988</v>
      </c>
      <c r="C517" s="4" t="str">
        <f t="shared" si="7"/>
        <v>MSI</v>
      </c>
      <c r="D517" s="14" t="s">
        <v>2294</v>
      </c>
      <c r="E517" s="11" t="s">
        <v>352</v>
      </c>
      <c r="F517" s="76" t="s">
        <v>8784</v>
      </c>
      <c r="G517" s="12" t="s">
        <v>407</v>
      </c>
      <c r="H517" s="12">
        <v>256</v>
      </c>
      <c r="I517" s="12">
        <v>7800</v>
      </c>
      <c r="J517" s="12">
        <v>4</v>
      </c>
      <c r="K517" s="12">
        <v>2</v>
      </c>
      <c r="L517" s="75" t="s">
        <v>4268</v>
      </c>
      <c r="M517" s="75" t="s">
        <v>418</v>
      </c>
      <c r="N517" s="75" t="s">
        <v>418</v>
      </c>
      <c r="O517" s="20" t="s">
        <v>3989</v>
      </c>
      <c r="P517" s="14" t="s">
        <v>2443</v>
      </c>
      <c r="Q517" s="3">
        <v>207.19</v>
      </c>
      <c r="R517" s="3">
        <v>250.9</v>
      </c>
      <c r="S517" s="18" t="s">
        <v>3990</v>
      </c>
      <c r="T517" s="12"/>
    </row>
    <row r="518" spans="1:20" x14ac:dyDescent="0.25">
      <c r="A518" s="18" t="s">
        <v>3991</v>
      </c>
      <c r="B518" s="11" t="s">
        <v>3992</v>
      </c>
      <c r="C518" s="4" t="str">
        <f t="shared" si="7"/>
        <v>MSI</v>
      </c>
      <c r="D518" s="14" t="s">
        <v>2336</v>
      </c>
      <c r="E518" s="11" t="s">
        <v>351</v>
      </c>
      <c r="F518" s="76" t="s">
        <v>8775</v>
      </c>
      <c r="G518" s="12" t="s">
        <v>407</v>
      </c>
      <c r="H518" s="12">
        <v>256</v>
      </c>
      <c r="I518" s="12">
        <v>8400</v>
      </c>
      <c r="J518" s="12">
        <v>4</v>
      </c>
      <c r="K518" s="12">
        <v>2</v>
      </c>
      <c r="L518" s="75" t="s">
        <v>4267</v>
      </c>
      <c r="M518" s="75" t="s">
        <v>4261</v>
      </c>
      <c r="N518" s="75" t="s">
        <v>4254</v>
      </c>
      <c r="O518" s="20" t="s">
        <v>3993</v>
      </c>
      <c r="P518" s="14" t="s">
        <v>2504</v>
      </c>
      <c r="Q518" s="3">
        <v>239</v>
      </c>
      <c r="R518" s="3">
        <v>333.34</v>
      </c>
      <c r="S518" s="18" t="s">
        <v>3994</v>
      </c>
      <c r="T518" s="12"/>
    </row>
    <row r="519" spans="1:20" x14ac:dyDescent="0.25">
      <c r="A519" s="18" t="s">
        <v>3995</v>
      </c>
      <c r="B519" s="11" t="s">
        <v>3996</v>
      </c>
      <c r="C519" s="4" t="str">
        <f t="shared" si="7"/>
        <v>MSI</v>
      </c>
      <c r="D519" s="14" t="s">
        <v>2336</v>
      </c>
      <c r="E519" s="11" t="s">
        <v>398</v>
      </c>
      <c r="F519" s="76" t="s">
        <v>8785</v>
      </c>
      <c r="G519" s="12" t="s">
        <v>407</v>
      </c>
      <c r="H519" s="12">
        <v>256</v>
      </c>
      <c r="I519" s="12">
        <v>9200</v>
      </c>
      <c r="J519" s="12">
        <v>4</v>
      </c>
      <c r="K519" s="12">
        <v>2</v>
      </c>
      <c r="L519" s="75" t="s">
        <v>4272</v>
      </c>
      <c r="M519" s="75" t="s">
        <v>4244</v>
      </c>
      <c r="N519" s="75" t="s">
        <v>4254</v>
      </c>
      <c r="O519" s="20" t="s">
        <v>3997</v>
      </c>
      <c r="P519" s="14" t="s">
        <v>2530</v>
      </c>
      <c r="Q519" s="3">
        <v>234.99</v>
      </c>
      <c r="R519" s="3">
        <v>290.33999999999997</v>
      </c>
      <c r="S519" s="18" t="s">
        <v>3998</v>
      </c>
      <c r="T519" s="12"/>
    </row>
    <row r="520" spans="1:20" x14ac:dyDescent="0.25">
      <c r="A520" s="18" t="s">
        <v>3999</v>
      </c>
      <c r="B520" s="11" t="s">
        <v>4000</v>
      </c>
      <c r="C520" s="4" t="str">
        <f t="shared" si="7"/>
        <v>MSI</v>
      </c>
      <c r="D520" s="14" t="s">
        <v>2336</v>
      </c>
      <c r="E520" s="11" t="s">
        <v>351</v>
      </c>
      <c r="F520" s="76" t="s">
        <v>8779</v>
      </c>
      <c r="G520" s="12" t="s">
        <v>407</v>
      </c>
      <c r="H520" s="12">
        <v>256</v>
      </c>
      <c r="I520" s="12">
        <v>7800</v>
      </c>
      <c r="J520" s="12">
        <v>4</v>
      </c>
      <c r="K520" s="12">
        <v>2</v>
      </c>
      <c r="L520" s="75" t="s">
        <v>4287</v>
      </c>
      <c r="M520" s="75" t="s">
        <v>4256</v>
      </c>
      <c r="N520" s="75" t="s">
        <v>4319</v>
      </c>
      <c r="O520" s="20" t="s">
        <v>4001</v>
      </c>
      <c r="P520" s="14" t="s">
        <v>2635</v>
      </c>
      <c r="Q520" s="3">
        <v>274.44</v>
      </c>
      <c r="R520" s="3">
        <v>355</v>
      </c>
      <c r="S520" s="18" t="s">
        <v>4002</v>
      </c>
      <c r="T520" s="12"/>
    </row>
    <row r="521" spans="1:20" x14ac:dyDescent="0.25">
      <c r="A521" s="18" t="s">
        <v>4003</v>
      </c>
      <c r="B521" s="11" t="s">
        <v>4004</v>
      </c>
      <c r="C521" s="4" t="str">
        <f t="shared" ref="C521:C587" si="8">LEFT(A521, FIND(" ",A521)-1)</f>
        <v>MSI</v>
      </c>
      <c r="D521" s="14" t="s">
        <v>2336</v>
      </c>
      <c r="E521" s="11" t="s">
        <v>351</v>
      </c>
      <c r="F521" s="76" t="s">
        <v>8777</v>
      </c>
      <c r="G521" s="12" t="s">
        <v>407</v>
      </c>
      <c r="H521" s="12">
        <v>256</v>
      </c>
      <c r="I521" s="12">
        <v>8400</v>
      </c>
      <c r="J521" s="12">
        <v>4</v>
      </c>
      <c r="K521" s="12">
        <v>2</v>
      </c>
      <c r="L521" s="75" t="s">
        <v>4267</v>
      </c>
      <c r="M521" s="75" t="s">
        <v>4261</v>
      </c>
      <c r="N521" s="75" t="s">
        <v>4254</v>
      </c>
      <c r="O521" s="20" t="s">
        <v>3993</v>
      </c>
      <c r="P521" s="14" t="s">
        <v>4005</v>
      </c>
      <c r="Q521" s="3">
        <v>314.72000000000003</v>
      </c>
      <c r="R521" s="3">
        <v>375</v>
      </c>
      <c r="S521" s="18" t="s">
        <v>4006</v>
      </c>
      <c r="T521" s="12"/>
    </row>
    <row r="522" spans="1:20" x14ac:dyDescent="0.25">
      <c r="A522" s="18" t="s">
        <v>4007</v>
      </c>
      <c r="B522" s="11" t="s">
        <v>4008</v>
      </c>
      <c r="C522" s="4" t="str">
        <f t="shared" si="8"/>
        <v>MSI</v>
      </c>
      <c r="D522" s="14" t="s">
        <v>2336</v>
      </c>
      <c r="E522" s="11" t="s">
        <v>351</v>
      </c>
      <c r="F522" s="76" t="s">
        <v>8778</v>
      </c>
      <c r="G522" s="12" t="s">
        <v>407</v>
      </c>
      <c r="H522" s="12">
        <v>256</v>
      </c>
      <c r="I522" s="12">
        <v>8400</v>
      </c>
      <c r="J522" s="12">
        <v>4</v>
      </c>
      <c r="K522" s="12">
        <v>2</v>
      </c>
      <c r="L522" s="75" t="s">
        <v>4267</v>
      </c>
      <c r="M522" s="75" t="s">
        <v>4261</v>
      </c>
      <c r="N522" s="75" t="s">
        <v>4254</v>
      </c>
      <c r="O522" s="20" t="s">
        <v>4009</v>
      </c>
      <c r="P522" s="14" t="s">
        <v>3239</v>
      </c>
      <c r="Q522" s="3">
        <v>329.98</v>
      </c>
      <c r="R522" s="3">
        <v>392.84</v>
      </c>
      <c r="S522" s="18" t="s">
        <v>4010</v>
      </c>
      <c r="T522" s="12"/>
    </row>
    <row r="523" spans="1:20" x14ac:dyDescent="0.25">
      <c r="A523" s="18" t="s">
        <v>4011</v>
      </c>
      <c r="B523" s="11" t="s">
        <v>4012</v>
      </c>
      <c r="C523" s="4" t="str">
        <f t="shared" si="8"/>
        <v>MSI</v>
      </c>
      <c r="D523" s="14" t="s">
        <v>2336</v>
      </c>
      <c r="E523" s="11" t="s">
        <v>352</v>
      </c>
      <c r="F523" s="76" t="s">
        <v>8789</v>
      </c>
      <c r="G523" s="12" t="s">
        <v>407</v>
      </c>
      <c r="H523" s="12">
        <v>192</v>
      </c>
      <c r="I523" s="12">
        <v>6400</v>
      </c>
      <c r="J523" s="12">
        <v>4</v>
      </c>
      <c r="K523" s="12">
        <v>2</v>
      </c>
      <c r="L523" s="75" t="s">
        <v>4310</v>
      </c>
      <c r="M523" s="75" t="s">
        <v>4256</v>
      </c>
      <c r="N523" s="75" t="s">
        <v>4257</v>
      </c>
      <c r="O523" s="20" t="s">
        <v>4013</v>
      </c>
      <c r="P523" s="14" t="s">
        <v>450</v>
      </c>
      <c r="Q523" s="3">
        <v>263.48</v>
      </c>
      <c r="R523" s="3">
        <v>282.36</v>
      </c>
      <c r="S523" s="18" t="s">
        <v>4014</v>
      </c>
      <c r="T523" s="12"/>
    </row>
    <row r="524" spans="1:20" x14ac:dyDescent="0.25">
      <c r="A524" s="18" t="s">
        <v>4015</v>
      </c>
      <c r="B524" s="11" t="s">
        <v>4016</v>
      </c>
      <c r="C524" s="4" t="str">
        <f t="shared" si="8"/>
        <v>MSI</v>
      </c>
      <c r="D524" s="14" t="s">
        <v>2336</v>
      </c>
      <c r="E524" s="11" t="s">
        <v>352</v>
      </c>
      <c r="F524" s="76" t="s">
        <v>8787</v>
      </c>
      <c r="G524" s="12" t="s">
        <v>407</v>
      </c>
      <c r="H524" s="12">
        <v>256</v>
      </c>
      <c r="I524" s="12">
        <v>7800</v>
      </c>
      <c r="J524" s="12">
        <v>4</v>
      </c>
      <c r="K524" s="12">
        <v>2</v>
      </c>
      <c r="L524" s="75" t="s">
        <v>4267</v>
      </c>
      <c r="M524" s="75" t="s">
        <v>4244</v>
      </c>
      <c r="N524" s="75" t="s">
        <v>4254</v>
      </c>
      <c r="O524" s="20" t="s">
        <v>4017</v>
      </c>
      <c r="P524" s="14" t="s">
        <v>4018</v>
      </c>
      <c r="Q524" s="3">
        <v>279.49</v>
      </c>
      <c r="R524" s="3">
        <v>374.82</v>
      </c>
      <c r="S524" s="18" t="s">
        <v>4019</v>
      </c>
      <c r="T524" s="12"/>
    </row>
    <row r="525" spans="1:20" x14ac:dyDescent="0.25">
      <c r="A525" s="18" t="s">
        <v>4020</v>
      </c>
      <c r="B525" s="11" t="s">
        <v>4021</v>
      </c>
      <c r="C525" s="4" t="str">
        <f t="shared" si="8"/>
        <v>MSI</v>
      </c>
      <c r="D525" s="14" t="s">
        <v>2336</v>
      </c>
      <c r="E525" s="11" t="s">
        <v>352</v>
      </c>
      <c r="F525" s="76" t="s">
        <v>8787</v>
      </c>
      <c r="G525" s="12" t="s">
        <v>407</v>
      </c>
      <c r="H525" s="12">
        <v>256</v>
      </c>
      <c r="I525" s="12">
        <v>7200</v>
      </c>
      <c r="J525" s="12">
        <v>4</v>
      </c>
      <c r="K525" s="12">
        <v>2</v>
      </c>
      <c r="L525" s="75" t="s">
        <v>4267</v>
      </c>
      <c r="M525" s="75" t="s">
        <v>4244</v>
      </c>
      <c r="N525" s="75" t="s">
        <v>4254</v>
      </c>
      <c r="O525" s="20" t="s">
        <v>4022</v>
      </c>
      <c r="P525" s="14" t="s">
        <v>4023</v>
      </c>
      <c r="Q525" s="3">
        <v>243.45</v>
      </c>
      <c r="R525" s="3">
        <v>350.21</v>
      </c>
      <c r="S525" s="18" t="s">
        <v>4024</v>
      </c>
      <c r="T525" s="12"/>
    </row>
    <row r="526" spans="1:20" x14ac:dyDescent="0.25">
      <c r="A526" s="18" t="s">
        <v>4025</v>
      </c>
      <c r="B526" s="11" t="s">
        <v>4026</v>
      </c>
      <c r="C526" s="4" t="str">
        <f t="shared" si="8"/>
        <v>MSI</v>
      </c>
      <c r="D526" s="14" t="s">
        <v>2336</v>
      </c>
      <c r="E526" s="11" t="s">
        <v>398</v>
      </c>
      <c r="F526" s="76" t="s">
        <v>8788</v>
      </c>
      <c r="G526" s="12" t="s">
        <v>407</v>
      </c>
      <c r="H526" s="12">
        <v>256</v>
      </c>
      <c r="I526" s="12">
        <v>9200</v>
      </c>
      <c r="J526" s="12">
        <v>4</v>
      </c>
      <c r="K526" s="12">
        <v>2</v>
      </c>
      <c r="L526" s="75" t="s">
        <v>4272</v>
      </c>
      <c r="M526" s="75" t="s">
        <v>4261</v>
      </c>
      <c r="N526" s="75" t="s">
        <v>4273</v>
      </c>
      <c r="O526" s="20" t="s">
        <v>4027</v>
      </c>
      <c r="P526" s="14" t="s">
        <v>2610</v>
      </c>
      <c r="Q526" s="3">
        <v>289.98</v>
      </c>
      <c r="R526" s="3">
        <v>395.77</v>
      </c>
      <c r="S526" s="18" t="s">
        <v>4028</v>
      </c>
      <c r="T526" s="12"/>
    </row>
    <row r="527" spans="1:20" x14ac:dyDescent="0.25">
      <c r="A527" s="18" t="s">
        <v>4029</v>
      </c>
      <c r="B527" s="11" t="s">
        <v>4030</v>
      </c>
      <c r="C527" s="4" t="str">
        <f t="shared" si="8"/>
        <v>MSI</v>
      </c>
      <c r="D527" s="14" t="s">
        <v>4242</v>
      </c>
      <c r="E527" s="11" t="s">
        <v>351</v>
      </c>
      <c r="F527" s="76" t="s">
        <v>8778</v>
      </c>
      <c r="G527" s="12" t="s">
        <v>407</v>
      </c>
      <c r="H527" s="12">
        <v>256</v>
      </c>
      <c r="I527" s="12">
        <v>8400</v>
      </c>
      <c r="J527" s="12">
        <v>4</v>
      </c>
      <c r="K527" s="12">
        <v>2</v>
      </c>
      <c r="L527" s="75" t="s">
        <v>4289</v>
      </c>
      <c r="M527" s="75" t="s">
        <v>4261</v>
      </c>
      <c r="N527" s="75" t="s">
        <v>4290</v>
      </c>
      <c r="O527" s="20" t="s">
        <v>4031</v>
      </c>
      <c r="P527" s="14" t="s">
        <v>3239</v>
      </c>
      <c r="Q527" s="3">
        <v>1309</v>
      </c>
      <c r="R527" s="3">
        <v>1548.54</v>
      </c>
      <c r="S527" s="18" t="s">
        <v>4032</v>
      </c>
      <c r="T527" s="12"/>
    </row>
    <row r="528" spans="1:20" x14ac:dyDescent="0.25">
      <c r="A528" s="18" t="s">
        <v>4033</v>
      </c>
      <c r="B528" s="11" t="s">
        <v>4034</v>
      </c>
      <c r="C528" s="4" t="str">
        <f t="shared" si="8"/>
        <v>MSI</v>
      </c>
      <c r="D528" s="14" t="s">
        <v>2336</v>
      </c>
      <c r="E528" s="11" t="s">
        <v>352</v>
      </c>
      <c r="F528" s="76" t="s">
        <v>8789</v>
      </c>
      <c r="G528" s="12" t="s">
        <v>407</v>
      </c>
      <c r="H528" s="12">
        <v>192</v>
      </c>
      <c r="I528" s="12">
        <v>6666</v>
      </c>
      <c r="J528" s="12">
        <v>4</v>
      </c>
      <c r="K528" s="12">
        <v>2</v>
      </c>
      <c r="L528" s="75" t="s">
        <v>4316</v>
      </c>
      <c r="M528" s="75" t="s">
        <v>4278</v>
      </c>
      <c r="N528" s="75" t="s">
        <v>4290</v>
      </c>
      <c r="O528" s="20" t="s">
        <v>4035</v>
      </c>
      <c r="P528" s="14" t="s">
        <v>450</v>
      </c>
      <c r="Q528" s="3">
        <v>198.99</v>
      </c>
      <c r="R528" s="3">
        <v>952.52</v>
      </c>
      <c r="S528" s="18" t="s">
        <v>4036</v>
      </c>
      <c r="T528" s="12"/>
    </row>
    <row r="529" spans="1:20" x14ac:dyDescent="0.25">
      <c r="A529" s="18" t="s">
        <v>4037</v>
      </c>
      <c r="B529" s="11" t="s">
        <v>4038</v>
      </c>
      <c r="C529" s="4" t="str">
        <f t="shared" si="8"/>
        <v>MSI</v>
      </c>
      <c r="D529" s="14" t="s">
        <v>2336</v>
      </c>
      <c r="E529" s="11" t="s">
        <v>398</v>
      </c>
      <c r="F529" s="76" t="s">
        <v>8788</v>
      </c>
      <c r="G529" s="12" t="s">
        <v>407</v>
      </c>
      <c r="H529" s="12">
        <v>256</v>
      </c>
      <c r="I529" s="12">
        <v>9200</v>
      </c>
      <c r="J529" s="12">
        <v>4</v>
      </c>
      <c r="K529" s="12">
        <v>2</v>
      </c>
      <c r="L529" s="75" t="s">
        <v>4289</v>
      </c>
      <c r="M529" s="75" t="s">
        <v>4261</v>
      </c>
      <c r="N529" s="75" t="s">
        <v>4290</v>
      </c>
      <c r="O529" s="20" t="s">
        <v>4039</v>
      </c>
      <c r="P529" s="14" t="s">
        <v>2610</v>
      </c>
      <c r="Q529" s="3">
        <v>636.03</v>
      </c>
      <c r="R529" s="3">
        <v>807.2</v>
      </c>
      <c r="S529" s="18" t="s">
        <v>4040</v>
      </c>
      <c r="T529" s="12"/>
    </row>
    <row r="530" spans="1:20" x14ac:dyDescent="0.25">
      <c r="A530" s="18" t="s">
        <v>4041</v>
      </c>
      <c r="B530" s="11" t="s">
        <v>4042</v>
      </c>
      <c r="C530" s="4" t="str">
        <f t="shared" si="8"/>
        <v>MSI</v>
      </c>
      <c r="D530" s="14" t="s">
        <v>4242</v>
      </c>
      <c r="E530" s="11" t="s">
        <v>398</v>
      </c>
      <c r="F530" s="76" t="s">
        <v>8788</v>
      </c>
      <c r="G530" s="12" t="s">
        <v>407</v>
      </c>
      <c r="H530" s="12">
        <v>256</v>
      </c>
      <c r="I530" s="12">
        <v>9200</v>
      </c>
      <c r="J530" s="12">
        <v>4</v>
      </c>
      <c r="K530" s="12">
        <v>2</v>
      </c>
      <c r="L530" s="75" t="s">
        <v>4289</v>
      </c>
      <c r="M530" s="75" t="s">
        <v>4261</v>
      </c>
      <c r="N530" s="75" t="s">
        <v>4290</v>
      </c>
      <c r="O530" s="20" t="s">
        <v>4043</v>
      </c>
      <c r="P530" s="14" t="s">
        <v>2610</v>
      </c>
      <c r="Q530" s="3">
        <v>1262</v>
      </c>
      <c r="R530" s="3">
        <v>2359</v>
      </c>
      <c r="S530" s="18" t="s">
        <v>4044</v>
      </c>
      <c r="T530" s="12"/>
    </row>
    <row r="531" spans="1:20" x14ac:dyDescent="0.25">
      <c r="A531" s="18" t="s">
        <v>4045</v>
      </c>
      <c r="B531" s="11" t="s">
        <v>4046</v>
      </c>
      <c r="C531" s="4" t="str">
        <f t="shared" si="8"/>
        <v>MSI</v>
      </c>
      <c r="D531" s="14" t="s">
        <v>2336</v>
      </c>
      <c r="E531" s="11" t="s">
        <v>398</v>
      </c>
      <c r="F531" s="76" t="s">
        <v>8788</v>
      </c>
      <c r="G531" s="12" t="s">
        <v>407</v>
      </c>
      <c r="H531" s="12">
        <v>128</v>
      </c>
      <c r="I531" s="12">
        <v>9600</v>
      </c>
      <c r="J531" s="12">
        <v>2</v>
      </c>
      <c r="K531" s="12">
        <v>2</v>
      </c>
      <c r="L531" s="75" t="s">
        <v>4307</v>
      </c>
      <c r="M531" s="75" t="s">
        <v>4256</v>
      </c>
      <c r="N531" s="75" t="s">
        <v>4283</v>
      </c>
      <c r="O531" s="20" t="s">
        <v>4047</v>
      </c>
      <c r="P531" s="14" t="s">
        <v>2994</v>
      </c>
      <c r="Q531" s="3">
        <v>745</v>
      </c>
      <c r="R531" s="3">
        <v>902.79</v>
      </c>
      <c r="S531" s="18" t="s">
        <v>4048</v>
      </c>
      <c r="T531" s="12"/>
    </row>
    <row r="532" spans="1:20" x14ac:dyDescent="0.25">
      <c r="A532" s="18" t="s">
        <v>4049</v>
      </c>
      <c r="B532" s="11" t="s">
        <v>4050</v>
      </c>
      <c r="C532" s="4" t="str">
        <f t="shared" si="8"/>
        <v>MSI</v>
      </c>
      <c r="D532" s="14" t="s">
        <v>2336</v>
      </c>
      <c r="E532" s="11" t="s">
        <v>350</v>
      </c>
      <c r="F532" s="76" t="s">
        <v>8772</v>
      </c>
      <c r="G532" s="12" t="s">
        <v>406</v>
      </c>
      <c r="H532" s="12">
        <v>128</v>
      </c>
      <c r="I532" s="12">
        <v>4400</v>
      </c>
      <c r="J532" s="12">
        <v>4</v>
      </c>
      <c r="K532" s="12">
        <v>2</v>
      </c>
      <c r="L532" s="75" t="s">
        <v>4255</v>
      </c>
      <c r="M532" s="75" t="s">
        <v>4258</v>
      </c>
      <c r="N532" s="75" t="s">
        <v>4257</v>
      </c>
      <c r="O532" s="20" t="s">
        <v>3919</v>
      </c>
      <c r="P532" s="14" t="s">
        <v>2341</v>
      </c>
      <c r="Q532" s="3">
        <v>117.89</v>
      </c>
      <c r="R532" s="3">
        <v>175.99</v>
      </c>
      <c r="S532" s="18" t="s">
        <v>4051</v>
      </c>
      <c r="T532" s="12"/>
    </row>
    <row r="533" spans="1:20" x14ac:dyDescent="0.25">
      <c r="A533" s="18" t="s">
        <v>4052</v>
      </c>
      <c r="B533" s="11" t="s">
        <v>4053</v>
      </c>
      <c r="C533" s="4" t="str">
        <f t="shared" si="8"/>
        <v>MSI</v>
      </c>
      <c r="D533" s="14" t="s">
        <v>2336</v>
      </c>
      <c r="E533" s="11" t="s">
        <v>351</v>
      </c>
      <c r="F533" s="76" t="s">
        <v>8773</v>
      </c>
      <c r="G533" s="12" t="s">
        <v>407</v>
      </c>
      <c r="H533" s="12">
        <v>256</v>
      </c>
      <c r="I533" s="12">
        <v>7800</v>
      </c>
      <c r="J533" s="12">
        <v>4</v>
      </c>
      <c r="K533" s="12">
        <v>2</v>
      </c>
      <c r="L533" s="75" t="s">
        <v>4264</v>
      </c>
      <c r="M533" s="75" t="s">
        <v>4244</v>
      </c>
      <c r="N533" s="75" t="s">
        <v>4245</v>
      </c>
      <c r="O533" s="20" t="s">
        <v>4054</v>
      </c>
      <c r="P533" s="14" t="s">
        <v>3979</v>
      </c>
      <c r="Q533" s="3">
        <v>249.51</v>
      </c>
      <c r="R533" s="3">
        <v>344</v>
      </c>
      <c r="S533" s="18" t="s">
        <v>4055</v>
      </c>
      <c r="T533" s="12"/>
    </row>
    <row r="534" spans="1:20" x14ac:dyDescent="0.25">
      <c r="A534" s="18" t="s">
        <v>4056</v>
      </c>
      <c r="B534" s="11" t="s">
        <v>4057</v>
      </c>
      <c r="C534" s="4" t="str">
        <f t="shared" si="8"/>
        <v>MSI</v>
      </c>
      <c r="D534" s="14" t="s">
        <v>2311</v>
      </c>
      <c r="E534" s="11" t="s">
        <v>351</v>
      </c>
      <c r="F534" s="76" t="s">
        <v>8773</v>
      </c>
      <c r="G534" s="12" t="s">
        <v>407</v>
      </c>
      <c r="H534" s="12">
        <v>128</v>
      </c>
      <c r="I534" s="12">
        <v>7200</v>
      </c>
      <c r="J534" s="12">
        <v>2</v>
      </c>
      <c r="K534" s="12">
        <v>2</v>
      </c>
      <c r="L534" s="75">
        <v>4</v>
      </c>
      <c r="M534" s="75">
        <v>16</v>
      </c>
      <c r="N534" s="75">
        <v>16</v>
      </c>
      <c r="O534" s="20" t="s">
        <v>3935</v>
      </c>
      <c r="P534" s="14" t="s">
        <v>2389</v>
      </c>
      <c r="Q534" s="3">
        <v>251.72</v>
      </c>
      <c r="R534" s="3">
        <v>342</v>
      </c>
      <c r="S534" s="18" t="s">
        <v>4058</v>
      </c>
      <c r="T534" s="12"/>
    </row>
    <row r="535" spans="1:20" x14ac:dyDescent="0.25">
      <c r="A535" s="18" t="s">
        <v>4059</v>
      </c>
      <c r="B535" s="11" t="s">
        <v>4060</v>
      </c>
      <c r="C535" s="4" t="str">
        <f t="shared" si="8"/>
        <v>MSI</v>
      </c>
      <c r="D535" s="14" t="s">
        <v>2311</v>
      </c>
      <c r="E535" s="11" t="s">
        <v>352</v>
      </c>
      <c r="F535" s="76" t="s">
        <v>8784</v>
      </c>
      <c r="G535" s="12" t="s">
        <v>407</v>
      </c>
      <c r="H535" s="12">
        <v>96</v>
      </c>
      <c r="I535" s="12">
        <v>7200</v>
      </c>
      <c r="J535" s="12">
        <v>2</v>
      </c>
      <c r="K535" s="12">
        <v>2</v>
      </c>
      <c r="L535" s="75">
        <v>5</v>
      </c>
      <c r="M535" s="75">
        <v>16</v>
      </c>
      <c r="N535" s="75">
        <v>16</v>
      </c>
      <c r="O535" s="20" t="s">
        <v>4061</v>
      </c>
      <c r="P535" s="14" t="s">
        <v>2443</v>
      </c>
      <c r="Q535" s="3">
        <v>201.33</v>
      </c>
      <c r="R535" s="3">
        <v>315</v>
      </c>
      <c r="S535" s="18" t="s">
        <v>4062</v>
      </c>
      <c r="T535" s="12"/>
    </row>
    <row r="536" spans="1:20" x14ac:dyDescent="0.25">
      <c r="A536" s="18" t="s">
        <v>4063</v>
      </c>
      <c r="B536" s="11" t="s">
        <v>4064</v>
      </c>
      <c r="C536" s="4" t="str">
        <f t="shared" si="8"/>
        <v>MSI</v>
      </c>
      <c r="D536" s="14" t="s">
        <v>2336</v>
      </c>
      <c r="E536" s="11" t="s">
        <v>351</v>
      </c>
      <c r="F536" s="76" t="s">
        <v>8775</v>
      </c>
      <c r="G536" s="12" t="s">
        <v>407</v>
      </c>
      <c r="H536" s="12">
        <v>256</v>
      </c>
      <c r="I536" s="12">
        <v>8400</v>
      </c>
      <c r="J536" s="12">
        <v>4</v>
      </c>
      <c r="K536" s="12">
        <v>2</v>
      </c>
      <c r="L536" s="75" t="s">
        <v>4267</v>
      </c>
      <c r="M536" s="75" t="s">
        <v>4261</v>
      </c>
      <c r="N536" s="75" t="s">
        <v>4254</v>
      </c>
      <c r="O536" s="20" t="s">
        <v>3993</v>
      </c>
      <c r="P536" s="14" t="s">
        <v>2504</v>
      </c>
      <c r="Q536" s="3">
        <v>292.99</v>
      </c>
      <c r="R536" s="3">
        <v>399</v>
      </c>
      <c r="S536" s="18" t="s">
        <v>4065</v>
      </c>
      <c r="T536" s="12"/>
    </row>
    <row r="537" spans="1:20" x14ac:dyDescent="0.25">
      <c r="A537" s="18" t="s">
        <v>4066</v>
      </c>
      <c r="B537" s="11" t="s">
        <v>4067</v>
      </c>
      <c r="C537" s="4" t="str">
        <f t="shared" si="8"/>
        <v>MSI</v>
      </c>
      <c r="D537" s="14" t="s">
        <v>2336</v>
      </c>
      <c r="E537" s="11" t="s">
        <v>351</v>
      </c>
      <c r="F537" s="76" t="s">
        <v>8779</v>
      </c>
      <c r="G537" s="12" t="s">
        <v>407</v>
      </c>
      <c r="H537" s="12">
        <v>256</v>
      </c>
      <c r="I537" s="12">
        <v>7800</v>
      </c>
      <c r="J537" s="12">
        <v>4</v>
      </c>
      <c r="K537" s="12">
        <v>2</v>
      </c>
      <c r="L537" s="75" t="s">
        <v>4289</v>
      </c>
      <c r="M537" s="75" t="s">
        <v>4261</v>
      </c>
      <c r="N537" s="75" t="s">
        <v>4290</v>
      </c>
      <c r="O537" s="20" t="s">
        <v>4068</v>
      </c>
      <c r="P537" s="14" t="s">
        <v>3080</v>
      </c>
      <c r="Q537" s="3">
        <v>412.98</v>
      </c>
      <c r="R537" s="3">
        <v>535</v>
      </c>
      <c r="S537" s="18" t="s">
        <v>4069</v>
      </c>
      <c r="T537" s="12"/>
    </row>
    <row r="538" spans="1:20" x14ac:dyDescent="0.25">
      <c r="A538" s="18" t="s">
        <v>4070</v>
      </c>
      <c r="B538" s="11" t="s">
        <v>4071</v>
      </c>
      <c r="C538" s="4" t="str">
        <f t="shared" si="8"/>
        <v>MSI</v>
      </c>
      <c r="D538" s="14" t="s">
        <v>2336</v>
      </c>
      <c r="E538" s="11" t="s">
        <v>351</v>
      </c>
      <c r="F538" s="76" t="s">
        <v>8778</v>
      </c>
      <c r="G538" s="12" t="s">
        <v>407</v>
      </c>
      <c r="H538" s="12">
        <v>256</v>
      </c>
      <c r="I538" s="12">
        <v>8400</v>
      </c>
      <c r="J538" s="12">
        <v>4</v>
      </c>
      <c r="K538" s="12">
        <v>2</v>
      </c>
      <c r="L538" s="75" t="s">
        <v>4289</v>
      </c>
      <c r="M538" s="75" t="s">
        <v>4261</v>
      </c>
      <c r="N538" s="75" t="s">
        <v>4273</v>
      </c>
      <c r="O538" s="20" t="s">
        <v>4072</v>
      </c>
      <c r="P538" s="14" t="s">
        <v>3239</v>
      </c>
      <c r="Q538" s="3">
        <v>469.99</v>
      </c>
      <c r="R538" s="3">
        <v>565</v>
      </c>
      <c r="S538" s="18" t="s">
        <v>4073</v>
      </c>
      <c r="T538" s="12"/>
    </row>
    <row r="539" spans="1:20" x14ac:dyDescent="0.25">
      <c r="A539" s="18" t="s">
        <v>4074</v>
      </c>
      <c r="B539" s="11" t="s">
        <v>4075</v>
      </c>
      <c r="C539" s="4" t="str">
        <f t="shared" si="8"/>
        <v>MSI</v>
      </c>
      <c r="D539" s="14" t="s">
        <v>2336</v>
      </c>
      <c r="E539" s="11" t="s">
        <v>351</v>
      </c>
      <c r="F539" s="76" t="s">
        <v>8778</v>
      </c>
      <c r="G539" s="12" t="s">
        <v>407</v>
      </c>
      <c r="H539" s="12">
        <v>256</v>
      </c>
      <c r="I539" s="12">
        <v>8400</v>
      </c>
      <c r="J539" s="12">
        <v>4</v>
      </c>
      <c r="K539" s="12">
        <v>2</v>
      </c>
      <c r="L539" s="75" t="s">
        <v>4267</v>
      </c>
      <c r="M539" s="75" t="s">
        <v>4261</v>
      </c>
      <c r="N539" s="75" t="s">
        <v>4254</v>
      </c>
      <c r="O539" s="20" t="s">
        <v>4009</v>
      </c>
      <c r="P539" s="14" t="s">
        <v>3239</v>
      </c>
      <c r="Q539" s="3">
        <v>378</v>
      </c>
      <c r="R539" s="3">
        <v>468.78</v>
      </c>
      <c r="S539" s="18" t="s">
        <v>4076</v>
      </c>
      <c r="T539" s="12"/>
    </row>
    <row r="540" spans="1:20" x14ac:dyDescent="0.25">
      <c r="A540" s="18" t="s">
        <v>4077</v>
      </c>
      <c r="B540" s="11" t="s">
        <v>4078</v>
      </c>
      <c r="C540" s="4" t="str">
        <f t="shared" si="8"/>
        <v>MSI</v>
      </c>
      <c r="D540" s="14" t="s">
        <v>2336</v>
      </c>
      <c r="E540" s="11" t="s">
        <v>352</v>
      </c>
      <c r="F540" s="76" t="s">
        <v>8789</v>
      </c>
      <c r="G540" s="12" t="s">
        <v>407</v>
      </c>
      <c r="H540" s="12">
        <v>192</v>
      </c>
      <c r="I540" s="12">
        <v>6666</v>
      </c>
      <c r="J540" s="12">
        <v>4</v>
      </c>
      <c r="K540" s="12">
        <v>2</v>
      </c>
      <c r="L540" s="75" t="s">
        <v>4316</v>
      </c>
      <c r="M540" s="75" t="s">
        <v>4261</v>
      </c>
      <c r="N540" s="75" t="s">
        <v>4290</v>
      </c>
      <c r="O540" s="20" t="s">
        <v>4079</v>
      </c>
      <c r="P540" s="14" t="s">
        <v>450</v>
      </c>
      <c r="Q540" s="3">
        <v>442</v>
      </c>
      <c r="R540" s="3">
        <v>442</v>
      </c>
      <c r="S540" s="18" t="s">
        <v>4080</v>
      </c>
      <c r="T540" s="12"/>
    </row>
    <row r="541" spans="1:20" x14ac:dyDescent="0.25">
      <c r="A541" s="18" t="s">
        <v>4081</v>
      </c>
      <c r="B541" s="11" t="s">
        <v>4082</v>
      </c>
      <c r="C541" s="4" t="str">
        <f t="shared" si="8"/>
        <v>MSI</v>
      </c>
      <c r="D541" s="14" t="s">
        <v>2336</v>
      </c>
      <c r="E541" s="11" t="s">
        <v>352</v>
      </c>
      <c r="F541" s="76" t="s">
        <v>8789</v>
      </c>
      <c r="G541" s="12" t="s">
        <v>407</v>
      </c>
      <c r="H541" s="12">
        <v>192</v>
      </c>
      <c r="I541" s="12">
        <v>6400</v>
      </c>
      <c r="J541" s="12">
        <v>4</v>
      </c>
      <c r="K541" s="12">
        <v>2</v>
      </c>
      <c r="L541" s="75" t="s">
        <v>4310</v>
      </c>
      <c r="M541" s="75" t="s">
        <v>4256</v>
      </c>
      <c r="N541" s="75" t="s">
        <v>4284</v>
      </c>
      <c r="O541" s="20" t="s">
        <v>4083</v>
      </c>
      <c r="P541" s="14" t="s">
        <v>450</v>
      </c>
      <c r="Q541" s="3">
        <v>472</v>
      </c>
      <c r="R541" s="3">
        <v>969.48</v>
      </c>
      <c r="S541" s="18" t="s">
        <v>4084</v>
      </c>
      <c r="T541" s="12"/>
    </row>
    <row r="542" spans="1:20" x14ac:dyDescent="0.25">
      <c r="A542" s="18" t="s">
        <v>4085</v>
      </c>
      <c r="B542" s="11" t="s">
        <v>4086</v>
      </c>
      <c r="C542" s="4" t="str">
        <f t="shared" si="8"/>
        <v>MSI</v>
      </c>
      <c r="D542" s="14" t="s">
        <v>2336</v>
      </c>
      <c r="E542" s="11" t="s">
        <v>352</v>
      </c>
      <c r="F542" s="76" t="s">
        <v>8787</v>
      </c>
      <c r="G542" s="12" t="s">
        <v>407</v>
      </c>
      <c r="H542" s="12">
        <v>256</v>
      </c>
      <c r="I542" s="12">
        <v>7800</v>
      </c>
      <c r="J542" s="12">
        <v>4</v>
      </c>
      <c r="K542" s="12">
        <v>2</v>
      </c>
      <c r="L542" s="75" t="s">
        <v>4267</v>
      </c>
      <c r="M542" s="75" t="s">
        <v>4244</v>
      </c>
      <c r="N542" s="75" t="s">
        <v>4254</v>
      </c>
      <c r="O542" s="20" t="s">
        <v>4087</v>
      </c>
      <c r="P542" s="14" t="s">
        <v>4088</v>
      </c>
      <c r="Q542" s="3">
        <v>457.57</v>
      </c>
      <c r="R542" s="3">
        <v>784.54</v>
      </c>
      <c r="S542" s="18" t="s">
        <v>4089</v>
      </c>
      <c r="T542" s="12"/>
    </row>
    <row r="543" spans="1:20" x14ac:dyDescent="0.25">
      <c r="A543" s="18" t="s">
        <v>4090</v>
      </c>
      <c r="B543" s="11" t="s">
        <v>4091</v>
      </c>
      <c r="C543" s="4" t="str">
        <f t="shared" si="8"/>
        <v>MSI</v>
      </c>
      <c r="D543" s="14" t="s">
        <v>2336</v>
      </c>
      <c r="E543" s="11" t="s">
        <v>352</v>
      </c>
      <c r="F543" s="76" t="s">
        <v>8787</v>
      </c>
      <c r="G543" s="12" t="s">
        <v>407</v>
      </c>
      <c r="H543" s="12">
        <v>256</v>
      </c>
      <c r="I543" s="12">
        <v>7600</v>
      </c>
      <c r="J543" s="12">
        <v>4</v>
      </c>
      <c r="K543" s="12">
        <v>2</v>
      </c>
      <c r="L543" s="75" t="s">
        <v>4267</v>
      </c>
      <c r="M543" s="75" t="s">
        <v>4244</v>
      </c>
      <c r="N543" s="75" t="s">
        <v>4254</v>
      </c>
      <c r="O543" s="20" t="s">
        <v>4087</v>
      </c>
      <c r="P543" s="14" t="s">
        <v>4088</v>
      </c>
      <c r="Q543" s="3">
        <v>349.99</v>
      </c>
      <c r="R543" s="3">
        <v>462.65</v>
      </c>
      <c r="S543" s="18" t="s">
        <v>4092</v>
      </c>
      <c r="T543" s="12"/>
    </row>
    <row r="544" spans="1:20" x14ac:dyDescent="0.25">
      <c r="A544" s="18" t="s">
        <v>4093</v>
      </c>
      <c r="B544" s="11" t="s">
        <v>4094</v>
      </c>
      <c r="C544" s="4" t="str">
        <f t="shared" si="8"/>
        <v>MSI</v>
      </c>
      <c r="D544" s="14" t="s">
        <v>2336</v>
      </c>
      <c r="E544" s="11" t="s">
        <v>352</v>
      </c>
      <c r="F544" s="76" t="s">
        <v>8787</v>
      </c>
      <c r="G544" s="12" t="s">
        <v>407</v>
      </c>
      <c r="H544" s="12">
        <v>256</v>
      </c>
      <c r="I544" s="12">
        <v>7800</v>
      </c>
      <c r="J544" s="12">
        <v>4</v>
      </c>
      <c r="K544" s="12">
        <v>2</v>
      </c>
      <c r="L544" s="75" t="s">
        <v>4267</v>
      </c>
      <c r="M544" s="75" t="s">
        <v>4244</v>
      </c>
      <c r="N544" s="75" t="s">
        <v>4254</v>
      </c>
      <c r="O544" s="20" t="s">
        <v>4095</v>
      </c>
      <c r="P544" s="14" t="s">
        <v>4018</v>
      </c>
      <c r="Q544" s="3">
        <v>293</v>
      </c>
      <c r="R544" s="3">
        <v>789.23</v>
      </c>
      <c r="S544" s="18" t="s">
        <v>4096</v>
      </c>
      <c r="T544" s="12"/>
    </row>
    <row r="545" spans="1:20" x14ac:dyDescent="0.25">
      <c r="A545" s="18" t="s">
        <v>4097</v>
      </c>
      <c r="B545" s="11" t="s">
        <v>4098</v>
      </c>
      <c r="C545" s="4" t="str">
        <f t="shared" si="8"/>
        <v>MSI</v>
      </c>
      <c r="D545" s="14" t="s">
        <v>2311</v>
      </c>
      <c r="E545" s="11" t="s">
        <v>352</v>
      </c>
      <c r="F545" s="76" t="s">
        <v>8787</v>
      </c>
      <c r="G545" s="12" t="s">
        <v>407</v>
      </c>
      <c r="H545" s="12">
        <v>96</v>
      </c>
      <c r="I545" s="12">
        <v>8000</v>
      </c>
      <c r="J545" s="12">
        <v>2</v>
      </c>
      <c r="K545" s="12">
        <v>2</v>
      </c>
      <c r="L545" s="75">
        <v>5</v>
      </c>
      <c r="M545" s="75">
        <v>16</v>
      </c>
      <c r="N545" s="75">
        <v>16</v>
      </c>
      <c r="O545" s="20" t="s">
        <v>4099</v>
      </c>
      <c r="P545" s="14" t="s">
        <v>2681</v>
      </c>
      <c r="Q545" s="3">
        <v>348.95</v>
      </c>
      <c r="R545" s="3">
        <v>778.9</v>
      </c>
      <c r="S545" s="18" t="s">
        <v>4100</v>
      </c>
      <c r="T545" s="12"/>
    </row>
    <row r="546" spans="1:20" x14ac:dyDescent="0.25">
      <c r="A546" s="18" t="s">
        <v>4101</v>
      </c>
      <c r="B546" s="11" t="s">
        <v>4102</v>
      </c>
      <c r="C546" s="4" t="str">
        <f t="shared" si="8"/>
        <v>MSI</v>
      </c>
      <c r="D546" s="14" t="s">
        <v>2336</v>
      </c>
      <c r="E546" s="11" t="s">
        <v>398</v>
      </c>
      <c r="F546" s="76" t="s">
        <v>8788</v>
      </c>
      <c r="G546" s="12" t="s">
        <v>407</v>
      </c>
      <c r="H546" s="12">
        <v>256</v>
      </c>
      <c r="I546" s="12">
        <v>9200</v>
      </c>
      <c r="J546" s="12">
        <v>4</v>
      </c>
      <c r="K546" s="12">
        <v>2</v>
      </c>
      <c r="L546" s="75" t="s">
        <v>4289</v>
      </c>
      <c r="M546" s="75" t="s">
        <v>4261</v>
      </c>
      <c r="N546" s="75" t="s">
        <v>4290</v>
      </c>
      <c r="O546" s="20" t="s">
        <v>4103</v>
      </c>
      <c r="P546" s="14" t="s">
        <v>2610</v>
      </c>
      <c r="Q546" s="3">
        <v>491.09</v>
      </c>
      <c r="R546" s="3">
        <v>633.09</v>
      </c>
      <c r="S546" s="18" t="s">
        <v>4104</v>
      </c>
      <c r="T546" s="12"/>
    </row>
    <row r="547" spans="1:20" x14ac:dyDescent="0.25">
      <c r="A547" s="18" t="s">
        <v>4105</v>
      </c>
      <c r="B547" s="11" t="s">
        <v>4106</v>
      </c>
      <c r="C547" s="4" t="str">
        <f t="shared" si="8"/>
        <v>MSI</v>
      </c>
      <c r="D547" s="14" t="s">
        <v>2336</v>
      </c>
      <c r="E547" s="11" t="s">
        <v>398</v>
      </c>
      <c r="F547" s="76" t="s">
        <v>8788</v>
      </c>
      <c r="G547" s="12" t="s">
        <v>407</v>
      </c>
      <c r="H547" s="12">
        <v>256</v>
      </c>
      <c r="I547" s="12">
        <v>9200</v>
      </c>
      <c r="J547" s="12">
        <v>4</v>
      </c>
      <c r="K547" s="12">
        <v>2</v>
      </c>
      <c r="L547" s="75" t="s">
        <v>4272</v>
      </c>
      <c r="M547" s="75" t="s">
        <v>4244</v>
      </c>
      <c r="N547" s="75" t="s">
        <v>4254</v>
      </c>
      <c r="O547" s="20" t="s">
        <v>4107</v>
      </c>
      <c r="P547" s="14" t="s">
        <v>2610</v>
      </c>
      <c r="Q547" s="3">
        <v>396.27</v>
      </c>
      <c r="R547" s="3">
        <v>510.38</v>
      </c>
      <c r="S547" s="18" t="s">
        <v>4108</v>
      </c>
      <c r="T547" s="12"/>
    </row>
    <row r="548" spans="1:20" x14ac:dyDescent="0.25">
      <c r="A548" s="18" t="s">
        <v>4109</v>
      </c>
      <c r="B548" s="11" t="s">
        <v>4110</v>
      </c>
      <c r="C548" s="4" t="str">
        <f t="shared" si="8"/>
        <v>MSI</v>
      </c>
      <c r="D548" s="14" t="s">
        <v>2311</v>
      </c>
      <c r="E548" s="11" t="s">
        <v>398</v>
      </c>
      <c r="F548" s="76" t="s">
        <v>8788</v>
      </c>
      <c r="G548" s="12" t="s">
        <v>407</v>
      </c>
      <c r="H548" s="12">
        <v>128</v>
      </c>
      <c r="I548" s="12">
        <v>8600</v>
      </c>
      <c r="J548" s="12">
        <v>2</v>
      </c>
      <c r="K548" s="12">
        <v>2</v>
      </c>
      <c r="L548" s="75">
        <v>5</v>
      </c>
      <c r="M548" s="75">
        <v>16</v>
      </c>
      <c r="N548" s="75">
        <v>16</v>
      </c>
      <c r="O548" s="20" t="s">
        <v>4111</v>
      </c>
      <c r="P548" s="14" t="s">
        <v>3307</v>
      </c>
      <c r="Q548" s="3">
        <v>412.84</v>
      </c>
      <c r="R548" s="3">
        <v>509</v>
      </c>
      <c r="S548" s="18" t="s">
        <v>4112</v>
      </c>
      <c r="T548" s="12"/>
    </row>
    <row r="549" spans="1:20" x14ac:dyDescent="0.25">
      <c r="A549" s="18" t="s">
        <v>4113</v>
      </c>
      <c r="B549" s="11" t="s">
        <v>4114</v>
      </c>
      <c r="C549" s="4" t="str">
        <f t="shared" si="8"/>
        <v>MSI</v>
      </c>
      <c r="D549" s="14" t="s">
        <v>2294</v>
      </c>
      <c r="E549" s="11" t="s">
        <v>351</v>
      </c>
      <c r="F549" s="76" t="s">
        <v>8771</v>
      </c>
      <c r="G549" s="12" t="s">
        <v>407</v>
      </c>
      <c r="H549" s="12">
        <v>128</v>
      </c>
      <c r="I549" s="12">
        <v>6800</v>
      </c>
      <c r="J549" s="12">
        <v>2</v>
      </c>
      <c r="K549" s="12">
        <v>2</v>
      </c>
      <c r="L549" s="75" t="s">
        <v>4259</v>
      </c>
      <c r="M549" s="75" t="s">
        <v>4249</v>
      </c>
      <c r="N549" s="75" t="s">
        <v>4249</v>
      </c>
      <c r="O549" s="20" t="s">
        <v>4115</v>
      </c>
      <c r="P549" s="14" t="s">
        <v>2322</v>
      </c>
      <c r="Q549" s="3">
        <v>85.89</v>
      </c>
      <c r="R549" s="3">
        <v>117.9</v>
      </c>
      <c r="S549" s="18" t="s">
        <v>4116</v>
      </c>
      <c r="T549" s="12"/>
    </row>
    <row r="550" spans="1:20" x14ac:dyDescent="0.25">
      <c r="A550" s="18" t="s">
        <v>4117</v>
      </c>
      <c r="B550" s="11" t="s">
        <v>4118</v>
      </c>
      <c r="C550" s="4" t="str">
        <f t="shared" si="8"/>
        <v>MSI</v>
      </c>
      <c r="D550" s="14" t="s">
        <v>2294</v>
      </c>
      <c r="E550" s="11" t="s">
        <v>351</v>
      </c>
      <c r="F550" s="76" t="s">
        <v>8771</v>
      </c>
      <c r="G550" s="12" t="s">
        <v>407</v>
      </c>
      <c r="H550" s="12">
        <v>128</v>
      </c>
      <c r="I550" s="12">
        <v>6800</v>
      </c>
      <c r="J550" s="12">
        <v>2</v>
      </c>
      <c r="K550" s="12">
        <v>2</v>
      </c>
      <c r="L550" s="75" t="s">
        <v>4259</v>
      </c>
      <c r="M550" s="75" t="s">
        <v>4249</v>
      </c>
      <c r="N550" s="75" t="s">
        <v>4249</v>
      </c>
      <c r="O550" s="20" t="s">
        <v>4115</v>
      </c>
      <c r="P550" s="14" t="s">
        <v>2322</v>
      </c>
      <c r="Q550" s="3">
        <v>80.89</v>
      </c>
      <c r="R550" s="3">
        <v>218.12</v>
      </c>
      <c r="S550" s="18" t="s">
        <v>4119</v>
      </c>
      <c r="T550" s="12"/>
    </row>
    <row r="551" spans="1:20" x14ac:dyDescent="0.25">
      <c r="A551" s="18" t="s">
        <v>4120</v>
      </c>
      <c r="B551" s="11" t="s">
        <v>4121</v>
      </c>
      <c r="C551" s="4" t="str">
        <f t="shared" si="8"/>
        <v>MSI</v>
      </c>
      <c r="D551" s="14" t="s">
        <v>2294</v>
      </c>
      <c r="E551" s="11" t="s">
        <v>350</v>
      </c>
      <c r="F551" s="76" t="s">
        <v>8772</v>
      </c>
      <c r="G551" s="12" t="s">
        <v>406</v>
      </c>
      <c r="H551" s="12">
        <v>128</v>
      </c>
      <c r="I551" s="12">
        <v>4400</v>
      </c>
      <c r="J551" s="12">
        <v>4</v>
      </c>
      <c r="K551" s="12">
        <v>2</v>
      </c>
      <c r="L551" s="75" t="s">
        <v>4243</v>
      </c>
      <c r="M551" s="75" t="s">
        <v>4251</v>
      </c>
      <c r="N551" s="75" t="s">
        <v>4251</v>
      </c>
      <c r="O551" s="20" t="s">
        <v>2304</v>
      </c>
      <c r="P551" s="14" t="s">
        <v>2360</v>
      </c>
      <c r="Q551" s="3">
        <v>113.89</v>
      </c>
      <c r="R551" s="3">
        <v>211.26</v>
      </c>
      <c r="S551" s="18" t="s">
        <v>4122</v>
      </c>
      <c r="T551" s="12"/>
    </row>
    <row r="552" spans="1:20" x14ac:dyDescent="0.25">
      <c r="A552" s="18" t="s">
        <v>4123</v>
      </c>
      <c r="B552" s="11" t="s">
        <v>4124</v>
      </c>
      <c r="C552" s="4" t="str">
        <f t="shared" si="8"/>
        <v>MSI</v>
      </c>
      <c r="D552" s="14" t="s">
        <v>2336</v>
      </c>
      <c r="E552" s="11" t="s">
        <v>351</v>
      </c>
      <c r="F552" s="76" t="s">
        <v>8773</v>
      </c>
      <c r="G552" s="12" t="s">
        <v>407</v>
      </c>
      <c r="H552" s="12">
        <v>256</v>
      </c>
      <c r="I552" s="12">
        <v>7600</v>
      </c>
      <c r="J552" s="12">
        <v>4</v>
      </c>
      <c r="K552" s="12">
        <v>2</v>
      </c>
      <c r="L552" s="75" t="s">
        <v>4264</v>
      </c>
      <c r="M552" s="75" t="s">
        <v>4244</v>
      </c>
      <c r="N552" s="75" t="s">
        <v>4245</v>
      </c>
      <c r="O552" s="20" t="s">
        <v>4125</v>
      </c>
      <c r="P552" s="14" t="s">
        <v>3979</v>
      </c>
      <c r="Q552" s="3">
        <v>189.97</v>
      </c>
      <c r="R552" s="3">
        <v>204.13</v>
      </c>
      <c r="S552" s="18" t="s">
        <v>4126</v>
      </c>
      <c r="T552" s="12"/>
    </row>
    <row r="553" spans="1:20" x14ac:dyDescent="0.25">
      <c r="A553" s="18" t="s">
        <v>4127</v>
      </c>
      <c r="B553" s="11" t="s">
        <v>4128</v>
      </c>
      <c r="C553" s="4" t="str">
        <f t="shared" si="8"/>
        <v>MSI</v>
      </c>
      <c r="D553" s="14" t="s">
        <v>2294</v>
      </c>
      <c r="E553" s="11" t="s">
        <v>351</v>
      </c>
      <c r="F553" s="76" t="s">
        <v>8773</v>
      </c>
      <c r="G553" s="12" t="s">
        <v>407</v>
      </c>
      <c r="H553" s="12">
        <v>256</v>
      </c>
      <c r="I553" s="12">
        <v>7200</v>
      </c>
      <c r="J553" s="12">
        <v>4</v>
      </c>
      <c r="K553" s="12">
        <v>2</v>
      </c>
      <c r="L553" s="75" t="s">
        <v>4264</v>
      </c>
      <c r="M553" s="75" t="s">
        <v>4244</v>
      </c>
      <c r="N553" s="75" t="s">
        <v>4254</v>
      </c>
      <c r="O553" s="20" t="s">
        <v>3935</v>
      </c>
      <c r="P553" s="14" t="s">
        <v>2389</v>
      </c>
      <c r="Q553" s="3">
        <v>168.98</v>
      </c>
      <c r="R553" s="3">
        <v>242.55</v>
      </c>
      <c r="S553" s="18" t="s">
        <v>4129</v>
      </c>
      <c r="T553" s="12"/>
    </row>
    <row r="554" spans="1:20" x14ac:dyDescent="0.25">
      <c r="A554" s="18" t="s">
        <v>4130</v>
      </c>
      <c r="B554" s="11" t="s">
        <v>4131</v>
      </c>
      <c r="C554" s="4" t="str">
        <f t="shared" si="8"/>
        <v>MSI</v>
      </c>
      <c r="D554" s="14" t="s">
        <v>2294</v>
      </c>
      <c r="E554" s="11" t="s">
        <v>351</v>
      </c>
      <c r="F554" s="76" t="s">
        <v>8773</v>
      </c>
      <c r="G554" s="12" t="s">
        <v>407</v>
      </c>
      <c r="H554" s="12">
        <v>128</v>
      </c>
      <c r="I554" s="12">
        <v>6800</v>
      </c>
      <c r="J554" s="12">
        <v>2</v>
      </c>
      <c r="K554" s="12">
        <v>2</v>
      </c>
      <c r="L554" s="75" t="s">
        <v>4259</v>
      </c>
      <c r="M554" s="75" t="s">
        <v>4249</v>
      </c>
      <c r="N554" s="75" t="s">
        <v>4249</v>
      </c>
      <c r="O554" s="20" t="s">
        <v>4115</v>
      </c>
      <c r="P554" s="14" t="s">
        <v>2389</v>
      </c>
      <c r="Q554" s="3">
        <v>102</v>
      </c>
      <c r="R554" s="3">
        <v>134.34</v>
      </c>
      <c r="S554" s="18" t="s">
        <v>4132</v>
      </c>
      <c r="T554" s="12"/>
    </row>
    <row r="555" spans="1:20" x14ac:dyDescent="0.25">
      <c r="A555" s="18" t="s">
        <v>4133</v>
      </c>
      <c r="B555" s="11" t="s">
        <v>4134</v>
      </c>
      <c r="C555" s="4" t="str">
        <f t="shared" si="8"/>
        <v>MSI</v>
      </c>
      <c r="D555" s="14" t="s">
        <v>2294</v>
      </c>
      <c r="E555" s="11" t="s">
        <v>351</v>
      </c>
      <c r="F555" s="76" t="s">
        <v>8773</v>
      </c>
      <c r="G555" s="12" t="s">
        <v>407</v>
      </c>
      <c r="H555" s="12">
        <v>256</v>
      </c>
      <c r="I555" s="12">
        <v>7200</v>
      </c>
      <c r="J555" s="12">
        <v>4</v>
      </c>
      <c r="K555" s="12">
        <v>2</v>
      </c>
      <c r="L555" s="75" t="s">
        <v>4250</v>
      </c>
      <c r="M555" s="75" t="s">
        <v>4251</v>
      </c>
      <c r="N555" s="75" t="s">
        <v>4251</v>
      </c>
      <c r="O555" s="20" t="s">
        <v>4135</v>
      </c>
      <c r="P555" s="14" t="s">
        <v>2389</v>
      </c>
      <c r="Q555" s="3">
        <v>121.99</v>
      </c>
      <c r="R555" s="3">
        <v>173.36</v>
      </c>
      <c r="S555" s="18" t="s">
        <v>4136</v>
      </c>
      <c r="T555" s="12"/>
    </row>
    <row r="556" spans="1:20" x14ac:dyDescent="0.25">
      <c r="A556" s="18" t="s">
        <v>4137</v>
      </c>
      <c r="B556" s="11" t="s">
        <v>4138</v>
      </c>
      <c r="C556" s="4" t="str">
        <f t="shared" si="8"/>
        <v>MSI</v>
      </c>
      <c r="D556" s="14" t="s">
        <v>2336</v>
      </c>
      <c r="E556" s="11" t="s">
        <v>351</v>
      </c>
      <c r="F556" s="76" t="s">
        <v>8773</v>
      </c>
      <c r="G556" s="12" t="s">
        <v>407</v>
      </c>
      <c r="H556" s="12">
        <v>256</v>
      </c>
      <c r="I556" s="12">
        <v>7200</v>
      </c>
      <c r="J556" s="12">
        <v>4</v>
      </c>
      <c r="K556" s="12">
        <v>2</v>
      </c>
      <c r="L556" s="75" t="s">
        <v>4264</v>
      </c>
      <c r="M556" s="75" t="s">
        <v>4244</v>
      </c>
      <c r="N556" s="75" t="s">
        <v>4254</v>
      </c>
      <c r="O556" s="20" t="s">
        <v>3931</v>
      </c>
      <c r="P556" s="14" t="s">
        <v>2389</v>
      </c>
      <c r="Q556" s="3">
        <v>151.88999999999999</v>
      </c>
      <c r="R556" s="3">
        <v>195.4</v>
      </c>
      <c r="S556" s="18" t="s">
        <v>4139</v>
      </c>
      <c r="T556" s="12"/>
    </row>
    <row r="557" spans="1:20" x14ac:dyDescent="0.25">
      <c r="A557" s="18" t="s">
        <v>4140</v>
      </c>
      <c r="B557" s="11" t="s">
        <v>4141</v>
      </c>
      <c r="C557" s="4" t="str">
        <f t="shared" si="8"/>
        <v>MSI</v>
      </c>
      <c r="D557" s="14" t="s">
        <v>2294</v>
      </c>
      <c r="E557" s="11" t="s">
        <v>352</v>
      </c>
      <c r="F557" s="76" t="s">
        <v>8783</v>
      </c>
      <c r="G557" s="12" t="s">
        <v>407</v>
      </c>
      <c r="H557" s="12">
        <v>192</v>
      </c>
      <c r="I557" s="12">
        <v>6200</v>
      </c>
      <c r="J557" s="12">
        <v>4</v>
      </c>
      <c r="K557" s="12">
        <v>2</v>
      </c>
      <c r="L557" s="75" t="s">
        <v>4250</v>
      </c>
      <c r="M557" s="75" t="s">
        <v>4244</v>
      </c>
      <c r="N557" s="75" t="s">
        <v>4254</v>
      </c>
      <c r="O557" s="20" t="s">
        <v>3949</v>
      </c>
      <c r="P557" s="14" t="s">
        <v>2438</v>
      </c>
      <c r="Q557" s="3">
        <v>189.9</v>
      </c>
      <c r="R557" s="3">
        <v>189.9</v>
      </c>
      <c r="S557" s="18" t="s">
        <v>4142</v>
      </c>
      <c r="T557" s="12"/>
    </row>
    <row r="558" spans="1:20" x14ac:dyDescent="0.25">
      <c r="A558" s="18" t="s">
        <v>4143</v>
      </c>
      <c r="B558" s="11" t="s">
        <v>4144</v>
      </c>
      <c r="C558" s="4" t="str">
        <f t="shared" si="8"/>
        <v>MSI</v>
      </c>
      <c r="D558" s="14" t="s">
        <v>2294</v>
      </c>
      <c r="E558" s="11" t="s">
        <v>352</v>
      </c>
      <c r="F558" s="76" t="s">
        <v>8783</v>
      </c>
      <c r="G558" s="12" t="s">
        <v>406</v>
      </c>
      <c r="H558" s="12">
        <v>128</v>
      </c>
      <c r="I558" s="12">
        <v>4800</v>
      </c>
      <c r="J558" s="12">
        <v>4</v>
      </c>
      <c r="K558" s="12">
        <v>2</v>
      </c>
      <c r="L558" s="75" t="s">
        <v>4250</v>
      </c>
      <c r="M558" s="75" t="s">
        <v>4244</v>
      </c>
      <c r="N558" s="75" t="s">
        <v>4254</v>
      </c>
      <c r="O558" s="20" t="s">
        <v>3949</v>
      </c>
      <c r="P558" s="14" t="s">
        <v>2438</v>
      </c>
      <c r="Q558" s="3">
        <v>149</v>
      </c>
      <c r="R558" s="3">
        <v>149</v>
      </c>
      <c r="S558" s="18" t="s">
        <v>4145</v>
      </c>
      <c r="T558" s="12"/>
    </row>
    <row r="559" spans="1:20" x14ac:dyDescent="0.25">
      <c r="A559" s="18" t="s">
        <v>4146</v>
      </c>
      <c r="B559" s="11" t="s">
        <v>4147</v>
      </c>
      <c r="C559" s="4" t="str">
        <f t="shared" si="8"/>
        <v>MSI</v>
      </c>
      <c r="D559" s="14" t="s">
        <v>2294</v>
      </c>
      <c r="E559" s="11" t="s">
        <v>352</v>
      </c>
      <c r="F559" s="76" t="s">
        <v>8784</v>
      </c>
      <c r="G559" s="12" t="s">
        <v>407</v>
      </c>
      <c r="H559" s="12">
        <v>256</v>
      </c>
      <c r="I559" s="12">
        <v>6800</v>
      </c>
      <c r="J559" s="12">
        <v>4</v>
      </c>
      <c r="K559" s="12">
        <v>2</v>
      </c>
      <c r="L559" s="75" t="s">
        <v>4264</v>
      </c>
      <c r="M559" s="75" t="s">
        <v>4244</v>
      </c>
      <c r="N559" s="75" t="s">
        <v>4254</v>
      </c>
      <c r="O559" s="20" t="s">
        <v>3949</v>
      </c>
      <c r="P559" s="14" t="s">
        <v>2443</v>
      </c>
      <c r="Q559" s="3">
        <v>159.9</v>
      </c>
      <c r="R559" s="3">
        <v>220.63</v>
      </c>
      <c r="S559" s="18" t="s">
        <v>4148</v>
      </c>
      <c r="T559" s="12"/>
    </row>
    <row r="560" spans="1:20" x14ac:dyDescent="0.25">
      <c r="A560" s="18" t="s">
        <v>4149</v>
      </c>
      <c r="B560" s="11" t="s">
        <v>4150</v>
      </c>
      <c r="C560" s="4" t="str">
        <f t="shared" si="8"/>
        <v>MSI</v>
      </c>
      <c r="D560" s="14" t="s">
        <v>2294</v>
      </c>
      <c r="E560" s="11" t="s">
        <v>352</v>
      </c>
      <c r="F560" s="76" t="s">
        <v>8784</v>
      </c>
      <c r="G560" s="12" t="s">
        <v>407</v>
      </c>
      <c r="H560" s="12">
        <v>256</v>
      </c>
      <c r="I560" s="12">
        <v>6800</v>
      </c>
      <c r="J560" s="12">
        <v>4</v>
      </c>
      <c r="K560" s="12">
        <v>2</v>
      </c>
      <c r="L560" s="75" t="s">
        <v>4260</v>
      </c>
      <c r="M560" s="75" t="s">
        <v>4251</v>
      </c>
      <c r="N560" s="75" t="s">
        <v>4251</v>
      </c>
      <c r="O560" s="20" t="s">
        <v>4151</v>
      </c>
      <c r="P560" s="14" t="s">
        <v>2443</v>
      </c>
      <c r="Q560" s="3">
        <v>110.9</v>
      </c>
      <c r="R560" s="3">
        <v>153.44</v>
      </c>
      <c r="S560" s="18" t="s">
        <v>4152</v>
      </c>
      <c r="T560" s="12"/>
    </row>
    <row r="561" spans="1:20" x14ac:dyDescent="0.25">
      <c r="A561" s="18" t="s">
        <v>4153</v>
      </c>
      <c r="B561" s="11" t="s">
        <v>4154</v>
      </c>
      <c r="C561" s="4" t="str">
        <f t="shared" si="8"/>
        <v>MSI</v>
      </c>
      <c r="D561" s="14" t="s">
        <v>2294</v>
      </c>
      <c r="E561" s="11" t="s">
        <v>352</v>
      </c>
      <c r="F561" s="76" t="s">
        <v>8784</v>
      </c>
      <c r="G561" s="12" t="s">
        <v>406</v>
      </c>
      <c r="H561" s="12">
        <v>128</v>
      </c>
      <c r="I561" s="12">
        <v>4800</v>
      </c>
      <c r="J561" s="12">
        <v>4</v>
      </c>
      <c r="K561" s="12">
        <v>2</v>
      </c>
      <c r="L561" s="75" t="s">
        <v>4260</v>
      </c>
      <c r="M561" s="75" t="s">
        <v>4251</v>
      </c>
      <c r="N561" s="75" t="s">
        <v>4251</v>
      </c>
      <c r="O561" s="20" t="s">
        <v>4151</v>
      </c>
      <c r="P561" s="14" t="s">
        <v>2443</v>
      </c>
      <c r="Q561" s="3">
        <v>95.74</v>
      </c>
      <c r="R561" s="3">
        <v>148</v>
      </c>
      <c r="S561" s="18" t="s">
        <v>4155</v>
      </c>
      <c r="T561" s="12"/>
    </row>
    <row r="562" spans="1:20" x14ac:dyDescent="0.25">
      <c r="A562" s="18" t="s">
        <v>4156</v>
      </c>
      <c r="B562" s="11" t="s">
        <v>4157</v>
      </c>
      <c r="C562" s="4" t="str">
        <f t="shared" si="8"/>
        <v>MSI</v>
      </c>
      <c r="D562" s="14" t="s">
        <v>2336</v>
      </c>
      <c r="E562" s="11" t="s">
        <v>352</v>
      </c>
      <c r="F562" s="76" t="s">
        <v>8784</v>
      </c>
      <c r="G562" s="12" t="s">
        <v>406</v>
      </c>
      <c r="H562" s="12">
        <v>128</v>
      </c>
      <c r="I562" s="12">
        <v>5333</v>
      </c>
      <c r="J562" s="12">
        <v>4</v>
      </c>
      <c r="K562" s="12">
        <v>2</v>
      </c>
      <c r="L562" s="75" t="s">
        <v>4318</v>
      </c>
      <c r="M562" s="75" t="s">
        <v>4295</v>
      </c>
      <c r="N562" s="75" t="s">
        <v>4276</v>
      </c>
      <c r="O562" s="20" t="s">
        <v>2779</v>
      </c>
      <c r="P562" s="14" t="s">
        <v>2443</v>
      </c>
      <c r="Q562" s="3">
        <v>119.9</v>
      </c>
      <c r="R562" s="3">
        <v>172.99</v>
      </c>
      <c r="S562" s="18" t="s">
        <v>4158</v>
      </c>
      <c r="T562" s="12"/>
    </row>
    <row r="563" spans="1:20" x14ac:dyDescent="0.25">
      <c r="A563" s="18" t="s">
        <v>4159</v>
      </c>
      <c r="B563" s="11" t="s">
        <v>4160</v>
      </c>
      <c r="C563" s="4" t="str">
        <f t="shared" si="8"/>
        <v>MSI</v>
      </c>
      <c r="D563" s="14" t="s">
        <v>2336</v>
      </c>
      <c r="E563" s="11" t="s">
        <v>352</v>
      </c>
      <c r="F563" s="76" t="s">
        <v>8784</v>
      </c>
      <c r="G563" s="12" t="s">
        <v>407</v>
      </c>
      <c r="H563" s="12">
        <v>256</v>
      </c>
      <c r="I563" s="12">
        <v>7000</v>
      </c>
      <c r="J563" s="12">
        <v>4</v>
      </c>
      <c r="K563" s="12">
        <v>2</v>
      </c>
      <c r="L563" s="75" t="s">
        <v>4318</v>
      </c>
      <c r="M563" s="75" t="s">
        <v>4295</v>
      </c>
      <c r="N563" s="75" t="s">
        <v>4276</v>
      </c>
      <c r="O563" s="20" t="s">
        <v>2779</v>
      </c>
      <c r="P563" s="14" t="s">
        <v>2443</v>
      </c>
      <c r="Q563" s="3">
        <v>143.91999999999999</v>
      </c>
      <c r="R563" s="3">
        <v>213.73</v>
      </c>
      <c r="S563" s="18" t="s">
        <v>4161</v>
      </c>
      <c r="T563" s="12"/>
    </row>
    <row r="564" spans="1:20" x14ac:dyDescent="0.25">
      <c r="A564" s="18" t="s">
        <v>4162</v>
      </c>
      <c r="B564" s="11" t="s">
        <v>4163</v>
      </c>
      <c r="C564" s="4" t="str">
        <f t="shared" si="8"/>
        <v>MSI</v>
      </c>
      <c r="D564" s="14" t="s">
        <v>2336</v>
      </c>
      <c r="E564" s="11" t="s">
        <v>352</v>
      </c>
      <c r="F564" s="76" t="s">
        <v>8784</v>
      </c>
      <c r="G564" s="12" t="s">
        <v>406</v>
      </c>
      <c r="H564" s="12">
        <v>128</v>
      </c>
      <c r="I564" s="12">
        <v>5333</v>
      </c>
      <c r="J564" s="12">
        <v>4</v>
      </c>
      <c r="K564" s="12">
        <v>2</v>
      </c>
      <c r="L564" s="75" t="s">
        <v>4318</v>
      </c>
      <c r="M564" s="75" t="s">
        <v>4295</v>
      </c>
      <c r="N564" s="75" t="s">
        <v>4276</v>
      </c>
      <c r="O564" s="20" t="s">
        <v>3942</v>
      </c>
      <c r="P564" s="14" t="s">
        <v>2443</v>
      </c>
      <c r="Q564" s="3">
        <v>125.99</v>
      </c>
      <c r="R564" s="3">
        <v>216</v>
      </c>
      <c r="S564" s="18" t="s">
        <v>4164</v>
      </c>
      <c r="T564" s="12"/>
    </row>
    <row r="565" spans="1:20" x14ac:dyDescent="0.25">
      <c r="A565" s="18" t="s">
        <v>4165</v>
      </c>
      <c r="B565" s="11" t="s">
        <v>4166</v>
      </c>
      <c r="C565" s="4" t="str">
        <f t="shared" si="8"/>
        <v>MSI</v>
      </c>
      <c r="D565" s="14" t="s">
        <v>2336</v>
      </c>
      <c r="E565" s="11" t="s">
        <v>351</v>
      </c>
      <c r="F565" s="76" t="s">
        <v>8780</v>
      </c>
      <c r="G565" s="12" t="s">
        <v>407</v>
      </c>
      <c r="H565" s="12">
        <v>256</v>
      </c>
      <c r="I565" s="12">
        <v>8000</v>
      </c>
      <c r="J565" s="12">
        <v>4</v>
      </c>
      <c r="K565" s="12">
        <v>2</v>
      </c>
      <c r="L565" s="75" t="s">
        <v>4292</v>
      </c>
      <c r="M565" s="75" t="s">
        <v>4295</v>
      </c>
      <c r="N565" s="75" t="s">
        <v>4295</v>
      </c>
      <c r="O565" s="20" t="s">
        <v>3956</v>
      </c>
      <c r="P565" s="14" t="s">
        <v>2895</v>
      </c>
      <c r="Q565" s="3">
        <v>157.80000000000001</v>
      </c>
      <c r="R565" s="3">
        <v>199.69</v>
      </c>
      <c r="S565" s="18" t="s">
        <v>4167</v>
      </c>
      <c r="T565" s="12"/>
    </row>
    <row r="566" spans="1:20" x14ac:dyDescent="0.25">
      <c r="A566" s="18" t="s">
        <v>4168</v>
      </c>
      <c r="B566" s="11" t="s">
        <v>4169</v>
      </c>
      <c r="C566" s="4" t="str">
        <f t="shared" si="8"/>
        <v>MSI</v>
      </c>
      <c r="D566" s="14" t="s">
        <v>2336</v>
      </c>
      <c r="E566" s="11" t="s">
        <v>351</v>
      </c>
      <c r="F566" s="76" t="s">
        <v>8775</v>
      </c>
      <c r="G566" s="12" t="s">
        <v>407</v>
      </c>
      <c r="H566" s="12">
        <v>256</v>
      </c>
      <c r="I566" s="12">
        <v>8200</v>
      </c>
      <c r="J566" s="12">
        <v>4</v>
      </c>
      <c r="K566" s="12">
        <v>2</v>
      </c>
      <c r="L566" s="75" t="s">
        <v>4270</v>
      </c>
      <c r="M566" s="75" t="s">
        <v>4291</v>
      </c>
      <c r="N566" s="75" t="s">
        <v>4257</v>
      </c>
      <c r="O566" s="20" t="s">
        <v>3960</v>
      </c>
      <c r="P566" s="14" t="s">
        <v>2504</v>
      </c>
      <c r="Q566" s="3">
        <v>198.99</v>
      </c>
      <c r="R566" s="3">
        <v>261.86</v>
      </c>
      <c r="S566" s="18" t="s">
        <v>4170</v>
      </c>
      <c r="T566" s="12"/>
    </row>
    <row r="567" spans="1:20" x14ac:dyDescent="0.25">
      <c r="A567" s="18" t="s">
        <v>4171</v>
      </c>
      <c r="B567" s="11" t="s">
        <v>4172</v>
      </c>
      <c r="C567" s="4" t="str">
        <f t="shared" si="8"/>
        <v>MSI</v>
      </c>
      <c r="D567" s="14" t="s">
        <v>2294</v>
      </c>
      <c r="E567" s="11" t="s">
        <v>398</v>
      </c>
      <c r="F567" s="76" t="s">
        <v>8785</v>
      </c>
      <c r="G567" s="12" t="s">
        <v>407</v>
      </c>
      <c r="H567" s="12">
        <v>256</v>
      </c>
      <c r="I567" s="12">
        <v>8600</v>
      </c>
      <c r="J567" s="12">
        <v>4</v>
      </c>
      <c r="K567" s="12">
        <v>2</v>
      </c>
      <c r="L567" s="75" t="s">
        <v>4279</v>
      </c>
      <c r="M567" s="75" t="s">
        <v>4291</v>
      </c>
      <c r="N567" s="75" t="s">
        <v>4291</v>
      </c>
      <c r="O567" s="20" t="s">
        <v>3968</v>
      </c>
      <c r="P567" s="14" t="s">
        <v>2530</v>
      </c>
      <c r="Q567" s="3">
        <v>184.41</v>
      </c>
      <c r="R567" s="3">
        <v>227.04</v>
      </c>
      <c r="S567" s="18" t="s">
        <v>4173</v>
      </c>
      <c r="T567" s="12"/>
    </row>
    <row r="568" spans="1:20" x14ac:dyDescent="0.25">
      <c r="A568" s="18" t="s">
        <v>4174</v>
      </c>
      <c r="B568" s="11" t="s">
        <v>4175</v>
      </c>
      <c r="C568" s="4" t="str">
        <f t="shared" si="8"/>
        <v>MSI</v>
      </c>
      <c r="D568" s="14" t="s">
        <v>2336</v>
      </c>
      <c r="E568" s="11" t="s">
        <v>398</v>
      </c>
      <c r="F568" s="76" t="s">
        <v>8785</v>
      </c>
      <c r="G568" s="12" t="s">
        <v>407</v>
      </c>
      <c r="H568" s="12">
        <v>256</v>
      </c>
      <c r="I568" s="12">
        <v>8600</v>
      </c>
      <c r="J568" s="12">
        <v>4</v>
      </c>
      <c r="K568" s="12">
        <v>2</v>
      </c>
      <c r="L568" s="75" t="s">
        <v>4279</v>
      </c>
      <c r="M568" s="75" t="s">
        <v>4291</v>
      </c>
      <c r="N568" s="75" t="s">
        <v>4291</v>
      </c>
      <c r="O568" s="20" t="s">
        <v>4176</v>
      </c>
      <c r="P568" s="14" t="s">
        <v>2530</v>
      </c>
      <c r="Q568" s="3">
        <v>189.9</v>
      </c>
      <c r="R568" s="3">
        <v>222.21</v>
      </c>
      <c r="S568" s="18" t="s">
        <v>4177</v>
      </c>
      <c r="T568" s="12"/>
    </row>
    <row r="569" spans="1:20" x14ac:dyDescent="0.25">
      <c r="A569" s="18" t="s">
        <v>4178</v>
      </c>
      <c r="B569" s="11" t="s">
        <v>4179</v>
      </c>
      <c r="C569" s="4" t="str">
        <f t="shared" si="8"/>
        <v>MSI</v>
      </c>
      <c r="D569" s="14" t="s">
        <v>2336</v>
      </c>
      <c r="E569" s="11" t="s">
        <v>398</v>
      </c>
      <c r="F569" s="76" t="s">
        <v>8785</v>
      </c>
      <c r="G569" s="12" t="s">
        <v>407</v>
      </c>
      <c r="H569" s="12">
        <v>256</v>
      </c>
      <c r="I569" s="12">
        <v>8600</v>
      </c>
      <c r="J569" s="12">
        <v>4</v>
      </c>
      <c r="K569" s="12">
        <v>2</v>
      </c>
      <c r="L569" s="75" t="s">
        <v>4279</v>
      </c>
      <c r="M569" s="75" t="s">
        <v>4291</v>
      </c>
      <c r="N569" s="75" t="s">
        <v>4291</v>
      </c>
      <c r="O569" s="20" t="s">
        <v>3964</v>
      </c>
      <c r="P569" s="14" t="s">
        <v>2530</v>
      </c>
      <c r="Q569" s="3">
        <v>198</v>
      </c>
      <c r="R569" s="3">
        <v>233.14</v>
      </c>
      <c r="S569" s="18" t="s">
        <v>4180</v>
      </c>
      <c r="T569" s="12"/>
    </row>
    <row r="570" spans="1:20" x14ac:dyDescent="0.25">
      <c r="A570" s="18" t="s">
        <v>4181</v>
      </c>
      <c r="B570" s="11" t="s">
        <v>4182</v>
      </c>
      <c r="C570" s="4" t="str">
        <f t="shared" si="8"/>
        <v>MSI</v>
      </c>
      <c r="D570" s="14" t="s">
        <v>2336</v>
      </c>
      <c r="E570" s="11" t="s">
        <v>351</v>
      </c>
      <c r="F570" s="76" t="s">
        <v>8777</v>
      </c>
      <c r="G570" s="12" t="s">
        <v>407</v>
      </c>
      <c r="H570" s="12">
        <v>256</v>
      </c>
      <c r="I570" s="12">
        <v>8200</v>
      </c>
      <c r="J570" s="12">
        <v>4</v>
      </c>
      <c r="K570" s="12">
        <v>2</v>
      </c>
      <c r="L570" s="75" t="s">
        <v>4270</v>
      </c>
      <c r="M570" s="75" t="s">
        <v>4291</v>
      </c>
      <c r="N570" s="75" t="s">
        <v>4257</v>
      </c>
      <c r="O570" s="20" t="s">
        <v>3960</v>
      </c>
      <c r="P570" s="14" t="s">
        <v>3781</v>
      </c>
      <c r="Q570" s="3">
        <v>267.89999999999998</v>
      </c>
      <c r="R570" s="3">
        <v>379</v>
      </c>
      <c r="S570" s="18" t="s">
        <v>4183</v>
      </c>
      <c r="T570" s="12"/>
    </row>
    <row r="571" spans="1:20" x14ac:dyDescent="0.25">
      <c r="A571" s="18" t="s">
        <v>4184</v>
      </c>
      <c r="B571" s="11" t="s">
        <v>4185</v>
      </c>
      <c r="C571" s="4" t="str">
        <f t="shared" si="8"/>
        <v>MSI</v>
      </c>
      <c r="D571" s="14" t="s">
        <v>2336</v>
      </c>
      <c r="E571" s="11" t="s">
        <v>352</v>
      </c>
      <c r="F571" s="76" t="s">
        <v>8789</v>
      </c>
      <c r="G571" s="12" t="s">
        <v>407</v>
      </c>
      <c r="H571" s="12">
        <v>192</v>
      </c>
      <c r="I571" s="12">
        <v>6400</v>
      </c>
      <c r="J571" s="12">
        <v>4</v>
      </c>
      <c r="K571" s="12">
        <v>2</v>
      </c>
      <c r="L571" s="75" t="s">
        <v>4310</v>
      </c>
      <c r="M571" s="75" t="s">
        <v>4256</v>
      </c>
      <c r="N571" s="75" t="s">
        <v>4257</v>
      </c>
      <c r="O571" s="20" t="s">
        <v>4186</v>
      </c>
      <c r="P571" s="14" t="s">
        <v>450</v>
      </c>
      <c r="Q571" s="3">
        <v>233.89</v>
      </c>
      <c r="R571" s="3">
        <v>389.9</v>
      </c>
      <c r="S571" s="18" t="s">
        <v>4187</v>
      </c>
      <c r="T571" s="12"/>
    </row>
    <row r="572" spans="1:20" x14ac:dyDescent="0.25">
      <c r="A572" s="18" t="s">
        <v>4188</v>
      </c>
      <c r="B572" s="11" t="s">
        <v>4189</v>
      </c>
      <c r="C572" s="4" t="str">
        <f t="shared" si="8"/>
        <v>MSI</v>
      </c>
      <c r="D572" s="14" t="s">
        <v>2336</v>
      </c>
      <c r="E572" s="11" t="s">
        <v>352</v>
      </c>
      <c r="F572" s="76" t="s">
        <v>8787</v>
      </c>
      <c r="G572" s="12" t="s">
        <v>407</v>
      </c>
      <c r="H572" s="12">
        <v>256</v>
      </c>
      <c r="I572" s="12">
        <v>7800</v>
      </c>
      <c r="J572" s="12">
        <v>4</v>
      </c>
      <c r="K572" s="12">
        <v>2</v>
      </c>
      <c r="L572" s="75" t="s">
        <v>4270</v>
      </c>
      <c r="M572" s="75" t="s">
        <v>4256</v>
      </c>
      <c r="N572" s="75" t="s">
        <v>4257</v>
      </c>
      <c r="O572" s="20" t="s">
        <v>4190</v>
      </c>
      <c r="P572" s="14" t="s">
        <v>3108</v>
      </c>
      <c r="Q572" s="3">
        <v>266.58</v>
      </c>
      <c r="R572" s="3">
        <v>367.37</v>
      </c>
      <c r="S572" s="18" t="s">
        <v>4191</v>
      </c>
      <c r="T572" s="12"/>
    </row>
    <row r="573" spans="1:20" x14ac:dyDescent="0.25">
      <c r="A573" s="18" t="s">
        <v>4192</v>
      </c>
      <c r="B573" s="11" t="s">
        <v>4193</v>
      </c>
      <c r="C573" s="4" t="str">
        <f t="shared" si="8"/>
        <v>MSI</v>
      </c>
      <c r="D573" s="14" t="s">
        <v>2336</v>
      </c>
      <c r="E573" s="11" t="s">
        <v>352</v>
      </c>
      <c r="F573" s="76" t="s">
        <v>8787</v>
      </c>
      <c r="G573" s="12" t="s">
        <v>407</v>
      </c>
      <c r="H573" s="12">
        <v>256</v>
      </c>
      <c r="I573" s="12">
        <v>7000</v>
      </c>
      <c r="J573" s="12">
        <v>4</v>
      </c>
      <c r="K573" s="12">
        <v>2</v>
      </c>
      <c r="L573" s="75" t="s">
        <v>4270</v>
      </c>
      <c r="M573" s="75" t="s">
        <v>4256</v>
      </c>
      <c r="N573" s="75" t="s">
        <v>4257</v>
      </c>
      <c r="O573" s="20" t="s">
        <v>4190</v>
      </c>
      <c r="P573" s="14" t="s">
        <v>3108</v>
      </c>
      <c r="Q573" s="3">
        <v>212.9</v>
      </c>
      <c r="R573" s="3">
        <v>334.53</v>
      </c>
      <c r="S573" s="18" t="s">
        <v>4194</v>
      </c>
      <c r="T573" s="12"/>
    </row>
    <row r="574" spans="1:20" x14ac:dyDescent="0.25">
      <c r="A574" s="18" t="s">
        <v>4195</v>
      </c>
      <c r="B574" s="11" t="s">
        <v>4196</v>
      </c>
      <c r="C574" s="4" t="str">
        <f t="shared" si="8"/>
        <v>MSI</v>
      </c>
      <c r="D574" s="14" t="s">
        <v>2336</v>
      </c>
      <c r="E574" s="11" t="s">
        <v>352</v>
      </c>
      <c r="F574" s="76" t="s">
        <v>8787</v>
      </c>
      <c r="G574" s="12" t="s">
        <v>407</v>
      </c>
      <c r="H574" s="12">
        <v>256</v>
      </c>
      <c r="I574" s="12">
        <v>6600</v>
      </c>
      <c r="J574" s="12">
        <v>4</v>
      </c>
      <c r="K574" s="12">
        <v>2</v>
      </c>
      <c r="L574" s="75" t="s">
        <v>4299</v>
      </c>
      <c r="M574" s="75" t="s">
        <v>4275</v>
      </c>
      <c r="N574" s="75" t="s">
        <v>4276</v>
      </c>
      <c r="O574" s="20" t="s">
        <v>3942</v>
      </c>
      <c r="P574" s="14" t="s">
        <v>2681</v>
      </c>
      <c r="Q574" s="3">
        <v>212.05</v>
      </c>
      <c r="R574" s="3">
        <v>381.09</v>
      </c>
      <c r="S574" s="18" t="s">
        <v>4197</v>
      </c>
      <c r="T574" s="12"/>
    </row>
    <row r="575" spans="1:20" x14ac:dyDescent="0.25">
      <c r="A575" s="18" t="s">
        <v>4198</v>
      </c>
      <c r="B575" s="11" t="s">
        <v>4199</v>
      </c>
      <c r="C575" s="4" t="str">
        <f t="shared" si="8"/>
        <v>MSI</v>
      </c>
      <c r="D575" s="14" t="s">
        <v>2336</v>
      </c>
      <c r="E575" s="11" t="s">
        <v>398</v>
      </c>
      <c r="F575" s="76" t="s">
        <v>8788</v>
      </c>
      <c r="G575" s="12" t="s">
        <v>407</v>
      </c>
      <c r="H575" s="12">
        <v>256</v>
      </c>
      <c r="I575" s="12">
        <v>9200</v>
      </c>
      <c r="J575" s="12">
        <v>4</v>
      </c>
      <c r="K575" s="12">
        <v>2</v>
      </c>
      <c r="L575" s="75" t="s">
        <v>4272</v>
      </c>
      <c r="M575" s="75" t="s">
        <v>4261</v>
      </c>
      <c r="N575" s="75" t="s">
        <v>4273</v>
      </c>
      <c r="O575" s="20" t="s">
        <v>4027</v>
      </c>
      <c r="P575" s="14" t="s">
        <v>2610</v>
      </c>
      <c r="Q575" s="3">
        <v>268.41000000000003</v>
      </c>
      <c r="R575" s="3">
        <v>458.2</v>
      </c>
      <c r="S575" s="18" t="s">
        <v>4200</v>
      </c>
      <c r="T575" s="12"/>
    </row>
    <row r="576" spans="1:20" x14ac:dyDescent="0.25">
      <c r="A576" s="18" t="s">
        <v>4201</v>
      </c>
      <c r="B576" s="11" t="s">
        <v>4202</v>
      </c>
      <c r="C576" s="4" t="str">
        <f t="shared" si="8"/>
        <v>MSI</v>
      </c>
      <c r="D576" s="14" t="s">
        <v>2336</v>
      </c>
      <c r="E576" s="11" t="s">
        <v>398</v>
      </c>
      <c r="F576" s="76" t="s">
        <v>8788</v>
      </c>
      <c r="G576" s="12" t="s">
        <v>407</v>
      </c>
      <c r="H576" s="12">
        <v>256</v>
      </c>
      <c r="I576" s="12">
        <v>9200</v>
      </c>
      <c r="J576" s="12">
        <v>4</v>
      </c>
      <c r="K576" s="12">
        <v>2</v>
      </c>
      <c r="L576" s="75" t="s">
        <v>4279</v>
      </c>
      <c r="M576" s="75" t="s">
        <v>4256</v>
      </c>
      <c r="N576" s="75" t="s">
        <v>4284</v>
      </c>
      <c r="O576" s="20" t="s">
        <v>4027</v>
      </c>
      <c r="P576" s="14" t="s">
        <v>2610</v>
      </c>
      <c r="Q576" s="3">
        <v>229.02</v>
      </c>
      <c r="R576" s="3">
        <v>327</v>
      </c>
      <c r="S576" s="18" t="s">
        <v>4203</v>
      </c>
      <c r="T576" s="12"/>
    </row>
    <row r="577" spans="1:20" x14ac:dyDescent="0.25">
      <c r="A577" s="18" t="s">
        <v>4204</v>
      </c>
      <c r="B577" s="11" t="s">
        <v>4205</v>
      </c>
      <c r="C577" s="4" t="str">
        <f t="shared" si="8"/>
        <v>MSI</v>
      </c>
      <c r="D577" s="14" t="s">
        <v>2336</v>
      </c>
      <c r="E577" s="11" t="s">
        <v>398</v>
      </c>
      <c r="F577" s="76" t="s">
        <v>8788</v>
      </c>
      <c r="G577" s="12" t="s">
        <v>407</v>
      </c>
      <c r="H577" s="12">
        <v>256</v>
      </c>
      <c r="I577" s="12">
        <v>8600</v>
      </c>
      <c r="J577" s="12">
        <v>4</v>
      </c>
      <c r="K577" s="12">
        <v>2</v>
      </c>
      <c r="L577" s="75" t="s">
        <v>4287</v>
      </c>
      <c r="M577" s="75" t="s">
        <v>4291</v>
      </c>
      <c r="N577" s="75" t="s">
        <v>4284</v>
      </c>
      <c r="O577" s="20" t="s">
        <v>4206</v>
      </c>
      <c r="P577" s="14" t="s">
        <v>2610</v>
      </c>
      <c r="Q577" s="3">
        <v>221.99</v>
      </c>
      <c r="R577" s="3">
        <v>333</v>
      </c>
      <c r="S577" s="18" t="s">
        <v>4207</v>
      </c>
      <c r="T577" s="12"/>
    </row>
    <row r="578" spans="1:20" x14ac:dyDescent="0.25">
      <c r="A578" s="18" t="s">
        <v>4208</v>
      </c>
      <c r="B578" s="11" t="s">
        <v>4209</v>
      </c>
      <c r="C578" s="4" t="str">
        <f t="shared" si="8"/>
        <v>MSI</v>
      </c>
      <c r="D578" s="14" t="s">
        <v>2336</v>
      </c>
      <c r="E578" s="11" t="s">
        <v>351</v>
      </c>
      <c r="F578" s="76" t="s">
        <v>8779</v>
      </c>
      <c r="G578" s="12" t="s">
        <v>407</v>
      </c>
      <c r="H578" s="12">
        <v>256</v>
      </c>
      <c r="I578" s="12">
        <v>7800</v>
      </c>
      <c r="J578" s="12">
        <v>4</v>
      </c>
      <c r="K578" s="12">
        <v>2</v>
      </c>
      <c r="L578" s="75" t="s">
        <v>4270</v>
      </c>
      <c r="M578" s="75" t="s">
        <v>4256</v>
      </c>
      <c r="N578" s="75" t="s">
        <v>4257</v>
      </c>
      <c r="O578" s="20" t="s">
        <v>4210</v>
      </c>
      <c r="P578" s="14" t="s">
        <v>2635</v>
      </c>
      <c r="Q578" s="3">
        <v>237.22</v>
      </c>
      <c r="R578" s="3">
        <v>350.99</v>
      </c>
      <c r="S578" s="18" t="s">
        <v>4211</v>
      </c>
      <c r="T578" s="12"/>
    </row>
    <row r="579" spans="1:20" x14ac:dyDescent="0.25">
      <c r="A579" s="18" t="s">
        <v>4212</v>
      </c>
      <c r="B579" s="11" t="s">
        <v>4213</v>
      </c>
      <c r="C579" s="4" t="str">
        <f t="shared" si="8"/>
        <v>MSI</v>
      </c>
      <c r="D579" s="14" t="s">
        <v>2336</v>
      </c>
      <c r="E579" s="11" t="s">
        <v>351</v>
      </c>
      <c r="F579" s="76" t="s">
        <v>8777</v>
      </c>
      <c r="G579" s="12" t="s">
        <v>407</v>
      </c>
      <c r="H579" s="12">
        <v>256</v>
      </c>
      <c r="I579" s="12">
        <v>8200</v>
      </c>
      <c r="J579" s="12">
        <v>4</v>
      </c>
      <c r="K579" s="12">
        <v>2</v>
      </c>
      <c r="L579" s="75" t="s">
        <v>4270</v>
      </c>
      <c r="M579" s="75" t="s">
        <v>4291</v>
      </c>
      <c r="N579" s="75" t="s">
        <v>4257</v>
      </c>
      <c r="O579" s="20" t="s">
        <v>3960</v>
      </c>
      <c r="P579" s="14" t="s">
        <v>4005</v>
      </c>
      <c r="Q579" s="3">
        <v>259.98</v>
      </c>
      <c r="R579" s="3">
        <v>375</v>
      </c>
      <c r="S579" s="18" t="s">
        <v>4214</v>
      </c>
      <c r="T579" s="12"/>
    </row>
    <row r="580" spans="1:20" x14ac:dyDescent="0.25">
      <c r="A580" s="18" t="s">
        <v>4215</v>
      </c>
      <c r="B580" s="11" t="s">
        <v>4216</v>
      </c>
      <c r="C580" s="4" t="str">
        <f t="shared" si="8"/>
        <v>MSI</v>
      </c>
      <c r="D580" s="14" t="s">
        <v>2336</v>
      </c>
      <c r="E580" s="11" t="s">
        <v>352</v>
      </c>
      <c r="F580" s="76" t="s">
        <v>8787</v>
      </c>
      <c r="G580" s="12" t="s">
        <v>407</v>
      </c>
      <c r="H580" s="12">
        <v>256</v>
      </c>
      <c r="I580" s="12">
        <v>7200</v>
      </c>
      <c r="J580" s="12">
        <v>4</v>
      </c>
      <c r="K580" s="12">
        <v>2</v>
      </c>
      <c r="L580" s="75" t="s">
        <v>4270</v>
      </c>
      <c r="M580" s="75" t="s">
        <v>4256</v>
      </c>
      <c r="N580" s="75" t="s">
        <v>4257</v>
      </c>
      <c r="O580" s="20" t="s">
        <v>4190</v>
      </c>
      <c r="P580" s="14" t="s">
        <v>3108</v>
      </c>
      <c r="Q580" s="3">
        <v>223.06</v>
      </c>
      <c r="R580" s="3">
        <v>870.53</v>
      </c>
      <c r="S580" s="18" t="s">
        <v>4217</v>
      </c>
      <c r="T580" s="12"/>
    </row>
    <row r="581" spans="1:20" x14ac:dyDescent="0.25">
      <c r="A581" s="18" t="s">
        <v>4218</v>
      </c>
      <c r="B581" s="11" t="s">
        <v>4219</v>
      </c>
      <c r="C581" s="4" t="str">
        <f t="shared" si="8"/>
        <v>MSI</v>
      </c>
      <c r="D581" s="14" t="s">
        <v>2336</v>
      </c>
      <c r="E581" s="11" t="s">
        <v>352</v>
      </c>
      <c r="F581" s="76" t="s">
        <v>8787</v>
      </c>
      <c r="G581" s="12" t="s">
        <v>407</v>
      </c>
      <c r="H581" s="12">
        <v>256</v>
      </c>
      <c r="I581" s="12">
        <v>7200</v>
      </c>
      <c r="J581" s="12">
        <v>4</v>
      </c>
      <c r="K581" s="12">
        <v>2</v>
      </c>
      <c r="L581" s="75" t="s">
        <v>4320</v>
      </c>
      <c r="M581" s="75" t="s">
        <v>4285</v>
      </c>
      <c r="N581" s="75" t="s">
        <v>4285</v>
      </c>
      <c r="O581" s="20" t="s">
        <v>3107</v>
      </c>
      <c r="P581" s="14" t="s">
        <v>2681</v>
      </c>
      <c r="Q581" s="3">
        <v>254.14</v>
      </c>
      <c r="R581" s="3">
        <v>402.1</v>
      </c>
      <c r="S581" s="18" t="s">
        <v>4220</v>
      </c>
      <c r="T581" s="12"/>
    </row>
    <row r="582" spans="1:20" x14ac:dyDescent="0.25">
      <c r="A582" s="18" t="s">
        <v>4221</v>
      </c>
      <c r="B582" s="11" t="s">
        <v>4222</v>
      </c>
      <c r="C582" s="4" t="str">
        <f t="shared" si="8"/>
        <v>MSI</v>
      </c>
      <c r="D582" s="14" t="s">
        <v>2336</v>
      </c>
      <c r="E582" s="11" t="s">
        <v>352</v>
      </c>
      <c r="F582" s="76" t="s">
        <v>8787</v>
      </c>
      <c r="G582" s="12" t="s">
        <v>407</v>
      </c>
      <c r="H582" s="12">
        <v>256</v>
      </c>
      <c r="I582" s="12">
        <v>7200</v>
      </c>
      <c r="J582" s="12">
        <v>4</v>
      </c>
      <c r="K582" s="12">
        <v>2</v>
      </c>
      <c r="L582" s="75" t="s">
        <v>4270</v>
      </c>
      <c r="M582" s="75" t="s">
        <v>4291</v>
      </c>
      <c r="N582" s="75" t="s">
        <v>4257</v>
      </c>
      <c r="O582" s="20" t="s">
        <v>4190</v>
      </c>
      <c r="P582" s="14" t="s">
        <v>3108</v>
      </c>
      <c r="Q582" s="3">
        <v>281.99</v>
      </c>
      <c r="R582" s="3">
        <v>413.22</v>
      </c>
      <c r="S582" s="18" t="s">
        <v>4223</v>
      </c>
      <c r="T582" s="12"/>
    </row>
    <row r="583" spans="1:20" x14ac:dyDescent="0.25">
      <c r="A583" s="18" t="s">
        <v>4224</v>
      </c>
      <c r="B583" s="11" t="s">
        <v>4225</v>
      </c>
      <c r="C583" s="4" t="str">
        <f t="shared" si="8"/>
        <v>MSI</v>
      </c>
      <c r="D583" s="14" t="s">
        <v>2336</v>
      </c>
      <c r="E583" s="11" t="s">
        <v>398</v>
      </c>
      <c r="F583" s="76" t="s">
        <v>8788</v>
      </c>
      <c r="G583" s="12" t="s">
        <v>407</v>
      </c>
      <c r="H583" s="12">
        <v>256</v>
      </c>
      <c r="I583" s="12">
        <v>9200</v>
      </c>
      <c r="J583" s="12">
        <v>4</v>
      </c>
      <c r="K583" s="12">
        <v>2</v>
      </c>
      <c r="L583" s="75" t="s">
        <v>4279</v>
      </c>
      <c r="M583" s="75" t="s">
        <v>4256</v>
      </c>
      <c r="N583" s="75" t="s">
        <v>4284</v>
      </c>
      <c r="O583" s="20" t="s">
        <v>4027</v>
      </c>
      <c r="P583" s="14" t="s">
        <v>2610</v>
      </c>
      <c r="Q583" s="3">
        <v>248.55</v>
      </c>
      <c r="R583" s="3">
        <v>351</v>
      </c>
      <c r="S583" s="18" t="s">
        <v>4226</v>
      </c>
      <c r="T583" s="12"/>
    </row>
    <row r="584" spans="1:20" x14ac:dyDescent="0.25">
      <c r="A584" s="18" t="s">
        <v>4227</v>
      </c>
      <c r="B584" s="11" t="s">
        <v>4228</v>
      </c>
      <c r="C584" s="4" t="str">
        <f t="shared" si="8"/>
        <v>NZXT</v>
      </c>
      <c r="D584" s="14" t="s">
        <v>2336</v>
      </c>
      <c r="E584" s="11" t="s">
        <v>351</v>
      </c>
      <c r="F584" s="76" t="s">
        <v>8774</v>
      </c>
      <c r="G584" s="12" t="s">
        <v>407</v>
      </c>
      <c r="H584" s="12">
        <v>128</v>
      </c>
      <c r="I584" s="12">
        <v>6000</v>
      </c>
      <c r="J584" s="12">
        <v>4</v>
      </c>
      <c r="K584" s="12">
        <v>2</v>
      </c>
      <c r="L584" s="75" t="s">
        <v>4272</v>
      </c>
      <c r="M584" s="75" t="s">
        <v>4261</v>
      </c>
      <c r="N584" s="75" t="s">
        <v>4321</v>
      </c>
      <c r="O584" s="20" t="s">
        <v>4229</v>
      </c>
      <c r="P584" s="14" t="s">
        <v>2630</v>
      </c>
      <c r="Q584" s="3">
        <v>388.39</v>
      </c>
      <c r="R584" s="3">
        <v>642.24</v>
      </c>
      <c r="S584" s="18" t="s">
        <v>4230</v>
      </c>
      <c r="T584" s="12"/>
    </row>
    <row r="585" spans="1:20" x14ac:dyDescent="0.25">
      <c r="A585" s="18" t="s">
        <v>4231</v>
      </c>
      <c r="B585" s="11" t="s">
        <v>4232</v>
      </c>
      <c r="C585" s="4" t="str">
        <f t="shared" si="8"/>
        <v>NZXT</v>
      </c>
      <c r="D585" s="14" t="s">
        <v>2336</v>
      </c>
      <c r="E585" s="11" t="s">
        <v>351</v>
      </c>
      <c r="F585" s="76" t="s">
        <v>8774</v>
      </c>
      <c r="G585" s="12" t="s">
        <v>407</v>
      </c>
      <c r="H585" s="12">
        <v>128</v>
      </c>
      <c r="I585" s="12">
        <v>6000</v>
      </c>
      <c r="J585" s="12">
        <v>4</v>
      </c>
      <c r="K585" s="12">
        <v>2</v>
      </c>
      <c r="L585" s="75" t="s">
        <v>4272</v>
      </c>
      <c r="M585" s="75" t="s">
        <v>4261</v>
      </c>
      <c r="N585" s="75" t="s">
        <v>4321</v>
      </c>
      <c r="O585" s="20" t="s">
        <v>4229</v>
      </c>
      <c r="P585" s="14" t="s">
        <v>2630</v>
      </c>
      <c r="Q585" s="3">
        <v>369.9</v>
      </c>
      <c r="R585" s="3">
        <v>428.65</v>
      </c>
      <c r="S585" s="18" t="s">
        <v>4233</v>
      </c>
      <c r="T585" s="12"/>
    </row>
    <row r="586" spans="1:20" x14ac:dyDescent="0.25">
      <c r="A586" s="18" t="s">
        <v>4234</v>
      </c>
      <c r="B586" s="11" t="s">
        <v>4235</v>
      </c>
      <c r="C586" s="4" t="str">
        <f t="shared" si="8"/>
        <v>NZXT</v>
      </c>
      <c r="D586" s="14" t="s">
        <v>2336</v>
      </c>
      <c r="E586" s="11" t="s">
        <v>352</v>
      </c>
      <c r="F586" s="76" t="s">
        <v>8787</v>
      </c>
      <c r="G586" s="12" t="s">
        <v>407</v>
      </c>
      <c r="H586" s="12">
        <v>128</v>
      </c>
      <c r="I586" s="12">
        <v>6000</v>
      </c>
      <c r="J586" s="12">
        <v>4</v>
      </c>
      <c r="K586" s="12">
        <v>2</v>
      </c>
      <c r="L586" s="75" t="s">
        <v>4296</v>
      </c>
      <c r="M586" s="75" t="s">
        <v>4285</v>
      </c>
      <c r="N586" s="75" t="s">
        <v>4286</v>
      </c>
      <c r="O586" s="20" t="s">
        <v>4236</v>
      </c>
      <c r="P586" s="14" t="s">
        <v>2681</v>
      </c>
      <c r="Q586" s="3">
        <v>230.22</v>
      </c>
      <c r="R586" s="3">
        <v>519.91</v>
      </c>
      <c r="S586" s="18" t="s">
        <v>4237</v>
      </c>
      <c r="T586" s="12"/>
    </row>
    <row r="587" spans="1:20" x14ac:dyDescent="0.25">
      <c r="A587" s="18" t="s">
        <v>4238</v>
      </c>
      <c r="B587" s="11" t="s">
        <v>4239</v>
      </c>
      <c r="C587" s="4" t="str">
        <f t="shared" si="8"/>
        <v>NZXT</v>
      </c>
      <c r="D587" s="14" t="s">
        <v>2336</v>
      </c>
      <c r="E587" s="11" t="s">
        <v>352</v>
      </c>
      <c r="F587" s="76" t="s">
        <v>8787</v>
      </c>
      <c r="G587" s="12" t="s">
        <v>407</v>
      </c>
      <c r="H587" s="12">
        <v>128</v>
      </c>
      <c r="I587" s="12">
        <v>6000</v>
      </c>
      <c r="J587" s="12">
        <v>4</v>
      </c>
      <c r="K587" s="12">
        <v>2</v>
      </c>
      <c r="L587" s="75" t="s">
        <v>4296</v>
      </c>
      <c r="M587" s="75" t="s">
        <v>4285</v>
      </c>
      <c r="N587" s="75" t="s">
        <v>4286</v>
      </c>
      <c r="O587" s="20" t="s">
        <v>4236</v>
      </c>
      <c r="P587" s="14" t="s">
        <v>2681</v>
      </c>
      <c r="Q587" s="3">
        <v>230.22</v>
      </c>
      <c r="R587" s="3">
        <v>410.59</v>
      </c>
      <c r="S587" s="18" t="s">
        <v>4240</v>
      </c>
      <c r="T587" s="12"/>
    </row>
  </sheetData>
  <autoFilter ref="A8:S587" xr:uid="{AD322D8D-D165-4E4C-A607-9C8C6DDF27DB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F95B2-A114-4B66-9EFE-57622C83673C}">
  <dimension ref="A1:T1364"/>
  <sheetViews>
    <sheetView tabSelected="1" zoomScale="70" zoomScaleNormal="70" workbookViewId="0">
      <pane xSplit="1" topLeftCell="B1" activePane="topRight" state="frozen"/>
      <selection pane="topRight" activeCell="C17" sqref="C17"/>
    </sheetView>
  </sheetViews>
  <sheetFormatPr defaultRowHeight="15.75" x14ac:dyDescent="0.25"/>
  <cols>
    <col min="1" max="1" width="46.5" style="14" customWidth="1"/>
    <col min="2" max="2" width="22.25" style="77" customWidth="1"/>
    <col min="3" max="3" width="22.25" style="4" customWidth="1"/>
    <col min="4" max="4" width="18.5" style="14" customWidth="1"/>
    <col min="5" max="5" width="18.5" style="12" customWidth="1"/>
    <col min="6" max="6" width="16.375" style="75" customWidth="1"/>
    <col min="7" max="7" width="13.625" style="3" customWidth="1"/>
    <col min="8" max="8" width="13.125" style="3" customWidth="1"/>
    <col min="9" max="9" width="17.5" style="13" customWidth="1"/>
    <col min="10" max="10" width="17.5" style="72" customWidth="1"/>
    <col min="11" max="11" width="18.375" style="14" customWidth="1"/>
    <col min="12" max="12" width="17.5" style="9" customWidth="1"/>
    <col min="13" max="13" width="17.5" style="3" customWidth="1"/>
    <col min="14" max="14" width="17.5" style="66" customWidth="1"/>
    <col min="15" max="15" width="23.25" style="58" customWidth="1"/>
    <col min="16" max="16" width="16.5" style="49" customWidth="1"/>
    <col min="17" max="18" width="16.5" style="1" customWidth="1"/>
    <col min="19" max="19" width="16.5" style="10" customWidth="1"/>
    <col min="20" max="20" width="16.5" style="65" customWidth="1"/>
  </cols>
  <sheetData>
    <row r="1" spans="1:20" s="28" customFormat="1" ht="37.5" customHeight="1" x14ac:dyDescent="0.25">
      <c r="A1" s="29" t="s">
        <v>6976</v>
      </c>
      <c r="B1" s="27"/>
      <c r="C1" s="30"/>
      <c r="D1" s="26"/>
      <c r="E1" s="27"/>
      <c r="F1" s="30" t="s">
        <v>4325</v>
      </c>
      <c r="G1" s="28" t="s">
        <v>6737</v>
      </c>
      <c r="H1" s="30"/>
      <c r="I1" s="26" t="s">
        <v>4326</v>
      </c>
      <c r="J1" s="32" t="s">
        <v>4328</v>
      </c>
      <c r="K1" s="29"/>
      <c r="L1" s="87" t="s">
        <v>6980</v>
      </c>
      <c r="M1" s="88"/>
      <c r="N1" s="27"/>
      <c r="O1" s="26"/>
      <c r="P1" s="87" t="s">
        <v>6967</v>
      </c>
      <c r="Q1" s="88"/>
      <c r="R1" s="88"/>
      <c r="S1" s="89"/>
      <c r="T1" s="33"/>
    </row>
    <row r="2" spans="1:20" x14ac:dyDescent="0.25">
      <c r="A2" s="63" t="s">
        <v>6964</v>
      </c>
      <c r="B2" s="53"/>
      <c r="C2" s="54"/>
      <c r="D2" s="55"/>
      <c r="E2" s="49"/>
      <c r="F2" s="1">
        <v>0.4</v>
      </c>
      <c r="G2" s="1">
        <v>0.3</v>
      </c>
      <c r="H2" s="1"/>
      <c r="I2" s="10">
        <v>0.2</v>
      </c>
      <c r="J2" s="49">
        <v>0.1</v>
      </c>
      <c r="K2" s="47"/>
      <c r="L2" s="74" t="s">
        <v>6977</v>
      </c>
      <c r="M2" s="69">
        <v>2</v>
      </c>
      <c r="N2" s="6"/>
      <c r="O2" s="19"/>
      <c r="P2" s="73" t="s">
        <v>6964</v>
      </c>
      <c r="Q2" s="64" t="s">
        <v>6965</v>
      </c>
      <c r="R2" s="64" t="s">
        <v>6969</v>
      </c>
      <c r="S2" s="64" t="s">
        <v>6966</v>
      </c>
      <c r="T2" s="15"/>
    </row>
    <row r="3" spans="1:20" x14ac:dyDescent="0.25">
      <c r="A3" s="63" t="s">
        <v>6965</v>
      </c>
      <c r="B3" s="53"/>
      <c r="C3" s="54"/>
      <c r="D3" s="55"/>
      <c r="E3" s="49"/>
      <c r="F3" s="1">
        <v>0.3</v>
      </c>
      <c r="G3" s="1">
        <v>0.5</v>
      </c>
      <c r="H3" s="1"/>
      <c r="I3" s="10">
        <v>0.1</v>
      </c>
      <c r="J3" s="49">
        <v>0.1</v>
      </c>
      <c r="K3" s="47"/>
      <c r="L3" s="74" t="s">
        <v>6978</v>
      </c>
      <c r="M3" s="70">
        <v>0.1</v>
      </c>
      <c r="N3" s="6"/>
      <c r="O3" s="19"/>
      <c r="P3" s="9">
        <v>3</v>
      </c>
      <c r="Q3" s="3">
        <v>5</v>
      </c>
      <c r="R3" s="3">
        <v>2</v>
      </c>
      <c r="S3" s="13">
        <v>3</v>
      </c>
      <c r="T3" s="15"/>
    </row>
    <row r="4" spans="1:20" x14ac:dyDescent="0.25">
      <c r="A4" s="63" t="s">
        <v>6969</v>
      </c>
      <c r="B4" s="53"/>
      <c r="C4" s="54"/>
      <c r="D4" s="55"/>
      <c r="E4" s="49"/>
      <c r="F4" s="1">
        <v>0.25</v>
      </c>
      <c r="G4" s="1">
        <v>0.55000000000000004</v>
      </c>
      <c r="H4" s="1"/>
      <c r="I4" s="10">
        <v>0.1</v>
      </c>
      <c r="J4" s="49">
        <v>0.1</v>
      </c>
      <c r="K4" s="47"/>
      <c r="L4" s="74" t="s">
        <v>6979</v>
      </c>
      <c r="M4" s="71">
        <v>0.03</v>
      </c>
      <c r="N4" s="6"/>
      <c r="O4" s="19"/>
      <c r="P4" s="6"/>
      <c r="Q4"/>
      <c r="R4"/>
      <c r="S4" s="7"/>
      <c r="T4" s="15"/>
    </row>
    <row r="5" spans="1:20" x14ac:dyDescent="0.25">
      <c r="A5" s="63" t="s">
        <v>6966</v>
      </c>
      <c r="B5" s="53"/>
      <c r="C5" s="54"/>
      <c r="D5" s="55"/>
      <c r="E5" s="49"/>
      <c r="F5" s="1">
        <v>0.35</v>
      </c>
      <c r="G5" s="1">
        <v>0.4</v>
      </c>
      <c r="H5" s="1"/>
      <c r="I5" s="10">
        <v>0.15</v>
      </c>
      <c r="J5" s="49">
        <v>0.1</v>
      </c>
      <c r="K5" s="47"/>
      <c r="M5" s="13"/>
      <c r="N5" s="6"/>
      <c r="O5" s="19"/>
      <c r="P5" s="6"/>
      <c r="Q5"/>
      <c r="R5"/>
      <c r="S5" s="7"/>
      <c r="T5" s="15"/>
    </row>
    <row r="6" spans="1:20" x14ac:dyDescent="0.25">
      <c r="A6" s="63"/>
      <c r="B6" s="53"/>
      <c r="C6" s="54"/>
      <c r="D6" s="55"/>
      <c r="E6" s="49"/>
      <c r="F6" s="1"/>
      <c r="G6" s="1"/>
      <c r="H6" s="1"/>
      <c r="I6" s="10"/>
      <c r="J6" s="49"/>
      <c r="K6" s="47"/>
      <c r="M6" s="13"/>
      <c r="N6" s="6"/>
      <c r="O6" s="19"/>
      <c r="P6" s="6"/>
      <c r="Q6"/>
      <c r="R6"/>
      <c r="S6" s="7"/>
      <c r="T6" s="15"/>
    </row>
    <row r="7" spans="1:20" x14ac:dyDescent="0.25">
      <c r="A7" s="63" t="s">
        <v>6970</v>
      </c>
      <c r="B7" s="53"/>
      <c r="C7" s="54"/>
      <c r="D7" s="55"/>
      <c r="E7" s="49"/>
      <c r="F7" s="1">
        <v>0.8</v>
      </c>
      <c r="G7" s="1">
        <v>0.7</v>
      </c>
      <c r="H7" s="1"/>
      <c r="I7" s="10">
        <v>-0.6</v>
      </c>
      <c r="J7" s="49">
        <v>-0.5</v>
      </c>
      <c r="K7" s="47"/>
      <c r="M7" s="13"/>
      <c r="N7" s="6"/>
      <c r="O7" s="19"/>
      <c r="P7" s="6"/>
      <c r="Q7"/>
      <c r="R7"/>
      <c r="S7" s="7"/>
      <c r="T7" s="15"/>
    </row>
    <row r="8" spans="1:20" s="28" customFormat="1" ht="37.5" customHeight="1" x14ac:dyDescent="0.25">
      <c r="A8" s="29" t="s">
        <v>4324</v>
      </c>
      <c r="B8" s="27" t="s">
        <v>0</v>
      </c>
      <c r="C8" s="30" t="s">
        <v>424</v>
      </c>
      <c r="D8" s="26" t="s">
        <v>8860</v>
      </c>
      <c r="E8" s="27" t="s">
        <v>4322</v>
      </c>
      <c r="F8" s="30" t="s">
        <v>4325</v>
      </c>
      <c r="G8" s="28" t="s">
        <v>6737</v>
      </c>
      <c r="H8" s="30" t="s">
        <v>2289</v>
      </c>
      <c r="I8" s="26" t="s">
        <v>4326</v>
      </c>
      <c r="J8" s="32" t="s">
        <v>4328</v>
      </c>
      <c r="K8" s="26" t="s">
        <v>4327</v>
      </c>
      <c r="L8" s="32" t="s">
        <v>1</v>
      </c>
      <c r="M8" s="29" t="s">
        <v>2</v>
      </c>
      <c r="N8" s="27" t="s">
        <v>414</v>
      </c>
      <c r="O8" s="26" t="s">
        <v>2271</v>
      </c>
      <c r="P8" s="32" t="s">
        <v>421</v>
      </c>
      <c r="Q8" s="28" t="s">
        <v>422</v>
      </c>
      <c r="R8" s="28" t="s">
        <v>8794</v>
      </c>
      <c r="S8" s="29" t="s">
        <v>423</v>
      </c>
      <c r="T8" s="33" t="s">
        <v>440</v>
      </c>
    </row>
    <row r="9" spans="1:20" s="59" customFormat="1" ht="16.5" customHeight="1" x14ac:dyDescent="0.25">
      <c r="A9" s="4" t="s">
        <v>8909</v>
      </c>
      <c r="B9" s="20"/>
      <c r="C9" s="4"/>
      <c r="D9" s="86"/>
      <c r="E9" s="12" t="s">
        <v>406</v>
      </c>
      <c r="F9" s="4">
        <v>2133</v>
      </c>
      <c r="G9" s="4">
        <v>4</v>
      </c>
      <c r="H9" s="4">
        <v>1</v>
      </c>
      <c r="I9" s="4">
        <v>15</v>
      </c>
      <c r="J9" s="72">
        <v>1.2</v>
      </c>
      <c r="K9" s="14"/>
      <c r="L9" s="9">
        <f>AVERAGEIF('RAMs Products'!D$9:D$1364,RAMs!A9,'RAMs Products'!L$9:L$1364)</f>
        <v>11.423333333333332</v>
      </c>
      <c r="M9" s="3">
        <f>AVERAGEIF('RAMs Products'!D$9:D$1364,RAMs!A9,'RAMs Products'!M$9:M$1364)</f>
        <v>24.86</v>
      </c>
      <c r="N9" s="17"/>
      <c r="O9" s="18"/>
      <c r="P9" s="44">
        <v>1</v>
      </c>
      <c r="Q9" s="39">
        <v>1</v>
      </c>
      <c r="R9" s="39">
        <v>1</v>
      </c>
      <c r="S9" s="40">
        <v>1</v>
      </c>
      <c r="T9" s="45" cm="1">
        <f t="array" ref="T9">SUMPRODUCT(P9:S9 * P$3:S$3) / SUM(P$3:S$3)</f>
        <v>1</v>
      </c>
    </row>
    <row r="10" spans="1:20" ht="16.5" customHeight="1" x14ac:dyDescent="0.25">
      <c r="A10" s="4" t="s">
        <v>8910</v>
      </c>
      <c r="B10" s="16"/>
      <c r="D10" s="63"/>
      <c r="E10" s="12" t="s">
        <v>406</v>
      </c>
      <c r="F10" s="4">
        <v>2133</v>
      </c>
      <c r="G10" s="4">
        <v>4</v>
      </c>
      <c r="H10" s="4">
        <v>2</v>
      </c>
      <c r="I10" s="4">
        <v>15</v>
      </c>
      <c r="J10" s="72">
        <v>1.2</v>
      </c>
      <c r="L10" s="9">
        <f>AVERAGEIF('RAMs Products'!D$9:D$1364,RAMs!A10,'RAMs Products'!L$9:L$1364)</f>
        <v>18.54</v>
      </c>
      <c r="M10" s="3">
        <f>AVERAGEIF('RAMs Products'!D$9:D$1364,RAMs!A10,'RAMs Products'!M$9:M$1364)</f>
        <v>39.805</v>
      </c>
      <c r="O10" s="5"/>
      <c r="P10" s="49">
        <f t="shared" ref="P10:P41" si="0">(((F10/F$9)^F$7 * F$2 + (I10/I$9)^I$7 * I$2 + (J10/J$9)^J$7 * J$2) * (1+M$3*(MIN(H10,M$2)-1)+M$4*(H10-MIN(H10,M$2))) + (G10/G$9)^G$7 * G$2)  * P$9</f>
        <v>1.07</v>
      </c>
      <c r="Q10" s="1">
        <f t="shared" ref="Q10:Q41" si="1">(((F10/F$9)^F$7 * F$3 + (I10/I$9)^I$7 * I$3 + (J10/J$9)^J$7 * J$3) * (1+M$3*(MIN(H10,M$2)-1)+M$4*(H10-MIN(H10,M$2))) + (G10/G$9)^G$7 * G$3)  * P$9</f>
        <v>1.05</v>
      </c>
      <c r="R10" s="1">
        <f t="shared" ref="R10:R41" si="2">(((F10/F$9)^F$7 * F$4 + (I10/I$9)^I$7 * I$4 + (J10/J$9)^J$7 * J$4) * (1+M$3*(MIN(H10,M$2)-1)+M$4*(H10-MIN(H10,M$2))) + (G10/G$9)^G$7 * G$4)  * P$9</f>
        <v>1.0449999999999999</v>
      </c>
      <c r="S10" s="10">
        <f t="shared" ref="S10:S41" si="3">(((F10/F$9)^F$7 * F$5 + (I10/I$9)^I$7 * I$5 + (J10/J$9)^J$7 * J$5) * (1+M$3*(MIN(H10,M$2)-1)+M$4*(H10-MIN(H10,M$2))) + (G10/G$9)^G$7 * G$5)  * P$9</f>
        <v>1.06</v>
      </c>
      <c r="T10" s="45" cm="1">
        <f t="array" ref="T10">SUMPRODUCT(P10:S10 * P$3:S$3) / SUM(P$3:S$3)</f>
        <v>1.0561538461538462</v>
      </c>
    </row>
    <row r="11" spans="1:20" ht="16.5" customHeight="1" x14ac:dyDescent="0.25">
      <c r="A11" s="4" t="s">
        <v>8911</v>
      </c>
      <c r="B11" s="16"/>
      <c r="E11" s="12" t="s">
        <v>406</v>
      </c>
      <c r="F11" s="4">
        <v>2133</v>
      </c>
      <c r="G11" s="4">
        <v>8</v>
      </c>
      <c r="H11" s="4">
        <v>1</v>
      </c>
      <c r="I11" s="4">
        <v>15</v>
      </c>
      <c r="J11" s="72">
        <v>1.2</v>
      </c>
      <c r="L11" s="9">
        <f>AVERAGEIF('RAMs Products'!D$9:D$1364,RAMs!A11,'RAMs Products'!L$9:L$1364)</f>
        <v>14.56</v>
      </c>
      <c r="M11" s="3">
        <f>AVERAGEIF('RAMs Products'!D$9:D$1364,RAMs!A11,'RAMs Products'!M$9:M$1364)</f>
        <v>38.06</v>
      </c>
      <c r="O11" s="5"/>
      <c r="P11" s="49">
        <f t="shared" si="0"/>
        <v>1.1873514378137413</v>
      </c>
      <c r="Q11" s="1">
        <f t="shared" si="1"/>
        <v>1.3122523963562354</v>
      </c>
      <c r="R11" s="1">
        <f t="shared" si="2"/>
        <v>1.3434776359918592</v>
      </c>
      <c r="S11" s="10">
        <f t="shared" si="3"/>
        <v>1.2498019170849886</v>
      </c>
      <c r="T11" s="45" cm="1">
        <f t="array" ref="T11">SUMPRODUCT(P11:S11 * P$3:S$3) / SUM(P$3:S$3)</f>
        <v>1.2738213321893144</v>
      </c>
    </row>
    <row r="12" spans="1:20" ht="16.5" customHeight="1" x14ac:dyDescent="0.25">
      <c r="A12" s="4" t="s">
        <v>8912</v>
      </c>
      <c r="B12" s="16"/>
      <c r="E12" s="12" t="s">
        <v>406</v>
      </c>
      <c r="F12" s="4">
        <v>2133</v>
      </c>
      <c r="G12" s="4">
        <v>8</v>
      </c>
      <c r="H12" s="4">
        <v>2</v>
      </c>
      <c r="I12" s="4">
        <v>13</v>
      </c>
      <c r="J12" s="72">
        <v>1.2</v>
      </c>
      <c r="L12" s="9">
        <f>AVERAGEIF('RAMs Products'!D$9:D$1364,RAMs!A12,'RAMs Products'!L$9:L$1364)</f>
        <v>27.130000000000003</v>
      </c>
      <c r="M12" s="3">
        <f>AVERAGEIF('RAMs Products'!D$9:D$1364,RAMs!A12,'RAMs Products'!M$9:M$1364)</f>
        <v>50.129999999999995</v>
      </c>
      <c r="O12" s="5"/>
      <c r="P12" s="49">
        <f t="shared" si="0"/>
        <v>1.2770753876999645</v>
      </c>
      <c r="Q12" s="1">
        <f t="shared" si="1"/>
        <v>1.3721143712993471</v>
      </c>
      <c r="R12" s="1">
        <f t="shared" si="2"/>
        <v>1.3983396109349708</v>
      </c>
      <c r="S12" s="10">
        <f t="shared" si="3"/>
        <v>1.324594879499656</v>
      </c>
      <c r="T12" s="45" cm="1">
        <f t="array" ref="T12">SUMPRODUCT(P12:S12 * P$3:S$3) / SUM(P$3:S$3)</f>
        <v>1.3432509138435029</v>
      </c>
    </row>
    <row r="13" spans="1:20" ht="16.5" customHeight="1" x14ac:dyDescent="0.25">
      <c r="A13" s="4" t="s">
        <v>8913</v>
      </c>
      <c r="B13" s="16"/>
      <c r="E13" s="12" t="s">
        <v>406</v>
      </c>
      <c r="F13" s="4">
        <v>2133</v>
      </c>
      <c r="G13" s="4">
        <v>16</v>
      </c>
      <c r="H13" s="4">
        <v>1</v>
      </c>
      <c r="I13" s="4">
        <v>15</v>
      </c>
      <c r="J13" s="72">
        <v>1.2</v>
      </c>
      <c r="L13" s="9">
        <f>AVERAGEIF('RAMs Products'!D$9:D$1364,RAMs!A13,'RAMs Products'!L$9:L$1364)</f>
        <v>27.145</v>
      </c>
      <c r="M13" s="3">
        <f>AVERAGEIF('RAMs Products'!D$9:D$1364,RAMs!A13,'RAMs Products'!M$9:M$1364)</f>
        <v>90.4</v>
      </c>
      <c r="O13" s="5"/>
      <c r="P13" s="49">
        <f t="shared" si="0"/>
        <v>1.4917047464637365</v>
      </c>
      <c r="Q13" s="1">
        <f t="shared" si="1"/>
        <v>1.8195079107728942</v>
      </c>
      <c r="R13" s="1">
        <f t="shared" si="2"/>
        <v>1.9014587018501836</v>
      </c>
      <c r="S13" s="10">
        <f t="shared" si="3"/>
        <v>1.6556063286183154</v>
      </c>
      <c r="T13" s="45" cm="1">
        <f t="array" ref="T13">SUMPRODUCT(P13:S13 * P$3:S$3) / SUM(P$3:S$3)</f>
        <v>1.7186453986777688</v>
      </c>
    </row>
    <row r="14" spans="1:20" ht="16.5" customHeight="1" x14ac:dyDescent="0.25">
      <c r="A14" s="4" t="s">
        <v>8914</v>
      </c>
      <c r="B14" s="16"/>
      <c r="E14" s="12" t="s">
        <v>406</v>
      </c>
      <c r="F14" s="4">
        <v>2133</v>
      </c>
      <c r="G14" s="4">
        <v>16</v>
      </c>
      <c r="H14" s="4">
        <v>2</v>
      </c>
      <c r="I14" s="4">
        <v>13</v>
      </c>
      <c r="J14" s="72">
        <v>1.2</v>
      </c>
      <c r="L14" s="9">
        <f>AVERAGEIF('RAMs Products'!D$9:D$1364,RAMs!A14,'RAMs Products'!L$9:L$1364)</f>
        <v>62.9</v>
      </c>
      <c r="M14" s="3">
        <f>AVERAGEIF('RAMs Products'!D$9:D$1364,RAMs!A14,'RAMs Products'!M$9:M$1364)</f>
        <v>91.9</v>
      </c>
      <c r="O14" s="5"/>
      <c r="P14" s="49">
        <f t="shared" si="0"/>
        <v>1.5814286963499598</v>
      </c>
      <c r="Q14" s="1">
        <f t="shared" si="1"/>
        <v>1.8793698857160059</v>
      </c>
      <c r="R14" s="1">
        <f t="shared" si="2"/>
        <v>1.9563206767932955</v>
      </c>
      <c r="S14" s="10">
        <f t="shared" si="3"/>
        <v>1.7303992910329828</v>
      </c>
      <c r="T14" s="45" cm="1">
        <f t="array" ref="T14">SUMPRODUCT(P14:S14 * P$3:S$3) / SUM(P$3:S$3)</f>
        <v>1.7880749803319576</v>
      </c>
    </row>
    <row r="15" spans="1:20" ht="16.5" customHeight="1" x14ac:dyDescent="0.25">
      <c r="A15" s="4" t="s">
        <v>8915</v>
      </c>
      <c r="B15" s="16"/>
      <c r="E15" s="12" t="s">
        <v>406</v>
      </c>
      <c r="F15" s="4">
        <v>2400</v>
      </c>
      <c r="G15" s="4">
        <v>4</v>
      </c>
      <c r="H15" s="4">
        <v>1</v>
      </c>
      <c r="I15" s="4">
        <v>15</v>
      </c>
      <c r="J15" s="72">
        <v>1.2</v>
      </c>
      <c r="L15" s="9">
        <f>AVERAGEIF('RAMs Products'!D$9:D$1364,RAMs!A15,'RAMs Products'!L$9:L$1364)</f>
        <v>15.042499999999999</v>
      </c>
      <c r="M15" s="3">
        <f>AVERAGEIF('RAMs Products'!D$9:D$1364,RAMs!A15,'RAMs Products'!M$9:M$1364)</f>
        <v>33.552500000000002</v>
      </c>
      <c r="O15" s="5"/>
      <c r="P15" s="49">
        <f t="shared" si="0"/>
        <v>1.0395783558906195</v>
      </c>
      <c r="Q15" s="1">
        <f t="shared" si="1"/>
        <v>1.0296837669179646</v>
      </c>
      <c r="R15" s="1">
        <f t="shared" si="2"/>
        <v>1.0247364724316372</v>
      </c>
      <c r="S15" s="10">
        <f t="shared" si="3"/>
        <v>1.0346310614042922</v>
      </c>
      <c r="T15" s="45" cm="1">
        <f t="array" ref="T15">SUMPRODUCT(P15:S15 * P$3:S$3) / SUM(P$3:S$3)</f>
        <v>1.0323476947182946</v>
      </c>
    </row>
    <row r="16" spans="1:20" ht="16.5" customHeight="1" x14ac:dyDescent="0.25">
      <c r="A16" s="4" t="s">
        <v>8916</v>
      </c>
      <c r="B16" s="16"/>
      <c r="E16" s="12" t="s">
        <v>406</v>
      </c>
      <c r="F16" s="4">
        <v>2400</v>
      </c>
      <c r="G16" s="4">
        <v>4</v>
      </c>
      <c r="H16" s="4">
        <v>2</v>
      </c>
      <c r="I16" s="4">
        <v>16</v>
      </c>
      <c r="J16" s="72">
        <v>1.2</v>
      </c>
      <c r="L16" s="9">
        <f>AVERAGEIF('RAMs Products'!D$9:D$1364,RAMs!A16,'RAMs Products'!L$9:L$1364)</f>
        <v>24.78</v>
      </c>
      <c r="M16" s="3">
        <f>AVERAGEIF('RAMs Products'!D$9:D$1364,RAMs!A16,'RAMs Products'!M$9:M$1364)</f>
        <v>53.787500000000001</v>
      </c>
      <c r="O16" s="5"/>
      <c r="P16" s="49">
        <f t="shared" si="0"/>
        <v>1.1051799408496488</v>
      </c>
      <c r="Q16" s="1">
        <f t="shared" si="1"/>
        <v>1.0784740182947448</v>
      </c>
      <c r="R16" s="1">
        <f t="shared" si="2"/>
        <v>1.0680319943597847</v>
      </c>
      <c r="S16" s="10">
        <f t="shared" si="3"/>
        <v>1.0918269795721969</v>
      </c>
      <c r="T16" s="45" cm="1">
        <f t="array" ref="T16">SUMPRODUCT(P16:S16 * P$3:S$3) / SUM(P$3:S$3)</f>
        <v>1.0861119108814488</v>
      </c>
    </row>
    <row r="17" spans="1:20" ht="16.5" customHeight="1" x14ac:dyDescent="0.25">
      <c r="A17" s="4" t="s">
        <v>8917</v>
      </c>
      <c r="B17" s="16"/>
      <c r="E17" s="12" t="s">
        <v>406</v>
      </c>
      <c r="F17" s="4">
        <v>2400</v>
      </c>
      <c r="G17" s="4">
        <v>8</v>
      </c>
      <c r="H17" s="4">
        <v>1</v>
      </c>
      <c r="I17" s="4">
        <v>16</v>
      </c>
      <c r="J17" s="72">
        <v>1.2</v>
      </c>
      <c r="L17" s="9">
        <f>AVERAGEIF('RAMs Products'!D$9:D$1364,RAMs!A17,'RAMs Products'!L$9:L$1364)</f>
        <v>15.135714285714284</v>
      </c>
      <c r="M17" s="3">
        <f>AVERAGEIF('RAMs Products'!D$9:D$1364,RAMs!A17,'RAMs Products'!M$9:M$1364)</f>
        <v>47.407142857142858</v>
      </c>
      <c r="O17" s="5"/>
      <c r="P17" s="49">
        <f t="shared" si="0"/>
        <v>1.2193332022225127</v>
      </c>
      <c r="Q17" s="1">
        <f t="shared" si="1"/>
        <v>1.3381378675332762</v>
      </c>
      <c r="R17" s="1">
        <f t="shared" si="2"/>
        <v>1.3644158126825725</v>
      </c>
      <c r="S17" s="10">
        <f t="shared" si="3"/>
        <v>1.2787355348778946</v>
      </c>
      <c r="T17" s="45" cm="1">
        <f t="array" ref="T17">SUMPRODUCT(P17:S17 * P$3:S$3) / SUM(P$3:S$3)</f>
        <v>1.3010559364871346</v>
      </c>
    </row>
    <row r="18" spans="1:20" ht="16.5" customHeight="1" x14ac:dyDescent="0.25">
      <c r="A18" s="4" t="s">
        <v>8918</v>
      </c>
      <c r="B18" s="16"/>
      <c r="E18" s="12" t="s">
        <v>406</v>
      </c>
      <c r="F18" s="4">
        <v>2400</v>
      </c>
      <c r="G18" s="4">
        <v>8</v>
      </c>
      <c r="H18" s="4">
        <v>2</v>
      </c>
      <c r="I18" s="4">
        <v>16</v>
      </c>
      <c r="J18" s="72">
        <v>1.2</v>
      </c>
      <c r="L18" s="9">
        <f>AVERAGEIF('RAMs Products'!D$9:D$1364,RAMs!A18,'RAMs Products'!L$9:L$1364)</f>
        <v>28.598749999999995</v>
      </c>
      <c r="M18" s="3">
        <f>AVERAGEIF('RAMs Products'!D$9:D$1364,RAMs!A18,'RAMs Products'!M$9:M$1364)</f>
        <v>66.03</v>
      </c>
      <c r="O18" s="5"/>
      <c r="P18" s="49">
        <f t="shared" si="0"/>
        <v>1.2925313786633901</v>
      </c>
      <c r="Q18" s="1">
        <f t="shared" si="1"/>
        <v>1.3907264146509803</v>
      </c>
      <c r="R18" s="1">
        <f t="shared" si="2"/>
        <v>1.4115096303516439</v>
      </c>
      <c r="S18" s="10">
        <f t="shared" si="3"/>
        <v>1.3416288966571854</v>
      </c>
      <c r="T18" s="45" cm="1">
        <f t="array" ref="T18">SUMPRODUCT(P18:S18 * P$3:S$3) / SUM(P$3:S$3)</f>
        <v>1.3599332430707629</v>
      </c>
    </row>
    <row r="19" spans="1:20" ht="16.5" customHeight="1" x14ac:dyDescent="0.25">
      <c r="A19" s="4" t="s">
        <v>8919</v>
      </c>
      <c r="B19" s="16"/>
      <c r="E19" s="12" t="s">
        <v>406</v>
      </c>
      <c r="F19" s="4">
        <v>2400</v>
      </c>
      <c r="G19" s="4">
        <v>8</v>
      </c>
      <c r="H19" s="4">
        <v>4</v>
      </c>
      <c r="I19" s="4">
        <v>15</v>
      </c>
      <c r="J19" s="72">
        <v>1.2</v>
      </c>
      <c r="L19" s="9">
        <f>AVERAGEIF('RAMs Products'!D$9:D$1364,RAMs!A19,'RAMs Products'!L$9:L$1364)</f>
        <v>63.75</v>
      </c>
      <c r="M19" s="3">
        <f>AVERAGEIF('RAMs Products'!D$9:D$1364,RAMs!A19,'RAMs Products'!M$9:M$1364)</f>
        <v>139.99</v>
      </c>
      <c r="O19" s="5"/>
      <c r="P19" s="49">
        <f t="shared" si="0"/>
        <v>1.3452623306468601</v>
      </c>
      <c r="Q19" s="1">
        <f t="shared" si="1"/>
        <v>1.4266855659810747</v>
      </c>
      <c r="R19" s="1">
        <f t="shared" si="2"/>
        <v>1.4441719440125584</v>
      </c>
      <c r="S19" s="10">
        <f t="shared" si="3"/>
        <v>1.3859739483139675</v>
      </c>
      <c r="T19" s="45" cm="1">
        <f t="array" ref="T19">SUMPRODUCT(P19:S19 * P$3:S$3) / SUM(P$3:S$3)</f>
        <v>1.4011908119086902</v>
      </c>
    </row>
    <row r="20" spans="1:20" ht="16.5" customHeight="1" x14ac:dyDescent="0.25">
      <c r="A20" s="4" t="s">
        <v>8920</v>
      </c>
      <c r="B20" s="16"/>
      <c r="E20" s="12" t="s">
        <v>406</v>
      </c>
      <c r="F20" s="4">
        <v>2400</v>
      </c>
      <c r="G20" s="4">
        <v>16</v>
      </c>
      <c r="H20" s="4">
        <v>1</v>
      </c>
      <c r="I20" s="4">
        <v>16</v>
      </c>
      <c r="J20" s="72">
        <v>1.2</v>
      </c>
      <c r="L20" s="9">
        <f>AVERAGEIF('RAMs Products'!D$9:D$1364,RAMs!A20,'RAMs Products'!L$9:L$1364)</f>
        <v>28.59</v>
      </c>
      <c r="M20" s="3">
        <f>AVERAGEIF('RAMs Products'!D$9:D$1364,RAMs!A20,'RAMs Products'!M$9:M$1364)</f>
        <v>70.433333333333323</v>
      </c>
      <c r="O20" s="5"/>
      <c r="P20" s="49">
        <f t="shared" si="0"/>
        <v>1.5236865108725079</v>
      </c>
      <c r="Q20" s="1">
        <f t="shared" si="1"/>
        <v>1.8453933819499349</v>
      </c>
      <c r="R20" s="1">
        <f t="shared" si="2"/>
        <v>1.9223968785408969</v>
      </c>
      <c r="S20" s="10">
        <f t="shared" si="3"/>
        <v>1.6845399464112216</v>
      </c>
      <c r="T20" s="45" cm="1">
        <f t="array" ref="T20">SUMPRODUCT(P20:S20 * P$3:S$3) / SUM(P$3:S$3)</f>
        <v>1.745880002975589</v>
      </c>
    </row>
    <row r="21" spans="1:20" ht="16.5" customHeight="1" x14ac:dyDescent="0.25">
      <c r="A21" s="4" t="s">
        <v>8921</v>
      </c>
      <c r="B21" s="16"/>
      <c r="E21" s="12" t="s">
        <v>406</v>
      </c>
      <c r="F21" s="4">
        <v>2400</v>
      </c>
      <c r="G21" s="4">
        <v>16</v>
      </c>
      <c r="H21" s="4">
        <v>2</v>
      </c>
      <c r="I21" s="4">
        <v>16</v>
      </c>
      <c r="J21" s="72">
        <v>1.2</v>
      </c>
      <c r="L21" s="9">
        <f>AVERAGEIF('RAMs Products'!D$9:D$1364,RAMs!A21,'RAMs Products'!L$9:L$1364)</f>
        <v>56.747500000000002</v>
      </c>
      <c r="M21" s="3">
        <f>AVERAGEIF('RAMs Products'!D$9:D$1364,RAMs!A21,'RAMs Products'!M$9:M$1364)</f>
        <v>471.32</v>
      </c>
      <c r="O21" s="5"/>
      <c r="P21" s="49">
        <f t="shared" si="0"/>
        <v>1.5968846873133853</v>
      </c>
      <c r="Q21" s="1">
        <f t="shared" si="1"/>
        <v>1.897981929067639</v>
      </c>
      <c r="R21" s="1">
        <f t="shared" si="2"/>
        <v>1.9694906962099683</v>
      </c>
      <c r="S21" s="10">
        <f t="shared" si="3"/>
        <v>1.7474333081905122</v>
      </c>
      <c r="T21" s="45" cm="1">
        <f t="array" ref="T21">SUMPRODUCT(P21:S21 * P$3:S$3) / SUM(P$3:S$3)</f>
        <v>1.8047573095592173</v>
      </c>
    </row>
    <row r="22" spans="1:20" ht="16.5" customHeight="1" x14ac:dyDescent="0.25">
      <c r="A22" s="4" t="s">
        <v>8922</v>
      </c>
      <c r="B22" s="16"/>
      <c r="E22" s="12" t="s">
        <v>406</v>
      </c>
      <c r="F22" s="4">
        <v>2400</v>
      </c>
      <c r="G22" s="4">
        <v>16</v>
      </c>
      <c r="H22" s="4">
        <v>4</v>
      </c>
      <c r="I22" s="4">
        <v>14</v>
      </c>
      <c r="J22" s="72">
        <v>1.2</v>
      </c>
      <c r="L22" s="9">
        <f>AVERAGEIF('RAMs Products'!D$9:D$1364,RAMs!A22,'RAMs Products'!L$9:L$1364)</f>
        <v>124.9</v>
      </c>
      <c r="M22" s="3">
        <f>AVERAGEIF('RAMs Products'!D$9:D$1364,RAMs!A22,'RAMs Products'!M$9:M$1364)</f>
        <v>152.86000000000001</v>
      </c>
      <c r="O22" s="5"/>
      <c r="P22" s="49">
        <f t="shared" si="0"/>
        <v>1.6594209967683555</v>
      </c>
      <c r="Q22" s="1">
        <f t="shared" si="1"/>
        <v>1.9388437591334835</v>
      </c>
      <c r="R22" s="1">
        <f t="shared" si="2"/>
        <v>2.0070556886066333</v>
      </c>
      <c r="S22" s="10">
        <f t="shared" si="3"/>
        <v>1.7991323779509196</v>
      </c>
      <c r="T22" s="45" cm="1">
        <f t="array" ref="T22">SUMPRODUCT(P22:S22 * P$3:S$3) / SUM(P$3:S$3)</f>
        <v>1.8526146382337314</v>
      </c>
    </row>
    <row r="23" spans="1:20" ht="16.5" customHeight="1" x14ac:dyDescent="0.25">
      <c r="A23" s="4" t="s">
        <v>8923</v>
      </c>
      <c r="B23" s="16"/>
      <c r="E23" s="12" t="s">
        <v>406</v>
      </c>
      <c r="F23" s="4">
        <v>2400</v>
      </c>
      <c r="G23" s="4">
        <v>32</v>
      </c>
      <c r="H23" s="4">
        <v>2</v>
      </c>
      <c r="I23" s="4">
        <v>16</v>
      </c>
      <c r="J23" s="72">
        <v>1.2</v>
      </c>
      <c r="L23" s="9">
        <f>AVERAGEIF('RAMs Products'!D$9:D$1364,RAMs!A23,'RAMs Products'!L$9:L$1364)</f>
        <v>134.44</v>
      </c>
      <c r="M23" s="3">
        <f>AVERAGEIF('RAMs Products'!D$9:D$1364,RAMs!A23,'RAMs Products'!M$9:M$1364)</f>
        <v>273.79000000000002</v>
      </c>
      <c r="O23" s="5"/>
      <c r="P23" s="49">
        <f t="shared" si="0"/>
        <v>2.0913080958932002</v>
      </c>
      <c r="Q23" s="1">
        <f t="shared" si="1"/>
        <v>2.7220209433673306</v>
      </c>
      <c r="R23" s="1">
        <f t="shared" si="2"/>
        <v>2.8759336119396295</v>
      </c>
      <c r="S23" s="10">
        <f t="shared" si="3"/>
        <v>2.4066645196302656</v>
      </c>
      <c r="T23" s="45" cm="1">
        <f t="array" ref="T23">SUMPRODUCT(P23:S23 * P$3:S$3) / SUM(P$3:S$3)</f>
        <v>2.5273761374835622</v>
      </c>
    </row>
    <row r="24" spans="1:20" ht="16.5" customHeight="1" x14ac:dyDescent="0.25">
      <c r="A24" s="4" t="s">
        <v>8924</v>
      </c>
      <c r="B24" s="16"/>
      <c r="E24" s="12" t="s">
        <v>406</v>
      </c>
      <c r="F24" s="4">
        <v>2666</v>
      </c>
      <c r="G24" s="4">
        <v>4</v>
      </c>
      <c r="H24" s="4">
        <v>1</v>
      </c>
      <c r="I24" s="4">
        <v>18</v>
      </c>
      <c r="J24" s="72">
        <v>1.2</v>
      </c>
      <c r="L24" s="9">
        <f>AVERAGEIF('RAMs Products'!D$9:D$1364,RAMs!A24,'RAMs Products'!L$9:L$1364)</f>
        <v>18.524999999999999</v>
      </c>
      <c r="M24" s="3">
        <f>AVERAGEIF('RAMs Products'!D$9:D$1364,RAMs!A24,'RAMs Products'!M$9:M$1364)</f>
        <v>34.799999999999997</v>
      </c>
      <c r="O24" s="5"/>
      <c r="P24" s="49">
        <f t="shared" si="0"/>
        <v>1.0574160068908658</v>
      </c>
      <c r="Q24" s="1">
        <f t="shared" si="1"/>
        <v>1.0482430986292921</v>
      </c>
      <c r="R24" s="1">
        <f t="shared" si="2"/>
        <v>1.0384755510373624</v>
      </c>
      <c r="S24" s="10">
        <f t="shared" si="3"/>
        <v>1.0528295527600791</v>
      </c>
      <c r="T24" s="45" cm="1">
        <f t="array" ref="T24">SUMPRODUCT(P24:S24 * P$3:S$3) / SUM(P$3:S$3)</f>
        <v>1.0499156364749247</v>
      </c>
    </row>
    <row r="25" spans="1:20" ht="16.5" customHeight="1" x14ac:dyDescent="0.25">
      <c r="A25" s="4" t="s">
        <v>8925</v>
      </c>
      <c r="B25" s="16"/>
      <c r="E25" s="12" t="s">
        <v>406</v>
      </c>
      <c r="F25" s="4">
        <v>2666</v>
      </c>
      <c r="G25" s="4">
        <v>4</v>
      </c>
      <c r="H25" s="4">
        <v>2</v>
      </c>
      <c r="I25" s="4">
        <v>16</v>
      </c>
      <c r="J25" s="72">
        <v>1.2</v>
      </c>
      <c r="L25" s="9">
        <f>AVERAGEIF('RAMs Products'!D$9:D$1364,RAMs!A25,'RAMs Products'!L$9:L$1364)</f>
        <v>39.17</v>
      </c>
      <c r="M25" s="3">
        <f>AVERAGEIF('RAMs Products'!D$9:D$1364,RAMs!A25,'RAMs Products'!M$9:M$1364)</f>
        <v>86.95</v>
      </c>
      <c r="O25" s="5"/>
      <c r="P25" s="49">
        <f t="shared" si="0"/>
        <v>1.1475981681789484</v>
      </c>
      <c r="Q25" s="1">
        <f t="shared" si="1"/>
        <v>1.1102876887917195</v>
      </c>
      <c r="R25" s="1">
        <f t="shared" si="2"/>
        <v>1.0945433864405967</v>
      </c>
      <c r="S25" s="10">
        <f t="shared" si="3"/>
        <v>1.1289429284853338</v>
      </c>
      <c r="T25" s="45" cm="1">
        <f t="array" ref="T25">SUMPRODUCT(P25:S25 * P$3:S$3) / SUM(P$3:S$3)</f>
        <v>1.1207806543717413</v>
      </c>
    </row>
    <row r="26" spans="1:20" ht="16.5" customHeight="1" x14ac:dyDescent="0.25">
      <c r="A26" s="4" t="s">
        <v>8926</v>
      </c>
      <c r="B26" s="16"/>
      <c r="E26" s="12" t="s">
        <v>406</v>
      </c>
      <c r="F26" s="4">
        <v>2666</v>
      </c>
      <c r="G26" s="4">
        <v>8</v>
      </c>
      <c r="H26" s="4">
        <v>1</v>
      </c>
      <c r="I26" s="4">
        <v>18</v>
      </c>
      <c r="J26" s="72">
        <v>1.2</v>
      </c>
      <c r="L26" s="9">
        <f>AVERAGEIF('RAMs Products'!D$9:D$1364,RAMs!A26,'RAMs Products'!L$9:L$1364)</f>
        <v>21.46857142857143</v>
      </c>
      <c r="M26" s="3">
        <f>AVERAGEIF('RAMs Products'!D$9:D$1364,RAMs!A26,'RAMs Products'!M$9:M$1364)</f>
        <v>58.447142857142865</v>
      </c>
      <c r="O26" s="5"/>
      <c r="P26" s="49">
        <f t="shared" si="0"/>
        <v>1.2447674447046069</v>
      </c>
      <c r="Q26" s="1">
        <f t="shared" si="1"/>
        <v>1.3604954949855277</v>
      </c>
      <c r="R26" s="1">
        <f t="shared" si="2"/>
        <v>1.3819531870292217</v>
      </c>
      <c r="S26" s="10">
        <f t="shared" si="3"/>
        <v>1.3026314698450674</v>
      </c>
      <c r="T26" s="45" cm="1">
        <f t="array" ref="T26">SUMPRODUCT(P26:S26 * P$3:S$3) / SUM(P$3:S$3)</f>
        <v>1.3237369686642388</v>
      </c>
    </row>
    <row r="27" spans="1:20" ht="16.5" customHeight="1" x14ac:dyDescent="0.25">
      <c r="A27" s="4" t="s">
        <v>8927</v>
      </c>
      <c r="B27" s="16"/>
      <c r="E27" s="12" t="s">
        <v>406</v>
      </c>
      <c r="F27" s="4">
        <v>2666</v>
      </c>
      <c r="G27" s="4">
        <v>8</v>
      </c>
      <c r="H27" s="4">
        <v>2</v>
      </c>
      <c r="I27" s="4">
        <v>16</v>
      </c>
      <c r="J27" s="72">
        <v>1.2</v>
      </c>
      <c r="L27" s="9">
        <f>AVERAGEIF('RAMs Products'!D$9:D$1364,RAMs!A27,'RAMs Products'!L$9:L$1364)</f>
        <v>39.398888888888891</v>
      </c>
      <c r="M27" s="3">
        <f>AVERAGEIF('RAMs Products'!D$9:D$1364,RAMs!A27,'RAMs Products'!M$9:M$1364)</f>
        <v>74.42</v>
      </c>
      <c r="O27" s="5"/>
      <c r="P27" s="49">
        <f t="shared" si="0"/>
        <v>1.3349496059926897</v>
      </c>
      <c r="Q27" s="1">
        <f t="shared" si="1"/>
        <v>1.422540085147955</v>
      </c>
      <c r="R27" s="1">
        <f t="shared" si="2"/>
        <v>1.4380210224324559</v>
      </c>
      <c r="S27" s="10">
        <f t="shared" si="3"/>
        <v>1.3787448455703224</v>
      </c>
      <c r="T27" s="45" cm="1">
        <f t="array" ref="T27">SUMPRODUCT(P27:S27 * P$3:S$3) / SUM(P$3:S$3)</f>
        <v>1.3946019865610555</v>
      </c>
    </row>
    <row r="28" spans="1:20" ht="16.5" customHeight="1" x14ac:dyDescent="0.25">
      <c r="A28" s="4" t="s">
        <v>8928</v>
      </c>
      <c r="B28" s="16"/>
      <c r="E28" s="12" t="s">
        <v>406</v>
      </c>
      <c r="F28" s="4">
        <v>2666</v>
      </c>
      <c r="G28" s="4">
        <v>8</v>
      </c>
      <c r="H28" s="4">
        <v>4</v>
      </c>
      <c r="I28" s="4">
        <v>16</v>
      </c>
      <c r="J28" s="72">
        <v>1.2</v>
      </c>
      <c r="L28" s="9">
        <f>AVERAGEIF('RAMs Products'!D$9:D$1364,RAMs!A28,'RAMs Products'!L$9:L$1364)</f>
        <v>72.900000000000006</v>
      </c>
      <c r="M28" s="3">
        <f>AVERAGEIF('RAMs Products'!D$9:D$1364,RAMs!A28,'RAMs Products'!M$9:M$1364)</f>
        <v>123</v>
      </c>
      <c r="O28" s="5"/>
      <c r="P28" s="49">
        <f t="shared" si="0"/>
        <v>1.3811822333479049</v>
      </c>
      <c r="Q28" s="1">
        <f t="shared" si="1"/>
        <v>1.4558285045365942</v>
      </c>
      <c r="R28" s="1">
        <f t="shared" si="2"/>
        <v>1.4677233889655794</v>
      </c>
      <c r="S28" s="10">
        <f t="shared" si="3"/>
        <v>1.4185053689422495</v>
      </c>
      <c r="T28" s="45" cm="1">
        <f t="array" ref="T28">SUMPRODUCT(P28:S28 * P$3:S$3) / SUM(P$3:S$3)</f>
        <v>1.43181939288343</v>
      </c>
    </row>
    <row r="29" spans="1:20" ht="16.5" customHeight="1" x14ac:dyDescent="0.25">
      <c r="A29" s="4" t="s">
        <v>8929</v>
      </c>
      <c r="B29" s="16"/>
      <c r="E29" s="12" t="s">
        <v>406</v>
      </c>
      <c r="F29" s="4">
        <v>2666</v>
      </c>
      <c r="G29" s="4">
        <v>16</v>
      </c>
      <c r="H29" s="4">
        <v>1</v>
      </c>
      <c r="I29" s="4">
        <v>18</v>
      </c>
      <c r="J29" s="72">
        <v>1.2</v>
      </c>
      <c r="L29" s="9">
        <f>AVERAGEIF('RAMs Products'!D$9:D$1364,RAMs!A29,'RAMs Products'!L$9:L$1364)</f>
        <v>53.027777777777779</v>
      </c>
      <c r="M29" s="3">
        <f>AVERAGEIF('RAMs Products'!D$9:D$1364,RAMs!A29,'RAMs Products'!M$9:M$1364)</f>
        <v>101.7188888888889</v>
      </c>
      <c r="O29" s="5"/>
      <c r="P29" s="49">
        <f t="shared" si="0"/>
        <v>1.5491207533546021</v>
      </c>
      <c r="Q29" s="1">
        <f t="shared" si="1"/>
        <v>1.8677510094021863</v>
      </c>
      <c r="R29" s="1">
        <f t="shared" si="2"/>
        <v>1.9399342528875461</v>
      </c>
      <c r="S29" s="10">
        <f t="shared" si="3"/>
        <v>1.7084358813783944</v>
      </c>
      <c r="T29" s="45" cm="1">
        <f t="array" ref="T29">SUMPRODUCT(P29:S29 * P$3:S$3) / SUM(P$3:S$3)</f>
        <v>1.7685610351526933</v>
      </c>
    </row>
    <row r="30" spans="1:20" ht="16.5" customHeight="1" x14ac:dyDescent="0.25">
      <c r="A30" s="4" t="s">
        <v>8930</v>
      </c>
      <c r="B30" s="16"/>
      <c r="E30" s="12" t="s">
        <v>406</v>
      </c>
      <c r="F30" s="4">
        <v>2666</v>
      </c>
      <c r="G30" s="4">
        <v>16</v>
      </c>
      <c r="H30" s="4">
        <v>2</v>
      </c>
      <c r="I30" s="4">
        <v>16</v>
      </c>
      <c r="J30" s="72">
        <v>1.2</v>
      </c>
      <c r="L30" s="9">
        <f>AVERAGEIF('RAMs Products'!D$9:D$1364,RAMs!A30,'RAMs Products'!L$9:L$1364)</f>
        <v>75.796666666666667</v>
      </c>
      <c r="M30" s="3">
        <f>AVERAGEIF('RAMs Products'!D$9:D$1364,RAMs!A30,'RAMs Products'!M$9:M$1364)</f>
        <v>110.83499999999999</v>
      </c>
      <c r="O30" s="5"/>
      <c r="P30" s="49">
        <f t="shared" si="0"/>
        <v>1.639302914642685</v>
      </c>
      <c r="Q30" s="1">
        <f t="shared" si="1"/>
        <v>1.9297955995646137</v>
      </c>
      <c r="R30" s="1">
        <f t="shared" si="2"/>
        <v>1.9960020882907803</v>
      </c>
      <c r="S30" s="10">
        <f t="shared" si="3"/>
        <v>1.7845492571036492</v>
      </c>
      <c r="T30" s="45" cm="1">
        <f t="array" ref="T30">SUMPRODUCT(P30:S30 * P$3:S$3) / SUM(P$3:S$3)</f>
        <v>1.8394260530495101</v>
      </c>
    </row>
    <row r="31" spans="1:20" ht="16.5" customHeight="1" x14ac:dyDescent="0.25">
      <c r="A31" s="4" t="s">
        <v>8931</v>
      </c>
      <c r="B31" s="16"/>
      <c r="E31" s="12" t="s">
        <v>406</v>
      </c>
      <c r="F31" s="4">
        <v>2666</v>
      </c>
      <c r="G31" s="4">
        <v>16</v>
      </c>
      <c r="H31" s="4">
        <v>4</v>
      </c>
      <c r="I31" s="4">
        <v>16</v>
      </c>
      <c r="J31" s="72">
        <v>1.2</v>
      </c>
      <c r="L31" s="9">
        <f>AVERAGEIF('RAMs Products'!D$9:D$1364,RAMs!A31,'RAMs Products'!L$9:L$1364)</f>
        <v>188.245</v>
      </c>
      <c r="M31" s="3">
        <f>AVERAGEIF('RAMs Products'!D$9:D$1364,RAMs!A31,'RAMs Products'!M$9:M$1364)</f>
        <v>218.97000000000003</v>
      </c>
      <c r="O31" s="5"/>
      <c r="P31" s="49">
        <f t="shared" si="0"/>
        <v>1.6855355419979001</v>
      </c>
      <c r="Q31" s="1">
        <f t="shared" si="1"/>
        <v>1.963084018953253</v>
      </c>
      <c r="R31" s="1">
        <f t="shared" si="2"/>
        <v>2.025704454823904</v>
      </c>
      <c r="S31" s="10">
        <f t="shared" si="3"/>
        <v>1.8243097804755766</v>
      </c>
      <c r="T31" s="45" cm="1">
        <f t="array" ref="T31">SUMPRODUCT(P31:S31 * P$3:S$3) / SUM(P$3:S$3)</f>
        <v>1.8766434593718846</v>
      </c>
    </row>
    <row r="32" spans="1:20" ht="16.5" customHeight="1" x14ac:dyDescent="0.25">
      <c r="A32" s="4" t="s">
        <v>8932</v>
      </c>
      <c r="B32" s="16"/>
      <c r="E32" s="12" t="s">
        <v>406</v>
      </c>
      <c r="F32" s="4">
        <v>2666</v>
      </c>
      <c r="G32" s="4">
        <v>32</v>
      </c>
      <c r="H32" s="4">
        <v>1</v>
      </c>
      <c r="I32" s="4">
        <v>18</v>
      </c>
      <c r="J32" s="72">
        <v>1.2</v>
      </c>
      <c r="L32" s="9">
        <f>AVERAGEIF('RAMs Products'!D$9:D$1364,RAMs!A32,'RAMs Products'!L$9:L$1364)</f>
        <v>73.179999999999993</v>
      </c>
      <c r="M32" s="3">
        <f>AVERAGEIF('RAMs Products'!D$9:D$1364,RAMs!A32,'RAMs Products'!M$9:M$1364)</f>
        <v>118.33428571428571</v>
      </c>
      <c r="O32" s="5"/>
      <c r="P32" s="49">
        <f t="shared" si="0"/>
        <v>2.0435441619344172</v>
      </c>
      <c r="Q32" s="1">
        <f t="shared" si="1"/>
        <v>2.6917900237018779</v>
      </c>
      <c r="R32" s="1">
        <f t="shared" si="2"/>
        <v>2.8463771686172072</v>
      </c>
      <c r="S32" s="10">
        <f t="shared" si="3"/>
        <v>2.3676670928181478</v>
      </c>
      <c r="T32" s="45" cm="1">
        <f t="array" ref="T32">SUMPRODUCT(P32:S32 * P$3:S$3) / SUM(P$3:S$3)</f>
        <v>2.4911798630770385</v>
      </c>
    </row>
    <row r="33" spans="1:20" ht="16.5" customHeight="1" x14ac:dyDescent="0.25">
      <c r="A33" s="4" t="s">
        <v>8933</v>
      </c>
      <c r="B33" s="16"/>
      <c r="E33" s="12" t="s">
        <v>406</v>
      </c>
      <c r="F33" s="4">
        <v>2666</v>
      </c>
      <c r="G33" s="4">
        <v>32</v>
      </c>
      <c r="H33" s="4">
        <v>2</v>
      </c>
      <c r="I33" s="4">
        <v>16</v>
      </c>
      <c r="J33" s="72">
        <v>1.2</v>
      </c>
      <c r="L33" s="9">
        <f>AVERAGEIF('RAMs Products'!D$9:D$1364,RAMs!A33,'RAMs Products'!L$9:L$1364)</f>
        <v>114.63000000000001</v>
      </c>
      <c r="M33" s="3">
        <f>AVERAGEIF('RAMs Products'!D$9:D$1364,RAMs!A33,'RAMs Products'!M$9:M$1364)</f>
        <v>209.345</v>
      </c>
      <c r="O33" s="5"/>
      <c r="P33" s="49">
        <f t="shared" si="0"/>
        <v>2.1337263232224997</v>
      </c>
      <c r="Q33" s="1">
        <f t="shared" si="1"/>
        <v>2.7538346138643055</v>
      </c>
      <c r="R33" s="1">
        <f t="shared" si="2"/>
        <v>2.9024450040204415</v>
      </c>
      <c r="S33" s="10">
        <f t="shared" si="3"/>
        <v>2.4437804685434026</v>
      </c>
      <c r="T33" s="45" cm="1">
        <f t="array" ref="T33">SUMPRODUCT(P33:S33 * P$3:S$3) / SUM(P$3:S$3)</f>
        <v>2.562044880973855</v>
      </c>
    </row>
    <row r="34" spans="1:20" ht="16.5" customHeight="1" x14ac:dyDescent="0.25">
      <c r="A34" s="4" t="s">
        <v>8934</v>
      </c>
      <c r="B34" s="16"/>
      <c r="E34" s="12" t="s">
        <v>406</v>
      </c>
      <c r="F34" s="4">
        <v>2666</v>
      </c>
      <c r="G34" s="4">
        <v>32</v>
      </c>
      <c r="H34" s="4">
        <v>4</v>
      </c>
      <c r="I34" s="4">
        <v>16</v>
      </c>
      <c r="J34" s="72">
        <v>1.2</v>
      </c>
      <c r="L34" s="9">
        <f>AVERAGEIF('RAMs Products'!D$9:D$1364,RAMs!A34,'RAMs Products'!L$9:L$1364)</f>
        <v>228.11500000000001</v>
      </c>
      <c r="M34" s="3">
        <f>AVERAGEIF('RAMs Products'!D$9:D$1364,RAMs!A34,'RAMs Products'!M$9:M$1364)</f>
        <v>356.84500000000003</v>
      </c>
      <c r="O34" s="5"/>
      <c r="P34" s="49">
        <f t="shared" si="0"/>
        <v>2.1799589505777153</v>
      </c>
      <c r="Q34" s="1">
        <f t="shared" si="1"/>
        <v>2.7871230332529446</v>
      </c>
      <c r="R34" s="1">
        <f t="shared" si="2"/>
        <v>2.9321473705535648</v>
      </c>
      <c r="S34" s="10">
        <f t="shared" si="3"/>
        <v>2.48354099191533</v>
      </c>
      <c r="T34" s="45" cm="1">
        <f t="array" ref="T34">SUMPRODUCT(P34:S34 * P$3:S$3) / SUM(P$3:S$3)</f>
        <v>2.5992622872962299</v>
      </c>
    </row>
    <row r="35" spans="1:20" ht="16.5" customHeight="1" x14ac:dyDescent="0.25">
      <c r="A35" s="4" t="s">
        <v>8935</v>
      </c>
      <c r="B35" s="16"/>
      <c r="E35" s="12" t="s">
        <v>406</v>
      </c>
      <c r="F35" s="4">
        <v>2800</v>
      </c>
      <c r="G35" s="4">
        <v>8</v>
      </c>
      <c r="H35" s="4">
        <v>1</v>
      </c>
      <c r="I35" s="4">
        <v>17</v>
      </c>
      <c r="J35" s="72">
        <v>1.2</v>
      </c>
      <c r="L35" s="9">
        <f>AVERAGEIF('RAMs Products'!D$9:D$1364,RAMs!A35,'RAMs Products'!L$9:L$1364)</f>
        <v>14.695</v>
      </c>
      <c r="M35" s="3">
        <f>AVERAGEIF('RAMs Products'!D$9:D$1364,RAMs!A35,'RAMs Products'!M$9:M$1364)</f>
        <v>37.685000000000002</v>
      </c>
      <c r="O35" s="5"/>
      <c r="P35" s="49">
        <f t="shared" si="0"/>
        <v>1.2701536596957119</v>
      </c>
      <c r="Q35" s="1">
        <f t="shared" si="1"/>
        <v>1.3779714288734486</v>
      </c>
      <c r="R35" s="1">
        <f t="shared" si="2"/>
        <v>1.3970377077209584</v>
      </c>
      <c r="S35" s="10">
        <f t="shared" si="3"/>
        <v>1.3240625442845804</v>
      </c>
      <c r="T35" s="45" cm="1">
        <f t="array" ref="T35">SUMPRODUCT(P35:S35 * P$3:S$3) / SUM(P$3:S$3)</f>
        <v>1.343583167057695</v>
      </c>
    </row>
    <row r="36" spans="1:20" ht="16.5" customHeight="1" x14ac:dyDescent="0.25">
      <c r="A36" s="4" t="s">
        <v>8936</v>
      </c>
      <c r="B36" s="16"/>
      <c r="E36" s="12" t="s">
        <v>406</v>
      </c>
      <c r="F36" s="4">
        <v>2933</v>
      </c>
      <c r="G36" s="4">
        <v>8</v>
      </c>
      <c r="H36" s="4">
        <v>2</v>
      </c>
      <c r="I36" s="4">
        <v>16</v>
      </c>
      <c r="J36" s="72">
        <v>1.35</v>
      </c>
      <c r="L36" s="9">
        <f>AVERAGEIF('RAMs Products'!D$9:D$1364,RAMs!A36,'RAMs Products'!L$9:L$1364)</f>
        <v>46.594999999999999</v>
      </c>
      <c r="M36" s="3">
        <f>AVERAGEIF('RAMs Products'!D$9:D$1364,RAMs!A36,'RAMs Products'!M$9:M$1364)</f>
        <v>68.87</v>
      </c>
      <c r="O36" s="5"/>
      <c r="P36" s="49">
        <f t="shared" si="0"/>
        <v>1.3703920882532148</v>
      </c>
      <c r="Q36" s="1">
        <f t="shared" si="1"/>
        <v>1.4475491954868556</v>
      </c>
      <c r="R36" s="1">
        <f t="shared" si="2"/>
        <v>1.4578134468105444</v>
      </c>
      <c r="S36" s="10">
        <f t="shared" si="3"/>
        <v>1.4089706418700352</v>
      </c>
      <c r="T36" s="45" cm="1">
        <f t="array" ref="T36">SUMPRODUCT(P36:S36 * P$3:S$3) / SUM(P$3:S$3)</f>
        <v>1.4224200816480856</v>
      </c>
    </row>
    <row r="37" spans="1:20" ht="16.5" customHeight="1" x14ac:dyDescent="0.25">
      <c r="A37" s="4" t="s">
        <v>8937</v>
      </c>
      <c r="B37" s="16"/>
      <c r="E37" s="12" t="s">
        <v>406</v>
      </c>
      <c r="F37" s="4">
        <v>2933</v>
      </c>
      <c r="G37" s="4">
        <v>16</v>
      </c>
      <c r="H37" s="4">
        <v>2</v>
      </c>
      <c r="I37" s="4">
        <v>16</v>
      </c>
      <c r="J37" s="72">
        <v>1.35</v>
      </c>
      <c r="L37" s="9">
        <f>AVERAGEIF('RAMs Products'!D$9:D$1364,RAMs!A37,'RAMs Products'!L$9:L$1364)</f>
        <v>78.75</v>
      </c>
      <c r="M37" s="3">
        <f>AVERAGEIF('RAMs Products'!D$9:D$1364,RAMs!A37,'RAMs Products'!M$9:M$1364)</f>
        <v>117.9</v>
      </c>
      <c r="O37" s="5"/>
      <c r="P37" s="49">
        <f t="shared" si="0"/>
        <v>1.67474539690321</v>
      </c>
      <c r="Q37" s="1">
        <f t="shared" si="1"/>
        <v>1.9548047099035142</v>
      </c>
      <c r="R37" s="1">
        <f t="shared" si="2"/>
        <v>2.0157945126688688</v>
      </c>
      <c r="S37" s="10">
        <f t="shared" si="3"/>
        <v>1.8147750534033622</v>
      </c>
      <c r="T37" s="45" cm="1">
        <f t="array" ref="T37">SUMPRODUCT(P37:S37 * P$3:S$3) / SUM(P$3:S$3)</f>
        <v>1.8672441481365403</v>
      </c>
    </row>
    <row r="38" spans="1:20" ht="16.5" customHeight="1" x14ac:dyDescent="0.25">
      <c r="A38" s="4" t="s">
        <v>8938</v>
      </c>
      <c r="B38" s="16"/>
      <c r="E38" s="12" t="s">
        <v>406</v>
      </c>
      <c r="F38" s="4">
        <v>3000</v>
      </c>
      <c r="G38" s="4">
        <v>4</v>
      </c>
      <c r="H38" s="4">
        <v>2</v>
      </c>
      <c r="I38" s="4">
        <v>15</v>
      </c>
      <c r="J38" s="72">
        <v>1.35</v>
      </c>
      <c r="L38" s="9">
        <f>AVERAGEIF('RAMs Products'!D$9:D$1364,RAMs!A38,'RAMs Products'!L$9:L$1364)</f>
        <v>29.9</v>
      </c>
      <c r="M38" s="3">
        <f>AVERAGEIF('RAMs Products'!D$9:D$1364,RAMs!A38,'RAMs Products'!M$9:M$1364)</f>
        <v>29.9</v>
      </c>
      <c r="O38" s="5"/>
      <c r="P38" s="49">
        <f t="shared" si="0"/>
        <v>1.2017478013997114</v>
      </c>
      <c r="Q38" s="1">
        <f t="shared" si="1"/>
        <v>1.1472380996932903</v>
      </c>
      <c r="R38" s="1">
        <f t="shared" si="2"/>
        <v>1.1249832488400799</v>
      </c>
      <c r="S38" s="10">
        <f t="shared" si="3"/>
        <v>1.1744929505465009</v>
      </c>
      <c r="T38" s="45" cm="1">
        <f t="array" ref="T38">SUMPRODUCT(P38:S38 * P$3:S$3) / SUM(P$3:S$3)</f>
        <v>1.1626830193834805</v>
      </c>
    </row>
    <row r="39" spans="1:20" ht="16.5" customHeight="1" x14ac:dyDescent="0.25">
      <c r="A39" s="4" t="s">
        <v>8939</v>
      </c>
      <c r="B39" s="16"/>
      <c r="E39" s="12" t="s">
        <v>406</v>
      </c>
      <c r="F39" s="4">
        <v>3000</v>
      </c>
      <c r="G39" s="4">
        <v>8</v>
      </c>
      <c r="H39" s="4">
        <v>1</v>
      </c>
      <c r="I39" s="4">
        <v>16</v>
      </c>
      <c r="J39" s="72">
        <v>1.35</v>
      </c>
      <c r="L39" s="9">
        <f>AVERAGEIF('RAMs Products'!D$9:D$1364,RAMs!A39,'RAMs Products'!L$9:L$1364)</f>
        <v>22.87</v>
      </c>
      <c r="M39" s="3">
        <f>AVERAGEIF('RAMs Products'!D$9:D$1364,RAMs!A39,'RAMs Products'!M$9:M$1364)</f>
        <v>68.116666666666674</v>
      </c>
      <c r="O39" s="5"/>
      <c r="P39" s="49">
        <f t="shared" si="0"/>
        <v>1.2995255748770855</v>
      </c>
      <c r="Q39" s="1">
        <f t="shared" si="1"/>
        <v>1.3968523730637572</v>
      </c>
      <c r="R39" s="1">
        <f t="shared" si="2"/>
        <v>1.4123913846510074</v>
      </c>
      <c r="S39" s="10">
        <f t="shared" si="3"/>
        <v>1.3481889739704214</v>
      </c>
      <c r="T39" s="45" cm="1">
        <f t="array" ref="T39">SUMPRODUCT(P39:S39 * P$3:S$3) / SUM(P$3:S$3)</f>
        <v>1.3655529447048709</v>
      </c>
    </row>
    <row r="40" spans="1:20" ht="16.5" customHeight="1" x14ac:dyDescent="0.25">
      <c r="A40" s="4" t="s">
        <v>8940</v>
      </c>
      <c r="B40" s="16"/>
      <c r="E40" s="12" t="s">
        <v>406</v>
      </c>
      <c r="F40" s="4">
        <v>3000</v>
      </c>
      <c r="G40" s="4">
        <v>8</v>
      </c>
      <c r="H40" s="4">
        <v>2</v>
      </c>
      <c r="I40" s="4">
        <v>15</v>
      </c>
      <c r="J40" s="72">
        <v>1.35</v>
      </c>
      <c r="L40" s="9">
        <f>AVERAGEIF('RAMs Products'!D$9:D$1364,RAMs!A40,'RAMs Products'!L$9:L$1364)</f>
        <v>53.779999999999994</v>
      </c>
      <c r="M40" s="3">
        <f>AVERAGEIF('RAMs Products'!D$9:D$1364,RAMs!A40,'RAMs Products'!M$9:M$1364)</f>
        <v>110.63500000000002</v>
      </c>
      <c r="O40" s="5"/>
      <c r="P40" s="49">
        <f t="shared" si="0"/>
        <v>1.3890992392134527</v>
      </c>
      <c r="Q40" s="1">
        <f t="shared" si="1"/>
        <v>1.4594904960495256</v>
      </c>
      <c r="R40" s="1">
        <f t="shared" si="2"/>
        <v>1.4684608848319389</v>
      </c>
      <c r="S40" s="10">
        <f t="shared" si="3"/>
        <v>1.4242948676314895</v>
      </c>
      <c r="T40" s="45" cm="1">
        <f t="array" ref="T40">SUMPRODUCT(P40:S40 * P$3:S$3) / SUM(P$3:S$3)</f>
        <v>1.4365043515727949</v>
      </c>
    </row>
    <row r="41" spans="1:20" ht="16.5" customHeight="1" x14ac:dyDescent="0.25">
      <c r="A41" s="4" t="s">
        <v>8941</v>
      </c>
      <c r="B41" s="16"/>
      <c r="E41" s="12" t="s">
        <v>406</v>
      </c>
      <c r="F41" s="4">
        <v>3000</v>
      </c>
      <c r="G41" s="4">
        <v>8</v>
      </c>
      <c r="H41" s="4">
        <v>4</v>
      </c>
      <c r="I41" s="4">
        <v>16</v>
      </c>
      <c r="J41" s="72">
        <v>1.35</v>
      </c>
      <c r="L41" s="9">
        <f>AVERAGEIF('RAMs Products'!D$9:D$1364,RAMs!A41,'RAMs Products'!L$9:L$1364)</f>
        <v>93.9</v>
      </c>
      <c r="M41" s="3">
        <f>AVERAGEIF('RAMs Products'!D$9:D$1364,RAMs!A41,'RAMs Products'!M$9:M$1364)</f>
        <v>143.65</v>
      </c>
      <c r="O41" s="5"/>
      <c r="P41" s="49">
        <f t="shared" si="0"/>
        <v>1.4294734368072206</v>
      </c>
      <c r="Q41" s="1">
        <f t="shared" si="1"/>
        <v>1.4903883693369606</v>
      </c>
      <c r="R41" s="1">
        <f t="shared" si="2"/>
        <v>1.4954175844364714</v>
      </c>
      <c r="S41" s="10">
        <f t="shared" si="3"/>
        <v>1.4599309030720908</v>
      </c>
      <c r="T41" s="45" cm="1">
        <f t="array" ref="T41">SUMPRODUCT(P41:S41 * P$3:S$3) / SUM(P$3:S$3)</f>
        <v>1.4700761565535139</v>
      </c>
    </row>
    <row r="42" spans="1:20" ht="16.5" customHeight="1" x14ac:dyDescent="0.25">
      <c r="A42" s="4" t="s">
        <v>8942</v>
      </c>
      <c r="B42" s="16"/>
      <c r="E42" s="12" t="s">
        <v>406</v>
      </c>
      <c r="F42" s="4">
        <v>3000</v>
      </c>
      <c r="G42" s="4">
        <v>16</v>
      </c>
      <c r="H42" s="4">
        <v>1</v>
      </c>
      <c r="I42" s="4">
        <v>16</v>
      </c>
      <c r="J42" s="72">
        <v>1.35</v>
      </c>
      <c r="L42" s="9">
        <f>AVERAGEIF('RAMs Products'!D$9:D$1364,RAMs!A42,'RAMs Products'!L$9:L$1364)</f>
        <v>57.188000000000009</v>
      </c>
      <c r="M42" s="3">
        <f>AVERAGEIF('RAMs Products'!D$9:D$1364,RAMs!A42,'RAMs Products'!M$9:M$1364)</f>
        <v>79.058000000000007</v>
      </c>
      <c r="O42" s="5"/>
      <c r="P42" s="49">
        <f t="shared" ref="P42:P73" si="4">(((F42/F$9)^F$7 * F$2 + (I42/I$9)^I$7 * I$2 + (J42/J$9)^J$7 * J$2) * (1+M$3*(MIN(H42,M$2)-1)+M$4*(H42-MIN(H42,M$2))) + (G42/G$9)^G$7 * G$2)  * P$9</f>
        <v>1.6038788835270807</v>
      </c>
      <c r="Q42" s="1">
        <f t="shared" ref="Q42:Q73" si="5">(((F42/F$9)^F$7 * F$3 + (I42/I$9)^I$7 * I$3 + (J42/J$9)^J$7 * J$3) * (1+M$3*(MIN(H42,M$2)-1)+M$4*(H42-MIN(H42,M$2))) + (G42/G$9)^G$7 * G$3)  * P$9</f>
        <v>1.9041078874804158</v>
      </c>
      <c r="R42" s="1">
        <f t="shared" ref="R42:R73" si="6">(((F42/F$9)^F$7 * F$4 + (I42/I$9)^I$7 * I$4 + (J42/J$9)^J$7 * J$4) * (1+M$3*(MIN(H42,M$2)-1)+M$4*(H42-MIN(H42,M$2))) + (G42/G$9)^G$7 * G$4)  * P$9</f>
        <v>1.9703724505093321</v>
      </c>
      <c r="S42" s="10">
        <f t="shared" ref="S42:S73" si="7">(((F42/F$9)^F$7 * F$5 + (I42/I$9)^I$7 * I$5 + (J42/J$9)^J$7 * J$5) * (1+M$3*(MIN(H42,M$2)-1)+M$4*(H42-MIN(H42,M$2))) + (G42/G$9)^G$7 * G$5)  * P$9</f>
        <v>1.7539933855037484</v>
      </c>
      <c r="T42" s="45" cm="1">
        <f t="array" ref="T42">SUMPRODUCT(P42:S42 * P$3:S$3) / SUM(P$3:S$3)</f>
        <v>1.8103770111933255</v>
      </c>
    </row>
    <row r="43" spans="1:20" ht="16.5" customHeight="1" x14ac:dyDescent="0.25">
      <c r="A43" s="4" t="s">
        <v>8943</v>
      </c>
      <c r="B43" s="16"/>
      <c r="E43" s="12" t="s">
        <v>406</v>
      </c>
      <c r="F43" s="4">
        <v>3000</v>
      </c>
      <c r="G43" s="4">
        <v>16</v>
      </c>
      <c r="H43" s="4">
        <v>2</v>
      </c>
      <c r="I43" s="4">
        <v>16</v>
      </c>
      <c r="J43" s="72">
        <v>1.35</v>
      </c>
      <c r="L43" s="9">
        <f>AVERAGEIF('RAMs Products'!D$9:D$1364,RAMs!A43,'RAMs Products'!L$9:L$1364)</f>
        <v>96.00333333333333</v>
      </c>
      <c r="M43" s="3">
        <f>AVERAGEIF('RAMs Products'!D$9:D$1364,RAMs!A43,'RAMs Products'!M$9:M$1364)</f>
        <v>131.875</v>
      </c>
      <c r="O43" s="5"/>
      <c r="P43" s="49">
        <f t="shared" si="4"/>
        <v>1.6850962972334151</v>
      </c>
      <c r="Q43" s="1">
        <f t="shared" si="5"/>
        <v>1.9625678851511679</v>
      </c>
      <c r="R43" s="1">
        <f t="shared" si="6"/>
        <v>2.022263825375247</v>
      </c>
      <c r="S43" s="10">
        <f t="shared" si="7"/>
        <v>1.8238320911922918</v>
      </c>
      <c r="T43" s="45" cm="1">
        <f t="array" ref="T43">SUMPRODUCT(P43:S43 * P$3:S$3) / SUM(P$3:S$3)</f>
        <v>1.8757040185987273</v>
      </c>
    </row>
    <row r="44" spans="1:20" ht="16.5" customHeight="1" x14ac:dyDescent="0.25">
      <c r="A44" s="4" t="s">
        <v>8944</v>
      </c>
      <c r="B44" s="16"/>
      <c r="E44" s="12" t="s">
        <v>406</v>
      </c>
      <c r="F44" s="4">
        <v>3000</v>
      </c>
      <c r="G44" s="4">
        <v>16</v>
      </c>
      <c r="H44" s="4">
        <v>4</v>
      </c>
      <c r="I44" s="4">
        <v>16</v>
      </c>
      <c r="J44" s="72">
        <v>1.35</v>
      </c>
      <c r="L44" s="9">
        <f>AVERAGEIF('RAMs Products'!D$9:D$1364,RAMs!A44,'RAMs Products'!L$9:L$1364)</f>
        <v>231.13749999999999</v>
      </c>
      <c r="M44" s="3">
        <f>AVERAGEIF('RAMs Products'!D$9:D$1364,RAMs!A44,'RAMs Products'!M$9:M$1364)</f>
        <v>513.25250000000005</v>
      </c>
      <c r="O44" s="5"/>
      <c r="P44" s="49">
        <f t="shared" si="4"/>
        <v>1.7338267454572158</v>
      </c>
      <c r="Q44" s="1">
        <f t="shared" si="5"/>
        <v>1.9976438837536192</v>
      </c>
      <c r="R44" s="1">
        <f t="shared" si="6"/>
        <v>2.0533986502947958</v>
      </c>
      <c r="S44" s="10">
        <f t="shared" si="7"/>
        <v>1.8657353146054176</v>
      </c>
      <c r="T44" s="45" cm="1">
        <f t="array" ref="T44">SUMPRODUCT(P44:S44 * P$3:S$3) / SUM(P$3:S$3)</f>
        <v>1.9149002230419683</v>
      </c>
    </row>
    <row r="45" spans="1:20" ht="16.5" customHeight="1" x14ac:dyDescent="0.25">
      <c r="A45" s="4" t="s">
        <v>8945</v>
      </c>
      <c r="B45" s="16"/>
      <c r="E45" s="12" t="s">
        <v>406</v>
      </c>
      <c r="F45" s="4">
        <v>3000</v>
      </c>
      <c r="G45" s="4">
        <v>32</v>
      </c>
      <c r="H45" s="4">
        <v>1</v>
      </c>
      <c r="I45" s="4">
        <v>16</v>
      </c>
      <c r="J45" s="72">
        <v>1.35</v>
      </c>
      <c r="L45" s="9">
        <f>AVERAGEIF('RAMs Products'!D$9:D$1364,RAMs!A45,'RAMs Products'!L$9:L$1364)</f>
        <v>105.925</v>
      </c>
      <c r="M45" s="3">
        <f>AVERAGEIF('RAMs Products'!D$9:D$1364,RAMs!A45,'RAMs Products'!M$9:M$1364)</f>
        <v>125.61499999999999</v>
      </c>
      <c r="O45" s="5"/>
      <c r="P45" s="49">
        <f t="shared" si="4"/>
        <v>2.0983022921068955</v>
      </c>
      <c r="Q45" s="1">
        <f t="shared" si="5"/>
        <v>2.7281469017801072</v>
      </c>
      <c r="R45" s="1">
        <f t="shared" si="6"/>
        <v>2.876815366238993</v>
      </c>
      <c r="S45" s="10">
        <f t="shared" si="7"/>
        <v>2.4132245969435013</v>
      </c>
      <c r="T45" s="45" cm="1">
        <f t="array" ref="T45">SUMPRODUCT(P45:S45 * P$3:S$3) / SUM(P$3:S$3)</f>
        <v>2.5329958391176701</v>
      </c>
    </row>
    <row r="46" spans="1:20" ht="16.5" customHeight="1" x14ac:dyDescent="0.25">
      <c r="A46" s="4" t="s">
        <v>8946</v>
      </c>
      <c r="B46" s="16"/>
      <c r="E46" s="12" t="s">
        <v>406</v>
      </c>
      <c r="F46" s="4">
        <v>3000</v>
      </c>
      <c r="G46" s="4">
        <v>32</v>
      </c>
      <c r="H46" s="4">
        <v>2</v>
      </c>
      <c r="I46" s="4">
        <v>16</v>
      </c>
      <c r="J46" s="72">
        <v>1.35</v>
      </c>
      <c r="L46" s="9">
        <f>AVERAGEIF('RAMs Products'!D$9:D$1364,RAMs!A46,'RAMs Products'!L$9:L$1364)</f>
        <v>115.9</v>
      </c>
      <c r="M46" s="3">
        <f>AVERAGEIF('RAMs Products'!D$9:D$1364,RAMs!A46,'RAMs Products'!M$9:M$1364)</f>
        <v>228</v>
      </c>
      <c r="O46" s="5"/>
      <c r="P46" s="49">
        <f t="shared" si="4"/>
        <v>2.1795197058132301</v>
      </c>
      <c r="Q46" s="1">
        <f t="shared" si="5"/>
        <v>2.7866068994508595</v>
      </c>
      <c r="R46" s="1">
        <f t="shared" si="6"/>
        <v>2.9287067411049081</v>
      </c>
      <c r="S46" s="10">
        <f t="shared" si="7"/>
        <v>2.4830633026320448</v>
      </c>
      <c r="T46" s="45" cm="1">
        <f t="array" ref="T46">SUMPRODUCT(P46:S46 * P$3:S$3) / SUM(P$3:S$3)</f>
        <v>2.5983228465230721</v>
      </c>
    </row>
    <row r="47" spans="1:20" ht="16.5" customHeight="1" x14ac:dyDescent="0.25">
      <c r="A47" s="4" t="s">
        <v>8947</v>
      </c>
      <c r="B47" s="16"/>
      <c r="E47" s="12" t="s">
        <v>406</v>
      </c>
      <c r="F47" s="4">
        <v>3000</v>
      </c>
      <c r="G47" s="4">
        <v>32</v>
      </c>
      <c r="H47" s="4">
        <v>4</v>
      </c>
      <c r="I47" s="4">
        <v>16</v>
      </c>
      <c r="J47" s="72">
        <v>1.35</v>
      </c>
      <c r="L47" s="9">
        <f>AVERAGEIF('RAMs Products'!D$9:D$1364,RAMs!A47,'RAMs Products'!L$9:L$1364)</f>
        <v>272</v>
      </c>
      <c r="M47" s="3">
        <f>AVERAGEIF('RAMs Products'!D$9:D$1364,RAMs!A47,'RAMs Products'!M$9:M$1364)</f>
        <v>335.78</v>
      </c>
      <c r="O47" s="5"/>
      <c r="P47" s="49">
        <f t="shared" si="4"/>
        <v>2.2282501540370308</v>
      </c>
      <c r="Q47" s="1">
        <f t="shared" si="5"/>
        <v>2.8216828980533109</v>
      </c>
      <c r="R47" s="1">
        <f t="shared" si="6"/>
        <v>2.9598415660244566</v>
      </c>
      <c r="S47" s="10">
        <f t="shared" si="7"/>
        <v>2.524966526045171</v>
      </c>
      <c r="T47" s="45" cm="1">
        <f t="array" ref="T47">SUMPRODUCT(P47:S47 * P$3:S$3) / SUM(P$3:S$3)</f>
        <v>2.6375190509663131</v>
      </c>
    </row>
    <row r="48" spans="1:20" ht="16.5" customHeight="1" x14ac:dyDescent="0.25">
      <c r="A48" s="4" t="s">
        <v>8948</v>
      </c>
      <c r="B48" s="16"/>
      <c r="E48" s="12" t="s">
        <v>406</v>
      </c>
      <c r="F48" s="4">
        <v>3200</v>
      </c>
      <c r="G48" s="4">
        <v>4</v>
      </c>
      <c r="H48" s="4">
        <v>1</v>
      </c>
      <c r="I48" s="4">
        <v>16</v>
      </c>
      <c r="J48" s="72">
        <v>1.35</v>
      </c>
      <c r="L48" s="9">
        <f>AVERAGEIF('RAMs Products'!D$9:D$1364,RAMs!A48,'RAMs Products'!L$9:L$1364)</f>
        <v>25.42</v>
      </c>
      <c r="M48" s="3">
        <f>AVERAGEIF('RAMs Products'!D$9:D$1364,RAMs!A48,'RAMs Products'!M$9:M$1364)</f>
        <v>44.2</v>
      </c>
      <c r="O48" s="5"/>
      <c r="P48" s="49">
        <f t="shared" si="4"/>
        <v>1.1400182273855315</v>
      </c>
      <c r="Q48" s="1">
        <f t="shared" si="5"/>
        <v>1.1054830444491621</v>
      </c>
      <c r="R48" s="1">
        <f t="shared" si="6"/>
        <v>1.0863163051105156</v>
      </c>
      <c r="S48" s="10">
        <f t="shared" si="7"/>
        <v>1.1227506359173467</v>
      </c>
      <c r="T48" s="45" cm="1">
        <f t="array" ref="T48">SUMPRODUCT(P48:S48 * P$3:S$3) / SUM(P$3:S$3)</f>
        <v>1.1144888017211905</v>
      </c>
    </row>
    <row r="49" spans="1:20" ht="16.5" customHeight="1" x14ac:dyDescent="0.25">
      <c r="A49" s="4" t="s">
        <v>8949</v>
      </c>
      <c r="B49" s="16"/>
      <c r="E49" s="12" t="s">
        <v>406</v>
      </c>
      <c r="F49" s="4">
        <v>3200</v>
      </c>
      <c r="G49" s="4">
        <v>4</v>
      </c>
      <c r="H49" s="4">
        <v>2</v>
      </c>
      <c r="I49" s="4">
        <v>16</v>
      </c>
      <c r="J49" s="72">
        <v>1.35</v>
      </c>
      <c r="L49" s="9">
        <f>AVERAGEIF('RAMs Products'!D$9:D$1364,RAMs!A49,'RAMs Products'!L$9:L$1364)</f>
        <v>37.340000000000003</v>
      </c>
      <c r="M49" s="3">
        <f>AVERAGEIF('RAMs Products'!D$9:D$1364,RAMs!A49,'RAMs Products'!M$9:M$1364)</f>
        <v>68.599999999999994</v>
      </c>
      <c r="O49" s="5"/>
      <c r="P49" s="49">
        <f t="shared" si="4"/>
        <v>1.2240200501240845</v>
      </c>
      <c r="Q49" s="1">
        <f t="shared" si="5"/>
        <v>1.1660313488940786</v>
      </c>
      <c r="R49" s="1">
        <f t="shared" si="6"/>
        <v>1.1399479356215672</v>
      </c>
      <c r="S49" s="10">
        <f t="shared" si="7"/>
        <v>1.1950256995090816</v>
      </c>
      <c r="T49" s="45" cm="1">
        <f t="array" ref="T49">SUMPRODUCT(P49:S49 * P$3:S$3) / SUM(P$3:S$3)</f>
        <v>1.1820915280471558</v>
      </c>
    </row>
    <row r="50" spans="1:20" ht="16.5" customHeight="1" x14ac:dyDescent="0.25">
      <c r="A50" s="4" t="s">
        <v>8950</v>
      </c>
      <c r="B50" s="16"/>
      <c r="E50" s="12" t="s">
        <v>406</v>
      </c>
      <c r="F50" s="4">
        <v>3200</v>
      </c>
      <c r="G50" s="4">
        <v>4</v>
      </c>
      <c r="H50" s="4">
        <v>4</v>
      </c>
      <c r="I50" s="4">
        <v>16</v>
      </c>
      <c r="J50" s="72">
        <v>1.35</v>
      </c>
      <c r="L50" s="9">
        <f>AVERAGEIF('RAMs Products'!D$9:D$1364,RAMs!A50,'RAMs Products'!L$9:L$1364)</f>
        <v>115.77500000000001</v>
      </c>
      <c r="M50" s="3">
        <f>AVERAGEIF('RAMs Products'!D$9:D$1364,RAMs!A50,'RAMs Products'!M$9:M$1364)</f>
        <v>118.66999999999999</v>
      </c>
      <c r="O50" s="5"/>
      <c r="P50" s="49">
        <f t="shared" si="4"/>
        <v>1.2744211437672166</v>
      </c>
      <c r="Q50" s="1">
        <f t="shared" si="5"/>
        <v>1.2023603315610283</v>
      </c>
      <c r="R50" s="1">
        <f t="shared" si="6"/>
        <v>1.172126913928198</v>
      </c>
      <c r="S50" s="10">
        <f t="shared" si="7"/>
        <v>1.2383907376641226</v>
      </c>
      <c r="T50" s="45" cm="1">
        <f t="array" ref="T50">SUMPRODUCT(P50:S50 * P$3:S$3) / SUM(P$3:S$3)</f>
        <v>1.2226531638427349</v>
      </c>
    </row>
    <row r="51" spans="1:20" ht="16.5" customHeight="1" x14ac:dyDescent="0.25">
      <c r="A51" s="4" t="s">
        <v>8951</v>
      </c>
      <c r="B51" s="16"/>
      <c r="E51" s="12" t="s">
        <v>406</v>
      </c>
      <c r="F51" s="4">
        <v>3200</v>
      </c>
      <c r="G51" s="4">
        <v>8</v>
      </c>
      <c r="H51" s="4">
        <v>1</v>
      </c>
      <c r="I51" s="4">
        <v>16</v>
      </c>
      <c r="J51" s="72">
        <v>1.35</v>
      </c>
      <c r="L51" s="9">
        <f>AVERAGEIF('RAMs Products'!D$9:D$1364,RAMs!A51,'RAMs Products'!L$9:L$1364)</f>
        <v>25.850769230769231</v>
      </c>
      <c r="M51" s="3">
        <f>AVERAGEIF('RAMs Products'!D$9:D$1364,RAMs!A51,'RAMs Products'!M$9:M$1364)</f>
        <v>52.04</v>
      </c>
      <c r="O51" s="5"/>
      <c r="P51" s="49">
        <f t="shared" si="4"/>
        <v>1.3273696651992726</v>
      </c>
      <c r="Q51" s="1">
        <f t="shared" si="5"/>
        <v>1.4177354408053977</v>
      </c>
      <c r="R51" s="1">
        <f t="shared" si="6"/>
        <v>1.4297939411023748</v>
      </c>
      <c r="S51" s="10">
        <f t="shared" si="7"/>
        <v>1.3725525530023353</v>
      </c>
      <c r="T51" s="45" cm="1">
        <f t="array" ref="T51">SUMPRODUCT(P51:S51 * P$3:S$3) / SUM(P$3:S$3)</f>
        <v>1.3883101339105046</v>
      </c>
    </row>
    <row r="52" spans="1:20" ht="16.5" customHeight="1" x14ac:dyDescent="0.25">
      <c r="A52" s="4" t="s">
        <v>8952</v>
      </c>
      <c r="B52" s="16"/>
      <c r="E52" s="12" t="s">
        <v>406</v>
      </c>
      <c r="F52" s="4">
        <v>3200</v>
      </c>
      <c r="G52" s="4">
        <v>8</v>
      </c>
      <c r="H52" s="4">
        <v>2</v>
      </c>
      <c r="I52" s="4">
        <v>16</v>
      </c>
      <c r="J52" s="72">
        <v>1.35</v>
      </c>
      <c r="L52" s="9">
        <f>AVERAGEIF('RAMs Products'!D$9:D$1364,RAMs!A52,'RAMs Products'!L$9:L$1364)</f>
        <v>50.18972222222223</v>
      </c>
      <c r="M52" s="3">
        <f>AVERAGEIF('RAMs Products'!D$9:D$1364,RAMs!A52,'RAMs Products'!M$9:M$1364)</f>
        <v>89.431944444444468</v>
      </c>
      <c r="O52" s="5"/>
      <c r="P52" s="49">
        <f t="shared" si="4"/>
        <v>1.4113714879378259</v>
      </c>
      <c r="Q52" s="1">
        <f t="shared" si="5"/>
        <v>1.4782837452503141</v>
      </c>
      <c r="R52" s="1">
        <f t="shared" si="6"/>
        <v>1.4834255716134264</v>
      </c>
      <c r="S52" s="10">
        <f t="shared" si="7"/>
        <v>1.4448276165940701</v>
      </c>
      <c r="T52" s="45" cm="1">
        <f t="array" ref="T52">SUMPRODUCT(P52:S52 * P$3:S$3) / SUM(P$3:S$3)</f>
        <v>1.4559128602364702</v>
      </c>
    </row>
    <row r="53" spans="1:20" ht="16.5" customHeight="1" x14ac:dyDescent="0.25">
      <c r="A53" s="4" t="s">
        <v>8953</v>
      </c>
      <c r="B53" s="16"/>
      <c r="E53" s="12" t="s">
        <v>406</v>
      </c>
      <c r="F53" s="4">
        <v>3200</v>
      </c>
      <c r="G53" s="4">
        <v>8</v>
      </c>
      <c r="H53" s="4">
        <v>4</v>
      </c>
      <c r="I53" s="4">
        <v>16</v>
      </c>
      <c r="J53" s="72">
        <v>1.35</v>
      </c>
      <c r="L53" s="9">
        <f>AVERAGEIF('RAMs Products'!D$9:D$1364,RAMs!A53,'RAMs Products'!L$9:L$1364)</f>
        <v>145.78136363636369</v>
      </c>
      <c r="M53" s="3">
        <f>AVERAGEIF('RAMs Products'!D$9:D$1364,RAMs!A53,'RAMs Products'!M$9:M$1364)</f>
        <v>191.75909090909093</v>
      </c>
      <c r="O53" s="5"/>
      <c r="P53" s="49">
        <f t="shared" si="4"/>
        <v>1.4617725815809579</v>
      </c>
      <c r="Q53" s="1">
        <f t="shared" si="5"/>
        <v>1.5146127279172639</v>
      </c>
      <c r="R53" s="1">
        <f t="shared" si="6"/>
        <v>1.5156045499200572</v>
      </c>
      <c r="S53" s="10">
        <f t="shared" si="7"/>
        <v>1.4881926547491109</v>
      </c>
      <c r="T53" s="45" cm="1">
        <f t="array" ref="T53">SUMPRODUCT(P53:S53 * P$3:S$3) / SUM(P$3:S$3)</f>
        <v>1.4964744960320493</v>
      </c>
    </row>
    <row r="54" spans="1:20" ht="16.5" customHeight="1" x14ac:dyDescent="0.25">
      <c r="A54" s="4" t="s">
        <v>8954</v>
      </c>
      <c r="B54" s="16"/>
      <c r="E54" s="12" t="s">
        <v>406</v>
      </c>
      <c r="F54" s="4">
        <v>3200</v>
      </c>
      <c r="G54" s="4">
        <v>16</v>
      </c>
      <c r="H54" s="4">
        <v>1</v>
      </c>
      <c r="I54" s="4">
        <v>16</v>
      </c>
      <c r="J54" s="72">
        <v>1.35</v>
      </c>
      <c r="L54" s="9">
        <f>AVERAGEIF('RAMs Products'!D$9:D$1364,RAMs!A54,'RAMs Products'!L$9:L$1364)</f>
        <v>55.069999999999986</v>
      </c>
      <c r="M54" s="3">
        <f>AVERAGEIF('RAMs Products'!D$9:D$1364,RAMs!A54,'RAMs Products'!M$9:M$1364)</f>
        <v>90.085000000000022</v>
      </c>
      <c r="O54" s="5"/>
      <c r="P54" s="49">
        <f t="shared" si="4"/>
        <v>1.6317229738492678</v>
      </c>
      <c r="Q54" s="1">
        <f t="shared" si="5"/>
        <v>1.9249909552220563</v>
      </c>
      <c r="R54" s="1">
        <f t="shared" si="6"/>
        <v>1.9877750069606992</v>
      </c>
      <c r="S54" s="10">
        <f t="shared" si="7"/>
        <v>1.7783569645356623</v>
      </c>
      <c r="T54" s="45" cm="1">
        <f t="array" ref="T54">SUMPRODUCT(P54:S54 * P$3:S$3) / SUM(P$3:S$3)</f>
        <v>1.8331342003989592</v>
      </c>
    </row>
    <row r="55" spans="1:20" ht="16.5" customHeight="1" x14ac:dyDescent="0.25">
      <c r="A55" s="4" t="s">
        <v>8955</v>
      </c>
      <c r="B55" s="16"/>
      <c r="E55" s="12" t="s">
        <v>406</v>
      </c>
      <c r="F55" s="4">
        <v>3200</v>
      </c>
      <c r="G55" s="4">
        <v>16</v>
      </c>
      <c r="H55" s="4">
        <v>2</v>
      </c>
      <c r="I55" s="4">
        <v>16</v>
      </c>
      <c r="J55" s="72">
        <v>1.35</v>
      </c>
      <c r="L55" s="9">
        <f>AVERAGEIF('RAMs Products'!D$9:D$1364,RAMs!A55,'RAMs Products'!L$9:L$1364)</f>
        <v>86.006060606060615</v>
      </c>
      <c r="M55" s="3">
        <f>AVERAGEIF('RAMs Products'!D$9:D$1364,RAMs!A55,'RAMs Products'!M$9:M$1364)</f>
        <v>133.77696969696967</v>
      </c>
      <c r="O55" s="5"/>
      <c r="P55" s="49">
        <f t="shared" si="4"/>
        <v>1.7157247965878211</v>
      </c>
      <c r="Q55" s="1">
        <f t="shared" si="5"/>
        <v>1.9855392596669728</v>
      </c>
      <c r="R55" s="1">
        <f t="shared" si="6"/>
        <v>2.0414066374717508</v>
      </c>
      <c r="S55" s="10">
        <f t="shared" si="7"/>
        <v>1.8506320281273969</v>
      </c>
      <c r="T55" s="45" cm="1">
        <f t="array" ref="T55">SUMPRODUCT(P55:S55 * P$3:S$3) / SUM(P$3:S$3)</f>
        <v>1.9007369267249246</v>
      </c>
    </row>
    <row r="56" spans="1:20" ht="16.5" customHeight="1" x14ac:dyDescent="0.25">
      <c r="A56" s="4" t="s">
        <v>8956</v>
      </c>
      <c r="B56" s="16"/>
      <c r="E56" s="12" t="s">
        <v>406</v>
      </c>
      <c r="F56" s="4">
        <v>3200</v>
      </c>
      <c r="G56" s="4">
        <v>16</v>
      </c>
      <c r="H56" s="4">
        <v>4</v>
      </c>
      <c r="I56" s="4">
        <v>16</v>
      </c>
      <c r="J56" s="72">
        <v>1.35</v>
      </c>
      <c r="L56" s="9">
        <f>AVERAGEIF('RAMs Products'!D$9:D$1364,RAMs!A56,'RAMs Products'!L$9:L$1364)</f>
        <v>159.66388888888889</v>
      </c>
      <c r="M56" s="3">
        <f>AVERAGEIF('RAMs Products'!D$9:D$1364,RAMs!A56,'RAMs Products'!M$9:M$1364)</f>
        <v>262.37166666666667</v>
      </c>
      <c r="O56" s="5"/>
      <c r="P56" s="49">
        <f t="shared" si="4"/>
        <v>1.7661258902309531</v>
      </c>
      <c r="Q56" s="1">
        <f t="shared" si="5"/>
        <v>2.0218682423339223</v>
      </c>
      <c r="R56" s="1">
        <f t="shared" si="6"/>
        <v>2.0735856157783816</v>
      </c>
      <c r="S56" s="10">
        <f t="shared" si="7"/>
        <v>1.8939970662824379</v>
      </c>
      <c r="T56" s="45" cm="1">
        <f t="array" ref="T56">SUMPRODUCT(P56:S56 * P$3:S$3) / SUM(P$3:S$3)</f>
        <v>1.9412985625205037</v>
      </c>
    </row>
    <row r="57" spans="1:20" ht="16.5" customHeight="1" x14ac:dyDescent="0.25">
      <c r="A57" s="4" t="s">
        <v>9070</v>
      </c>
      <c r="B57" s="16"/>
      <c r="E57" s="12" t="s">
        <v>406</v>
      </c>
      <c r="F57" s="4">
        <v>3200</v>
      </c>
      <c r="G57" s="4">
        <v>16</v>
      </c>
      <c r="H57" s="4">
        <v>8</v>
      </c>
      <c r="I57" s="4">
        <v>16</v>
      </c>
      <c r="J57" s="72">
        <v>1.35</v>
      </c>
      <c r="L57" s="9">
        <f>AVERAGEIF('RAMs Products'!D$9:D$1364,RAMs!A57,'RAMs Products'!L$9:L$1364)</f>
        <v>392.99</v>
      </c>
      <c r="M57" s="3">
        <f>AVERAGEIF('RAMs Products'!D$9:D$1364,RAMs!A57,'RAMs Products'!M$9:M$1364)</f>
        <v>545.05999999999995</v>
      </c>
      <c r="O57" s="5"/>
      <c r="P57" s="49">
        <f t="shared" si="4"/>
        <v>1.8669280775172168</v>
      </c>
      <c r="Q57" s="1">
        <f t="shared" si="5"/>
        <v>2.0945262076678217</v>
      </c>
      <c r="R57" s="1">
        <f t="shared" si="6"/>
        <v>2.1379435723916433</v>
      </c>
      <c r="S57" s="10">
        <f t="shared" si="7"/>
        <v>1.9807271425925195</v>
      </c>
      <c r="T57" s="45" cm="1">
        <f t="array" ref="T57">SUMPRODUCT(P57:S57 * P$3:S$3) / SUM(P$3:S$3)</f>
        <v>2.022421834111662</v>
      </c>
    </row>
    <row r="58" spans="1:20" ht="16.5" customHeight="1" x14ac:dyDescent="0.25">
      <c r="A58" s="4" t="s">
        <v>8957</v>
      </c>
      <c r="B58" s="16"/>
      <c r="E58" s="12" t="s">
        <v>406</v>
      </c>
      <c r="F58" s="4">
        <v>3200</v>
      </c>
      <c r="G58" s="4">
        <v>32</v>
      </c>
      <c r="H58" s="4">
        <v>1</v>
      </c>
      <c r="I58" s="4">
        <v>16</v>
      </c>
      <c r="J58" s="72">
        <v>1.35</v>
      </c>
      <c r="L58" s="9">
        <f>AVERAGEIF('RAMs Products'!D$9:D$1364,RAMs!A58,'RAMs Products'!L$9:L$1364)</f>
        <v>82.868571428571428</v>
      </c>
      <c r="M58" s="3">
        <f>AVERAGEIF('RAMs Products'!D$9:D$1364,RAMs!A58,'RAMs Products'!M$9:M$1364)</f>
        <v>124.23571428571428</v>
      </c>
      <c r="O58" s="5"/>
      <c r="P58" s="49">
        <f t="shared" si="4"/>
        <v>2.1261463824290829</v>
      </c>
      <c r="Q58" s="1">
        <f t="shared" si="5"/>
        <v>2.7490299695217479</v>
      </c>
      <c r="R58" s="1">
        <f t="shared" si="6"/>
        <v>2.8942179226903599</v>
      </c>
      <c r="S58" s="10">
        <f t="shared" si="7"/>
        <v>2.4375881759754154</v>
      </c>
      <c r="T58" s="45" cm="1">
        <f t="array" ref="T58">SUMPRODUCT(P58:S58 * P$3:S$3) / SUM(P$3:S$3)</f>
        <v>2.5557530283233043</v>
      </c>
    </row>
    <row r="59" spans="1:20" ht="16.5" customHeight="1" x14ac:dyDescent="0.25">
      <c r="A59" s="4" t="s">
        <v>8958</v>
      </c>
      <c r="B59" s="16"/>
      <c r="E59" s="12" t="s">
        <v>406</v>
      </c>
      <c r="F59" s="4">
        <v>3200</v>
      </c>
      <c r="G59" s="4">
        <v>32</v>
      </c>
      <c r="H59" s="4">
        <v>2</v>
      </c>
      <c r="I59" s="4">
        <v>16</v>
      </c>
      <c r="J59" s="72">
        <v>1.35</v>
      </c>
      <c r="L59" s="9">
        <f>AVERAGEIF('RAMs Products'!D$9:D$1364,RAMs!A59,'RAMs Products'!L$9:L$1364)</f>
        <v>146.88466666666667</v>
      </c>
      <c r="M59" s="3">
        <f>AVERAGEIF('RAMs Products'!D$9:D$1364,RAMs!A59,'RAMs Products'!M$9:M$1364)</f>
        <v>196.3306666666667</v>
      </c>
      <c r="O59" s="5"/>
      <c r="P59" s="49">
        <f t="shared" si="4"/>
        <v>2.210148205167636</v>
      </c>
      <c r="Q59" s="1">
        <f t="shared" si="5"/>
        <v>2.8095782739666646</v>
      </c>
      <c r="R59" s="1">
        <f t="shared" si="6"/>
        <v>2.9478495532014115</v>
      </c>
      <c r="S59" s="10">
        <f t="shared" si="7"/>
        <v>2.5098632395671503</v>
      </c>
      <c r="T59" s="45" cm="1">
        <f t="array" ref="T59">SUMPRODUCT(P59:S59 * P$3:S$3) / SUM(P$3:S$3)</f>
        <v>2.6233557546492698</v>
      </c>
    </row>
    <row r="60" spans="1:20" ht="16.5" customHeight="1" x14ac:dyDescent="0.25">
      <c r="A60" s="4" t="s">
        <v>8959</v>
      </c>
      <c r="B60" s="16"/>
      <c r="E60" s="12" t="s">
        <v>406</v>
      </c>
      <c r="F60" s="4">
        <v>3200</v>
      </c>
      <c r="G60" s="4">
        <v>32</v>
      </c>
      <c r="H60" s="4">
        <v>4</v>
      </c>
      <c r="I60" s="4">
        <v>16</v>
      </c>
      <c r="J60" s="72">
        <v>1.35</v>
      </c>
      <c r="L60" s="9">
        <f>AVERAGEIF('RAMs Products'!D$9:D$1364,RAMs!A60,'RAMs Products'!L$9:L$1364)</f>
        <v>288.13125000000002</v>
      </c>
      <c r="M60" s="3">
        <f>AVERAGEIF('RAMs Products'!D$9:D$1364,RAMs!A60,'RAMs Products'!M$9:M$1364)</f>
        <v>366.17374999999998</v>
      </c>
      <c r="O60" s="5"/>
      <c r="P60" s="49">
        <f t="shared" si="4"/>
        <v>2.2605492988107683</v>
      </c>
      <c r="Q60" s="1">
        <f t="shared" si="5"/>
        <v>2.8459072566336143</v>
      </c>
      <c r="R60" s="1">
        <f t="shared" si="6"/>
        <v>2.9800285315080428</v>
      </c>
      <c r="S60" s="10">
        <f t="shared" si="7"/>
        <v>2.5532282777221909</v>
      </c>
      <c r="T60" s="45" cm="1">
        <f t="array" ref="T60">SUMPRODUCT(P60:S60 * P$3:S$3) / SUM(P$3:S$3)</f>
        <v>2.663917390444849</v>
      </c>
    </row>
    <row r="61" spans="1:20" ht="16.5" customHeight="1" x14ac:dyDescent="0.25">
      <c r="A61" s="4" t="s">
        <v>9071</v>
      </c>
      <c r="B61" s="16"/>
      <c r="E61" s="12" t="s">
        <v>406</v>
      </c>
      <c r="F61" s="4">
        <v>3200</v>
      </c>
      <c r="G61" s="4">
        <v>32</v>
      </c>
      <c r="H61" s="4">
        <v>8</v>
      </c>
      <c r="I61" s="4">
        <v>16</v>
      </c>
      <c r="J61" s="72">
        <v>1.35</v>
      </c>
      <c r="L61" s="9">
        <f>AVERAGEIF('RAMs Products'!D$9:D$1364,RAMs!A61,'RAMs Products'!L$9:L$1364)</f>
        <v>735.75285714285712</v>
      </c>
      <c r="M61" s="3">
        <f>AVERAGEIF('RAMs Products'!D$9:D$1364,RAMs!A61,'RAMs Products'!M$9:M$1364)</f>
        <v>951.82857142857131</v>
      </c>
      <c r="O61" s="5"/>
      <c r="P61" s="49">
        <f t="shared" si="4"/>
        <v>2.3613514860970319</v>
      </c>
      <c r="Q61" s="1">
        <f t="shared" si="5"/>
        <v>2.9185652219675133</v>
      </c>
      <c r="R61" s="1">
        <f t="shared" si="6"/>
        <v>3.0443864881213045</v>
      </c>
      <c r="S61" s="10">
        <f t="shared" si="7"/>
        <v>2.6399583540322724</v>
      </c>
      <c r="T61" s="45" cm="1">
        <f t="array" ref="T61">SUMPRODUCT(P61:S61 * P$3:S$3) / SUM(P$3:S$3)</f>
        <v>2.7450406620360068</v>
      </c>
    </row>
    <row r="62" spans="1:20" ht="16.5" customHeight="1" x14ac:dyDescent="0.25">
      <c r="A62" s="4" t="s">
        <v>8960</v>
      </c>
      <c r="B62" s="16"/>
      <c r="E62" s="12" t="s">
        <v>406</v>
      </c>
      <c r="F62" s="4">
        <v>3466</v>
      </c>
      <c r="G62" s="4">
        <v>16</v>
      </c>
      <c r="H62" s="4">
        <v>2</v>
      </c>
      <c r="I62" s="4">
        <v>16</v>
      </c>
      <c r="J62" s="72">
        <v>1.35</v>
      </c>
      <c r="L62" s="9">
        <f>AVERAGEIF('RAMs Products'!D$9:D$1364,RAMs!A62,'RAMs Products'!L$9:L$1364)</f>
        <v>108.74</v>
      </c>
      <c r="M62" s="3">
        <f>AVERAGEIF('RAMs Products'!D$9:D$1364,RAMs!A62,'RAMs Products'!M$9:M$1364)</f>
        <v>159.13</v>
      </c>
      <c r="O62" s="5"/>
      <c r="P62" s="49">
        <f t="shared" si="4"/>
        <v>1.7558754141150421</v>
      </c>
      <c r="Q62" s="1">
        <f t="shared" si="5"/>
        <v>2.0156522228123883</v>
      </c>
      <c r="R62" s="1">
        <f t="shared" si="6"/>
        <v>2.0665007734262639</v>
      </c>
      <c r="S62" s="10">
        <f t="shared" si="7"/>
        <v>1.8857638184637153</v>
      </c>
      <c r="T62" s="45" cm="1">
        <f t="array" ref="T62">SUMPRODUCT(P62:S62 * P$3:S$3) / SUM(P$3:S$3)</f>
        <v>1.9335523352808262</v>
      </c>
    </row>
    <row r="63" spans="1:20" ht="16.5" customHeight="1" x14ac:dyDescent="0.25">
      <c r="A63" s="4" t="s">
        <v>8961</v>
      </c>
      <c r="B63" s="16"/>
      <c r="E63" s="12" t="s">
        <v>406</v>
      </c>
      <c r="F63" s="4">
        <v>3600</v>
      </c>
      <c r="G63" s="4">
        <v>8</v>
      </c>
      <c r="H63" s="4">
        <v>1</v>
      </c>
      <c r="I63" s="4">
        <v>18</v>
      </c>
      <c r="J63" s="72">
        <v>1.35</v>
      </c>
      <c r="L63" s="9">
        <f>AVERAGEIF('RAMs Products'!D$9:D$1364,RAMs!A63,'RAMs Products'!L$9:L$1364)</f>
        <v>25.091249999999999</v>
      </c>
      <c r="M63" s="3">
        <f>AVERAGEIF('RAMs Products'!D$9:D$1364,RAMs!A63,'RAMs Products'!M$9:M$1364)</f>
        <v>47.633749999999999</v>
      </c>
      <c r="O63" s="5"/>
      <c r="P63" s="49">
        <f t="shared" si="4"/>
        <v>1.3689159876516825</v>
      </c>
      <c r="Q63" s="1">
        <f t="shared" si="5"/>
        <v>1.4521771282353859</v>
      </c>
      <c r="R63" s="1">
        <f t="shared" si="6"/>
        <v>1.4574013654304712</v>
      </c>
      <c r="S63" s="10">
        <f t="shared" si="7"/>
        <v>1.4105465579435341</v>
      </c>
      <c r="T63" s="45" cm="1">
        <f t="array" ref="T63">SUMPRODUCT(P63:S63 * P$3:S$3) / SUM(P$3:S$3)</f>
        <v>1.4241596929864249</v>
      </c>
    </row>
    <row r="64" spans="1:20" ht="16.5" customHeight="1" x14ac:dyDescent="0.25">
      <c r="A64" s="4" t="s">
        <v>8962</v>
      </c>
      <c r="B64" s="16"/>
      <c r="E64" s="12" t="s">
        <v>406</v>
      </c>
      <c r="F64" s="4">
        <v>3600</v>
      </c>
      <c r="G64" s="4">
        <v>8</v>
      </c>
      <c r="H64" s="4">
        <v>2</v>
      </c>
      <c r="I64" s="4">
        <v>18</v>
      </c>
      <c r="J64" s="72">
        <v>1.35</v>
      </c>
      <c r="L64" s="9">
        <f>AVERAGEIF('RAMs Products'!D$9:D$1364,RAMs!A64,'RAMs Products'!L$9:L$1364)</f>
        <v>53.157575757575756</v>
      </c>
      <c r="M64" s="3">
        <f>AVERAGEIF('RAMs Products'!D$9:D$1364,RAMs!A64,'RAMs Products'!M$9:M$1364)</f>
        <v>96.602121212121205</v>
      </c>
      <c r="O64" s="5"/>
      <c r="P64" s="49">
        <f t="shared" si="4"/>
        <v>1.4570724426354766</v>
      </c>
      <c r="Q64" s="1">
        <f t="shared" si="5"/>
        <v>1.516169601423301</v>
      </c>
      <c r="R64" s="1">
        <f t="shared" si="6"/>
        <v>1.5137937383743325</v>
      </c>
      <c r="S64" s="10">
        <f t="shared" si="7"/>
        <v>1.4866210220293889</v>
      </c>
      <c r="T64" s="45" cm="1">
        <f t="array" ref="T64">SUMPRODUCT(P64:S64 * P$3:S$3) / SUM(P$3:S$3)</f>
        <v>1.4953473752199822</v>
      </c>
    </row>
    <row r="65" spans="1:20" ht="16.5" customHeight="1" x14ac:dyDescent="0.25">
      <c r="A65" s="4" t="s">
        <v>8963</v>
      </c>
      <c r="B65" s="16"/>
      <c r="E65" s="12" t="s">
        <v>406</v>
      </c>
      <c r="F65" s="4">
        <v>3600</v>
      </c>
      <c r="G65" s="4">
        <v>8</v>
      </c>
      <c r="H65" s="4">
        <v>4</v>
      </c>
      <c r="I65" s="4">
        <v>18</v>
      </c>
      <c r="J65" s="72">
        <v>1.35</v>
      </c>
      <c r="L65" s="9">
        <f>AVERAGEIF('RAMs Products'!D$9:D$1364,RAMs!A65,'RAMs Products'!L$9:L$1364)</f>
        <v>114.2157142857143</v>
      </c>
      <c r="M65" s="3">
        <f>AVERAGEIF('RAMs Products'!D$9:D$1364,RAMs!A65,'RAMs Products'!M$9:M$1364)</f>
        <v>167.87428571428572</v>
      </c>
      <c r="O65" s="5"/>
      <c r="P65" s="49">
        <f t="shared" si="4"/>
        <v>1.509966315625753</v>
      </c>
      <c r="Q65" s="1">
        <f t="shared" si="5"/>
        <v>1.55456508533605</v>
      </c>
      <c r="R65" s="1">
        <f t="shared" si="6"/>
        <v>1.5476291621406493</v>
      </c>
      <c r="S65" s="10">
        <f t="shared" si="7"/>
        <v>1.5322657004809015</v>
      </c>
      <c r="T65" s="45" cm="1">
        <f t="array" ref="T65">SUMPRODUCT(P65:S65 * P$3:S$3) / SUM(P$3:S$3)</f>
        <v>1.5380599845601162</v>
      </c>
    </row>
    <row r="66" spans="1:20" ht="16.5" customHeight="1" x14ac:dyDescent="0.25">
      <c r="A66" s="4" t="s">
        <v>8964</v>
      </c>
      <c r="B66" s="16"/>
      <c r="E66" s="12" t="s">
        <v>406</v>
      </c>
      <c r="F66" s="4">
        <v>3600</v>
      </c>
      <c r="G66" s="4">
        <v>16</v>
      </c>
      <c r="H66" s="4">
        <v>1</v>
      </c>
      <c r="I66" s="4">
        <v>18</v>
      </c>
      <c r="J66" s="72">
        <v>1.35</v>
      </c>
      <c r="L66" s="9">
        <f>AVERAGEIF('RAMs Products'!D$9:D$1364,RAMs!A66,'RAMs Products'!L$9:L$1364)</f>
        <v>48.740000000000009</v>
      </c>
      <c r="M66" s="3">
        <f>AVERAGEIF('RAMs Products'!D$9:D$1364,RAMs!A66,'RAMs Products'!M$9:M$1364)</f>
        <v>131.62200000000001</v>
      </c>
      <c r="O66" s="5"/>
      <c r="P66" s="49">
        <f t="shared" si="4"/>
        <v>1.6732692963016778</v>
      </c>
      <c r="Q66" s="1">
        <f t="shared" si="5"/>
        <v>1.9594326426520445</v>
      </c>
      <c r="R66" s="1">
        <f t="shared" si="6"/>
        <v>2.0153824312887956</v>
      </c>
      <c r="S66" s="10">
        <f t="shared" si="7"/>
        <v>1.8163509694768614</v>
      </c>
      <c r="T66" s="45" cm="1">
        <f t="array" ref="T66">SUMPRODUCT(P66:S66 * P$3:S$3) / SUM(P$3:S$3)</f>
        <v>1.8689837594748793</v>
      </c>
    </row>
    <row r="67" spans="1:20" ht="16.5" customHeight="1" x14ac:dyDescent="0.25">
      <c r="A67" s="4" t="s">
        <v>8965</v>
      </c>
      <c r="B67" s="16"/>
      <c r="E67" s="12" t="s">
        <v>406</v>
      </c>
      <c r="F67" s="4">
        <v>3600</v>
      </c>
      <c r="G67" s="4">
        <v>16</v>
      </c>
      <c r="H67" s="4">
        <v>2</v>
      </c>
      <c r="I67" s="4">
        <v>18</v>
      </c>
      <c r="J67" s="72">
        <v>1.35</v>
      </c>
      <c r="L67" s="9">
        <f>AVERAGEIF('RAMs Products'!D$9:D$1364,RAMs!A67,'RAMs Products'!L$9:L$1364)</f>
        <v>81.032258064516128</v>
      </c>
      <c r="M67" s="3">
        <f>AVERAGEIF('RAMs Products'!D$9:D$1364,RAMs!A67,'RAMs Products'!M$9:M$1364)</f>
        <v>139.54064516129034</v>
      </c>
      <c r="O67" s="5"/>
      <c r="P67" s="49">
        <f t="shared" si="4"/>
        <v>1.7614257512854719</v>
      </c>
      <c r="Q67" s="1">
        <f t="shared" si="5"/>
        <v>2.0234251158399599</v>
      </c>
      <c r="R67" s="1">
        <f t="shared" si="6"/>
        <v>2.0717748042326569</v>
      </c>
      <c r="S67" s="10">
        <f t="shared" si="7"/>
        <v>1.8924254335627158</v>
      </c>
      <c r="T67" s="45" cm="1">
        <f t="array" ref="T67">SUMPRODUCT(P67:S67 * P$3:S$3) / SUM(P$3:S$3)</f>
        <v>1.9401714417084364</v>
      </c>
    </row>
    <row r="68" spans="1:20" ht="16.5" customHeight="1" x14ac:dyDescent="0.25">
      <c r="A68" s="4" t="s">
        <v>8966</v>
      </c>
      <c r="B68" s="16"/>
      <c r="E68" s="12" t="s">
        <v>406</v>
      </c>
      <c r="F68" s="4">
        <v>3600</v>
      </c>
      <c r="G68" s="4">
        <v>16</v>
      </c>
      <c r="H68" s="4">
        <v>4</v>
      </c>
      <c r="I68" s="4">
        <v>18</v>
      </c>
      <c r="J68" s="72">
        <v>1.35</v>
      </c>
      <c r="L68" s="9">
        <f>AVERAGEIF('RAMs Products'!D$9:D$1364,RAMs!A68,'RAMs Products'!L$9:L$1364)</f>
        <v>172.48888888888894</v>
      </c>
      <c r="M68" s="3">
        <f>AVERAGEIF('RAMs Products'!D$9:D$1364,RAMs!A68,'RAMs Products'!M$9:M$1364)</f>
        <v>272.9111111111111</v>
      </c>
      <c r="O68" s="5"/>
      <c r="P68" s="49">
        <f t="shared" si="4"/>
        <v>1.8143196242757482</v>
      </c>
      <c r="Q68" s="1">
        <f t="shared" si="5"/>
        <v>2.0618205997527088</v>
      </c>
      <c r="R68" s="1">
        <f t="shared" si="6"/>
        <v>2.1056102279989739</v>
      </c>
      <c r="S68" s="10">
        <f t="shared" si="7"/>
        <v>1.9380701120142287</v>
      </c>
      <c r="T68" s="45" cm="1">
        <f t="array" ref="T68">SUMPRODUCT(P68:S68 * P$3:S$3) / SUM(P$3:S$3)</f>
        <v>1.9828840510485708</v>
      </c>
    </row>
    <row r="69" spans="1:20" ht="16.5" customHeight="1" x14ac:dyDescent="0.25">
      <c r="A69" s="4" t="s">
        <v>9072</v>
      </c>
      <c r="B69" s="16"/>
      <c r="E69" s="12" t="s">
        <v>406</v>
      </c>
      <c r="F69" s="4">
        <v>3600</v>
      </c>
      <c r="G69" s="4">
        <v>16</v>
      </c>
      <c r="H69" s="4">
        <v>8</v>
      </c>
      <c r="I69" s="4">
        <v>14</v>
      </c>
      <c r="J69" s="72">
        <v>1.45</v>
      </c>
      <c r="L69" s="9">
        <f>AVERAGEIF('RAMs Products'!D$9:D$1364,RAMs!A69,'RAMs Products'!L$9:L$1364)</f>
        <v>1014.61</v>
      </c>
      <c r="M69" s="3">
        <f>AVERAGEIF('RAMs Products'!D$9:D$1364,RAMs!A69,'RAMs Products'!M$9:M$1364)</f>
        <v>1348.19</v>
      </c>
      <c r="O69" s="5"/>
      <c r="P69" s="49">
        <f t="shared" si="4"/>
        <v>1.9532185757447067</v>
      </c>
      <c r="Q69" s="1">
        <f t="shared" si="5"/>
        <v>2.1530493214080169</v>
      </c>
      <c r="R69" s="1">
        <f t="shared" si="6"/>
        <v>2.1877188293614176</v>
      </c>
      <c r="S69" s="10">
        <f t="shared" si="7"/>
        <v>2.0531339485763618</v>
      </c>
      <c r="T69" s="45" cm="1">
        <f t="array" ref="T69">SUMPRODUCT(P69:S69 * P$3:S$3) / SUM(P$3:S$3)</f>
        <v>2.0892109106712402</v>
      </c>
    </row>
    <row r="70" spans="1:20" ht="16.5" customHeight="1" x14ac:dyDescent="0.25">
      <c r="A70" s="4" t="s">
        <v>8967</v>
      </c>
      <c r="B70" s="16"/>
      <c r="E70" s="12" t="s">
        <v>406</v>
      </c>
      <c r="F70" s="4">
        <v>3600</v>
      </c>
      <c r="G70" s="4">
        <v>32</v>
      </c>
      <c r="H70" s="4">
        <v>1</v>
      </c>
      <c r="I70" s="4">
        <v>18</v>
      </c>
      <c r="J70" s="72">
        <v>1.35</v>
      </c>
      <c r="L70" s="9">
        <f>AVERAGEIF('RAMs Products'!D$9:D$1364,RAMs!A70,'RAMs Products'!L$9:L$1364)</f>
        <v>70.897500000000008</v>
      </c>
      <c r="M70" s="3">
        <f>AVERAGEIF('RAMs Products'!D$9:D$1364,RAMs!A70,'RAMs Products'!M$9:M$1364)</f>
        <v>110.55000000000001</v>
      </c>
      <c r="O70" s="5"/>
      <c r="P70" s="49">
        <f t="shared" si="4"/>
        <v>2.1676927048814925</v>
      </c>
      <c r="Q70" s="1">
        <f t="shared" si="5"/>
        <v>2.7834716569517362</v>
      </c>
      <c r="R70" s="1">
        <f t="shared" si="6"/>
        <v>2.9218253470184568</v>
      </c>
      <c r="S70" s="10">
        <f t="shared" si="7"/>
        <v>2.4755821809166143</v>
      </c>
      <c r="T70" s="45" cm="1">
        <f t="array" ref="T70">SUMPRODUCT(P70:S70 * P$3:S$3) / SUM(P$3:S$3)</f>
        <v>2.5916025873992243</v>
      </c>
    </row>
    <row r="71" spans="1:20" ht="16.5" customHeight="1" x14ac:dyDescent="0.25">
      <c r="A71" s="4" t="s">
        <v>8968</v>
      </c>
      <c r="B71" s="16"/>
      <c r="E71" s="12" t="s">
        <v>406</v>
      </c>
      <c r="F71" s="4">
        <v>3600</v>
      </c>
      <c r="G71" s="4">
        <v>32</v>
      </c>
      <c r="H71" s="4">
        <v>2</v>
      </c>
      <c r="I71" s="4">
        <v>18</v>
      </c>
      <c r="J71" s="72">
        <v>1.35</v>
      </c>
      <c r="L71" s="9">
        <f>AVERAGEIF('RAMs Products'!D$9:D$1364,RAMs!A71,'RAMs Products'!L$9:L$1364)</f>
        <v>138.7466666666667</v>
      </c>
      <c r="M71" s="3">
        <f>AVERAGEIF('RAMs Products'!D$9:D$1364,RAMs!A71,'RAMs Products'!M$9:M$1364)</f>
        <v>221.59166666666667</v>
      </c>
      <c r="O71" s="5"/>
      <c r="P71" s="49">
        <f t="shared" si="4"/>
        <v>2.2558491598652868</v>
      </c>
      <c r="Q71" s="1">
        <f t="shared" si="5"/>
        <v>2.8474641301396515</v>
      </c>
      <c r="R71" s="1">
        <f t="shared" si="6"/>
        <v>2.9782177199623181</v>
      </c>
      <c r="S71" s="10">
        <f t="shared" si="7"/>
        <v>2.5516566450024691</v>
      </c>
      <c r="T71" s="45" cm="1">
        <f t="array" ref="T71">SUMPRODUCT(P71:S71 * P$3:S$3) / SUM(P$3:S$3)</f>
        <v>2.6627902696327816</v>
      </c>
    </row>
    <row r="72" spans="1:20" ht="16.5" customHeight="1" x14ac:dyDescent="0.25">
      <c r="A72" s="4" t="s">
        <v>8969</v>
      </c>
      <c r="B72" s="16"/>
      <c r="E72" s="12" t="s">
        <v>406</v>
      </c>
      <c r="F72" s="4">
        <v>3600</v>
      </c>
      <c r="G72" s="4">
        <v>32</v>
      </c>
      <c r="H72" s="4">
        <v>4</v>
      </c>
      <c r="I72" s="4">
        <v>18</v>
      </c>
      <c r="J72" s="72">
        <v>1.35</v>
      </c>
      <c r="L72" s="9">
        <f>AVERAGEIF('RAMs Products'!D$9:D$1364,RAMs!A72,'RAMs Products'!L$9:L$1364)</f>
        <v>298.05666666666662</v>
      </c>
      <c r="M72" s="3">
        <f>AVERAGEIF('RAMs Products'!D$9:D$1364,RAMs!A72,'RAMs Products'!M$9:M$1364)</f>
        <v>486.56222222222215</v>
      </c>
      <c r="O72" s="5"/>
      <c r="P72" s="49">
        <f t="shared" si="4"/>
        <v>2.3087430328555634</v>
      </c>
      <c r="Q72" s="1">
        <f t="shared" si="5"/>
        <v>2.8858596140524004</v>
      </c>
      <c r="R72" s="1">
        <f t="shared" si="6"/>
        <v>3.0120531437286346</v>
      </c>
      <c r="S72" s="10">
        <f t="shared" si="7"/>
        <v>2.5973013234539817</v>
      </c>
      <c r="T72" s="45" cm="1">
        <f t="array" ref="T72">SUMPRODUCT(P72:S72 * P$3:S$3) / SUM(P$3:S$3)</f>
        <v>2.7055028789729159</v>
      </c>
    </row>
    <row r="73" spans="1:20" ht="16.5" customHeight="1" x14ac:dyDescent="0.25">
      <c r="A73" s="4" t="s">
        <v>9073</v>
      </c>
      <c r="B73" s="16"/>
      <c r="E73" s="12" t="s">
        <v>406</v>
      </c>
      <c r="F73" s="4">
        <v>3600</v>
      </c>
      <c r="G73" s="4">
        <v>32</v>
      </c>
      <c r="H73" s="4">
        <v>8</v>
      </c>
      <c r="I73" s="4">
        <v>18</v>
      </c>
      <c r="J73" s="72">
        <v>1.35</v>
      </c>
      <c r="L73" s="9">
        <f>AVERAGEIF('RAMs Products'!D$9:D$1364,RAMs!A73,'RAMs Products'!L$9:L$1364)</f>
        <v>772.92666666666673</v>
      </c>
      <c r="M73" s="3">
        <f>AVERAGEIF('RAMs Products'!D$9:D$1364,RAMs!A73,'RAMs Products'!M$9:M$1364)</f>
        <v>1351.4566666666667</v>
      </c>
      <c r="O73" s="5"/>
      <c r="P73" s="49">
        <f t="shared" si="4"/>
        <v>2.4145307788361166</v>
      </c>
      <c r="Q73" s="1">
        <f t="shared" si="5"/>
        <v>2.9626505818778983</v>
      </c>
      <c r="R73" s="1">
        <f t="shared" si="6"/>
        <v>3.0797239912612682</v>
      </c>
      <c r="S73" s="10">
        <f t="shared" si="7"/>
        <v>2.6885906803570072</v>
      </c>
      <c r="T73" s="45" cm="1">
        <f t="array" ref="T73">SUMPRODUCT(P73:S73 * P$3:S$3) / SUM(P$3:S$3)</f>
        <v>2.7909280976531843</v>
      </c>
    </row>
    <row r="74" spans="1:20" ht="16.5" customHeight="1" x14ac:dyDescent="0.25">
      <c r="A74" s="4" t="s">
        <v>8970</v>
      </c>
      <c r="B74" s="16"/>
      <c r="E74" s="12" t="s">
        <v>406</v>
      </c>
      <c r="F74" s="4">
        <v>3733</v>
      </c>
      <c r="G74" s="4">
        <v>8</v>
      </c>
      <c r="H74" s="4">
        <v>1</v>
      </c>
      <c r="I74" s="4">
        <v>19</v>
      </c>
      <c r="J74" s="72">
        <v>1.35</v>
      </c>
      <c r="L74" s="9">
        <f>AVERAGEIF('RAMs Products'!D$9:D$1364,RAMs!A74,'RAMs Products'!L$9:L$1364)</f>
        <v>39.606666666666662</v>
      </c>
      <c r="M74" s="3">
        <f>AVERAGEIF('RAMs Products'!D$9:D$1364,RAMs!A74,'RAMs Products'!M$9:M$1364)</f>
        <v>51.153333333333336</v>
      </c>
      <c r="O74" s="5"/>
      <c r="P74" s="49">
        <f t="shared" ref="P74:P105" si="8">(((F74/F$9)^F$7 * F$2 + (I74/I$9)^I$7 * I$2 + (J74/J$9)^J$7 * J$2) * (1+M$3*(MIN(H74,M$2)-1)+M$4*(H74-MIN(H74,M$2))) + (G74/G$9)^G$7 * G$2)  * P$9</f>
        <v>1.3810981346400391</v>
      </c>
      <c r="Q74" s="1">
        <f t="shared" ref="Q74:Q105" si="9">(((F74/F$9)^F$7 * F$3 + (I74/I$9)^I$7 * I$3 + (J74/J$9)^J$7 * J$3) * (1+M$3*(MIN(H74,M$2)-1)+M$4*(H74-MIN(H74,M$2))) + (G74/G$9)^G$7 * G$3)  * P$9</f>
        <v>1.4627443485264333</v>
      </c>
      <c r="R74" s="1">
        <f t="shared" ref="R74:R105" si="10">(((F74/F$9)^F$7 * F$4 + (I74/I$9)^I$7 * I$4 + (J74/J$9)^J$7 * J$4) * (1+M$3*(MIN(H74,M$2)-1)+M$4*(H74-MIN(H74,M$2))) + (G74/G$9)^G$7 * G$4)  * P$9</f>
        <v>1.4657305123230842</v>
      </c>
      <c r="S74" s="10">
        <f t="shared" ref="S74:S105" si="11">(((F74/F$9)^F$7 * F$5 + (I74/I$9)^I$7 * I$5 + (J74/J$9)^J$7 * J$5) * (1+M$3*(MIN(H74,M$2)-1)+M$4*(H74-MIN(H74,M$2))) + (G74/G$9)^G$7 * G$5)  * P$9</f>
        <v>1.4219212415832363</v>
      </c>
      <c r="T74" s="45" cm="1">
        <f t="array" ref="T74">SUMPRODUCT(P74:S74 * P$3:S$3) / SUM(P$3:S$3)</f>
        <v>1.434941607380628</v>
      </c>
    </row>
    <row r="75" spans="1:20" ht="16.5" customHeight="1" x14ac:dyDescent="0.25">
      <c r="A75" s="4" t="s">
        <v>8971</v>
      </c>
      <c r="B75" s="16"/>
      <c r="E75" s="12" t="s">
        <v>406</v>
      </c>
      <c r="F75" s="4">
        <v>3733</v>
      </c>
      <c r="G75" s="4">
        <v>16</v>
      </c>
      <c r="H75" s="4">
        <v>1</v>
      </c>
      <c r="I75" s="4">
        <v>19</v>
      </c>
      <c r="J75" s="72">
        <v>1.35</v>
      </c>
      <c r="L75" s="9">
        <f>AVERAGEIF('RAMs Products'!D$9:D$1364,RAMs!A75,'RAMs Products'!L$9:L$1364)</f>
        <v>115.69</v>
      </c>
      <c r="M75" s="3">
        <f>AVERAGEIF('RAMs Products'!D$9:D$1364,RAMs!A75,'RAMs Products'!M$9:M$1364)</f>
        <v>117.065</v>
      </c>
      <c r="O75" s="5"/>
      <c r="P75" s="49">
        <f t="shared" si="8"/>
        <v>1.6854514432900343</v>
      </c>
      <c r="Q75" s="1">
        <f t="shared" si="9"/>
        <v>1.9699998629430922</v>
      </c>
      <c r="R75" s="1">
        <f t="shared" si="10"/>
        <v>2.0237115781814086</v>
      </c>
      <c r="S75" s="10">
        <f t="shared" si="11"/>
        <v>1.8277256531165631</v>
      </c>
      <c r="T75" s="45" cm="1">
        <f t="array" ref="T75">SUMPRODUCT(P75:S75 * P$3:S$3) / SUM(P$3:S$3)</f>
        <v>1.8797656738690827</v>
      </c>
    </row>
    <row r="76" spans="1:20" ht="16.5" customHeight="1" x14ac:dyDescent="0.25">
      <c r="A76" s="4" t="s">
        <v>8972</v>
      </c>
      <c r="B76" s="16"/>
      <c r="E76" s="12" t="s">
        <v>406</v>
      </c>
      <c r="F76" s="4">
        <v>4000</v>
      </c>
      <c r="G76" s="4">
        <v>8</v>
      </c>
      <c r="H76" s="4">
        <v>1</v>
      </c>
      <c r="I76" s="4">
        <v>19</v>
      </c>
      <c r="J76" s="72">
        <v>1.35</v>
      </c>
      <c r="L76" s="9">
        <f>AVERAGEIF('RAMs Products'!D$9:D$1364,RAMs!A76,'RAMs Products'!L$9:L$1364)</f>
        <v>52.127499999999998</v>
      </c>
      <c r="M76" s="3">
        <f>AVERAGEIF('RAMs Products'!D$9:D$1364,RAMs!A76,'RAMs Products'!M$9:M$1364)</f>
        <v>62.08</v>
      </c>
      <c r="O76" s="5"/>
      <c r="P76" s="49">
        <f t="shared" si="8"/>
        <v>1.4166633686166621</v>
      </c>
      <c r="Q76" s="1">
        <f t="shared" si="9"/>
        <v>1.4894182740089006</v>
      </c>
      <c r="R76" s="1">
        <f t="shared" si="10"/>
        <v>1.4879587835584736</v>
      </c>
      <c r="S76" s="10">
        <f t="shared" si="11"/>
        <v>1.4530408213127814</v>
      </c>
      <c r="T76" s="45" cm="1">
        <f t="array" ref="T76">SUMPRODUCT(P76:S76 * P$3:S$3) / SUM(P$3:S$3)</f>
        <v>1.4640093466884447</v>
      </c>
    </row>
    <row r="77" spans="1:20" ht="16.5" customHeight="1" x14ac:dyDescent="0.25">
      <c r="A77" s="4" t="s">
        <v>8973</v>
      </c>
      <c r="B77" s="16"/>
      <c r="E77" s="12" t="s">
        <v>406</v>
      </c>
      <c r="F77" s="4">
        <v>4000</v>
      </c>
      <c r="G77" s="4">
        <v>8</v>
      </c>
      <c r="H77" s="4">
        <v>2</v>
      </c>
      <c r="I77" s="4">
        <v>18</v>
      </c>
      <c r="J77" s="72">
        <v>1.35</v>
      </c>
      <c r="L77" s="9">
        <f>AVERAGEIF('RAMs Products'!D$9:D$1364,RAMs!A77,'RAMs Products'!L$9:L$1364)</f>
        <v>81.153999999999996</v>
      </c>
      <c r="M77" s="3">
        <f>AVERAGEIF('RAMs Products'!D$9:D$1364,RAMs!A77,'RAMs Products'!M$9:M$1364)</f>
        <v>126.44699999999997</v>
      </c>
      <c r="O77" s="5"/>
      <c r="P77" s="49">
        <f t="shared" si="8"/>
        <v>1.5158892459159863</v>
      </c>
      <c r="Q77" s="1">
        <f t="shared" si="9"/>
        <v>1.5602822038836832</v>
      </c>
      <c r="R77" s="1">
        <f t="shared" si="10"/>
        <v>1.5505542404246508</v>
      </c>
      <c r="S77" s="10">
        <f t="shared" si="11"/>
        <v>1.5380857248998345</v>
      </c>
      <c r="T77" s="45" cm="1">
        <f t="array" ref="T77">SUMPRODUCT(P77:S77 * P$3:S$3) / SUM(P$3:S$3)</f>
        <v>1.5434188009780907</v>
      </c>
    </row>
    <row r="78" spans="1:20" ht="16.5" customHeight="1" x14ac:dyDescent="0.25">
      <c r="A78" s="4" t="s">
        <v>8974</v>
      </c>
      <c r="B78" s="16"/>
      <c r="E78" s="12" t="s">
        <v>406</v>
      </c>
      <c r="F78" s="4">
        <v>4000</v>
      </c>
      <c r="G78" s="4">
        <v>8</v>
      </c>
      <c r="H78" s="4">
        <v>4</v>
      </c>
      <c r="I78" s="4">
        <v>18</v>
      </c>
      <c r="J78" s="72">
        <v>1.35</v>
      </c>
      <c r="L78" s="9">
        <f>AVERAGEIF('RAMs Products'!D$9:D$1364,RAMs!A78,'RAMs Products'!L$9:L$1364)</f>
        <v>76.900000000000006</v>
      </c>
      <c r="M78" s="3">
        <f>AVERAGEIF('RAMs Products'!D$9:D$1364,RAMs!A78,'RAMs Products'!M$9:M$1364)</f>
        <v>111.9</v>
      </c>
      <c r="O78" s="5"/>
      <c r="P78" s="49">
        <f t="shared" si="8"/>
        <v>1.5719913081761088</v>
      </c>
      <c r="Q78" s="1">
        <f t="shared" si="9"/>
        <v>1.6010838297488166</v>
      </c>
      <c r="R78" s="1">
        <f t="shared" si="10"/>
        <v>1.5863947824846214</v>
      </c>
      <c r="S78" s="10">
        <f t="shared" si="11"/>
        <v>1.5865375689624628</v>
      </c>
      <c r="T78" s="45" cm="1">
        <f t="array" ref="T78">SUMPRODUCT(P78:S78 * P$3:S$3) / SUM(P$3:S$3)</f>
        <v>1.5887534880868492</v>
      </c>
    </row>
    <row r="79" spans="1:20" ht="16.5" customHeight="1" x14ac:dyDescent="0.25">
      <c r="A79" s="4" t="s">
        <v>8975</v>
      </c>
      <c r="B79" s="16"/>
      <c r="E79" s="12" t="s">
        <v>406</v>
      </c>
      <c r="F79" s="4">
        <v>4000</v>
      </c>
      <c r="G79" s="4">
        <v>16</v>
      </c>
      <c r="H79" s="4">
        <v>1</v>
      </c>
      <c r="I79" s="4">
        <v>19</v>
      </c>
      <c r="J79" s="72">
        <v>1.35</v>
      </c>
      <c r="L79" s="9">
        <f>AVERAGEIF('RAMs Products'!D$9:D$1364,RAMs!A79,'RAMs Products'!L$9:L$1364)</f>
        <v>47.99</v>
      </c>
      <c r="M79" s="3">
        <f>AVERAGEIF('RAMs Products'!D$9:D$1364,RAMs!A79,'RAMs Products'!M$9:M$1364)</f>
        <v>78</v>
      </c>
      <c r="O79" s="5"/>
      <c r="P79" s="49">
        <f t="shared" si="8"/>
        <v>1.7210166772666573</v>
      </c>
      <c r="Q79" s="1">
        <f t="shared" si="9"/>
        <v>1.9966737884255594</v>
      </c>
      <c r="R79" s="1">
        <f t="shared" si="10"/>
        <v>2.045939849416798</v>
      </c>
      <c r="S79" s="10">
        <f t="shared" si="11"/>
        <v>1.8588452328461083</v>
      </c>
      <c r="T79" s="45" cm="1">
        <f t="array" ref="T79">SUMPRODUCT(P79:S79 * P$3:S$3) / SUM(P$3:S$3)</f>
        <v>1.9088334131768994</v>
      </c>
    </row>
    <row r="80" spans="1:20" ht="16.5" customHeight="1" x14ac:dyDescent="0.25">
      <c r="A80" s="4" t="s">
        <v>8976</v>
      </c>
      <c r="B80" s="16"/>
      <c r="E80" s="12" t="s">
        <v>406</v>
      </c>
      <c r="F80" s="4">
        <v>4000</v>
      </c>
      <c r="G80" s="4">
        <v>16</v>
      </c>
      <c r="H80" s="4">
        <v>2</v>
      </c>
      <c r="I80" s="4">
        <v>18</v>
      </c>
      <c r="J80" s="72">
        <v>1.35</v>
      </c>
      <c r="L80" s="9">
        <f>AVERAGEIF('RAMs Products'!D$9:D$1364,RAMs!A80,'RAMs Products'!L$9:L$1364)</f>
        <v>130.35749999999999</v>
      </c>
      <c r="M80" s="3">
        <f>AVERAGEIF('RAMs Products'!D$9:D$1364,RAMs!A80,'RAMs Products'!M$9:M$1364)</f>
        <v>213.17375000000001</v>
      </c>
      <c r="O80" s="5"/>
      <c r="P80" s="49">
        <f t="shared" si="8"/>
        <v>1.8202425545659815</v>
      </c>
      <c r="Q80" s="1">
        <f t="shared" si="9"/>
        <v>2.0675377183003416</v>
      </c>
      <c r="R80" s="1">
        <f t="shared" si="10"/>
        <v>2.1085353062829757</v>
      </c>
      <c r="S80" s="10">
        <f t="shared" si="11"/>
        <v>1.9438901364331618</v>
      </c>
      <c r="T80" s="45" cm="1">
        <f t="array" ref="T80">SUMPRODUCT(P80:S80 * P$3:S$3) / SUM(P$3:S$3)</f>
        <v>1.9882428674665451</v>
      </c>
    </row>
    <row r="81" spans="1:20" ht="16.5" customHeight="1" x14ac:dyDescent="0.25">
      <c r="A81" s="4" t="s">
        <v>8977</v>
      </c>
      <c r="B81" s="16"/>
      <c r="E81" s="12" t="s">
        <v>406</v>
      </c>
      <c r="F81" s="4">
        <v>4000</v>
      </c>
      <c r="G81" s="4">
        <v>16</v>
      </c>
      <c r="H81" s="4">
        <v>4</v>
      </c>
      <c r="I81" s="4">
        <v>18</v>
      </c>
      <c r="J81" s="72">
        <v>1.35</v>
      </c>
      <c r="L81" s="9">
        <f>AVERAGEIF('RAMs Products'!D$9:D$1364,RAMs!A81,'RAMs Products'!L$9:L$1364)</f>
        <v>224.72</v>
      </c>
      <c r="M81" s="3">
        <f>AVERAGEIF('RAMs Products'!D$9:D$1364,RAMs!A81,'RAMs Products'!M$9:M$1364)</f>
        <v>234.6</v>
      </c>
      <c r="O81" s="5"/>
      <c r="P81" s="49">
        <f t="shared" si="8"/>
        <v>1.876344616826104</v>
      </c>
      <c r="Q81" s="1">
        <f t="shared" si="9"/>
        <v>2.1083393441654752</v>
      </c>
      <c r="R81" s="1">
        <f t="shared" si="10"/>
        <v>2.1443758483429458</v>
      </c>
      <c r="S81" s="10">
        <f t="shared" si="11"/>
        <v>1.9923419804957896</v>
      </c>
      <c r="T81" s="45" cm="1">
        <f t="array" ref="T81">SUMPRODUCT(P81:S81 * P$3:S$3) / SUM(P$3:S$3)</f>
        <v>2.0335775545753041</v>
      </c>
    </row>
    <row r="82" spans="1:20" ht="16.5" customHeight="1" x14ac:dyDescent="0.25">
      <c r="A82" s="4" t="s">
        <v>8978</v>
      </c>
      <c r="B82" s="16"/>
      <c r="E82" s="12" t="s">
        <v>406</v>
      </c>
      <c r="F82" s="4">
        <v>4000</v>
      </c>
      <c r="G82" s="4">
        <v>32</v>
      </c>
      <c r="H82" s="4">
        <v>2</v>
      </c>
      <c r="I82" s="4">
        <v>18</v>
      </c>
      <c r="J82" s="72">
        <v>1.4</v>
      </c>
      <c r="L82" s="9">
        <f>AVERAGEIF('RAMs Products'!D$9:D$1364,RAMs!A82,'RAMs Products'!L$9:L$1364)</f>
        <v>193.17333333333332</v>
      </c>
      <c r="M82" s="3">
        <f>AVERAGEIF('RAMs Products'!D$9:D$1364,RAMs!A82,'RAMs Products'!M$9:M$1364)</f>
        <v>303.68</v>
      </c>
      <c r="O82" s="5"/>
      <c r="P82" s="49">
        <f t="shared" si="8"/>
        <v>2.3127971795467501</v>
      </c>
      <c r="Q82" s="1">
        <f t="shared" si="9"/>
        <v>2.8897079490009872</v>
      </c>
      <c r="R82" s="1">
        <f t="shared" si="10"/>
        <v>3.0131094384135899</v>
      </c>
      <c r="S82" s="10">
        <f t="shared" si="11"/>
        <v>2.6012525642738686</v>
      </c>
      <c r="T82" s="45" cm="1">
        <f t="array" ref="T82">SUMPRODUCT(P82:S82 * P$3:S$3) / SUM(P$3:S$3)</f>
        <v>2.7089929117918441</v>
      </c>
    </row>
    <row r="83" spans="1:20" ht="16.5" customHeight="1" x14ac:dyDescent="0.25">
      <c r="A83" s="4" t="s">
        <v>8979</v>
      </c>
      <c r="B83" s="16"/>
      <c r="E83" s="12" t="s">
        <v>406</v>
      </c>
      <c r="F83" s="4">
        <v>4000</v>
      </c>
      <c r="G83" s="4">
        <v>32</v>
      </c>
      <c r="H83" s="4">
        <v>4</v>
      </c>
      <c r="I83" s="4">
        <v>18</v>
      </c>
      <c r="J83" s="72">
        <v>1.4</v>
      </c>
      <c r="L83" s="9">
        <f>AVERAGEIF('RAMs Products'!D$9:D$1364,RAMs!A83,'RAMs Products'!L$9:L$1364)</f>
        <v>391.99</v>
      </c>
      <c r="M83" s="3">
        <f>AVERAGEIF('RAMs Products'!D$9:D$1364,RAMs!A83,'RAMs Products'!M$9:M$1364)</f>
        <v>545.87</v>
      </c>
      <c r="O83" s="5"/>
      <c r="P83" s="49">
        <f t="shared" si="8"/>
        <v>2.3687973081560156</v>
      </c>
      <c r="Q83" s="1">
        <f t="shared" si="9"/>
        <v>2.9304076412152638</v>
      </c>
      <c r="R83" s="1">
        <f t="shared" si="10"/>
        <v>3.0488480468227035</v>
      </c>
      <c r="S83" s="10">
        <f t="shared" si="11"/>
        <v>2.6496024746856395</v>
      </c>
      <c r="T83" s="45" cm="1">
        <f t="array" ref="T83">SUMPRODUCT(P83:S83 * P$3:S$3) / SUM(P$3:S$3)</f>
        <v>2.7542256652497459</v>
      </c>
    </row>
    <row r="84" spans="1:20" ht="16.5" customHeight="1" x14ac:dyDescent="0.25">
      <c r="A84" s="4" t="s">
        <v>8980</v>
      </c>
      <c r="B84" s="16"/>
      <c r="E84" s="12" t="s">
        <v>406</v>
      </c>
      <c r="F84" s="4">
        <v>4133</v>
      </c>
      <c r="G84" s="4">
        <v>8</v>
      </c>
      <c r="H84" s="4">
        <v>4</v>
      </c>
      <c r="I84" s="4">
        <v>19</v>
      </c>
      <c r="J84" s="72">
        <v>1.4</v>
      </c>
      <c r="L84" s="9">
        <f>AVERAGEIF('RAMs Products'!D$9:D$1364,RAMs!A84,'RAMs Products'!L$9:L$1364)</f>
        <v>444.99</v>
      </c>
      <c r="M84" s="3">
        <f>AVERAGEIF('RAMs Products'!D$9:D$1364,RAMs!A84,'RAMs Products'!M$9:M$1364)</f>
        <v>586.89</v>
      </c>
      <c r="O84" s="5"/>
      <c r="P84" s="49">
        <f t="shared" si="8"/>
        <v>1.5837261418775399</v>
      </c>
      <c r="Q84" s="1">
        <f t="shared" si="9"/>
        <v>1.6110517833701592</v>
      </c>
      <c r="R84" s="1">
        <f t="shared" si="10"/>
        <v>1.5938197884081746</v>
      </c>
      <c r="S84" s="10">
        <f t="shared" si="11"/>
        <v>1.5973889626238496</v>
      </c>
      <c r="T84" s="45" cm="1">
        <f t="array" ref="T84">SUMPRODUCT(P84:S84 * P$3:S$3) / SUM(P$3:S$3)</f>
        <v>1.5989418313208703</v>
      </c>
    </row>
    <row r="85" spans="1:20" ht="16.5" customHeight="1" x14ac:dyDescent="0.25">
      <c r="A85" s="4" t="s">
        <v>8981</v>
      </c>
      <c r="B85" s="16"/>
      <c r="E85" s="12" t="s">
        <v>406</v>
      </c>
      <c r="F85" s="4">
        <v>4266</v>
      </c>
      <c r="G85" s="4">
        <v>8</v>
      </c>
      <c r="H85" s="4">
        <v>2</v>
      </c>
      <c r="I85" s="4">
        <v>19</v>
      </c>
      <c r="J85" s="72">
        <v>1.35</v>
      </c>
      <c r="L85" s="9">
        <f>AVERAGEIF('RAMs Products'!D$9:D$1364,RAMs!A85,'RAMs Products'!L$9:L$1364)</f>
        <v>77.585000000000008</v>
      </c>
      <c r="M85" s="3">
        <f>AVERAGEIF('RAMs Products'!D$9:D$1364,RAMs!A85,'RAMs Products'!M$9:M$1364)</f>
        <v>106.14500000000001</v>
      </c>
      <c r="O85" s="5"/>
      <c r="P85" s="49">
        <f t="shared" si="8"/>
        <v>1.5480534326402968</v>
      </c>
      <c r="Q85" s="1">
        <f t="shared" si="9"/>
        <v>1.5859790149816742</v>
      </c>
      <c r="R85" s="1">
        <f t="shared" si="10"/>
        <v>1.5714436926547242</v>
      </c>
      <c r="S85" s="10">
        <f t="shared" si="11"/>
        <v>1.5670162238109855</v>
      </c>
      <c r="T85" s="45" cm="1">
        <f t="array" ref="T85">SUMPRODUCT(P85:S85 * P$3:S$3) / SUM(P$3:S$3)</f>
        <v>1.5706147253516667</v>
      </c>
    </row>
    <row r="86" spans="1:20" ht="16.5" customHeight="1" x14ac:dyDescent="0.25">
      <c r="A86" s="4" t="s">
        <v>8982</v>
      </c>
      <c r="B86" s="16"/>
      <c r="E86" s="12" t="s">
        <v>406</v>
      </c>
      <c r="F86" s="4">
        <v>4266</v>
      </c>
      <c r="G86" s="4">
        <v>8</v>
      </c>
      <c r="H86" s="4">
        <v>4</v>
      </c>
      <c r="I86" s="4">
        <v>19</v>
      </c>
      <c r="J86" s="72">
        <v>1.4</v>
      </c>
      <c r="L86" s="9">
        <f>AVERAGEIF('RAMs Products'!D$9:D$1364,RAMs!A86,'RAMs Products'!L$9:L$1364)</f>
        <v>276.83999999999997</v>
      </c>
      <c r="M86" s="3">
        <f>AVERAGEIF('RAMs Products'!D$9:D$1364,RAMs!A86,'RAMs Products'!M$9:M$1364)</f>
        <v>633.27</v>
      </c>
      <c r="O86" s="5"/>
      <c r="P86" s="49">
        <f t="shared" si="8"/>
        <v>1.6039391878354783</v>
      </c>
      <c r="Q86" s="1">
        <f t="shared" si="9"/>
        <v>1.6262115678386129</v>
      </c>
      <c r="R86" s="1">
        <f t="shared" si="10"/>
        <v>1.6064529421318863</v>
      </c>
      <c r="S86" s="10">
        <f t="shared" si="11"/>
        <v>1.6150753778370457</v>
      </c>
      <c r="T86" s="45" cm="1">
        <f t="array" ref="T86">SUMPRODUCT(P86:S86 * P$3:S$3) / SUM(P$3:S$3)</f>
        <v>1.6154621092672623</v>
      </c>
    </row>
    <row r="87" spans="1:20" ht="16.5" customHeight="1" x14ac:dyDescent="0.25">
      <c r="A87" s="4" t="s">
        <v>8983</v>
      </c>
      <c r="B87" s="16"/>
      <c r="E87" s="12" t="s">
        <v>406</v>
      </c>
      <c r="F87" s="4">
        <v>4266</v>
      </c>
      <c r="G87" s="4">
        <v>16</v>
      </c>
      <c r="H87" s="4">
        <v>2</v>
      </c>
      <c r="I87" s="4">
        <v>19</v>
      </c>
      <c r="J87" s="72">
        <v>1.5</v>
      </c>
      <c r="L87" s="9">
        <f>AVERAGEIF('RAMs Products'!D$9:D$1364,RAMs!A87,'RAMs Products'!L$9:L$1364)</f>
        <v>103.23333333333335</v>
      </c>
      <c r="M87" s="3">
        <f>AVERAGEIF('RAMs Products'!D$9:D$1364,RAMs!A87,'RAMs Products'!M$9:M$1364)</f>
        <v>141.12666666666667</v>
      </c>
      <c r="O87" s="5"/>
      <c r="P87" s="49">
        <f t="shared" si="8"/>
        <v>1.8470847377262558</v>
      </c>
      <c r="Q87" s="1">
        <f t="shared" si="9"/>
        <v>2.0879125258342963</v>
      </c>
      <c r="R87" s="1">
        <f t="shared" si="10"/>
        <v>2.1241027549490124</v>
      </c>
      <c r="S87" s="10">
        <f t="shared" si="11"/>
        <v>1.9674986317802765</v>
      </c>
      <c r="T87" s="45" cm="1">
        <f t="array" ref="T87">SUMPRODUCT(P87:S87 * P$3:S$3) / SUM(P$3:S$3)</f>
        <v>2.0101167882760844</v>
      </c>
    </row>
    <row r="88" spans="1:20" ht="16.5" customHeight="1" x14ac:dyDescent="0.25">
      <c r="A88" s="4" t="s">
        <v>8984</v>
      </c>
      <c r="B88" s="16"/>
      <c r="E88" s="12" t="s">
        <v>406</v>
      </c>
      <c r="F88" s="4">
        <v>4266</v>
      </c>
      <c r="G88" s="4">
        <v>32</v>
      </c>
      <c r="H88" s="4">
        <v>2</v>
      </c>
      <c r="I88" s="4">
        <v>19</v>
      </c>
      <c r="J88" s="72">
        <v>1.5</v>
      </c>
      <c r="L88" s="9">
        <f>AVERAGEIF('RAMs Products'!D$9:D$1364,RAMs!A88,'RAMs Products'!L$9:L$1364)</f>
        <v>200</v>
      </c>
      <c r="M88" s="3">
        <f>AVERAGEIF('RAMs Products'!D$9:D$1364,RAMs!A88,'RAMs Products'!M$9:M$1364)</f>
        <v>286.16500000000002</v>
      </c>
      <c r="O88" s="5"/>
      <c r="P88" s="49">
        <f t="shared" si="8"/>
        <v>2.3415081463060705</v>
      </c>
      <c r="Q88" s="1">
        <f t="shared" si="9"/>
        <v>2.9119515401339884</v>
      </c>
      <c r="R88" s="1">
        <f t="shared" si="10"/>
        <v>3.0305456706786735</v>
      </c>
      <c r="S88" s="10">
        <f t="shared" si="11"/>
        <v>2.6267298432200294</v>
      </c>
      <c r="T88" s="45" cm="1">
        <f t="array" ref="T88">SUMPRODUCT(P88:S88 * P$3:S$3) / SUM(P$3:S$3)</f>
        <v>2.7327356162004297</v>
      </c>
    </row>
    <row r="89" spans="1:20" ht="16.5" customHeight="1" x14ac:dyDescent="0.25">
      <c r="A89" s="4" t="s">
        <v>8985</v>
      </c>
      <c r="B89" s="16"/>
      <c r="E89" s="12" t="s">
        <v>406</v>
      </c>
      <c r="F89" s="4">
        <v>4400</v>
      </c>
      <c r="G89" s="4">
        <v>16</v>
      </c>
      <c r="H89" s="4">
        <v>2</v>
      </c>
      <c r="I89" s="4">
        <v>19</v>
      </c>
      <c r="J89" s="72">
        <v>1.5</v>
      </c>
      <c r="L89" s="9">
        <f>AVERAGEIF('RAMs Products'!D$9:D$1364,RAMs!A89,'RAMs Products'!L$9:L$1364)</f>
        <v>96.266666666666666</v>
      </c>
      <c r="M89" s="3">
        <f>AVERAGEIF('RAMs Products'!D$9:D$1364,RAMs!A89,'RAMs Products'!M$9:M$1364)</f>
        <v>147.48333333333335</v>
      </c>
      <c r="O89" s="5"/>
      <c r="P89" s="49">
        <f t="shared" si="8"/>
        <v>1.8662758962807509</v>
      </c>
      <c r="Q89" s="1">
        <f t="shared" si="9"/>
        <v>2.102305894750168</v>
      </c>
      <c r="R89" s="1">
        <f t="shared" si="10"/>
        <v>2.1360972290455718</v>
      </c>
      <c r="S89" s="10">
        <f t="shared" si="11"/>
        <v>1.9842908955154597</v>
      </c>
      <c r="T89" s="45" cm="1">
        <f t="array" ref="T89">SUMPRODUCT(P89:S89 * P$3:S$3) / SUM(P$3:S$3)</f>
        <v>2.0258018697869704</v>
      </c>
    </row>
    <row r="90" spans="1:20" ht="16.5" customHeight="1" x14ac:dyDescent="0.25">
      <c r="A90" s="4" t="s">
        <v>8986</v>
      </c>
      <c r="B90" s="16"/>
      <c r="E90" s="12" t="s">
        <v>406</v>
      </c>
      <c r="F90" s="4">
        <v>4400</v>
      </c>
      <c r="G90" s="4">
        <v>32</v>
      </c>
      <c r="H90" s="4">
        <v>2</v>
      </c>
      <c r="I90" s="4">
        <v>19</v>
      </c>
      <c r="J90" s="72">
        <v>1.5</v>
      </c>
      <c r="L90" s="9">
        <f>AVERAGEIF('RAMs Products'!D$9:D$1364,RAMs!A90,'RAMs Products'!L$9:L$1364)</f>
        <v>190.38499999999999</v>
      </c>
      <c r="M90" s="3">
        <f>AVERAGEIF('RAMs Products'!D$9:D$1364,RAMs!A90,'RAMs Products'!M$9:M$1364)</f>
        <v>263.85500000000002</v>
      </c>
      <c r="O90" s="5"/>
      <c r="P90" s="49">
        <f t="shared" si="8"/>
        <v>2.360699304860566</v>
      </c>
      <c r="Q90" s="1">
        <f t="shared" si="9"/>
        <v>2.9263449090498597</v>
      </c>
      <c r="R90" s="1">
        <f t="shared" si="10"/>
        <v>3.0425401447752329</v>
      </c>
      <c r="S90" s="10">
        <f t="shared" si="11"/>
        <v>2.6435221069552126</v>
      </c>
      <c r="T90" s="45" cm="1">
        <f t="array" ref="T90">SUMPRODUCT(P90:S90 * P$3:S$3) / SUM(P$3:S$3)</f>
        <v>2.7484206977113153</v>
      </c>
    </row>
    <row r="91" spans="1:20" ht="16.5" customHeight="1" x14ac:dyDescent="0.25">
      <c r="A91" s="4" t="s">
        <v>8987</v>
      </c>
      <c r="B91" s="16"/>
      <c r="E91" s="12" t="s">
        <v>406</v>
      </c>
      <c r="F91" s="4">
        <v>4600</v>
      </c>
      <c r="G91" s="4">
        <v>8</v>
      </c>
      <c r="H91" s="4">
        <v>2</v>
      </c>
      <c r="I91" s="4">
        <v>19</v>
      </c>
      <c r="J91" s="72">
        <v>1.5</v>
      </c>
      <c r="L91" s="9">
        <f>AVERAGEIF('RAMs Products'!D$9:D$1364,RAMs!A91,'RAMs Products'!L$9:L$1364)</f>
        <v>131.52000000000001</v>
      </c>
      <c r="M91" s="3">
        <f>AVERAGEIF('RAMs Products'!D$9:D$1364,RAMs!A91,'RAMs Products'!M$9:M$1364)</f>
        <v>209.304</v>
      </c>
      <c r="O91" s="5"/>
      <c r="P91" s="49">
        <f t="shared" si="8"/>
        <v>1.5903505709599703</v>
      </c>
      <c r="Q91" s="1">
        <f t="shared" si="9"/>
        <v>1.6163713678304199</v>
      </c>
      <c r="R91" s="1">
        <f t="shared" si="10"/>
        <v>1.5958836527680063</v>
      </c>
      <c r="S91" s="10">
        <f t="shared" si="11"/>
        <v>1.6033609693951949</v>
      </c>
      <c r="T91" s="45" cm="1">
        <f t="array" ref="T91">SUMPRODUCT(P91:S91 * P$3:S$3) / SUM(P$3:S$3)</f>
        <v>1.6042122127502776</v>
      </c>
    </row>
    <row r="92" spans="1:20" ht="16.5" customHeight="1" x14ac:dyDescent="0.25">
      <c r="A92" s="4" t="s">
        <v>8988</v>
      </c>
      <c r="B92" s="16"/>
      <c r="E92" s="12" t="s">
        <v>406</v>
      </c>
      <c r="F92" s="4">
        <v>4600</v>
      </c>
      <c r="G92" s="4">
        <v>16</v>
      </c>
      <c r="H92" s="4">
        <v>2</v>
      </c>
      <c r="I92" s="4">
        <v>19</v>
      </c>
      <c r="J92" s="72">
        <v>1.5</v>
      </c>
      <c r="L92" s="9">
        <f>AVERAGEIF('RAMs Products'!D$9:D$1364,RAMs!A92,'RAMs Products'!L$9:L$1364)</f>
        <v>152.08000000000001</v>
      </c>
      <c r="M92" s="3">
        <f>AVERAGEIF('RAMs Products'!D$9:D$1364,RAMs!A92,'RAMs Products'!M$9:M$1364)</f>
        <v>188.86</v>
      </c>
      <c r="O92" s="5"/>
      <c r="P92" s="49">
        <f t="shared" si="8"/>
        <v>1.8947038796099656</v>
      </c>
      <c r="Q92" s="1">
        <f t="shared" si="9"/>
        <v>2.1236268822470787</v>
      </c>
      <c r="R92" s="1">
        <f t="shared" si="10"/>
        <v>2.1538647186263309</v>
      </c>
      <c r="S92" s="10">
        <f t="shared" si="11"/>
        <v>2.0091653809285219</v>
      </c>
      <c r="T92" s="45" cm="1">
        <f t="array" ref="T92">SUMPRODUCT(P92:S92 * P$3:S$3) / SUM(P$3:S$3)</f>
        <v>2.0490362792387322</v>
      </c>
    </row>
    <row r="93" spans="1:20" ht="16.5" customHeight="1" x14ac:dyDescent="0.25">
      <c r="A93" s="4" t="s">
        <v>8989</v>
      </c>
      <c r="B93" s="16"/>
      <c r="E93" s="12" t="s">
        <v>406</v>
      </c>
      <c r="F93" s="4">
        <v>4800</v>
      </c>
      <c r="G93" s="4">
        <v>8</v>
      </c>
      <c r="H93" s="4">
        <v>2</v>
      </c>
      <c r="I93" s="4">
        <v>19</v>
      </c>
      <c r="J93" s="72">
        <v>1.5</v>
      </c>
      <c r="L93" s="9">
        <f>AVERAGEIF('RAMs Products'!D$9:D$1364,RAMs!A93,'RAMs Products'!L$9:L$1364)</f>
        <v>105.02</v>
      </c>
      <c r="M93" s="3">
        <f>AVERAGEIF('RAMs Products'!D$9:D$1364,RAMs!A93,'RAMs Products'!M$9:M$1364)</f>
        <v>174.9</v>
      </c>
      <c r="O93" s="5"/>
      <c r="P93" s="49">
        <f t="shared" si="8"/>
        <v>1.6185323411090704</v>
      </c>
      <c r="Q93" s="1">
        <f t="shared" si="9"/>
        <v>1.6375076954422449</v>
      </c>
      <c r="R93" s="1">
        <f t="shared" si="10"/>
        <v>1.6134972591111938</v>
      </c>
      <c r="S93" s="10">
        <f t="shared" si="11"/>
        <v>1.6280200182756577</v>
      </c>
      <c r="T93" s="45" cm="1">
        <f t="array" ref="T93">SUMPRODUCT(P93:S93 * P$3:S$3) / SUM(P$3:S$3)</f>
        <v>1.6272453902759845</v>
      </c>
    </row>
    <row r="94" spans="1:20" ht="16.5" customHeight="1" x14ac:dyDescent="0.25">
      <c r="A94" s="4" t="s">
        <v>8990</v>
      </c>
      <c r="B94" s="16"/>
      <c r="E94" s="12" t="s">
        <v>406</v>
      </c>
      <c r="F94" s="4">
        <v>5000</v>
      </c>
      <c r="G94" s="4">
        <v>8</v>
      </c>
      <c r="H94" s="4">
        <v>2</v>
      </c>
      <c r="I94" s="4">
        <v>19</v>
      </c>
      <c r="J94" s="72">
        <v>1.55</v>
      </c>
      <c r="L94" s="9">
        <f>AVERAGEIF('RAMs Products'!D$9:D$1364,RAMs!A94,'RAMs Products'!L$9:L$1364)</f>
        <v>829.73</v>
      </c>
      <c r="M94" s="3">
        <f>AVERAGEIF('RAMs Products'!D$9:D$1364,RAMs!A94,'RAMs Products'!M$9:M$1364)</f>
        <v>1122.3699999999999</v>
      </c>
      <c r="O94" s="5"/>
      <c r="P94" s="49">
        <f t="shared" si="8"/>
        <v>1.6448802697146245</v>
      </c>
      <c r="Q94" s="1">
        <f t="shared" si="9"/>
        <v>1.6568686681224363</v>
      </c>
      <c r="R94" s="1">
        <f t="shared" si="10"/>
        <v>1.6293647538287037</v>
      </c>
      <c r="S94" s="10">
        <f t="shared" si="11"/>
        <v>1.6508744689185302</v>
      </c>
      <c r="T94" s="45" cm="1">
        <f t="array" ref="T94">SUMPRODUCT(P94:S94 * P$3:S$3) / SUM(P$3:S$3)</f>
        <v>1.6484874664745424</v>
      </c>
    </row>
    <row r="95" spans="1:20" ht="16.5" customHeight="1" x14ac:dyDescent="0.25">
      <c r="A95" s="4" t="s">
        <v>8991</v>
      </c>
      <c r="B95" s="16"/>
      <c r="E95" s="12" t="s">
        <v>406</v>
      </c>
      <c r="F95" s="4">
        <v>5333</v>
      </c>
      <c r="G95" s="4">
        <v>8</v>
      </c>
      <c r="H95" s="4">
        <v>2</v>
      </c>
      <c r="I95" s="4">
        <v>20</v>
      </c>
      <c r="J95" s="72">
        <v>1.6</v>
      </c>
      <c r="L95" s="9">
        <f>AVERAGEIF('RAMs Products'!D$9:D$1364,RAMs!A95,'RAMs Products'!L$9:L$1364)</f>
        <v>134.83000000000001</v>
      </c>
      <c r="M95" s="3">
        <f>AVERAGEIF('RAMs Products'!D$9:D$1364,RAMs!A95,'RAMs Products'!M$9:M$1364)</f>
        <v>212.96</v>
      </c>
      <c r="O95" s="5"/>
      <c r="P95" s="49">
        <f t="shared" si="8"/>
        <v>1.6836140551000267</v>
      </c>
      <c r="Q95" s="1">
        <f t="shared" si="9"/>
        <v>1.686984408175366</v>
      </c>
      <c r="R95" s="1">
        <f t="shared" si="10"/>
        <v>1.6537249948270678</v>
      </c>
      <c r="S95" s="10">
        <f t="shared" si="11"/>
        <v>1.6852992316376965</v>
      </c>
      <c r="T95" s="45" cm="1">
        <f t="array" ref="T95">SUMPRODUCT(P95:S95 * P$3:S$3) / SUM(P$3:S$3)</f>
        <v>1.6807009146726257</v>
      </c>
    </row>
    <row r="96" spans="1:20" ht="16.5" customHeight="1" x14ac:dyDescent="0.25">
      <c r="A96" s="4" t="s">
        <v>8992</v>
      </c>
      <c r="B96" s="20"/>
      <c r="E96" s="12" t="s">
        <v>407</v>
      </c>
      <c r="F96" s="4">
        <v>4800</v>
      </c>
      <c r="G96" s="4">
        <v>8</v>
      </c>
      <c r="H96" s="4">
        <v>1</v>
      </c>
      <c r="I96" s="4">
        <v>38</v>
      </c>
      <c r="J96" s="72">
        <v>1.1000000000000001</v>
      </c>
      <c r="L96" s="9">
        <f>AVERAGEIF('RAMs Products'!D$9:D$1364,RAMs!A96,'RAMs Products'!L$9:L$1364)</f>
        <v>29.9</v>
      </c>
      <c r="M96" s="3">
        <f>AVERAGEIF('RAMs Products'!D$9:D$1364,RAMs!A96,'RAMs Products'!M$9:M$1364)</f>
        <v>29.9</v>
      </c>
      <c r="N96" s="17"/>
      <c r="O96" s="18"/>
      <c r="P96" s="49">
        <f t="shared" si="8"/>
        <v>1.4716508029584803</v>
      </c>
      <c r="Q96" s="1">
        <f t="shared" si="9"/>
        <v>1.547962968381996</v>
      </c>
      <c r="R96" s="1">
        <f t="shared" si="10"/>
        <v>1.5335194116842787</v>
      </c>
      <c r="S96" s="10">
        <f t="shared" si="11"/>
        <v>1.5098068856702382</v>
      </c>
      <c r="T96" s="45" cm="1">
        <f t="array" ref="T96">SUMPRODUCT(P96:S96 * P$3:S$3) / SUM(P$3:S$3)</f>
        <v>1.5193251331665147</v>
      </c>
    </row>
    <row r="97" spans="1:20" ht="16.5" customHeight="1" x14ac:dyDescent="0.25">
      <c r="A97" s="4" t="s">
        <v>8993</v>
      </c>
      <c r="B97" s="20"/>
      <c r="E97" s="12" t="s">
        <v>407</v>
      </c>
      <c r="F97" s="4">
        <v>4800</v>
      </c>
      <c r="G97" s="4">
        <v>32</v>
      </c>
      <c r="H97" s="4">
        <v>1</v>
      </c>
      <c r="I97" s="4">
        <v>38</v>
      </c>
      <c r="J97" s="72">
        <v>1.1000000000000001</v>
      </c>
      <c r="L97" s="9">
        <f>AVERAGEIF('RAMs Products'!D$9:D$1364,RAMs!A97,'RAMs Products'!L$9:L$1364)</f>
        <v>139.9</v>
      </c>
      <c r="M97" s="3">
        <f>AVERAGEIF('RAMs Products'!D$9:D$1364,RAMs!A97,'RAMs Products'!M$9:M$1364)</f>
        <v>139.9</v>
      </c>
      <c r="N97" s="17"/>
      <c r="O97" s="18"/>
      <c r="P97" s="49">
        <f t="shared" si="8"/>
        <v>2.2704275201882904</v>
      </c>
      <c r="Q97" s="1">
        <f t="shared" si="9"/>
        <v>2.8792574970983464</v>
      </c>
      <c r="R97" s="1">
        <f t="shared" si="10"/>
        <v>2.9979433932722643</v>
      </c>
      <c r="S97" s="10">
        <f t="shared" si="11"/>
        <v>2.5748425086433184</v>
      </c>
      <c r="T97" s="45" cm="1">
        <f t="array" ref="T97">SUMPRODUCT(P97:S97 * P$3:S$3) / SUM(P$3:S$3)</f>
        <v>2.6867680275793142</v>
      </c>
    </row>
    <row r="98" spans="1:20" ht="16.5" customHeight="1" x14ac:dyDescent="0.25">
      <c r="A98" s="4" t="s">
        <v>8994</v>
      </c>
      <c r="B98" s="20"/>
      <c r="E98" s="12" t="s">
        <v>407</v>
      </c>
      <c r="F98" s="4">
        <v>4800</v>
      </c>
      <c r="G98" s="4">
        <v>32</v>
      </c>
      <c r="H98" s="4">
        <v>2</v>
      </c>
      <c r="I98" s="4">
        <v>40</v>
      </c>
      <c r="J98" s="72">
        <v>1.1000000000000001</v>
      </c>
      <c r="L98" s="9">
        <f>AVERAGEIF('RAMs Products'!D$9:D$1364,RAMs!A98,'RAMs Products'!L$9:L$1364)</f>
        <v>84.8</v>
      </c>
      <c r="M98" s="3">
        <f>AVERAGEIF('RAMs Products'!D$9:D$1364,RAMs!A98,'RAMs Products'!M$9:M$1364)</f>
        <v>141</v>
      </c>
      <c r="N98" s="17"/>
      <c r="O98" s="18"/>
      <c r="P98" s="49">
        <f t="shared" si="8"/>
        <v>2.3650401826284719</v>
      </c>
      <c r="Q98" s="1">
        <f t="shared" si="9"/>
        <v>2.9509199172637759</v>
      </c>
      <c r="R98" s="1">
        <f t="shared" si="10"/>
        <v>3.0600389338043597</v>
      </c>
      <c r="S98" s="10">
        <f t="shared" si="11"/>
        <v>2.6579800499461235</v>
      </c>
      <c r="T98" s="45" cm="1">
        <f t="array" ref="T98">SUMPRODUCT(P98:S98 * P$3:S$3) / SUM(P$3:S$3)</f>
        <v>2.7649029347424139</v>
      </c>
    </row>
    <row r="99" spans="1:20" ht="16.5" customHeight="1" x14ac:dyDescent="0.25">
      <c r="A99" s="4" t="s">
        <v>8995</v>
      </c>
      <c r="B99" s="20"/>
      <c r="E99" s="12" t="s">
        <v>407</v>
      </c>
      <c r="F99" s="4">
        <v>4800</v>
      </c>
      <c r="G99" s="4">
        <v>64</v>
      </c>
      <c r="H99" s="4">
        <v>2</v>
      </c>
      <c r="I99" s="4">
        <v>40</v>
      </c>
      <c r="J99" s="72">
        <v>1.1000000000000001</v>
      </c>
      <c r="L99" s="9">
        <f>AVERAGEIF('RAMs Products'!D$9:D$1364,RAMs!A99,'RAMs Products'!L$9:L$1364)</f>
        <v>161.99</v>
      </c>
      <c r="M99" s="3">
        <f>AVERAGEIF('RAMs Products'!D$9:D$1364,RAMs!A99,'RAMs Products'!M$9:M$1364)</f>
        <v>209.53</v>
      </c>
      <c r="N99" s="17"/>
      <c r="O99" s="18"/>
      <c r="P99" s="49">
        <f t="shared" si="8"/>
        <v>3.1682333794956179</v>
      </c>
      <c r="Q99" s="1">
        <f t="shared" si="9"/>
        <v>4.2895752453756861</v>
      </c>
      <c r="R99" s="1">
        <f t="shared" si="10"/>
        <v>4.5325597947274616</v>
      </c>
      <c r="S99" s="10">
        <f t="shared" si="11"/>
        <v>3.728904312435652</v>
      </c>
      <c r="T99" s="45" cm="1">
        <f t="array" ref="T99">SUMPRODUCT(P99:S99 * P$3:S$3) / SUM(P$3:S$3)</f>
        <v>3.9388006840097822</v>
      </c>
    </row>
    <row r="100" spans="1:20" ht="16.5" customHeight="1" x14ac:dyDescent="0.25">
      <c r="A100" s="4" t="s">
        <v>8996</v>
      </c>
      <c r="B100" s="20"/>
      <c r="E100" s="12" t="s">
        <v>407</v>
      </c>
      <c r="F100" s="4">
        <v>5200</v>
      </c>
      <c r="G100" s="4">
        <v>8</v>
      </c>
      <c r="H100" s="4">
        <v>1</v>
      </c>
      <c r="I100" s="4">
        <v>40</v>
      </c>
      <c r="J100" s="72">
        <v>1.25</v>
      </c>
      <c r="L100" s="9">
        <f>AVERAGEIF('RAMs Products'!D$9:D$1364,RAMs!A100,'RAMs Products'!L$9:L$1364)</f>
        <v>31.119999999999997</v>
      </c>
      <c r="M100" s="3">
        <f>AVERAGEIF('RAMs Products'!D$9:D$1364,RAMs!A100,'RAMs Products'!M$9:M$1364)</f>
        <v>51.715000000000003</v>
      </c>
      <c r="N100" s="17"/>
      <c r="O100" s="18"/>
      <c r="P100" s="49">
        <f t="shared" si="8"/>
        <v>1.5123252696261291</v>
      </c>
      <c r="Q100" s="1">
        <f t="shared" si="9"/>
        <v>1.5777196297068214</v>
      </c>
      <c r="R100" s="1">
        <f t="shared" si="10"/>
        <v>1.5569496080480811</v>
      </c>
      <c r="S100" s="10">
        <f t="shared" si="11"/>
        <v>1.5450224496664755</v>
      </c>
      <c r="T100" s="45" cm="1">
        <f t="array" ref="T100">SUMPRODUCT(P100:S100 * P$3:S$3) / SUM(P$3:S$3)</f>
        <v>1.5518877325006217</v>
      </c>
    </row>
    <row r="101" spans="1:20" ht="16.5" customHeight="1" x14ac:dyDescent="0.25">
      <c r="A101" s="4" t="s">
        <v>8997</v>
      </c>
      <c r="B101" s="20"/>
      <c r="E101" s="12" t="s">
        <v>407</v>
      </c>
      <c r="F101" s="4">
        <v>5200</v>
      </c>
      <c r="G101" s="4">
        <v>16</v>
      </c>
      <c r="H101" s="4">
        <v>1</v>
      </c>
      <c r="I101" s="4">
        <v>40</v>
      </c>
      <c r="J101" s="72">
        <v>1.25</v>
      </c>
      <c r="L101" s="9">
        <f>AVERAGEIF('RAMs Products'!D$9:D$1364,RAMs!A101,'RAMs Products'!L$9:L$1364)</f>
        <v>50.876666666666665</v>
      </c>
      <c r="M101" s="3">
        <f>AVERAGEIF('RAMs Products'!D$9:D$1364,RAMs!A101,'RAMs Products'!M$9:M$1364)</f>
        <v>86.348333333333343</v>
      </c>
      <c r="N101" s="17"/>
      <c r="O101" s="18"/>
      <c r="P101" s="49">
        <f t="shared" si="8"/>
        <v>1.8166785782761243</v>
      </c>
      <c r="Q101" s="1">
        <f t="shared" si="9"/>
        <v>2.0849751441234803</v>
      </c>
      <c r="R101" s="1">
        <f t="shared" si="10"/>
        <v>2.1149306739064055</v>
      </c>
      <c r="S101" s="10">
        <f t="shared" si="11"/>
        <v>1.9508268611998023</v>
      </c>
      <c r="T101" s="45" cm="1">
        <f t="array" ref="T101">SUMPRODUCT(P101:S101 * P$3:S$3) / SUM(P$3:S$3)</f>
        <v>1.9967117989890764</v>
      </c>
    </row>
    <row r="102" spans="1:20" ht="16.5" customHeight="1" x14ac:dyDescent="0.25">
      <c r="A102" s="4" t="s">
        <v>8998</v>
      </c>
      <c r="B102" s="20"/>
      <c r="E102" s="12" t="s">
        <v>407</v>
      </c>
      <c r="F102" s="4">
        <v>5200</v>
      </c>
      <c r="G102" s="4">
        <v>16</v>
      </c>
      <c r="H102" s="4">
        <v>2</v>
      </c>
      <c r="I102" s="4">
        <v>40</v>
      </c>
      <c r="J102" s="72">
        <v>1.25</v>
      </c>
      <c r="L102" s="9">
        <f>AVERAGEIF('RAMs Products'!D$9:D$1364,RAMs!A102,'RAMs Products'!L$9:L$1364)</f>
        <v>62.334285714285713</v>
      </c>
      <c r="M102" s="3">
        <f>AVERAGEIF('RAMs Products'!D$9:D$1364,RAMs!A102,'RAMs Products'!M$9:M$1364)</f>
        <v>101.99285714285713</v>
      </c>
      <c r="N102" s="17"/>
      <c r="O102" s="18"/>
      <c r="P102" s="49">
        <f t="shared" si="8"/>
        <v>1.9191759614573631</v>
      </c>
      <c r="Q102" s="1">
        <f t="shared" si="9"/>
        <v>2.1615218674585388</v>
      </c>
      <c r="R102" s="1">
        <f t="shared" si="10"/>
        <v>2.1812778711120275</v>
      </c>
      <c r="S102" s="10">
        <f t="shared" si="11"/>
        <v>2.040348914457951</v>
      </c>
      <c r="T102" s="45" cm="1">
        <f t="array" ref="T102">SUMPRODUCT(P102:S102 * P$3:S$3) / SUM(P$3:S$3)</f>
        <v>2.0806722851740531</v>
      </c>
    </row>
    <row r="103" spans="1:20" ht="16.5" customHeight="1" x14ac:dyDescent="0.25">
      <c r="A103" s="4" t="s">
        <v>8999</v>
      </c>
      <c r="B103" s="20"/>
      <c r="E103" s="12" t="s">
        <v>407</v>
      </c>
      <c r="F103" s="4">
        <v>5200</v>
      </c>
      <c r="G103" s="4">
        <v>32</v>
      </c>
      <c r="H103" s="4">
        <v>1</v>
      </c>
      <c r="I103" s="4">
        <v>40</v>
      </c>
      <c r="J103" s="72">
        <v>1.25</v>
      </c>
      <c r="L103" s="9">
        <f>AVERAGEIF('RAMs Products'!D$9:D$1364,RAMs!A103,'RAMs Products'!L$9:L$1364)</f>
        <v>89.407777777777767</v>
      </c>
      <c r="M103" s="3">
        <f>AVERAGEIF('RAMs Products'!D$9:D$1364,RAMs!A103,'RAMs Products'!M$9:M$1364)</f>
        <v>446.53777777777771</v>
      </c>
      <c r="N103" s="17"/>
      <c r="O103" s="18"/>
      <c r="P103" s="49">
        <f t="shared" si="8"/>
        <v>2.311101986855939</v>
      </c>
      <c r="Q103" s="1">
        <f t="shared" si="9"/>
        <v>2.9090141584231719</v>
      </c>
      <c r="R103" s="1">
        <f t="shared" si="10"/>
        <v>3.0213735896360667</v>
      </c>
      <c r="S103" s="10">
        <f t="shared" si="11"/>
        <v>2.6100580726395557</v>
      </c>
      <c r="T103" s="45" cm="1">
        <f t="array" ref="T103">SUMPRODUCT(P103:S103 * P$3:S$3) / SUM(P$3:S$3)</f>
        <v>2.7193306269134214</v>
      </c>
    </row>
    <row r="104" spans="1:20" ht="16.5" customHeight="1" x14ac:dyDescent="0.25">
      <c r="A104" s="4" t="s">
        <v>9000</v>
      </c>
      <c r="B104" s="20"/>
      <c r="E104" s="12" t="s">
        <v>407</v>
      </c>
      <c r="F104" s="4">
        <v>5200</v>
      </c>
      <c r="G104" s="4">
        <v>32</v>
      </c>
      <c r="H104" s="4">
        <v>2</v>
      </c>
      <c r="I104" s="4">
        <v>40</v>
      </c>
      <c r="J104" s="72">
        <v>1.25</v>
      </c>
      <c r="L104" s="9">
        <f>AVERAGEIF('RAMs Products'!D$9:D$1364,RAMs!A104,'RAMs Products'!L$9:L$1364)</f>
        <v>100.19652173913042</v>
      </c>
      <c r="M104" s="3">
        <f>AVERAGEIF('RAMs Products'!D$9:D$1364,RAMs!A104,'RAMs Products'!M$9:M$1364)</f>
        <v>181.12391304347824</v>
      </c>
      <c r="N104" s="17"/>
      <c r="O104" s="18"/>
      <c r="P104" s="49">
        <f t="shared" si="8"/>
        <v>2.4135993700371783</v>
      </c>
      <c r="Q104" s="1">
        <f t="shared" si="9"/>
        <v>2.9855608817582304</v>
      </c>
      <c r="R104" s="1">
        <f t="shared" si="10"/>
        <v>3.0877207868416887</v>
      </c>
      <c r="S104" s="10">
        <f t="shared" si="11"/>
        <v>2.6995801258977044</v>
      </c>
      <c r="T104" s="45" cm="1">
        <f t="array" ref="T104">SUMPRODUCT(P104:S104 * P$3:S$3) / SUM(P$3:S$3)</f>
        <v>2.8032911130983984</v>
      </c>
    </row>
    <row r="105" spans="1:20" ht="16.5" customHeight="1" x14ac:dyDescent="0.25">
      <c r="A105" s="4" t="s">
        <v>9001</v>
      </c>
      <c r="B105" s="20"/>
      <c r="E105" s="12" t="s">
        <v>407</v>
      </c>
      <c r="F105" s="4">
        <v>5200</v>
      </c>
      <c r="G105" s="4">
        <v>48</v>
      </c>
      <c r="H105" s="4">
        <v>2</v>
      </c>
      <c r="I105" s="4">
        <v>38</v>
      </c>
      <c r="J105" s="72">
        <v>1.25</v>
      </c>
      <c r="L105" s="9">
        <f>AVERAGEIF('RAMs Products'!D$9:D$1364,RAMs!A105,'RAMs Products'!L$9:L$1364)</f>
        <v>123.73249999999999</v>
      </c>
      <c r="M105" s="3">
        <f>AVERAGEIF('RAMs Products'!D$9:D$1364,RAMs!A105,'RAMs Products'!M$9:M$1364)</f>
        <v>194.5625</v>
      </c>
      <c r="N105" s="17"/>
      <c r="O105" s="18"/>
      <c r="P105" s="49">
        <f t="shared" si="8"/>
        <v>2.8395254993227974</v>
      </c>
      <c r="Q105" s="1">
        <f t="shared" si="9"/>
        <v>3.6909842774809212</v>
      </c>
      <c r="R105" s="1">
        <f t="shared" si="10"/>
        <v>3.8634956584329339</v>
      </c>
      <c r="S105" s="10">
        <f t="shared" si="11"/>
        <v>3.2652548884018597</v>
      </c>
      <c r="T105" s="45" cm="1">
        <f t="array" ref="T105">SUMPRODUCT(P105:S105 * P$3:S$3) / SUM(P$3:S$3)</f>
        <v>3.4227887590341886</v>
      </c>
    </row>
    <row r="106" spans="1:20" ht="16.5" customHeight="1" x14ac:dyDescent="0.25">
      <c r="A106" s="4" t="s">
        <v>9002</v>
      </c>
      <c r="B106" s="20"/>
      <c r="E106" s="12" t="s">
        <v>407</v>
      </c>
      <c r="F106" s="4">
        <v>5200</v>
      </c>
      <c r="G106" s="4">
        <v>64</v>
      </c>
      <c r="H106" s="4">
        <v>2</v>
      </c>
      <c r="I106" s="4">
        <v>40</v>
      </c>
      <c r="J106" s="72">
        <v>1.25</v>
      </c>
      <c r="L106" s="9">
        <f>AVERAGEIF('RAMs Products'!D$9:D$1364,RAMs!A106,'RAMs Products'!L$9:L$1364)</f>
        <v>171.67857142857142</v>
      </c>
      <c r="M106" s="3">
        <f>AVERAGEIF('RAMs Products'!D$9:D$1364,RAMs!A106,'RAMs Products'!M$9:M$1364)</f>
        <v>239.5404761904762</v>
      </c>
      <c r="N106" s="17"/>
      <c r="O106" s="18"/>
      <c r="P106" s="49">
        <f t="shared" ref="P106:P137" si="12">(((F106/F$9)^F$7 * F$2 + (I106/I$9)^I$7 * I$2 + (J106/J$9)^J$7 * J$2) * (1+M$3*(MIN(H106,M$2)-1)+M$4*(H106-MIN(H106,M$2))) + (G106/G$9)^G$7 * G$2)  * P$9</f>
        <v>3.2167925669043242</v>
      </c>
      <c r="Q106" s="1">
        <f t="shared" ref="Q106:Q137" si="13">(((F106/F$9)^F$7 * F$3 + (I106/I$9)^I$7 * I$3 + (J106/J$9)^J$7 * J$3) * (1+M$3*(MIN(H106,M$2)-1)+M$4*(H106-MIN(H106,M$2))) + (G106/G$9)^G$7 * G$3)  * P$9</f>
        <v>4.3242162098701407</v>
      </c>
      <c r="R106" s="1">
        <f t="shared" ref="R106:R137" si="14">(((F106/F$9)^F$7 * F$4 + (I106/I$9)^I$7 * I$4 + (J106/J$9)^J$7 * J$4) * (1+M$3*(MIN(H106,M$2)-1)+M$4*(H106-MIN(H106,M$2))) + (G106/G$9)^G$7 * G$4)  * P$9</f>
        <v>4.5602416477647907</v>
      </c>
      <c r="S106" s="10">
        <f t="shared" ref="S106:S137" si="15">(((F106/F$9)^F$7 * F$5 + (I106/I$9)^I$7 * I$5 + (J106/J$9)^J$7 * J$5) * (1+M$3*(MIN(H106,M$2)-1)+M$4*(H106-MIN(H106,M$2))) + (G106/G$9)^G$7 * G$5)  * P$9</f>
        <v>3.7705043883872329</v>
      </c>
      <c r="T106" s="45" cm="1">
        <f t="array" ref="T106">SUMPRODUCT(P106:S106 * P$3:S$3) / SUM(P$3:S$3)</f>
        <v>3.9771888623657654</v>
      </c>
    </row>
    <row r="107" spans="1:20" ht="16.5" customHeight="1" x14ac:dyDescent="0.25">
      <c r="A107" s="4" t="s">
        <v>9003</v>
      </c>
      <c r="B107" s="20"/>
      <c r="E107" s="12" t="s">
        <v>407</v>
      </c>
      <c r="F107" s="4">
        <v>5200</v>
      </c>
      <c r="G107" s="4">
        <v>64</v>
      </c>
      <c r="H107" s="4">
        <v>4</v>
      </c>
      <c r="I107" s="4">
        <v>40</v>
      </c>
      <c r="J107" s="72">
        <v>1.25</v>
      </c>
      <c r="L107" s="9">
        <f>AVERAGEIF('RAMs Products'!D$9:D$1364,RAMs!A107,'RAMs Products'!L$9:L$1364)</f>
        <v>194.15333333333334</v>
      </c>
      <c r="M107" s="3">
        <f>AVERAGEIF('RAMs Products'!D$9:D$1364,RAMs!A107,'RAMs Products'!M$9:M$1364)</f>
        <v>275.97666666666669</v>
      </c>
      <c r="N107" s="17"/>
      <c r="O107" s="18"/>
      <c r="P107" s="49">
        <f t="shared" si="12"/>
        <v>3.2782909968130673</v>
      </c>
      <c r="Q107" s="1">
        <f t="shared" si="13"/>
        <v>4.3701442438711764</v>
      </c>
      <c r="R107" s="1">
        <f t="shared" si="14"/>
        <v>4.6000499660881635</v>
      </c>
      <c r="S107" s="10">
        <f t="shared" si="15"/>
        <v>3.8242176203421221</v>
      </c>
      <c r="T107" s="45" cm="1">
        <f t="array" ref="T107">SUMPRODUCT(P107:S107 * P$3:S$3) / SUM(P$3:S$3)</f>
        <v>4.0275651540767523</v>
      </c>
    </row>
    <row r="108" spans="1:20" ht="16.5" customHeight="1" x14ac:dyDescent="0.25">
      <c r="A108" s="4" t="s">
        <v>9004</v>
      </c>
      <c r="B108" s="20"/>
      <c r="E108" s="12" t="s">
        <v>407</v>
      </c>
      <c r="F108" s="4">
        <v>5200</v>
      </c>
      <c r="G108" s="4">
        <v>96</v>
      </c>
      <c r="H108" s="4">
        <v>2</v>
      </c>
      <c r="I108" s="4">
        <v>38</v>
      </c>
      <c r="J108" s="72">
        <v>1.25</v>
      </c>
      <c r="L108" s="9">
        <f>AVERAGEIF('RAMs Products'!D$9:D$1364,RAMs!A108,'RAMs Products'!L$9:L$1364)</f>
        <v>243.54666666666665</v>
      </c>
      <c r="M108" s="3">
        <f>AVERAGEIF('RAMs Products'!D$9:D$1364,RAMs!A108,'RAMs Products'!M$9:M$1364)</f>
        <v>401.04666666666662</v>
      </c>
      <c r="N108" s="17"/>
      <c r="O108" s="18"/>
      <c r="P108" s="49">
        <f t="shared" si="12"/>
        <v>3.906327699315792</v>
      </c>
      <c r="Q108" s="1">
        <f t="shared" si="13"/>
        <v>5.4689879441359119</v>
      </c>
      <c r="R108" s="1">
        <f t="shared" si="14"/>
        <v>5.8192996917534243</v>
      </c>
      <c r="S108" s="10">
        <f t="shared" si="15"/>
        <v>4.6876578217258524</v>
      </c>
      <c r="T108" s="45" cm="1">
        <f t="array" ref="T108">SUMPRODUCT(P108:S108 * P$3:S$3) / SUM(P$3:S$3)</f>
        <v>4.9819612051777957</v>
      </c>
    </row>
    <row r="109" spans="1:20" ht="16.5" customHeight="1" x14ac:dyDescent="0.25">
      <c r="A109" s="4" t="s">
        <v>9005</v>
      </c>
      <c r="B109" s="20"/>
      <c r="E109" s="12" t="s">
        <v>407</v>
      </c>
      <c r="F109" s="4">
        <v>5200</v>
      </c>
      <c r="G109" s="4">
        <v>128</v>
      </c>
      <c r="H109" s="4">
        <v>4</v>
      </c>
      <c r="I109" s="4">
        <v>40</v>
      </c>
      <c r="J109" s="72">
        <v>1.25</v>
      </c>
      <c r="L109" s="9">
        <f>AVERAGEIF('RAMs Products'!D$9:D$1364,RAMs!A109,'RAMs Products'!L$9:L$1364)</f>
        <v>342.72666666666669</v>
      </c>
      <c r="M109" s="3">
        <f>AVERAGEIF('RAMs Products'!D$9:D$1364,RAMs!A109,'RAMs Products'!M$9:M$1364)</f>
        <v>500.9666666666667</v>
      </c>
      <c r="N109" s="17"/>
      <c r="O109" s="18"/>
      <c r="P109" s="49">
        <f t="shared" si="12"/>
        <v>4.5830821945977975</v>
      </c>
      <c r="Q109" s="1">
        <f t="shared" si="13"/>
        <v>6.5447962401790596</v>
      </c>
      <c r="R109" s="1">
        <f t="shared" si="14"/>
        <v>6.9921671620268357</v>
      </c>
      <c r="S109" s="10">
        <f t="shared" si="15"/>
        <v>5.5639392173884286</v>
      </c>
      <c r="T109" s="45" cm="1">
        <f t="array" ref="T109">SUMPRODUCT(P109:S109 * P$3:S$3) / SUM(P$3:S$3)</f>
        <v>5.9345676739159723</v>
      </c>
    </row>
    <row r="110" spans="1:20" ht="16.5" customHeight="1" x14ac:dyDescent="0.25">
      <c r="A110" s="4" t="s">
        <v>9006</v>
      </c>
      <c r="B110" s="20"/>
      <c r="E110" s="12" t="s">
        <v>407</v>
      </c>
      <c r="F110" s="4">
        <v>5200</v>
      </c>
      <c r="G110" s="4">
        <v>192</v>
      </c>
      <c r="H110" s="4">
        <v>4</v>
      </c>
      <c r="I110" s="4">
        <v>38</v>
      </c>
      <c r="J110" s="72">
        <v>1.25</v>
      </c>
      <c r="L110" s="9">
        <f>AVERAGEIF('RAMs Products'!D$9:D$1364,RAMs!A110,'RAMs Products'!L$9:L$1364)</f>
        <v>653.22500000000002</v>
      </c>
      <c r="M110" s="3">
        <f>AVERAGEIF('RAMs Products'!D$9:D$1364,RAMs!A110,'RAMs Products'!M$9:M$1364)</f>
        <v>905.87</v>
      </c>
      <c r="N110" s="17"/>
      <c r="O110" s="18"/>
      <c r="P110" s="49">
        <f t="shared" si="12"/>
        <v>5.701059630938869</v>
      </c>
      <c r="Q110" s="1">
        <f t="shared" si="13"/>
        <v>8.4033955635530795</v>
      </c>
      <c r="R110" s="1">
        <f t="shared" si="14"/>
        <v>9.036425143287067</v>
      </c>
      <c r="S110" s="10">
        <f t="shared" si="15"/>
        <v>7.0522275972459747</v>
      </c>
      <c r="T110" s="45" cm="1">
        <f t="array" ref="T110">SUMPRODUCT(P110:S110 * P$3:S$3) / SUM(P$3:S$3)</f>
        <v>7.5653607529918503</v>
      </c>
    </row>
    <row r="111" spans="1:20" ht="16.5" customHeight="1" x14ac:dyDescent="0.25">
      <c r="A111" s="4" t="s">
        <v>9007</v>
      </c>
      <c r="B111" s="20"/>
      <c r="E111" s="12" t="s">
        <v>407</v>
      </c>
      <c r="F111" s="4">
        <v>5600</v>
      </c>
      <c r="G111" s="4">
        <v>8</v>
      </c>
      <c r="H111" s="4">
        <v>1</v>
      </c>
      <c r="I111" s="4">
        <v>40</v>
      </c>
      <c r="J111" s="72">
        <v>1.25</v>
      </c>
      <c r="L111" s="9">
        <f>AVERAGEIF('RAMs Products'!D$9:D$1364,RAMs!A111,'RAMs Products'!L$9:L$1364)</f>
        <v>31.740000000000002</v>
      </c>
      <c r="M111" s="3">
        <f>AVERAGEIF('RAMs Products'!D$9:D$1364,RAMs!A111,'RAMs Products'!M$9:M$1364)</f>
        <v>56.480000000000004</v>
      </c>
      <c r="N111" s="17"/>
      <c r="O111" s="18"/>
      <c r="P111" s="49">
        <f t="shared" si="12"/>
        <v>1.5621634725191211</v>
      </c>
      <c r="Q111" s="1">
        <f t="shared" si="13"/>
        <v>1.6150982818765658</v>
      </c>
      <c r="R111" s="1">
        <f t="shared" si="14"/>
        <v>1.588098484856201</v>
      </c>
      <c r="S111" s="10">
        <f t="shared" si="15"/>
        <v>1.5886308771978437</v>
      </c>
      <c r="T111" s="45" cm="1">
        <f t="array" ref="T111">SUMPRODUCT(P111:S111 * P$3:S$3) / SUM(P$3:S$3)</f>
        <v>1.592620879095856</v>
      </c>
    </row>
    <row r="112" spans="1:20" ht="16.5" customHeight="1" x14ac:dyDescent="0.25">
      <c r="A112" s="4" t="s">
        <v>9008</v>
      </c>
      <c r="B112" s="20"/>
      <c r="E112" s="12" t="s">
        <v>407</v>
      </c>
      <c r="F112" s="4">
        <v>5600</v>
      </c>
      <c r="G112" s="4">
        <v>16</v>
      </c>
      <c r="H112" s="4">
        <v>1</v>
      </c>
      <c r="I112" s="4">
        <v>40</v>
      </c>
      <c r="J112" s="72">
        <v>1.25</v>
      </c>
      <c r="L112" s="9">
        <f>AVERAGEIF('RAMs Products'!D$9:D$1364,RAMs!A112,'RAMs Products'!L$9:L$1364)</f>
        <v>52.326363636363638</v>
      </c>
      <c r="M112" s="3">
        <f>AVERAGEIF('RAMs Products'!D$9:D$1364,RAMs!A112,'RAMs Products'!M$9:M$1364)</f>
        <v>102.78181818181817</v>
      </c>
      <c r="N112" s="17"/>
      <c r="O112" s="18"/>
      <c r="P112" s="49">
        <f t="shared" si="12"/>
        <v>1.8665167811691163</v>
      </c>
      <c r="Q112" s="1">
        <f t="shared" si="13"/>
        <v>2.1223537962932246</v>
      </c>
      <c r="R112" s="1">
        <f t="shared" si="14"/>
        <v>2.1460795507145258</v>
      </c>
      <c r="S112" s="10">
        <f t="shared" si="15"/>
        <v>1.9944352887311707</v>
      </c>
      <c r="T112" s="45" cm="1">
        <f t="array" ref="T112">SUMPRODUCT(P112:S112 * P$3:S$3) / SUM(P$3:S$3)</f>
        <v>2.0374449455843102</v>
      </c>
    </row>
    <row r="113" spans="1:20" ht="16.5" customHeight="1" x14ac:dyDescent="0.25">
      <c r="A113" s="4" t="s">
        <v>9009</v>
      </c>
      <c r="B113" s="20"/>
      <c r="E113" s="12" t="s">
        <v>407</v>
      </c>
      <c r="F113" s="4">
        <v>5600</v>
      </c>
      <c r="G113" s="4">
        <v>16</v>
      </c>
      <c r="H113" s="4">
        <v>2</v>
      </c>
      <c r="I113" s="4">
        <v>40</v>
      </c>
      <c r="J113" s="72">
        <v>1.25</v>
      </c>
      <c r="L113" s="9">
        <f>AVERAGEIF('RAMs Products'!D$9:D$1364,RAMs!A113,'RAMs Products'!L$9:L$1364)</f>
        <v>56.160000000000004</v>
      </c>
      <c r="M113" s="3">
        <f>AVERAGEIF('RAMs Products'!D$9:D$1364,RAMs!A113,'RAMs Products'!M$9:M$1364)</f>
        <v>107.29749999999999</v>
      </c>
      <c r="N113" s="17"/>
      <c r="O113" s="18"/>
      <c r="P113" s="49">
        <f t="shared" si="12"/>
        <v>1.9739979846396545</v>
      </c>
      <c r="Q113" s="1">
        <f t="shared" si="13"/>
        <v>2.2026383848452578</v>
      </c>
      <c r="R113" s="1">
        <f t="shared" si="14"/>
        <v>2.2155416356009598</v>
      </c>
      <c r="S113" s="10">
        <f t="shared" si="15"/>
        <v>2.0883181847424561</v>
      </c>
      <c r="T113" s="45" cm="1">
        <f t="array" ref="T113">SUMPRODUCT(P113:S113 * P$3:S$3) / SUM(P$3:S$3)</f>
        <v>2.125478746428811</v>
      </c>
    </row>
    <row r="114" spans="1:20" ht="16.5" customHeight="1" x14ac:dyDescent="0.25">
      <c r="A114" s="4" t="s">
        <v>9010</v>
      </c>
      <c r="B114" s="20"/>
      <c r="E114" s="12" t="s">
        <v>407</v>
      </c>
      <c r="F114" s="4">
        <v>5600</v>
      </c>
      <c r="G114" s="4">
        <v>32</v>
      </c>
      <c r="H114" s="4">
        <v>1</v>
      </c>
      <c r="I114" s="4">
        <v>40</v>
      </c>
      <c r="J114" s="72">
        <v>1.25</v>
      </c>
      <c r="L114" s="9">
        <f>AVERAGEIF('RAMs Products'!D$9:D$1364,RAMs!A114,'RAMs Products'!L$9:L$1364)</f>
        <v>90.553636363636357</v>
      </c>
      <c r="M114" s="3">
        <f>AVERAGEIF('RAMs Products'!D$9:D$1364,RAMs!A114,'RAMs Products'!M$9:M$1364)</f>
        <v>133.70090909090911</v>
      </c>
      <c r="N114" s="17"/>
      <c r="O114" s="18"/>
      <c r="P114" s="49">
        <f t="shared" si="12"/>
        <v>2.3609401897489315</v>
      </c>
      <c r="Q114" s="1">
        <f t="shared" si="13"/>
        <v>2.9463928105929162</v>
      </c>
      <c r="R114" s="1">
        <f t="shared" si="14"/>
        <v>3.0525224664441866</v>
      </c>
      <c r="S114" s="10">
        <f t="shared" si="15"/>
        <v>2.6536665001709236</v>
      </c>
      <c r="T114" s="45" cm="1">
        <f t="array" ref="T114">SUMPRODUCT(P114:S114 * P$3:S$3) / SUM(P$3:S$3)</f>
        <v>2.7600637735086555</v>
      </c>
    </row>
    <row r="115" spans="1:20" ht="16.5" customHeight="1" x14ac:dyDescent="0.25">
      <c r="A115" s="4" t="s">
        <v>9011</v>
      </c>
      <c r="B115" s="20"/>
      <c r="E115" s="12" t="s">
        <v>407</v>
      </c>
      <c r="F115" s="4">
        <v>5600</v>
      </c>
      <c r="G115" s="4">
        <v>32</v>
      </c>
      <c r="H115" s="4">
        <v>2</v>
      </c>
      <c r="I115" s="4">
        <v>36</v>
      </c>
      <c r="J115" s="72">
        <v>1.25</v>
      </c>
      <c r="L115" s="9">
        <f>AVERAGEIF('RAMs Products'!D$9:D$1364,RAMs!A115,'RAMs Products'!L$9:L$1364)</f>
        <v>111.24379999999999</v>
      </c>
      <c r="M115" s="3">
        <f>AVERAGEIF('RAMs Products'!D$9:D$1364,RAMs!A115,'RAMs Products'!M$9:M$1364)</f>
        <v>215.44720000000001</v>
      </c>
      <c r="N115" s="17"/>
      <c r="O115" s="18"/>
      <c r="P115" s="49">
        <f t="shared" si="12"/>
        <v>2.4763916101051775</v>
      </c>
      <c r="Q115" s="1">
        <f t="shared" si="13"/>
        <v>3.0306625075878033</v>
      </c>
      <c r="R115" s="1">
        <f t="shared" si="14"/>
        <v>3.125969659773475</v>
      </c>
      <c r="S115" s="10">
        <f t="shared" si="15"/>
        <v>2.7535270588464904</v>
      </c>
      <c r="T115" s="45" cm="1">
        <f t="array" ref="T115">SUMPRODUCT(P115:S115 * P$3:S$3) / SUM(P$3:S$3)</f>
        <v>2.853462143410844</v>
      </c>
    </row>
    <row r="116" spans="1:20" ht="16.5" customHeight="1" x14ac:dyDescent="0.25">
      <c r="A116" s="4" t="s">
        <v>9012</v>
      </c>
      <c r="B116" s="20"/>
      <c r="E116" s="12" t="s">
        <v>407</v>
      </c>
      <c r="F116" s="4">
        <v>5600</v>
      </c>
      <c r="G116" s="4">
        <v>48</v>
      </c>
      <c r="H116" s="4">
        <v>2</v>
      </c>
      <c r="I116" s="4">
        <v>40</v>
      </c>
      <c r="J116" s="72">
        <v>1.25</v>
      </c>
      <c r="L116" s="9">
        <f>AVERAGEIF('RAMs Products'!D$9:D$1364,RAMs!A116,'RAMs Products'!L$9:L$1364)</f>
        <v>146.85399999999998</v>
      </c>
      <c r="M116" s="3">
        <f>AVERAGEIF('RAMs Products'!D$9:D$1364,RAMs!A116,'RAMs Products'!M$9:M$1364)</f>
        <v>212.92600000000002</v>
      </c>
      <c r="N116" s="17"/>
      <c r="O116" s="18"/>
      <c r="P116" s="49">
        <f t="shared" si="12"/>
        <v>2.890530248430796</v>
      </c>
      <c r="Q116" s="1">
        <f t="shared" si="13"/>
        <v>3.7301921578304937</v>
      </c>
      <c r="R116" s="1">
        <f t="shared" si="14"/>
        <v>3.8958507858847193</v>
      </c>
      <c r="S116" s="10">
        <f t="shared" si="15"/>
        <v>3.3103612031306451</v>
      </c>
      <c r="T116" s="45" cm="1">
        <f t="array" ref="T116">SUMPRODUCT(P116:S116 * P$3:S$3) / SUM(P$3:S$3)</f>
        <v>3.4650259012004789</v>
      </c>
    </row>
    <row r="117" spans="1:20" ht="16.5" customHeight="1" x14ac:dyDescent="0.25">
      <c r="A117" s="4" t="s">
        <v>9013</v>
      </c>
      <c r="B117" s="20"/>
      <c r="E117" s="12" t="s">
        <v>407</v>
      </c>
      <c r="F117" s="4">
        <v>5600</v>
      </c>
      <c r="G117" s="4">
        <v>64</v>
      </c>
      <c r="H117" s="4">
        <v>2</v>
      </c>
      <c r="I117" s="4">
        <v>40</v>
      </c>
      <c r="J117" s="72">
        <v>1.25</v>
      </c>
      <c r="L117" s="9">
        <f>AVERAGEIF('RAMs Products'!D$9:D$1364,RAMs!A117,'RAMs Products'!L$9:L$1364)</f>
        <v>197.12571428571428</v>
      </c>
      <c r="M117" s="3">
        <f>AVERAGEIF('RAMs Products'!D$9:D$1364,RAMs!A117,'RAMs Products'!M$9:M$1364)</f>
        <v>278.74942857142855</v>
      </c>
      <c r="N117" s="17"/>
      <c r="O117" s="18"/>
      <c r="P117" s="49">
        <f t="shared" si="12"/>
        <v>3.2716145900866156</v>
      </c>
      <c r="Q117" s="1">
        <f t="shared" si="13"/>
        <v>4.3653327272568596</v>
      </c>
      <c r="R117" s="1">
        <f t="shared" si="14"/>
        <v>4.5945054122537226</v>
      </c>
      <c r="S117" s="10">
        <f t="shared" si="15"/>
        <v>3.818473658671738</v>
      </c>
      <c r="T117" s="45" cm="1">
        <f t="array" ref="T117">SUMPRODUCT(P117:S117 * P$3:S$3) / SUM(P$3:S$3)</f>
        <v>4.0219953236205228</v>
      </c>
    </row>
    <row r="118" spans="1:20" ht="16.5" customHeight="1" x14ac:dyDescent="0.25">
      <c r="A118" s="4" t="s">
        <v>9014</v>
      </c>
      <c r="B118" s="20"/>
      <c r="E118" s="12" t="s">
        <v>407</v>
      </c>
      <c r="F118" s="4">
        <v>5600</v>
      </c>
      <c r="G118" s="4">
        <v>64</v>
      </c>
      <c r="H118" s="4">
        <v>4</v>
      </c>
      <c r="I118" s="4">
        <v>36</v>
      </c>
      <c r="J118" s="72">
        <v>1.25</v>
      </c>
      <c r="L118" s="9">
        <f>AVERAGEIF('RAMs Products'!D$9:D$1364,RAMs!A118,'RAMs Products'!L$9:L$1364)</f>
        <v>217.82875000000001</v>
      </c>
      <c r="M118" s="3">
        <f>AVERAGEIF('RAMs Products'!D$9:D$1364,RAMs!A118,'RAMs Products'!M$9:M$1364)</f>
        <v>290.94749999999999</v>
      </c>
      <c r="N118" s="17"/>
      <c r="O118" s="18"/>
      <c r="P118" s="49">
        <f t="shared" si="12"/>
        <v>3.3445082681575036</v>
      </c>
      <c r="Q118" s="1">
        <f t="shared" si="13"/>
        <v>4.4177059583823617</v>
      </c>
      <c r="R118" s="1">
        <f t="shared" si="14"/>
        <v>4.6403851411798653</v>
      </c>
      <c r="S118" s="10">
        <f t="shared" si="15"/>
        <v>3.8811071132699331</v>
      </c>
      <c r="T118" s="45" cm="1">
        <f t="array" ref="T118">SUMPRODUCT(P118:S118 * P$3:S$3) / SUM(P$3:S$3)</f>
        <v>4.0804727860426038</v>
      </c>
    </row>
    <row r="119" spans="1:20" ht="16.5" customHeight="1" x14ac:dyDescent="0.25">
      <c r="A119" s="4" t="s">
        <v>9015</v>
      </c>
      <c r="B119" s="20"/>
      <c r="E119" s="12" t="s">
        <v>407</v>
      </c>
      <c r="F119" s="4">
        <v>5600</v>
      </c>
      <c r="G119" s="4">
        <v>96</v>
      </c>
      <c r="H119" s="4">
        <v>2</v>
      </c>
      <c r="I119" s="4">
        <v>40</v>
      </c>
      <c r="J119" s="72">
        <v>1.25</v>
      </c>
      <c r="L119" s="9">
        <f>AVERAGEIF('RAMs Products'!D$9:D$1364,RAMs!A119,'RAMs Products'!L$9:L$1364)</f>
        <v>266.63249999999999</v>
      </c>
      <c r="M119" s="3">
        <f>AVERAGEIF('RAMs Products'!D$9:D$1364,RAMs!A119,'RAMs Products'!M$9:M$1364)</f>
        <v>373.07499999999999</v>
      </c>
      <c r="N119" s="17"/>
      <c r="O119" s="18"/>
      <c r="P119" s="49">
        <f t="shared" si="12"/>
        <v>3.9573324484237906</v>
      </c>
      <c r="Q119" s="1">
        <f t="shared" si="13"/>
        <v>5.5081958244854849</v>
      </c>
      <c r="R119" s="1">
        <f t="shared" si="14"/>
        <v>5.8516548192052102</v>
      </c>
      <c r="S119" s="10">
        <f t="shared" si="15"/>
        <v>4.7327641364546373</v>
      </c>
      <c r="T119" s="45" cm="1">
        <f t="array" ref="T119">SUMPRODUCT(P119:S119 * P$3:S$3) / SUM(P$3:S$3)</f>
        <v>5.024198347344087</v>
      </c>
    </row>
    <row r="120" spans="1:20" ht="16.5" customHeight="1" x14ac:dyDescent="0.25">
      <c r="A120" s="4" t="s">
        <v>9016</v>
      </c>
      <c r="B120" s="20"/>
      <c r="E120" s="12" t="s">
        <v>407</v>
      </c>
      <c r="F120" s="4">
        <v>5600</v>
      </c>
      <c r="G120" s="4">
        <v>96</v>
      </c>
      <c r="H120" s="4">
        <v>4</v>
      </c>
      <c r="I120" s="4">
        <v>40</v>
      </c>
      <c r="J120" s="72">
        <v>1.25</v>
      </c>
      <c r="L120" s="9">
        <f>AVERAGEIF('RAMs Products'!D$9:D$1364,RAMs!A120,'RAMs Products'!L$9:L$1364)</f>
        <v>304.78499999999997</v>
      </c>
      <c r="M120" s="3">
        <f>AVERAGEIF('RAMs Products'!D$9:D$1364,RAMs!A120,'RAMs Products'!M$9:M$1364)</f>
        <v>367.56</v>
      </c>
      <c r="N120" s="17"/>
      <c r="O120" s="18"/>
      <c r="P120" s="49">
        <f t="shared" si="12"/>
        <v>4.0218211705061133</v>
      </c>
      <c r="Q120" s="1">
        <f t="shared" si="13"/>
        <v>5.5563665776167044</v>
      </c>
      <c r="R120" s="1">
        <f t="shared" si="14"/>
        <v>5.8933320701370704</v>
      </c>
      <c r="S120" s="10">
        <f t="shared" si="15"/>
        <v>4.7890938740614093</v>
      </c>
      <c r="T120" s="45" cm="1">
        <f t="array" ref="T120">SUMPRODUCT(P120:S120 * P$3:S$3) / SUM(P$3:S$3)</f>
        <v>5.0770186278507863</v>
      </c>
    </row>
    <row r="121" spans="1:20" ht="16.5" customHeight="1" x14ac:dyDescent="0.25">
      <c r="A121" s="4" t="s">
        <v>9017</v>
      </c>
      <c r="B121" s="20"/>
      <c r="E121" s="12" t="s">
        <v>407</v>
      </c>
      <c r="F121" s="4">
        <v>5600</v>
      </c>
      <c r="G121" s="4">
        <v>128</v>
      </c>
      <c r="H121" s="4">
        <v>4</v>
      </c>
      <c r="I121" s="4">
        <v>40</v>
      </c>
      <c r="J121" s="72">
        <v>1.25</v>
      </c>
      <c r="L121" s="9">
        <f>AVERAGEIF('RAMs Products'!D$9:D$1364,RAMs!A121,'RAMs Products'!L$9:L$1364)</f>
        <v>382.58333333333331</v>
      </c>
      <c r="M121" s="3">
        <f>AVERAGEIF('RAMs Products'!D$9:D$1364,RAMs!A121,'RAMs Products'!M$9:M$1364)</f>
        <v>499.21333333333331</v>
      </c>
      <c r="N121" s="17"/>
      <c r="O121" s="18"/>
      <c r="P121" s="49">
        <f t="shared" si="12"/>
        <v>4.6408945099536689</v>
      </c>
      <c r="Q121" s="1">
        <f t="shared" si="13"/>
        <v>6.5881554766959631</v>
      </c>
      <c r="R121" s="1">
        <f t="shared" si="14"/>
        <v>7.0282998591242549</v>
      </c>
      <c r="S121" s="10">
        <f t="shared" si="15"/>
        <v>5.6145249933248165</v>
      </c>
      <c r="T121" s="45" cm="1">
        <f t="array" ref="T121">SUMPRODUCT(P121:S121 * P$3:S$3) / SUM(P$3:S$3)</f>
        <v>5.9818181239664439</v>
      </c>
    </row>
    <row r="122" spans="1:20" ht="16.5" customHeight="1" x14ac:dyDescent="0.25">
      <c r="A122" s="4" t="s">
        <v>9018</v>
      </c>
      <c r="B122" s="20"/>
      <c r="E122" s="12" t="s">
        <v>407</v>
      </c>
      <c r="F122" s="4">
        <v>6000</v>
      </c>
      <c r="G122" s="4">
        <v>8</v>
      </c>
      <c r="H122" s="4">
        <v>1</v>
      </c>
      <c r="I122" s="4">
        <v>40</v>
      </c>
      <c r="J122" s="72">
        <v>1.35</v>
      </c>
      <c r="L122" s="9">
        <f>AVERAGEIF('RAMs Products'!D$9:D$1364,RAMs!A122,'RAMs Products'!L$9:L$1364)</f>
        <v>40.1325</v>
      </c>
      <c r="M122" s="3">
        <f>AVERAGEIF('RAMs Products'!D$9:D$1364,RAMs!A122,'RAMs Products'!M$9:M$1364)</f>
        <v>61.844999999999999</v>
      </c>
      <c r="N122" s="17"/>
      <c r="O122" s="18"/>
      <c r="P122" s="49">
        <f t="shared" si="12"/>
        <v>1.6075954189710373</v>
      </c>
      <c r="Q122" s="1">
        <f t="shared" si="13"/>
        <v>1.6482475703272226</v>
      </c>
      <c r="R122" s="1">
        <f t="shared" si="14"/>
        <v>1.6151064443062284</v>
      </c>
      <c r="S122" s="10">
        <f t="shared" si="15"/>
        <v>1.6279214946491301</v>
      </c>
      <c r="T122" s="45" cm="1">
        <f t="array" ref="T122">SUMPRODUCT(P122:S122 * P$3:S$3) / SUM(P$3:S$3)</f>
        <v>1.62907703700839</v>
      </c>
    </row>
    <row r="123" spans="1:20" ht="16.5" customHeight="1" x14ac:dyDescent="0.25">
      <c r="A123" s="4" t="s">
        <v>9019</v>
      </c>
      <c r="B123" s="20"/>
      <c r="E123" s="12" t="s">
        <v>407</v>
      </c>
      <c r="F123" s="4">
        <v>6000</v>
      </c>
      <c r="G123" s="4">
        <v>16</v>
      </c>
      <c r="H123" s="4">
        <v>1</v>
      </c>
      <c r="I123" s="4">
        <v>36</v>
      </c>
      <c r="J123" s="72">
        <v>1.35</v>
      </c>
      <c r="L123" s="9">
        <f>AVERAGEIF('RAMs Products'!D$9:D$1364,RAMs!A123,'RAMs Products'!L$9:L$1364)</f>
        <v>67.004444444444459</v>
      </c>
      <c r="M123" s="3">
        <f>AVERAGEIF('RAMs Products'!D$9:D$1364,RAMs!A123,'RAMs Products'!M$9:M$1364)</f>
        <v>100.24944444444445</v>
      </c>
      <c r="N123" s="17"/>
      <c r="O123" s="18"/>
      <c r="P123" s="49">
        <f t="shared" si="12"/>
        <v>1.9191943793353126</v>
      </c>
      <c r="Q123" s="1">
        <f t="shared" si="13"/>
        <v>2.1591259106010212</v>
      </c>
      <c r="R123" s="1">
        <f t="shared" si="14"/>
        <v>2.1767103360216931</v>
      </c>
      <c r="S123" s="10">
        <f t="shared" si="15"/>
        <v>2.0391601449681671</v>
      </c>
      <c r="T123" s="45" cm="1">
        <f t="array" ref="T123">SUMPRODUCT(P123:S123 * P$3:S$3) / SUM(P$3:S$3)</f>
        <v>2.0787779844583794</v>
      </c>
    </row>
    <row r="124" spans="1:20" ht="16.5" customHeight="1" x14ac:dyDescent="0.25">
      <c r="A124" s="4" t="s">
        <v>9020</v>
      </c>
      <c r="B124" s="20"/>
      <c r="E124" s="12" t="s">
        <v>407</v>
      </c>
      <c r="F124" s="4">
        <v>6000</v>
      </c>
      <c r="G124" s="4">
        <v>16</v>
      </c>
      <c r="H124" s="4">
        <v>2</v>
      </c>
      <c r="I124" s="4">
        <v>40</v>
      </c>
      <c r="J124" s="72">
        <v>1.35</v>
      </c>
      <c r="L124" s="9">
        <f>AVERAGEIF('RAMs Products'!D$9:D$1364,RAMs!A124,'RAMs Products'!L$9:L$1364)</f>
        <v>67.34571428571428</v>
      </c>
      <c r="M124" s="3">
        <f>AVERAGEIF('RAMs Products'!D$9:D$1364,RAMs!A124,'RAMs Products'!M$9:M$1364)</f>
        <v>114.25999999999999</v>
      </c>
      <c r="N124" s="17"/>
      <c r="O124" s="18"/>
      <c r="P124" s="49">
        <f t="shared" si="12"/>
        <v>2.0239731257367621</v>
      </c>
      <c r="Q124" s="1">
        <f t="shared" si="13"/>
        <v>2.2391026021409801</v>
      </c>
      <c r="R124" s="1">
        <f t="shared" si="14"/>
        <v>2.2452503909959898</v>
      </c>
      <c r="S124" s="10">
        <f t="shared" si="15"/>
        <v>2.1315378639388713</v>
      </c>
      <c r="T124" s="45" cm="1">
        <f t="array" ref="T124">SUMPRODUCT(P124:S124 * P$3:S$3) / SUM(P$3:S$3)</f>
        <v>2.1655805201325986</v>
      </c>
    </row>
    <row r="125" spans="1:20" ht="16.5" customHeight="1" x14ac:dyDescent="0.25">
      <c r="A125" s="4" t="s">
        <v>9021</v>
      </c>
      <c r="B125" s="20"/>
      <c r="E125" s="12" t="s">
        <v>407</v>
      </c>
      <c r="F125" s="4">
        <v>6000</v>
      </c>
      <c r="G125" s="4">
        <v>32</v>
      </c>
      <c r="H125" s="4">
        <v>1</v>
      </c>
      <c r="I125" s="4">
        <v>30</v>
      </c>
      <c r="J125" s="72">
        <v>1.4</v>
      </c>
      <c r="L125" s="9">
        <f>AVERAGEIF('RAMs Products'!D$9:D$1364,RAMs!A125,'RAMs Products'!L$9:L$1364)</f>
        <v>114.66307692307693</v>
      </c>
      <c r="M125" s="3">
        <f>AVERAGEIF('RAMs Products'!D$9:D$1364,RAMs!A125,'RAMs Products'!M$9:M$1364)</f>
        <v>179.63153846153847</v>
      </c>
      <c r="N125" s="17"/>
      <c r="O125" s="18"/>
      <c r="P125" s="49">
        <f t="shared" si="12"/>
        <v>2.42559188135104</v>
      </c>
      <c r="Q125" s="1">
        <f t="shared" si="13"/>
        <v>2.9883025245281933</v>
      </c>
      <c r="R125" s="1">
        <f t="shared" si="14"/>
        <v>3.0882908513788343</v>
      </c>
      <c r="S125" s="10">
        <f t="shared" si="15"/>
        <v>2.7069472029396167</v>
      </c>
      <c r="T125" s="45" cm="1">
        <f t="array" ref="T125">SUMPRODUCT(P125:S125 * P$3:S$3) / SUM(P$3:S$3)</f>
        <v>2.8089008906362007</v>
      </c>
    </row>
    <row r="126" spans="1:20" ht="16.5" customHeight="1" x14ac:dyDescent="0.25">
      <c r="A126" s="4" t="s">
        <v>9022</v>
      </c>
      <c r="B126" s="20"/>
      <c r="E126" s="12" t="s">
        <v>407</v>
      </c>
      <c r="F126" s="4">
        <v>6000</v>
      </c>
      <c r="G126" s="4">
        <v>32</v>
      </c>
      <c r="H126" s="4">
        <v>2</v>
      </c>
      <c r="I126" s="4">
        <v>36</v>
      </c>
      <c r="J126" s="72">
        <v>1.4</v>
      </c>
      <c r="L126" s="9">
        <f>AVERAGEIF('RAMs Products'!D$9:D$1364,RAMs!A126,'RAMs Products'!L$9:L$1364)</f>
        <v>126.40196721311472</v>
      </c>
      <c r="M126" s="3">
        <f>AVERAGEIF('RAMs Products'!D$9:D$1364,RAMs!A126,'RAMs Products'!M$9:M$1364)</f>
        <v>180.85344262295089</v>
      </c>
      <c r="N126" s="17"/>
      <c r="O126" s="18"/>
      <c r="P126" s="49">
        <f t="shared" si="12"/>
        <v>2.5244979676032391</v>
      </c>
      <c r="Q126" s="1">
        <f t="shared" si="13"/>
        <v>3.0652579412844796</v>
      </c>
      <c r="R126" s="1">
        <f t="shared" si="14"/>
        <v>3.1538096315694584</v>
      </c>
      <c r="S126" s="10">
        <f t="shared" si="15"/>
        <v>2.7948779544438591</v>
      </c>
      <c r="T126" s="45" cm="1">
        <f t="array" ref="T126">SUMPRODUCT(P126:S126 * P$3:S$3) / SUM(P$3:S$3)</f>
        <v>2.8916951335155856</v>
      </c>
    </row>
    <row r="127" spans="1:20" ht="16.5" customHeight="1" x14ac:dyDescent="0.25">
      <c r="A127" s="4" t="s">
        <v>9023</v>
      </c>
      <c r="B127" s="20"/>
      <c r="E127" s="12" t="s">
        <v>407</v>
      </c>
      <c r="F127" s="4">
        <v>6000</v>
      </c>
      <c r="G127" s="4">
        <v>48</v>
      </c>
      <c r="H127" s="4">
        <v>1</v>
      </c>
      <c r="I127" s="4">
        <v>32</v>
      </c>
      <c r="J127" s="72">
        <v>1.35</v>
      </c>
      <c r="L127" s="9">
        <f>AVERAGEIF('RAMs Products'!D$9:D$1364,RAMs!A127,'RAMs Products'!L$9:L$1364)</f>
        <v>159.92500000000001</v>
      </c>
      <c r="M127" s="3">
        <f>AVERAGEIF('RAMs Products'!D$9:D$1364,RAMs!A127,'RAMs Products'!M$9:M$1364)</f>
        <v>208.285</v>
      </c>
      <c r="N127" s="17"/>
      <c r="O127" s="18"/>
      <c r="P127" s="49">
        <f t="shared" si="12"/>
        <v>2.8443877494657137</v>
      </c>
      <c r="Q127" s="1">
        <f t="shared" si="13"/>
        <v>3.6910102367558868</v>
      </c>
      <c r="R127" s="1">
        <f t="shared" si="14"/>
        <v>3.8613500394750822</v>
      </c>
      <c r="S127" s="10">
        <f t="shared" si="15"/>
        <v>3.2676989931108</v>
      </c>
      <c r="T127" s="45" cm="1">
        <f t="array" ref="T127">SUMPRODUCT(P127:S127 * P$3:S$3) / SUM(P$3:S$3)</f>
        <v>3.4241547300353186</v>
      </c>
    </row>
    <row r="128" spans="1:20" ht="16.5" customHeight="1" x14ac:dyDescent="0.25">
      <c r="A128" s="4" t="s">
        <v>9024</v>
      </c>
      <c r="B128" s="20"/>
      <c r="E128" s="12" t="s">
        <v>407</v>
      </c>
      <c r="F128" s="4">
        <v>6000</v>
      </c>
      <c r="G128" s="4">
        <v>48</v>
      </c>
      <c r="H128" s="4">
        <v>2</v>
      </c>
      <c r="I128" s="4">
        <v>30</v>
      </c>
      <c r="J128" s="72">
        <v>1.4</v>
      </c>
      <c r="L128" s="9">
        <f>AVERAGEIF('RAMs Products'!D$9:D$1364,RAMs!A128,'RAMs Products'!L$9:L$1364)</f>
        <v>188.07947368421051</v>
      </c>
      <c r="M128" s="3">
        <f>AVERAGEIF('RAMs Products'!D$9:D$1364,RAMs!A128,'RAMs Products'!M$9:M$1364)</f>
        <v>230.24947368421053</v>
      </c>
      <c r="N128" s="17"/>
      <c r="O128" s="18"/>
      <c r="P128" s="49">
        <f t="shared" si="12"/>
        <v>2.9616471091931156</v>
      </c>
      <c r="Q128" s="1">
        <f t="shared" si="13"/>
        <v>3.7762928431592986</v>
      </c>
      <c r="R128" s="1">
        <f t="shared" si="14"/>
        <v>3.9351960093128322</v>
      </c>
      <c r="S128" s="10">
        <f t="shared" si="15"/>
        <v>3.3689699761762073</v>
      </c>
      <c r="T128" s="45" cm="1">
        <f t="array" ref="T128">SUMPRODUCT(P128:S128 * P$3:S$3) / SUM(P$3:S$3)</f>
        <v>3.5187467300407791</v>
      </c>
    </row>
    <row r="129" spans="1:20" ht="16.5" customHeight="1" x14ac:dyDescent="0.25">
      <c r="A129" s="4" t="s">
        <v>9025</v>
      </c>
      <c r="B129" s="20"/>
      <c r="E129" s="12" t="s">
        <v>407</v>
      </c>
      <c r="F129" s="4">
        <v>6000</v>
      </c>
      <c r="G129" s="4">
        <v>64</v>
      </c>
      <c r="H129" s="4">
        <v>2</v>
      </c>
      <c r="I129" s="4">
        <v>40</v>
      </c>
      <c r="J129" s="72">
        <v>1.35</v>
      </c>
      <c r="L129" s="9">
        <f>AVERAGEIF('RAMs Products'!D$9:D$1364,RAMs!A129,'RAMs Products'!L$9:L$1364)</f>
        <v>230.97078947368425</v>
      </c>
      <c r="M129" s="3">
        <f>AVERAGEIF('RAMs Products'!D$9:D$1364,RAMs!A129,'RAMs Products'!M$9:M$1364)</f>
        <v>312.10407894736863</v>
      </c>
      <c r="N129" s="17"/>
      <c r="O129" s="18"/>
      <c r="P129" s="49">
        <f t="shared" si="12"/>
        <v>3.3215897311837232</v>
      </c>
      <c r="Q129" s="1">
        <f t="shared" si="13"/>
        <v>4.401796944552582</v>
      </c>
      <c r="R129" s="1">
        <f t="shared" si="14"/>
        <v>4.624214167648752</v>
      </c>
      <c r="S129" s="10">
        <f t="shared" si="15"/>
        <v>3.8616933378681528</v>
      </c>
      <c r="T129" s="45" cm="1">
        <f t="array" ref="T129">SUMPRODUCT(P129:S129 * P$3:S$3) / SUM(P$3:S$3)</f>
        <v>4.0620970973243109</v>
      </c>
    </row>
    <row r="130" spans="1:20" ht="16.5" customHeight="1" x14ac:dyDescent="0.25">
      <c r="A130" s="4" t="s">
        <v>9026</v>
      </c>
      <c r="B130" s="20"/>
      <c r="E130" s="12" t="s">
        <v>407</v>
      </c>
      <c r="F130" s="4">
        <v>6000</v>
      </c>
      <c r="G130" s="4">
        <v>64</v>
      </c>
      <c r="H130" s="4">
        <v>4</v>
      </c>
      <c r="I130" s="4">
        <v>36</v>
      </c>
      <c r="J130" s="72">
        <v>1.35</v>
      </c>
      <c r="L130" s="9">
        <f>AVERAGEIF('RAMs Products'!D$9:D$1364,RAMs!A130,'RAMs Products'!L$9:L$1364)</f>
        <v>262.91750000000002</v>
      </c>
      <c r="M130" s="3">
        <f>AVERAGEIF('RAMs Products'!D$9:D$1364,RAMs!A130,'RAMs Products'!M$9:M$1364)</f>
        <v>343.065</v>
      </c>
      <c r="N130" s="17"/>
      <c r="O130" s="18"/>
      <c r="P130" s="49">
        <f t="shared" si="12"/>
        <v>3.3972093260417262</v>
      </c>
      <c r="Q130" s="1">
        <f t="shared" si="13"/>
        <v>4.4561591329851238</v>
      </c>
      <c r="R130" s="1">
        <f t="shared" si="14"/>
        <v>4.6717143741418967</v>
      </c>
      <c r="S130" s="10">
        <f t="shared" si="15"/>
        <v>3.926684229513425</v>
      </c>
      <c r="T130" s="45" cm="1">
        <f t="array" ref="T130">SUMPRODUCT(P130:S130 * P$3:S$3) / SUM(P$3:S$3)</f>
        <v>4.1227619292211433</v>
      </c>
    </row>
    <row r="131" spans="1:20" ht="16.5" customHeight="1" x14ac:dyDescent="0.25">
      <c r="A131" s="4" t="s">
        <v>9027</v>
      </c>
      <c r="B131" s="20"/>
      <c r="E131" s="12" t="s">
        <v>407</v>
      </c>
      <c r="F131" s="4">
        <v>6000</v>
      </c>
      <c r="G131" s="4">
        <v>96</v>
      </c>
      <c r="H131" s="4">
        <v>2</v>
      </c>
      <c r="I131" s="4">
        <v>30</v>
      </c>
      <c r="J131" s="72">
        <v>1.4</v>
      </c>
      <c r="L131" s="9">
        <f>AVERAGEIF('RAMs Products'!D$9:D$1364,RAMs!A131,'RAMs Products'!L$9:L$1364)</f>
        <v>324.17714285714288</v>
      </c>
      <c r="M131" s="3">
        <f>AVERAGEIF('RAMs Products'!D$9:D$1364,RAMs!A131,'RAMs Products'!M$9:M$1364)</f>
        <v>406.84285714285716</v>
      </c>
      <c r="N131" s="17"/>
      <c r="O131" s="18"/>
      <c r="P131" s="49">
        <f t="shared" si="12"/>
        <v>4.0284493091861098</v>
      </c>
      <c r="Q131" s="1">
        <f t="shared" si="13"/>
        <v>5.5542965098142894</v>
      </c>
      <c r="R131" s="1">
        <f t="shared" si="14"/>
        <v>5.8910000426333227</v>
      </c>
      <c r="S131" s="10">
        <f t="shared" si="15"/>
        <v>4.7913729095001996</v>
      </c>
      <c r="T131" s="45" cm="1">
        <f t="array" ref="T131">SUMPRODUCT(P131:S131 * P$3:S$3) / SUM(P$3:S$3)</f>
        <v>5.0779191761843858</v>
      </c>
    </row>
    <row r="132" spans="1:20" ht="16.5" customHeight="1" x14ac:dyDescent="0.25">
      <c r="A132" s="4" t="s">
        <v>9028</v>
      </c>
      <c r="B132" s="20"/>
      <c r="E132" s="12" t="s">
        <v>407</v>
      </c>
      <c r="F132" s="4">
        <v>6000</v>
      </c>
      <c r="G132" s="4">
        <v>96</v>
      </c>
      <c r="H132" s="4">
        <v>4</v>
      </c>
      <c r="I132" s="4">
        <v>30</v>
      </c>
      <c r="J132" s="72">
        <v>1.4</v>
      </c>
      <c r="L132" s="9">
        <f>AVERAGEIF('RAMs Products'!D$9:D$1364,RAMs!A132,'RAMs Products'!L$9:L$1364)</f>
        <v>434.6466666666667</v>
      </c>
      <c r="M132" s="3">
        <f>AVERAGEIF('RAMs Products'!D$9:D$1364,RAMs!A132,'RAMs Products'!M$9:M$1364)</f>
        <v>482.01333333333332</v>
      </c>
      <c r="N132" s="17"/>
      <c r="O132" s="18"/>
      <c r="P132" s="49">
        <f t="shared" si="12"/>
        <v>4.0968171327645591</v>
      </c>
      <c r="Q132" s="1">
        <f t="shared" si="13"/>
        <v>5.6049818457816265</v>
      </c>
      <c r="R132" s="1">
        <f t="shared" si="14"/>
        <v>5.9348233966612618</v>
      </c>
      <c r="S132" s="10">
        <f t="shared" si="15"/>
        <v>4.8508994892730932</v>
      </c>
      <c r="T132" s="45" cm="1">
        <f t="array" ref="T132">SUMPRODUCT(P132:S132 * P$3:S$3) / SUM(P$3:S$3)</f>
        <v>5.1336696837187397</v>
      </c>
    </row>
    <row r="133" spans="1:20" ht="16.5" customHeight="1" x14ac:dyDescent="0.25">
      <c r="A133" s="4" t="s">
        <v>9029</v>
      </c>
      <c r="B133" s="20"/>
      <c r="E133" s="12" t="s">
        <v>407</v>
      </c>
      <c r="F133" s="4">
        <v>6200</v>
      </c>
      <c r="G133" s="4">
        <v>32</v>
      </c>
      <c r="H133" s="4">
        <v>2</v>
      </c>
      <c r="I133" s="4">
        <v>36</v>
      </c>
      <c r="J133" s="72">
        <v>1.3</v>
      </c>
      <c r="L133" s="9">
        <f>AVERAGEIF('RAMs Products'!D$9:D$1364,RAMs!A133,'RAMs Products'!L$9:L$1364)</f>
        <v>139.1577777777778</v>
      </c>
      <c r="M133" s="3">
        <f>AVERAGEIF('RAMs Products'!D$9:D$1364,RAMs!A133,'RAMs Products'!M$9:M$1364)</f>
        <v>183.65222222222221</v>
      </c>
      <c r="N133" s="17"/>
      <c r="O133" s="18"/>
      <c r="P133" s="49">
        <f t="shared" si="12"/>
        <v>2.5550920234210954</v>
      </c>
      <c r="Q133" s="1">
        <f t="shared" si="13"/>
        <v>3.0891645757819659</v>
      </c>
      <c r="R133" s="1">
        <f t="shared" si="14"/>
        <v>3.1743725554067601</v>
      </c>
      <c r="S133" s="10">
        <f t="shared" si="15"/>
        <v>2.8221282996015304</v>
      </c>
      <c r="T133" s="45" cm="1">
        <f t="array" ref="T133">SUMPRODUCT(P133:S133 * P$3:S$3) / SUM(P$3:S$3)</f>
        <v>2.9174022275993252</v>
      </c>
    </row>
    <row r="134" spans="1:20" ht="16.5" customHeight="1" x14ac:dyDescent="0.25">
      <c r="A134" s="4" t="s">
        <v>9030</v>
      </c>
      <c r="B134" s="20"/>
      <c r="E134" s="12" t="s">
        <v>407</v>
      </c>
      <c r="F134" s="4">
        <v>6200</v>
      </c>
      <c r="G134" s="4">
        <v>64</v>
      </c>
      <c r="H134" s="4">
        <v>2</v>
      </c>
      <c r="I134" s="4">
        <v>32</v>
      </c>
      <c r="J134" s="72">
        <v>1.4</v>
      </c>
      <c r="L134" s="9">
        <f>AVERAGEIF('RAMs Products'!D$9:D$1364,RAMs!A134,'RAMs Products'!L$9:L$1364)</f>
        <v>239.96</v>
      </c>
      <c r="M134" s="3">
        <f>AVERAGEIF('RAMs Products'!D$9:D$1364,RAMs!A134,'RAMs Products'!M$9:M$1364)</f>
        <v>297.53499999999997</v>
      </c>
      <c r="N134" s="17"/>
      <c r="O134" s="18"/>
      <c r="P134" s="49">
        <f t="shared" si="12"/>
        <v>3.3639680667250502</v>
      </c>
      <c r="Q134" s="1">
        <f t="shared" si="13"/>
        <v>4.4287391418440922</v>
      </c>
      <c r="R134" s="1">
        <f t="shared" si="14"/>
        <v>4.6478126542800773</v>
      </c>
      <c r="S134" s="10">
        <f t="shared" si="15"/>
        <v>3.8963536042845712</v>
      </c>
      <c r="T134" s="45" cm="1">
        <f t="array" ref="T134">SUMPRODUCT(P134:S134 * P$3:S$3) / SUM(P$3:S$3)</f>
        <v>4.0938681562161134</v>
      </c>
    </row>
    <row r="135" spans="1:20" ht="16.5" customHeight="1" x14ac:dyDescent="0.25">
      <c r="A135" s="4" t="s">
        <v>9031</v>
      </c>
      <c r="B135" s="20"/>
      <c r="E135" s="12" t="s">
        <v>407</v>
      </c>
      <c r="F135" s="4">
        <v>6200</v>
      </c>
      <c r="G135" s="4">
        <v>64</v>
      </c>
      <c r="H135" s="4">
        <v>4</v>
      </c>
      <c r="I135" s="4">
        <v>32</v>
      </c>
      <c r="J135" s="72">
        <v>1.4</v>
      </c>
      <c r="L135" s="9">
        <f>AVERAGEIF('RAMs Products'!D$9:D$1364,RAMs!A135,'RAMs Products'!L$9:L$1364)</f>
        <v>288.91666666666669</v>
      </c>
      <c r="M135" s="3">
        <f>AVERAGEIF('RAMs Products'!D$9:D$1364,RAMs!A135,'RAMs Products'!M$9:M$1364)</f>
        <v>337.79</v>
      </c>
      <c r="N135" s="17"/>
      <c r="O135" s="18"/>
      <c r="P135" s="49">
        <f t="shared" si="12"/>
        <v>3.4334942511694693</v>
      </c>
      <c r="Q135" s="1">
        <f t="shared" si="13"/>
        <v>4.4803684266800703</v>
      </c>
      <c r="R135" s="1">
        <f t="shared" si="14"/>
        <v>4.6923975729588303</v>
      </c>
      <c r="S135" s="10">
        <f t="shared" si="15"/>
        <v>3.95693133892477</v>
      </c>
      <c r="T135" s="45" cm="1">
        <f t="array" ref="T135">SUMPRODUCT(P135:S135 * P$3:S$3) / SUM(P$3:S$3)</f>
        <v>4.1506087730462102</v>
      </c>
    </row>
    <row r="136" spans="1:20" ht="16.5" customHeight="1" x14ac:dyDescent="0.25">
      <c r="A136" s="4" t="s">
        <v>9032</v>
      </c>
      <c r="B136" s="20"/>
      <c r="E136" s="12" t="s">
        <v>407</v>
      </c>
      <c r="F136" s="4">
        <v>6400</v>
      </c>
      <c r="G136" s="4">
        <v>16</v>
      </c>
      <c r="H136" s="4">
        <v>1</v>
      </c>
      <c r="I136" s="4">
        <v>32</v>
      </c>
      <c r="J136" s="72">
        <v>1.4</v>
      </c>
      <c r="L136" s="9">
        <f>AVERAGEIF('RAMs Products'!D$9:D$1364,RAMs!A136,'RAMs Products'!L$9:L$1364)</f>
        <v>71.348333333333329</v>
      </c>
      <c r="M136" s="3">
        <f>AVERAGEIF('RAMs Products'!D$9:D$1364,RAMs!A136,'RAMs Products'!M$9:M$1364)</f>
        <v>107.98833333333333</v>
      </c>
      <c r="N136" s="17"/>
      <c r="O136" s="18"/>
      <c r="P136" s="49">
        <f t="shared" si="12"/>
        <v>1.9746359685225174</v>
      </c>
      <c r="Q136" s="1">
        <f t="shared" si="13"/>
        <v>2.1981171023613721</v>
      </c>
      <c r="R136" s="1">
        <f t="shared" si="14"/>
        <v>2.2096416056534318</v>
      </c>
      <c r="S136" s="10">
        <f t="shared" si="15"/>
        <v>2.0863765354419446</v>
      </c>
      <c r="T136" s="45" cm="1">
        <f t="array" ref="T136">SUMPRODUCT(P136:S136 * P$3:S$3) / SUM(P$3:S$3)</f>
        <v>2.122531248846701</v>
      </c>
    </row>
    <row r="137" spans="1:20" ht="16.5" customHeight="1" x14ac:dyDescent="0.25">
      <c r="A137" s="4" t="s">
        <v>9033</v>
      </c>
      <c r="B137" s="20"/>
      <c r="E137" s="12" t="s">
        <v>407</v>
      </c>
      <c r="F137" s="4">
        <v>6400</v>
      </c>
      <c r="G137" s="4">
        <v>24</v>
      </c>
      <c r="H137" s="4">
        <v>1</v>
      </c>
      <c r="I137" s="4">
        <v>32</v>
      </c>
      <c r="J137" s="72">
        <v>1.4</v>
      </c>
      <c r="L137" s="9">
        <f>AVERAGEIF('RAMs Products'!D$9:D$1364,RAMs!A137,'RAMs Products'!L$9:L$1364)</f>
        <v>124.005</v>
      </c>
      <c r="M137" s="3">
        <f>AVERAGEIF('RAMs Products'!D$9:D$1364,RAMs!A137,'RAMs Products'!M$9:M$1364)</f>
        <v>162.66499999999999</v>
      </c>
      <c r="N137" s="17"/>
      <c r="O137" s="18"/>
      <c r="P137" s="49">
        <f t="shared" si="12"/>
        <v>2.2344744479809386</v>
      </c>
      <c r="Q137" s="1">
        <f t="shared" si="13"/>
        <v>2.6311812347920744</v>
      </c>
      <c r="R137" s="1">
        <f t="shared" si="14"/>
        <v>2.6860121513272039</v>
      </c>
      <c r="S137" s="10">
        <f t="shared" si="15"/>
        <v>2.4328278413865063</v>
      </c>
      <c r="T137" s="45" cm="1">
        <f t="array" ref="T137">SUMPRODUCT(P137:S137 * P$3:S$3) / SUM(P$3:S$3)</f>
        <v>2.5022951803628546</v>
      </c>
    </row>
    <row r="138" spans="1:20" ht="16.5" customHeight="1" x14ac:dyDescent="0.25">
      <c r="A138" s="4" t="s">
        <v>9034</v>
      </c>
      <c r="B138" s="20"/>
      <c r="E138" s="12" t="s">
        <v>407</v>
      </c>
      <c r="F138" s="4">
        <v>6400</v>
      </c>
      <c r="G138" s="4">
        <v>32</v>
      </c>
      <c r="H138" s="4">
        <v>1</v>
      </c>
      <c r="I138" s="4">
        <v>32</v>
      </c>
      <c r="J138" s="72">
        <v>1.4</v>
      </c>
      <c r="L138" s="9">
        <f>AVERAGEIF('RAMs Products'!D$9:D$1364,RAMs!A138,'RAMs Products'!L$9:L$1364)</f>
        <v>132.61833333333337</v>
      </c>
      <c r="M138" s="3">
        <f>AVERAGEIF('RAMs Products'!D$9:D$1364,RAMs!A138,'RAMs Products'!M$9:M$1364)</f>
        <v>182.31583333333333</v>
      </c>
      <c r="N138" s="17"/>
      <c r="O138" s="18"/>
      <c r="P138" s="49">
        <f t="shared" ref="P138:P173" si="16">(((F138/F$9)^F$7 * F$2 + (I138/I$9)^I$7 * I$2 + (J138/J$9)^J$7 * J$2) * (1+M$3*(MIN(H138,M$2)-1)+M$4*(H138-MIN(H138,M$2))) + (G138/G$9)^G$7 * G$2)  * P$9</f>
        <v>2.4690593771023321</v>
      </c>
      <c r="Q138" s="1">
        <f t="shared" ref="Q138:Q169" si="17">(((F138/F$9)^F$7 * F$3 + (I138/I$9)^I$7 * I$3 + (J138/J$9)^J$7 * J$3) * (1+M$3*(MIN(H138,M$2)-1)+M$4*(H138-MIN(H138,M$2))) + (G138/G$9)^G$7 * G$3)  * P$9</f>
        <v>3.0221561166610638</v>
      </c>
      <c r="R138" s="1">
        <f t="shared" ref="R138:R173" si="18">(((F138/F$9)^F$7 * F$4 + (I138/I$9)^I$7 * I$4 + (J138/J$9)^J$7 * J$4) * (1+M$3*(MIN(H138,M$2)-1)+M$4*(H138-MIN(H138,M$2))) + (G138/G$9)^G$7 * G$4)  * P$9</f>
        <v>3.1160845213830926</v>
      </c>
      <c r="S138" s="10">
        <f t="shared" ref="S138:S173" si="19">(((F138/F$9)^F$7 * F$5 + (I138/I$9)^I$7 * I$5 + (J138/J$9)^J$7 * J$5) * (1+M$3*(MIN(H138,M$2)-1)+M$4*(H138-MIN(H138,M$2))) + (G138/G$9)^G$7 * G$5)  * P$9</f>
        <v>2.745607746881698</v>
      </c>
      <c r="T138" s="45" cm="1">
        <f t="array" ref="T138">SUMPRODUCT(P138:S138 * P$3:S$3) / SUM(P$3:S$3)</f>
        <v>2.8451500767710458</v>
      </c>
    </row>
    <row r="139" spans="1:20" ht="16.5" customHeight="1" x14ac:dyDescent="0.25">
      <c r="A139" s="4" t="s">
        <v>9035</v>
      </c>
      <c r="B139" s="20"/>
      <c r="E139" s="12" t="s">
        <v>407</v>
      </c>
      <c r="F139" s="4">
        <v>6400</v>
      </c>
      <c r="G139" s="4">
        <v>32</v>
      </c>
      <c r="H139" s="4">
        <v>2</v>
      </c>
      <c r="I139" s="4">
        <v>32</v>
      </c>
      <c r="J139" s="72">
        <v>1.4</v>
      </c>
      <c r="L139" s="9">
        <f>AVERAGEIF('RAMs Products'!D$9:D$1364,RAMs!A139,'RAMs Products'!L$9:L$1364)</f>
        <v>134.69094339622637</v>
      </c>
      <c r="M139" s="3">
        <f>AVERAGEIF('RAMs Products'!D$9:D$1364,RAMs!A139,'RAMs Products'!M$9:M$1364)</f>
        <v>185.49754716981138</v>
      </c>
      <c r="N139" s="17"/>
      <c r="O139" s="18"/>
      <c r="P139" s="49">
        <f t="shared" si="16"/>
        <v>2.5873524993082109</v>
      </c>
      <c r="Q139" s="1">
        <f t="shared" si="17"/>
        <v>3.1100170358199115</v>
      </c>
      <c r="R139" s="1">
        <f t="shared" si="18"/>
        <v>3.1919028117634176</v>
      </c>
      <c r="S139" s="10">
        <f t="shared" si="19"/>
        <v>2.8486847675640607</v>
      </c>
      <c r="T139" s="45" cm="1">
        <f t="array" ref="T139">SUMPRODUCT(P139:S139 * P$3:S$3) / SUM(P$3:S$3)</f>
        <v>2.9416925079417853</v>
      </c>
    </row>
    <row r="140" spans="1:20" ht="16.5" customHeight="1" x14ac:dyDescent="0.25">
      <c r="A140" s="4" t="s">
        <v>9036</v>
      </c>
      <c r="B140" s="20"/>
      <c r="E140" s="12" t="s">
        <v>407</v>
      </c>
      <c r="F140" s="4">
        <v>6400</v>
      </c>
      <c r="G140" s="4">
        <v>48</v>
      </c>
      <c r="H140" s="4">
        <v>1</v>
      </c>
      <c r="I140" s="4">
        <v>32</v>
      </c>
      <c r="J140" s="72">
        <v>1.4</v>
      </c>
      <c r="L140" s="9">
        <f>AVERAGEIF('RAMs Products'!D$9:D$1364,RAMs!A140,'RAMs Products'!L$9:L$1364)</f>
        <v>192.2</v>
      </c>
      <c r="M140" s="3">
        <f>AVERAGEIF('RAMs Products'!D$9:D$1364,RAMs!A140,'RAMs Products'!M$9:M$1364)</f>
        <v>263.505</v>
      </c>
      <c r="N140" s="17"/>
      <c r="O140" s="18"/>
      <c r="P140" s="49">
        <f t="shared" si="16"/>
        <v>2.8911682323136589</v>
      </c>
      <c r="Q140" s="1">
        <f t="shared" si="17"/>
        <v>3.7256708753466081</v>
      </c>
      <c r="R140" s="1">
        <f t="shared" si="18"/>
        <v>3.8899507559371913</v>
      </c>
      <c r="S140" s="10">
        <f t="shared" si="19"/>
        <v>3.3084195538301335</v>
      </c>
      <c r="T140" s="45" cm="1">
        <f t="array" ref="T140">SUMPRODUCT(P140:S140 * P$3:S$3) / SUM(P$3:S$3)</f>
        <v>3.4620784036183689</v>
      </c>
    </row>
    <row r="141" spans="1:20" ht="16.5" customHeight="1" x14ac:dyDescent="0.25">
      <c r="A141" s="4" t="s">
        <v>9037</v>
      </c>
      <c r="B141" s="20"/>
      <c r="E141" s="12" t="s">
        <v>407</v>
      </c>
      <c r="F141" s="4">
        <v>6400</v>
      </c>
      <c r="G141" s="4">
        <v>48</v>
      </c>
      <c r="H141" s="4">
        <v>2</v>
      </c>
      <c r="I141" s="4">
        <v>36</v>
      </c>
      <c r="J141" s="72">
        <v>1.4</v>
      </c>
      <c r="L141" s="9">
        <f>AVERAGEIF('RAMs Products'!D$9:D$1364,RAMs!A141,'RAMs Products'!L$9:L$1364)</f>
        <v>186.79250000000002</v>
      </c>
      <c r="M141" s="3">
        <f>AVERAGEIF('RAMs Products'!D$9:D$1364,RAMs!A141,'RAMs Products'!M$9:M$1364)</f>
        <v>246.70124999999999</v>
      </c>
      <c r="N141" s="17"/>
      <c r="O141" s="18"/>
      <c r="P141" s="49">
        <f t="shared" si="16"/>
        <v>2.9999341375463517</v>
      </c>
      <c r="Q141" s="1">
        <f t="shared" si="17"/>
        <v>3.8087681860188636</v>
      </c>
      <c r="R141" s="1">
        <f t="shared" si="18"/>
        <v>3.9610054378309236</v>
      </c>
      <c r="S141" s="10">
        <f t="shared" si="19"/>
        <v>3.4043511617826079</v>
      </c>
      <c r="T141" s="45" cm="1">
        <f t="array" ref="T141">SUMPRODUCT(P141:S141 * P$3:S$3) / SUM(P$3:S$3)</f>
        <v>3.552208284903311</v>
      </c>
    </row>
    <row r="142" spans="1:20" ht="16.5" customHeight="1" x14ac:dyDescent="0.25">
      <c r="A142" s="4" t="s">
        <v>9038</v>
      </c>
      <c r="B142" s="20"/>
      <c r="E142" s="12" t="s">
        <v>407</v>
      </c>
      <c r="F142" s="4">
        <v>6400</v>
      </c>
      <c r="G142" s="4">
        <v>64</v>
      </c>
      <c r="H142" s="4">
        <v>2</v>
      </c>
      <c r="I142" s="4">
        <v>32</v>
      </c>
      <c r="J142" s="72">
        <v>1.4</v>
      </c>
      <c r="L142" s="9">
        <f>AVERAGEIF('RAMs Products'!D$9:D$1364,RAMs!A142,'RAMs Products'!L$9:L$1364)</f>
        <v>251.24916666666664</v>
      </c>
      <c r="M142" s="3">
        <f>AVERAGEIF('RAMs Products'!D$9:D$1364,RAMs!A142,'RAMs Products'!M$9:M$1364)</f>
        <v>352.7525</v>
      </c>
      <c r="N142" s="17"/>
      <c r="O142" s="18"/>
      <c r="P142" s="49">
        <f t="shared" si="16"/>
        <v>3.3905456961753568</v>
      </c>
      <c r="Q142" s="1">
        <f t="shared" si="17"/>
        <v>4.4486723639318217</v>
      </c>
      <c r="R142" s="1">
        <f t="shared" si="18"/>
        <v>4.6644236726865191</v>
      </c>
      <c r="S142" s="10">
        <f t="shared" si="19"/>
        <v>3.9196090300535893</v>
      </c>
      <c r="T142" s="45" cm="1">
        <f t="array" ref="T142">SUMPRODUCT(P142:S142 * P$3:S$3) / SUM(P$3:S$3)</f>
        <v>4.1155902572091527</v>
      </c>
    </row>
    <row r="143" spans="1:20" ht="16.5" customHeight="1" x14ac:dyDescent="0.25">
      <c r="A143" s="4" t="s">
        <v>9039</v>
      </c>
      <c r="B143" s="20"/>
      <c r="E143" s="12" t="s">
        <v>407</v>
      </c>
      <c r="F143" s="4">
        <v>6400</v>
      </c>
      <c r="G143" s="4">
        <v>64</v>
      </c>
      <c r="H143" s="4">
        <v>4</v>
      </c>
      <c r="I143" s="4">
        <v>32</v>
      </c>
      <c r="J143" s="72">
        <v>1.4</v>
      </c>
      <c r="L143" s="9">
        <f>AVERAGEIF('RAMs Products'!D$9:D$1364,RAMs!A143,'RAMs Products'!L$9:L$1364)</f>
        <v>326.21200000000005</v>
      </c>
      <c r="M143" s="3">
        <f>AVERAGEIF('RAMs Products'!D$9:D$1364,RAMs!A143,'RAMs Products'!M$9:M$1364)</f>
        <v>385.142</v>
      </c>
      <c r="N143" s="17"/>
      <c r="O143" s="18"/>
      <c r="P143" s="49">
        <f t="shared" si="16"/>
        <v>3.4615215694988835</v>
      </c>
      <c r="Q143" s="1">
        <f t="shared" si="17"/>
        <v>4.5013889154271309</v>
      </c>
      <c r="R143" s="1">
        <f t="shared" si="18"/>
        <v>4.7099146469147142</v>
      </c>
      <c r="S143" s="10">
        <f t="shared" si="19"/>
        <v>3.9814552424630074</v>
      </c>
      <c r="T143" s="45" cm="1">
        <f t="array" ref="T143">SUMPRODUCT(P143:S143 * P$3:S$3) / SUM(P$3:S$3)</f>
        <v>4.1735157159115968</v>
      </c>
    </row>
    <row r="144" spans="1:20" ht="16.5" customHeight="1" x14ac:dyDescent="0.25">
      <c r="A144" s="4" t="s">
        <v>9040</v>
      </c>
      <c r="B144" s="20"/>
      <c r="E144" s="12" t="s">
        <v>407</v>
      </c>
      <c r="F144" s="4">
        <v>6400</v>
      </c>
      <c r="G144" s="4">
        <v>96</v>
      </c>
      <c r="H144" s="4">
        <v>2</v>
      </c>
      <c r="I144" s="4">
        <v>32</v>
      </c>
      <c r="J144" s="72">
        <v>1.4</v>
      </c>
      <c r="L144" s="9">
        <f>AVERAGEIF('RAMs Products'!D$9:D$1364,RAMs!A144,'RAMs Products'!L$9:L$1364)</f>
        <v>363.12900000000002</v>
      </c>
      <c r="M144" s="3">
        <f>AVERAGEIF('RAMs Products'!D$9:D$1364,RAMs!A144,'RAMs Products'!M$9:M$1364)</f>
        <v>483.06499999999994</v>
      </c>
      <c r="N144" s="17"/>
      <c r="O144" s="18"/>
      <c r="P144" s="49">
        <f t="shared" si="16"/>
        <v>4.0762635545125319</v>
      </c>
      <c r="Q144" s="1">
        <f t="shared" si="17"/>
        <v>5.5915354611604471</v>
      </c>
      <c r="R144" s="1">
        <f t="shared" si="18"/>
        <v>5.9215730796380068</v>
      </c>
      <c r="S144" s="10">
        <f t="shared" si="19"/>
        <v>4.833899507836489</v>
      </c>
      <c r="T144" s="45" cm="1">
        <f t="array" ref="T144">SUMPRODUCT(P144:S144 * P$3:S$3) / SUM(P$3:S$3)</f>
        <v>5.117793280932716</v>
      </c>
    </row>
    <row r="145" spans="1:20" ht="16.5" customHeight="1" x14ac:dyDescent="0.25">
      <c r="A145" s="4" t="s">
        <v>9041</v>
      </c>
      <c r="B145" s="20"/>
      <c r="E145" s="12" t="s">
        <v>407</v>
      </c>
      <c r="F145" s="4">
        <v>6400</v>
      </c>
      <c r="G145" s="4">
        <v>96</v>
      </c>
      <c r="H145" s="4">
        <v>4</v>
      </c>
      <c r="I145" s="4">
        <v>32</v>
      </c>
      <c r="J145" s="72">
        <v>1.4</v>
      </c>
      <c r="L145" s="9">
        <f>AVERAGEIF('RAMs Products'!D$9:D$1364,RAMs!A145,'RAMs Products'!L$9:L$1364)</f>
        <v>422.70333333333338</v>
      </c>
      <c r="M145" s="3">
        <f>AVERAGEIF('RAMs Products'!D$9:D$1364,RAMs!A145,'RAMs Products'!M$9:M$1364)</f>
        <v>508.65333333333336</v>
      </c>
      <c r="N145" s="17"/>
      <c r="O145" s="18"/>
      <c r="P145" s="49">
        <f t="shared" si="16"/>
        <v>4.1472394278360589</v>
      </c>
      <c r="Q145" s="1">
        <f t="shared" si="17"/>
        <v>5.6442520126557554</v>
      </c>
      <c r="R145" s="1">
        <f t="shared" si="18"/>
        <v>5.9670640538662019</v>
      </c>
      <c r="S145" s="10">
        <f t="shared" si="19"/>
        <v>4.8957457202459072</v>
      </c>
      <c r="T145" s="45" cm="1">
        <f t="array" ref="T145">SUMPRODUCT(P145:S145 * P$3:S$3) / SUM(P$3:S$3)</f>
        <v>5.17571873963516</v>
      </c>
    </row>
    <row r="146" spans="1:20" ht="16.5" customHeight="1" x14ac:dyDescent="0.25">
      <c r="A146" s="4" t="s">
        <v>9042</v>
      </c>
      <c r="B146" s="20"/>
      <c r="E146" s="12" t="s">
        <v>407</v>
      </c>
      <c r="F146" s="4">
        <v>6600</v>
      </c>
      <c r="G146" s="4">
        <v>32</v>
      </c>
      <c r="H146" s="4">
        <v>2</v>
      </c>
      <c r="I146" s="4">
        <v>32</v>
      </c>
      <c r="J146" s="72">
        <v>1.4</v>
      </c>
      <c r="L146" s="9">
        <f>AVERAGEIF('RAMs Products'!D$9:D$1364,RAMs!A146,'RAMs Products'!L$9:L$1364)</f>
        <v>155.11375000000004</v>
      </c>
      <c r="M146" s="3">
        <f>AVERAGEIF('RAMs Products'!D$9:D$1364,RAMs!A146,'RAMs Products'!M$9:M$1364)</f>
        <v>253.72624999999999</v>
      </c>
      <c r="N146" s="17"/>
      <c r="O146" s="18"/>
      <c r="P146" s="49">
        <f t="shared" si="16"/>
        <v>2.6137645070220912</v>
      </c>
      <c r="Q146" s="1">
        <f t="shared" si="17"/>
        <v>3.1298260416053223</v>
      </c>
      <c r="R146" s="1">
        <f t="shared" si="18"/>
        <v>3.208410316584593</v>
      </c>
      <c r="S146" s="10">
        <f t="shared" si="19"/>
        <v>2.8717952743137065</v>
      </c>
      <c r="T146" s="45" cm="1">
        <f t="array" ref="T146">SUMPRODUCT(P146:S146 * P$3:S$3) / SUM(P$3:S$3)</f>
        <v>2.96327924501563</v>
      </c>
    </row>
    <row r="147" spans="1:20" ht="16.5" customHeight="1" x14ac:dyDescent="0.25">
      <c r="A147" s="4" t="s">
        <v>9043</v>
      </c>
      <c r="B147" s="20"/>
      <c r="E147" s="12" t="s">
        <v>407</v>
      </c>
      <c r="F147" s="4">
        <v>6600</v>
      </c>
      <c r="G147" s="4">
        <v>64</v>
      </c>
      <c r="H147" s="4">
        <v>2</v>
      </c>
      <c r="I147" s="4">
        <v>32</v>
      </c>
      <c r="J147" s="72">
        <v>1.4</v>
      </c>
      <c r="L147" s="9">
        <f>AVERAGEIF('RAMs Products'!D$9:D$1364,RAMs!A147,'RAMs Products'!L$9:L$1364)</f>
        <v>273.14600000000002</v>
      </c>
      <c r="M147" s="3">
        <f>AVERAGEIF('RAMs Products'!D$9:D$1364,RAMs!A147,'RAMs Products'!M$9:M$1364)</f>
        <v>373.8</v>
      </c>
      <c r="N147" s="17"/>
      <c r="O147" s="18"/>
      <c r="P147" s="49">
        <f t="shared" si="16"/>
        <v>3.4169577038892371</v>
      </c>
      <c r="Q147" s="1">
        <f t="shared" si="17"/>
        <v>4.4684813697172325</v>
      </c>
      <c r="R147" s="1">
        <f t="shared" si="18"/>
        <v>4.6809311775076941</v>
      </c>
      <c r="S147" s="10">
        <f t="shared" si="19"/>
        <v>3.9427195368032351</v>
      </c>
      <c r="T147" s="45" cm="1">
        <f t="array" ref="T147">SUMPRODUCT(P147:S147 * P$3:S$3) / SUM(P$3:S$3)</f>
        <v>4.1371769942829975</v>
      </c>
    </row>
    <row r="148" spans="1:20" ht="16.5" customHeight="1" x14ac:dyDescent="0.25">
      <c r="A148" s="4" t="s">
        <v>9044</v>
      </c>
      <c r="B148" s="20"/>
      <c r="E148" s="12" t="s">
        <v>407</v>
      </c>
      <c r="F148" s="4">
        <v>6600</v>
      </c>
      <c r="G148" s="4">
        <v>64</v>
      </c>
      <c r="H148" s="4">
        <v>4</v>
      </c>
      <c r="I148" s="4">
        <v>32</v>
      </c>
      <c r="J148" s="72">
        <v>1.4</v>
      </c>
      <c r="L148" s="9">
        <f>AVERAGEIF('RAMs Products'!D$9:D$1364,RAMs!A148,'RAMs Products'!L$9:L$1364)</f>
        <v>297.33333333333331</v>
      </c>
      <c r="M148" s="3">
        <f>AVERAGEIF('RAMs Products'!D$9:D$1364,RAMs!A148,'RAMs Products'!M$9:M$1364)</f>
        <v>368.79999999999995</v>
      </c>
      <c r="N148" s="17"/>
      <c r="O148" s="18"/>
      <c r="P148" s="49">
        <f t="shared" si="16"/>
        <v>3.4893742321789754</v>
      </c>
      <c r="Q148" s="1">
        <f t="shared" si="17"/>
        <v>4.5222784124372</v>
      </c>
      <c r="R148" s="1">
        <f t="shared" si="18"/>
        <v>4.727322561089772</v>
      </c>
      <c r="S148" s="10">
        <f t="shared" si="19"/>
        <v>4.0058263223080885</v>
      </c>
      <c r="T148" s="45" cm="1">
        <f t="array" ref="T148">SUMPRODUCT(P148:S148 * P$3:S$3) / SUM(P$3:S$3)</f>
        <v>4.1962799113712865</v>
      </c>
    </row>
    <row r="149" spans="1:20" ht="16.5" customHeight="1" x14ac:dyDescent="0.25">
      <c r="A149" s="4" t="s">
        <v>9045</v>
      </c>
      <c r="B149" s="20"/>
      <c r="E149" s="12" t="s">
        <v>407</v>
      </c>
      <c r="F149" s="4">
        <v>6600</v>
      </c>
      <c r="G149" s="4">
        <v>96</v>
      </c>
      <c r="H149" s="4">
        <v>2</v>
      </c>
      <c r="I149" s="4">
        <v>32</v>
      </c>
      <c r="J149" s="72">
        <v>1.4</v>
      </c>
      <c r="L149" s="9">
        <f>AVERAGEIF('RAMs Products'!D$9:D$1364,RAMs!A149,'RAMs Products'!L$9:L$1364)</f>
        <v>403.99</v>
      </c>
      <c r="M149" s="3">
        <f>AVERAGEIF('RAMs Products'!D$9:D$1364,RAMs!A149,'RAMs Products'!M$9:M$1364)</f>
        <v>478.7475</v>
      </c>
      <c r="N149" s="17"/>
      <c r="O149" s="18"/>
      <c r="P149" s="49">
        <f t="shared" si="16"/>
        <v>4.1026755622264126</v>
      </c>
      <c r="Q149" s="1">
        <f t="shared" si="17"/>
        <v>5.611344466945857</v>
      </c>
      <c r="R149" s="1">
        <f t="shared" si="18"/>
        <v>5.9380805844591817</v>
      </c>
      <c r="S149" s="10">
        <f t="shared" si="19"/>
        <v>4.8570100145861348</v>
      </c>
      <c r="T149" s="45" cm="1">
        <f t="array" ref="T149">SUMPRODUCT(P149:S149 * P$3:S$3) / SUM(P$3:S$3)</f>
        <v>5.1393800180065616</v>
      </c>
    </row>
    <row r="150" spans="1:20" ht="16.5" customHeight="1" x14ac:dyDescent="0.25">
      <c r="A150" s="4" t="s">
        <v>9046</v>
      </c>
      <c r="B150" s="20"/>
      <c r="E150" s="12" t="s">
        <v>407</v>
      </c>
      <c r="F150" s="4">
        <v>6800</v>
      </c>
      <c r="G150" s="4">
        <v>16</v>
      </c>
      <c r="H150" s="4">
        <v>1</v>
      </c>
      <c r="I150" s="4">
        <v>34</v>
      </c>
      <c r="J150" s="72">
        <v>1.4</v>
      </c>
      <c r="L150" s="9">
        <f>AVERAGEIF('RAMs Products'!D$9:D$1364,RAMs!A150,'RAMs Products'!L$9:L$1364)</f>
        <v>77.081818181818164</v>
      </c>
      <c r="M150" s="3">
        <f>AVERAGEIF('RAMs Products'!D$9:D$1364,RAMs!A150,'RAMs Products'!M$9:M$1364)</f>
        <v>114.49636363636364</v>
      </c>
      <c r="N150" s="17"/>
      <c r="O150" s="18"/>
      <c r="P150" s="49">
        <f t="shared" si="16"/>
        <v>2.0179782906404378</v>
      </c>
      <c r="Q150" s="1">
        <f t="shared" si="17"/>
        <v>2.231757445226751</v>
      </c>
      <c r="R150" s="1">
        <f t="shared" si="18"/>
        <v>2.237297357615601</v>
      </c>
      <c r="S150" s="10">
        <f t="shared" si="19"/>
        <v>2.1248678679335944</v>
      </c>
      <c r="T150" s="45" cm="1">
        <f t="array" ref="T150">SUMPRODUCT(P150:S150 * P$3:S$3) / SUM(P$3:S$3)</f>
        <v>2.1586092628528499</v>
      </c>
    </row>
    <row r="151" spans="1:20" ht="16.5" customHeight="1" x14ac:dyDescent="0.25">
      <c r="A151" s="4" t="s">
        <v>9047</v>
      </c>
      <c r="B151" s="20"/>
      <c r="E151" s="12" t="s">
        <v>407</v>
      </c>
      <c r="F151" s="4">
        <v>6800</v>
      </c>
      <c r="G151" s="4">
        <v>32</v>
      </c>
      <c r="H151" s="4">
        <v>2</v>
      </c>
      <c r="I151" s="4">
        <v>40</v>
      </c>
      <c r="J151" s="72">
        <v>1.4</v>
      </c>
      <c r="L151" s="9">
        <f>AVERAGEIF('RAMs Products'!D$9:D$1364,RAMs!A151,'RAMs Products'!L$9:L$1364)</f>
        <v>147.76294117647063</v>
      </c>
      <c r="M151" s="3">
        <f>AVERAGEIF('RAMs Products'!D$9:D$1364,RAMs!A151,'RAMs Products'!M$9:M$1364)</f>
        <v>203.40529411764706</v>
      </c>
      <c r="N151" s="17"/>
      <c r="O151" s="18"/>
      <c r="P151" s="49">
        <f t="shared" si="16"/>
        <v>2.6225194653975592</v>
      </c>
      <c r="Q151" s="1">
        <f t="shared" si="17"/>
        <v>3.1407666188516465</v>
      </c>
      <c r="R151" s="1">
        <f t="shared" si="18"/>
        <v>3.216069344801622</v>
      </c>
      <c r="S151" s="10">
        <f t="shared" si="19"/>
        <v>2.8816430421246024</v>
      </c>
      <c r="T151" s="45" cm="1">
        <f t="array" ref="T151">SUMPRODUCT(P151:S151 * P$3:S$3) / SUM(P$3:S$3)</f>
        <v>2.9729584081867668</v>
      </c>
    </row>
    <row r="152" spans="1:20" ht="16.5" customHeight="1" x14ac:dyDescent="0.25">
      <c r="A152" s="4" t="s">
        <v>9048</v>
      </c>
      <c r="B152" s="20"/>
      <c r="E152" s="12" t="s">
        <v>407</v>
      </c>
      <c r="F152" s="4">
        <v>6800</v>
      </c>
      <c r="G152" s="4">
        <v>48</v>
      </c>
      <c r="H152" s="4">
        <v>2</v>
      </c>
      <c r="I152" s="4">
        <v>34</v>
      </c>
      <c r="J152" s="72">
        <v>1.35</v>
      </c>
      <c r="L152" s="9">
        <f>AVERAGEIF('RAMs Products'!D$9:D$1364,RAMs!A152,'RAMs Products'!L$9:L$1364)</f>
        <v>175.94499999999999</v>
      </c>
      <c r="M152" s="3">
        <f>AVERAGEIF('RAMs Products'!D$9:D$1364,RAMs!A152,'RAMs Products'!M$9:M$1364)</f>
        <v>264.95000000000005</v>
      </c>
      <c r="N152" s="17"/>
      <c r="O152" s="18"/>
      <c r="P152" s="49">
        <f t="shared" si="16"/>
        <v>3.0590066924482961</v>
      </c>
      <c r="Q152" s="1">
        <f t="shared" si="17"/>
        <v>3.8524049552564188</v>
      </c>
      <c r="R152" s="1">
        <f t="shared" si="18"/>
        <v>3.9980591570749491</v>
      </c>
      <c r="S152" s="10">
        <f t="shared" si="19"/>
        <v>3.4557058238523575</v>
      </c>
      <c r="T152" s="45" cm="1">
        <f t="array" ref="T152">SUMPRODUCT(P152:S152 * P$3:S$3) / SUM(P$3:S$3)</f>
        <v>3.6001754337949192</v>
      </c>
    </row>
    <row r="153" spans="1:20" ht="16.5" customHeight="1" x14ac:dyDescent="0.25">
      <c r="A153" s="4" t="s">
        <v>9049</v>
      </c>
      <c r="B153" s="20"/>
      <c r="E153" s="12" t="s">
        <v>407</v>
      </c>
      <c r="F153" s="4">
        <v>6800</v>
      </c>
      <c r="G153" s="4">
        <v>64</v>
      </c>
      <c r="H153" s="4">
        <v>2</v>
      </c>
      <c r="I153" s="4">
        <v>40</v>
      </c>
      <c r="J153" s="72">
        <v>1.4</v>
      </c>
      <c r="L153" s="9">
        <f>AVERAGEIF('RAMs Products'!D$9:D$1364,RAMs!A153,'RAMs Products'!L$9:L$1364)</f>
        <v>257.05250000000001</v>
      </c>
      <c r="M153" s="3">
        <f>AVERAGEIF('RAMs Products'!D$9:D$1364,RAMs!A153,'RAMs Products'!M$9:M$1364)</f>
        <v>321.85500000000002</v>
      </c>
      <c r="N153" s="17"/>
      <c r="O153" s="18"/>
      <c r="P153" s="49">
        <f t="shared" si="16"/>
        <v>3.4257126622647052</v>
      </c>
      <c r="Q153" s="1">
        <f t="shared" si="17"/>
        <v>4.4794219469635568</v>
      </c>
      <c r="R153" s="1">
        <f t="shared" si="18"/>
        <v>4.6885902057247231</v>
      </c>
      <c r="S153" s="10">
        <f t="shared" si="19"/>
        <v>3.952567304614131</v>
      </c>
      <c r="T153" s="45" cm="1">
        <f t="array" ref="T153">SUMPRODUCT(P153:S153 * P$3:S$3) / SUM(P$3:S$3)</f>
        <v>4.1468561574541329</v>
      </c>
    </row>
    <row r="154" spans="1:20" ht="16.5" customHeight="1" x14ac:dyDescent="0.25">
      <c r="A154" s="4" t="s">
        <v>9050</v>
      </c>
      <c r="B154" s="20"/>
      <c r="E154" s="12" t="s">
        <v>407</v>
      </c>
      <c r="F154" s="4">
        <v>6800</v>
      </c>
      <c r="G154" s="4">
        <v>96</v>
      </c>
      <c r="H154" s="4">
        <v>2</v>
      </c>
      <c r="I154" s="4">
        <v>40</v>
      </c>
      <c r="J154" s="72">
        <v>1.4</v>
      </c>
      <c r="L154" s="9">
        <f>AVERAGEIF('RAMs Products'!D$9:D$1364,RAMs!A154,'RAMs Products'!L$9:L$1364)</f>
        <v>373.71499999999997</v>
      </c>
      <c r="M154" s="3">
        <f>AVERAGEIF('RAMs Products'!D$9:D$1364,RAMs!A154,'RAMs Products'!M$9:M$1364)</f>
        <v>484.5025</v>
      </c>
      <c r="N154" s="17"/>
      <c r="O154" s="18"/>
      <c r="P154" s="49">
        <f t="shared" si="16"/>
        <v>4.1114305206018802</v>
      </c>
      <c r="Q154" s="1">
        <f t="shared" si="17"/>
        <v>5.6222850441921812</v>
      </c>
      <c r="R154" s="1">
        <f t="shared" si="18"/>
        <v>5.9457396126762108</v>
      </c>
      <c r="S154" s="10">
        <f t="shared" si="19"/>
        <v>4.8668577823970303</v>
      </c>
      <c r="T154" s="45" cm="1">
        <f t="array" ref="T154">SUMPRODUCT(P154:S154 * P$3:S$3) / SUM(P$3:S$3)</f>
        <v>5.1490591811776962</v>
      </c>
    </row>
    <row r="155" spans="1:20" ht="16.5" customHeight="1" x14ac:dyDescent="0.25">
      <c r="A155" s="4" t="s">
        <v>9051</v>
      </c>
      <c r="B155" s="20"/>
      <c r="E155" s="12" t="s">
        <v>407</v>
      </c>
      <c r="F155" s="4">
        <v>7000</v>
      </c>
      <c r="G155" s="4">
        <v>32</v>
      </c>
      <c r="H155" s="4">
        <v>2</v>
      </c>
      <c r="I155" s="4">
        <v>34</v>
      </c>
      <c r="J155" s="72">
        <v>1.45</v>
      </c>
      <c r="L155" s="9">
        <f>AVERAGEIF('RAMs Products'!D$9:D$1364,RAMs!A155,'RAMs Products'!L$9:L$1364)</f>
        <v>165.35999999999999</v>
      </c>
      <c r="M155" s="3">
        <f>AVERAGEIF('RAMs Products'!D$9:D$1364,RAMs!A155,'RAMs Products'!M$9:M$1364)</f>
        <v>207.26333333333332</v>
      </c>
      <c r="N155" s="17"/>
      <c r="O155" s="18"/>
      <c r="P155" s="49">
        <f t="shared" si="16"/>
        <v>2.6593561797611427</v>
      </c>
      <c r="Q155" s="1">
        <f t="shared" si="17"/>
        <v>3.1648239402586018</v>
      </c>
      <c r="R155" s="1">
        <f t="shared" si="18"/>
        <v>3.2368643667903543</v>
      </c>
      <c r="S155" s="10">
        <f t="shared" si="19"/>
        <v>2.9120900600098722</v>
      </c>
      <c r="T155" s="45" cm="1">
        <f t="array" ref="T155">SUMPRODUCT(P155:S155 * P$3:S$3) / SUM(P$3:S$3)</f>
        <v>3.0009374733989818</v>
      </c>
    </row>
    <row r="156" spans="1:20" ht="16.5" customHeight="1" x14ac:dyDescent="0.25">
      <c r="A156" s="4" t="s">
        <v>9052</v>
      </c>
      <c r="B156" s="20"/>
      <c r="E156" s="12" t="s">
        <v>407</v>
      </c>
      <c r="F156" s="4">
        <v>7000</v>
      </c>
      <c r="G156" s="4">
        <v>48</v>
      </c>
      <c r="H156" s="4">
        <v>2</v>
      </c>
      <c r="I156" s="4">
        <v>36</v>
      </c>
      <c r="J156" s="72">
        <v>1.4</v>
      </c>
      <c r="L156" s="9">
        <f>AVERAGEIF('RAMs Products'!D$9:D$1364,RAMs!A156,'RAMs Products'!L$9:L$1364)</f>
        <v>224.39600000000002</v>
      </c>
      <c r="M156" s="3">
        <f>AVERAGEIF('RAMs Products'!D$9:D$1364,RAMs!A156,'RAMs Products'!M$9:M$1364)</f>
        <v>277.96400000000006</v>
      </c>
      <c r="N156" s="17"/>
      <c r="O156" s="18"/>
      <c r="P156" s="49">
        <f t="shared" si="16"/>
        <v>3.0786969328403786</v>
      </c>
      <c r="Q156" s="1">
        <f t="shared" si="17"/>
        <v>3.8678402824893841</v>
      </c>
      <c r="R156" s="1">
        <f t="shared" si="18"/>
        <v>4.0102321848896905</v>
      </c>
      <c r="S156" s="10">
        <f t="shared" si="19"/>
        <v>3.4732686076648811</v>
      </c>
      <c r="T156" s="45" cm="1">
        <f t="array" ref="T156">SUMPRODUCT(P156:S156 * P$3:S$3) / SUM(P$3:S$3)</f>
        <v>3.6165817233647752</v>
      </c>
    </row>
    <row r="157" spans="1:20" ht="16.5" customHeight="1" x14ac:dyDescent="0.25">
      <c r="A157" s="4" t="s">
        <v>9053</v>
      </c>
      <c r="B157" s="20"/>
      <c r="E157" s="12" t="s">
        <v>407</v>
      </c>
      <c r="F157" s="4">
        <v>7000</v>
      </c>
      <c r="G157" s="4">
        <v>96</v>
      </c>
      <c r="H157" s="4">
        <v>2</v>
      </c>
      <c r="I157" s="4">
        <v>40</v>
      </c>
      <c r="J157" s="72">
        <v>1.4</v>
      </c>
      <c r="L157" s="9">
        <f>AVERAGEIF('RAMs Products'!D$9:D$1364,RAMs!A157,'RAMs Products'!L$9:L$1364)</f>
        <v>422.24</v>
      </c>
      <c r="M157" s="3">
        <f>AVERAGEIF('RAMs Products'!D$9:D$1364,RAMs!A157,'RAMs Products'!M$9:M$1364)</f>
        <v>489.24</v>
      </c>
      <c r="N157" s="17"/>
      <c r="O157" s="18"/>
      <c r="P157" s="49">
        <f t="shared" si="16"/>
        <v>4.1375289159476649</v>
      </c>
      <c r="Q157" s="1">
        <f t="shared" si="17"/>
        <v>5.64185884070152</v>
      </c>
      <c r="R157" s="1">
        <f t="shared" si="18"/>
        <v>5.9620511097673266</v>
      </c>
      <c r="S157" s="10">
        <f t="shared" si="19"/>
        <v>4.8896938783245929</v>
      </c>
      <c r="T157" s="45" cm="1">
        <f t="array" ref="T157">SUMPRODUCT(P157:S157 * P$3:S$3) / SUM(P$3:S$3)</f>
        <v>5.1703896004506937</v>
      </c>
    </row>
    <row r="158" spans="1:20" ht="16.5" customHeight="1" x14ac:dyDescent="0.25">
      <c r="A158" s="4" t="s">
        <v>9054</v>
      </c>
      <c r="B158" s="20"/>
      <c r="E158" s="12" t="s">
        <v>407</v>
      </c>
      <c r="F158" s="4">
        <v>7200</v>
      </c>
      <c r="G158" s="4">
        <v>16</v>
      </c>
      <c r="H158" s="4">
        <v>1</v>
      </c>
      <c r="I158" s="4">
        <v>38</v>
      </c>
      <c r="J158" s="72">
        <v>1.45</v>
      </c>
      <c r="L158" s="9">
        <f>AVERAGEIF('RAMs Products'!D$9:D$1364,RAMs!A158,'RAMs Products'!L$9:L$1364)</f>
        <v>90.9</v>
      </c>
      <c r="M158" s="3">
        <f>AVERAGEIF('RAMs Products'!D$9:D$1364,RAMs!A158,'RAMs Products'!M$9:M$1364)</f>
        <v>130.03250000000003</v>
      </c>
      <c r="N158" s="17"/>
      <c r="O158" s="18"/>
      <c r="P158" s="49">
        <f t="shared" si="16"/>
        <v>2.0557823603686907</v>
      </c>
      <c r="Q158" s="1">
        <f t="shared" si="17"/>
        <v>2.2616834622828286</v>
      </c>
      <c r="R158" s="1">
        <f t="shared" si="18"/>
        <v>2.2613088223887567</v>
      </c>
      <c r="S158" s="10">
        <f t="shared" si="19"/>
        <v>2.1587329113257594</v>
      </c>
      <c r="T158" s="45" cm="1">
        <f t="array" ref="T158">SUMPRODUCT(P158:S158 * P$3:S$3) / SUM(P$3:S$3)</f>
        <v>2.1903523670211547</v>
      </c>
    </row>
    <row r="159" spans="1:20" ht="16.5" customHeight="1" x14ac:dyDescent="0.25">
      <c r="A159" s="4" t="s">
        <v>9055</v>
      </c>
      <c r="B159" s="20"/>
      <c r="E159" s="12" t="s">
        <v>407</v>
      </c>
      <c r="F159" s="4">
        <v>7200</v>
      </c>
      <c r="G159" s="4">
        <v>24</v>
      </c>
      <c r="H159" s="4">
        <v>1</v>
      </c>
      <c r="I159" s="4">
        <v>38</v>
      </c>
      <c r="J159" s="72">
        <v>1.45</v>
      </c>
      <c r="L159" s="9">
        <f>AVERAGEIF('RAMs Products'!D$9:D$1364,RAMs!A159,'RAMs Products'!L$9:L$1364)</f>
        <v>125.285</v>
      </c>
      <c r="M159" s="3">
        <f>AVERAGEIF('RAMs Products'!D$9:D$1364,RAMs!A159,'RAMs Products'!M$9:M$1364)</f>
        <v>193.72</v>
      </c>
      <c r="N159" s="17"/>
      <c r="O159" s="18"/>
      <c r="P159" s="49">
        <f t="shared" si="16"/>
        <v>2.3156208398271119</v>
      </c>
      <c r="Q159" s="1">
        <f t="shared" si="17"/>
        <v>2.6947475947135304</v>
      </c>
      <c r="R159" s="1">
        <f t="shared" si="18"/>
        <v>2.7376793680625289</v>
      </c>
      <c r="S159" s="10">
        <f t="shared" si="19"/>
        <v>2.5051842172703211</v>
      </c>
      <c r="T159" s="45" cm="1">
        <f t="array" ref="T159">SUMPRODUCT(P159:S159 * P$3:S$3) / SUM(P$3:S$3)</f>
        <v>2.5701162985373083</v>
      </c>
    </row>
    <row r="160" spans="1:20" ht="16.5" customHeight="1" x14ac:dyDescent="0.25">
      <c r="A160" s="4" t="s">
        <v>9056</v>
      </c>
      <c r="B160" s="20"/>
      <c r="E160" s="12" t="s">
        <v>407</v>
      </c>
      <c r="F160" s="4">
        <v>7200</v>
      </c>
      <c r="G160" s="4">
        <v>32</v>
      </c>
      <c r="H160" s="4">
        <v>2</v>
      </c>
      <c r="I160" s="4">
        <v>34</v>
      </c>
      <c r="J160" s="72">
        <v>1.45</v>
      </c>
      <c r="L160" s="9">
        <f>AVERAGEIF('RAMs Products'!D$9:D$1364,RAMs!A160,'RAMs Products'!L$9:L$1364)</f>
        <v>168.6841666666667</v>
      </c>
      <c r="M160" s="3">
        <f>AVERAGEIF('RAMs Products'!D$9:D$1364,RAMs!A160,'RAMs Products'!M$9:M$1364)</f>
        <v>237.54249999999993</v>
      </c>
      <c r="N160" s="17"/>
      <c r="O160" s="18"/>
      <c r="P160" s="49">
        <f t="shared" si="16"/>
        <v>2.6853058445050726</v>
      </c>
      <c r="Q160" s="1">
        <f t="shared" si="17"/>
        <v>3.1842861888165492</v>
      </c>
      <c r="R160" s="1">
        <f t="shared" si="18"/>
        <v>3.25308290725531</v>
      </c>
      <c r="S160" s="10">
        <f t="shared" si="19"/>
        <v>2.9347960166608109</v>
      </c>
      <c r="T160" s="45" cm="1">
        <f t="array" ref="T160">SUMPRODUCT(P160:S160 * P$3:S$3) / SUM(P$3:S$3)</f>
        <v>3.0221463340070014</v>
      </c>
    </row>
    <row r="161" spans="1:20" ht="16.5" customHeight="1" x14ac:dyDescent="0.25">
      <c r="A161" s="4" t="s">
        <v>9057</v>
      </c>
      <c r="B161" s="20"/>
      <c r="E161" s="12" t="s">
        <v>407</v>
      </c>
      <c r="F161" s="4">
        <v>7200</v>
      </c>
      <c r="G161" s="4">
        <v>48</v>
      </c>
      <c r="H161" s="4">
        <v>2</v>
      </c>
      <c r="I161" s="4">
        <v>36</v>
      </c>
      <c r="J161" s="72">
        <v>1.4</v>
      </c>
      <c r="L161" s="9">
        <f>AVERAGEIF('RAMs Products'!D$9:D$1364,RAMs!A161,'RAMs Products'!L$9:L$1364)</f>
        <v>231.91285714285712</v>
      </c>
      <c r="M161" s="3">
        <f>AVERAGEIF('RAMs Products'!D$9:D$1364,RAMs!A161,'RAMs Products'!M$9:M$1364)</f>
        <v>310.16428571428571</v>
      </c>
      <c r="N161" s="17"/>
      <c r="O161" s="18"/>
      <c r="P161" s="49">
        <f t="shared" si="16"/>
        <v>3.1046465975843085</v>
      </c>
      <c r="Q161" s="1">
        <f t="shared" si="17"/>
        <v>3.8873025310473306</v>
      </c>
      <c r="R161" s="1">
        <f t="shared" si="18"/>
        <v>4.0264507253546462</v>
      </c>
      <c r="S161" s="10">
        <f t="shared" si="19"/>
        <v>3.4959745643158198</v>
      </c>
      <c r="T161" s="45" cm="1">
        <f t="array" ref="T161">SUMPRODUCT(P161:S161 * P$3:S$3) / SUM(P$3:S$3)</f>
        <v>3.6377905839727949</v>
      </c>
    </row>
    <row r="162" spans="1:20" ht="16.5" customHeight="1" x14ac:dyDescent="0.25">
      <c r="A162" s="4" t="s">
        <v>9058</v>
      </c>
      <c r="B162" s="20"/>
      <c r="E162" s="12" t="s">
        <v>407</v>
      </c>
      <c r="F162" s="4">
        <v>7200</v>
      </c>
      <c r="G162" s="4">
        <v>96</v>
      </c>
      <c r="H162" s="4">
        <v>2</v>
      </c>
      <c r="I162" s="4">
        <v>40</v>
      </c>
      <c r="J162" s="72">
        <v>1.4</v>
      </c>
      <c r="L162" s="9">
        <f>AVERAGEIF('RAMs Products'!D$9:D$1364,RAMs!A162,'RAMs Products'!L$9:L$1364)</f>
        <v>409.43</v>
      </c>
      <c r="M162" s="3">
        <f>AVERAGEIF('RAMs Products'!D$9:D$1364,RAMs!A162,'RAMs Products'!M$9:M$1364)</f>
        <v>468.99</v>
      </c>
      <c r="N162" s="17"/>
      <c r="O162" s="18"/>
      <c r="P162" s="49">
        <f t="shared" si="16"/>
        <v>4.1634785806915948</v>
      </c>
      <c r="Q162" s="1">
        <f t="shared" si="17"/>
        <v>5.6613210892594674</v>
      </c>
      <c r="R162" s="1">
        <f t="shared" si="18"/>
        <v>5.9782696502322832</v>
      </c>
      <c r="S162" s="10">
        <f t="shared" si="19"/>
        <v>4.9123998349755311</v>
      </c>
      <c r="T162" s="45" cm="1">
        <f t="array" ref="T162">SUMPRODUCT(P162:S162 * P$3:S$3) / SUM(P$3:S$3)</f>
        <v>5.1915984610587138</v>
      </c>
    </row>
    <row r="163" spans="1:20" ht="16.5" customHeight="1" x14ac:dyDescent="0.25">
      <c r="A163" s="4" t="s">
        <v>9059</v>
      </c>
      <c r="B163" s="20"/>
      <c r="E163" s="12" t="s">
        <v>407</v>
      </c>
      <c r="F163" s="4">
        <v>7600</v>
      </c>
      <c r="G163" s="4">
        <v>16</v>
      </c>
      <c r="H163" s="4">
        <v>1</v>
      </c>
      <c r="I163" s="4">
        <v>38</v>
      </c>
      <c r="J163" s="72">
        <v>1.45</v>
      </c>
      <c r="L163" s="9">
        <f>AVERAGEIF('RAMs Products'!D$9:D$1364,RAMs!A163,'RAMs Products'!L$9:L$1364)</f>
        <v>92.8125</v>
      </c>
      <c r="M163" s="3">
        <f>AVERAGEIF('RAMs Products'!D$9:D$1364,RAMs!A163,'RAMs Products'!M$9:M$1364)</f>
        <v>149.98999999999998</v>
      </c>
      <c r="N163" s="17"/>
      <c r="O163" s="18"/>
      <c r="P163" s="49">
        <f t="shared" si="16"/>
        <v>2.1025756560403375</v>
      </c>
      <c r="Q163" s="1">
        <f t="shared" si="17"/>
        <v>2.2967784340365638</v>
      </c>
      <c r="R163" s="1">
        <f t="shared" si="18"/>
        <v>2.2905546321835359</v>
      </c>
      <c r="S163" s="10">
        <f t="shared" si="19"/>
        <v>2.1996770450384506</v>
      </c>
      <c r="T163" s="45" cm="1">
        <f t="array" ref="T163">SUMPRODUCT(P163:S163 * P$3:S$3) / SUM(P$3:S$3)</f>
        <v>2.2285968875220195</v>
      </c>
    </row>
    <row r="164" spans="1:20" ht="16.5" customHeight="1" x14ac:dyDescent="0.25">
      <c r="A164" s="4" t="s">
        <v>9060</v>
      </c>
      <c r="B164" s="20"/>
      <c r="E164" s="12" t="s">
        <v>407</v>
      </c>
      <c r="F164" s="4">
        <v>7600</v>
      </c>
      <c r="G164" s="4">
        <v>32</v>
      </c>
      <c r="H164" s="4">
        <v>2</v>
      </c>
      <c r="I164" s="4">
        <v>36</v>
      </c>
      <c r="J164" s="72">
        <v>1.4</v>
      </c>
      <c r="L164" s="9">
        <f>AVERAGEIF('RAMs Products'!D$9:D$1364,RAMs!A164,'RAMs Products'!L$9:L$1364)</f>
        <v>179.1225</v>
      </c>
      <c r="M164" s="3">
        <f>AVERAGEIF('RAMs Products'!D$9:D$1364,RAMs!A164,'RAMs Products'!M$9:M$1364)</f>
        <v>260.29500000000002</v>
      </c>
      <c r="N164" s="17"/>
      <c r="O164" s="18"/>
      <c r="P164" s="49">
        <f t="shared" si="16"/>
        <v>2.7340103676117935</v>
      </c>
      <c r="Q164" s="1">
        <f t="shared" si="17"/>
        <v>3.222392241290895</v>
      </c>
      <c r="R164" s="1">
        <f t="shared" si="18"/>
        <v>3.2847548815748051</v>
      </c>
      <c r="S164" s="10">
        <f t="shared" si="19"/>
        <v>2.978201304451344</v>
      </c>
      <c r="T164" s="45" cm="1">
        <f t="array" ref="T164">SUMPRODUCT(P164:S164 * P$3:S$3) / SUM(P$3:S$3)</f>
        <v>3.0629312296764226</v>
      </c>
    </row>
    <row r="165" spans="1:20" ht="16.5" customHeight="1" x14ac:dyDescent="0.25">
      <c r="A165" s="4" t="s">
        <v>9061</v>
      </c>
      <c r="B165" s="20"/>
      <c r="E165" s="12" t="s">
        <v>407</v>
      </c>
      <c r="F165" s="4">
        <v>7600</v>
      </c>
      <c r="G165" s="4">
        <v>48</v>
      </c>
      <c r="H165" s="4">
        <v>2</v>
      </c>
      <c r="I165" s="4">
        <v>38</v>
      </c>
      <c r="J165" s="72">
        <v>1.35</v>
      </c>
      <c r="L165" s="9">
        <f>AVERAGEIF('RAMs Products'!D$9:D$1364,RAMs!A165,'RAMs Products'!L$9:L$1364)</f>
        <v>203.3</v>
      </c>
      <c r="M165" s="3">
        <f>AVERAGEIF('RAMs Products'!D$9:D$1364,RAMs!A165,'RAMs Products'!M$9:M$1364)</f>
        <v>422.91499999999996</v>
      </c>
      <c r="N165" s="17"/>
      <c r="O165" s="18"/>
      <c r="P165" s="49">
        <f t="shared" si="16"/>
        <v>3.1538350636107513</v>
      </c>
      <c r="Q165" s="1">
        <f t="shared" si="17"/>
        <v>3.9256993121697783</v>
      </c>
      <c r="R165" s="1">
        <f t="shared" si="18"/>
        <v>4.0584134283222424</v>
      </c>
      <c r="S165" s="10">
        <f t="shared" si="19"/>
        <v>3.5397671878902646</v>
      </c>
      <c r="T165" s="45" cm="1">
        <f t="array" ref="T165">SUMPRODUCT(P165:S165 * P$3:S$3) / SUM(P$3:S$3)</f>
        <v>3.6789330901535711</v>
      </c>
    </row>
    <row r="166" spans="1:20" ht="16.5" customHeight="1" x14ac:dyDescent="0.25">
      <c r="A166" s="4" t="s">
        <v>9062</v>
      </c>
      <c r="B166" s="20"/>
      <c r="E166" s="12" t="s">
        <v>407</v>
      </c>
      <c r="F166" s="4">
        <v>7800</v>
      </c>
      <c r="G166" s="4">
        <v>32</v>
      </c>
      <c r="H166" s="4">
        <v>2</v>
      </c>
      <c r="I166" s="4">
        <v>36</v>
      </c>
      <c r="J166" s="72">
        <v>1.45</v>
      </c>
      <c r="L166" s="9">
        <f>AVERAGEIF('RAMs Products'!D$9:D$1364,RAMs!A166,'RAMs Products'!L$9:L$1364)</f>
        <v>160.9</v>
      </c>
      <c r="M166" s="3">
        <f>AVERAGEIF('RAMs Products'!D$9:D$1364,RAMs!A166,'RAMs Products'!M$9:M$1364)</f>
        <v>252.55500000000001</v>
      </c>
      <c r="N166" s="17"/>
      <c r="O166" s="18"/>
      <c r="P166" s="49">
        <f t="shared" si="16"/>
        <v>2.7577710939284032</v>
      </c>
      <c r="Q166" s="1">
        <f t="shared" si="17"/>
        <v>3.2397699687227117</v>
      </c>
      <c r="R166" s="1">
        <f t="shared" si="18"/>
        <v>3.298941109564224</v>
      </c>
      <c r="S166" s="10">
        <f t="shared" si="19"/>
        <v>2.9987705313255573</v>
      </c>
      <c r="T166" s="45" cm="1">
        <f t="array" ref="T166">SUMPRODUCT(P166:S166 * P$3:S$3) / SUM(P$3:S$3)</f>
        <v>3.0820274568079915</v>
      </c>
    </row>
    <row r="167" spans="1:20" ht="16.5" customHeight="1" x14ac:dyDescent="0.25">
      <c r="A167" s="4" t="s">
        <v>9063</v>
      </c>
      <c r="B167" s="20"/>
      <c r="E167" s="12" t="s">
        <v>407</v>
      </c>
      <c r="F167" s="4">
        <v>8000</v>
      </c>
      <c r="G167" s="4">
        <v>16</v>
      </c>
      <c r="H167" s="4">
        <v>1</v>
      </c>
      <c r="I167" s="4">
        <v>38</v>
      </c>
      <c r="J167" s="72">
        <v>1.45</v>
      </c>
      <c r="L167" s="9">
        <f>AVERAGEIF('RAMs Products'!D$9:D$1364,RAMs!A167,'RAMs Products'!L$9:L$1364)</f>
        <v>119.4</v>
      </c>
      <c r="M167" s="3">
        <f>AVERAGEIF('RAMs Products'!D$9:D$1364,RAMs!A167,'RAMs Products'!M$9:M$1364)</f>
        <v>171.48749999999998</v>
      </c>
      <c r="N167" s="17"/>
      <c r="O167" s="18"/>
      <c r="P167" s="49">
        <f t="shared" si="16"/>
        <v>2.1488787262361906</v>
      </c>
      <c r="Q167" s="1">
        <f t="shared" si="17"/>
        <v>2.3315057366834533</v>
      </c>
      <c r="R167" s="1">
        <f t="shared" si="18"/>
        <v>2.3194940510559441</v>
      </c>
      <c r="S167" s="10">
        <f t="shared" si="19"/>
        <v>2.2401922314598224</v>
      </c>
      <c r="T167" s="45" cm="1">
        <f t="array" ref="T167">SUMPRODUCT(P167:S167 * P$3:S$3) / SUM(P$3:S$3)</f>
        <v>2.2664407429705533</v>
      </c>
    </row>
    <row r="168" spans="1:20" ht="16.5" customHeight="1" x14ac:dyDescent="0.25">
      <c r="A168" s="4" t="s">
        <v>9064</v>
      </c>
      <c r="B168" s="20"/>
      <c r="E168" s="12" t="s">
        <v>407</v>
      </c>
      <c r="F168" s="4">
        <v>8000</v>
      </c>
      <c r="G168" s="4">
        <v>32</v>
      </c>
      <c r="H168" s="4">
        <v>2</v>
      </c>
      <c r="I168" s="4">
        <v>38</v>
      </c>
      <c r="J168" s="72">
        <v>1.45</v>
      </c>
      <c r="L168" s="9">
        <f>AVERAGEIF('RAMs Products'!D$9:D$1364,RAMs!A168,'RAMs Products'!L$9:L$1364)</f>
        <v>206.67142857142861</v>
      </c>
      <c r="M168" s="3">
        <f>AVERAGEIF('RAMs Products'!D$9:D$1364,RAMs!A168,'RAMs Products'!M$9:M$1364)</f>
        <v>389.70285714285717</v>
      </c>
      <c r="N168" s="17"/>
      <c r="O168" s="18"/>
      <c r="P168" s="49">
        <f t="shared" si="16"/>
        <v>2.7790195327932512</v>
      </c>
      <c r="Q168" s="1">
        <f t="shared" si="17"/>
        <v>3.2567445335742011</v>
      </c>
      <c r="R168" s="1">
        <f t="shared" si="18"/>
        <v>3.3127405017061808</v>
      </c>
      <c r="S168" s="10">
        <f t="shared" si="19"/>
        <v>3.0178820331837262</v>
      </c>
      <c r="T168" s="45" cm="1">
        <f t="array" ref="T168">SUMPRODUCT(P168:S168 * P$3:S$3) / SUM(P$3:S$3)</f>
        <v>3.0999929514780229</v>
      </c>
    </row>
    <row r="169" spans="1:20" ht="16.5" customHeight="1" x14ac:dyDescent="0.25">
      <c r="A169" s="4" t="s">
        <v>9065</v>
      </c>
      <c r="B169" s="20"/>
      <c r="E169" s="12" t="s">
        <v>407</v>
      </c>
      <c r="F169" s="4">
        <v>8000</v>
      </c>
      <c r="G169" s="4">
        <v>48</v>
      </c>
      <c r="H169" s="4">
        <v>2</v>
      </c>
      <c r="I169" s="4">
        <v>38</v>
      </c>
      <c r="J169" s="72">
        <v>1.4</v>
      </c>
      <c r="L169" s="9">
        <f>AVERAGEIF('RAMs Products'!D$9:D$1364,RAMs!A169,'RAMs Products'!L$9:L$1364)</f>
        <v>275.15142857142865</v>
      </c>
      <c r="M169" s="3">
        <f>AVERAGEIF('RAMs Products'!D$9:D$1364,RAMs!A169,'RAMs Products'!M$9:M$1364)</f>
        <v>395.52285714285711</v>
      </c>
      <c r="N169" s="17"/>
      <c r="O169" s="18"/>
      <c r="P169" s="49">
        <f t="shared" si="16"/>
        <v>3.2028996572271433</v>
      </c>
      <c r="Q169" s="1">
        <f t="shared" si="17"/>
        <v>3.9620305614823108</v>
      </c>
      <c r="R169" s="1">
        <f t="shared" si="18"/>
        <v>4.0883780054828449</v>
      </c>
      <c r="S169" s="10">
        <f t="shared" si="19"/>
        <v>3.5824651093547271</v>
      </c>
      <c r="T169" s="45" cm="1">
        <f t="array" ref="T169">SUMPRODUCT(P169:S169 * P$3:S$3) / SUM(P$3:S$3)</f>
        <v>3.7186925475479122</v>
      </c>
    </row>
    <row r="170" spans="1:20" ht="16.5" customHeight="1" x14ac:dyDescent="0.25">
      <c r="A170" s="4" t="s">
        <v>9066</v>
      </c>
      <c r="B170" s="20"/>
      <c r="E170" s="12" t="s">
        <v>407</v>
      </c>
      <c r="F170" s="4">
        <v>8200</v>
      </c>
      <c r="G170" s="4">
        <v>48</v>
      </c>
      <c r="H170" s="4">
        <v>2</v>
      </c>
      <c r="I170" s="4">
        <v>40</v>
      </c>
      <c r="J170" s="72">
        <v>1.4</v>
      </c>
      <c r="L170" s="9">
        <f>AVERAGEIF('RAMs Products'!D$9:D$1364,RAMs!A170,'RAMs Products'!L$9:L$1364)</f>
        <v>273.46571428571423</v>
      </c>
      <c r="M170" s="3">
        <f>AVERAGEIF('RAMs Products'!D$9:D$1364,RAMs!A170,'RAMs Products'!M$9:M$1364)</f>
        <v>353.09857142857135</v>
      </c>
      <c r="N170" s="17"/>
      <c r="O170" s="18"/>
      <c r="P170" s="49">
        <f t="shared" si="16"/>
        <v>3.2243570604252736</v>
      </c>
      <c r="Q170" s="1">
        <f t="shared" ref="Q170:Q201" si="20">(((F170/F$9)^F$7 * F$3 + (I170/I$9)^I$7 * I$3 + (J170/J$9)^J$7 * J$3) * (1+M$3*(MIN(H170,M$2)-1)+M$4*(H170-MIN(H170,M$2))) + (G170/G$9)^G$7 * G$3)  * P$9</f>
        <v>3.9790779323994823</v>
      </c>
      <c r="R170" s="1">
        <f t="shared" si="18"/>
        <v>4.1022660417409629</v>
      </c>
      <c r="S170" s="10">
        <f t="shared" si="19"/>
        <v>3.6017174964123777</v>
      </c>
      <c r="T170" s="45" cm="1">
        <f t="array" ref="T170">SUMPRODUCT(P170:S170 * P$3:S$3) / SUM(P$3:S$3)</f>
        <v>3.736780416614792</v>
      </c>
    </row>
    <row r="171" spans="1:20" ht="16.5" customHeight="1" x14ac:dyDescent="0.25">
      <c r="A171" s="4" t="s">
        <v>9067</v>
      </c>
      <c r="B171" s="20"/>
      <c r="E171" s="12" t="s">
        <v>407</v>
      </c>
      <c r="F171" s="4">
        <v>8400</v>
      </c>
      <c r="G171" s="4">
        <v>24</v>
      </c>
      <c r="H171" s="4">
        <v>1</v>
      </c>
      <c r="I171" s="4">
        <v>40</v>
      </c>
      <c r="J171" s="72">
        <v>1.45</v>
      </c>
      <c r="L171" s="9">
        <f>AVERAGEIF('RAMs Products'!D$9:D$1364,RAMs!A171,'RAMs Products'!L$9:L$1364)</f>
        <v>163.10250000000002</v>
      </c>
      <c r="M171" s="3">
        <f>AVERAGEIF('RAMs Products'!D$9:D$1364,RAMs!A171,'RAMs Products'!M$9:M$1364)</f>
        <v>225.7525</v>
      </c>
      <c r="N171" s="17"/>
      <c r="O171" s="18"/>
      <c r="P171" s="49">
        <f t="shared" si="16"/>
        <v>2.4510890931484148</v>
      </c>
      <c r="Q171" s="1">
        <f t="shared" si="20"/>
        <v>2.7972163469941194</v>
      </c>
      <c r="R171" s="1">
        <f t="shared" si="18"/>
        <v>2.8227808075331486</v>
      </c>
      <c r="S171" s="10">
        <f t="shared" si="19"/>
        <v>2.6241527200712671</v>
      </c>
      <c r="T171" s="45" cm="1">
        <f t="array" ref="T171">SUMPRODUCT(P171:S171 * P$3:S$3) / SUM(P$3:S$3)</f>
        <v>2.6813360607458416</v>
      </c>
    </row>
    <row r="172" spans="1:20" ht="16.5" customHeight="1" x14ac:dyDescent="0.25">
      <c r="A172" s="4" t="s">
        <v>9068</v>
      </c>
      <c r="B172" s="20"/>
      <c r="E172" s="12" t="s">
        <v>407</v>
      </c>
      <c r="F172" s="4">
        <v>8400</v>
      </c>
      <c r="G172" s="4">
        <v>48</v>
      </c>
      <c r="H172" s="4">
        <v>2</v>
      </c>
      <c r="I172" s="4">
        <v>40</v>
      </c>
      <c r="J172" s="72">
        <v>1.4</v>
      </c>
      <c r="L172" s="9">
        <f>AVERAGEIF('RAMs Products'!D$9:D$1364,RAMs!A172,'RAMs Products'!L$9:L$1364)</f>
        <v>319.42916666666673</v>
      </c>
      <c r="M172" s="3">
        <f>AVERAGEIF('RAMs Products'!D$9:D$1364,RAMs!A172,'RAMs Products'!M$9:M$1364)</f>
        <v>429.15583333333331</v>
      </c>
      <c r="N172" s="17"/>
      <c r="O172" s="18"/>
      <c r="P172" s="49">
        <f t="shared" si="16"/>
        <v>3.2495087334263264</v>
      </c>
      <c r="Q172" s="1">
        <f t="shared" si="20"/>
        <v>3.9979416871502709</v>
      </c>
      <c r="R172" s="1">
        <f t="shared" si="18"/>
        <v>4.1179858373666214</v>
      </c>
      <c r="S172" s="10">
        <f t="shared" si="19"/>
        <v>3.6237252102882991</v>
      </c>
      <c r="T172" s="45" cm="1">
        <f t="array" ref="T172">SUMPRODUCT(P172:S172 * P$3:S$3) / SUM(P$3:S$3)</f>
        <v>3.7573370724329598</v>
      </c>
    </row>
    <row r="173" spans="1:20" ht="16.5" customHeight="1" x14ac:dyDescent="0.25">
      <c r="A173" s="4" t="s">
        <v>9069</v>
      </c>
      <c r="B173" s="20"/>
      <c r="E173" s="12" t="s">
        <v>407</v>
      </c>
      <c r="F173" s="4">
        <v>8800</v>
      </c>
      <c r="G173" s="4">
        <v>48</v>
      </c>
      <c r="H173" s="4">
        <v>2</v>
      </c>
      <c r="I173" s="4">
        <v>42</v>
      </c>
      <c r="J173" s="72">
        <v>1.45</v>
      </c>
      <c r="L173" s="9">
        <f>AVERAGEIF('RAMs Products'!D$9:D$1364,RAMs!A173,'RAMs Products'!L$9:L$1364)</f>
        <v>350.44499999999999</v>
      </c>
      <c r="M173" s="3">
        <f>AVERAGEIF('RAMs Products'!D$9:D$1364,RAMs!A173,'RAMs Products'!M$9:M$1364)</f>
        <v>452.75</v>
      </c>
      <c r="N173" s="17"/>
      <c r="O173" s="18"/>
      <c r="P173" s="49">
        <f t="shared" si="16"/>
        <v>3.2941620688666555</v>
      </c>
      <c r="Q173" s="1">
        <f t="shared" si="20"/>
        <v>4.0318697655174747</v>
      </c>
      <c r="R173" s="1">
        <f t="shared" si="18"/>
        <v>4.1456703931046643</v>
      </c>
      <c r="S173" s="10">
        <f t="shared" si="19"/>
        <v>3.6630159171920651</v>
      </c>
      <c r="T173" s="45" cm="1">
        <f t="array" ref="T173">SUMPRODUCT(P173:S173 * P$3:S$3) / SUM(P$3:S$3)</f>
        <v>3.7940171978440662</v>
      </c>
    </row>
    <row r="174" spans="1:20" ht="16.5" customHeight="1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</row>
    <row r="175" spans="1:20" ht="16.5" customHeight="1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</row>
    <row r="176" spans="1:20" ht="16.5" customHeight="1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</row>
    <row r="177" customFormat="1" ht="16.5" customHeight="1" x14ac:dyDescent="0.25"/>
    <row r="178" customFormat="1" ht="16.5" customHeight="1" x14ac:dyDescent="0.25"/>
    <row r="179" customFormat="1" ht="16.5" customHeight="1" x14ac:dyDescent="0.25"/>
    <row r="180" customFormat="1" ht="16.5" customHeight="1" x14ac:dyDescent="0.25"/>
    <row r="181" customFormat="1" ht="16.5" customHeight="1" x14ac:dyDescent="0.25"/>
    <row r="182" customFormat="1" ht="16.5" customHeight="1" x14ac:dyDescent="0.25"/>
    <row r="183" customFormat="1" ht="16.5" customHeight="1" x14ac:dyDescent="0.25"/>
    <row r="184" customFormat="1" ht="16.5" customHeight="1" x14ac:dyDescent="0.25"/>
    <row r="185" customFormat="1" ht="16.5" customHeight="1" x14ac:dyDescent="0.25"/>
    <row r="186" customFormat="1" ht="16.5" customHeight="1" x14ac:dyDescent="0.25"/>
    <row r="187" customFormat="1" ht="16.5" customHeight="1" x14ac:dyDescent="0.25"/>
    <row r="188" customFormat="1" ht="16.5" customHeight="1" x14ac:dyDescent="0.25"/>
    <row r="189" customFormat="1" ht="16.5" customHeight="1" x14ac:dyDescent="0.25"/>
    <row r="190" customFormat="1" ht="16.5" customHeight="1" x14ac:dyDescent="0.25"/>
    <row r="191" customFormat="1" ht="16.5" customHeight="1" x14ac:dyDescent="0.25"/>
    <row r="192" customFormat="1" ht="16.5" customHeight="1" x14ac:dyDescent="0.25"/>
    <row r="193" customFormat="1" ht="16.5" customHeight="1" x14ac:dyDescent="0.25"/>
    <row r="194" customFormat="1" ht="16.5" customHeight="1" x14ac:dyDescent="0.25"/>
    <row r="195" customFormat="1" ht="16.5" customHeight="1" x14ac:dyDescent="0.25"/>
    <row r="196" customFormat="1" ht="16.5" customHeight="1" x14ac:dyDescent="0.25"/>
    <row r="197" customFormat="1" ht="16.5" customHeight="1" x14ac:dyDescent="0.25"/>
    <row r="198" customFormat="1" ht="16.5" customHeight="1" x14ac:dyDescent="0.25"/>
    <row r="199" customFormat="1" ht="16.5" customHeight="1" x14ac:dyDescent="0.25"/>
    <row r="200" customFormat="1" ht="16.5" customHeight="1" x14ac:dyDescent="0.25"/>
    <row r="201" customFormat="1" ht="16.5" customHeight="1" x14ac:dyDescent="0.25"/>
    <row r="202" customFormat="1" ht="16.5" customHeight="1" x14ac:dyDescent="0.25"/>
    <row r="203" customFormat="1" ht="16.5" customHeight="1" x14ac:dyDescent="0.25"/>
    <row r="204" customFormat="1" ht="16.5" customHeight="1" x14ac:dyDescent="0.25"/>
    <row r="205" customFormat="1" ht="16.5" customHeight="1" x14ac:dyDescent="0.25"/>
    <row r="206" customFormat="1" ht="16.5" customHeight="1" x14ac:dyDescent="0.25"/>
    <row r="207" customFormat="1" ht="16.5" customHeight="1" x14ac:dyDescent="0.25"/>
    <row r="208" customFormat="1" ht="16.5" customHeight="1" x14ac:dyDescent="0.25"/>
    <row r="209" customFormat="1" ht="16.5" customHeight="1" x14ac:dyDescent="0.25"/>
    <row r="210" customFormat="1" ht="16.5" customHeight="1" x14ac:dyDescent="0.25"/>
    <row r="211" customFormat="1" ht="16.5" customHeight="1" x14ac:dyDescent="0.25"/>
    <row r="212" customFormat="1" ht="16.5" customHeight="1" x14ac:dyDescent="0.25"/>
    <row r="213" customFormat="1" ht="16.5" customHeight="1" x14ac:dyDescent="0.25"/>
    <row r="214" customFormat="1" ht="16.5" customHeight="1" x14ac:dyDescent="0.25"/>
    <row r="215" customFormat="1" ht="16.5" customHeight="1" x14ac:dyDescent="0.25"/>
    <row r="216" customFormat="1" ht="16.5" customHeight="1" x14ac:dyDescent="0.25"/>
    <row r="217" customFormat="1" ht="16.5" customHeight="1" x14ac:dyDescent="0.25"/>
    <row r="218" customFormat="1" ht="16.5" customHeight="1" x14ac:dyDescent="0.25"/>
    <row r="219" customFormat="1" ht="16.5" customHeight="1" x14ac:dyDescent="0.25"/>
    <row r="220" customFormat="1" ht="16.5" customHeight="1" x14ac:dyDescent="0.25"/>
    <row r="221" customFormat="1" ht="16.5" customHeight="1" x14ac:dyDescent="0.25"/>
    <row r="222" customFormat="1" ht="16.5" customHeight="1" x14ac:dyDescent="0.25"/>
    <row r="223" customFormat="1" ht="16.5" customHeight="1" x14ac:dyDescent="0.25"/>
    <row r="224" customFormat="1" ht="16.5" customHeight="1" x14ac:dyDescent="0.25"/>
    <row r="225" customFormat="1" ht="16.5" customHeight="1" x14ac:dyDescent="0.25"/>
    <row r="226" customFormat="1" ht="16.5" customHeight="1" x14ac:dyDescent="0.25"/>
    <row r="227" customFormat="1" ht="16.5" customHeight="1" x14ac:dyDescent="0.25"/>
    <row r="228" customFormat="1" ht="16.5" customHeight="1" x14ac:dyDescent="0.25"/>
    <row r="229" customFormat="1" ht="16.5" customHeight="1" x14ac:dyDescent="0.25"/>
    <row r="230" customFormat="1" ht="16.5" customHeight="1" x14ac:dyDescent="0.25"/>
    <row r="231" customFormat="1" ht="16.5" customHeight="1" x14ac:dyDescent="0.25"/>
    <row r="232" customFormat="1" ht="16.5" customHeight="1" x14ac:dyDescent="0.25"/>
    <row r="233" customFormat="1" ht="16.5" customHeight="1" x14ac:dyDescent="0.25"/>
    <row r="234" customFormat="1" ht="16.5" customHeight="1" x14ac:dyDescent="0.25"/>
    <row r="235" customFormat="1" ht="16.5" customHeight="1" x14ac:dyDescent="0.25"/>
    <row r="236" customFormat="1" ht="16.5" customHeight="1" x14ac:dyDescent="0.25"/>
    <row r="237" customFormat="1" ht="16.5" customHeight="1" x14ac:dyDescent="0.25"/>
    <row r="238" customFormat="1" ht="16.5" customHeight="1" x14ac:dyDescent="0.25"/>
    <row r="239" customFormat="1" ht="16.5" customHeight="1" x14ac:dyDescent="0.25"/>
    <row r="240" customFormat="1" ht="16.5" customHeight="1" x14ac:dyDescent="0.25"/>
    <row r="241" customFormat="1" ht="16.5" customHeight="1" x14ac:dyDescent="0.25"/>
    <row r="242" customFormat="1" ht="16.5" customHeight="1" x14ac:dyDescent="0.25"/>
    <row r="243" customFormat="1" ht="16.5" customHeight="1" x14ac:dyDescent="0.25"/>
    <row r="244" customFormat="1" ht="16.5" customHeight="1" x14ac:dyDescent="0.25"/>
    <row r="245" customFormat="1" ht="16.5" customHeight="1" x14ac:dyDescent="0.25"/>
    <row r="246" customFormat="1" ht="16.5" customHeight="1" x14ac:dyDescent="0.25"/>
    <row r="247" customFormat="1" ht="16.5" customHeight="1" x14ac:dyDescent="0.25"/>
    <row r="248" customFormat="1" ht="16.5" customHeight="1" x14ac:dyDescent="0.25"/>
    <row r="249" customFormat="1" ht="16.5" customHeight="1" x14ac:dyDescent="0.25"/>
    <row r="250" customFormat="1" ht="16.5" customHeight="1" x14ac:dyDescent="0.25"/>
    <row r="251" customFormat="1" ht="16.5" customHeight="1" x14ac:dyDescent="0.25"/>
    <row r="252" customFormat="1" ht="16.5" customHeight="1" x14ac:dyDescent="0.25"/>
    <row r="253" customFormat="1" ht="16.5" customHeight="1" x14ac:dyDescent="0.25"/>
    <row r="254" customFormat="1" ht="16.5" customHeight="1" x14ac:dyDescent="0.25"/>
    <row r="255" customFormat="1" ht="16.5" customHeight="1" x14ac:dyDescent="0.25"/>
    <row r="256" customFormat="1" ht="16.5" customHeight="1" x14ac:dyDescent="0.25"/>
    <row r="257" customFormat="1" ht="16.5" customHeight="1" x14ac:dyDescent="0.25"/>
    <row r="258" customFormat="1" ht="16.5" customHeight="1" x14ac:dyDescent="0.25"/>
    <row r="259" customFormat="1" ht="16.5" customHeight="1" x14ac:dyDescent="0.25"/>
    <row r="260" customFormat="1" ht="16.5" customHeight="1" x14ac:dyDescent="0.25"/>
    <row r="261" customFormat="1" ht="16.5" customHeight="1" x14ac:dyDescent="0.25"/>
    <row r="262" customFormat="1" ht="16.5" customHeight="1" x14ac:dyDescent="0.25"/>
    <row r="263" customFormat="1" ht="16.5" customHeight="1" x14ac:dyDescent="0.25"/>
    <row r="264" customFormat="1" ht="16.5" customHeight="1" x14ac:dyDescent="0.25"/>
    <row r="265" customFormat="1" ht="16.5" customHeight="1" x14ac:dyDescent="0.25"/>
    <row r="266" customFormat="1" ht="16.5" customHeight="1" x14ac:dyDescent="0.25"/>
    <row r="267" customFormat="1" ht="16.5" customHeight="1" x14ac:dyDescent="0.25"/>
    <row r="268" customFormat="1" ht="16.5" customHeight="1" x14ac:dyDescent="0.25"/>
    <row r="269" customFormat="1" ht="16.5" customHeight="1" x14ac:dyDescent="0.25"/>
    <row r="270" customFormat="1" ht="16.5" customHeight="1" x14ac:dyDescent="0.25"/>
    <row r="271" customFormat="1" ht="16.5" customHeight="1" x14ac:dyDescent="0.25"/>
    <row r="272" customFormat="1" ht="16.5" customHeight="1" x14ac:dyDescent="0.25"/>
    <row r="273" customFormat="1" ht="16.5" customHeight="1" x14ac:dyDescent="0.25"/>
    <row r="274" customFormat="1" ht="16.5" customHeight="1" x14ac:dyDescent="0.25"/>
    <row r="275" customFormat="1" ht="16.5" customHeight="1" x14ac:dyDescent="0.25"/>
    <row r="276" customFormat="1" ht="16.5" customHeight="1" x14ac:dyDescent="0.25"/>
    <row r="277" customFormat="1" ht="16.5" customHeight="1" x14ac:dyDescent="0.25"/>
    <row r="278" customFormat="1" ht="16.5" customHeight="1" x14ac:dyDescent="0.25"/>
    <row r="279" customFormat="1" ht="16.5" customHeight="1" x14ac:dyDescent="0.25"/>
    <row r="280" customFormat="1" ht="16.5" customHeight="1" x14ac:dyDescent="0.25"/>
    <row r="281" customFormat="1" ht="16.5" customHeight="1" x14ac:dyDescent="0.25"/>
    <row r="282" customFormat="1" ht="16.5" customHeight="1" x14ac:dyDescent="0.25"/>
    <row r="283" customFormat="1" ht="16.5" customHeight="1" x14ac:dyDescent="0.25"/>
    <row r="284" customFormat="1" ht="16.5" customHeight="1" x14ac:dyDescent="0.25"/>
    <row r="285" customFormat="1" ht="16.5" customHeight="1" x14ac:dyDescent="0.25"/>
    <row r="286" customFormat="1" ht="16.5" customHeight="1" x14ac:dyDescent="0.25"/>
    <row r="287" customFormat="1" ht="16.5" customHeight="1" x14ac:dyDescent="0.25"/>
    <row r="288" customFormat="1" ht="16.5" customHeight="1" x14ac:dyDescent="0.25"/>
    <row r="289" customFormat="1" ht="16.5" customHeight="1" x14ac:dyDescent="0.25"/>
    <row r="290" customFormat="1" ht="16.5" customHeight="1" x14ac:dyDescent="0.25"/>
    <row r="291" customFormat="1" ht="16.5" customHeight="1" x14ac:dyDescent="0.25"/>
    <row r="292" customFormat="1" ht="16.5" customHeight="1" x14ac:dyDescent="0.25"/>
    <row r="293" customFormat="1" ht="16.5" customHeight="1" x14ac:dyDescent="0.25"/>
    <row r="294" customFormat="1" ht="16.5" customHeight="1" x14ac:dyDescent="0.25"/>
    <row r="295" customFormat="1" ht="16.5" customHeight="1" x14ac:dyDescent="0.25"/>
    <row r="296" customFormat="1" ht="16.5" customHeight="1" x14ac:dyDescent="0.25"/>
    <row r="297" customFormat="1" ht="16.5" customHeight="1" x14ac:dyDescent="0.25"/>
    <row r="298" customFormat="1" ht="16.5" customHeight="1" x14ac:dyDescent="0.25"/>
    <row r="299" customFormat="1" ht="16.5" customHeight="1" x14ac:dyDescent="0.25"/>
    <row r="300" customFormat="1" ht="16.5" customHeight="1" x14ac:dyDescent="0.25"/>
    <row r="301" customFormat="1" ht="16.5" customHeight="1" x14ac:dyDescent="0.25"/>
    <row r="302" customFormat="1" ht="16.5" customHeight="1" x14ac:dyDescent="0.25"/>
    <row r="303" customFormat="1" ht="16.5" customHeight="1" x14ac:dyDescent="0.25"/>
    <row r="304" customFormat="1" ht="16.5" customHeight="1" x14ac:dyDescent="0.25"/>
    <row r="305" customFormat="1" ht="16.5" customHeight="1" x14ac:dyDescent="0.25"/>
    <row r="306" customFormat="1" ht="16.5" customHeight="1" x14ac:dyDescent="0.25"/>
    <row r="307" customFormat="1" ht="16.5" customHeight="1" x14ac:dyDescent="0.25"/>
    <row r="308" customFormat="1" ht="16.5" customHeight="1" x14ac:dyDescent="0.25"/>
    <row r="309" customFormat="1" ht="16.5" customHeight="1" x14ac:dyDescent="0.25"/>
    <row r="310" customFormat="1" ht="16.5" customHeight="1" x14ac:dyDescent="0.25"/>
    <row r="311" customFormat="1" ht="16.5" customHeight="1" x14ac:dyDescent="0.25"/>
    <row r="312" customFormat="1" ht="16.5" customHeight="1" x14ac:dyDescent="0.25"/>
    <row r="313" customFormat="1" ht="16.5" customHeight="1" x14ac:dyDescent="0.25"/>
    <row r="314" customFormat="1" ht="16.5" customHeight="1" x14ac:dyDescent="0.25"/>
    <row r="315" customFormat="1" ht="16.5" customHeight="1" x14ac:dyDescent="0.25"/>
    <row r="316" customFormat="1" ht="16.5" customHeight="1" x14ac:dyDescent="0.25"/>
    <row r="317" customFormat="1" ht="16.5" customHeight="1" x14ac:dyDescent="0.25"/>
    <row r="318" customFormat="1" ht="16.5" customHeight="1" x14ac:dyDescent="0.25"/>
    <row r="319" customFormat="1" ht="16.5" customHeight="1" x14ac:dyDescent="0.25"/>
    <row r="320" customFormat="1" ht="16.5" customHeight="1" x14ac:dyDescent="0.25"/>
    <row r="321" customFormat="1" ht="16.5" customHeight="1" x14ac:dyDescent="0.25"/>
    <row r="322" customFormat="1" ht="16.5" customHeight="1" x14ac:dyDescent="0.25"/>
    <row r="323" customFormat="1" ht="16.5" customHeight="1" x14ac:dyDescent="0.25"/>
    <row r="324" customFormat="1" ht="16.5" customHeight="1" x14ac:dyDescent="0.25"/>
    <row r="325" customFormat="1" ht="16.5" customHeight="1" x14ac:dyDescent="0.25"/>
    <row r="326" customFormat="1" ht="16.5" customHeight="1" x14ac:dyDescent="0.25"/>
    <row r="327" customFormat="1" ht="16.5" customHeight="1" x14ac:dyDescent="0.25"/>
    <row r="328" customFormat="1" ht="16.5" customHeight="1" x14ac:dyDescent="0.25"/>
    <row r="329" customFormat="1" ht="16.5" customHeight="1" x14ac:dyDescent="0.25"/>
    <row r="330" customFormat="1" ht="16.5" customHeight="1" x14ac:dyDescent="0.25"/>
    <row r="331" customFormat="1" ht="16.5" customHeight="1" x14ac:dyDescent="0.25"/>
    <row r="332" customFormat="1" ht="16.5" customHeight="1" x14ac:dyDescent="0.25"/>
    <row r="333" customFormat="1" ht="16.5" customHeight="1" x14ac:dyDescent="0.25"/>
    <row r="334" customFormat="1" ht="16.5" customHeight="1" x14ac:dyDescent="0.25"/>
    <row r="335" customFormat="1" ht="16.5" customHeight="1" x14ac:dyDescent="0.25"/>
    <row r="336" customFormat="1" ht="16.5" customHeight="1" x14ac:dyDescent="0.25"/>
    <row r="337" customFormat="1" ht="16.5" customHeight="1" x14ac:dyDescent="0.25"/>
    <row r="338" customFormat="1" ht="16.5" customHeight="1" x14ac:dyDescent="0.25"/>
    <row r="339" customFormat="1" ht="16.5" customHeight="1" x14ac:dyDescent="0.25"/>
    <row r="340" customFormat="1" ht="16.5" customHeight="1" x14ac:dyDescent="0.25"/>
    <row r="341" customFormat="1" ht="16.5" customHeight="1" x14ac:dyDescent="0.25"/>
    <row r="342" customFormat="1" ht="16.5" customHeight="1" x14ac:dyDescent="0.25"/>
    <row r="343" customFormat="1" ht="16.5" customHeight="1" x14ac:dyDescent="0.25"/>
    <row r="344" customFormat="1" ht="16.5" customHeight="1" x14ac:dyDescent="0.25"/>
    <row r="345" customFormat="1" ht="16.5" customHeight="1" x14ac:dyDescent="0.25"/>
    <row r="346" customFormat="1" ht="16.5" customHeight="1" x14ac:dyDescent="0.25"/>
    <row r="347" customFormat="1" ht="16.5" customHeight="1" x14ac:dyDescent="0.25"/>
    <row r="348" customFormat="1" ht="16.5" customHeight="1" x14ac:dyDescent="0.25"/>
    <row r="349" customFormat="1" ht="16.5" customHeight="1" x14ac:dyDescent="0.25"/>
    <row r="350" customFormat="1" ht="16.5" customHeight="1" x14ac:dyDescent="0.25"/>
    <row r="351" customFormat="1" ht="16.5" customHeight="1" x14ac:dyDescent="0.25"/>
    <row r="352" customFormat="1" ht="16.5" customHeight="1" x14ac:dyDescent="0.25"/>
    <row r="353" customFormat="1" ht="16.5" customHeight="1" x14ac:dyDescent="0.25"/>
    <row r="354" customFormat="1" ht="16.5" customHeight="1" x14ac:dyDescent="0.25"/>
    <row r="355" customFormat="1" ht="16.5" customHeight="1" x14ac:dyDescent="0.25"/>
    <row r="356" customFormat="1" ht="16.5" customHeight="1" x14ac:dyDescent="0.25"/>
    <row r="357" customFormat="1" ht="16.5" customHeight="1" x14ac:dyDescent="0.25"/>
    <row r="358" customFormat="1" ht="16.5" customHeight="1" x14ac:dyDescent="0.25"/>
    <row r="359" customFormat="1" ht="16.5" customHeight="1" x14ac:dyDescent="0.25"/>
    <row r="360" customFormat="1" ht="16.5" customHeight="1" x14ac:dyDescent="0.25"/>
    <row r="361" customFormat="1" ht="16.5" customHeight="1" x14ac:dyDescent="0.25"/>
    <row r="362" customFormat="1" ht="16.5" customHeight="1" x14ac:dyDescent="0.25"/>
    <row r="363" customFormat="1" ht="16.5" customHeight="1" x14ac:dyDescent="0.25"/>
    <row r="364" customFormat="1" ht="16.5" customHeight="1" x14ac:dyDescent="0.25"/>
    <row r="365" customFormat="1" ht="16.5" customHeight="1" x14ac:dyDescent="0.25"/>
    <row r="366" customFormat="1" ht="16.5" customHeight="1" x14ac:dyDescent="0.25"/>
    <row r="367" customFormat="1" ht="16.5" customHeight="1" x14ac:dyDescent="0.25"/>
    <row r="368" customFormat="1" ht="16.5" customHeight="1" x14ac:dyDescent="0.25"/>
    <row r="369" customFormat="1" ht="16.5" customHeight="1" x14ac:dyDescent="0.25"/>
    <row r="370" customFormat="1" ht="16.5" customHeight="1" x14ac:dyDescent="0.25"/>
    <row r="371" customFormat="1" ht="16.5" customHeight="1" x14ac:dyDescent="0.25"/>
    <row r="372" customFormat="1" ht="16.5" customHeight="1" x14ac:dyDescent="0.25"/>
    <row r="373" customFormat="1" ht="16.5" customHeight="1" x14ac:dyDescent="0.25"/>
    <row r="374" customFormat="1" ht="16.5" customHeight="1" x14ac:dyDescent="0.25"/>
    <row r="375" customFormat="1" ht="16.5" customHeight="1" x14ac:dyDescent="0.25"/>
    <row r="376" customFormat="1" ht="16.5" customHeight="1" x14ac:dyDescent="0.25"/>
    <row r="377" customFormat="1" ht="16.5" customHeight="1" x14ac:dyDescent="0.25"/>
    <row r="378" customFormat="1" ht="16.5" customHeight="1" x14ac:dyDescent="0.25"/>
    <row r="379" customFormat="1" ht="16.5" customHeight="1" x14ac:dyDescent="0.25"/>
    <row r="380" customFormat="1" ht="16.5" customHeight="1" x14ac:dyDescent="0.25"/>
    <row r="381" customFormat="1" ht="16.5" customHeight="1" x14ac:dyDescent="0.25"/>
    <row r="382" customFormat="1" ht="16.5" customHeight="1" x14ac:dyDescent="0.25"/>
    <row r="383" customFormat="1" ht="16.5" customHeight="1" x14ac:dyDescent="0.25"/>
    <row r="384" customFormat="1" ht="16.5" customHeight="1" x14ac:dyDescent="0.25"/>
    <row r="385" customFormat="1" ht="16.5" customHeight="1" x14ac:dyDescent="0.25"/>
    <row r="386" customFormat="1" ht="16.5" customHeight="1" x14ac:dyDescent="0.25"/>
    <row r="387" customFormat="1" ht="16.5" customHeight="1" x14ac:dyDescent="0.25"/>
    <row r="388" customFormat="1" ht="16.5" customHeight="1" x14ac:dyDescent="0.25"/>
    <row r="389" customFormat="1" ht="16.5" customHeight="1" x14ac:dyDescent="0.25"/>
    <row r="390" customFormat="1" ht="16.5" customHeight="1" x14ac:dyDescent="0.25"/>
    <row r="391" customFormat="1" ht="16.5" customHeight="1" x14ac:dyDescent="0.25"/>
    <row r="392" customFormat="1" ht="16.5" customHeight="1" x14ac:dyDescent="0.25"/>
    <row r="393" customFormat="1" ht="16.5" customHeight="1" x14ac:dyDescent="0.25"/>
    <row r="394" customFormat="1" ht="16.5" customHeight="1" x14ac:dyDescent="0.25"/>
    <row r="395" customFormat="1" ht="16.5" customHeight="1" x14ac:dyDescent="0.25"/>
    <row r="396" customFormat="1" ht="16.5" customHeight="1" x14ac:dyDescent="0.25"/>
    <row r="397" customFormat="1" ht="16.5" customHeight="1" x14ac:dyDescent="0.25"/>
    <row r="398" customFormat="1" ht="16.5" customHeight="1" x14ac:dyDescent="0.25"/>
    <row r="399" customFormat="1" ht="16.5" customHeight="1" x14ac:dyDescent="0.25"/>
    <row r="400" customFormat="1" ht="16.5" customHeight="1" x14ac:dyDescent="0.25"/>
    <row r="401" customFormat="1" ht="16.5" customHeight="1" x14ac:dyDescent="0.25"/>
    <row r="402" customFormat="1" ht="16.5" customHeight="1" x14ac:dyDescent="0.25"/>
    <row r="403" customFormat="1" ht="16.5" customHeight="1" x14ac:dyDescent="0.25"/>
    <row r="404" customFormat="1" ht="16.5" customHeight="1" x14ac:dyDescent="0.25"/>
    <row r="405" customFormat="1" ht="16.5" customHeight="1" x14ac:dyDescent="0.25"/>
    <row r="406" customFormat="1" ht="16.5" customHeight="1" x14ac:dyDescent="0.25"/>
    <row r="407" customFormat="1" ht="16.5" customHeight="1" x14ac:dyDescent="0.25"/>
    <row r="408" customFormat="1" ht="16.5" customHeight="1" x14ac:dyDescent="0.25"/>
    <row r="409" customFormat="1" ht="16.5" customHeight="1" x14ac:dyDescent="0.25"/>
    <row r="410" customFormat="1" ht="16.5" customHeight="1" x14ac:dyDescent="0.25"/>
    <row r="411" customFormat="1" ht="16.5" customHeight="1" x14ac:dyDescent="0.25"/>
    <row r="412" customFormat="1" ht="16.5" customHeight="1" x14ac:dyDescent="0.25"/>
    <row r="413" customFormat="1" ht="16.5" customHeight="1" x14ac:dyDescent="0.25"/>
    <row r="414" customFormat="1" ht="16.5" customHeight="1" x14ac:dyDescent="0.25"/>
    <row r="415" customFormat="1" ht="16.5" customHeight="1" x14ac:dyDescent="0.25"/>
    <row r="416" customFormat="1" ht="16.5" customHeight="1" x14ac:dyDescent="0.25"/>
    <row r="417" customFormat="1" ht="16.5" customHeight="1" x14ac:dyDescent="0.25"/>
    <row r="418" customFormat="1" ht="16.5" customHeight="1" x14ac:dyDescent="0.25"/>
    <row r="419" customFormat="1" ht="16.5" customHeight="1" x14ac:dyDescent="0.25"/>
    <row r="420" customFormat="1" ht="16.5" customHeight="1" x14ac:dyDescent="0.25"/>
    <row r="421" customFormat="1" ht="16.5" customHeight="1" x14ac:dyDescent="0.25"/>
    <row r="422" customFormat="1" ht="16.5" customHeight="1" x14ac:dyDescent="0.25"/>
    <row r="423" customFormat="1" ht="16.5" customHeight="1" x14ac:dyDescent="0.25"/>
    <row r="424" customFormat="1" ht="16.5" customHeight="1" x14ac:dyDescent="0.25"/>
    <row r="425" customFormat="1" ht="16.5" customHeight="1" x14ac:dyDescent="0.25"/>
    <row r="426" customFormat="1" ht="16.5" customHeight="1" x14ac:dyDescent="0.25"/>
    <row r="427" customFormat="1" ht="16.5" customHeight="1" x14ac:dyDescent="0.25"/>
    <row r="428" customFormat="1" ht="16.5" customHeight="1" x14ac:dyDescent="0.25"/>
    <row r="429" customFormat="1" ht="16.5" customHeight="1" x14ac:dyDescent="0.25"/>
    <row r="430" customFormat="1" ht="16.5" customHeight="1" x14ac:dyDescent="0.25"/>
    <row r="431" customFormat="1" ht="16.5" customHeight="1" x14ac:dyDescent="0.25"/>
    <row r="432" customFormat="1" ht="16.5" customHeight="1" x14ac:dyDescent="0.25"/>
    <row r="433" customFormat="1" ht="16.5" customHeight="1" x14ac:dyDescent="0.25"/>
    <row r="434" customFormat="1" ht="16.5" customHeight="1" x14ac:dyDescent="0.25"/>
    <row r="435" customFormat="1" ht="16.5" customHeight="1" x14ac:dyDescent="0.25"/>
    <row r="436" customFormat="1" ht="16.5" customHeight="1" x14ac:dyDescent="0.25"/>
    <row r="437" customFormat="1" ht="16.5" customHeight="1" x14ac:dyDescent="0.25"/>
    <row r="438" customFormat="1" ht="16.5" customHeight="1" x14ac:dyDescent="0.25"/>
    <row r="439" customFormat="1" ht="16.5" customHeight="1" x14ac:dyDescent="0.25"/>
    <row r="440" customFormat="1" ht="16.5" customHeight="1" x14ac:dyDescent="0.25"/>
    <row r="441" customFormat="1" ht="16.5" customHeight="1" x14ac:dyDescent="0.25"/>
    <row r="442" customFormat="1" ht="16.5" customHeight="1" x14ac:dyDescent="0.25"/>
    <row r="443" customFormat="1" ht="16.5" customHeight="1" x14ac:dyDescent="0.25"/>
    <row r="444" customFormat="1" ht="16.5" customHeight="1" x14ac:dyDescent="0.25"/>
    <row r="445" customFormat="1" ht="16.5" customHeight="1" x14ac:dyDescent="0.25"/>
    <row r="446" customFormat="1" ht="16.5" customHeight="1" x14ac:dyDescent="0.25"/>
    <row r="447" customFormat="1" ht="16.5" customHeight="1" x14ac:dyDescent="0.25"/>
    <row r="448" customFormat="1" ht="16.5" customHeight="1" x14ac:dyDescent="0.25"/>
    <row r="449" customFormat="1" ht="16.5" customHeight="1" x14ac:dyDescent="0.25"/>
    <row r="450" customFormat="1" ht="16.5" customHeight="1" x14ac:dyDescent="0.25"/>
    <row r="451" customFormat="1" ht="16.5" customHeight="1" x14ac:dyDescent="0.25"/>
    <row r="452" customFormat="1" ht="16.5" customHeight="1" x14ac:dyDescent="0.25"/>
    <row r="453" customFormat="1" ht="16.5" customHeight="1" x14ac:dyDescent="0.25"/>
    <row r="454" customFormat="1" ht="16.5" customHeight="1" x14ac:dyDescent="0.25"/>
    <row r="455" customFormat="1" ht="16.5" customHeight="1" x14ac:dyDescent="0.25"/>
    <row r="456" customFormat="1" ht="16.5" customHeight="1" x14ac:dyDescent="0.25"/>
    <row r="457" customFormat="1" ht="16.5" customHeight="1" x14ac:dyDescent="0.25"/>
    <row r="458" customFormat="1" ht="16.5" customHeight="1" x14ac:dyDescent="0.25"/>
    <row r="459" customFormat="1" ht="16.5" customHeight="1" x14ac:dyDescent="0.25"/>
    <row r="460" customFormat="1" ht="16.5" customHeight="1" x14ac:dyDescent="0.25"/>
    <row r="461" customFormat="1" ht="16.5" customHeight="1" x14ac:dyDescent="0.25"/>
    <row r="462" customFormat="1" ht="16.5" customHeight="1" x14ac:dyDescent="0.25"/>
    <row r="463" customFormat="1" ht="16.5" customHeight="1" x14ac:dyDescent="0.25"/>
    <row r="464" customFormat="1" ht="16.5" customHeight="1" x14ac:dyDescent="0.25"/>
    <row r="465" customFormat="1" ht="16.5" customHeight="1" x14ac:dyDescent="0.25"/>
    <row r="466" customFormat="1" ht="16.5" customHeight="1" x14ac:dyDescent="0.25"/>
    <row r="467" customFormat="1" ht="16.5" customHeight="1" x14ac:dyDescent="0.25"/>
    <row r="468" customFormat="1" ht="16.5" customHeight="1" x14ac:dyDescent="0.25"/>
    <row r="469" customFormat="1" ht="16.5" customHeight="1" x14ac:dyDescent="0.25"/>
    <row r="470" customFormat="1" ht="16.5" customHeight="1" x14ac:dyDescent="0.25"/>
    <row r="471" customFormat="1" ht="16.5" customHeight="1" x14ac:dyDescent="0.25"/>
    <row r="472" customFormat="1" ht="16.5" customHeight="1" x14ac:dyDescent="0.25"/>
    <row r="473" customFormat="1" ht="16.5" customHeight="1" x14ac:dyDescent="0.25"/>
    <row r="474" customFormat="1" ht="16.5" customHeight="1" x14ac:dyDescent="0.25"/>
    <row r="475" customFormat="1" ht="16.5" customHeight="1" x14ac:dyDescent="0.25"/>
    <row r="476" customFormat="1" ht="16.5" customHeight="1" x14ac:dyDescent="0.25"/>
    <row r="477" customFormat="1" ht="16.5" customHeight="1" x14ac:dyDescent="0.25"/>
    <row r="478" customFormat="1" ht="16.5" customHeight="1" x14ac:dyDescent="0.25"/>
    <row r="479" customFormat="1" ht="16.5" customHeight="1" x14ac:dyDescent="0.25"/>
    <row r="480" customFormat="1" ht="16.5" customHeight="1" x14ac:dyDescent="0.25"/>
    <row r="481" customFormat="1" ht="16.5" customHeight="1" x14ac:dyDescent="0.25"/>
    <row r="482" customFormat="1" ht="16.5" customHeight="1" x14ac:dyDescent="0.25"/>
    <row r="483" customFormat="1" ht="16.5" customHeight="1" x14ac:dyDescent="0.25"/>
    <row r="484" customFormat="1" ht="16.5" customHeight="1" x14ac:dyDescent="0.25"/>
    <row r="485" customFormat="1" ht="16.5" customHeight="1" x14ac:dyDescent="0.25"/>
    <row r="486" customFormat="1" ht="16.5" customHeight="1" x14ac:dyDescent="0.25"/>
    <row r="487" customFormat="1" ht="16.5" customHeight="1" x14ac:dyDescent="0.25"/>
    <row r="488" customFormat="1" ht="16.5" customHeight="1" x14ac:dyDescent="0.25"/>
    <row r="489" customFormat="1" ht="16.5" customHeight="1" x14ac:dyDescent="0.25"/>
    <row r="490" customFormat="1" ht="16.5" customHeight="1" x14ac:dyDescent="0.25"/>
    <row r="491" customFormat="1" ht="16.5" customHeight="1" x14ac:dyDescent="0.25"/>
    <row r="492" customFormat="1" ht="16.5" customHeight="1" x14ac:dyDescent="0.25"/>
    <row r="493" customFormat="1" ht="16.5" customHeight="1" x14ac:dyDescent="0.25"/>
    <row r="494" customFormat="1" ht="16.5" customHeight="1" x14ac:dyDescent="0.25"/>
    <row r="495" customFormat="1" ht="16.5" customHeight="1" x14ac:dyDescent="0.25"/>
    <row r="496" customFormat="1" ht="16.5" customHeight="1" x14ac:dyDescent="0.25"/>
    <row r="497" customFormat="1" ht="16.5" customHeight="1" x14ac:dyDescent="0.25"/>
    <row r="498" customFormat="1" ht="16.5" customHeight="1" x14ac:dyDescent="0.25"/>
    <row r="499" customFormat="1" ht="16.5" customHeight="1" x14ac:dyDescent="0.25"/>
    <row r="500" customFormat="1" ht="16.5" customHeight="1" x14ac:dyDescent="0.25"/>
    <row r="501" customFormat="1" ht="16.5" customHeight="1" x14ac:dyDescent="0.25"/>
    <row r="502" customFormat="1" ht="16.5" customHeight="1" x14ac:dyDescent="0.25"/>
    <row r="503" customFormat="1" ht="16.5" customHeight="1" x14ac:dyDescent="0.25"/>
    <row r="504" customFormat="1" ht="16.5" customHeight="1" x14ac:dyDescent="0.25"/>
    <row r="505" customFormat="1" ht="16.5" customHeight="1" x14ac:dyDescent="0.25"/>
    <row r="506" customFormat="1" ht="16.5" customHeight="1" x14ac:dyDescent="0.25"/>
    <row r="507" customFormat="1" ht="16.5" customHeight="1" x14ac:dyDescent="0.25"/>
    <row r="508" customFormat="1" ht="16.5" customHeight="1" x14ac:dyDescent="0.25"/>
    <row r="509" customFormat="1" ht="16.5" customHeight="1" x14ac:dyDescent="0.25"/>
    <row r="510" customFormat="1" ht="16.5" customHeight="1" x14ac:dyDescent="0.25"/>
    <row r="511" customFormat="1" ht="16.5" customHeight="1" x14ac:dyDescent="0.25"/>
    <row r="512" customFormat="1" ht="16.5" customHeight="1" x14ac:dyDescent="0.25"/>
    <row r="513" customFormat="1" ht="16.5" customHeight="1" x14ac:dyDescent="0.25"/>
    <row r="514" customFormat="1" ht="16.5" customHeight="1" x14ac:dyDescent="0.25"/>
    <row r="515" customFormat="1" ht="16.5" customHeight="1" x14ac:dyDescent="0.25"/>
    <row r="516" customFormat="1" ht="16.5" customHeight="1" x14ac:dyDescent="0.25"/>
    <row r="517" customFormat="1" ht="16.5" customHeight="1" x14ac:dyDescent="0.25"/>
    <row r="518" customFormat="1" ht="16.5" customHeight="1" x14ac:dyDescent="0.25"/>
    <row r="519" customFormat="1" ht="16.5" customHeight="1" x14ac:dyDescent="0.25"/>
    <row r="520" customFormat="1" ht="16.5" customHeight="1" x14ac:dyDescent="0.25"/>
    <row r="521" customFormat="1" ht="16.5" customHeight="1" x14ac:dyDescent="0.25"/>
    <row r="522" customFormat="1" ht="16.5" customHeight="1" x14ac:dyDescent="0.25"/>
    <row r="523" customFormat="1" ht="16.5" customHeight="1" x14ac:dyDescent="0.25"/>
    <row r="524" customFormat="1" ht="16.5" customHeight="1" x14ac:dyDescent="0.25"/>
    <row r="525" customFormat="1" ht="16.5" customHeight="1" x14ac:dyDescent="0.25"/>
    <row r="526" customFormat="1" ht="16.5" customHeight="1" x14ac:dyDescent="0.25"/>
    <row r="527" customFormat="1" ht="16.5" customHeight="1" x14ac:dyDescent="0.25"/>
    <row r="528" customFormat="1" ht="16.5" customHeight="1" x14ac:dyDescent="0.25"/>
    <row r="529" customFormat="1" ht="16.5" customHeight="1" x14ac:dyDescent="0.25"/>
    <row r="530" customFormat="1" ht="16.5" customHeight="1" x14ac:dyDescent="0.25"/>
    <row r="531" customFormat="1" ht="16.5" customHeight="1" x14ac:dyDescent="0.25"/>
    <row r="532" customFormat="1" ht="16.5" customHeight="1" x14ac:dyDescent="0.25"/>
    <row r="533" customFormat="1" ht="16.5" customHeight="1" x14ac:dyDescent="0.25"/>
    <row r="534" customFormat="1" ht="16.5" customHeight="1" x14ac:dyDescent="0.25"/>
    <row r="535" customFormat="1" ht="16.5" customHeight="1" x14ac:dyDescent="0.25"/>
    <row r="536" customFormat="1" ht="16.5" customHeight="1" x14ac:dyDescent="0.25"/>
    <row r="537" customFormat="1" ht="16.5" customHeight="1" x14ac:dyDescent="0.25"/>
    <row r="538" customFormat="1" ht="16.5" customHeight="1" x14ac:dyDescent="0.25"/>
    <row r="539" customFormat="1" ht="16.5" customHeight="1" x14ac:dyDescent="0.25"/>
    <row r="540" customFormat="1" ht="16.5" customHeight="1" x14ac:dyDescent="0.25"/>
    <row r="541" customFormat="1" ht="16.5" customHeight="1" x14ac:dyDescent="0.25"/>
    <row r="542" customFormat="1" ht="16.5" customHeight="1" x14ac:dyDescent="0.25"/>
    <row r="543" customFormat="1" ht="16.5" customHeight="1" x14ac:dyDescent="0.25"/>
    <row r="544" customFormat="1" ht="16.5" customHeight="1" x14ac:dyDescent="0.25"/>
    <row r="545" customFormat="1" ht="16.5" customHeight="1" x14ac:dyDescent="0.25"/>
    <row r="546" customFormat="1" ht="16.5" customHeight="1" x14ac:dyDescent="0.25"/>
    <row r="547" customFormat="1" ht="16.5" customHeight="1" x14ac:dyDescent="0.25"/>
    <row r="548" customFormat="1" ht="16.5" customHeight="1" x14ac:dyDescent="0.25"/>
    <row r="549" customFormat="1" ht="16.5" customHeight="1" x14ac:dyDescent="0.25"/>
    <row r="550" customFormat="1" ht="16.5" customHeight="1" x14ac:dyDescent="0.25"/>
    <row r="551" customFormat="1" ht="16.5" customHeight="1" x14ac:dyDescent="0.25"/>
    <row r="552" customFormat="1" ht="16.5" customHeight="1" x14ac:dyDescent="0.25"/>
    <row r="553" customFormat="1" ht="16.5" customHeight="1" x14ac:dyDescent="0.25"/>
    <row r="554" customFormat="1" ht="16.5" customHeight="1" x14ac:dyDescent="0.25"/>
    <row r="555" customFormat="1" ht="16.5" customHeight="1" x14ac:dyDescent="0.25"/>
    <row r="556" customFormat="1" ht="16.5" customHeight="1" x14ac:dyDescent="0.25"/>
    <row r="557" customFormat="1" ht="16.5" customHeight="1" x14ac:dyDescent="0.25"/>
    <row r="558" customFormat="1" ht="16.5" customHeight="1" x14ac:dyDescent="0.25"/>
    <row r="559" customFormat="1" ht="16.5" customHeight="1" x14ac:dyDescent="0.25"/>
    <row r="560" customFormat="1" ht="16.5" customHeight="1" x14ac:dyDescent="0.25"/>
    <row r="561" customFormat="1" ht="16.5" customHeight="1" x14ac:dyDescent="0.25"/>
    <row r="562" customFormat="1" ht="16.5" customHeight="1" x14ac:dyDescent="0.25"/>
    <row r="563" customFormat="1" ht="16.5" customHeight="1" x14ac:dyDescent="0.25"/>
    <row r="564" customFormat="1" ht="16.5" customHeight="1" x14ac:dyDescent="0.25"/>
    <row r="565" customFormat="1" ht="16.5" customHeight="1" x14ac:dyDescent="0.25"/>
    <row r="566" customFormat="1" ht="16.5" customHeight="1" x14ac:dyDescent="0.25"/>
    <row r="567" customFormat="1" ht="16.5" customHeight="1" x14ac:dyDescent="0.25"/>
    <row r="568" customFormat="1" ht="16.5" customHeight="1" x14ac:dyDescent="0.25"/>
    <row r="569" customFormat="1" ht="16.5" customHeight="1" x14ac:dyDescent="0.25"/>
    <row r="570" customFormat="1" ht="16.5" customHeight="1" x14ac:dyDescent="0.25"/>
    <row r="571" customFormat="1" ht="16.5" customHeight="1" x14ac:dyDescent="0.25"/>
    <row r="572" customFormat="1" ht="16.5" customHeight="1" x14ac:dyDescent="0.25"/>
    <row r="573" customFormat="1" ht="16.5" customHeight="1" x14ac:dyDescent="0.25"/>
    <row r="574" customFormat="1" ht="16.5" customHeight="1" x14ac:dyDescent="0.25"/>
    <row r="575" customFormat="1" ht="16.5" customHeight="1" x14ac:dyDescent="0.25"/>
    <row r="576" customFormat="1" ht="16.5" customHeight="1" x14ac:dyDescent="0.25"/>
    <row r="577" customFormat="1" ht="16.5" customHeight="1" x14ac:dyDescent="0.25"/>
    <row r="578" customFormat="1" ht="16.5" customHeight="1" x14ac:dyDescent="0.25"/>
    <row r="579" customFormat="1" ht="16.5" customHeight="1" x14ac:dyDescent="0.25"/>
    <row r="580" customFormat="1" ht="16.5" customHeight="1" x14ac:dyDescent="0.25"/>
    <row r="581" customFormat="1" ht="16.5" customHeight="1" x14ac:dyDescent="0.25"/>
    <row r="582" customFormat="1" ht="16.5" customHeight="1" x14ac:dyDescent="0.25"/>
    <row r="583" customFormat="1" ht="16.5" customHeight="1" x14ac:dyDescent="0.25"/>
    <row r="584" customFormat="1" ht="16.5" customHeight="1" x14ac:dyDescent="0.25"/>
    <row r="585" customFormat="1" ht="16.5" customHeight="1" x14ac:dyDescent="0.25"/>
    <row r="586" customFormat="1" ht="16.5" customHeight="1" x14ac:dyDescent="0.25"/>
    <row r="587" customFormat="1" ht="16.5" customHeight="1" x14ac:dyDescent="0.25"/>
    <row r="588" customFormat="1" ht="16.5" customHeight="1" x14ac:dyDescent="0.25"/>
    <row r="589" customFormat="1" ht="16.5" customHeight="1" x14ac:dyDescent="0.25"/>
    <row r="590" customFormat="1" ht="16.5" customHeight="1" x14ac:dyDescent="0.25"/>
    <row r="591" customFormat="1" ht="16.5" customHeight="1" x14ac:dyDescent="0.25"/>
    <row r="592" customFormat="1" ht="16.5" customHeight="1" x14ac:dyDescent="0.25"/>
    <row r="593" customFormat="1" ht="16.5" customHeight="1" x14ac:dyDescent="0.25"/>
    <row r="594" customFormat="1" ht="16.5" customHeight="1" x14ac:dyDescent="0.25"/>
    <row r="595" customFormat="1" ht="16.5" customHeight="1" x14ac:dyDescent="0.25"/>
    <row r="596" customFormat="1" ht="16.5" customHeight="1" x14ac:dyDescent="0.25"/>
    <row r="597" customFormat="1" ht="16.5" customHeight="1" x14ac:dyDescent="0.25"/>
    <row r="598" customFormat="1" ht="16.5" customHeight="1" x14ac:dyDescent="0.25"/>
    <row r="599" customFormat="1" ht="16.5" customHeight="1" x14ac:dyDescent="0.25"/>
    <row r="600" customFormat="1" ht="16.5" customHeight="1" x14ac:dyDescent="0.25"/>
    <row r="601" customFormat="1" ht="16.5" customHeight="1" x14ac:dyDescent="0.25"/>
    <row r="602" customFormat="1" ht="16.5" customHeight="1" x14ac:dyDescent="0.25"/>
    <row r="603" customFormat="1" ht="16.5" customHeight="1" x14ac:dyDescent="0.25"/>
    <row r="604" customFormat="1" ht="16.5" customHeight="1" x14ac:dyDescent="0.25"/>
    <row r="605" customFormat="1" ht="16.5" customHeight="1" x14ac:dyDescent="0.25"/>
    <row r="606" customFormat="1" ht="16.5" customHeight="1" x14ac:dyDescent="0.25"/>
    <row r="607" customFormat="1" ht="16.5" customHeight="1" x14ac:dyDescent="0.25"/>
    <row r="608" customFormat="1" ht="16.5" customHeight="1" x14ac:dyDescent="0.25"/>
    <row r="609" customFormat="1" ht="16.5" customHeight="1" x14ac:dyDescent="0.25"/>
    <row r="610" customFormat="1" ht="16.5" customHeight="1" x14ac:dyDescent="0.25"/>
    <row r="611" customFormat="1" ht="16.5" customHeight="1" x14ac:dyDescent="0.25"/>
    <row r="612" customFormat="1" ht="16.5" customHeight="1" x14ac:dyDescent="0.25"/>
    <row r="613" customFormat="1" ht="16.5" customHeight="1" x14ac:dyDescent="0.25"/>
    <row r="614" customFormat="1" ht="16.5" customHeight="1" x14ac:dyDescent="0.25"/>
    <row r="615" customFormat="1" ht="16.5" customHeight="1" x14ac:dyDescent="0.25"/>
    <row r="616" customFormat="1" ht="16.5" customHeight="1" x14ac:dyDescent="0.25"/>
    <row r="617" customFormat="1" ht="16.5" customHeight="1" x14ac:dyDescent="0.25"/>
    <row r="618" customFormat="1" ht="16.5" customHeight="1" x14ac:dyDescent="0.25"/>
    <row r="619" customFormat="1" ht="16.5" customHeight="1" x14ac:dyDescent="0.25"/>
    <row r="620" customFormat="1" ht="16.5" customHeight="1" x14ac:dyDescent="0.25"/>
    <row r="621" customFormat="1" ht="16.5" customHeight="1" x14ac:dyDescent="0.25"/>
    <row r="622" customFormat="1" ht="16.5" customHeight="1" x14ac:dyDescent="0.25"/>
    <row r="623" customFormat="1" ht="16.5" customHeight="1" x14ac:dyDescent="0.25"/>
    <row r="624" customFormat="1" ht="16.5" customHeight="1" x14ac:dyDescent="0.25"/>
    <row r="625" customFormat="1" ht="16.5" customHeight="1" x14ac:dyDescent="0.25"/>
    <row r="626" customFormat="1" ht="16.5" customHeight="1" x14ac:dyDescent="0.25"/>
    <row r="627" customFormat="1" ht="16.5" customHeight="1" x14ac:dyDescent="0.25"/>
    <row r="628" customFormat="1" ht="16.5" customHeight="1" x14ac:dyDescent="0.25"/>
    <row r="629" customFormat="1" ht="16.5" customHeight="1" x14ac:dyDescent="0.25"/>
    <row r="630" customFormat="1" ht="16.5" customHeight="1" x14ac:dyDescent="0.25"/>
    <row r="631" customFormat="1" ht="16.5" customHeight="1" x14ac:dyDescent="0.25"/>
    <row r="632" customFormat="1" ht="16.5" customHeight="1" x14ac:dyDescent="0.25"/>
    <row r="633" customFormat="1" ht="16.5" customHeight="1" x14ac:dyDescent="0.25"/>
    <row r="634" customFormat="1" ht="16.5" customHeight="1" x14ac:dyDescent="0.25"/>
    <row r="635" customFormat="1" ht="16.5" customHeight="1" x14ac:dyDescent="0.25"/>
    <row r="636" customFormat="1" ht="16.5" customHeight="1" x14ac:dyDescent="0.25"/>
    <row r="637" customFormat="1" ht="16.5" customHeight="1" x14ac:dyDescent="0.25"/>
    <row r="638" customFormat="1" ht="16.5" customHeight="1" x14ac:dyDescent="0.25"/>
    <row r="639" customFormat="1" ht="16.5" customHeight="1" x14ac:dyDescent="0.25"/>
    <row r="640" customFormat="1" ht="16.5" customHeight="1" x14ac:dyDescent="0.25"/>
    <row r="641" customFormat="1" ht="16.5" customHeight="1" x14ac:dyDescent="0.25"/>
    <row r="642" customFormat="1" ht="16.5" customHeight="1" x14ac:dyDescent="0.25"/>
    <row r="643" customFormat="1" ht="16.5" customHeight="1" x14ac:dyDescent="0.25"/>
    <row r="644" customFormat="1" ht="16.5" customHeight="1" x14ac:dyDescent="0.25"/>
    <row r="645" customFormat="1" ht="16.5" customHeight="1" x14ac:dyDescent="0.25"/>
    <row r="646" customFormat="1" ht="16.5" customHeight="1" x14ac:dyDescent="0.25"/>
    <row r="647" customFormat="1" ht="16.5" customHeight="1" x14ac:dyDescent="0.25"/>
    <row r="648" customFormat="1" ht="16.5" customHeight="1" x14ac:dyDescent="0.25"/>
    <row r="649" customFormat="1" ht="16.5" customHeight="1" x14ac:dyDescent="0.25"/>
    <row r="650" customFormat="1" ht="16.5" customHeight="1" x14ac:dyDescent="0.25"/>
    <row r="651" customFormat="1" ht="16.5" customHeight="1" x14ac:dyDescent="0.25"/>
    <row r="652" customFormat="1" ht="16.5" customHeight="1" x14ac:dyDescent="0.25"/>
    <row r="653" customFormat="1" ht="16.5" customHeight="1" x14ac:dyDescent="0.25"/>
    <row r="654" customFormat="1" ht="16.5" customHeight="1" x14ac:dyDescent="0.25"/>
    <row r="655" customFormat="1" ht="16.5" customHeight="1" x14ac:dyDescent="0.25"/>
    <row r="656" customFormat="1" ht="16.5" customHeight="1" x14ac:dyDescent="0.25"/>
    <row r="657" customFormat="1" ht="16.5" customHeight="1" x14ac:dyDescent="0.25"/>
    <row r="658" customFormat="1" ht="16.5" customHeight="1" x14ac:dyDescent="0.25"/>
    <row r="659" customFormat="1" ht="16.5" customHeight="1" x14ac:dyDescent="0.25"/>
    <row r="660" customFormat="1" ht="16.5" customHeight="1" x14ac:dyDescent="0.25"/>
    <row r="661" customFormat="1" ht="16.5" customHeight="1" x14ac:dyDescent="0.25"/>
    <row r="662" customFormat="1" ht="16.5" customHeight="1" x14ac:dyDescent="0.25"/>
    <row r="663" customFormat="1" ht="16.5" customHeight="1" x14ac:dyDescent="0.25"/>
    <row r="664" customFormat="1" ht="16.5" customHeight="1" x14ac:dyDescent="0.25"/>
    <row r="665" customFormat="1" ht="16.5" customHeight="1" x14ac:dyDescent="0.25"/>
    <row r="666" customFormat="1" ht="16.5" customHeight="1" x14ac:dyDescent="0.25"/>
    <row r="667" customFormat="1" ht="16.5" customHeight="1" x14ac:dyDescent="0.25"/>
    <row r="668" customFormat="1" ht="16.5" customHeight="1" x14ac:dyDescent="0.25"/>
    <row r="669" customFormat="1" ht="16.5" customHeight="1" x14ac:dyDescent="0.25"/>
    <row r="670" customFormat="1" ht="16.5" customHeight="1" x14ac:dyDescent="0.25"/>
    <row r="671" customFormat="1" ht="16.5" customHeight="1" x14ac:dyDescent="0.25"/>
    <row r="672" customFormat="1" ht="16.5" customHeight="1" x14ac:dyDescent="0.25"/>
    <row r="673" customFormat="1" ht="16.5" customHeight="1" x14ac:dyDescent="0.25"/>
    <row r="674" customFormat="1" ht="16.5" customHeight="1" x14ac:dyDescent="0.25"/>
    <row r="675" customFormat="1" ht="16.5" customHeight="1" x14ac:dyDescent="0.25"/>
    <row r="676" customFormat="1" ht="16.5" customHeight="1" x14ac:dyDescent="0.25"/>
    <row r="677" customFormat="1" ht="16.5" customHeight="1" x14ac:dyDescent="0.25"/>
    <row r="678" customFormat="1" ht="16.5" customHeight="1" x14ac:dyDescent="0.25"/>
    <row r="679" customFormat="1" ht="16.5" customHeight="1" x14ac:dyDescent="0.25"/>
    <row r="680" customFormat="1" ht="16.5" customHeight="1" x14ac:dyDescent="0.25"/>
    <row r="681" customFormat="1" ht="16.5" customHeight="1" x14ac:dyDescent="0.25"/>
    <row r="682" customFormat="1" ht="16.5" customHeight="1" x14ac:dyDescent="0.25"/>
    <row r="683" customFormat="1" ht="16.5" customHeight="1" x14ac:dyDescent="0.25"/>
    <row r="684" customFormat="1" ht="16.5" customHeight="1" x14ac:dyDescent="0.25"/>
    <row r="685" customFormat="1" ht="16.5" customHeight="1" x14ac:dyDescent="0.25"/>
    <row r="686" customFormat="1" ht="16.5" customHeight="1" x14ac:dyDescent="0.25"/>
    <row r="687" customFormat="1" ht="16.5" customHeight="1" x14ac:dyDescent="0.25"/>
    <row r="688" customFormat="1" ht="16.5" customHeight="1" x14ac:dyDescent="0.25"/>
    <row r="689" customFormat="1" ht="16.5" customHeight="1" x14ac:dyDescent="0.25"/>
    <row r="690" customFormat="1" ht="16.5" customHeight="1" x14ac:dyDescent="0.25"/>
    <row r="691" customFormat="1" ht="16.5" customHeight="1" x14ac:dyDescent="0.25"/>
    <row r="692" customFormat="1" ht="16.5" customHeight="1" x14ac:dyDescent="0.25"/>
    <row r="693" customFormat="1" ht="16.5" customHeight="1" x14ac:dyDescent="0.25"/>
    <row r="694" customFormat="1" ht="16.5" customHeight="1" x14ac:dyDescent="0.25"/>
    <row r="695" customFormat="1" ht="16.5" customHeight="1" x14ac:dyDescent="0.25"/>
    <row r="696" customFormat="1" ht="16.5" customHeight="1" x14ac:dyDescent="0.25"/>
    <row r="697" customFormat="1" ht="16.5" customHeight="1" x14ac:dyDescent="0.25"/>
    <row r="698" customFormat="1" ht="16.5" customHeight="1" x14ac:dyDescent="0.25"/>
    <row r="699" customFormat="1" ht="16.5" customHeight="1" x14ac:dyDescent="0.25"/>
    <row r="700" customFormat="1" ht="16.5" customHeight="1" x14ac:dyDescent="0.25"/>
    <row r="701" customFormat="1" ht="16.5" customHeight="1" x14ac:dyDescent="0.25"/>
    <row r="702" customFormat="1" ht="16.5" customHeight="1" x14ac:dyDescent="0.25"/>
    <row r="703" customFormat="1" ht="16.5" customHeight="1" x14ac:dyDescent="0.25"/>
    <row r="704" customFormat="1" ht="16.5" customHeight="1" x14ac:dyDescent="0.25"/>
    <row r="705" customFormat="1" ht="16.5" customHeight="1" x14ac:dyDescent="0.25"/>
    <row r="706" customFormat="1" ht="16.5" customHeight="1" x14ac:dyDescent="0.25"/>
    <row r="707" customFormat="1" ht="16.5" customHeight="1" x14ac:dyDescent="0.25"/>
    <row r="708" customFormat="1" ht="16.5" customHeight="1" x14ac:dyDescent="0.25"/>
    <row r="709" customFormat="1" ht="16.5" customHeight="1" x14ac:dyDescent="0.25"/>
    <row r="710" customFormat="1" ht="16.5" customHeight="1" x14ac:dyDescent="0.25"/>
    <row r="711" customFormat="1" ht="16.5" customHeight="1" x14ac:dyDescent="0.25"/>
    <row r="712" customFormat="1" ht="16.5" customHeight="1" x14ac:dyDescent="0.25"/>
    <row r="713" customFormat="1" ht="16.5" customHeight="1" x14ac:dyDescent="0.25"/>
    <row r="714" customFormat="1" ht="16.5" customHeight="1" x14ac:dyDescent="0.25"/>
    <row r="715" customFormat="1" ht="16.5" customHeight="1" x14ac:dyDescent="0.25"/>
    <row r="716" customFormat="1" ht="16.5" customHeight="1" x14ac:dyDescent="0.25"/>
    <row r="717" customFormat="1" ht="16.5" customHeight="1" x14ac:dyDescent="0.25"/>
    <row r="718" customFormat="1" ht="16.5" customHeight="1" x14ac:dyDescent="0.25"/>
    <row r="719" customFormat="1" ht="16.5" customHeight="1" x14ac:dyDescent="0.25"/>
    <row r="720" customFormat="1" ht="16.5" customHeight="1" x14ac:dyDescent="0.25"/>
    <row r="721" customFormat="1" ht="16.5" customHeight="1" x14ac:dyDescent="0.25"/>
    <row r="722" customFormat="1" ht="16.5" customHeight="1" x14ac:dyDescent="0.25"/>
    <row r="723" customFormat="1" ht="16.5" customHeight="1" x14ac:dyDescent="0.25"/>
    <row r="724" customFormat="1" ht="16.5" customHeight="1" x14ac:dyDescent="0.25"/>
    <row r="725" customFormat="1" ht="16.5" customHeight="1" x14ac:dyDescent="0.25"/>
    <row r="726" customFormat="1" ht="16.5" customHeight="1" x14ac:dyDescent="0.25"/>
    <row r="727" customFormat="1" ht="16.5" customHeight="1" x14ac:dyDescent="0.25"/>
    <row r="728" customFormat="1" ht="16.5" customHeight="1" x14ac:dyDescent="0.25"/>
    <row r="729" customFormat="1" ht="16.5" customHeight="1" x14ac:dyDescent="0.25"/>
    <row r="730" customFormat="1" ht="16.5" customHeight="1" x14ac:dyDescent="0.25"/>
    <row r="731" customFormat="1" ht="16.5" customHeight="1" x14ac:dyDescent="0.25"/>
    <row r="732" customFormat="1" ht="16.5" customHeight="1" x14ac:dyDescent="0.25"/>
    <row r="733" customFormat="1" ht="16.5" customHeight="1" x14ac:dyDescent="0.25"/>
    <row r="734" customFormat="1" ht="16.5" customHeight="1" x14ac:dyDescent="0.25"/>
    <row r="735" customFormat="1" ht="16.5" customHeight="1" x14ac:dyDescent="0.25"/>
    <row r="736" customFormat="1" ht="16.5" customHeight="1" x14ac:dyDescent="0.25"/>
    <row r="737" customFormat="1" ht="16.5" customHeight="1" x14ac:dyDescent="0.25"/>
    <row r="738" customFormat="1" ht="16.5" customHeight="1" x14ac:dyDescent="0.25"/>
    <row r="739" customFormat="1" ht="16.5" customHeight="1" x14ac:dyDescent="0.25"/>
    <row r="740" customFormat="1" ht="16.5" customHeight="1" x14ac:dyDescent="0.25"/>
    <row r="741" customFormat="1" ht="16.5" customHeight="1" x14ac:dyDescent="0.25"/>
    <row r="742" customFormat="1" ht="16.5" customHeight="1" x14ac:dyDescent="0.25"/>
    <row r="743" customFormat="1" ht="16.5" customHeight="1" x14ac:dyDescent="0.25"/>
    <row r="744" customFormat="1" ht="16.5" customHeight="1" x14ac:dyDescent="0.25"/>
    <row r="745" customFormat="1" ht="16.5" customHeight="1" x14ac:dyDescent="0.25"/>
    <row r="746" customFormat="1" ht="16.5" customHeight="1" x14ac:dyDescent="0.25"/>
    <row r="747" customFormat="1" ht="16.5" customHeight="1" x14ac:dyDescent="0.25"/>
    <row r="748" customFormat="1" ht="16.5" customHeight="1" x14ac:dyDescent="0.25"/>
    <row r="749" customFormat="1" ht="16.5" customHeight="1" x14ac:dyDescent="0.25"/>
    <row r="750" customFormat="1" ht="16.5" customHeight="1" x14ac:dyDescent="0.25"/>
    <row r="751" customFormat="1" ht="16.5" customHeight="1" x14ac:dyDescent="0.25"/>
    <row r="752" customFormat="1" ht="16.5" customHeight="1" x14ac:dyDescent="0.25"/>
    <row r="753" customFormat="1" ht="16.5" customHeight="1" x14ac:dyDescent="0.25"/>
    <row r="754" customFormat="1" ht="16.5" customHeight="1" x14ac:dyDescent="0.25"/>
    <row r="755" customFormat="1" ht="16.5" customHeight="1" x14ac:dyDescent="0.25"/>
    <row r="756" customFormat="1" ht="16.5" customHeight="1" x14ac:dyDescent="0.25"/>
    <row r="757" customFormat="1" ht="16.5" customHeight="1" x14ac:dyDescent="0.25"/>
    <row r="758" customFormat="1" ht="16.5" customHeight="1" x14ac:dyDescent="0.25"/>
    <row r="759" customFormat="1" ht="16.5" customHeight="1" x14ac:dyDescent="0.25"/>
    <row r="760" customFormat="1" ht="16.5" customHeight="1" x14ac:dyDescent="0.25"/>
    <row r="761" customFormat="1" ht="16.5" customHeight="1" x14ac:dyDescent="0.25"/>
    <row r="762" customFormat="1" ht="16.5" customHeight="1" x14ac:dyDescent="0.25"/>
    <row r="763" customFormat="1" ht="16.5" customHeight="1" x14ac:dyDescent="0.25"/>
    <row r="764" customFormat="1" ht="16.5" customHeight="1" x14ac:dyDescent="0.25"/>
    <row r="765" customFormat="1" ht="16.5" customHeight="1" x14ac:dyDescent="0.25"/>
    <row r="766" customFormat="1" ht="16.5" customHeight="1" x14ac:dyDescent="0.25"/>
    <row r="767" customFormat="1" ht="16.5" customHeight="1" x14ac:dyDescent="0.25"/>
    <row r="768" customFormat="1" ht="16.5" customHeight="1" x14ac:dyDescent="0.25"/>
    <row r="769" customFormat="1" ht="16.5" customHeight="1" x14ac:dyDescent="0.25"/>
    <row r="770" customFormat="1" ht="16.5" customHeight="1" x14ac:dyDescent="0.25"/>
    <row r="771" customFormat="1" ht="16.5" customHeight="1" x14ac:dyDescent="0.25"/>
    <row r="772" customFormat="1" ht="16.5" customHeight="1" x14ac:dyDescent="0.25"/>
    <row r="773" customFormat="1" ht="16.5" customHeight="1" x14ac:dyDescent="0.25"/>
    <row r="774" customFormat="1" ht="16.5" customHeight="1" x14ac:dyDescent="0.25"/>
    <row r="775" customFormat="1" ht="16.5" customHeight="1" x14ac:dyDescent="0.25"/>
    <row r="776" customFormat="1" ht="16.5" customHeight="1" x14ac:dyDescent="0.25"/>
    <row r="777" customFormat="1" ht="16.5" customHeight="1" x14ac:dyDescent="0.25"/>
    <row r="778" customFormat="1" ht="16.5" customHeight="1" x14ac:dyDescent="0.25"/>
    <row r="779" customFormat="1" ht="16.5" customHeight="1" x14ac:dyDescent="0.25"/>
    <row r="780" customFormat="1" ht="16.5" customHeight="1" x14ac:dyDescent="0.25"/>
    <row r="781" customFormat="1" ht="16.5" customHeight="1" x14ac:dyDescent="0.25"/>
    <row r="782" customFormat="1" ht="16.5" customHeight="1" x14ac:dyDescent="0.25"/>
    <row r="783" customFormat="1" ht="16.5" customHeight="1" x14ac:dyDescent="0.25"/>
    <row r="784" customFormat="1" ht="16.5" customHeight="1" x14ac:dyDescent="0.25"/>
    <row r="785" customFormat="1" ht="16.5" customHeight="1" x14ac:dyDescent="0.25"/>
    <row r="786" customFormat="1" ht="16.5" customHeight="1" x14ac:dyDescent="0.25"/>
    <row r="787" customFormat="1" ht="16.5" customHeight="1" x14ac:dyDescent="0.25"/>
    <row r="788" customFormat="1" ht="16.5" customHeight="1" x14ac:dyDescent="0.25"/>
    <row r="789" customFormat="1" ht="16.5" customHeight="1" x14ac:dyDescent="0.25"/>
    <row r="790" customFormat="1" ht="16.5" customHeight="1" x14ac:dyDescent="0.25"/>
    <row r="791" customFormat="1" ht="16.5" customHeight="1" x14ac:dyDescent="0.25"/>
    <row r="792" customFormat="1" ht="16.5" customHeight="1" x14ac:dyDescent="0.25"/>
    <row r="793" customFormat="1" ht="16.5" customHeight="1" x14ac:dyDescent="0.25"/>
    <row r="794" customFormat="1" ht="16.5" customHeight="1" x14ac:dyDescent="0.25"/>
    <row r="795" customFormat="1" ht="16.5" customHeight="1" x14ac:dyDescent="0.25"/>
    <row r="796" customFormat="1" ht="16.5" customHeight="1" x14ac:dyDescent="0.25"/>
    <row r="797" customFormat="1" ht="16.5" customHeight="1" x14ac:dyDescent="0.25"/>
    <row r="798" customFormat="1" ht="16.5" customHeight="1" x14ac:dyDescent="0.25"/>
    <row r="799" customFormat="1" ht="16.5" customHeight="1" x14ac:dyDescent="0.25"/>
    <row r="800" customFormat="1" ht="16.5" customHeight="1" x14ac:dyDescent="0.25"/>
    <row r="801" customFormat="1" ht="16.5" customHeight="1" x14ac:dyDescent="0.25"/>
    <row r="802" customFormat="1" ht="16.5" customHeight="1" x14ac:dyDescent="0.25"/>
    <row r="803" customFormat="1" ht="16.5" customHeight="1" x14ac:dyDescent="0.25"/>
    <row r="804" customFormat="1" ht="16.5" customHeight="1" x14ac:dyDescent="0.25"/>
    <row r="805" customFormat="1" ht="16.5" customHeight="1" x14ac:dyDescent="0.25"/>
    <row r="806" customFormat="1" ht="16.5" customHeight="1" x14ac:dyDescent="0.25"/>
    <row r="807" customFormat="1" ht="16.5" customHeight="1" x14ac:dyDescent="0.25"/>
    <row r="808" customFormat="1" ht="16.5" customHeight="1" x14ac:dyDescent="0.25"/>
    <row r="809" customFormat="1" ht="16.5" customHeight="1" x14ac:dyDescent="0.25"/>
    <row r="810" customFormat="1" ht="16.5" customHeight="1" x14ac:dyDescent="0.25"/>
    <row r="811" customFormat="1" ht="16.5" customHeight="1" x14ac:dyDescent="0.25"/>
    <row r="812" customFormat="1" ht="16.5" customHeight="1" x14ac:dyDescent="0.25"/>
    <row r="813" customFormat="1" ht="16.5" customHeight="1" x14ac:dyDescent="0.25"/>
    <row r="814" customFormat="1" ht="16.5" customHeight="1" x14ac:dyDescent="0.25"/>
    <row r="815" customFormat="1" ht="16.5" customHeight="1" x14ac:dyDescent="0.25"/>
    <row r="816" customFormat="1" ht="16.5" customHeight="1" x14ac:dyDescent="0.25"/>
    <row r="817" customFormat="1" ht="16.5" customHeight="1" x14ac:dyDescent="0.25"/>
    <row r="818" customFormat="1" ht="16.5" customHeight="1" x14ac:dyDescent="0.25"/>
    <row r="819" customFormat="1" ht="16.5" customHeight="1" x14ac:dyDescent="0.25"/>
    <row r="820" customFormat="1" ht="16.5" customHeight="1" x14ac:dyDescent="0.25"/>
    <row r="821" customFormat="1" ht="16.5" customHeight="1" x14ac:dyDescent="0.25"/>
    <row r="822" customFormat="1" ht="16.5" customHeight="1" x14ac:dyDescent="0.25"/>
    <row r="823" customFormat="1" ht="16.5" customHeight="1" x14ac:dyDescent="0.25"/>
    <row r="824" customFormat="1" ht="16.5" customHeight="1" x14ac:dyDescent="0.25"/>
    <row r="825" customFormat="1" ht="16.5" customHeight="1" x14ac:dyDescent="0.25"/>
    <row r="826" customFormat="1" ht="16.5" customHeight="1" x14ac:dyDescent="0.25"/>
    <row r="827" customFormat="1" ht="16.5" customHeight="1" x14ac:dyDescent="0.25"/>
    <row r="828" customFormat="1" ht="16.5" customHeight="1" x14ac:dyDescent="0.25"/>
    <row r="829" customFormat="1" ht="16.5" customHeight="1" x14ac:dyDescent="0.25"/>
    <row r="830" customFormat="1" ht="16.5" customHeight="1" x14ac:dyDescent="0.25"/>
    <row r="831" customFormat="1" ht="16.5" customHeight="1" x14ac:dyDescent="0.25"/>
    <row r="832" customFormat="1" ht="16.5" customHeight="1" x14ac:dyDescent="0.25"/>
    <row r="833" customFormat="1" ht="16.5" customHeight="1" x14ac:dyDescent="0.25"/>
    <row r="834" customFormat="1" ht="16.5" customHeight="1" x14ac:dyDescent="0.25"/>
    <row r="835" customFormat="1" ht="16.5" customHeight="1" x14ac:dyDescent="0.25"/>
    <row r="836" customFormat="1" ht="16.5" customHeight="1" x14ac:dyDescent="0.25"/>
    <row r="837" customFormat="1" ht="16.5" customHeight="1" x14ac:dyDescent="0.25"/>
    <row r="838" customFormat="1" ht="16.5" customHeight="1" x14ac:dyDescent="0.25"/>
    <row r="839" customFormat="1" ht="16.5" customHeight="1" x14ac:dyDescent="0.25"/>
    <row r="840" customFormat="1" ht="16.5" customHeight="1" x14ac:dyDescent="0.25"/>
    <row r="841" customFormat="1" ht="16.5" customHeight="1" x14ac:dyDescent="0.25"/>
    <row r="842" customFormat="1" ht="16.5" customHeight="1" x14ac:dyDescent="0.25"/>
    <row r="843" customFormat="1" ht="16.5" customHeight="1" x14ac:dyDescent="0.25"/>
    <row r="844" customFormat="1" ht="16.5" customHeight="1" x14ac:dyDescent="0.25"/>
    <row r="845" customFormat="1" ht="16.5" customHeight="1" x14ac:dyDescent="0.25"/>
    <row r="846" customFormat="1" ht="16.5" customHeight="1" x14ac:dyDescent="0.25"/>
    <row r="847" customFormat="1" ht="16.5" customHeight="1" x14ac:dyDescent="0.25"/>
    <row r="848" customFormat="1" ht="16.5" customHeight="1" x14ac:dyDescent="0.25"/>
    <row r="849" customFormat="1" ht="16.5" customHeight="1" x14ac:dyDescent="0.25"/>
    <row r="850" customFormat="1" ht="16.5" customHeight="1" x14ac:dyDescent="0.25"/>
    <row r="851" customFormat="1" ht="16.5" customHeight="1" x14ac:dyDescent="0.25"/>
    <row r="852" customFormat="1" ht="16.5" customHeight="1" x14ac:dyDescent="0.25"/>
    <row r="853" customFormat="1" ht="16.5" customHeight="1" x14ac:dyDescent="0.25"/>
    <row r="854" customFormat="1" ht="16.5" customHeight="1" x14ac:dyDescent="0.25"/>
    <row r="855" customFormat="1" ht="16.5" customHeight="1" x14ac:dyDescent="0.25"/>
    <row r="856" customFormat="1" ht="16.5" customHeight="1" x14ac:dyDescent="0.25"/>
    <row r="857" customFormat="1" ht="16.5" customHeight="1" x14ac:dyDescent="0.25"/>
    <row r="858" customFormat="1" ht="16.5" customHeight="1" x14ac:dyDescent="0.25"/>
    <row r="859" customFormat="1" ht="16.5" customHeight="1" x14ac:dyDescent="0.25"/>
    <row r="860" customFormat="1" ht="16.5" customHeight="1" x14ac:dyDescent="0.25"/>
    <row r="861" customFormat="1" ht="16.5" customHeight="1" x14ac:dyDescent="0.25"/>
    <row r="862" customFormat="1" ht="16.5" customHeight="1" x14ac:dyDescent="0.25"/>
    <row r="863" customFormat="1" ht="16.5" customHeight="1" x14ac:dyDescent="0.25"/>
    <row r="864" customFormat="1" ht="16.5" customHeight="1" x14ac:dyDescent="0.25"/>
    <row r="865" customFormat="1" ht="16.5" customHeight="1" x14ac:dyDescent="0.25"/>
    <row r="866" customFormat="1" ht="16.5" customHeight="1" x14ac:dyDescent="0.25"/>
    <row r="867" customFormat="1" ht="16.5" customHeight="1" x14ac:dyDescent="0.25"/>
    <row r="868" customFormat="1" ht="16.5" customHeight="1" x14ac:dyDescent="0.25"/>
    <row r="869" customFormat="1" ht="16.5" customHeight="1" x14ac:dyDescent="0.25"/>
    <row r="870" customFormat="1" ht="16.5" customHeight="1" x14ac:dyDescent="0.25"/>
    <row r="871" customFormat="1" ht="16.5" customHeight="1" x14ac:dyDescent="0.25"/>
    <row r="872" customFormat="1" ht="16.5" customHeight="1" x14ac:dyDescent="0.25"/>
    <row r="873" customFormat="1" ht="16.5" customHeight="1" x14ac:dyDescent="0.25"/>
    <row r="874" customFormat="1" ht="16.5" customHeight="1" x14ac:dyDescent="0.25"/>
    <row r="875" customFormat="1" ht="16.5" customHeight="1" x14ac:dyDescent="0.25"/>
    <row r="876" customFormat="1" ht="16.5" customHeight="1" x14ac:dyDescent="0.25"/>
    <row r="877" customFormat="1" ht="16.5" customHeight="1" x14ac:dyDescent="0.25"/>
    <row r="878" customFormat="1" ht="16.5" customHeight="1" x14ac:dyDescent="0.25"/>
    <row r="879" customFormat="1" ht="16.5" customHeight="1" x14ac:dyDescent="0.25"/>
    <row r="880" customFormat="1" ht="16.5" customHeight="1" x14ac:dyDescent="0.25"/>
    <row r="881" customFormat="1" ht="16.5" customHeight="1" x14ac:dyDescent="0.25"/>
    <row r="882" customFormat="1" ht="16.5" customHeight="1" x14ac:dyDescent="0.25"/>
    <row r="883" customFormat="1" ht="16.5" customHeight="1" x14ac:dyDescent="0.25"/>
    <row r="884" customFormat="1" ht="16.5" customHeight="1" x14ac:dyDescent="0.25"/>
    <row r="885" customFormat="1" ht="16.5" customHeight="1" x14ac:dyDescent="0.25"/>
    <row r="886" customFormat="1" ht="16.5" customHeight="1" x14ac:dyDescent="0.25"/>
    <row r="887" customFormat="1" ht="16.5" customHeight="1" x14ac:dyDescent="0.25"/>
    <row r="888" customFormat="1" ht="16.5" customHeight="1" x14ac:dyDescent="0.25"/>
    <row r="889" customFormat="1" ht="16.5" customHeight="1" x14ac:dyDescent="0.25"/>
    <row r="890" customFormat="1" ht="16.5" customHeight="1" x14ac:dyDescent="0.25"/>
    <row r="891" customFormat="1" ht="16.5" customHeight="1" x14ac:dyDescent="0.25"/>
    <row r="892" customFormat="1" ht="16.5" customHeight="1" x14ac:dyDescent="0.25"/>
    <row r="893" customFormat="1" ht="16.5" customHeight="1" x14ac:dyDescent="0.25"/>
    <row r="894" customFormat="1" ht="16.5" customHeight="1" x14ac:dyDescent="0.25"/>
    <row r="895" customFormat="1" ht="16.5" customHeight="1" x14ac:dyDescent="0.25"/>
    <row r="896" customFormat="1" ht="16.5" customHeight="1" x14ac:dyDescent="0.25"/>
    <row r="897" customFormat="1" ht="16.5" customHeight="1" x14ac:dyDescent="0.25"/>
    <row r="898" customFormat="1" ht="16.5" customHeight="1" x14ac:dyDescent="0.25"/>
    <row r="899" customFormat="1" ht="16.5" customHeight="1" x14ac:dyDescent="0.25"/>
    <row r="900" customFormat="1" ht="16.5" customHeight="1" x14ac:dyDescent="0.25"/>
    <row r="901" customFormat="1" ht="16.5" customHeight="1" x14ac:dyDescent="0.25"/>
    <row r="902" customFormat="1" ht="16.5" customHeight="1" x14ac:dyDescent="0.25"/>
    <row r="903" customFormat="1" ht="16.5" customHeight="1" x14ac:dyDescent="0.25"/>
    <row r="904" customFormat="1" ht="16.5" customHeight="1" x14ac:dyDescent="0.25"/>
    <row r="905" customFormat="1" ht="16.5" customHeight="1" x14ac:dyDescent="0.25"/>
    <row r="906" customFormat="1" ht="16.5" customHeight="1" x14ac:dyDescent="0.25"/>
    <row r="907" customFormat="1" ht="16.5" customHeight="1" x14ac:dyDescent="0.25"/>
    <row r="908" customFormat="1" ht="16.5" customHeight="1" x14ac:dyDescent="0.25"/>
    <row r="909" customFormat="1" ht="16.5" customHeight="1" x14ac:dyDescent="0.25"/>
    <row r="910" customFormat="1" ht="16.5" customHeight="1" x14ac:dyDescent="0.25"/>
    <row r="911" customFormat="1" ht="16.5" customHeight="1" x14ac:dyDescent="0.25"/>
    <row r="912" customFormat="1" ht="16.5" customHeight="1" x14ac:dyDescent="0.25"/>
    <row r="913" customFormat="1" ht="16.5" customHeight="1" x14ac:dyDescent="0.25"/>
    <row r="914" customFormat="1" ht="16.5" customHeight="1" x14ac:dyDescent="0.25"/>
    <row r="915" customFormat="1" ht="16.5" customHeight="1" x14ac:dyDescent="0.25"/>
    <row r="916" customFormat="1" ht="16.5" customHeight="1" x14ac:dyDescent="0.25"/>
    <row r="917" customFormat="1" ht="16.5" customHeight="1" x14ac:dyDescent="0.25"/>
    <row r="918" customFormat="1" ht="16.5" customHeight="1" x14ac:dyDescent="0.25"/>
    <row r="919" customFormat="1" ht="16.5" customHeight="1" x14ac:dyDescent="0.25"/>
    <row r="920" customFormat="1" ht="16.5" customHeight="1" x14ac:dyDescent="0.25"/>
    <row r="921" customFormat="1" ht="16.5" customHeight="1" x14ac:dyDescent="0.25"/>
    <row r="922" customFormat="1" ht="16.5" customHeight="1" x14ac:dyDescent="0.25"/>
    <row r="923" customFormat="1" ht="16.5" customHeight="1" x14ac:dyDescent="0.25"/>
    <row r="924" customFormat="1" ht="16.5" customHeight="1" x14ac:dyDescent="0.25"/>
    <row r="925" customFormat="1" ht="16.5" customHeight="1" x14ac:dyDescent="0.25"/>
    <row r="926" customFormat="1" ht="16.5" customHeight="1" x14ac:dyDescent="0.25"/>
    <row r="927" customFormat="1" ht="16.5" customHeight="1" x14ac:dyDescent="0.25"/>
    <row r="928" customFormat="1" ht="16.5" customHeight="1" x14ac:dyDescent="0.25"/>
    <row r="929" customFormat="1" ht="16.5" customHeight="1" x14ac:dyDescent="0.25"/>
    <row r="930" customFormat="1" ht="16.5" customHeight="1" x14ac:dyDescent="0.25"/>
    <row r="931" customFormat="1" ht="16.5" customHeight="1" x14ac:dyDescent="0.25"/>
    <row r="932" customFormat="1" ht="16.5" customHeight="1" x14ac:dyDescent="0.25"/>
    <row r="933" customFormat="1" ht="16.5" customHeight="1" x14ac:dyDescent="0.25"/>
    <row r="934" customFormat="1" ht="16.5" customHeight="1" x14ac:dyDescent="0.25"/>
    <row r="935" customFormat="1" ht="16.5" customHeight="1" x14ac:dyDescent="0.25"/>
    <row r="936" customFormat="1" ht="16.5" customHeight="1" x14ac:dyDescent="0.25"/>
    <row r="937" customFormat="1" ht="16.5" customHeight="1" x14ac:dyDescent="0.25"/>
    <row r="938" customFormat="1" ht="16.5" customHeight="1" x14ac:dyDescent="0.25"/>
    <row r="939" customFormat="1" ht="16.5" customHeight="1" x14ac:dyDescent="0.25"/>
    <row r="940" customFormat="1" ht="16.5" customHeight="1" x14ac:dyDescent="0.25"/>
    <row r="941" customFormat="1" ht="16.5" customHeight="1" x14ac:dyDescent="0.25"/>
    <row r="942" customFormat="1" ht="16.5" customHeight="1" x14ac:dyDescent="0.25"/>
    <row r="943" customFormat="1" ht="16.5" customHeight="1" x14ac:dyDescent="0.25"/>
    <row r="944" customFormat="1" ht="16.5" customHeight="1" x14ac:dyDescent="0.25"/>
    <row r="945" customFormat="1" ht="16.5" customHeight="1" x14ac:dyDescent="0.25"/>
    <row r="946" customFormat="1" ht="16.5" customHeight="1" x14ac:dyDescent="0.25"/>
    <row r="947" customFormat="1" ht="16.5" customHeight="1" x14ac:dyDescent="0.25"/>
    <row r="948" customFormat="1" ht="16.5" customHeight="1" x14ac:dyDescent="0.25"/>
    <row r="949" customFormat="1" ht="16.5" customHeight="1" x14ac:dyDescent="0.25"/>
    <row r="950" customFormat="1" ht="16.5" customHeight="1" x14ac:dyDescent="0.25"/>
    <row r="951" customFormat="1" ht="16.5" customHeight="1" x14ac:dyDescent="0.25"/>
    <row r="952" customFormat="1" ht="16.5" customHeight="1" x14ac:dyDescent="0.25"/>
    <row r="953" customFormat="1" ht="16.5" customHeight="1" x14ac:dyDescent="0.25"/>
    <row r="954" customFormat="1" ht="16.5" customHeight="1" x14ac:dyDescent="0.25"/>
    <row r="955" customFormat="1" ht="16.5" customHeight="1" x14ac:dyDescent="0.25"/>
    <row r="956" customFormat="1" ht="16.5" customHeight="1" x14ac:dyDescent="0.25"/>
    <row r="957" customFormat="1" ht="16.5" customHeight="1" x14ac:dyDescent="0.25"/>
    <row r="958" customFormat="1" ht="16.5" customHeight="1" x14ac:dyDescent="0.25"/>
    <row r="959" customFormat="1" ht="16.5" customHeight="1" x14ac:dyDescent="0.25"/>
    <row r="960" customFormat="1" ht="16.5" customHeight="1" x14ac:dyDescent="0.25"/>
    <row r="961" customFormat="1" ht="16.5" customHeight="1" x14ac:dyDescent="0.25"/>
    <row r="962" customFormat="1" ht="16.5" customHeight="1" x14ac:dyDescent="0.25"/>
    <row r="963" customFormat="1" ht="16.5" customHeight="1" x14ac:dyDescent="0.25"/>
    <row r="964" customFormat="1" ht="16.5" customHeight="1" x14ac:dyDescent="0.25"/>
    <row r="965" customFormat="1" ht="16.5" customHeight="1" x14ac:dyDescent="0.25"/>
    <row r="966" customFormat="1" ht="16.5" customHeight="1" x14ac:dyDescent="0.25"/>
    <row r="967" customFormat="1" ht="16.5" customHeight="1" x14ac:dyDescent="0.25"/>
    <row r="968" customFormat="1" ht="16.5" customHeight="1" x14ac:dyDescent="0.25"/>
    <row r="969" customFormat="1" ht="16.5" customHeight="1" x14ac:dyDescent="0.25"/>
    <row r="970" customFormat="1" ht="16.5" customHeight="1" x14ac:dyDescent="0.25"/>
    <row r="971" customFormat="1" ht="16.5" customHeight="1" x14ac:dyDescent="0.25"/>
    <row r="972" customFormat="1" ht="16.5" customHeight="1" x14ac:dyDescent="0.25"/>
    <row r="973" customFormat="1" ht="16.5" customHeight="1" x14ac:dyDescent="0.25"/>
    <row r="974" customFormat="1" ht="16.5" customHeight="1" x14ac:dyDescent="0.25"/>
    <row r="975" customFormat="1" ht="16.5" customHeight="1" x14ac:dyDescent="0.25"/>
    <row r="976" customFormat="1" ht="16.5" customHeight="1" x14ac:dyDescent="0.25"/>
    <row r="977" customFormat="1" ht="16.5" customHeight="1" x14ac:dyDescent="0.25"/>
    <row r="978" customFormat="1" ht="16.5" customHeight="1" x14ac:dyDescent="0.25"/>
    <row r="979" customFormat="1" ht="16.5" customHeight="1" x14ac:dyDescent="0.25"/>
    <row r="980" customFormat="1" ht="16.5" customHeight="1" x14ac:dyDescent="0.25"/>
    <row r="981" customFormat="1" ht="16.5" customHeight="1" x14ac:dyDescent="0.25"/>
    <row r="982" customFormat="1" ht="16.5" customHeight="1" x14ac:dyDescent="0.25"/>
    <row r="983" customFormat="1" ht="16.5" customHeight="1" x14ac:dyDescent="0.25"/>
    <row r="984" customFormat="1" ht="16.5" customHeight="1" x14ac:dyDescent="0.25"/>
    <row r="985" customFormat="1" ht="16.5" customHeight="1" x14ac:dyDescent="0.25"/>
    <row r="986" customFormat="1" ht="16.5" customHeight="1" x14ac:dyDescent="0.25"/>
    <row r="987" customFormat="1" ht="16.5" customHeight="1" x14ac:dyDescent="0.25"/>
    <row r="988" customFormat="1" ht="16.5" customHeight="1" x14ac:dyDescent="0.25"/>
    <row r="989" customFormat="1" ht="16.5" customHeight="1" x14ac:dyDescent="0.25"/>
    <row r="990" customFormat="1" ht="16.5" customHeight="1" x14ac:dyDescent="0.25"/>
    <row r="991" customFormat="1" ht="16.5" customHeight="1" x14ac:dyDescent="0.25"/>
    <row r="992" customFormat="1" ht="16.5" customHeight="1" x14ac:dyDescent="0.25"/>
    <row r="993" customFormat="1" ht="16.5" customHeight="1" x14ac:dyDescent="0.25"/>
    <row r="994" customFormat="1" ht="16.5" customHeight="1" x14ac:dyDescent="0.25"/>
    <row r="995" customFormat="1" ht="16.5" customHeight="1" x14ac:dyDescent="0.25"/>
    <row r="996" customFormat="1" ht="16.5" customHeight="1" x14ac:dyDescent="0.25"/>
    <row r="997" customFormat="1" ht="16.5" customHeight="1" x14ac:dyDescent="0.25"/>
    <row r="998" customFormat="1" ht="16.5" customHeight="1" x14ac:dyDescent="0.25"/>
    <row r="999" customFormat="1" ht="16.5" customHeight="1" x14ac:dyDescent="0.25"/>
    <row r="1000" customFormat="1" ht="16.5" customHeight="1" x14ac:dyDescent="0.25"/>
    <row r="1001" customFormat="1" ht="16.5" customHeight="1" x14ac:dyDescent="0.25"/>
    <row r="1002" customFormat="1" ht="16.5" customHeight="1" x14ac:dyDescent="0.25"/>
    <row r="1003" customFormat="1" ht="16.5" customHeight="1" x14ac:dyDescent="0.25"/>
    <row r="1004" customFormat="1" ht="16.5" customHeight="1" x14ac:dyDescent="0.25"/>
    <row r="1005" customFormat="1" ht="16.5" customHeight="1" x14ac:dyDescent="0.25"/>
    <row r="1006" customFormat="1" ht="16.5" customHeight="1" x14ac:dyDescent="0.25"/>
    <row r="1007" customFormat="1" ht="16.5" customHeight="1" x14ac:dyDescent="0.25"/>
    <row r="1008" customFormat="1" ht="16.5" customHeight="1" x14ac:dyDescent="0.25"/>
    <row r="1009" customFormat="1" ht="16.5" customHeight="1" x14ac:dyDescent="0.25"/>
    <row r="1010" customFormat="1" ht="16.5" customHeight="1" x14ac:dyDescent="0.25"/>
    <row r="1011" customFormat="1" ht="16.5" customHeight="1" x14ac:dyDescent="0.25"/>
    <row r="1012" customFormat="1" ht="16.5" customHeight="1" x14ac:dyDescent="0.25"/>
    <row r="1013" customFormat="1" ht="16.5" customHeight="1" x14ac:dyDescent="0.25"/>
    <row r="1014" customFormat="1" ht="16.5" customHeight="1" x14ac:dyDescent="0.25"/>
    <row r="1015" customFormat="1" ht="16.5" customHeight="1" x14ac:dyDescent="0.25"/>
    <row r="1016" customFormat="1" ht="16.5" customHeight="1" x14ac:dyDescent="0.25"/>
    <row r="1017" customFormat="1" ht="16.5" customHeight="1" x14ac:dyDescent="0.25"/>
    <row r="1018" customFormat="1" ht="16.5" customHeight="1" x14ac:dyDescent="0.25"/>
    <row r="1019" customFormat="1" ht="16.5" customHeight="1" x14ac:dyDescent="0.25"/>
    <row r="1020" customFormat="1" ht="16.5" customHeight="1" x14ac:dyDescent="0.25"/>
    <row r="1021" customFormat="1" ht="16.5" customHeight="1" x14ac:dyDescent="0.25"/>
    <row r="1022" customFormat="1" ht="16.5" customHeight="1" x14ac:dyDescent="0.25"/>
    <row r="1023" customFormat="1" ht="16.5" customHeight="1" x14ac:dyDescent="0.25"/>
    <row r="1024" customFormat="1" ht="16.5" customHeight="1" x14ac:dyDescent="0.25"/>
    <row r="1025" customFormat="1" ht="16.5" customHeight="1" x14ac:dyDescent="0.25"/>
    <row r="1026" customFormat="1" ht="16.5" customHeight="1" x14ac:dyDescent="0.25"/>
    <row r="1027" customFormat="1" ht="16.5" customHeight="1" x14ac:dyDescent="0.25"/>
    <row r="1028" customFormat="1" ht="16.5" customHeight="1" x14ac:dyDescent="0.25"/>
    <row r="1029" customFormat="1" ht="16.5" customHeight="1" x14ac:dyDescent="0.25"/>
    <row r="1030" customFormat="1" ht="16.5" customHeight="1" x14ac:dyDescent="0.25"/>
    <row r="1031" customFormat="1" ht="16.5" customHeight="1" x14ac:dyDescent="0.25"/>
    <row r="1032" customFormat="1" ht="16.5" customHeight="1" x14ac:dyDescent="0.25"/>
    <row r="1033" customFormat="1" ht="16.5" customHeight="1" x14ac:dyDescent="0.25"/>
    <row r="1034" customFormat="1" ht="16.5" customHeight="1" x14ac:dyDescent="0.25"/>
    <row r="1035" customFormat="1" ht="16.5" customHeight="1" x14ac:dyDescent="0.25"/>
    <row r="1036" customFormat="1" ht="16.5" customHeight="1" x14ac:dyDescent="0.25"/>
    <row r="1037" customFormat="1" ht="16.5" customHeight="1" x14ac:dyDescent="0.25"/>
    <row r="1038" customFormat="1" ht="16.5" customHeight="1" x14ac:dyDescent="0.25"/>
    <row r="1039" customFormat="1" ht="16.5" customHeight="1" x14ac:dyDescent="0.25"/>
    <row r="1040" customFormat="1" ht="16.5" customHeight="1" x14ac:dyDescent="0.25"/>
    <row r="1041" customFormat="1" ht="16.5" customHeight="1" x14ac:dyDescent="0.25"/>
    <row r="1042" customFormat="1" ht="16.5" customHeight="1" x14ac:dyDescent="0.25"/>
    <row r="1043" customFormat="1" ht="16.5" customHeight="1" x14ac:dyDescent="0.25"/>
    <row r="1044" customFormat="1" ht="16.5" customHeight="1" x14ac:dyDescent="0.25"/>
    <row r="1045" customFormat="1" ht="16.5" customHeight="1" x14ac:dyDescent="0.25"/>
    <row r="1046" customFormat="1" ht="16.5" customHeight="1" x14ac:dyDescent="0.25"/>
    <row r="1047" customFormat="1" ht="16.5" customHeight="1" x14ac:dyDescent="0.25"/>
    <row r="1048" customFormat="1" ht="16.5" customHeight="1" x14ac:dyDescent="0.25"/>
    <row r="1049" customFormat="1" ht="16.5" customHeight="1" x14ac:dyDescent="0.25"/>
    <row r="1050" customFormat="1" ht="16.5" customHeight="1" x14ac:dyDescent="0.25"/>
    <row r="1051" customFormat="1" ht="16.5" customHeight="1" x14ac:dyDescent="0.25"/>
    <row r="1052" customFormat="1" ht="16.5" customHeight="1" x14ac:dyDescent="0.25"/>
    <row r="1053" customFormat="1" ht="16.5" customHeight="1" x14ac:dyDescent="0.25"/>
    <row r="1054" customFormat="1" ht="16.5" customHeight="1" x14ac:dyDescent="0.25"/>
    <row r="1055" customFormat="1" ht="16.5" customHeight="1" x14ac:dyDescent="0.25"/>
    <row r="1056" customFormat="1" ht="16.5" customHeight="1" x14ac:dyDescent="0.25"/>
    <row r="1057" customFormat="1" ht="16.5" customHeight="1" x14ac:dyDescent="0.25"/>
    <row r="1058" customFormat="1" ht="16.5" customHeight="1" x14ac:dyDescent="0.25"/>
    <row r="1059" customFormat="1" ht="16.5" customHeight="1" x14ac:dyDescent="0.25"/>
    <row r="1060" customFormat="1" ht="16.5" customHeight="1" x14ac:dyDescent="0.25"/>
    <row r="1061" customFormat="1" ht="16.5" customHeight="1" x14ac:dyDescent="0.25"/>
    <row r="1062" customFormat="1" ht="16.5" customHeight="1" x14ac:dyDescent="0.25"/>
    <row r="1063" customFormat="1" ht="16.5" customHeight="1" x14ac:dyDescent="0.25"/>
    <row r="1064" customFormat="1" ht="16.5" customHeight="1" x14ac:dyDescent="0.25"/>
    <row r="1065" customFormat="1" ht="16.5" customHeight="1" x14ac:dyDescent="0.25"/>
    <row r="1066" customFormat="1" ht="16.5" customHeight="1" x14ac:dyDescent="0.25"/>
    <row r="1067" customFormat="1" ht="16.5" customHeight="1" x14ac:dyDescent="0.25"/>
    <row r="1068" customFormat="1" ht="16.5" customHeight="1" x14ac:dyDescent="0.25"/>
    <row r="1069" customFormat="1" ht="16.5" customHeight="1" x14ac:dyDescent="0.25"/>
    <row r="1070" customFormat="1" ht="16.5" customHeight="1" x14ac:dyDescent="0.25"/>
    <row r="1071" customFormat="1" ht="16.5" customHeight="1" x14ac:dyDescent="0.25"/>
    <row r="1072" customFormat="1" ht="16.5" customHeight="1" x14ac:dyDescent="0.25"/>
    <row r="1073" customFormat="1" ht="16.5" customHeight="1" x14ac:dyDescent="0.25"/>
    <row r="1074" customFormat="1" ht="16.5" customHeight="1" x14ac:dyDescent="0.25"/>
    <row r="1075" customFormat="1" ht="16.5" customHeight="1" x14ac:dyDescent="0.25"/>
    <row r="1076" customFormat="1" ht="16.5" customHeight="1" x14ac:dyDescent="0.25"/>
    <row r="1077" customFormat="1" ht="16.5" customHeight="1" x14ac:dyDescent="0.25"/>
    <row r="1078" customFormat="1" ht="16.5" customHeight="1" x14ac:dyDescent="0.25"/>
    <row r="1079" customFormat="1" ht="16.5" customHeight="1" x14ac:dyDescent="0.25"/>
    <row r="1080" customFormat="1" ht="16.5" customHeight="1" x14ac:dyDescent="0.25"/>
    <row r="1081" customFormat="1" ht="16.5" customHeight="1" x14ac:dyDescent="0.25"/>
    <row r="1082" customFormat="1" ht="16.5" customHeight="1" x14ac:dyDescent="0.25"/>
    <row r="1083" customFormat="1" ht="16.5" customHeight="1" x14ac:dyDescent="0.25"/>
    <row r="1084" customFormat="1" ht="16.5" customHeight="1" x14ac:dyDescent="0.25"/>
    <row r="1085" customFormat="1" ht="16.5" customHeight="1" x14ac:dyDescent="0.25"/>
    <row r="1086" customFormat="1" ht="16.5" customHeight="1" x14ac:dyDescent="0.25"/>
    <row r="1087" customFormat="1" ht="16.5" customHeight="1" x14ac:dyDescent="0.25"/>
    <row r="1088" customFormat="1" ht="16.5" customHeight="1" x14ac:dyDescent="0.25"/>
    <row r="1089" customFormat="1" ht="16.5" customHeight="1" x14ac:dyDescent="0.25"/>
    <row r="1090" customFormat="1" ht="16.5" customHeight="1" x14ac:dyDescent="0.25"/>
    <row r="1091" customFormat="1" ht="16.5" customHeight="1" x14ac:dyDescent="0.25"/>
    <row r="1092" customFormat="1" ht="16.5" customHeight="1" x14ac:dyDescent="0.25"/>
    <row r="1093" customFormat="1" ht="16.5" customHeight="1" x14ac:dyDescent="0.25"/>
    <row r="1094" customFormat="1" ht="16.5" customHeight="1" x14ac:dyDescent="0.25"/>
    <row r="1095" customFormat="1" ht="16.5" customHeight="1" x14ac:dyDescent="0.25"/>
    <row r="1096" customFormat="1" ht="16.5" customHeight="1" x14ac:dyDescent="0.25"/>
    <row r="1097" customFormat="1" ht="16.5" customHeight="1" x14ac:dyDescent="0.25"/>
    <row r="1098" customFormat="1" ht="16.5" customHeight="1" x14ac:dyDescent="0.25"/>
    <row r="1099" customFormat="1" ht="16.5" customHeight="1" x14ac:dyDescent="0.25"/>
    <row r="1100" customFormat="1" ht="16.5" customHeight="1" x14ac:dyDescent="0.25"/>
    <row r="1101" customFormat="1" ht="16.5" customHeight="1" x14ac:dyDescent="0.25"/>
    <row r="1102" customFormat="1" ht="16.5" customHeight="1" x14ac:dyDescent="0.25"/>
    <row r="1103" customFormat="1" ht="16.5" customHeight="1" x14ac:dyDescent="0.25"/>
    <row r="1104" customFormat="1" ht="16.5" customHeight="1" x14ac:dyDescent="0.25"/>
    <row r="1105" customFormat="1" ht="16.5" customHeight="1" x14ac:dyDescent="0.25"/>
    <row r="1106" customFormat="1" ht="16.5" customHeight="1" x14ac:dyDescent="0.25"/>
    <row r="1107" customFormat="1" ht="16.5" customHeight="1" x14ac:dyDescent="0.25"/>
    <row r="1108" customFormat="1" ht="16.5" customHeight="1" x14ac:dyDescent="0.25"/>
    <row r="1109" customFormat="1" ht="16.5" customHeight="1" x14ac:dyDescent="0.25"/>
    <row r="1110" customFormat="1" ht="16.5" customHeight="1" x14ac:dyDescent="0.25"/>
    <row r="1111" customFormat="1" ht="16.5" customHeight="1" x14ac:dyDescent="0.25"/>
    <row r="1112" customFormat="1" ht="16.5" customHeight="1" x14ac:dyDescent="0.25"/>
    <row r="1113" customFormat="1" ht="16.5" customHeight="1" x14ac:dyDescent="0.25"/>
    <row r="1114" customFormat="1" ht="16.5" customHeight="1" x14ac:dyDescent="0.25"/>
    <row r="1115" customFormat="1" ht="16.5" customHeight="1" x14ac:dyDescent="0.25"/>
    <row r="1116" customFormat="1" ht="16.5" customHeight="1" x14ac:dyDescent="0.25"/>
    <row r="1117" customFormat="1" ht="16.5" customHeight="1" x14ac:dyDescent="0.25"/>
    <row r="1118" customFormat="1" ht="16.5" customHeight="1" x14ac:dyDescent="0.25"/>
    <row r="1119" customFormat="1" ht="16.5" customHeight="1" x14ac:dyDescent="0.25"/>
    <row r="1120" customFormat="1" ht="16.5" customHeight="1" x14ac:dyDescent="0.25"/>
    <row r="1121" customFormat="1" ht="16.5" customHeight="1" x14ac:dyDescent="0.25"/>
    <row r="1122" customFormat="1" ht="16.5" customHeight="1" x14ac:dyDescent="0.25"/>
    <row r="1123" customFormat="1" ht="16.5" customHeight="1" x14ac:dyDescent="0.25"/>
    <row r="1124" customFormat="1" ht="16.5" customHeight="1" x14ac:dyDescent="0.25"/>
    <row r="1125" customFormat="1" ht="16.5" customHeight="1" x14ac:dyDescent="0.25"/>
    <row r="1126" customFormat="1" ht="16.5" customHeight="1" x14ac:dyDescent="0.25"/>
    <row r="1127" customFormat="1" ht="16.5" customHeight="1" x14ac:dyDescent="0.25"/>
    <row r="1128" customFormat="1" ht="16.5" customHeight="1" x14ac:dyDescent="0.25"/>
    <row r="1129" customFormat="1" ht="16.5" customHeight="1" x14ac:dyDescent="0.25"/>
    <row r="1130" customFormat="1" ht="16.5" customHeight="1" x14ac:dyDescent="0.25"/>
    <row r="1131" customFormat="1" ht="16.5" customHeight="1" x14ac:dyDescent="0.25"/>
    <row r="1132" customFormat="1" ht="16.5" customHeight="1" x14ac:dyDescent="0.25"/>
    <row r="1133" customFormat="1" ht="16.5" customHeight="1" x14ac:dyDescent="0.25"/>
    <row r="1134" customFormat="1" ht="16.5" customHeight="1" x14ac:dyDescent="0.25"/>
    <row r="1135" customFormat="1" ht="16.5" customHeight="1" x14ac:dyDescent="0.25"/>
    <row r="1136" customFormat="1" ht="16.5" customHeight="1" x14ac:dyDescent="0.25"/>
    <row r="1137" customFormat="1" ht="16.5" customHeight="1" x14ac:dyDescent="0.25"/>
    <row r="1138" customFormat="1" ht="16.5" customHeight="1" x14ac:dyDescent="0.25"/>
    <row r="1139" customFormat="1" ht="16.5" customHeight="1" x14ac:dyDescent="0.25"/>
    <row r="1140" customFormat="1" ht="16.5" customHeight="1" x14ac:dyDescent="0.25"/>
    <row r="1141" customFormat="1" ht="16.5" customHeight="1" x14ac:dyDescent="0.25"/>
    <row r="1142" customFormat="1" ht="16.5" customHeight="1" x14ac:dyDescent="0.25"/>
    <row r="1143" customFormat="1" ht="16.5" customHeight="1" x14ac:dyDescent="0.25"/>
    <row r="1144" customFormat="1" ht="16.5" customHeight="1" x14ac:dyDescent="0.25"/>
    <row r="1145" customFormat="1" ht="16.5" customHeight="1" x14ac:dyDescent="0.25"/>
    <row r="1146" customFormat="1" ht="16.5" customHeight="1" x14ac:dyDescent="0.25"/>
    <row r="1147" customFormat="1" ht="16.5" customHeight="1" x14ac:dyDescent="0.25"/>
    <row r="1148" customFormat="1" ht="16.5" customHeight="1" x14ac:dyDescent="0.25"/>
    <row r="1149" customFormat="1" ht="16.5" customHeight="1" x14ac:dyDescent="0.25"/>
    <row r="1150" customFormat="1" ht="16.5" customHeight="1" x14ac:dyDescent="0.25"/>
    <row r="1151" customFormat="1" ht="16.5" customHeight="1" x14ac:dyDescent="0.25"/>
    <row r="1152" customFormat="1" ht="16.5" customHeight="1" x14ac:dyDescent="0.25"/>
    <row r="1153" customFormat="1" ht="16.5" customHeight="1" x14ac:dyDescent="0.25"/>
    <row r="1154" customFormat="1" ht="16.5" customHeight="1" x14ac:dyDescent="0.25"/>
    <row r="1155" customFormat="1" ht="16.5" customHeight="1" x14ac:dyDescent="0.25"/>
    <row r="1156" customFormat="1" ht="16.5" customHeight="1" x14ac:dyDescent="0.25"/>
    <row r="1157" customFormat="1" ht="16.5" customHeight="1" x14ac:dyDescent="0.25"/>
    <row r="1158" customFormat="1" ht="16.5" customHeight="1" x14ac:dyDescent="0.25"/>
    <row r="1159" customFormat="1" ht="16.5" customHeight="1" x14ac:dyDescent="0.25"/>
    <row r="1160" customFormat="1" ht="16.5" customHeight="1" x14ac:dyDescent="0.25"/>
    <row r="1161" customFormat="1" ht="16.5" customHeight="1" x14ac:dyDescent="0.25"/>
    <row r="1162" customFormat="1" ht="16.5" customHeight="1" x14ac:dyDescent="0.25"/>
    <row r="1163" customFormat="1" ht="16.5" customHeight="1" x14ac:dyDescent="0.25"/>
    <row r="1164" customFormat="1" ht="16.5" customHeight="1" x14ac:dyDescent="0.25"/>
    <row r="1165" customFormat="1" ht="16.5" customHeight="1" x14ac:dyDescent="0.25"/>
    <row r="1166" customFormat="1" ht="16.5" customHeight="1" x14ac:dyDescent="0.25"/>
    <row r="1167" customFormat="1" ht="16.5" customHeight="1" x14ac:dyDescent="0.25"/>
    <row r="1168" customFormat="1" ht="16.5" customHeight="1" x14ac:dyDescent="0.25"/>
    <row r="1169" customFormat="1" ht="16.5" customHeight="1" x14ac:dyDescent="0.25"/>
    <row r="1170" customFormat="1" ht="16.5" customHeight="1" x14ac:dyDescent="0.25"/>
    <row r="1171" customFormat="1" ht="16.5" customHeight="1" x14ac:dyDescent="0.25"/>
    <row r="1172" customFormat="1" ht="16.5" customHeight="1" x14ac:dyDescent="0.25"/>
    <row r="1173" customFormat="1" ht="16.5" customHeight="1" x14ac:dyDescent="0.25"/>
    <row r="1174" customFormat="1" ht="16.5" customHeight="1" x14ac:dyDescent="0.25"/>
    <row r="1175" customFormat="1" ht="16.5" customHeight="1" x14ac:dyDescent="0.25"/>
    <row r="1176" customFormat="1" ht="16.5" customHeight="1" x14ac:dyDescent="0.25"/>
    <row r="1177" customFormat="1" ht="16.5" customHeight="1" x14ac:dyDescent="0.25"/>
    <row r="1178" customFormat="1" ht="16.5" customHeight="1" x14ac:dyDescent="0.25"/>
    <row r="1179" customFormat="1" ht="16.5" customHeight="1" x14ac:dyDescent="0.25"/>
    <row r="1180" customFormat="1" ht="16.5" customHeight="1" x14ac:dyDescent="0.25"/>
    <row r="1181" customFormat="1" ht="16.5" customHeight="1" x14ac:dyDescent="0.25"/>
    <row r="1182" customFormat="1" ht="16.5" customHeight="1" x14ac:dyDescent="0.25"/>
    <row r="1183" customFormat="1" ht="16.5" customHeight="1" x14ac:dyDescent="0.25"/>
    <row r="1184" customFormat="1" ht="16.5" customHeight="1" x14ac:dyDescent="0.25"/>
    <row r="1185" customFormat="1" ht="16.5" customHeight="1" x14ac:dyDescent="0.25"/>
    <row r="1186" customFormat="1" ht="16.5" customHeight="1" x14ac:dyDescent="0.25"/>
    <row r="1187" customFormat="1" ht="16.5" customHeight="1" x14ac:dyDescent="0.25"/>
    <row r="1188" customFormat="1" ht="16.5" customHeight="1" x14ac:dyDescent="0.25"/>
    <row r="1189" customFormat="1" ht="16.5" customHeight="1" x14ac:dyDescent="0.25"/>
    <row r="1190" customFormat="1" ht="16.5" customHeight="1" x14ac:dyDescent="0.25"/>
    <row r="1191" customFormat="1" ht="16.5" customHeight="1" x14ac:dyDescent="0.25"/>
    <row r="1192" customFormat="1" ht="16.5" customHeight="1" x14ac:dyDescent="0.25"/>
    <row r="1193" customFormat="1" ht="16.5" customHeight="1" x14ac:dyDescent="0.25"/>
    <row r="1194" customFormat="1" ht="16.5" customHeight="1" x14ac:dyDescent="0.25"/>
    <row r="1195" customFormat="1" ht="16.5" customHeight="1" x14ac:dyDescent="0.25"/>
    <row r="1196" customFormat="1" ht="16.5" customHeight="1" x14ac:dyDescent="0.25"/>
    <row r="1197" customFormat="1" ht="16.5" customHeight="1" x14ac:dyDescent="0.25"/>
    <row r="1198" customFormat="1" ht="16.5" customHeight="1" x14ac:dyDescent="0.25"/>
    <row r="1199" customFormat="1" ht="16.5" customHeight="1" x14ac:dyDescent="0.25"/>
    <row r="1200" customFormat="1" ht="16.5" customHeight="1" x14ac:dyDescent="0.25"/>
    <row r="1201" customFormat="1" ht="16.5" customHeight="1" x14ac:dyDescent="0.25"/>
    <row r="1202" customFormat="1" ht="16.5" customHeight="1" x14ac:dyDescent="0.25"/>
    <row r="1203" customFormat="1" ht="16.5" customHeight="1" x14ac:dyDescent="0.25"/>
    <row r="1204" customFormat="1" ht="16.5" customHeight="1" x14ac:dyDescent="0.25"/>
    <row r="1205" customFormat="1" ht="16.5" customHeight="1" x14ac:dyDescent="0.25"/>
    <row r="1206" customFormat="1" ht="16.5" customHeight="1" x14ac:dyDescent="0.25"/>
    <row r="1207" customFormat="1" ht="16.5" customHeight="1" x14ac:dyDescent="0.25"/>
    <row r="1208" customFormat="1" ht="16.5" customHeight="1" x14ac:dyDescent="0.25"/>
    <row r="1209" customFormat="1" ht="16.5" customHeight="1" x14ac:dyDescent="0.25"/>
    <row r="1210" customFormat="1" ht="16.5" customHeight="1" x14ac:dyDescent="0.25"/>
    <row r="1211" customFormat="1" ht="16.5" customHeight="1" x14ac:dyDescent="0.25"/>
    <row r="1212" customFormat="1" ht="16.5" customHeight="1" x14ac:dyDescent="0.25"/>
    <row r="1213" customFormat="1" ht="16.5" customHeight="1" x14ac:dyDescent="0.25"/>
    <row r="1214" customFormat="1" ht="16.5" customHeight="1" x14ac:dyDescent="0.25"/>
    <row r="1215" customFormat="1" ht="16.5" customHeight="1" x14ac:dyDescent="0.25"/>
    <row r="1216" customFormat="1" ht="16.5" customHeight="1" x14ac:dyDescent="0.25"/>
    <row r="1217" customFormat="1" ht="16.5" customHeight="1" x14ac:dyDescent="0.25"/>
    <row r="1218" customFormat="1" ht="16.5" customHeight="1" x14ac:dyDescent="0.25"/>
    <row r="1219" customFormat="1" ht="16.5" customHeight="1" x14ac:dyDescent="0.25"/>
    <row r="1220" customFormat="1" ht="16.5" customHeight="1" x14ac:dyDescent="0.25"/>
    <row r="1221" customFormat="1" ht="16.5" customHeight="1" x14ac:dyDescent="0.25"/>
    <row r="1222" customFormat="1" ht="16.5" customHeight="1" x14ac:dyDescent="0.25"/>
    <row r="1223" customFormat="1" ht="16.5" customHeight="1" x14ac:dyDescent="0.25"/>
    <row r="1224" customFormat="1" ht="16.5" customHeight="1" x14ac:dyDescent="0.25"/>
    <row r="1225" customFormat="1" ht="16.5" customHeight="1" x14ac:dyDescent="0.25"/>
    <row r="1226" customFormat="1" ht="16.5" customHeight="1" x14ac:dyDescent="0.25"/>
    <row r="1227" customFormat="1" ht="16.5" customHeight="1" x14ac:dyDescent="0.25"/>
    <row r="1228" customFormat="1" ht="16.5" customHeight="1" x14ac:dyDescent="0.25"/>
    <row r="1229" customFormat="1" ht="16.5" customHeight="1" x14ac:dyDescent="0.25"/>
    <row r="1230" customFormat="1" ht="16.5" customHeight="1" x14ac:dyDescent="0.25"/>
    <row r="1231" customFormat="1" ht="16.5" customHeight="1" x14ac:dyDescent="0.25"/>
    <row r="1232" customFormat="1" ht="16.5" customHeight="1" x14ac:dyDescent="0.25"/>
    <row r="1233" customFormat="1" ht="16.5" customHeight="1" x14ac:dyDescent="0.25"/>
    <row r="1234" customFormat="1" ht="16.5" customHeight="1" x14ac:dyDescent="0.25"/>
    <row r="1235" customFormat="1" ht="16.5" customHeight="1" x14ac:dyDescent="0.25"/>
    <row r="1236" customFormat="1" ht="16.5" customHeight="1" x14ac:dyDescent="0.25"/>
    <row r="1237" customFormat="1" ht="16.5" customHeight="1" x14ac:dyDescent="0.25"/>
    <row r="1238" customFormat="1" ht="16.5" customHeight="1" x14ac:dyDescent="0.25"/>
    <row r="1239" customFormat="1" ht="16.5" customHeight="1" x14ac:dyDescent="0.25"/>
    <row r="1240" customFormat="1" ht="16.5" customHeight="1" x14ac:dyDescent="0.25"/>
    <row r="1241" customFormat="1" ht="16.5" customHeight="1" x14ac:dyDescent="0.25"/>
    <row r="1242" customFormat="1" ht="16.5" customHeight="1" x14ac:dyDescent="0.25"/>
    <row r="1243" customFormat="1" ht="16.5" customHeight="1" x14ac:dyDescent="0.25"/>
    <row r="1244" customFormat="1" ht="16.5" customHeight="1" x14ac:dyDescent="0.25"/>
    <row r="1245" customFormat="1" ht="16.5" customHeight="1" x14ac:dyDescent="0.25"/>
    <row r="1246" customFormat="1" ht="16.5" customHeight="1" x14ac:dyDescent="0.25"/>
    <row r="1247" customFormat="1" ht="16.5" customHeight="1" x14ac:dyDescent="0.25"/>
    <row r="1248" customFormat="1" ht="16.5" customHeight="1" x14ac:dyDescent="0.25"/>
    <row r="1249" customFormat="1" ht="16.5" customHeight="1" x14ac:dyDescent="0.25"/>
    <row r="1250" customFormat="1" ht="16.5" customHeight="1" x14ac:dyDescent="0.25"/>
    <row r="1251" customFormat="1" ht="16.5" customHeight="1" x14ac:dyDescent="0.25"/>
    <row r="1252" customFormat="1" ht="16.5" customHeight="1" x14ac:dyDescent="0.25"/>
    <row r="1253" customFormat="1" ht="16.5" customHeight="1" x14ac:dyDescent="0.25"/>
    <row r="1254" customFormat="1" ht="16.5" customHeight="1" x14ac:dyDescent="0.25"/>
    <row r="1255" customFormat="1" ht="16.5" customHeight="1" x14ac:dyDescent="0.25"/>
    <row r="1256" customFormat="1" ht="16.5" customHeight="1" x14ac:dyDescent="0.25"/>
    <row r="1257" customFormat="1" ht="16.5" customHeight="1" x14ac:dyDescent="0.25"/>
    <row r="1258" customFormat="1" ht="16.5" customHeight="1" x14ac:dyDescent="0.25"/>
    <row r="1259" customFormat="1" ht="16.5" customHeight="1" x14ac:dyDescent="0.25"/>
    <row r="1260" customFormat="1" ht="16.5" customHeight="1" x14ac:dyDescent="0.25"/>
    <row r="1261" customFormat="1" ht="16.5" customHeight="1" x14ac:dyDescent="0.25"/>
    <row r="1262" customFormat="1" ht="16.5" customHeight="1" x14ac:dyDescent="0.25"/>
    <row r="1263" customFormat="1" ht="16.5" customHeight="1" x14ac:dyDescent="0.25"/>
    <row r="1264" customFormat="1" ht="16.5" customHeight="1" x14ac:dyDescent="0.25"/>
    <row r="1265" customFormat="1" ht="16.5" customHeight="1" x14ac:dyDescent="0.25"/>
    <row r="1266" customFormat="1" ht="16.5" customHeight="1" x14ac:dyDescent="0.25"/>
    <row r="1267" customFormat="1" ht="16.5" customHeight="1" x14ac:dyDescent="0.25"/>
    <row r="1268" customFormat="1" ht="16.5" customHeight="1" x14ac:dyDescent="0.25"/>
    <row r="1269" customFormat="1" ht="16.5" customHeight="1" x14ac:dyDescent="0.25"/>
    <row r="1270" customFormat="1" ht="16.5" customHeight="1" x14ac:dyDescent="0.25"/>
    <row r="1271" customFormat="1" ht="16.5" customHeight="1" x14ac:dyDescent="0.25"/>
    <row r="1272" customFormat="1" ht="16.5" customHeight="1" x14ac:dyDescent="0.25"/>
    <row r="1273" customFormat="1" ht="16.5" customHeight="1" x14ac:dyDescent="0.25"/>
    <row r="1274" customFormat="1" ht="16.5" customHeight="1" x14ac:dyDescent="0.25"/>
    <row r="1275" customFormat="1" ht="16.5" customHeight="1" x14ac:dyDescent="0.25"/>
    <row r="1276" customFormat="1" ht="16.5" customHeight="1" x14ac:dyDescent="0.25"/>
    <row r="1277" customFormat="1" ht="16.5" customHeight="1" x14ac:dyDescent="0.25"/>
    <row r="1278" customFormat="1" ht="16.5" customHeight="1" x14ac:dyDescent="0.25"/>
    <row r="1279" customFormat="1" ht="16.5" customHeight="1" x14ac:dyDescent="0.25"/>
    <row r="1280" customFormat="1" ht="16.5" customHeight="1" x14ac:dyDescent="0.25"/>
    <row r="1281" customFormat="1" ht="16.5" customHeight="1" x14ac:dyDescent="0.25"/>
    <row r="1282" customFormat="1" ht="16.5" customHeight="1" x14ac:dyDescent="0.25"/>
    <row r="1283" customFormat="1" ht="16.5" customHeight="1" x14ac:dyDescent="0.25"/>
    <row r="1284" customFormat="1" ht="16.5" customHeight="1" x14ac:dyDescent="0.25"/>
    <row r="1285" customFormat="1" ht="16.5" customHeight="1" x14ac:dyDescent="0.25"/>
    <row r="1286" customFormat="1" ht="16.5" customHeight="1" x14ac:dyDescent="0.25"/>
    <row r="1287" customFormat="1" ht="16.5" customHeight="1" x14ac:dyDescent="0.25"/>
    <row r="1288" customFormat="1" ht="16.5" customHeight="1" x14ac:dyDescent="0.25"/>
    <row r="1289" customFormat="1" ht="16.5" customHeight="1" x14ac:dyDescent="0.25"/>
    <row r="1290" customFormat="1" ht="16.5" customHeight="1" x14ac:dyDescent="0.25"/>
    <row r="1291" customFormat="1" ht="16.5" customHeight="1" x14ac:dyDescent="0.25"/>
    <row r="1292" customFormat="1" ht="16.5" customHeight="1" x14ac:dyDescent="0.25"/>
    <row r="1293" customFormat="1" ht="16.5" customHeight="1" x14ac:dyDescent="0.25"/>
    <row r="1294" customFormat="1" ht="16.5" customHeight="1" x14ac:dyDescent="0.25"/>
    <row r="1295" customFormat="1" ht="16.5" customHeight="1" x14ac:dyDescent="0.25"/>
    <row r="1296" customFormat="1" ht="16.5" customHeight="1" x14ac:dyDescent="0.25"/>
    <row r="1297" customFormat="1" ht="16.5" customHeight="1" x14ac:dyDescent="0.25"/>
    <row r="1298" customFormat="1" ht="16.5" customHeight="1" x14ac:dyDescent="0.25"/>
    <row r="1299" customFormat="1" ht="16.5" customHeight="1" x14ac:dyDescent="0.25"/>
    <row r="1300" customFormat="1" ht="16.5" customHeight="1" x14ac:dyDescent="0.25"/>
    <row r="1301" customFormat="1" ht="16.5" customHeight="1" x14ac:dyDescent="0.25"/>
    <row r="1302" customFormat="1" ht="16.5" customHeight="1" x14ac:dyDescent="0.25"/>
    <row r="1303" customFormat="1" ht="16.5" customHeight="1" x14ac:dyDescent="0.25"/>
    <row r="1304" customFormat="1" ht="16.5" customHeight="1" x14ac:dyDescent="0.25"/>
    <row r="1305" customFormat="1" ht="16.5" customHeight="1" x14ac:dyDescent="0.25"/>
    <row r="1306" customFormat="1" ht="16.5" customHeight="1" x14ac:dyDescent="0.25"/>
    <row r="1307" customFormat="1" ht="16.5" customHeight="1" x14ac:dyDescent="0.25"/>
    <row r="1308" customFormat="1" ht="16.5" customHeight="1" x14ac:dyDescent="0.25"/>
    <row r="1309" customFormat="1" ht="16.5" customHeight="1" x14ac:dyDescent="0.25"/>
    <row r="1310" customFormat="1" ht="16.5" customHeight="1" x14ac:dyDescent="0.25"/>
    <row r="1311" customFormat="1" ht="16.5" customHeight="1" x14ac:dyDescent="0.25"/>
    <row r="1312" customFormat="1" ht="16.5" customHeight="1" x14ac:dyDescent="0.25"/>
    <row r="1313" customFormat="1" ht="16.5" customHeight="1" x14ac:dyDescent="0.25"/>
    <row r="1314" customFormat="1" ht="16.5" customHeight="1" x14ac:dyDescent="0.25"/>
    <row r="1315" customFormat="1" ht="16.5" customHeight="1" x14ac:dyDescent="0.25"/>
    <row r="1316" customFormat="1" ht="16.5" customHeight="1" x14ac:dyDescent="0.25"/>
    <row r="1317" customFormat="1" ht="16.5" customHeight="1" x14ac:dyDescent="0.25"/>
    <row r="1318" customFormat="1" ht="16.5" customHeight="1" x14ac:dyDescent="0.25"/>
    <row r="1319" customFormat="1" ht="16.5" customHeight="1" x14ac:dyDescent="0.25"/>
    <row r="1320" customFormat="1" ht="16.5" customHeight="1" x14ac:dyDescent="0.25"/>
    <row r="1321" customFormat="1" ht="16.5" customHeight="1" x14ac:dyDescent="0.25"/>
    <row r="1322" customFormat="1" ht="16.5" customHeight="1" x14ac:dyDescent="0.25"/>
    <row r="1323" customFormat="1" ht="16.5" customHeight="1" x14ac:dyDescent="0.25"/>
    <row r="1324" customFormat="1" ht="16.5" customHeight="1" x14ac:dyDescent="0.25"/>
    <row r="1325" customFormat="1" ht="16.5" customHeight="1" x14ac:dyDescent="0.25"/>
    <row r="1326" customFormat="1" ht="16.5" customHeight="1" x14ac:dyDescent="0.25"/>
    <row r="1327" customFormat="1" ht="16.5" customHeight="1" x14ac:dyDescent="0.25"/>
    <row r="1328" customFormat="1" ht="16.5" customHeight="1" x14ac:dyDescent="0.25"/>
    <row r="1329" customFormat="1" ht="16.5" customHeight="1" x14ac:dyDescent="0.25"/>
    <row r="1330" customFormat="1" ht="16.5" customHeight="1" x14ac:dyDescent="0.25"/>
    <row r="1331" customFormat="1" ht="16.5" customHeight="1" x14ac:dyDescent="0.25"/>
    <row r="1332" customFormat="1" ht="16.5" customHeight="1" x14ac:dyDescent="0.25"/>
    <row r="1333" customFormat="1" ht="16.5" customHeight="1" x14ac:dyDescent="0.25"/>
    <row r="1334" customFormat="1" ht="16.5" customHeight="1" x14ac:dyDescent="0.25"/>
    <row r="1335" customFormat="1" ht="16.5" customHeight="1" x14ac:dyDescent="0.25"/>
    <row r="1336" customFormat="1" ht="16.5" customHeight="1" x14ac:dyDescent="0.25"/>
    <row r="1337" customFormat="1" ht="16.5" customHeight="1" x14ac:dyDescent="0.25"/>
    <row r="1338" customFormat="1" ht="16.5" customHeight="1" x14ac:dyDescent="0.25"/>
    <row r="1339" customFormat="1" ht="16.5" customHeight="1" x14ac:dyDescent="0.25"/>
    <row r="1340" customFormat="1" ht="16.5" customHeight="1" x14ac:dyDescent="0.25"/>
    <row r="1341" customFormat="1" ht="16.5" customHeight="1" x14ac:dyDescent="0.25"/>
    <row r="1342" customFormat="1" ht="16.5" customHeight="1" x14ac:dyDescent="0.25"/>
    <row r="1343" customFormat="1" ht="16.5" customHeight="1" x14ac:dyDescent="0.25"/>
    <row r="1344" customFormat="1" ht="16.5" customHeight="1" x14ac:dyDescent="0.25"/>
    <row r="1345" customFormat="1" ht="16.5" customHeight="1" x14ac:dyDescent="0.25"/>
    <row r="1346" customFormat="1" ht="16.5" customHeight="1" x14ac:dyDescent="0.25"/>
    <row r="1347" customFormat="1" ht="16.5" customHeight="1" x14ac:dyDescent="0.25"/>
    <row r="1348" customFormat="1" ht="16.5" customHeight="1" x14ac:dyDescent="0.25"/>
    <row r="1349" customFormat="1" ht="16.5" customHeight="1" x14ac:dyDescent="0.25"/>
    <row r="1350" customFormat="1" ht="16.5" customHeight="1" x14ac:dyDescent="0.25"/>
    <row r="1351" customFormat="1" ht="16.5" customHeight="1" x14ac:dyDescent="0.25"/>
    <row r="1352" customFormat="1" ht="16.5" customHeight="1" x14ac:dyDescent="0.25"/>
    <row r="1353" customFormat="1" ht="16.5" customHeight="1" x14ac:dyDescent="0.25"/>
    <row r="1354" customFormat="1" ht="16.5" customHeight="1" x14ac:dyDescent="0.25"/>
    <row r="1355" customFormat="1" ht="16.5" customHeight="1" x14ac:dyDescent="0.25"/>
    <row r="1356" customFormat="1" ht="16.5" customHeight="1" x14ac:dyDescent="0.25"/>
    <row r="1357" customFormat="1" ht="16.5" customHeight="1" x14ac:dyDescent="0.25"/>
    <row r="1358" customFormat="1" ht="16.5" customHeight="1" x14ac:dyDescent="0.25"/>
    <row r="1359" customFormat="1" ht="16.5" customHeight="1" x14ac:dyDescent="0.25"/>
    <row r="1360" customFormat="1" ht="16.5" customHeight="1" x14ac:dyDescent="0.25"/>
    <row r="1361" customFormat="1" ht="16.5" customHeight="1" x14ac:dyDescent="0.25"/>
    <row r="1362" customFormat="1" ht="16.5" customHeight="1" x14ac:dyDescent="0.25"/>
    <row r="1363" customFormat="1" ht="16.5" customHeight="1" x14ac:dyDescent="0.25"/>
    <row r="1364" customFormat="1" ht="16.5" customHeight="1" x14ac:dyDescent="0.25"/>
  </sheetData>
  <mergeCells count="2">
    <mergeCell ref="L1:M1"/>
    <mergeCell ref="P1:S1"/>
  </mergeCells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39EB3-136B-4D1E-A842-C575C8D0301E}">
  <dimension ref="A1:T1364"/>
  <sheetViews>
    <sheetView zoomScale="70" zoomScaleNormal="70" workbookViewId="0">
      <pane xSplit="1" topLeftCell="B1" activePane="topRight" state="frozen"/>
      <selection pane="topRight" activeCell="D22" sqref="D22"/>
    </sheetView>
  </sheetViews>
  <sheetFormatPr defaultRowHeight="15.75" x14ac:dyDescent="0.25"/>
  <cols>
    <col min="1" max="1" width="46.5" style="5" customWidth="1"/>
    <col min="2" max="2" width="22.25" style="77" customWidth="1"/>
    <col min="3" max="3" width="22.25" style="4" customWidth="1"/>
    <col min="4" max="4" width="18.5" style="14" customWidth="1"/>
    <col min="5" max="5" width="18.5" style="12" customWidth="1"/>
    <col min="6" max="6" width="16.375" style="75" customWidth="1"/>
    <col min="7" max="7" width="13.625" style="3" customWidth="1"/>
    <col min="8" max="8" width="13.125" style="3" customWidth="1"/>
    <col min="9" max="9" width="17.5" style="13" customWidth="1"/>
    <col min="10" max="10" width="17.5" style="72" customWidth="1"/>
    <col min="11" max="11" width="18.375" style="14" customWidth="1"/>
    <col min="12" max="12" width="17.5" style="9" customWidth="1"/>
    <col min="13" max="13" width="17.5" style="3" customWidth="1"/>
    <col min="14" max="14" width="17.5" style="66" customWidth="1"/>
    <col min="15" max="15" width="23.25" style="58" customWidth="1"/>
    <col min="16" max="16" width="16.5" style="49" customWidth="1"/>
    <col min="17" max="18" width="16.5" style="1" customWidth="1"/>
    <col min="19" max="19" width="16.5" style="10" customWidth="1"/>
    <col min="20" max="20" width="16.5" style="65" customWidth="1"/>
  </cols>
  <sheetData>
    <row r="1" spans="1:20" s="28" customFormat="1" ht="37.5" customHeight="1" x14ac:dyDescent="0.25">
      <c r="A1" s="29" t="s">
        <v>6976</v>
      </c>
      <c r="B1" s="27"/>
      <c r="C1" s="30"/>
      <c r="D1" s="26"/>
      <c r="E1" s="27"/>
      <c r="F1" s="30" t="s">
        <v>4325</v>
      </c>
      <c r="G1" s="28" t="s">
        <v>6737</v>
      </c>
      <c r="H1" s="30"/>
      <c r="I1" s="26" t="s">
        <v>4326</v>
      </c>
      <c r="J1" s="32" t="s">
        <v>4328</v>
      </c>
      <c r="K1" s="29"/>
      <c r="L1" s="87" t="s">
        <v>6980</v>
      </c>
      <c r="M1" s="88"/>
      <c r="N1" s="27"/>
      <c r="O1" s="26"/>
      <c r="P1" s="87" t="s">
        <v>6967</v>
      </c>
      <c r="Q1" s="88"/>
      <c r="R1" s="88"/>
      <c r="S1" s="89"/>
      <c r="T1" s="33"/>
    </row>
    <row r="2" spans="1:20" x14ac:dyDescent="0.25">
      <c r="A2" s="63" t="s">
        <v>6964</v>
      </c>
      <c r="B2" s="53"/>
      <c r="C2" s="54"/>
      <c r="D2" s="55"/>
      <c r="E2" s="49"/>
      <c r="F2" s="1">
        <v>0.4</v>
      </c>
      <c r="G2" s="1">
        <v>0.3</v>
      </c>
      <c r="H2" s="1"/>
      <c r="I2" s="10">
        <v>0.2</v>
      </c>
      <c r="J2" s="49">
        <v>0.1</v>
      </c>
      <c r="K2" s="47"/>
      <c r="L2" s="74" t="s">
        <v>6977</v>
      </c>
      <c r="M2" s="69">
        <v>2</v>
      </c>
      <c r="N2" s="6"/>
      <c r="O2" s="19"/>
      <c r="P2" s="73" t="s">
        <v>6964</v>
      </c>
      <c r="Q2" s="64" t="s">
        <v>6965</v>
      </c>
      <c r="R2" s="64" t="s">
        <v>6969</v>
      </c>
      <c r="S2" s="64" t="s">
        <v>6966</v>
      </c>
      <c r="T2" s="15"/>
    </row>
    <row r="3" spans="1:20" x14ac:dyDescent="0.25">
      <c r="A3" s="63" t="s">
        <v>6965</v>
      </c>
      <c r="B3" s="53"/>
      <c r="C3" s="54"/>
      <c r="D3" s="55"/>
      <c r="E3" s="49"/>
      <c r="F3" s="1">
        <v>0.3</v>
      </c>
      <c r="G3" s="1">
        <v>0.5</v>
      </c>
      <c r="H3" s="1"/>
      <c r="I3" s="10">
        <v>0.1</v>
      </c>
      <c r="J3" s="49">
        <v>0.1</v>
      </c>
      <c r="K3" s="47"/>
      <c r="L3" s="74" t="s">
        <v>6978</v>
      </c>
      <c r="M3" s="70">
        <v>0.1</v>
      </c>
      <c r="N3" s="6"/>
      <c r="O3" s="19"/>
      <c r="P3" s="9">
        <v>3</v>
      </c>
      <c r="Q3" s="3">
        <v>5</v>
      </c>
      <c r="R3" s="3">
        <v>2</v>
      </c>
      <c r="S3" s="13">
        <v>3</v>
      </c>
      <c r="T3" s="15"/>
    </row>
    <row r="4" spans="1:20" x14ac:dyDescent="0.25">
      <c r="A4" s="63" t="s">
        <v>6969</v>
      </c>
      <c r="B4" s="53"/>
      <c r="C4" s="54"/>
      <c r="D4" s="55"/>
      <c r="E4" s="49"/>
      <c r="F4" s="1">
        <v>0.25</v>
      </c>
      <c r="G4" s="1">
        <v>0.55000000000000004</v>
      </c>
      <c r="H4" s="1"/>
      <c r="I4" s="10">
        <v>0.1</v>
      </c>
      <c r="J4" s="49">
        <v>0.1</v>
      </c>
      <c r="K4" s="47"/>
      <c r="L4" s="74" t="s">
        <v>6979</v>
      </c>
      <c r="M4" s="71">
        <v>0.03</v>
      </c>
      <c r="N4" s="6"/>
      <c r="O4" s="19"/>
      <c r="P4" s="6"/>
      <c r="Q4"/>
      <c r="R4"/>
      <c r="S4" s="7"/>
      <c r="T4" s="15"/>
    </row>
    <row r="5" spans="1:20" x14ac:dyDescent="0.25">
      <c r="A5" s="63" t="s">
        <v>6966</v>
      </c>
      <c r="B5" s="53"/>
      <c r="C5" s="54"/>
      <c r="D5" s="55"/>
      <c r="E5" s="49"/>
      <c r="F5" s="1">
        <v>0.35</v>
      </c>
      <c r="G5" s="1">
        <v>0.4</v>
      </c>
      <c r="H5" s="1"/>
      <c r="I5" s="10">
        <v>0.15</v>
      </c>
      <c r="J5" s="49">
        <v>0.1</v>
      </c>
      <c r="K5" s="47"/>
      <c r="M5" s="13"/>
      <c r="N5" s="6"/>
      <c r="O5" s="19"/>
      <c r="P5" s="6"/>
      <c r="Q5"/>
      <c r="R5"/>
      <c r="S5" s="7"/>
      <c r="T5" s="15"/>
    </row>
    <row r="6" spans="1:20" x14ac:dyDescent="0.25">
      <c r="A6" s="63"/>
      <c r="B6" s="53"/>
      <c r="C6" s="54"/>
      <c r="D6" s="55"/>
      <c r="E6" s="49"/>
      <c r="F6" s="1"/>
      <c r="G6" s="1"/>
      <c r="H6" s="1"/>
      <c r="I6" s="10"/>
      <c r="J6" s="49"/>
      <c r="K6" s="47"/>
      <c r="M6" s="13"/>
      <c r="N6" s="6"/>
      <c r="O6" s="19"/>
      <c r="P6" s="6"/>
      <c r="Q6"/>
      <c r="R6"/>
      <c r="S6" s="7"/>
      <c r="T6" s="15"/>
    </row>
    <row r="7" spans="1:20" x14ac:dyDescent="0.25">
      <c r="A7" s="63" t="s">
        <v>6970</v>
      </c>
      <c r="B7" s="53"/>
      <c r="C7" s="54"/>
      <c r="D7" s="55"/>
      <c r="E7" s="49"/>
      <c r="F7" s="1">
        <v>0.8</v>
      </c>
      <c r="G7" s="1">
        <v>0.7</v>
      </c>
      <c r="H7" s="1"/>
      <c r="I7" s="10">
        <v>-0.6</v>
      </c>
      <c r="J7" s="49">
        <v>-0.5</v>
      </c>
      <c r="K7" s="47"/>
      <c r="M7" s="13"/>
      <c r="N7" s="6"/>
      <c r="O7" s="19"/>
      <c r="P7" s="6"/>
      <c r="Q7"/>
      <c r="R7"/>
      <c r="S7" s="7"/>
      <c r="T7" s="15"/>
    </row>
    <row r="8" spans="1:20" s="28" customFormat="1" ht="37.5" customHeight="1" x14ac:dyDescent="0.25">
      <c r="A8" s="29" t="s">
        <v>4324</v>
      </c>
      <c r="B8" s="27" t="s">
        <v>0</v>
      </c>
      <c r="C8" s="30" t="s">
        <v>424</v>
      </c>
      <c r="D8" s="26" t="s">
        <v>8860</v>
      </c>
      <c r="E8" s="27" t="s">
        <v>4322</v>
      </c>
      <c r="F8" s="30" t="s">
        <v>4325</v>
      </c>
      <c r="G8" s="28" t="s">
        <v>6737</v>
      </c>
      <c r="H8" s="30" t="s">
        <v>2289</v>
      </c>
      <c r="I8" s="26" t="s">
        <v>4326</v>
      </c>
      <c r="J8" s="32" t="s">
        <v>4328</v>
      </c>
      <c r="K8" s="26" t="s">
        <v>4327</v>
      </c>
      <c r="L8" s="32" t="s">
        <v>1</v>
      </c>
      <c r="M8" s="29" t="s">
        <v>2</v>
      </c>
      <c r="N8" s="27" t="s">
        <v>414</v>
      </c>
      <c r="O8" s="26" t="s">
        <v>2271</v>
      </c>
      <c r="P8" s="32" t="s">
        <v>421</v>
      </c>
      <c r="Q8" s="28" t="s">
        <v>422</v>
      </c>
      <c r="R8" s="28" t="s">
        <v>8794</v>
      </c>
      <c r="S8" s="29" t="s">
        <v>423</v>
      </c>
      <c r="T8" s="33" t="s">
        <v>440</v>
      </c>
    </row>
    <row r="9" spans="1:20" s="59" customFormat="1" ht="16.5" customHeight="1" x14ac:dyDescent="0.25">
      <c r="A9" s="18" t="s">
        <v>7230</v>
      </c>
      <c r="B9" s="20" t="s">
        <v>7746</v>
      </c>
      <c r="C9" s="4" t="s">
        <v>8796</v>
      </c>
      <c r="D9" s="4" t="s">
        <v>8909</v>
      </c>
      <c r="E9" s="12" t="s">
        <v>406</v>
      </c>
      <c r="F9" s="75" t="s">
        <v>7787</v>
      </c>
      <c r="G9" s="3">
        <v>4</v>
      </c>
      <c r="H9" s="3" t="s">
        <v>6736</v>
      </c>
      <c r="I9" s="13" t="s">
        <v>7793</v>
      </c>
      <c r="J9" s="72">
        <v>1.2</v>
      </c>
      <c r="K9" s="14"/>
      <c r="L9" s="9">
        <v>12.79</v>
      </c>
      <c r="M9" s="3">
        <v>24.84</v>
      </c>
      <c r="N9" s="17" t="s">
        <v>8307</v>
      </c>
      <c r="O9" s="18" t="s">
        <v>8748</v>
      </c>
      <c r="P9" s="44">
        <v>1</v>
      </c>
      <c r="Q9" s="39">
        <v>1</v>
      </c>
      <c r="R9" s="39">
        <v>1</v>
      </c>
      <c r="S9" s="40">
        <v>1</v>
      </c>
      <c r="T9" s="45" cm="1">
        <f t="array" ref="T9">SUMPRODUCT(P9:S9 * P$3:S$3) / SUM(P$3:S$3)</f>
        <v>1</v>
      </c>
    </row>
    <row r="10" spans="1:20" ht="16.5" customHeight="1" x14ac:dyDescent="0.25">
      <c r="A10" s="5" t="s">
        <v>7230</v>
      </c>
      <c r="B10" s="16" t="s">
        <v>7746</v>
      </c>
      <c r="C10" s="4" t="s">
        <v>8796</v>
      </c>
      <c r="D10" s="4" t="s">
        <v>8909</v>
      </c>
      <c r="E10" s="12" t="s">
        <v>406</v>
      </c>
      <c r="F10" s="75" t="s">
        <v>7787</v>
      </c>
      <c r="G10" s="3">
        <v>4</v>
      </c>
      <c r="H10" s="3" t="s">
        <v>6736</v>
      </c>
      <c r="I10" s="68" t="s">
        <v>7793</v>
      </c>
      <c r="J10" s="72">
        <v>1.2</v>
      </c>
      <c r="L10" s="9">
        <v>12.79</v>
      </c>
      <c r="M10" s="3">
        <v>24.84</v>
      </c>
      <c r="N10" s="66" t="s">
        <v>8307</v>
      </c>
      <c r="O10" s="5" t="s">
        <v>8748</v>
      </c>
      <c r="P10" s="49">
        <f t="shared" ref="P10:P73" si="0">(((F10/F$9)^F$7 * F$2 + (I10/I$9)^I$7 * I$2 + (J10/J$9)^J$7 * J$2) * (1+M$3*(MIN(H10,M$2)-1)+M$4*(H10-MIN(H10,M$2))) + (G10/G$9)^G$7 * G$2)  * P$9</f>
        <v>1.0490000000000002</v>
      </c>
      <c r="Q10" s="1">
        <f t="shared" ref="Q10:Q73" si="1">(((F10/F$9)^F$7 * F$3 + (I10/I$9)^I$7 * I$3 + (J10/J$9)^J$7 * J$3) * (1+M$3*(MIN(H10,M$2)-1)+M$4*(H10-MIN(H10,M$2))) + (G10/G$9)^G$7 * G$3)  * P$9</f>
        <v>1.0350000000000001</v>
      </c>
      <c r="R10" s="1">
        <f t="shared" ref="R10:R14" si="2">(((F10/F$9)^F$7 * F$4 + (I10/I$9)^I$7 * I$4 + (J10/J$9)^J$7 * J$4) * (1+M$3*(MIN(H10,M$2)-1)+M$4*(H10-MIN(H10,M$2))) + (G10/G$9)^G$7 * G$4)  * P$9</f>
        <v>1.0315000000000001</v>
      </c>
      <c r="S10" s="10">
        <f t="shared" ref="S10:S73" si="3">(((F10/F$9)^F$7 * F$5 + (I10/I$9)^I$7 * I$5 + (J10/J$9)^J$7 * J$5) * (1+M$3*(MIN(H10,M$2)-1)+M$4*(H10-MIN(H10,M$2))) + (G10/G$9)^G$7 * G$5)  * P$9</f>
        <v>1.042</v>
      </c>
      <c r="T10" s="45" cm="1">
        <f t="array" ref="T10">SUMPRODUCT(P10:S10 * P$3:S$3) / SUM(P$3:S$3)</f>
        <v>1.0393076923076925</v>
      </c>
    </row>
    <row r="11" spans="1:20" ht="16.5" customHeight="1" x14ac:dyDescent="0.25">
      <c r="A11" s="5" t="s">
        <v>7141</v>
      </c>
      <c r="B11" s="16" t="s">
        <v>7526</v>
      </c>
      <c r="C11" s="4" t="s">
        <v>8797</v>
      </c>
      <c r="D11" s="4" t="s">
        <v>8909</v>
      </c>
      <c r="E11" s="12" t="s">
        <v>406</v>
      </c>
      <c r="F11" s="75" t="s">
        <v>7787</v>
      </c>
      <c r="G11" s="3">
        <v>4</v>
      </c>
      <c r="H11" s="3" t="s">
        <v>6736</v>
      </c>
      <c r="I11" s="68" t="s">
        <v>7793</v>
      </c>
      <c r="J11" s="72">
        <v>1.2</v>
      </c>
      <c r="L11" s="9">
        <v>8.69</v>
      </c>
      <c r="M11" s="3">
        <v>24.9</v>
      </c>
      <c r="N11" s="66" t="s">
        <v>8087</v>
      </c>
      <c r="O11" s="5" t="s">
        <v>8565</v>
      </c>
      <c r="P11" s="49">
        <f t="shared" si="0"/>
        <v>1.0490000000000002</v>
      </c>
      <c r="Q11" s="1">
        <f t="shared" si="1"/>
        <v>1.0350000000000001</v>
      </c>
      <c r="R11" s="1">
        <f t="shared" si="2"/>
        <v>1.0315000000000001</v>
      </c>
      <c r="S11" s="10">
        <f t="shared" si="3"/>
        <v>1.042</v>
      </c>
      <c r="T11" s="45" cm="1">
        <f t="array" ref="T11">SUMPRODUCT(P11:S11 * P$3:S$3) / SUM(P$3:S$3)</f>
        <v>1.0393076923076925</v>
      </c>
    </row>
    <row r="12" spans="1:20" ht="16.5" customHeight="1" x14ac:dyDescent="0.25">
      <c r="A12" s="5" t="s">
        <v>7157</v>
      </c>
      <c r="B12" s="16" t="s">
        <v>7544</v>
      </c>
      <c r="C12" s="4" t="s">
        <v>8797</v>
      </c>
      <c r="D12" s="4" t="s">
        <v>8910</v>
      </c>
      <c r="E12" s="12" t="s">
        <v>406</v>
      </c>
      <c r="F12" s="75" t="s">
        <v>7787</v>
      </c>
      <c r="G12" s="3">
        <v>4</v>
      </c>
      <c r="H12" s="3" t="s">
        <v>404</v>
      </c>
      <c r="I12" s="68" t="s">
        <v>7793</v>
      </c>
      <c r="J12" s="72">
        <v>1.2</v>
      </c>
      <c r="L12" s="9">
        <v>18.29</v>
      </c>
      <c r="M12" s="3">
        <v>44.71</v>
      </c>
      <c r="N12" s="66" t="s">
        <v>8105</v>
      </c>
      <c r="O12" s="5" t="s">
        <v>8582</v>
      </c>
      <c r="P12" s="49">
        <f t="shared" si="0"/>
        <v>1.07</v>
      </c>
      <c r="Q12" s="1">
        <f t="shared" si="1"/>
        <v>1.05</v>
      </c>
      <c r="R12" s="1">
        <f t="shared" si="2"/>
        <v>1.0449999999999999</v>
      </c>
      <c r="S12" s="10">
        <f t="shared" si="3"/>
        <v>1.06</v>
      </c>
      <c r="T12" s="45" cm="1">
        <f t="array" ref="T12">SUMPRODUCT(P12:S12 * P$3:S$3) / SUM(P$3:S$3)</f>
        <v>1.0561538461538462</v>
      </c>
    </row>
    <row r="13" spans="1:20" ht="16.5" customHeight="1" x14ac:dyDescent="0.25">
      <c r="A13" s="5" t="s">
        <v>7135</v>
      </c>
      <c r="B13" s="16" t="s">
        <v>7519</v>
      </c>
      <c r="C13" s="4" t="s">
        <v>8797</v>
      </c>
      <c r="D13" s="4" t="s">
        <v>8910</v>
      </c>
      <c r="E13" s="12" t="s">
        <v>406</v>
      </c>
      <c r="F13" s="75" t="s">
        <v>7787</v>
      </c>
      <c r="G13" s="3">
        <v>4</v>
      </c>
      <c r="H13" s="3" t="s">
        <v>404</v>
      </c>
      <c r="I13" s="68" t="s">
        <v>7793</v>
      </c>
      <c r="J13" s="72">
        <v>1.2</v>
      </c>
      <c r="L13" s="9">
        <v>18.79</v>
      </c>
      <c r="M13" s="3">
        <v>34.9</v>
      </c>
      <c r="N13" s="66" t="s">
        <v>8080</v>
      </c>
      <c r="O13" s="5" t="s">
        <v>8558</v>
      </c>
      <c r="P13" s="49">
        <f t="shared" si="0"/>
        <v>1.07</v>
      </c>
      <c r="Q13" s="1">
        <f t="shared" si="1"/>
        <v>1.05</v>
      </c>
      <c r="R13" s="1">
        <f t="shared" si="2"/>
        <v>1.0449999999999999</v>
      </c>
      <c r="S13" s="10">
        <f t="shared" si="3"/>
        <v>1.06</v>
      </c>
      <c r="T13" s="45" cm="1">
        <f t="array" ref="T13">SUMPRODUCT(P13:S13 * P$3:S$3) / SUM(P$3:S$3)</f>
        <v>1.0561538461538462</v>
      </c>
    </row>
    <row r="14" spans="1:20" ht="16.5" customHeight="1" x14ac:dyDescent="0.25">
      <c r="A14" s="5" t="s">
        <v>7228</v>
      </c>
      <c r="B14" s="16" t="s">
        <v>7744</v>
      </c>
      <c r="C14" s="4" t="s">
        <v>8796</v>
      </c>
      <c r="D14" s="4" t="s">
        <v>8911</v>
      </c>
      <c r="E14" s="12" t="s">
        <v>406</v>
      </c>
      <c r="F14" s="75" t="s">
        <v>7787</v>
      </c>
      <c r="G14" s="3">
        <v>8</v>
      </c>
      <c r="H14" s="3" t="s">
        <v>6736</v>
      </c>
      <c r="I14" s="68" t="s">
        <v>7793</v>
      </c>
      <c r="J14" s="72">
        <v>1.2</v>
      </c>
      <c r="L14" s="9">
        <v>19.899999999999999</v>
      </c>
      <c r="M14" s="3">
        <v>37.380000000000003</v>
      </c>
      <c r="N14" s="66" t="s">
        <v>8305</v>
      </c>
      <c r="O14" s="5" t="s">
        <v>8746</v>
      </c>
      <c r="P14" s="49">
        <f t="shared" si="0"/>
        <v>1.2363514378137412</v>
      </c>
      <c r="Q14" s="1">
        <f t="shared" si="1"/>
        <v>1.3472523963562355</v>
      </c>
      <c r="R14" s="1">
        <f t="shared" si="2"/>
        <v>1.3749776359918591</v>
      </c>
      <c r="S14" s="10">
        <f t="shared" si="3"/>
        <v>1.2918019170849884</v>
      </c>
      <c r="T14" s="45" cm="1">
        <f t="array" ref="T14">SUMPRODUCT(P14:S14 * P$3:S$3) / SUM(P$3:S$3)</f>
        <v>1.3131290244970066</v>
      </c>
    </row>
    <row r="15" spans="1:20" ht="16.5" customHeight="1" x14ac:dyDescent="0.25">
      <c r="A15" s="5" t="s">
        <v>7168</v>
      </c>
      <c r="B15" s="16" t="s">
        <v>7556</v>
      </c>
      <c r="C15" s="4" t="s">
        <v>8797</v>
      </c>
      <c r="D15" s="4" t="s">
        <v>8911</v>
      </c>
      <c r="E15" s="12" t="s">
        <v>406</v>
      </c>
      <c r="F15" s="75" t="s">
        <v>7787</v>
      </c>
      <c r="G15" s="3">
        <v>8</v>
      </c>
      <c r="H15" s="3" t="s">
        <v>6736</v>
      </c>
      <c r="I15" s="68" t="s">
        <v>7793</v>
      </c>
      <c r="J15" s="72">
        <v>1.2</v>
      </c>
      <c r="K15" s="14" t="s">
        <v>450</v>
      </c>
      <c r="L15" s="9">
        <v>11.99</v>
      </c>
      <c r="M15" s="3">
        <v>37.9</v>
      </c>
      <c r="N15" s="66" t="s">
        <v>8117</v>
      </c>
      <c r="O15" s="5" t="s">
        <v>8594</v>
      </c>
      <c r="P15" s="49">
        <f t="shared" si="0"/>
        <v>1.2363514378137412</v>
      </c>
      <c r="Q15" s="1">
        <f t="shared" si="1"/>
        <v>1.3472523963562355</v>
      </c>
      <c r="R15" s="1">
        <f>(((F15/F$9)^F$7 * F$4 + (I15/I$9)^I$7 * I$4 + (J15/J$9)^J$7 * J$4) * (1+M$3*(MIN(H15,M$2)-1)+M$4*(H15-MIN(H15,M$2))) + (G15/G$9)^G$7 * G$4)  * P$9</f>
        <v>1.3749776359918591</v>
      </c>
      <c r="S15" s="10">
        <f t="shared" si="3"/>
        <v>1.2918019170849884</v>
      </c>
      <c r="T15" s="45" cm="1">
        <f t="array" ref="T15">SUMPRODUCT(P15:S15 * P$3:S$3) / SUM(P$3:S$3)</f>
        <v>1.3131290244970066</v>
      </c>
    </row>
    <row r="16" spans="1:20" ht="16.5" customHeight="1" x14ac:dyDescent="0.25">
      <c r="A16" s="5" t="s">
        <v>7139</v>
      </c>
      <c r="B16" s="16" t="s">
        <v>7524</v>
      </c>
      <c r="C16" s="4" t="s">
        <v>8797</v>
      </c>
      <c r="D16" s="4" t="s">
        <v>8911</v>
      </c>
      <c r="E16" s="12" t="s">
        <v>406</v>
      </c>
      <c r="F16" s="75" t="s">
        <v>7787</v>
      </c>
      <c r="G16" s="3">
        <v>8</v>
      </c>
      <c r="H16" s="3" t="s">
        <v>6736</v>
      </c>
      <c r="I16" s="68" t="s">
        <v>7793</v>
      </c>
      <c r="J16" s="72">
        <v>1.2</v>
      </c>
      <c r="L16" s="9">
        <v>11.79</v>
      </c>
      <c r="M16" s="3">
        <v>38.9</v>
      </c>
      <c r="N16" s="66" t="s">
        <v>8085</v>
      </c>
      <c r="O16" s="5" t="s">
        <v>8563</v>
      </c>
      <c r="P16" s="49">
        <f t="shared" si="0"/>
        <v>1.2363514378137412</v>
      </c>
      <c r="Q16" s="1">
        <f t="shared" si="1"/>
        <v>1.3472523963562355</v>
      </c>
      <c r="R16" s="1">
        <f t="shared" ref="R16:R79" si="4">(((F16/F$9)^F$7 * F$4 + (I16/I$9)^I$7 * I$4 + (J16/J$9)^J$7 * J$4) * (1+M$3*(MIN(H16,M$2)-1)+M$4*(H16-MIN(H16,M$2))) + (G16/G$9)^G$7 * G$4)  * P$9</f>
        <v>1.3749776359918591</v>
      </c>
      <c r="S16" s="10">
        <f t="shared" si="3"/>
        <v>1.2918019170849884</v>
      </c>
      <c r="T16" s="45" cm="1">
        <f t="array" ref="T16">SUMPRODUCT(P16:S16 * P$3:S$3) / SUM(P$3:S$3)</f>
        <v>1.3131290244970066</v>
      </c>
    </row>
    <row r="17" spans="1:20" ht="16.5" customHeight="1" x14ac:dyDescent="0.25">
      <c r="A17" s="5" t="s">
        <v>7211</v>
      </c>
      <c r="B17" s="16" t="s">
        <v>7715</v>
      </c>
      <c r="C17" s="4" t="s">
        <v>8796</v>
      </c>
      <c r="D17" s="4" t="s">
        <v>8912</v>
      </c>
      <c r="E17" s="12" t="s">
        <v>406</v>
      </c>
      <c r="F17" s="75" t="s">
        <v>7787</v>
      </c>
      <c r="G17" s="3">
        <v>8</v>
      </c>
      <c r="H17" s="3" t="s">
        <v>404</v>
      </c>
      <c r="I17" s="68" t="s">
        <v>7801</v>
      </c>
      <c r="J17" s="72">
        <v>1.2</v>
      </c>
      <c r="L17" s="9">
        <v>35.29</v>
      </c>
      <c r="M17" s="3">
        <v>58.38</v>
      </c>
      <c r="N17" s="66" t="s">
        <v>8276</v>
      </c>
      <c r="O17" s="5" t="s">
        <v>8717</v>
      </c>
      <c r="P17" s="49">
        <f t="shared" si="0"/>
        <v>1.2770753876999645</v>
      </c>
      <c r="Q17" s="1">
        <f t="shared" si="1"/>
        <v>1.3721143712993471</v>
      </c>
      <c r="R17" s="1">
        <f t="shared" si="4"/>
        <v>1.3983396109349708</v>
      </c>
      <c r="S17" s="10">
        <f t="shared" si="3"/>
        <v>1.324594879499656</v>
      </c>
      <c r="T17" s="45" cm="1">
        <f t="array" ref="T17">SUMPRODUCT(P17:S17 * P$3:S$3) / SUM(P$3:S$3)</f>
        <v>1.3432509138435029</v>
      </c>
    </row>
    <row r="18" spans="1:20" ht="16.5" customHeight="1" x14ac:dyDescent="0.25">
      <c r="A18" s="5" t="s">
        <v>7155</v>
      </c>
      <c r="B18" s="16" t="s">
        <v>7541</v>
      </c>
      <c r="C18" s="4" t="s">
        <v>8797</v>
      </c>
      <c r="D18" s="4" t="s">
        <v>8912</v>
      </c>
      <c r="E18" s="12" t="s">
        <v>406</v>
      </c>
      <c r="F18" s="75" t="s">
        <v>7787</v>
      </c>
      <c r="G18" s="3">
        <v>8</v>
      </c>
      <c r="H18" s="3" t="s">
        <v>404</v>
      </c>
      <c r="I18" s="68" t="s">
        <v>7793</v>
      </c>
      <c r="J18" s="72">
        <v>1.2</v>
      </c>
      <c r="L18" s="9">
        <v>23.79</v>
      </c>
      <c r="M18" s="3">
        <v>40.9</v>
      </c>
      <c r="N18" s="66" t="s">
        <v>8102</v>
      </c>
      <c r="O18" s="5" t="s">
        <v>8579</v>
      </c>
      <c r="P18" s="49">
        <f t="shared" si="0"/>
        <v>1.2573514378137414</v>
      </c>
      <c r="Q18" s="1">
        <f t="shared" si="1"/>
        <v>1.3622523963562356</v>
      </c>
      <c r="R18" s="1">
        <f t="shared" si="4"/>
        <v>1.3884776359918591</v>
      </c>
      <c r="S18" s="10">
        <f t="shared" si="3"/>
        <v>1.3098019170849886</v>
      </c>
      <c r="T18" s="45" cm="1">
        <f t="array" ref="T18">SUMPRODUCT(P18:S18 * P$3:S$3) / SUM(P$3:S$3)</f>
        <v>1.3299751783431606</v>
      </c>
    </row>
    <row r="19" spans="1:20" ht="16.5" customHeight="1" x14ac:dyDescent="0.25">
      <c r="A19" s="5" t="s">
        <v>7142</v>
      </c>
      <c r="B19" s="16" t="s">
        <v>7527</v>
      </c>
      <c r="C19" s="4" t="s">
        <v>8797</v>
      </c>
      <c r="D19" s="4" t="s">
        <v>8912</v>
      </c>
      <c r="E19" s="12" t="s">
        <v>406</v>
      </c>
      <c r="F19" s="75" t="s">
        <v>7787</v>
      </c>
      <c r="G19" s="3">
        <v>8</v>
      </c>
      <c r="H19" s="3" t="s">
        <v>404</v>
      </c>
      <c r="I19" s="68" t="s">
        <v>7793</v>
      </c>
      <c r="J19" s="72">
        <v>1.2</v>
      </c>
      <c r="L19" s="9">
        <v>30.29</v>
      </c>
      <c r="M19" s="3">
        <v>44.73</v>
      </c>
      <c r="N19" s="66" t="s">
        <v>8088</v>
      </c>
      <c r="O19" s="5" t="s">
        <v>8566</v>
      </c>
      <c r="P19" s="49">
        <f t="shared" si="0"/>
        <v>1.2573514378137414</v>
      </c>
      <c r="Q19" s="1">
        <f t="shared" si="1"/>
        <v>1.3622523963562356</v>
      </c>
      <c r="R19" s="1">
        <f t="shared" si="4"/>
        <v>1.3884776359918591</v>
      </c>
      <c r="S19" s="10">
        <f t="shared" si="3"/>
        <v>1.3098019170849886</v>
      </c>
      <c r="T19" s="45" cm="1">
        <f t="array" ref="T19">SUMPRODUCT(P19:S19 * P$3:S$3) / SUM(P$3:S$3)</f>
        <v>1.3299751783431606</v>
      </c>
    </row>
    <row r="20" spans="1:20" ht="16.5" customHeight="1" x14ac:dyDescent="0.25">
      <c r="A20" s="5" t="s">
        <v>7134</v>
      </c>
      <c r="B20" s="16" t="s">
        <v>7518</v>
      </c>
      <c r="C20" s="4" t="s">
        <v>8797</v>
      </c>
      <c r="D20" s="4" t="s">
        <v>8912</v>
      </c>
      <c r="E20" s="12" t="s">
        <v>406</v>
      </c>
      <c r="F20" s="75" t="s">
        <v>7787</v>
      </c>
      <c r="G20" s="3">
        <v>8</v>
      </c>
      <c r="H20" s="3" t="s">
        <v>404</v>
      </c>
      <c r="I20" s="68" t="s">
        <v>7793</v>
      </c>
      <c r="J20" s="72">
        <v>1.2</v>
      </c>
      <c r="L20" s="9">
        <v>22.79</v>
      </c>
      <c r="M20" s="3">
        <v>55.69</v>
      </c>
      <c r="N20" s="66" t="s">
        <v>8079</v>
      </c>
      <c r="O20" s="5" t="s">
        <v>8557</v>
      </c>
      <c r="P20" s="49">
        <f t="shared" si="0"/>
        <v>1.2573514378137414</v>
      </c>
      <c r="Q20" s="1">
        <f t="shared" si="1"/>
        <v>1.3622523963562356</v>
      </c>
      <c r="R20" s="1">
        <f t="shared" si="4"/>
        <v>1.3884776359918591</v>
      </c>
      <c r="S20" s="10">
        <f t="shared" si="3"/>
        <v>1.3098019170849886</v>
      </c>
      <c r="T20" s="45" cm="1">
        <f t="array" ref="T20">SUMPRODUCT(P20:S20 * P$3:S$3) / SUM(P$3:S$3)</f>
        <v>1.3299751783431606</v>
      </c>
    </row>
    <row r="21" spans="1:20" ht="16.5" customHeight="1" x14ac:dyDescent="0.25">
      <c r="A21" s="5" t="s">
        <v>7128</v>
      </c>
      <c r="B21" s="16" t="s">
        <v>7511</v>
      </c>
      <c r="C21" s="4" t="s">
        <v>8797</v>
      </c>
      <c r="D21" s="4" t="s">
        <v>8912</v>
      </c>
      <c r="E21" s="12" t="s">
        <v>406</v>
      </c>
      <c r="F21" s="75" t="s">
        <v>7787</v>
      </c>
      <c r="G21" s="3">
        <v>8</v>
      </c>
      <c r="H21" s="3" t="s">
        <v>404</v>
      </c>
      <c r="I21" s="68" t="s">
        <v>7793</v>
      </c>
      <c r="J21" s="72">
        <v>1.2</v>
      </c>
      <c r="L21" s="9">
        <v>23.49</v>
      </c>
      <c r="M21" s="3">
        <v>50.95</v>
      </c>
      <c r="N21" s="66" t="s">
        <v>8072</v>
      </c>
      <c r="O21" s="5" t="s">
        <v>8550</v>
      </c>
      <c r="P21" s="49">
        <f t="shared" si="0"/>
        <v>1.2573514378137414</v>
      </c>
      <c r="Q21" s="1">
        <f t="shared" si="1"/>
        <v>1.3622523963562356</v>
      </c>
      <c r="R21" s="1">
        <f t="shared" si="4"/>
        <v>1.3884776359918591</v>
      </c>
      <c r="S21" s="10">
        <f t="shared" si="3"/>
        <v>1.3098019170849886</v>
      </c>
      <c r="T21" s="45" cm="1">
        <f t="array" ref="T21">SUMPRODUCT(P21:S21 * P$3:S$3) / SUM(P$3:S$3)</f>
        <v>1.3299751783431606</v>
      </c>
    </row>
    <row r="22" spans="1:20" ht="16.5" customHeight="1" x14ac:dyDescent="0.25">
      <c r="A22" s="5" t="s">
        <v>7225</v>
      </c>
      <c r="B22" s="16" t="s">
        <v>7741</v>
      </c>
      <c r="C22" s="4" t="s">
        <v>8796</v>
      </c>
      <c r="D22" s="4" t="s">
        <v>8913</v>
      </c>
      <c r="E22" s="12" t="s">
        <v>406</v>
      </c>
      <c r="F22" s="75" t="s">
        <v>7787</v>
      </c>
      <c r="G22" s="3">
        <v>16</v>
      </c>
      <c r="H22" s="3" t="s">
        <v>6736</v>
      </c>
      <c r="I22" s="68" t="s">
        <v>7793</v>
      </c>
      <c r="J22" s="72">
        <v>1.2</v>
      </c>
      <c r="K22" s="14" t="s">
        <v>450</v>
      </c>
      <c r="L22" s="9">
        <v>31.5</v>
      </c>
      <c r="M22" s="3">
        <v>139.9</v>
      </c>
      <c r="N22" s="66" t="s">
        <v>8302</v>
      </c>
      <c r="O22" s="5" t="s">
        <v>8743</v>
      </c>
      <c r="P22" s="49">
        <f t="shared" si="0"/>
        <v>1.5407047464637365</v>
      </c>
      <c r="Q22" s="1">
        <f t="shared" si="1"/>
        <v>1.8545079107728943</v>
      </c>
      <c r="R22" s="1">
        <f t="shared" si="4"/>
        <v>1.9329587018501837</v>
      </c>
      <c r="S22" s="10">
        <f t="shared" si="3"/>
        <v>1.6976063286183156</v>
      </c>
      <c r="T22" s="45" cm="1">
        <f t="array" ref="T22">SUMPRODUCT(P22:S22 * P$3:S$3) / SUM(P$3:S$3)</f>
        <v>1.7579530909854613</v>
      </c>
    </row>
    <row r="23" spans="1:20" ht="16.5" customHeight="1" x14ac:dyDescent="0.25">
      <c r="A23" s="5" t="s">
        <v>7162</v>
      </c>
      <c r="B23" s="16" t="s">
        <v>7549</v>
      </c>
      <c r="C23" s="4" t="s">
        <v>8797</v>
      </c>
      <c r="D23" s="4" t="s">
        <v>8913</v>
      </c>
      <c r="E23" s="12" t="s">
        <v>406</v>
      </c>
      <c r="F23" s="75" t="s">
        <v>7787</v>
      </c>
      <c r="G23" s="3">
        <v>16</v>
      </c>
      <c r="H23" s="3" t="s">
        <v>6736</v>
      </c>
      <c r="I23" s="68" t="s">
        <v>7793</v>
      </c>
      <c r="J23" s="72">
        <v>1.2</v>
      </c>
      <c r="L23" s="9">
        <v>22.79</v>
      </c>
      <c r="M23" s="3">
        <v>40.9</v>
      </c>
      <c r="N23" s="66" t="s">
        <v>8110</v>
      </c>
      <c r="O23" s="5" t="s">
        <v>8587</v>
      </c>
      <c r="P23" s="49">
        <f t="shared" si="0"/>
        <v>1.5407047464637365</v>
      </c>
      <c r="Q23" s="1">
        <f t="shared" si="1"/>
        <v>1.8545079107728943</v>
      </c>
      <c r="R23" s="1">
        <f t="shared" si="4"/>
        <v>1.9329587018501837</v>
      </c>
      <c r="S23" s="10">
        <f t="shared" si="3"/>
        <v>1.6976063286183156</v>
      </c>
      <c r="T23" s="45" cm="1">
        <f t="array" ref="T23">SUMPRODUCT(P23:S23 * P$3:S$3) / SUM(P$3:S$3)</f>
        <v>1.7579530909854613</v>
      </c>
    </row>
    <row r="24" spans="1:20" ht="16.5" customHeight="1" x14ac:dyDescent="0.25">
      <c r="A24" s="5" t="s">
        <v>7208</v>
      </c>
      <c r="B24" s="16" t="s">
        <v>7698</v>
      </c>
      <c r="C24" s="4" t="s">
        <v>8796</v>
      </c>
      <c r="D24" s="4" t="s">
        <v>8914</v>
      </c>
      <c r="E24" s="12" t="s">
        <v>406</v>
      </c>
      <c r="F24" s="75" t="s">
        <v>7787</v>
      </c>
      <c r="G24" s="3">
        <v>16</v>
      </c>
      <c r="H24" s="3" t="s">
        <v>404</v>
      </c>
      <c r="I24" s="68" t="s">
        <v>7801</v>
      </c>
      <c r="J24" s="72">
        <v>1.2</v>
      </c>
      <c r="K24" s="14" t="s">
        <v>450</v>
      </c>
      <c r="L24" s="9">
        <v>62.9</v>
      </c>
      <c r="M24" s="3">
        <v>91.9</v>
      </c>
      <c r="N24" s="66" t="s">
        <v>8259</v>
      </c>
      <c r="O24" s="5" t="s">
        <v>8704</v>
      </c>
      <c r="P24" s="49">
        <f t="shared" si="0"/>
        <v>1.5814286963499598</v>
      </c>
      <c r="Q24" s="1">
        <f t="shared" si="1"/>
        <v>1.8793698857160059</v>
      </c>
      <c r="R24" s="1">
        <f t="shared" si="4"/>
        <v>1.9563206767932955</v>
      </c>
      <c r="S24" s="10">
        <f t="shared" si="3"/>
        <v>1.7303992910329828</v>
      </c>
      <c r="T24" s="45" cm="1">
        <f t="array" ref="T24">SUMPRODUCT(P24:S24 * P$3:S$3) / SUM(P$3:S$3)</f>
        <v>1.7880749803319576</v>
      </c>
    </row>
    <row r="25" spans="1:20" ht="16.5" customHeight="1" x14ac:dyDescent="0.25">
      <c r="A25" s="5" t="s">
        <v>7169</v>
      </c>
      <c r="B25" s="16" t="s">
        <v>7557</v>
      </c>
      <c r="C25" s="4" t="s">
        <v>8797</v>
      </c>
      <c r="D25" s="4" t="s">
        <v>8915</v>
      </c>
      <c r="E25" s="12" t="s">
        <v>406</v>
      </c>
      <c r="F25" s="75" t="s">
        <v>7776</v>
      </c>
      <c r="G25" s="3">
        <v>4</v>
      </c>
      <c r="H25" s="3" t="s">
        <v>6736</v>
      </c>
      <c r="I25" s="68" t="s">
        <v>7793</v>
      </c>
      <c r="J25" s="72">
        <v>1.2</v>
      </c>
      <c r="L25" s="9">
        <v>10.49</v>
      </c>
      <c r="M25" s="3">
        <v>57</v>
      </c>
      <c r="N25" s="66" t="s">
        <v>8118</v>
      </c>
      <c r="O25" s="5" t="s">
        <v>8595</v>
      </c>
      <c r="P25" s="49">
        <f t="shared" si="0"/>
        <v>1.091348840802963</v>
      </c>
      <c r="Q25" s="1">
        <f t="shared" si="1"/>
        <v>1.0667616306022223</v>
      </c>
      <c r="R25" s="1">
        <f t="shared" si="4"/>
        <v>1.057968025501852</v>
      </c>
      <c r="S25" s="10">
        <f t="shared" si="3"/>
        <v>1.0790552357025927</v>
      </c>
      <c r="T25" s="45" cm="1">
        <f t="array" ref="T25">SUMPRODUCT(P25:S25 * P$3:S$3) / SUM(P$3:S$3)</f>
        <v>1.0739197256562678</v>
      </c>
    </row>
    <row r="26" spans="1:20" ht="16.5" customHeight="1" x14ac:dyDescent="0.25">
      <c r="A26" s="5" t="s">
        <v>7140</v>
      </c>
      <c r="B26" s="16" t="s">
        <v>7525</v>
      </c>
      <c r="C26" s="4" t="s">
        <v>8797</v>
      </c>
      <c r="D26" s="4" t="s">
        <v>8915</v>
      </c>
      <c r="E26" s="12" t="s">
        <v>406</v>
      </c>
      <c r="F26" s="75" t="s">
        <v>7776</v>
      </c>
      <c r="G26" s="3">
        <v>4</v>
      </c>
      <c r="H26" s="3" t="s">
        <v>6736</v>
      </c>
      <c r="I26" s="68" t="s">
        <v>7795</v>
      </c>
      <c r="J26" s="72">
        <v>1.2</v>
      </c>
      <c r="L26" s="9">
        <v>9.8800000000000008</v>
      </c>
      <c r="M26" s="3">
        <v>37.409999999999997</v>
      </c>
      <c r="N26" s="66" t="s">
        <v>8086</v>
      </c>
      <c r="O26" s="5" t="s">
        <v>8564</v>
      </c>
      <c r="P26" s="49">
        <f t="shared" si="0"/>
        <v>1.0758665138704175</v>
      </c>
      <c r="Q26" s="1">
        <f t="shared" si="1"/>
        <v>1.0590204671359496</v>
      </c>
      <c r="R26" s="1">
        <f t="shared" si="4"/>
        <v>1.0502268620355792</v>
      </c>
      <c r="S26" s="10">
        <f t="shared" si="3"/>
        <v>1.0674434905031835</v>
      </c>
      <c r="T26" s="45" cm="1">
        <f t="array" ref="T26">SUMPRODUCT(P26:S26 * P$3:S$3) / SUM(P$3:S$3)</f>
        <v>1.063498928682439</v>
      </c>
    </row>
    <row r="27" spans="1:20" ht="16.5" customHeight="1" x14ac:dyDescent="0.25">
      <c r="A27" s="5" t="s">
        <v>6988</v>
      </c>
      <c r="B27" s="16" t="s">
        <v>7260</v>
      </c>
      <c r="C27" s="4" t="s">
        <v>8798</v>
      </c>
      <c r="D27" s="4" t="s">
        <v>8915</v>
      </c>
      <c r="E27" s="12" t="s">
        <v>406</v>
      </c>
      <c r="F27" s="75" t="s">
        <v>7776</v>
      </c>
      <c r="G27" s="3">
        <v>4</v>
      </c>
      <c r="H27" s="3" t="s">
        <v>6736</v>
      </c>
      <c r="I27" s="68" t="s">
        <v>7793</v>
      </c>
      <c r="J27" s="72">
        <v>1.2</v>
      </c>
      <c r="K27" s="14" t="s">
        <v>450</v>
      </c>
      <c r="L27" s="9">
        <v>19.899999999999999</v>
      </c>
      <c r="M27" s="3">
        <v>19.899999999999999</v>
      </c>
      <c r="N27" s="66" t="s">
        <v>7821</v>
      </c>
      <c r="O27" s="5" t="s">
        <v>8343</v>
      </c>
      <c r="P27" s="49">
        <f t="shared" si="0"/>
        <v>1.091348840802963</v>
      </c>
      <c r="Q27" s="1">
        <f t="shared" si="1"/>
        <v>1.0667616306022223</v>
      </c>
      <c r="R27" s="1">
        <f t="shared" si="4"/>
        <v>1.057968025501852</v>
      </c>
      <c r="S27" s="10">
        <f t="shared" si="3"/>
        <v>1.0790552357025927</v>
      </c>
      <c r="T27" s="45" cm="1">
        <f t="array" ref="T27">SUMPRODUCT(P27:S27 * P$3:S$3) / SUM(P$3:S$3)</f>
        <v>1.0739197256562678</v>
      </c>
    </row>
    <row r="28" spans="1:20" ht="16.5" customHeight="1" x14ac:dyDescent="0.25">
      <c r="A28" s="5" t="s">
        <v>6988</v>
      </c>
      <c r="B28" s="16" t="s">
        <v>7261</v>
      </c>
      <c r="C28" s="4" t="s">
        <v>8798</v>
      </c>
      <c r="D28" s="4" t="s">
        <v>8915</v>
      </c>
      <c r="E28" s="12" t="s">
        <v>406</v>
      </c>
      <c r="F28" s="75" t="s">
        <v>7776</v>
      </c>
      <c r="G28" s="3">
        <v>4</v>
      </c>
      <c r="H28" s="3" t="s">
        <v>6736</v>
      </c>
      <c r="I28" s="68" t="s">
        <v>7793</v>
      </c>
      <c r="J28" s="72">
        <v>1.2</v>
      </c>
      <c r="K28" s="14" t="s">
        <v>450</v>
      </c>
      <c r="L28" s="9">
        <v>19.899999999999999</v>
      </c>
      <c r="M28" s="3">
        <v>19.899999999999999</v>
      </c>
      <c r="N28" s="66" t="s">
        <v>7822</v>
      </c>
      <c r="O28" s="5" t="s">
        <v>8343</v>
      </c>
      <c r="P28" s="49">
        <f t="shared" si="0"/>
        <v>1.091348840802963</v>
      </c>
      <c r="Q28" s="1">
        <f t="shared" si="1"/>
        <v>1.0667616306022223</v>
      </c>
      <c r="R28" s="1">
        <f t="shared" si="4"/>
        <v>1.057968025501852</v>
      </c>
      <c r="S28" s="10">
        <f t="shared" si="3"/>
        <v>1.0790552357025927</v>
      </c>
      <c r="T28" s="45" cm="1">
        <f t="array" ref="T28">SUMPRODUCT(P28:S28 * P$3:S$3) / SUM(P$3:S$3)</f>
        <v>1.0739197256562678</v>
      </c>
    </row>
    <row r="29" spans="1:20" ht="16.5" customHeight="1" x14ac:dyDescent="0.25">
      <c r="A29" s="5" t="s">
        <v>7214</v>
      </c>
      <c r="B29" s="16" t="s">
        <v>7718</v>
      </c>
      <c r="C29" s="4" t="s">
        <v>8796</v>
      </c>
      <c r="D29" s="4" t="s">
        <v>8916</v>
      </c>
      <c r="E29" s="12" t="s">
        <v>406</v>
      </c>
      <c r="F29" s="75" t="s">
        <v>7776</v>
      </c>
      <c r="G29" s="3">
        <v>4</v>
      </c>
      <c r="H29" s="3" t="s">
        <v>404</v>
      </c>
      <c r="I29" s="68" t="s">
        <v>260</v>
      </c>
      <c r="J29" s="72">
        <v>1.2</v>
      </c>
      <c r="L29" s="9">
        <v>26.99</v>
      </c>
      <c r="M29" s="3">
        <v>49.34</v>
      </c>
      <c r="N29" s="66" t="s">
        <v>8279</v>
      </c>
      <c r="O29" s="5" t="s">
        <v>8720</v>
      </c>
      <c r="P29" s="49">
        <f t="shared" si="0"/>
        <v>1.1051799408496488</v>
      </c>
      <c r="Q29" s="1">
        <f t="shared" si="1"/>
        <v>1.0784740182947448</v>
      </c>
      <c r="R29" s="1">
        <f t="shared" si="4"/>
        <v>1.0680319943597847</v>
      </c>
      <c r="S29" s="10">
        <f t="shared" si="3"/>
        <v>1.0918269795721969</v>
      </c>
      <c r="T29" s="45" cm="1">
        <f t="array" ref="T29">SUMPRODUCT(P29:S29 * P$3:S$3) / SUM(P$3:S$3)</f>
        <v>1.0861119108814488</v>
      </c>
    </row>
    <row r="30" spans="1:20" ht="16.5" customHeight="1" x14ac:dyDescent="0.25">
      <c r="A30" s="5" t="s">
        <v>7214</v>
      </c>
      <c r="B30" s="16" t="s">
        <v>7719</v>
      </c>
      <c r="C30" s="4" t="s">
        <v>8796</v>
      </c>
      <c r="D30" s="4" t="s">
        <v>8916</v>
      </c>
      <c r="E30" s="12" t="s">
        <v>406</v>
      </c>
      <c r="F30" s="75" t="s">
        <v>7776</v>
      </c>
      <c r="G30" s="3">
        <v>4</v>
      </c>
      <c r="H30" s="3" t="s">
        <v>404</v>
      </c>
      <c r="I30" s="68" t="s">
        <v>397</v>
      </c>
      <c r="J30" s="72">
        <v>1.2</v>
      </c>
      <c r="L30" s="9">
        <v>32.49</v>
      </c>
      <c r="M30" s="3">
        <v>41.49</v>
      </c>
      <c r="N30" s="66" t="s">
        <v>8280</v>
      </c>
      <c r="O30" s="5" t="s">
        <v>8721</v>
      </c>
      <c r="P30" s="49">
        <f t="shared" si="0"/>
        <v>1.1228343752888628</v>
      </c>
      <c r="Q30" s="1">
        <f t="shared" si="1"/>
        <v>1.0873012355143519</v>
      </c>
      <c r="R30" s="1">
        <f t="shared" si="4"/>
        <v>1.0768592115793916</v>
      </c>
      <c r="S30" s="10">
        <f t="shared" si="3"/>
        <v>1.1050678054016072</v>
      </c>
      <c r="T30" s="45" cm="1">
        <f t="array" ref="T30">SUMPRODUCT(P30:S30 * P$3:S$3) / SUM(P$3:S$3)</f>
        <v>1.097994703292458</v>
      </c>
    </row>
    <row r="31" spans="1:20" ht="16.5" customHeight="1" x14ac:dyDescent="0.25">
      <c r="A31" s="5" t="s">
        <v>7156</v>
      </c>
      <c r="B31" s="16" t="s">
        <v>7542</v>
      </c>
      <c r="C31" s="4" t="s">
        <v>8797</v>
      </c>
      <c r="D31" s="4" t="s">
        <v>8916</v>
      </c>
      <c r="E31" s="12" t="s">
        <v>406</v>
      </c>
      <c r="F31" s="75" t="s">
        <v>7776</v>
      </c>
      <c r="G31" s="3">
        <v>4</v>
      </c>
      <c r="H31" s="3" t="s">
        <v>404</v>
      </c>
      <c r="I31" s="68" t="s">
        <v>7795</v>
      </c>
      <c r="J31" s="72">
        <v>1.2</v>
      </c>
      <c r="L31" s="9">
        <v>18.350000000000001</v>
      </c>
      <c r="M31" s="3">
        <v>43.29</v>
      </c>
      <c r="N31" s="66" t="s">
        <v>8103</v>
      </c>
      <c r="O31" s="5" t="s">
        <v>8580</v>
      </c>
      <c r="P31" s="49">
        <f t="shared" si="0"/>
        <v>1.0976197806144479</v>
      </c>
      <c r="Q31" s="1">
        <f t="shared" si="1"/>
        <v>1.0746939381771443</v>
      </c>
      <c r="R31" s="1">
        <f t="shared" si="4"/>
        <v>1.0642519142421842</v>
      </c>
      <c r="S31" s="10">
        <f t="shared" si="3"/>
        <v>1.0861568593957962</v>
      </c>
      <c r="T31" s="45" cm="1">
        <f t="array" ref="T31">SUMPRODUCT(P31:S31 * P$3:S$3) / SUM(P$3:S$3)</f>
        <v>1.0810233414923711</v>
      </c>
    </row>
    <row r="32" spans="1:20" ht="16.5" customHeight="1" x14ac:dyDescent="0.25">
      <c r="A32" s="5" t="s">
        <v>7156</v>
      </c>
      <c r="B32" s="16" t="s">
        <v>7543</v>
      </c>
      <c r="C32" s="4" t="s">
        <v>8797</v>
      </c>
      <c r="D32" s="4" t="s">
        <v>8916</v>
      </c>
      <c r="E32" s="12" t="s">
        <v>406</v>
      </c>
      <c r="F32" s="75" t="s">
        <v>7776</v>
      </c>
      <c r="G32" s="3">
        <v>4</v>
      </c>
      <c r="H32" s="3" t="s">
        <v>404</v>
      </c>
      <c r="I32" s="68" t="s">
        <v>7793</v>
      </c>
      <c r="J32" s="72">
        <v>1.2</v>
      </c>
      <c r="L32" s="9">
        <v>21.29</v>
      </c>
      <c r="M32" s="3">
        <v>81.03</v>
      </c>
      <c r="N32" s="66" t="s">
        <v>8104</v>
      </c>
      <c r="O32" s="5" t="s">
        <v>8581</v>
      </c>
      <c r="P32" s="49">
        <f t="shared" si="0"/>
        <v>1.1135361914796815</v>
      </c>
      <c r="Q32" s="1">
        <f t="shared" si="1"/>
        <v>1.0826521436097614</v>
      </c>
      <c r="R32" s="1">
        <f t="shared" si="4"/>
        <v>1.0722101196748011</v>
      </c>
      <c r="S32" s="10">
        <f t="shared" si="3"/>
        <v>1.0980941675447213</v>
      </c>
      <c r="T32" s="45" cm="1">
        <f t="array" ref="T32">SUMPRODUCT(P32:S32 * P$3:S$3) / SUM(P$3:S$3)</f>
        <v>1.0917363103439706</v>
      </c>
    </row>
    <row r="33" spans="1:20" ht="16.5" customHeight="1" x14ac:dyDescent="0.25">
      <c r="A33" s="5" t="s">
        <v>7227</v>
      </c>
      <c r="B33" s="16" t="s">
        <v>7743</v>
      </c>
      <c r="C33" s="4" t="s">
        <v>8796</v>
      </c>
      <c r="D33" s="4" t="s">
        <v>8917</v>
      </c>
      <c r="E33" s="12" t="s">
        <v>406</v>
      </c>
      <c r="F33" s="75" t="s">
        <v>7776</v>
      </c>
      <c r="G33" s="3">
        <v>8</v>
      </c>
      <c r="H33" s="3" t="s">
        <v>6736</v>
      </c>
      <c r="I33" s="68" t="s">
        <v>260</v>
      </c>
      <c r="J33" s="72">
        <v>1.2</v>
      </c>
      <c r="L33" s="9">
        <v>19.899999999999999</v>
      </c>
      <c r="M33" s="3">
        <v>33.79</v>
      </c>
      <c r="N33" s="66" t="s">
        <v>8304</v>
      </c>
      <c r="O33" s="5" t="s">
        <v>8745</v>
      </c>
      <c r="P33" s="49">
        <f t="shared" si="0"/>
        <v>1.2705719257311268</v>
      </c>
      <c r="Q33" s="1">
        <f t="shared" si="1"/>
        <v>1.374949850515669</v>
      </c>
      <c r="R33" s="1">
        <f t="shared" si="4"/>
        <v>1.3973814850509223</v>
      </c>
      <c r="S33" s="10">
        <f t="shared" si="3"/>
        <v>1.3227608881233981</v>
      </c>
      <c r="T33" s="45" cm="1">
        <f t="array" ref="T33">SUMPRODUCT(P33:S33 * P$3:S$3) / SUM(P$3:S$3)</f>
        <v>1.3422700510956742</v>
      </c>
    </row>
    <row r="34" spans="1:20" ht="16.5" customHeight="1" x14ac:dyDescent="0.25">
      <c r="A34" s="5" t="s">
        <v>7222</v>
      </c>
      <c r="B34" s="16" t="s">
        <v>7732</v>
      </c>
      <c r="C34" s="4" t="s">
        <v>8796</v>
      </c>
      <c r="D34" s="4" t="s">
        <v>8917</v>
      </c>
      <c r="E34" s="12" t="s">
        <v>406</v>
      </c>
      <c r="F34" s="75" t="s">
        <v>7776</v>
      </c>
      <c r="G34" s="3">
        <v>8</v>
      </c>
      <c r="H34" s="3" t="s">
        <v>6736</v>
      </c>
      <c r="I34" s="68" t="s">
        <v>260</v>
      </c>
      <c r="J34" s="72">
        <v>1.2</v>
      </c>
      <c r="L34" s="9">
        <v>16.79</v>
      </c>
      <c r="M34" s="3">
        <v>93.9</v>
      </c>
      <c r="N34" s="66" t="s">
        <v>8293</v>
      </c>
      <c r="O34" s="5" t="s">
        <v>8734</v>
      </c>
      <c r="P34" s="49">
        <f t="shared" si="0"/>
        <v>1.2705719257311268</v>
      </c>
      <c r="Q34" s="1">
        <f t="shared" si="1"/>
        <v>1.374949850515669</v>
      </c>
      <c r="R34" s="1">
        <f t="shared" si="4"/>
        <v>1.3973814850509223</v>
      </c>
      <c r="S34" s="10">
        <f t="shared" si="3"/>
        <v>1.3227608881233981</v>
      </c>
      <c r="T34" s="45" cm="1">
        <f t="array" ref="T34">SUMPRODUCT(P34:S34 * P$3:S$3) / SUM(P$3:S$3)</f>
        <v>1.3422700510956742</v>
      </c>
    </row>
    <row r="35" spans="1:20" ht="16.5" customHeight="1" x14ac:dyDescent="0.25">
      <c r="A35" s="5" t="s">
        <v>7222</v>
      </c>
      <c r="B35" s="16" t="s">
        <v>7733</v>
      </c>
      <c r="C35" s="4" t="s">
        <v>8796</v>
      </c>
      <c r="D35" s="4" t="s">
        <v>8917</v>
      </c>
      <c r="E35" s="12" t="s">
        <v>406</v>
      </c>
      <c r="F35" s="75" t="s">
        <v>7776</v>
      </c>
      <c r="G35" s="3">
        <v>8</v>
      </c>
      <c r="H35" s="3" t="s">
        <v>6736</v>
      </c>
      <c r="I35" s="68" t="s">
        <v>397</v>
      </c>
      <c r="J35" s="72">
        <v>1.2</v>
      </c>
      <c r="L35" s="9">
        <v>18.899999999999999</v>
      </c>
      <c r="M35" s="3">
        <v>33.1</v>
      </c>
      <c r="N35" s="66" t="s">
        <v>8294</v>
      </c>
      <c r="O35" s="5" t="s">
        <v>8735</v>
      </c>
      <c r="P35" s="49">
        <f t="shared" si="0"/>
        <v>1.2877448755947261</v>
      </c>
      <c r="Q35" s="1">
        <f t="shared" si="1"/>
        <v>1.3835363254474686</v>
      </c>
      <c r="R35" s="1">
        <f t="shared" si="4"/>
        <v>1.4059679599827219</v>
      </c>
      <c r="S35" s="10">
        <f t="shared" si="3"/>
        <v>1.3356406005210975</v>
      </c>
      <c r="T35" s="45" cm="1">
        <f t="array" ref="T35">SUMPRODUCT(P35:S35 * P$3:S$3) / SUM(P$3:S$3)</f>
        <v>1.3538287673500198</v>
      </c>
    </row>
    <row r="36" spans="1:20" ht="16.5" customHeight="1" x14ac:dyDescent="0.25">
      <c r="A36" s="5" t="s">
        <v>7167</v>
      </c>
      <c r="B36" s="16" t="s">
        <v>7554</v>
      </c>
      <c r="C36" s="4" t="s">
        <v>8797</v>
      </c>
      <c r="D36" s="4" t="s">
        <v>8917</v>
      </c>
      <c r="E36" s="12" t="s">
        <v>406</v>
      </c>
      <c r="F36" s="75" t="s">
        <v>7776</v>
      </c>
      <c r="G36" s="3">
        <v>8</v>
      </c>
      <c r="H36" s="3" t="s">
        <v>6736</v>
      </c>
      <c r="I36" s="68" t="s">
        <v>7795</v>
      </c>
      <c r="J36" s="72">
        <v>1.2</v>
      </c>
      <c r="L36" s="9">
        <v>12.29</v>
      </c>
      <c r="M36" s="3">
        <v>41.7</v>
      </c>
      <c r="N36" s="66" t="s">
        <v>8115</v>
      </c>
      <c r="O36" s="5" t="s">
        <v>8592</v>
      </c>
      <c r="P36" s="49">
        <f t="shared" si="0"/>
        <v>1.2632179516841586</v>
      </c>
      <c r="Q36" s="1">
        <f t="shared" si="1"/>
        <v>1.3712728634921851</v>
      </c>
      <c r="R36" s="1">
        <f t="shared" si="4"/>
        <v>1.3937044980274385</v>
      </c>
      <c r="S36" s="10">
        <f t="shared" si="3"/>
        <v>1.3172454075881719</v>
      </c>
      <c r="T36" s="45" cm="1">
        <f t="array" ref="T36">SUMPRODUCT(P36:S36 * P$3:S$3) / SUM(P$3:S$3)</f>
        <v>1.3373202608717536</v>
      </c>
    </row>
    <row r="37" spans="1:20" ht="16.5" customHeight="1" x14ac:dyDescent="0.25">
      <c r="A37" s="5" t="s">
        <v>7167</v>
      </c>
      <c r="B37" s="16" t="s">
        <v>7555</v>
      </c>
      <c r="C37" s="4" t="s">
        <v>8797</v>
      </c>
      <c r="D37" s="4" t="s">
        <v>8917</v>
      </c>
      <c r="E37" s="12" t="s">
        <v>406</v>
      </c>
      <c r="F37" s="75" t="s">
        <v>7776</v>
      </c>
      <c r="G37" s="3">
        <v>8</v>
      </c>
      <c r="H37" s="3" t="s">
        <v>6736</v>
      </c>
      <c r="I37" s="68" t="s">
        <v>7793</v>
      </c>
      <c r="J37" s="72">
        <v>1.2</v>
      </c>
      <c r="L37" s="9">
        <v>12.79</v>
      </c>
      <c r="M37" s="3">
        <v>40.5</v>
      </c>
      <c r="N37" s="66" t="s">
        <v>8116</v>
      </c>
      <c r="O37" s="5" t="s">
        <v>8593</v>
      </c>
      <c r="P37" s="49">
        <f t="shared" si="0"/>
        <v>1.2787002786167041</v>
      </c>
      <c r="Q37" s="1">
        <f t="shared" si="1"/>
        <v>1.3790140269584579</v>
      </c>
      <c r="R37" s="1">
        <f t="shared" si="4"/>
        <v>1.4014456614937112</v>
      </c>
      <c r="S37" s="10">
        <f t="shared" si="3"/>
        <v>1.328857152787581</v>
      </c>
      <c r="T37" s="45" cm="1">
        <f t="array" ref="T37">SUMPRODUCT(P37:S37 * P$3:S$3) / SUM(P$3:S$3)</f>
        <v>1.3477410578455822</v>
      </c>
    </row>
    <row r="38" spans="1:20" ht="16.5" customHeight="1" x14ac:dyDescent="0.25">
      <c r="A38" s="5" t="s">
        <v>7138</v>
      </c>
      <c r="B38" s="16" t="s">
        <v>7522</v>
      </c>
      <c r="C38" s="4" t="s">
        <v>8797</v>
      </c>
      <c r="D38" s="4" t="s">
        <v>8917</v>
      </c>
      <c r="E38" s="12" t="s">
        <v>406</v>
      </c>
      <c r="F38" s="75" t="s">
        <v>7776</v>
      </c>
      <c r="G38" s="3">
        <v>8</v>
      </c>
      <c r="H38" s="3" t="s">
        <v>6736</v>
      </c>
      <c r="I38" s="68" t="s">
        <v>7795</v>
      </c>
      <c r="J38" s="72">
        <v>1.2</v>
      </c>
      <c r="L38" s="9">
        <v>12.49</v>
      </c>
      <c r="M38" s="3">
        <v>57</v>
      </c>
      <c r="N38" s="66" t="s">
        <v>8083</v>
      </c>
      <c r="O38" s="5" t="s">
        <v>8561</v>
      </c>
      <c r="P38" s="49">
        <f t="shared" si="0"/>
        <v>1.2632179516841586</v>
      </c>
      <c r="Q38" s="1">
        <f t="shared" si="1"/>
        <v>1.3712728634921851</v>
      </c>
      <c r="R38" s="1">
        <f t="shared" si="4"/>
        <v>1.3937044980274385</v>
      </c>
      <c r="S38" s="10">
        <f t="shared" si="3"/>
        <v>1.3172454075881719</v>
      </c>
      <c r="T38" s="45" cm="1">
        <f t="array" ref="T38">SUMPRODUCT(P38:S38 * P$3:S$3) / SUM(P$3:S$3)</f>
        <v>1.3373202608717536</v>
      </c>
    </row>
    <row r="39" spans="1:20" ht="16.5" customHeight="1" x14ac:dyDescent="0.25">
      <c r="A39" s="5" t="s">
        <v>7138</v>
      </c>
      <c r="B39" s="16" t="s">
        <v>7523</v>
      </c>
      <c r="C39" s="4" t="s">
        <v>8797</v>
      </c>
      <c r="D39" s="4" t="s">
        <v>8917</v>
      </c>
      <c r="E39" s="12" t="s">
        <v>406</v>
      </c>
      <c r="F39" s="75" t="s">
        <v>7776</v>
      </c>
      <c r="G39" s="3">
        <v>8</v>
      </c>
      <c r="H39" s="3" t="s">
        <v>6736</v>
      </c>
      <c r="I39" s="68" t="s">
        <v>7793</v>
      </c>
      <c r="J39" s="72">
        <v>1.2</v>
      </c>
      <c r="L39" s="9">
        <v>12.79</v>
      </c>
      <c r="M39" s="3">
        <v>31.86</v>
      </c>
      <c r="N39" s="66" t="s">
        <v>8084</v>
      </c>
      <c r="O39" s="5" t="s">
        <v>8562</v>
      </c>
      <c r="P39" s="49">
        <f t="shared" si="0"/>
        <v>1.2787002786167041</v>
      </c>
      <c r="Q39" s="1">
        <f t="shared" si="1"/>
        <v>1.3790140269584579</v>
      </c>
      <c r="R39" s="1">
        <f t="shared" si="4"/>
        <v>1.4014456614937112</v>
      </c>
      <c r="S39" s="10">
        <f t="shared" si="3"/>
        <v>1.328857152787581</v>
      </c>
      <c r="T39" s="45" cm="1">
        <f t="array" ref="T39">SUMPRODUCT(P39:S39 * P$3:S$3) / SUM(P$3:S$3)</f>
        <v>1.3477410578455822</v>
      </c>
    </row>
    <row r="40" spans="1:20" ht="16.5" customHeight="1" x14ac:dyDescent="0.25">
      <c r="A40" s="5" t="s">
        <v>7210</v>
      </c>
      <c r="B40" s="16" t="s">
        <v>7713</v>
      </c>
      <c r="C40" s="4" t="s">
        <v>8796</v>
      </c>
      <c r="D40" s="4" t="s">
        <v>8918</v>
      </c>
      <c r="E40" s="12" t="s">
        <v>406</v>
      </c>
      <c r="F40" s="75" t="s">
        <v>7776</v>
      </c>
      <c r="G40" s="3">
        <v>8</v>
      </c>
      <c r="H40" s="3" t="s">
        <v>404</v>
      </c>
      <c r="I40" s="68" t="s">
        <v>260</v>
      </c>
      <c r="J40" s="72">
        <v>1.2</v>
      </c>
      <c r="K40" s="14" t="s">
        <v>450</v>
      </c>
      <c r="L40" s="9">
        <v>36.9</v>
      </c>
      <c r="M40" s="3">
        <v>78</v>
      </c>
      <c r="N40" s="66" t="s">
        <v>8274</v>
      </c>
      <c r="O40" s="5" t="s">
        <v>8715</v>
      </c>
      <c r="P40" s="49">
        <f t="shared" si="0"/>
        <v>1.2925313786633901</v>
      </c>
      <c r="Q40" s="1">
        <f t="shared" si="1"/>
        <v>1.3907264146509803</v>
      </c>
      <c r="R40" s="1">
        <f t="shared" si="4"/>
        <v>1.4115096303516439</v>
      </c>
      <c r="S40" s="10">
        <f t="shared" si="3"/>
        <v>1.3416288966571854</v>
      </c>
      <c r="T40" s="45" cm="1">
        <f t="array" ref="T40">SUMPRODUCT(P40:S40 * P$3:S$3) / SUM(P$3:S$3)</f>
        <v>1.3599332430707629</v>
      </c>
    </row>
    <row r="41" spans="1:20" ht="16.5" customHeight="1" x14ac:dyDescent="0.25">
      <c r="A41" s="5" t="s">
        <v>7210</v>
      </c>
      <c r="B41" s="16" t="s">
        <v>7714</v>
      </c>
      <c r="C41" s="4" t="s">
        <v>8796</v>
      </c>
      <c r="D41" s="4" t="s">
        <v>8918</v>
      </c>
      <c r="E41" s="12" t="s">
        <v>406</v>
      </c>
      <c r="F41" s="75" t="s">
        <v>7776</v>
      </c>
      <c r="G41" s="3">
        <v>8</v>
      </c>
      <c r="H41" s="3" t="s">
        <v>404</v>
      </c>
      <c r="I41" s="68" t="s">
        <v>397</v>
      </c>
      <c r="J41" s="72">
        <v>1.2</v>
      </c>
      <c r="L41" s="9">
        <v>37.75</v>
      </c>
      <c r="M41" s="3">
        <v>80</v>
      </c>
      <c r="N41" s="66" t="s">
        <v>8275</v>
      </c>
      <c r="O41" s="5" t="s">
        <v>8716</v>
      </c>
      <c r="P41" s="49">
        <f t="shared" si="0"/>
        <v>1.3101858131026041</v>
      </c>
      <c r="Q41" s="1">
        <f t="shared" si="1"/>
        <v>1.3995536318705875</v>
      </c>
      <c r="R41" s="1">
        <f t="shared" si="4"/>
        <v>1.4203368475712508</v>
      </c>
      <c r="S41" s="10">
        <f t="shared" si="3"/>
        <v>1.3548697224865958</v>
      </c>
      <c r="T41" s="45" cm="1">
        <f t="array" ref="T41">SUMPRODUCT(P41:S41 * P$3:S$3) / SUM(P$3:S$3)</f>
        <v>1.3718160354817723</v>
      </c>
    </row>
    <row r="42" spans="1:20" ht="16.5" customHeight="1" x14ac:dyDescent="0.25">
      <c r="A42" s="5" t="s">
        <v>7154</v>
      </c>
      <c r="B42" s="16" t="s">
        <v>7539</v>
      </c>
      <c r="C42" s="4" t="s">
        <v>8797</v>
      </c>
      <c r="D42" s="4" t="s">
        <v>8918</v>
      </c>
      <c r="E42" s="12" t="s">
        <v>406</v>
      </c>
      <c r="F42" s="75" t="s">
        <v>7776</v>
      </c>
      <c r="G42" s="3">
        <v>8</v>
      </c>
      <c r="H42" s="3" t="s">
        <v>404</v>
      </c>
      <c r="I42" s="68" t="s">
        <v>7795</v>
      </c>
      <c r="J42" s="72">
        <v>1.2</v>
      </c>
      <c r="L42" s="9">
        <v>23.99</v>
      </c>
      <c r="M42" s="3">
        <v>53</v>
      </c>
      <c r="N42" s="66" t="s">
        <v>8100</v>
      </c>
      <c r="O42" s="5" t="s">
        <v>8577</v>
      </c>
      <c r="P42" s="49">
        <f t="shared" si="0"/>
        <v>1.2849712184281892</v>
      </c>
      <c r="Q42" s="1">
        <f t="shared" si="1"/>
        <v>1.3869463345333799</v>
      </c>
      <c r="R42" s="1">
        <f t="shared" si="4"/>
        <v>1.4077295502340434</v>
      </c>
      <c r="S42" s="10">
        <f t="shared" si="3"/>
        <v>1.3359587764807848</v>
      </c>
      <c r="T42" s="45" cm="1">
        <f t="array" ref="T42">SUMPRODUCT(P42:S42 * P$3:S$3) / SUM(P$3:S$3)</f>
        <v>1.3548446736816853</v>
      </c>
    </row>
    <row r="43" spans="1:20" ht="16.5" customHeight="1" x14ac:dyDescent="0.25">
      <c r="A43" s="5" t="s">
        <v>7154</v>
      </c>
      <c r="B43" s="16" t="s">
        <v>7540</v>
      </c>
      <c r="C43" s="4" t="s">
        <v>8797</v>
      </c>
      <c r="D43" s="4" t="s">
        <v>8918</v>
      </c>
      <c r="E43" s="12" t="s">
        <v>406</v>
      </c>
      <c r="F43" s="75" t="s">
        <v>7776</v>
      </c>
      <c r="G43" s="3">
        <v>8</v>
      </c>
      <c r="H43" s="3" t="s">
        <v>404</v>
      </c>
      <c r="I43" s="68" t="s">
        <v>7793</v>
      </c>
      <c r="J43" s="72">
        <v>1.2</v>
      </c>
      <c r="L43" s="9">
        <v>24.99</v>
      </c>
      <c r="M43" s="3">
        <v>116.41</v>
      </c>
      <c r="N43" s="66" t="s">
        <v>8101</v>
      </c>
      <c r="O43" s="5" t="s">
        <v>8578</v>
      </c>
      <c r="P43" s="49">
        <f t="shared" si="0"/>
        <v>1.3008876292934228</v>
      </c>
      <c r="Q43" s="1">
        <f t="shared" si="1"/>
        <v>1.3949045399659967</v>
      </c>
      <c r="R43" s="1">
        <f t="shared" si="4"/>
        <v>1.4156877556666601</v>
      </c>
      <c r="S43" s="10">
        <f t="shared" si="3"/>
        <v>1.3478960846297099</v>
      </c>
      <c r="T43" s="45" cm="1">
        <f t="array" ref="T43">SUMPRODUCT(P43:S43 * P$3:S$3) / SUM(P$3:S$3)</f>
        <v>1.3655576425332847</v>
      </c>
    </row>
    <row r="44" spans="1:20" ht="16.5" customHeight="1" x14ac:dyDescent="0.25">
      <c r="A44" s="5" t="s">
        <v>7133</v>
      </c>
      <c r="B44" s="16" t="s">
        <v>7517</v>
      </c>
      <c r="C44" s="4" t="s">
        <v>8797</v>
      </c>
      <c r="D44" s="4" t="s">
        <v>8918</v>
      </c>
      <c r="E44" s="12" t="s">
        <v>406</v>
      </c>
      <c r="F44" s="75" t="s">
        <v>7776</v>
      </c>
      <c r="G44" s="3">
        <v>8</v>
      </c>
      <c r="H44" s="3" t="s">
        <v>404</v>
      </c>
      <c r="I44" s="68" t="s">
        <v>7793</v>
      </c>
      <c r="J44" s="72">
        <v>1.2</v>
      </c>
      <c r="L44" s="9">
        <v>23.79</v>
      </c>
      <c r="M44" s="3">
        <v>56.19</v>
      </c>
      <c r="N44" s="66" t="s">
        <v>8078</v>
      </c>
      <c r="O44" s="5" t="s">
        <v>8556</v>
      </c>
      <c r="P44" s="49">
        <f t="shared" si="0"/>
        <v>1.3008876292934228</v>
      </c>
      <c r="Q44" s="1">
        <f t="shared" si="1"/>
        <v>1.3949045399659967</v>
      </c>
      <c r="R44" s="1">
        <f t="shared" si="4"/>
        <v>1.4156877556666601</v>
      </c>
      <c r="S44" s="10">
        <f t="shared" si="3"/>
        <v>1.3478960846297099</v>
      </c>
      <c r="T44" s="45" cm="1">
        <f t="array" ref="T44">SUMPRODUCT(P44:S44 * P$3:S$3) / SUM(P$3:S$3)</f>
        <v>1.3655576425332847</v>
      </c>
    </row>
    <row r="45" spans="1:20" ht="16.5" customHeight="1" x14ac:dyDescent="0.25">
      <c r="A45" s="5" t="s">
        <v>7130</v>
      </c>
      <c r="B45" s="16" t="s">
        <v>7514</v>
      </c>
      <c r="C45" s="4" t="s">
        <v>8797</v>
      </c>
      <c r="D45" s="4" t="s">
        <v>8918</v>
      </c>
      <c r="E45" s="12" t="s">
        <v>406</v>
      </c>
      <c r="F45" s="75" t="s">
        <v>7776</v>
      </c>
      <c r="G45" s="3">
        <v>8</v>
      </c>
      <c r="H45" s="3" t="s">
        <v>404</v>
      </c>
      <c r="I45" s="68" t="s">
        <v>7793</v>
      </c>
      <c r="J45" s="72">
        <v>1.2</v>
      </c>
      <c r="L45" s="9">
        <v>28.29</v>
      </c>
      <c r="M45" s="3">
        <v>56.14</v>
      </c>
      <c r="N45" s="66" t="s">
        <v>8075</v>
      </c>
      <c r="O45" s="5" t="s">
        <v>8553</v>
      </c>
      <c r="P45" s="49">
        <f t="shared" si="0"/>
        <v>1.3008876292934228</v>
      </c>
      <c r="Q45" s="1">
        <f t="shared" si="1"/>
        <v>1.3949045399659967</v>
      </c>
      <c r="R45" s="1">
        <f t="shared" si="4"/>
        <v>1.4156877556666601</v>
      </c>
      <c r="S45" s="10">
        <f t="shared" si="3"/>
        <v>1.3478960846297099</v>
      </c>
      <c r="T45" s="45" cm="1">
        <f t="array" ref="T45">SUMPRODUCT(P45:S45 * P$3:S$3) / SUM(P$3:S$3)</f>
        <v>1.3655576425332847</v>
      </c>
    </row>
    <row r="46" spans="1:20" ht="16.5" customHeight="1" x14ac:dyDescent="0.25">
      <c r="A46" s="5" t="s">
        <v>7127</v>
      </c>
      <c r="B46" s="16" t="s">
        <v>7509</v>
      </c>
      <c r="C46" s="4" t="s">
        <v>8797</v>
      </c>
      <c r="D46" s="4" t="s">
        <v>8918</v>
      </c>
      <c r="E46" s="12" t="s">
        <v>406</v>
      </c>
      <c r="F46" s="75" t="s">
        <v>7776</v>
      </c>
      <c r="G46" s="3">
        <v>8</v>
      </c>
      <c r="H46" s="3" t="s">
        <v>404</v>
      </c>
      <c r="I46" s="68" t="s">
        <v>7795</v>
      </c>
      <c r="J46" s="72">
        <v>1.2</v>
      </c>
      <c r="L46" s="9">
        <v>24.79</v>
      </c>
      <c r="M46" s="3">
        <v>36.6</v>
      </c>
      <c r="N46" s="66" t="s">
        <v>8070</v>
      </c>
      <c r="O46" s="5" t="s">
        <v>8548</v>
      </c>
      <c r="P46" s="49">
        <f t="shared" si="0"/>
        <v>1.2849712184281892</v>
      </c>
      <c r="Q46" s="1">
        <f t="shared" si="1"/>
        <v>1.3869463345333799</v>
      </c>
      <c r="R46" s="1">
        <f t="shared" si="4"/>
        <v>1.4077295502340434</v>
      </c>
      <c r="S46" s="10">
        <f t="shared" si="3"/>
        <v>1.3359587764807848</v>
      </c>
      <c r="T46" s="45" cm="1">
        <f t="array" ref="T46">SUMPRODUCT(P46:S46 * P$3:S$3) / SUM(P$3:S$3)</f>
        <v>1.3548446736816853</v>
      </c>
    </row>
    <row r="47" spans="1:20" ht="16.5" customHeight="1" x14ac:dyDescent="0.25">
      <c r="A47" s="5" t="s">
        <v>7127</v>
      </c>
      <c r="B47" s="16" t="s">
        <v>7510</v>
      </c>
      <c r="C47" s="4" t="s">
        <v>8797</v>
      </c>
      <c r="D47" s="4" t="s">
        <v>8918</v>
      </c>
      <c r="E47" s="12" t="s">
        <v>406</v>
      </c>
      <c r="F47" s="75" t="s">
        <v>7776</v>
      </c>
      <c r="G47" s="3">
        <v>8</v>
      </c>
      <c r="H47" s="3" t="s">
        <v>404</v>
      </c>
      <c r="I47" s="68" t="s">
        <v>7793</v>
      </c>
      <c r="J47" s="72">
        <v>1.2</v>
      </c>
      <c r="L47" s="9">
        <v>28.29</v>
      </c>
      <c r="M47" s="3">
        <v>51.9</v>
      </c>
      <c r="N47" s="66" t="s">
        <v>8071</v>
      </c>
      <c r="O47" s="5" t="s">
        <v>8549</v>
      </c>
      <c r="P47" s="49">
        <f t="shared" si="0"/>
        <v>1.3008876292934228</v>
      </c>
      <c r="Q47" s="1">
        <f t="shared" si="1"/>
        <v>1.3949045399659967</v>
      </c>
      <c r="R47" s="1">
        <f t="shared" si="4"/>
        <v>1.4156877556666601</v>
      </c>
      <c r="S47" s="10">
        <f t="shared" si="3"/>
        <v>1.3478960846297099</v>
      </c>
      <c r="T47" s="45" cm="1">
        <f t="array" ref="T47">SUMPRODUCT(P47:S47 * P$3:S$3) / SUM(P$3:S$3)</f>
        <v>1.3655576425332847</v>
      </c>
    </row>
    <row r="48" spans="1:20" ht="16.5" customHeight="1" x14ac:dyDescent="0.25">
      <c r="A48" s="5" t="s">
        <v>7123</v>
      </c>
      <c r="B48" s="16" t="s">
        <v>7504</v>
      </c>
      <c r="C48" s="4" t="s">
        <v>8797</v>
      </c>
      <c r="D48" s="4" t="s">
        <v>8919</v>
      </c>
      <c r="E48" s="12" t="s">
        <v>406</v>
      </c>
      <c r="F48" s="75" t="s">
        <v>7776</v>
      </c>
      <c r="G48" s="3">
        <v>8</v>
      </c>
      <c r="H48" s="3" t="s">
        <v>419</v>
      </c>
      <c r="I48" s="68" t="s">
        <v>7793</v>
      </c>
      <c r="J48" s="72">
        <v>1.2</v>
      </c>
      <c r="L48" s="9">
        <v>63.75</v>
      </c>
      <c r="M48" s="3">
        <v>139.99</v>
      </c>
      <c r="N48" s="66" t="s">
        <v>8065</v>
      </c>
      <c r="O48" s="5" t="s">
        <v>8544</v>
      </c>
      <c r="P48" s="49">
        <f t="shared" si="0"/>
        <v>1.3452623306468601</v>
      </c>
      <c r="Q48" s="1">
        <f t="shared" si="1"/>
        <v>1.4266855659810747</v>
      </c>
      <c r="R48" s="1">
        <f t="shared" si="4"/>
        <v>1.4441719440125584</v>
      </c>
      <c r="S48" s="10">
        <f t="shared" si="3"/>
        <v>1.3859739483139675</v>
      </c>
      <c r="T48" s="45" cm="1">
        <f t="array" ref="T48">SUMPRODUCT(P48:S48 * P$3:S$3) / SUM(P$3:S$3)</f>
        <v>1.4011908119086902</v>
      </c>
    </row>
    <row r="49" spans="1:20" ht="16.5" customHeight="1" x14ac:dyDescent="0.25">
      <c r="A49" s="5" t="s">
        <v>7219</v>
      </c>
      <c r="B49" s="16" t="s">
        <v>7725</v>
      </c>
      <c r="C49" s="4" t="s">
        <v>8796</v>
      </c>
      <c r="D49" s="4" t="s">
        <v>8920</v>
      </c>
      <c r="E49" s="12" t="s">
        <v>406</v>
      </c>
      <c r="F49" s="75" t="s">
        <v>7776</v>
      </c>
      <c r="G49" s="3">
        <v>16</v>
      </c>
      <c r="H49" s="3" t="s">
        <v>6736</v>
      </c>
      <c r="I49" s="68" t="s">
        <v>260</v>
      </c>
      <c r="J49" s="72">
        <v>1.2</v>
      </c>
      <c r="L49" s="9">
        <v>30.99</v>
      </c>
      <c r="M49" s="3">
        <v>59.18</v>
      </c>
      <c r="N49" s="66" t="s">
        <v>8286</v>
      </c>
      <c r="O49" s="5" t="s">
        <v>8727</v>
      </c>
      <c r="P49" s="49">
        <f t="shared" si="0"/>
        <v>1.574925234381122</v>
      </c>
      <c r="Q49" s="1">
        <f t="shared" si="1"/>
        <v>1.8822053649323278</v>
      </c>
      <c r="R49" s="1">
        <f t="shared" si="4"/>
        <v>1.9553625509092467</v>
      </c>
      <c r="S49" s="10">
        <f t="shared" si="3"/>
        <v>1.7285652996567251</v>
      </c>
      <c r="T49" s="45" cm="1">
        <f t="array" ref="T49">SUMPRODUCT(P49:S49 * P$3:S$3) / SUM(P$3:S$3)</f>
        <v>1.7870941175841286</v>
      </c>
    </row>
    <row r="50" spans="1:20" ht="16.5" customHeight="1" x14ac:dyDescent="0.25">
      <c r="A50" s="5" t="s">
        <v>7219</v>
      </c>
      <c r="B50" s="16" t="s">
        <v>7726</v>
      </c>
      <c r="C50" s="4" t="s">
        <v>8796</v>
      </c>
      <c r="D50" s="4" t="s">
        <v>8920</v>
      </c>
      <c r="E50" s="12" t="s">
        <v>406</v>
      </c>
      <c r="F50" s="75" t="s">
        <v>7776</v>
      </c>
      <c r="G50" s="3">
        <v>16</v>
      </c>
      <c r="H50" s="3" t="s">
        <v>6736</v>
      </c>
      <c r="I50" s="68" t="s">
        <v>397</v>
      </c>
      <c r="J50" s="72">
        <v>1.2</v>
      </c>
      <c r="L50" s="9">
        <v>31.79</v>
      </c>
      <c r="M50" s="3">
        <v>108.99</v>
      </c>
      <c r="N50" s="66" t="s">
        <v>8287</v>
      </c>
      <c r="O50" s="5" t="s">
        <v>8728</v>
      </c>
      <c r="P50" s="49">
        <f t="shared" si="0"/>
        <v>1.5920981842447213</v>
      </c>
      <c r="Q50" s="1">
        <f t="shared" si="1"/>
        <v>1.8907918398641272</v>
      </c>
      <c r="R50" s="1">
        <f t="shared" si="4"/>
        <v>1.9639490258410466</v>
      </c>
      <c r="S50" s="10">
        <f t="shared" si="3"/>
        <v>1.7414450120544243</v>
      </c>
      <c r="T50" s="45" cm="1">
        <f t="array" ref="T50">SUMPRODUCT(P50:S50 * P$3:S$3) / SUM(P$3:S$3)</f>
        <v>1.7986528338384744</v>
      </c>
    </row>
    <row r="51" spans="1:20" ht="16.5" customHeight="1" x14ac:dyDescent="0.25">
      <c r="A51" s="5" t="s">
        <v>7161</v>
      </c>
      <c r="B51" s="16" t="s">
        <v>7548</v>
      </c>
      <c r="C51" s="4" t="s">
        <v>8797</v>
      </c>
      <c r="D51" s="4" t="s">
        <v>8920</v>
      </c>
      <c r="E51" s="12" t="s">
        <v>406</v>
      </c>
      <c r="F51" s="75" t="s">
        <v>7776</v>
      </c>
      <c r="G51" s="3">
        <v>16</v>
      </c>
      <c r="H51" s="3" t="s">
        <v>6736</v>
      </c>
      <c r="I51" s="68" t="s">
        <v>7793</v>
      </c>
      <c r="J51" s="72">
        <v>1.2</v>
      </c>
      <c r="L51" s="9">
        <v>22.99</v>
      </c>
      <c r="M51" s="3">
        <v>43.13</v>
      </c>
      <c r="N51" s="66" t="s">
        <v>8109</v>
      </c>
      <c r="O51" s="5" t="s">
        <v>8586</v>
      </c>
      <c r="P51" s="49">
        <f t="shared" si="0"/>
        <v>1.5830535872666993</v>
      </c>
      <c r="Q51" s="1">
        <f t="shared" si="1"/>
        <v>1.8862695413751165</v>
      </c>
      <c r="R51" s="1">
        <f t="shared" si="4"/>
        <v>1.9594267273520356</v>
      </c>
      <c r="S51" s="10">
        <f t="shared" si="3"/>
        <v>1.7346615643209082</v>
      </c>
      <c r="T51" s="45" cm="1">
        <f t="array" ref="T51">SUMPRODUCT(P51:S51 * P$3:S$3) / SUM(P$3:S$3)</f>
        <v>1.7925651243340366</v>
      </c>
    </row>
    <row r="52" spans="1:20" ht="16.5" customHeight="1" x14ac:dyDescent="0.25">
      <c r="A52" s="5" t="s">
        <v>7207</v>
      </c>
      <c r="B52" s="16" t="s">
        <v>7696</v>
      </c>
      <c r="C52" s="4" t="s">
        <v>8796</v>
      </c>
      <c r="D52" s="4" t="s">
        <v>8921</v>
      </c>
      <c r="E52" s="12" t="s">
        <v>406</v>
      </c>
      <c r="F52" s="75" t="s">
        <v>7776</v>
      </c>
      <c r="G52" s="3">
        <v>16</v>
      </c>
      <c r="H52" s="3" t="s">
        <v>404</v>
      </c>
      <c r="I52" s="68" t="s">
        <v>260</v>
      </c>
      <c r="J52" s="72">
        <v>1.2</v>
      </c>
      <c r="L52" s="9">
        <v>65.900000000000006</v>
      </c>
      <c r="M52" s="3">
        <v>97.9</v>
      </c>
      <c r="N52" s="66" t="s">
        <v>8257</v>
      </c>
      <c r="O52" s="5" t="s">
        <v>8702</v>
      </c>
      <c r="P52" s="49">
        <f t="shared" si="0"/>
        <v>1.5968846873133853</v>
      </c>
      <c r="Q52" s="1">
        <f t="shared" si="1"/>
        <v>1.897981929067639</v>
      </c>
      <c r="R52" s="1">
        <f t="shared" si="4"/>
        <v>1.9694906962099683</v>
      </c>
      <c r="S52" s="10">
        <f t="shared" si="3"/>
        <v>1.7474333081905122</v>
      </c>
      <c r="T52" s="45" cm="1">
        <f t="array" ref="T52">SUMPRODUCT(P52:S52 * P$3:S$3) / SUM(P$3:S$3)</f>
        <v>1.8047573095592173</v>
      </c>
    </row>
    <row r="53" spans="1:20" ht="16.5" customHeight="1" x14ac:dyDescent="0.25">
      <c r="A53" s="5" t="s">
        <v>7207</v>
      </c>
      <c r="B53" s="16" t="s">
        <v>7697</v>
      </c>
      <c r="C53" s="4" t="s">
        <v>8796</v>
      </c>
      <c r="D53" s="4" t="s">
        <v>8921</v>
      </c>
      <c r="E53" s="12" t="s">
        <v>406</v>
      </c>
      <c r="F53" s="75" t="s">
        <v>7776</v>
      </c>
      <c r="G53" s="3">
        <v>16</v>
      </c>
      <c r="H53" s="3" t="s">
        <v>404</v>
      </c>
      <c r="I53" s="68" t="s">
        <v>397</v>
      </c>
      <c r="J53" s="72">
        <v>1.2</v>
      </c>
      <c r="L53" s="9">
        <v>63.9</v>
      </c>
      <c r="M53" s="3">
        <v>203.9</v>
      </c>
      <c r="N53" s="66" t="s">
        <v>8258</v>
      </c>
      <c r="O53" s="5" t="s">
        <v>8703</v>
      </c>
      <c r="P53" s="49">
        <f t="shared" si="0"/>
        <v>1.6145391217525993</v>
      </c>
      <c r="Q53" s="1">
        <f t="shared" si="1"/>
        <v>1.9068091462872461</v>
      </c>
      <c r="R53" s="1">
        <f t="shared" si="4"/>
        <v>1.9783179134295752</v>
      </c>
      <c r="S53" s="10">
        <f t="shared" si="3"/>
        <v>1.7606741340199228</v>
      </c>
      <c r="T53" s="45" cm="1">
        <f t="array" ref="T53">SUMPRODUCT(P53:S53 * P$3:S$3) / SUM(P$3:S$3)</f>
        <v>1.8166401019702265</v>
      </c>
    </row>
    <row r="54" spans="1:20" ht="16.5" customHeight="1" x14ac:dyDescent="0.25">
      <c r="A54" s="5" t="s">
        <v>7150</v>
      </c>
      <c r="B54" s="16" t="s">
        <v>7535</v>
      </c>
      <c r="C54" s="4" t="s">
        <v>8797</v>
      </c>
      <c r="D54" s="4" t="s">
        <v>8921</v>
      </c>
      <c r="E54" s="12" t="s">
        <v>406</v>
      </c>
      <c r="F54" s="75" t="s">
        <v>7776</v>
      </c>
      <c r="G54" s="3">
        <v>16</v>
      </c>
      <c r="H54" s="3" t="s">
        <v>404</v>
      </c>
      <c r="I54" s="68" t="s">
        <v>7793</v>
      </c>
      <c r="J54" s="72">
        <v>1.2</v>
      </c>
      <c r="L54" s="9">
        <v>45.29</v>
      </c>
      <c r="M54" s="3">
        <v>79.5</v>
      </c>
      <c r="N54" s="66" t="s">
        <v>8096</v>
      </c>
      <c r="O54" s="5" t="s">
        <v>8573</v>
      </c>
      <c r="P54" s="49">
        <f t="shared" si="0"/>
        <v>1.605240937943418</v>
      </c>
      <c r="Q54" s="1">
        <f t="shared" si="1"/>
        <v>1.9021600543826556</v>
      </c>
      <c r="R54" s="1">
        <f t="shared" si="4"/>
        <v>1.9736688215249847</v>
      </c>
      <c r="S54" s="10">
        <f t="shared" si="3"/>
        <v>1.7537004961630369</v>
      </c>
      <c r="T54" s="45" cm="1">
        <f t="array" ref="T54">SUMPRODUCT(P54:S54 * P$3:S$3) / SUM(P$3:S$3)</f>
        <v>1.8103817090217393</v>
      </c>
    </row>
    <row r="55" spans="1:20" ht="16.5" customHeight="1" x14ac:dyDescent="0.25">
      <c r="A55" s="5" t="s">
        <v>7124</v>
      </c>
      <c r="B55" s="16" t="s">
        <v>7505</v>
      </c>
      <c r="C55" s="4" t="s">
        <v>8797</v>
      </c>
      <c r="D55" s="4" t="s">
        <v>8921</v>
      </c>
      <c r="E55" s="12" t="s">
        <v>406</v>
      </c>
      <c r="F55" s="75" t="s">
        <v>7776</v>
      </c>
      <c r="G55" s="3">
        <v>16</v>
      </c>
      <c r="H55" s="3" t="s">
        <v>404</v>
      </c>
      <c r="I55" s="68" t="s">
        <v>7793</v>
      </c>
      <c r="J55" s="72">
        <v>1.2</v>
      </c>
      <c r="L55" s="9">
        <v>51.9</v>
      </c>
      <c r="M55" s="3">
        <v>1503.98</v>
      </c>
      <c r="N55" s="66" t="s">
        <v>8066</v>
      </c>
      <c r="O55" s="5" t="s">
        <v>8544</v>
      </c>
      <c r="P55" s="49">
        <f t="shared" si="0"/>
        <v>1.605240937943418</v>
      </c>
      <c r="Q55" s="1">
        <f t="shared" si="1"/>
        <v>1.9021600543826556</v>
      </c>
      <c r="R55" s="1">
        <f t="shared" si="4"/>
        <v>1.9736688215249847</v>
      </c>
      <c r="S55" s="10">
        <f t="shared" si="3"/>
        <v>1.7537004961630369</v>
      </c>
      <c r="T55" s="45" cm="1">
        <f t="array" ref="T55">SUMPRODUCT(P55:S55 * P$3:S$3) / SUM(P$3:S$3)</f>
        <v>1.8103817090217393</v>
      </c>
    </row>
    <row r="56" spans="1:20" ht="16.5" customHeight="1" x14ac:dyDescent="0.25">
      <c r="A56" s="5" t="s">
        <v>7205</v>
      </c>
      <c r="B56" s="16" t="s">
        <v>7683</v>
      </c>
      <c r="C56" s="4" t="s">
        <v>8796</v>
      </c>
      <c r="D56" s="4" t="s">
        <v>8922</v>
      </c>
      <c r="E56" s="12" t="s">
        <v>406</v>
      </c>
      <c r="F56" s="75" t="s">
        <v>7776</v>
      </c>
      <c r="G56" s="3">
        <v>16</v>
      </c>
      <c r="H56" s="3" t="s">
        <v>419</v>
      </c>
      <c r="I56" s="68" t="s">
        <v>397</v>
      </c>
      <c r="J56" s="72">
        <v>1.2</v>
      </c>
      <c r="K56" s="14" t="s">
        <v>450</v>
      </c>
      <c r="L56" s="9">
        <v>124.9</v>
      </c>
      <c r="M56" s="3">
        <v>152.86000000000001</v>
      </c>
      <c r="N56" s="66" t="s">
        <v>8244</v>
      </c>
      <c r="O56" s="5" t="s">
        <v>8694</v>
      </c>
      <c r="P56" s="49">
        <f t="shared" si="0"/>
        <v>1.6594209967683555</v>
      </c>
      <c r="Q56" s="1">
        <f t="shared" si="1"/>
        <v>1.9388437591334835</v>
      </c>
      <c r="R56" s="1">
        <f t="shared" si="4"/>
        <v>2.0070556886066333</v>
      </c>
      <c r="S56" s="10">
        <f t="shared" si="3"/>
        <v>1.7991323779509196</v>
      </c>
      <c r="T56" s="45" cm="1">
        <f t="array" ref="T56">SUMPRODUCT(P56:S56 * P$3:S$3) / SUM(P$3:S$3)</f>
        <v>1.8526146382337314</v>
      </c>
    </row>
    <row r="57" spans="1:20" ht="16.5" customHeight="1" x14ac:dyDescent="0.25">
      <c r="A57" s="5" t="s">
        <v>7204</v>
      </c>
      <c r="B57" s="16" t="s">
        <v>7682</v>
      </c>
      <c r="C57" s="4" t="s">
        <v>8796</v>
      </c>
      <c r="D57" s="4" t="s">
        <v>8923</v>
      </c>
      <c r="E57" s="12" t="s">
        <v>406</v>
      </c>
      <c r="F57" s="75" t="s">
        <v>7776</v>
      </c>
      <c r="G57" s="3">
        <v>32</v>
      </c>
      <c r="H57" s="3" t="s">
        <v>404</v>
      </c>
      <c r="I57" s="68" t="s">
        <v>260</v>
      </c>
      <c r="J57" s="72">
        <v>1.2</v>
      </c>
      <c r="L57" s="9">
        <v>134.44</v>
      </c>
      <c r="M57" s="3">
        <v>273.79000000000002</v>
      </c>
      <c r="N57" s="66" t="s">
        <v>8243</v>
      </c>
      <c r="O57" s="5" t="s">
        <v>8693</v>
      </c>
      <c r="P57" s="49">
        <f t="shared" si="0"/>
        <v>2.0913080958932002</v>
      </c>
      <c r="Q57" s="1">
        <f t="shared" si="1"/>
        <v>2.7220209433673306</v>
      </c>
      <c r="R57" s="1">
        <f t="shared" si="4"/>
        <v>2.8759336119396295</v>
      </c>
      <c r="S57" s="10">
        <f t="shared" si="3"/>
        <v>2.4066645196302656</v>
      </c>
      <c r="T57" s="45" cm="1">
        <f t="array" ref="T57">SUMPRODUCT(P57:S57 * P$3:S$3) / SUM(P$3:S$3)</f>
        <v>2.5273761374835622</v>
      </c>
    </row>
    <row r="58" spans="1:20" ht="16.5" customHeight="1" x14ac:dyDescent="0.25">
      <c r="A58" s="5" t="s">
        <v>7229</v>
      </c>
      <c r="B58" s="16" t="s">
        <v>7745</v>
      </c>
      <c r="C58" s="4" t="s">
        <v>8796</v>
      </c>
      <c r="D58" s="4" t="s">
        <v>8924</v>
      </c>
      <c r="E58" s="12" t="s">
        <v>406</v>
      </c>
      <c r="F58" s="75" t="s">
        <v>7775</v>
      </c>
      <c r="G58" s="3">
        <v>4</v>
      </c>
      <c r="H58" s="3" t="s">
        <v>6736</v>
      </c>
      <c r="I58" s="68" t="s">
        <v>7794</v>
      </c>
      <c r="J58" s="72">
        <v>1.2</v>
      </c>
      <c r="K58" s="14" t="s">
        <v>450</v>
      </c>
      <c r="L58" s="9">
        <v>13.79</v>
      </c>
      <c r="M58" s="3">
        <v>25.4</v>
      </c>
      <c r="N58" s="66" t="s">
        <v>8306</v>
      </c>
      <c r="O58" s="5" t="s">
        <v>8747</v>
      </c>
      <c r="P58" s="49">
        <f t="shared" si="0"/>
        <v>1.1104351273732265</v>
      </c>
      <c r="Q58" s="1">
        <f t="shared" si="1"/>
        <v>1.0866201155333428</v>
      </c>
      <c r="R58" s="1">
        <f t="shared" si="4"/>
        <v>1.0726688396099779</v>
      </c>
      <c r="S58" s="10">
        <f t="shared" si="3"/>
        <v>1.0985276214532846</v>
      </c>
      <c r="T58" s="45" cm="1">
        <f t="array" ref="T58">SUMPRODUCT(P58:S58 * P$3:S$3) / SUM(P$3:S$3)</f>
        <v>1.0927174233358619</v>
      </c>
    </row>
    <row r="59" spans="1:20" ht="16.5" customHeight="1" x14ac:dyDescent="0.25">
      <c r="A59" s="5" t="s">
        <v>7054</v>
      </c>
      <c r="B59" s="16" t="s">
        <v>7400</v>
      </c>
      <c r="C59" s="4" t="s">
        <v>8798</v>
      </c>
      <c r="D59" s="4" t="s">
        <v>8924</v>
      </c>
      <c r="E59" s="12" t="s">
        <v>406</v>
      </c>
      <c r="F59" s="75" t="s">
        <v>7775</v>
      </c>
      <c r="G59" s="3">
        <v>4</v>
      </c>
      <c r="H59" s="3" t="s">
        <v>6736</v>
      </c>
      <c r="I59" s="68" t="s">
        <v>260</v>
      </c>
      <c r="J59" s="72">
        <v>1.2</v>
      </c>
      <c r="L59" s="9">
        <v>23.26</v>
      </c>
      <c r="M59" s="3">
        <v>44.2</v>
      </c>
      <c r="N59" s="66" t="s">
        <v>7961</v>
      </c>
      <c r="O59" s="5" t="s">
        <v>8453</v>
      </c>
      <c r="P59" s="49">
        <f t="shared" si="0"/>
        <v>1.1244818545013406</v>
      </c>
      <c r="Q59" s="1">
        <f t="shared" si="1"/>
        <v>1.0936434790973997</v>
      </c>
      <c r="R59" s="1">
        <f t="shared" si="4"/>
        <v>1.079692203174035</v>
      </c>
      <c r="S59" s="10">
        <f t="shared" si="3"/>
        <v>1.1090626667993702</v>
      </c>
      <c r="T59" s="45" cm="1">
        <f t="array" ref="T59">SUMPRODUCT(P59:S59 * P$3:S$3) / SUM(P$3:S$3)</f>
        <v>1.1021719512105539</v>
      </c>
    </row>
    <row r="60" spans="1:20" ht="16.5" customHeight="1" x14ac:dyDescent="0.25">
      <c r="A60" s="5" t="s">
        <v>7213</v>
      </c>
      <c r="B60" s="16" t="s">
        <v>7717</v>
      </c>
      <c r="C60" s="4" t="s">
        <v>8796</v>
      </c>
      <c r="D60" s="4" t="s">
        <v>8925</v>
      </c>
      <c r="E60" s="12" t="s">
        <v>406</v>
      </c>
      <c r="F60" s="75" t="s">
        <v>7775</v>
      </c>
      <c r="G60" s="3">
        <v>4</v>
      </c>
      <c r="H60" s="3" t="s">
        <v>404</v>
      </c>
      <c r="I60" s="68" t="s">
        <v>260</v>
      </c>
      <c r="J60" s="72">
        <v>1.2</v>
      </c>
      <c r="L60" s="9">
        <v>24.99</v>
      </c>
      <c r="M60" s="3">
        <v>63.9</v>
      </c>
      <c r="N60" s="66" t="s">
        <v>8278</v>
      </c>
      <c r="O60" s="5" t="s">
        <v>8719</v>
      </c>
      <c r="P60" s="49">
        <f t="shared" si="0"/>
        <v>1.1475981681789484</v>
      </c>
      <c r="Q60" s="1">
        <f t="shared" si="1"/>
        <v>1.1102876887917195</v>
      </c>
      <c r="R60" s="1">
        <f t="shared" si="4"/>
        <v>1.0945433864405967</v>
      </c>
      <c r="S60" s="10">
        <f t="shared" si="3"/>
        <v>1.1289429284853338</v>
      </c>
      <c r="T60" s="45" cm="1">
        <f t="array" ref="T60">SUMPRODUCT(P60:S60 * P$3:S$3) / SUM(P$3:S$3)</f>
        <v>1.1207806543717413</v>
      </c>
    </row>
    <row r="61" spans="1:20" ht="16.5" customHeight="1" x14ac:dyDescent="0.25">
      <c r="A61" s="5" t="s">
        <v>7051</v>
      </c>
      <c r="B61" s="16" t="s">
        <v>7387</v>
      </c>
      <c r="C61" s="4" t="s">
        <v>8798</v>
      </c>
      <c r="D61" s="4" t="s">
        <v>8925</v>
      </c>
      <c r="E61" s="12" t="s">
        <v>406</v>
      </c>
      <c r="F61" s="75" t="s">
        <v>7775</v>
      </c>
      <c r="G61" s="3">
        <v>4</v>
      </c>
      <c r="H61" s="3" t="s">
        <v>404</v>
      </c>
      <c r="I61" s="68" t="s">
        <v>260</v>
      </c>
      <c r="J61" s="72">
        <v>1.2</v>
      </c>
      <c r="L61" s="9">
        <v>53.35</v>
      </c>
      <c r="M61" s="3">
        <v>110</v>
      </c>
      <c r="N61" s="66" t="s">
        <v>7948</v>
      </c>
      <c r="O61" s="5" t="s">
        <v>8440</v>
      </c>
      <c r="P61" s="49">
        <f t="shared" si="0"/>
        <v>1.1475981681789484</v>
      </c>
      <c r="Q61" s="1">
        <f t="shared" si="1"/>
        <v>1.1102876887917195</v>
      </c>
      <c r="R61" s="1">
        <f t="shared" si="4"/>
        <v>1.0945433864405967</v>
      </c>
      <c r="S61" s="10">
        <f t="shared" si="3"/>
        <v>1.1289429284853338</v>
      </c>
      <c r="T61" s="45" cm="1">
        <f t="array" ref="T61">SUMPRODUCT(P61:S61 * P$3:S$3) / SUM(P$3:S$3)</f>
        <v>1.1207806543717413</v>
      </c>
    </row>
    <row r="62" spans="1:20" ht="16.5" customHeight="1" x14ac:dyDescent="0.25">
      <c r="A62" s="5" t="s">
        <v>7226</v>
      </c>
      <c r="B62" s="16" t="s">
        <v>7742</v>
      </c>
      <c r="C62" s="4" t="s">
        <v>8796</v>
      </c>
      <c r="D62" s="4" t="s">
        <v>8926</v>
      </c>
      <c r="E62" s="12" t="s">
        <v>406</v>
      </c>
      <c r="F62" s="75" t="s">
        <v>7775</v>
      </c>
      <c r="G62" s="3">
        <v>8</v>
      </c>
      <c r="H62" s="3" t="s">
        <v>6736</v>
      </c>
      <c r="I62" s="68" t="s">
        <v>7794</v>
      </c>
      <c r="J62" s="72">
        <v>1.2</v>
      </c>
      <c r="K62" s="14" t="s">
        <v>450</v>
      </c>
      <c r="L62" s="9">
        <v>20.190000000000001</v>
      </c>
      <c r="M62" s="3">
        <v>34.99</v>
      </c>
      <c r="N62" s="66" t="s">
        <v>8303</v>
      </c>
      <c r="O62" s="5" t="s">
        <v>8744</v>
      </c>
      <c r="P62" s="49">
        <f t="shared" si="0"/>
        <v>1.2977865651869678</v>
      </c>
      <c r="Q62" s="1">
        <f t="shared" si="1"/>
        <v>1.3988725118895782</v>
      </c>
      <c r="R62" s="1">
        <f t="shared" si="4"/>
        <v>1.4161464756018369</v>
      </c>
      <c r="S62" s="10">
        <f t="shared" si="3"/>
        <v>1.348329538538273</v>
      </c>
      <c r="T62" s="45" cm="1">
        <f t="array" ref="T62">SUMPRODUCT(P62:S62 * P$3:S$3) / SUM(P$3:S$3)</f>
        <v>1.366538755525176</v>
      </c>
    </row>
    <row r="63" spans="1:20" ht="16.5" customHeight="1" x14ac:dyDescent="0.25">
      <c r="A63" s="5" t="s">
        <v>7221</v>
      </c>
      <c r="B63" s="16" t="s">
        <v>7731</v>
      </c>
      <c r="C63" s="4" t="s">
        <v>8796</v>
      </c>
      <c r="D63" s="4" t="s">
        <v>8926</v>
      </c>
      <c r="E63" s="12" t="s">
        <v>406</v>
      </c>
      <c r="F63" s="75" t="s">
        <v>7775</v>
      </c>
      <c r="G63" s="3">
        <v>8</v>
      </c>
      <c r="H63" s="3" t="s">
        <v>6736</v>
      </c>
      <c r="I63" s="68" t="s">
        <v>260</v>
      </c>
      <c r="J63" s="72">
        <v>1.2</v>
      </c>
      <c r="L63" s="9">
        <v>18.899999999999999</v>
      </c>
      <c r="M63" s="3">
        <v>71.400000000000006</v>
      </c>
      <c r="N63" s="66" t="s">
        <v>8292</v>
      </c>
      <c r="O63" s="5" t="s">
        <v>8733</v>
      </c>
      <c r="P63" s="49">
        <f t="shared" si="0"/>
        <v>1.3118332923150819</v>
      </c>
      <c r="Q63" s="1">
        <f t="shared" si="1"/>
        <v>1.4058958754536353</v>
      </c>
      <c r="R63" s="1">
        <f t="shared" si="4"/>
        <v>1.4231698391658942</v>
      </c>
      <c r="S63" s="10">
        <f t="shared" si="3"/>
        <v>1.3588645838843587</v>
      </c>
      <c r="T63" s="45" cm="1">
        <f t="array" ref="T63">SUMPRODUCT(P63:S63 * P$3:S$3) / SUM(P$3:S$3)</f>
        <v>1.375993283399868</v>
      </c>
    </row>
    <row r="64" spans="1:20" ht="16.5" customHeight="1" x14ac:dyDescent="0.25">
      <c r="A64" s="5" t="s">
        <v>7166</v>
      </c>
      <c r="B64" s="16" t="s">
        <v>7553</v>
      </c>
      <c r="C64" s="4" t="s">
        <v>8797</v>
      </c>
      <c r="D64" s="4" t="s">
        <v>8926</v>
      </c>
      <c r="E64" s="12" t="s">
        <v>406</v>
      </c>
      <c r="F64" s="75" t="s">
        <v>7775</v>
      </c>
      <c r="G64" s="3">
        <v>8</v>
      </c>
      <c r="H64" s="3" t="s">
        <v>6736</v>
      </c>
      <c r="I64" s="68" t="s">
        <v>7792</v>
      </c>
      <c r="J64" s="72">
        <v>1.2</v>
      </c>
      <c r="L64" s="9">
        <v>12.29</v>
      </c>
      <c r="M64" s="3">
        <v>49.77</v>
      </c>
      <c r="N64" s="66" t="s">
        <v>8114</v>
      </c>
      <c r="O64" s="5" t="s">
        <v>8591</v>
      </c>
      <c r="P64" s="49">
        <f t="shared" si="0"/>
        <v>1.2916635541739092</v>
      </c>
      <c r="Q64" s="1">
        <f t="shared" si="1"/>
        <v>1.3958110063830489</v>
      </c>
      <c r="R64" s="1">
        <f t="shared" si="4"/>
        <v>1.4130849700953081</v>
      </c>
      <c r="S64" s="10">
        <f t="shared" si="3"/>
        <v>1.3437372802784791</v>
      </c>
      <c r="T64" s="45" cm="1">
        <f t="array" ref="T64">SUMPRODUCT(P64:S64 * P$3:S$3) / SUM(P$3:S$3)</f>
        <v>1.3624174981125405</v>
      </c>
    </row>
    <row r="65" spans="1:20" ht="16.5" customHeight="1" x14ac:dyDescent="0.25">
      <c r="A65" s="5" t="s">
        <v>7137</v>
      </c>
      <c r="B65" s="16" t="s">
        <v>7521</v>
      </c>
      <c r="C65" s="4" t="s">
        <v>8797</v>
      </c>
      <c r="D65" s="4" t="s">
        <v>8926</v>
      </c>
      <c r="E65" s="12" t="s">
        <v>406</v>
      </c>
      <c r="F65" s="75" t="s">
        <v>7775</v>
      </c>
      <c r="G65" s="3">
        <v>8</v>
      </c>
      <c r="H65" s="3" t="s">
        <v>6736</v>
      </c>
      <c r="I65" s="68" t="s">
        <v>7792</v>
      </c>
      <c r="J65" s="72">
        <v>1.2</v>
      </c>
      <c r="L65" s="9">
        <v>11.79</v>
      </c>
      <c r="M65" s="3">
        <v>66</v>
      </c>
      <c r="N65" s="66" t="s">
        <v>8082</v>
      </c>
      <c r="O65" s="5" t="s">
        <v>8560</v>
      </c>
      <c r="P65" s="49">
        <f t="shared" si="0"/>
        <v>1.2916635541739092</v>
      </c>
      <c r="Q65" s="1">
        <f t="shared" si="1"/>
        <v>1.3958110063830489</v>
      </c>
      <c r="R65" s="1">
        <f t="shared" si="4"/>
        <v>1.4130849700953081</v>
      </c>
      <c r="S65" s="10">
        <f t="shared" si="3"/>
        <v>1.3437372802784791</v>
      </c>
      <c r="T65" s="45" cm="1">
        <f t="array" ref="T65">SUMPRODUCT(P65:S65 * P$3:S$3) / SUM(P$3:S$3)</f>
        <v>1.3624174981125405</v>
      </c>
    </row>
    <row r="66" spans="1:20" ht="16.5" customHeight="1" x14ac:dyDescent="0.25">
      <c r="A66" s="5" t="s">
        <v>7047</v>
      </c>
      <c r="B66" s="16" t="s">
        <v>7368</v>
      </c>
      <c r="C66" s="4" t="s">
        <v>8798</v>
      </c>
      <c r="D66" s="4" t="s">
        <v>8926</v>
      </c>
      <c r="E66" s="12" t="s">
        <v>406</v>
      </c>
      <c r="F66" s="75" t="s">
        <v>7775</v>
      </c>
      <c r="G66" s="3">
        <v>8</v>
      </c>
      <c r="H66" s="3" t="s">
        <v>6736</v>
      </c>
      <c r="I66" s="68" t="s">
        <v>260</v>
      </c>
      <c r="J66" s="72">
        <v>1.2</v>
      </c>
      <c r="K66" s="14" t="s">
        <v>5476</v>
      </c>
      <c r="L66" s="9">
        <v>20.13</v>
      </c>
      <c r="M66" s="3">
        <v>81</v>
      </c>
      <c r="N66" s="66" t="s">
        <v>7929</v>
      </c>
      <c r="O66" s="5" t="s">
        <v>8425</v>
      </c>
      <c r="P66" s="49">
        <f t="shared" si="0"/>
        <v>1.3118332923150819</v>
      </c>
      <c r="Q66" s="1">
        <f t="shared" si="1"/>
        <v>1.4058958754536353</v>
      </c>
      <c r="R66" s="1">
        <f t="shared" si="4"/>
        <v>1.4231698391658942</v>
      </c>
      <c r="S66" s="10">
        <f t="shared" si="3"/>
        <v>1.3588645838843587</v>
      </c>
      <c r="T66" s="45" cm="1">
        <f t="array" ref="T66">SUMPRODUCT(P66:S66 * P$3:S$3) / SUM(P$3:S$3)</f>
        <v>1.375993283399868</v>
      </c>
    </row>
    <row r="67" spans="1:20" ht="16.5" customHeight="1" x14ac:dyDescent="0.25">
      <c r="A67" s="5" t="s">
        <v>6986</v>
      </c>
      <c r="B67" s="16" t="s">
        <v>7257</v>
      </c>
      <c r="C67" s="4" t="s">
        <v>8798</v>
      </c>
      <c r="D67" s="4" t="s">
        <v>8926</v>
      </c>
      <c r="E67" s="12" t="s">
        <v>406</v>
      </c>
      <c r="F67" s="75" t="s">
        <v>7775</v>
      </c>
      <c r="G67" s="3">
        <v>8</v>
      </c>
      <c r="H67" s="3" t="s">
        <v>6736</v>
      </c>
      <c r="I67" s="68" t="s">
        <v>7792</v>
      </c>
      <c r="J67" s="72">
        <v>1.2</v>
      </c>
      <c r="L67" s="9">
        <v>34.99</v>
      </c>
      <c r="M67" s="3">
        <v>47.48</v>
      </c>
      <c r="N67" s="66" t="s">
        <v>7818</v>
      </c>
      <c r="O67" s="5" t="s">
        <v>8341</v>
      </c>
      <c r="P67" s="49">
        <f t="shared" si="0"/>
        <v>1.2916635541739092</v>
      </c>
      <c r="Q67" s="1">
        <f t="shared" si="1"/>
        <v>1.3958110063830489</v>
      </c>
      <c r="R67" s="1">
        <f t="shared" si="4"/>
        <v>1.4130849700953081</v>
      </c>
      <c r="S67" s="10">
        <f t="shared" si="3"/>
        <v>1.3437372802784791</v>
      </c>
      <c r="T67" s="45" cm="1">
        <f t="array" ref="T67">SUMPRODUCT(P67:S67 * P$3:S$3) / SUM(P$3:S$3)</f>
        <v>1.3624174981125405</v>
      </c>
    </row>
    <row r="68" spans="1:20" ht="16.5" customHeight="1" x14ac:dyDescent="0.25">
      <c r="A68" s="5" t="s">
        <v>6986</v>
      </c>
      <c r="B68" s="16" t="s">
        <v>7258</v>
      </c>
      <c r="C68" s="4" t="s">
        <v>8798</v>
      </c>
      <c r="D68" s="4" t="s">
        <v>8926</v>
      </c>
      <c r="E68" s="12" t="s">
        <v>406</v>
      </c>
      <c r="F68" s="75" t="s">
        <v>7775</v>
      </c>
      <c r="G68" s="3">
        <v>8</v>
      </c>
      <c r="H68" s="3" t="s">
        <v>6736</v>
      </c>
      <c r="I68" s="68" t="s">
        <v>7792</v>
      </c>
      <c r="J68" s="72">
        <v>1.2</v>
      </c>
      <c r="L68" s="9">
        <v>31.99</v>
      </c>
      <c r="M68" s="3">
        <v>58.49</v>
      </c>
      <c r="N68" s="66" t="s">
        <v>7819</v>
      </c>
      <c r="O68" s="5" t="s">
        <v>8341</v>
      </c>
      <c r="P68" s="49">
        <f t="shared" si="0"/>
        <v>1.2916635541739092</v>
      </c>
      <c r="Q68" s="1">
        <f t="shared" si="1"/>
        <v>1.3958110063830489</v>
      </c>
      <c r="R68" s="1">
        <f t="shared" si="4"/>
        <v>1.4130849700953081</v>
      </c>
      <c r="S68" s="10">
        <f t="shared" si="3"/>
        <v>1.3437372802784791</v>
      </c>
      <c r="T68" s="45" cm="1">
        <f t="array" ref="T68">SUMPRODUCT(P68:S68 * P$3:S$3) / SUM(P$3:S$3)</f>
        <v>1.3624174981125405</v>
      </c>
    </row>
    <row r="69" spans="1:20" ht="16.5" customHeight="1" x14ac:dyDescent="0.25">
      <c r="A69" s="5" t="s">
        <v>7189</v>
      </c>
      <c r="B69" s="16" t="s">
        <v>7599</v>
      </c>
      <c r="C69" s="4" t="s">
        <v>8796</v>
      </c>
      <c r="D69" s="4" t="s">
        <v>8927</v>
      </c>
      <c r="E69" s="12" t="s">
        <v>406</v>
      </c>
      <c r="F69" s="75" t="s">
        <v>7775</v>
      </c>
      <c r="G69" s="3">
        <v>8</v>
      </c>
      <c r="H69" s="3" t="s">
        <v>404</v>
      </c>
      <c r="I69" s="68" t="s">
        <v>260</v>
      </c>
      <c r="J69" s="72">
        <v>1.2</v>
      </c>
      <c r="K69" s="14" t="s">
        <v>6175</v>
      </c>
      <c r="L69" s="9">
        <v>60.99</v>
      </c>
      <c r="M69" s="3">
        <v>79.900000000000006</v>
      </c>
      <c r="N69" s="66" t="s">
        <v>8160</v>
      </c>
      <c r="O69" s="5" t="s">
        <v>8630</v>
      </c>
      <c r="P69" s="49">
        <f t="shared" si="0"/>
        <v>1.3349496059926897</v>
      </c>
      <c r="Q69" s="1">
        <f t="shared" si="1"/>
        <v>1.422540085147955</v>
      </c>
      <c r="R69" s="1">
        <f t="shared" si="4"/>
        <v>1.4380210224324559</v>
      </c>
      <c r="S69" s="10">
        <f t="shared" si="3"/>
        <v>1.3787448455703224</v>
      </c>
      <c r="T69" s="45" cm="1">
        <f t="array" ref="T69">SUMPRODUCT(P69:S69 * P$3:S$3) / SUM(P$3:S$3)</f>
        <v>1.3946019865610555</v>
      </c>
    </row>
    <row r="70" spans="1:20" ht="16.5" customHeight="1" x14ac:dyDescent="0.25">
      <c r="A70" s="5" t="s">
        <v>7189</v>
      </c>
      <c r="B70" s="16" t="s">
        <v>7659</v>
      </c>
      <c r="C70" s="4" t="s">
        <v>8796</v>
      </c>
      <c r="D70" s="4" t="s">
        <v>8927</v>
      </c>
      <c r="E70" s="12" t="s">
        <v>406</v>
      </c>
      <c r="F70" s="75" t="s">
        <v>7775</v>
      </c>
      <c r="G70" s="3">
        <v>8</v>
      </c>
      <c r="H70" s="3" t="s">
        <v>404</v>
      </c>
      <c r="I70" s="68" t="s">
        <v>260</v>
      </c>
      <c r="J70" s="72">
        <v>1.2</v>
      </c>
      <c r="K70" s="14" t="s">
        <v>6175</v>
      </c>
      <c r="L70" s="9">
        <v>53.9</v>
      </c>
      <c r="M70" s="3">
        <v>91</v>
      </c>
      <c r="N70" s="66" t="s">
        <v>8220</v>
      </c>
      <c r="O70" s="5" t="s">
        <v>8674</v>
      </c>
      <c r="P70" s="49">
        <f t="shared" si="0"/>
        <v>1.3349496059926897</v>
      </c>
      <c r="Q70" s="1">
        <f t="shared" si="1"/>
        <v>1.422540085147955</v>
      </c>
      <c r="R70" s="1">
        <f t="shared" si="4"/>
        <v>1.4380210224324559</v>
      </c>
      <c r="S70" s="10">
        <f t="shared" si="3"/>
        <v>1.3787448455703224</v>
      </c>
      <c r="T70" s="45" cm="1">
        <f t="array" ref="T70">SUMPRODUCT(P70:S70 * P$3:S$3) / SUM(P$3:S$3)</f>
        <v>1.3946019865610555</v>
      </c>
    </row>
    <row r="71" spans="1:20" ht="16.5" customHeight="1" x14ac:dyDescent="0.25">
      <c r="A71" s="5" t="s">
        <v>7189</v>
      </c>
      <c r="B71" s="16" t="s">
        <v>7667</v>
      </c>
      <c r="C71" s="4" t="s">
        <v>8796</v>
      </c>
      <c r="D71" s="4" t="s">
        <v>8927</v>
      </c>
      <c r="E71" s="12" t="s">
        <v>406</v>
      </c>
      <c r="F71" s="75" t="s">
        <v>7775</v>
      </c>
      <c r="G71" s="3">
        <v>8</v>
      </c>
      <c r="H71" s="3" t="s">
        <v>404</v>
      </c>
      <c r="I71" s="68" t="s">
        <v>260</v>
      </c>
      <c r="J71" s="72">
        <v>1.2</v>
      </c>
      <c r="L71" s="9">
        <v>37.9</v>
      </c>
      <c r="M71" s="3">
        <v>59.9</v>
      </c>
      <c r="N71" s="66" t="s">
        <v>8228</v>
      </c>
      <c r="O71" s="5" t="s">
        <v>8682</v>
      </c>
      <c r="P71" s="49">
        <f t="shared" si="0"/>
        <v>1.3349496059926897</v>
      </c>
      <c r="Q71" s="1">
        <f t="shared" si="1"/>
        <v>1.422540085147955</v>
      </c>
      <c r="R71" s="1">
        <f t="shared" si="4"/>
        <v>1.4380210224324559</v>
      </c>
      <c r="S71" s="10">
        <f t="shared" si="3"/>
        <v>1.3787448455703224</v>
      </c>
      <c r="T71" s="45" cm="1">
        <f t="array" ref="T71">SUMPRODUCT(P71:S71 * P$3:S$3) / SUM(P$3:S$3)</f>
        <v>1.3946019865610555</v>
      </c>
    </row>
    <row r="72" spans="1:20" ht="16.5" customHeight="1" x14ac:dyDescent="0.25">
      <c r="A72" s="5" t="s">
        <v>7189</v>
      </c>
      <c r="B72" s="16" t="s">
        <v>7711</v>
      </c>
      <c r="C72" s="4" t="s">
        <v>8796</v>
      </c>
      <c r="D72" s="4" t="s">
        <v>8927</v>
      </c>
      <c r="E72" s="12" t="s">
        <v>406</v>
      </c>
      <c r="F72" s="75" t="s">
        <v>7775</v>
      </c>
      <c r="G72" s="3">
        <v>8</v>
      </c>
      <c r="H72" s="3" t="s">
        <v>404</v>
      </c>
      <c r="I72" s="68" t="s">
        <v>260</v>
      </c>
      <c r="J72" s="72">
        <v>1.2</v>
      </c>
      <c r="L72" s="9">
        <v>39.340000000000003</v>
      </c>
      <c r="M72" s="3">
        <v>59.9</v>
      </c>
      <c r="N72" s="66" t="s">
        <v>8272</v>
      </c>
      <c r="O72" s="5" t="s">
        <v>8714</v>
      </c>
      <c r="P72" s="49">
        <f t="shared" si="0"/>
        <v>1.3349496059926897</v>
      </c>
      <c r="Q72" s="1">
        <f t="shared" si="1"/>
        <v>1.422540085147955</v>
      </c>
      <c r="R72" s="1">
        <f t="shared" si="4"/>
        <v>1.4380210224324559</v>
      </c>
      <c r="S72" s="10">
        <f t="shared" si="3"/>
        <v>1.3787448455703224</v>
      </c>
      <c r="T72" s="45" cm="1">
        <f t="array" ref="T72">SUMPRODUCT(P72:S72 * P$3:S$3) / SUM(P$3:S$3)</f>
        <v>1.3946019865610555</v>
      </c>
    </row>
    <row r="73" spans="1:20" ht="16.5" customHeight="1" x14ac:dyDescent="0.25">
      <c r="A73" s="5" t="s">
        <v>7189</v>
      </c>
      <c r="B73" s="16" t="s">
        <v>7712</v>
      </c>
      <c r="C73" s="4" t="s">
        <v>8796</v>
      </c>
      <c r="D73" s="4" t="s">
        <v>8927</v>
      </c>
      <c r="E73" s="12" t="s">
        <v>406</v>
      </c>
      <c r="F73" s="75" t="s">
        <v>7775</v>
      </c>
      <c r="G73" s="3">
        <v>8</v>
      </c>
      <c r="H73" s="3" t="s">
        <v>404</v>
      </c>
      <c r="I73" s="68" t="s">
        <v>260</v>
      </c>
      <c r="J73" s="72">
        <v>1.2</v>
      </c>
      <c r="L73" s="9">
        <v>36.549999999999997</v>
      </c>
      <c r="M73" s="3">
        <v>113.82</v>
      </c>
      <c r="N73" s="66" t="s">
        <v>8273</v>
      </c>
      <c r="O73" s="5" t="s">
        <v>8714</v>
      </c>
      <c r="P73" s="49">
        <f t="shared" si="0"/>
        <v>1.3349496059926897</v>
      </c>
      <c r="Q73" s="1">
        <f t="shared" si="1"/>
        <v>1.422540085147955</v>
      </c>
      <c r="R73" s="1">
        <f t="shared" si="4"/>
        <v>1.4380210224324559</v>
      </c>
      <c r="S73" s="10">
        <f t="shared" si="3"/>
        <v>1.3787448455703224</v>
      </c>
      <c r="T73" s="45" cm="1">
        <f t="array" ref="T73">SUMPRODUCT(P73:S73 * P$3:S$3) / SUM(P$3:S$3)</f>
        <v>1.3946019865610555</v>
      </c>
    </row>
    <row r="74" spans="1:20" ht="16.5" customHeight="1" x14ac:dyDescent="0.25">
      <c r="A74" s="5" t="s">
        <v>7153</v>
      </c>
      <c r="B74" s="16" t="s">
        <v>7538</v>
      </c>
      <c r="C74" s="4" t="s">
        <v>8797</v>
      </c>
      <c r="D74" s="4" t="s">
        <v>8927</v>
      </c>
      <c r="E74" s="12" t="s">
        <v>406</v>
      </c>
      <c r="F74" s="75" t="s">
        <v>7775</v>
      </c>
      <c r="G74" s="3">
        <v>8</v>
      </c>
      <c r="H74" s="3" t="s">
        <v>404</v>
      </c>
      <c r="I74" s="68" t="s">
        <v>7792</v>
      </c>
      <c r="J74" s="72">
        <v>1.2</v>
      </c>
      <c r="L74" s="9">
        <v>24.29</v>
      </c>
      <c r="M74" s="3">
        <v>58.69</v>
      </c>
      <c r="N74" s="66" t="s">
        <v>8099</v>
      </c>
      <c r="O74" s="5" t="s">
        <v>8576</v>
      </c>
      <c r="P74" s="49">
        <f t="shared" ref="P74:P137" si="5">(((F74/F$9)^F$7 * F$2 + (I74/I$9)^I$7 * I$2 + (J74/J$9)^J$7 * J$2) * (1+M$3*(MIN(H74,M$2)-1)+M$4*(H74-MIN(H74,M$2))) + (G74/G$9)^G$7 * G$2)  * P$9</f>
        <v>1.3142143611746617</v>
      </c>
      <c r="Q74" s="1">
        <f t="shared" ref="Q74:Q137" si="6">(((F74/F$9)^F$7 * F$3 + (I74/I$9)^I$7 * I$3 + (J74/J$9)^J$7 * J$3) * (1+M$3*(MIN(H74,M$2)-1)+M$4*(H74-MIN(H74,M$2))) + (G74/G$9)^G$7 * G$3)  * P$9</f>
        <v>1.4121724627389409</v>
      </c>
      <c r="R74" s="1">
        <f t="shared" si="4"/>
        <v>1.427653400023442</v>
      </c>
      <c r="S74" s="10">
        <f t="shared" ref="S74:S137" si="7">(((F74/F$9)^F$7 * F$5 + (I74/I$9)^I$7 * I$5 + (J74/J$9)^J$7 * J$5) * (1+M$3*(MIN(H74,M$2)-1)+M$4*(H74-MIN(H74,M$2))) + (G74/G$9)^G$7 * G$5)  * P$9</f>
        <v>1.3631934119568014</v>
      </c>
      <c r="T74" s="45" cm="1">
        <f t="array" ref="T74">SUMPRODUCT(P74:S74 * P$3:S$3) / SUM(P$3:S$3)</f>
        <v>1.3806455717796906</v>
      </c>
    </row>
    <row r="75" spans="1:20" ht="16.5" customHeight="1" x14ac:dyDescent="0.25">
      <c r="A75" s="5" t="s">
        <v>7132</v>
      </c>
      <c r="B75" s="16" t="s">
        <v>7516</v>
      </c>
      <c r="C75" s="4" t="s">
        <v>8797</v>
      </c>
      <c r="D75" s="4" t="s">
        <v>8927</v>
      </c>
      <c r="E75" s="12" t="s">
        <v>406</v>
      </c>
      <c r="F75" s="75" t="s">
        <v>7775</v>
      </c>
      <c r="G75" s="3">
        <v>8</v>
      </c>
      <c r="H75" s="3" t="s">
        <v>404</v>
      </c>
      <c r="I75" s="68" t="s">
        <v>7792</v>
      </c>
      <c r="J75" s="72">
        <v>1.2</v>
      </c>
      <c r="L75" s="9">
        <v>22.29</v>
      </c>
      <c r="M75" s="3">
        <v>39.9</v>
      </c>
      <c r="N75" s="66" t="s">
        <v>8077</v>
      </c>
      <c r="O75" s="5" t="s">
        <v>8555</v>
      </c>
      <c r="P75" s="49">
        <f t="shared" si="5"/>
        <v>1.3142143611746617</v>
      </c>
      <c r="Q75" s="1">
        <f t="shared" si="6"/>
        <v>1.4121724627389409</v>
      </c>
      <c r="R75" s="1">
        <f t="shared" si="4"/>
        <v>1.427653400023442</v>
      </c>
      <c r="S75" s="10">
        <f t="shared" si="7"/>
        <v>1.3631934119568014</v>
      </c>
      <c r="T75" s="45" cm="1">
        <f t="array" ref="T75">SUMPRODUCT(P75:S75 * P$3:S$3) / SUM(P$3:S$3)</f>
        <v>1.3806455717796906</v>
      </c>
    </row>
    <row r="76" spans="1:20" ht="16.5" customHeight="1" x14ac:dyDescent="0.25">
      <c r="A76" s="5" t="s">
        <v>7126</v>
      </c>
      <c r="B76" s="16" t="s">
        <v>7508</v>
      </c>
      <c r="C76" s="4" t="s">
        <v>8797</v>
      </c>
      <c r="D76" s="4" t="s">
        <v>8927</v>
      </c>
      <c r="E76" s="12" t="s">
        <v>406</v>
      </c>
      <c r="F76" s="75" t="s">
        <v>7775</v>
      </c>
      <c r="G76" s="3">
        <v>8</v>
      </c>
      <c r="H76" s="3" t="s">
        <v>404</v>
      </c>
      <c r="I76" s="68" t="s">
        <v>7793</v>
      </c>
      <c r="J76" s="72">
        <v>1.2</v>
      </c>
      <c r="L76" s="9">
        <v>34.840000000000003</v>
      </c>
      <c r="M76" s="3">
        <v>60.68</v>
      </c>
      <c r="N76" s="66" t="s">
        <v>8069</v>
      </c>
      <c r="O76" s="5" t="s">
        <v>8547</v>
      </c>
      <c r="P76" s="49">
        <f t="shared" si="5"/>
        <v>1.3433058566227225</v>
      </c>
      <c r="Q76" s="1">
        <f t="shared" si="6"/>
        <v>1.4267182104629712</v>
      </c>
      <c r="R76" s="1">
        <f t="shared" si="4"/>
        <v>1.4421991477474725</v>
      </c>
      <c r="S76" s="10">
        <f t="shared" si="7"/>
        <v>1.3850120335428469</v>
      </c>
      <c r="T76" s="45" cm="1">
        <f t="array" ref="T76">SUMPRODUCT(P76:S76 * P$3:S$3) / SUM(P$3:S$3)</f>
        <v>1.4002263860235777</v>
      </c>
    </row>
    <row r="77" spans="1:20" ht="16.5" customHeight="1" x14ac:dyDescent="0.25">
      <c r="A77" s="5" t="s">
        <v>7049</v>
      </c>
      <c r="B77" s="16" t="s">
        <v>7385</v>
      </c>
      <c r="C77" s="4" t="s">
        <v>8798</v>
      </c>
      <c r="D77" s="4" t="s">
        <v>8927</v>
      </c>
      <c r="E77" s="12" t="s">
        <v>406</v>
      </c>
      <c r="F77" s="75" t="s">
        <v>7775</v>
      </c>
      <c r="G77" s="3">
        <v>8</v>
      </c>
      <c r="H77" s="3" t="s">
        <v>404</v>
      </c>
      <c r="I77" s="68" t="s">
        <v>260</v>
      </c>
      <c r="J77" s="72">
        <v>1.2</v>
      </c>
      <c r="L77" s="9">
        <v>44.49</v>
      </c>
      <c r="M77" s="3">
        <v>105.99</v>
      </c>
      <c r="N77" s="66" t="s">
        <v>7946</v>
      </c>
      <c r="O77" s="5" t="s">
        <v>8438</v>
      </c>
      <c r="P77" s="49">
        <f t="shared" si="5"/>
        <v>1.3349496059926897</v>
      </c>
      <c r="Q77" s="1">
        <f t="shared" si="6"/>
        <v>1.422540085147955</v>
      </c>
      <c r="R77" s="1">
        <f t="shared" si="4"/>
        <v>1.4380210224324559</v>
      </c>
      <c r="S77" s="10">
        <f t="shared" si="7"/>
        <v>1.3787448455703224</v>
      </c>
      <c r="T77" s="45" cm="1">
        <f t="array" ref="T77">SUMPRODUCT(P77:S77 * P$3:S$3) / SUM(P$3:S$3)</f>
        <v>1.3946019865610555</v>
      </c>
    </row>
    <row r="78" spans="1:20" ht="16.5" customHeight="1" x14ac:dyDescent="0.25">
      <c r="A78" s="5" t="s">
        <v>7206</v>
      </c>
      <c r="B78" s="16" t="s">
        <v>7694</v>
      </c>
      <c r="C78" s="4" t="s">
        <v>8796</v>
      </c>
      <c r="D78" s="4" t="s">
        <v>8928</v>
      </c>
      <c r="E78" s="12" t="s">
        <v>406</v>
      </c>
      <c r="F78" s="75" t="s">
        <v>7775</v>
      </c>
      <c r="G78" s="3">
        <v>8</v>
      </c>
      <c r="H78" s="3" t="s">
        <v>419</v>
      </c>
      <c r="I78" s="68" t="s">
        <v>260</v>
      </c>
      <c r="J78" s="72">
        <v>1.2</v>
      </c>
      <c r="L78" s="9">
        <v>72.900000000000006</v>
      </c>
      <c r="M78" s="3">
        <v>123</v>
      </c>
      <c r="N78" s="66" t="s">
        <v>8255</v>
      </c>
      <c r="O78" s="5" t="s">
        <v>8701</v>
      </c>
      <c r="P78" s="49">
        <f t="shared" si="5"/>
        <v>1.3811822333479049</v>
      </c>
      <c r="Q78" s="1">
        <f t="shared" si="6"/>
        <v>1.4558285045365942</v>
      </c>
      <c r="R78" s="1">
        <f t="shared" si="4"/>
        <v>1.4677233889655794</v>
      </c>
      <c r="S78" s="10">
        <f t="shared" si="7"/>
        <v>1.4185053689422495</v>
      </c>
      <c r="T78" s="45" cm="1">
        <f t="array" ref="T78">SUMPRODUCT(P78:S78 * P$3:S$3) / SUM(P$3:S$3)</f>
        <v>1.43181939288343</v>
      </c>
    </row>
    <row r="79" spans="1:20" ht="16.5" customHeight="1" x14ac:dyDescent="0.25">
      <c r="A79" s="5" t="s">
        <v>7224</v>
      </c>
      <c r="B79" s="16" t="s">
        <v>7740</v>
      </c>
      <c r="C79" s="4" t="s">
        <v>8796</v>
      </c>
      <c r="D79" s="4" t="s">
        <v>8929</v>
      </c>
      <c r="E79" s="12" t="s">
        <v>406</v>
      </c>
      <c r="F79" s="75" t="s">
        <v>7775</v>
      </c>
      <c r="G79" s="3">
        <v>16</v>
      </c>
      <c r="H79" s="3" t="s">
        <v>6736</v>
      </c>
      <c r="I79" s="68" t="s">
        <v>7794</v>
      </c>
      <c r="J79" s="72">
        <v>1.2</v>
      </c>
      <c r="K79" s="14" t="s">
        <v>450</v>
      </c>
      <c r="L79" s="9">
        <v>33.49</v>
      </c>
      <c r="M79" s="3">
        <v>62.53</v>
      </c>
      <c r="N79" s="66" t="s">
        <v>8301</v>
      </c>
      <c r="O79" s="5" t="s">
        <v>8742</v>
      </c>
      <c r="P79" s="49">
        <f t="shared" si="5"/>
        <v>1.602139873836963</v>
      </c>
      <c r="Q79" s="1">
        <f t="shared" si="6"/>
        <v>1.906128026306237</v>
      </c>
      <c r="R79" s="1">
        <f t="shared" si="4"/>
        <v>1.9741275414601616</v>
      </c>
      <c r="S79" s="10">
        <f t="shared" si="7"/>
        <v>1.7541339500716</v>
      </c>
      <c r="T79" s="45" cm="1">
        <f t="array" ref="T79">SUMPRODUCT(P79:S79 * P$3:S$3) / SUM(P$3:S$3)</f>
        <v>1.8113628220136309</v>
      </c>
    </row>
    <row r="80" spans="1:20" ht="16.5" customHeight="1" x14ac:dyDescent="0.25">
      <c r="A80" s="5" t="s">
        <v>7218</v>
      </c>
      <c r="B80" s="16" t="s">
        <v>7724</v>
      </c>
      <c r="C80" s="4" t="s">
        <v>8796</v>
      </c>
      <c r="D80" s="4" t="s">
        <v>8929</v>
      </c>
      <c r="E80" s="12" t="s">
        <v>406</v>
      </c>
      <c r="F80" s="75" t="s">
        <v>7775</v>
      </c>
      <c r="G80" s="3">
        <v>16</v>
      </c>
      <c r="H80" s="3" t="s">
        <v>6736</v>
      </c>
      <c r="I80" s="68" t="s">
        <v>260</v>
      </c>
      <c r="J80" s="72">
        <v>1.35</v>
      </c>
      <c r="L80" s="9">
        <v>31.49</v>
      </c>
      <c r="M80" s="3">
        <v>103.9</v>
      </c>
      <c r="N80" s="66" t="s">
        <v>8285</v>
      </c>
      <c r="O80" s="5" t="s">
        <v>8726</v>
      </c>
      <c r="P80" s="49">
        <f t="shared" si="5"/>
        <v>1.6100671684143579</v>
      </c>
      <c r="Q80" s="1">
        <f t="shared" si="6"/>
        <v>1.9070319573195749</v>
      </c>
      <c r="R80" s="1">
        <f t="shared" ref="R80:R143" si="8">(((F80/F$9)^F$7 * F$4 + (I80/I$9)^I$7 * I$4 + (J80/J$9)^J$7 * J$4) * (1+M$3*(MIN(H80,M$2)-1)+M$4*(H80-MIN(H80,M$2))) + (G80/G$9)^G$7 * G$4)  * P$9</f>
        <v>1.9750314724734994</v>
      </c>
      <c r="S80" s="10">
        <f t="shared" si="7"/>
        <v>1.7585495628669663</v>
      </c>
      <c r="T80" s="45" cm="1">
        <f t="array" ref="T80">SUMPRODUCT(P80:S80 * P$3:S$3) / SUM(P$3:S$3)</f>
        <v>1.8146979173376037</v>
      </c>
    </row>
    <row r="81" spans="1:20" ht="16.5" customHeight="1" x14ac:dyDescent="0.25">
      <c r="A81" s="5" t="s">
        <v>7160</v>
      </c>
      <c r="B81" s="16" t="s">
        <v>7547</v>
      </c>
      <c r="C81" s="4" t="s">
        <v>8797</v>
      </c>
      <c r="D81" s="4" t="s">
        <v>8929</v>
      </c>
      <c r="E81" s="12" t="s">
        <v>406</v>
      </c>
      <c r="F81" s="75" t="s">
        <v>7775</v>
      </c>
      <c r="G81" s="3">
        <v>16</v>
      </c>
      <c r="H81" s="3" t="s">
        <v>6736</v>
      </c>
      <c r="I81" s="68" t="s">
        <v>7792</v>
      </c>
      <c r="J81" s="72">
        <v>1.2</v>
      </c>
      <c r="L81" s="9">
        <v>22.29</v>
      </c>
      <c r="M81" s="3">
        <v>74</v>
      </c>
      <c r="N81" s="66" t="s">
        <v>8108</v>
      </c>
      <c r="O81" s="5" t="s">
        <v>8585</v>
      </c>
      <c r="P81" s="49">
        <f t="shared" si="5"/>
        <v>1.5960168628239044</v>
      </c>
      <c r="Q81" s="1">
        <f t="shared" si="6"/>
        <v>1.9030665207997077</v>
      </c>
      <c r="R81" s="1">
        <f t="shared" si="8"/>
        <v>1.9710660359536325</v>
      </c>
      <c r="S81" s="10">
        <f t="shared" si="7"/>
        <v>1.7495416918118063</v>
      </c>
      <c r="T81" s="45" cm="1">
        <f t="array" ref="T81">SUMPRODUCT(P81:S81 * P$3:S$3) / SUM(P$3:S$3)</f>
        <v>1.8072415646009952</v>
      </c>
    </row>
    <row r="82" spans="1:20" ht="16.5" customHeight="1" x14ac:dyDescent="0.25">
      <c r="A82" s="5" t="s">
        <v>7045</v>
      </c>
      <c r="B82" s="16" t="s">
        <v>7363</v>
      </c>
      <c r="C82" s="4" t="s">
        <v>8798</v>
      </c>
      <c r="D82" s="4" t="s">
        <v>8929</v>
      </c>
      <c r="E82" s="12" t="s">
        <v>406</v>
      </c>
      <c r="F82" s="75" t="s">
        <v>7775</v>
      </c>
      <c r="G82" s="3">
        <v>16</v>
      </c>
      <c r="H82" s="3" t="s">
        <v>6736</v>
      </c>
      <c r="I82" s="68" t="s">
        <v>260</v>
      </c>
      <c r="J82" s="72">
        <v>1.2</v>
      </c>
      <c r="K82" s="14" t="s">
        <v>5476</v>
      </c>
      <c r="L82" s="9">
        <v>52.17</v>
      </c>
      <c r="M82" s="3">
        <v>217.53</v>
      </c>
      <c r="N82" s="66" t="s">
        <v>7924</v>
      </c>
      <c r="O82" s="5" t="s">
        <v>8421</v>
      </c>
      <c r="P82" s="49">
        <f t="shared" si="5"/>
        <v>1.6161866009650772</v>
      </c>
      <c r="Q82" s="1">
        <f t="shared" si="6"/>
        <v>1.9131513898702939</v>
      </c>
      <c r="R82" s="1">
        <f t="shared" si="8"/>
        <v>1.9811509050242186</v>
      </c>
      <c r="S82" s="10">
        <f t="shared" si="7"/>
        <v>1.7646689954176855</v>
      </c>
      <c r="T82" s="45" cm="1">
        <f t="array" ref="T82">SUMPRODUCT(P82:S82 * P$3:S$3) / SUM(P$3:S$3)</f>
        <v>1.8208173498883224</v>
      </c>
    </row>
    <row r="83" spans="1:20" ht="16.5" customHeight="1" x14ac:dyDescent="0.25">
      <c r="A83" s="5" t="s">
        <v>7045</v>
      </c>
      <c r="B83" s="16" t="s">
        <v>7395</v>
      </c>
      <c r="C83" s="4" t="s">
        <v>8798</v>
      </c>
      <c r="D83" s="4" t="s">
        <v>8929</v>
      </c>
      <c r="E83" s="12" t="s">
        <v>406</v>
      </c>
      <c r="F83" s="75" t="s">
        <v>7775</v>
      </c>
      <c r="G83" s="3">
        <v>16</v>
      </c>
      <c r="H83" s="3" t="s">
        <v>6736</v>
      </c>
      <c r="I83" s="68" t="s">
        <v>260</v>
      </c>
      <c r="J83" s="72">
        <v>1.2</v>
      </c>
      <c r="L83" s="9">
        <v>76.5</v>
      </c>
      <c r="M83" s="3">
        <v>77.14</v>
      </c>
      <c r="N83" s="66" t="s">
        <v>7956</v>
      </c>
      <c r="O83" s="5" t="s">
        <v>8448</v>
      </c>
      <c r="P83" s="49">
        <f t="shared" si="5"/>
        <v>1.6161866009650772</v>
      </c>
      <c r="Q83" s="1">
        <f t="shared" si="6"/>
        <v>1.9131513898702939</v>
      </c>
      <c r="R83" s="1">
        <f t="shared" si="8"/>
        <v>1.9811509050242186</v>
      </c>
      <c r="S83" s="10">
        <f t="shared" si="7"/>
        <v>1.7646689954176855</v>
      </c>
      <c r="T83" s="45" cm="1">
        <f t="array" ref="T83">SUMPRODUCT(P83:S83 * P$3:S$3) / SUM(P$3:S$3)</f>
        <v>1.8208173498883224</v>
      </c>
    </row>
    <row r="84" spans="1:20" ht="16.5" customHeight="1" x14ac:dyDescent="0.25">
      <c r="A84" s="5" t="s">
        <v>6984</v>
      </c>
      <c r="B84" s="16" t="s">
        <v>7251</v>
      </c>
      <c r="C84" s="4" t="s">
        <v>8798</v>
      </c>
      <c r="D84" s="4" t="s">
        <v>8929</v>
      </c>
      <c r="E84" s="12" t="s">
        <v>406</v>
      </c>
      <c r="F84" s="75" t="s">
        <v>7775</v>
      </c>
      <c r="G84" s="3">
        <v>16</v>
      </c>
      <c r="H84" s="3" t="s">
        <v>6736</v>
      </c>
      <c r="I84" s="68" t="s">
        <v>7792</v>
      </c>
      <c r="J84" s="72">
        <v>1.2</v>
      </c>
      <c r="L84" s="9">
        <v>67.459999999999994</v>
      </c>
      <c r="M84" s="3">
        <v>82.61</v>
      </c>
      <c r="N84" s="66" t="s">
        <v>7812</v>
      </c>
      <c r="O84" s="5" t="s">
        <v>8339</v>
      </c>
      <c r="P84" s="49">
        <f t="shared" si="5"/>
        <v>1.5960168628239044</v>
      </c>
      <c r="Q84" s="1">
        <f t="shared" si="6"/>
        <v>1.9030665207997077</v>
      </c>
      <c r="R84" s="1">
        <f t="shared" si="8"/>
        <v>1.9710660359536325</v>
      </c>
      <c r="S84" s="10">
        <f t="shared" si="7"/>
        <v>1.7495416918118063</v>
      </c>
      <c r="T84" s="45" cm="1">
        <f t="array" ref="T84">SUMPRODUCT(P84:S84 * P$3:S$3) / SUM(P$3:S$3)</f>
        <v>1.8072415646009952</v>
      </c>
    </row>
    <row r="85" spans="1:20" ht="16.5" customHeight="1" x14ac:dyDescent="0.25">
      <c r="A85" s="5" t="s">
        <v>6984</v>
      </c>
      <c r="B85" s="16" t="s">
        <v>7252</v>
      </c>
      <c r="C85" s="4" t="s">
        <v>8798</v>
      </c>
      <c r="D85" s="4" t="s">
        <v>8929</v>
      </c>
      <c r="E85" s="12" t="s">
        <v>406</v>
      </c>
      <c r="F85" s="75" t="s">
        <v>7775</v>
      </c>
      <c r="G85" s="3">
        <v>16</v>
      </c>
      <c r="H85" s="3" t="s">
        <v>6736</v>
      </c>
      <c r="I85" s="68" t="s">
        <v>7792</v>
      </c>
      <c r="J85" s="72">
        <v>1.2</v>
      </c>
      <c r="L85" s="9">
        <v>63.9</v>
      </c>
      <c r="M85" s="3">
        <v>93.96</v>
      </c>
      <c r="N85" s="66" t="s">
        <v>7813</v>
      </c>
      <c r="O85" s="5" t="s">
        <v>8339</v>
      </c>
      <c r="P85" s="49">
        <f t="shared" si="5"/>
        <v>1.5960168628239044</v>
      </c>
      <c r="Q85" s="1">
        <f t="shared" si="6"/>
        <v>1.9030665207997077</v>
      </c>
      <c r="R85" s="1">
        <f t="shared" si="8"/>
        <v>1.9710660359536325</v>
      </c>
      <c r="S85" s="10">
        <f t="shared" si="7"/>
        <v>1.7495416918118063</v>
      </c>
      <c r="T85" s="45" cm="1">
        <f t="array" ref="T85">SUMPRODUCT(P85:S85 * P$3:S$3) / SUM(P$3:S$3)</f>
        <v>1.8072415646009952</v>
      </c>
    </row>
    <row r="86" spans="1:20" ht="16.5" customHeight="1" x14ac:dyDescent="0.25">
      <c r="A86" s="5" t="s">
        <v>6984</v>
      </c>
      <c r="B86" s="16" t="s">
        <v>7253</v>
      </c>
      <c r="C86" s="4" t="s">
        <v>8798</v>
      </c>
      <c r="D86" s="4" t="s">
        <v>8929</v>
      </c>
      <c r="E86" s="12" t="s">
        <v>406</v>
      </c>
      <c r="F86" s="75" t="s">
        <v>7775</v>
      </c>
      <c r="G86" s="3">
        <v>16</v>
      </c>
      <c r="H86" s="3" t="s">
        <v>6736</v>
      </c>
      <c r="I86" s="68" t="s">
        <v>7792</v>
      </c>
      <c r="J86" s="72">
        <v>1.2</v>
      </c>
      <c r="L86" s="9">
        <v>68.17</v>
      </c>
      <c r="M86" s="3">
        <v>93.9</v>
      </c>
      <c r="N86" s="66" t="s">
        <v>7814</v>
      </c>
      <c r="O86" s="5" t="s">
        <v>8339</v>
      </c>
      <c r="P86" s="49">
        <f t="shared" si="5"/>
        <v>1.5960168628239044</v>
      </c>
      <c r="Q86" s="1">
        <f t="shared" si="6"/>
        <v>1.9030665207997077</v>
      </c>
      <c r="R86" s="1">
        <f t="shared" si="8"/>
        <v>1.9710660359536325</v>
      </c>
      <c r="S86" s="10">
        <f t="shared" si="7"/>
        <v>1.7495416918118063</v>
      </c>
      <c r="T86" s="45" cm="1">
        <f t="array" ref="T86">SUMPRODUCT(P86:S86 * P$3:S$3) / SUM(P$3:S$3)</f>
        <v>1.8072415646009952</v>
      </c>
    </row>
    <row r="87" spans="1:20" ht="16.5" customHeight="1" x14ac:dyDescent="0.25">
      <c r="A87" s="5" t="s">
        <v>6984</v>
      </c>
      <c r="B87" s="16" t="s">
        <v>7254</v>
      </c>
      <c r="C87" s="4" t="s">
        <v>8798</v>
      </c>
      <c r="D87" s="4" t="s">
        <v>8929</v>
      </c>
      <c r="E87" s="12" t="s">
        <v>406</v>
      </c>
      <c r="F87" s="75" t="s">
        <v>7775</v>
      </c>
      <c r="G87" s="3">
        <v>16</v>
      </c>
      <c r="H87" s="3" t="s">
        <v>6736</v>
      </c>
      <c r="I87" s="68" t="s">
        <v>7792</v>
      </c>
      <c r="J87" s="72">
        <v>1.2</v>
      </c>
      <c r="L87" s="9">
        <v>61.78</v>
      </c>
      <c r="M87" s="3">
        <v>109.9</v>
      </c>
      <c r="N87" s="66" t="s">
        <v>7815</v>
      </c>
      <c r="O87" s="5" t="s">
        <v>8339</v>
      </c>
      <c r="P87" s="49">
        <f t="shared" si="5"/>
        <v>1.5960168628239044</v>
      </c>
      <c r="Q87" s="1">
        <f t="shared" si="6"/>
        <v>1.9030665207997077</v>
      </c>
      <c r="R87" s="1">
        <f t="shared" si="8"/>
        <v>1.9710660359536325</v>
      </c>
      <c r="S87" s="10">
        <f t="shared" si="7"/>
        <v>1.7495416918118063</v>
      </c>
      <c r="T87" s="45" cm="1">
        <f t="array" ref="T87">SUMPRODUCT(P87:S87 * P$3:S$3) / SUM(P$3:S$3)</f>
        <v>1.8072415646009952</v>
      </c>
    </row>
    <row r="88" spans="1:20" ht="16.5" customHeight="1" x14ac:dyDescent="0.25">
      <c r="A88" s="5" t="s">
        <v>7196</v>
      </c>
      <c r="B88" s="16" t="s">
        <v>7648</v>
      </c>
      <c r="C88" s="4" t="s">
        <v>8796</v>
      </c>
      <c r="D88" s="4" t="s">
        <v>8930</v>
      </c>
      <c r="E88" s="12" t="s">
        <v>406</v>
      </c>
      <c r="F88" s="75" t="s">
        <v>7775</v>
      </c>
      <c r="G88" s="3">
        <v>16</v>
      </c>
      <c r="H88" s="3" t="s">
        <v>404</v>
      </c>
      <c r="I88" s="68" t="s">
        <v>260</v>
      </c>
      <c r="J88" s="72">
        <v>1.2</v>
      </c>
      <c r="K88" s="14" t="s">
        <v>6175</v>
      </c>
      <c r="L88" s="9">
        <v>79.900000000000006</v>
      </c>
      <c r="M88" s="3">
        <v>105.07</v>
      </c>
      <c r="N88" s="66" t="s">
        <v>8209</v>
      </c>
      <c r="O88" s="5" t="s">
        <v>8665</v>
      </c>
      <c r="P88" s="49">
        <f t="shared" si="5"/>
        <v>1.639302914642685</v>
      </c>
      <c r="Q88" s="1">
        <f t="shared" si="6"/>
        <v>1.9297955995646137</v>
      </c>
      <c r="R88" s="1">
        <f t="shared" si="8"/>
        <v>1.9960020882907803</v>
      </c>
      <c r="S88" s="10">
        <f t="shared" si="7"/>
        <v>1.7845492571036492</v>
      </c>
      <c r="T88" s="45" cm="1">
        <f t="array" ref="T88">SUMPRODUCT(P88:S88 * P$3:S$3) / SUM(P$3:S$3)</f>
        <v>1.8394260530495101</v>
      </c>
    </row>
    <row r="89" spans="1:20" ht="16.5" customHeight="1" x14ac:dyDescent="0.25">
      <c r="A89" s="5" t="s">
        <v>7196</v>
      </c>
      <c r="B89" s="16" t="s">
        <v>7695</v>
      </c>
      <c r="C89" s="4" t="s">
        <v>8796</v>
      </c>
      <c r="D89" s="4" t="s">
        <v>8930</v>
      </c>
      <c r="E89" s="12" t="s">
        <v>406</v>
      </c>
      <c r="F89" s="75" t="s">
        <v>7775</v>
      </c>
      <c r="G89" s="3">
        <v>16</v>
      </c>
      <c r="H89" s="3" t="s">
        <v>404</v>
      </c>
      <c r="I89" s="68" t="s">
        <v>260</v>
      </c>
      <c r="J89" s="72">
        <v>1.2</v>
      </c>
      <c r="K89" s="14" t="s">
        <v>450</v>
      </c>
      <c r="L89" s="9">
        <v>64.900000000000006</v>
      </c>
      <c r="M89" s="3">
        <v>104</v>
      </c>
      <c r="N89" s="66" t="s">
        <v>8256</v>
      </c>
      <c r="O89" s="5" t="s">
        <v>8701</v>
      </c>
      <c r="P89" s="49">
        <f t="shared" si="5"/>
        <v>1.639302914642685</v>
      </c>
      <c r="Q89" s="1">
        <f t="shared" si="6"/>
        <v>1.9297955995646137</v>
      </c>
      <c r="R89" s="1">
        <f t="shared" si="8"/>
        <v>1.9960020882907803</v>
      </c>
      <c r="S89" s="10">
        <f t="shared" si="7"/>
        <v>1.7845492571036492</v>
      </c>
      <c r="T89" s="45" cm="1">
        <f t="array" ref="T89">SUMPRODUCT(P89:S89 * P$3:S$3) / SUM(P$3:S$3)</f>
        <v>1.8394260530495101</v>
      </c>
    </row>
    <row r="90" spans="1:20" ht="16.5" customHeight="1" x14ac:dyDescent="0.25">
      <c r="A90" s="5" t="s">
        <v>7196</v>
      </c>
      <c r="B90" s="16" t="s">
        <v>7734</v>
      </c>
      <c r="C90" s="4" t="s">
        <v>8796</v>
      </c>
      <c r="D90" s="4" t="s">
        <v>8930</v>
      </c>
      <c r="E90" s="12" t="s">
        <v>406</v>
      </c>
      <c r="F90" s="75" t="s">
        <v>7775</v>
      </c>
      <c r="G90" s="3">
        <v>16</v>
      </c>
      <c r="H90" s="3" t="s">
        <v>404</v>
      </c>
      <c r="I90" s="68" t="s">
        <v>260</v>
      </c>
      <c r="J90" s="72">
        <v>1.2</v>
      </c>
      <c r="K90" s="14" t="s">
        <v>450</v>
      </c>
      <c r="L90" s="9">
        <v>73.150000000000006</v>
      </c>
      <c r="M90" s="3">
        <v>90.72</v>
      </c>
      <c r="N90" s="66" t="s">
        <v>8295</v>
      </c>
      <c r="O90" s="5" t="s">
        <v>8736</v>
      </c>
      <c r="P90" s="49">
        <f t="shared" si="5"/>
        <v>1.639302914642685</v>
      </c>
      <c r="Q90" s="1">
        <f t="shared" si="6"/>
        <v>1.9297955995646137</v>
      </c>
      <c r="R90" s="1">
        <f t="shared" si="8"/>
        <v>1.9960020882907803</v>
      </c>
      <c r="S90" s="10">
        <f t="shared" si="7"/>
        <v>1.7845492571036492</v>
      </c>
      <c r="T90" s="45" cm="1">
        <f t="array" ref="T90">SUMPRODUCT(P90:S90 * P$3:S$3) / SUM(P$3:S$3)</f>
        <v>1.8394260530495101</v>
      </c>
    </row>
    <row r="91" spans="1:20" ht="16.5" customHeight="1" x14ac:dyDescent="0.25">
      <c r="A91" s="5" t="s">
        <v>7149</v>
      </c>
      <c r="B91" s="16" t="s">
        <v>7534</v>
      </c>
      <c r="C91" s="4" t="s">
        <v>8797</v>
      </c>
      <c r="D91" s="4" t="s">
        <v>8930</v>
      </c>
      <c r="E91" s="12" t="s">
        <v>406</v>
      </c>
      <c r="F91" s="75" t="s">
        <v>7775</v>
      </c>
      <c r="G91" s="3">
        <v>16</v>
      </c>
      <c r="H91" s="3" t="s">
        <v>404</v>
      </c>
      <c r="I91" s="68" t="s">
        <v>7792</v>
      </c>
      <c r="J91" s="72">
        <v>1.2</v>
      </c>
      <c r="L91" s="9">
        <v>45.29</v>
      </c>
      <c r="M91" s="3">
        <v>129.6</v>
      </c>
      <c r="N91" s="66" t="s">
        <v>8095</v>
      </c>
      <c r="O91" s="5" t="s">
        <v>8572</v>
      </c>
      <c r="P91" s="49">
        <f t="shared" si="5"/>
        <v>1.6185676698246569</v>
      </c>
      <c r="Q91" s="1">
        <f t="shared" si="6"/>
        <v>1.9194279771555998</v>
      </c>
      <c r="R91" s="1">
        <f t="shared" si="8"/>
        <v>1.9856344658817666</v>
      </c>
      <c r="S91" s="10">
        <f t="shared" si="7"/>
        <v>1.7689978234901282</v>
      </c>
      <c r="T91" s="45" cm="1">
        <f t="array" ref="T91">SUMPRODUCT(P91:S91 * P$3:S$3) / SUM(P$3:S$3)</f>
        <v>1.825469638268145</v>
      </c>
    </row>
    <row r="92" spans="1:20" ht="16.5" customHeight="1" x14ac:dyDescent="0.25">
      <c r="A92" s="5" t="s">
        <v>7038</v>
      </c>
      <c r="B92" s="16" t="s">
        <v>7348</v>
      </c>
      <c r="C92" s="4" t="s">
        <v>8798</v>
      </c>
      <c r="D92" s="4" t="s">
        <v>8930</v>
      </c>
      <c r="E92" s="12" t="s">
        <v>406</v>
      </c>
      <c r="F92" s="75" t="s">
        <v>7775</v>
      </c>
      <c r="G92" s="3">
        <v>16</v>
      </c>
      <c r="H92" s="3" t="s">
        <v>404</v>
      </c>
      <c r="I92" s="68" t="s">
        <v>260</v>
      </c>
      <c r="J92" s="72">
        <v>1.2</v>
      </c>
      <c r="K92" s="14" t="s">
        <v>5476</v>
      </c>
      <c r="L92" s="9">
        <v>105.77</v>
      </c>
      <c r="M92" s="3">
        <v>110.42</v>
      </c>
      <c r="N92" s="66" t="s">
        <v>7909</v>
      </c>
      <c r="O92" s="5" t="s">
        <v>8410</v>
      </c>
      <c r="P92" s="49">
        <f t="shared" si="5"/>
        <v>1.639302914642685</v>
      </c>
      <c r="Q92" s="1">
        <f t="shared" si="6"/>
        <v>1.9297955995646137</v>
      </c>
      <c r="R92" s="1">
        <f t="shared" si="8"/>
        <v>1.9960020882907803</v>
      </c>
      <c r="S92" s="10">
        <f t="shared" si="7"/>
        <v>1.7845492571036492</v>
      </c>
      <c r="T92" s="45" cm="1">
        <f t="array" ref="T92">SUMPRODUCT(P92:S92 * P$3:S$3) / SUM(P$3:S$3)</f>
        <v>1.8394260530495101</v>
      </c>
    </row>
    <row r="93" spans="1:20" ht="16.5" customHeight="1" x14ac:dyDescent="0.25">
      <c r="A93" s="5" t="s">
        <v>7038</v>
      </c>
      <c r="B93" s="16" t="s">
        <v>7349</v>
      </c>
      <c r="C93" s="4" t="s">
        <v>8798</v>
      </c>
      <c r="D93" s="4" t="s">
        <v>8930</v>
      </c>
      <c r="E93" s="12" t="s">
        <v>406</v>
      </c>
      <c r="F93" s="75" t="s">
        <v>7775</v>
      </c>
      <c r="G93" s="3">
        <v>16</v>
      </c>
      <c r="H93" s="3" t="s">
        <v>404</v>
      </c>
      <c r="I93" s="68" t="s">
        <v>260</v>
      </c>
      <c r="J93" s="72">
        <v>1.2</v>
      </c>
      <c r="K93" s="14" t="s">
        <v>5476</v>
      </c>
      <c r="L93" s="9">
        <v>85.77</v>
      </c>
      <c r="M93" s="3">
        <v>125.2</v>
      </c>
      <c r="N93" s="66" t="s">
        <v>7910</v>
      </c>
      <c r="O93" s="5" t="s">
        <v>8410</v>
      </c>
      <c r="P93" s="49">
        <f t="shared" si="5"/>
        <v>1.639302914642685</v>
      </c>
      <c r="Q93" s="1">
        <f t="shared" si="6"/>
        <v>1.9297955995646137</v>
      </c>
      <c r="R93" s="1">
        <f t="shared" si="8"/>
        <v>1.9960020882907803</v>
      </c>
      <c r="S93" s="10">
        <f t="shared" si="7"/>
        <v>1.7845492571036492</v>
      </c>
      <c r="T93" s="45" cm="1">
        <f t="array" ref="T93">SUMPRODUCT(P93:S93 * P$3:S$3) / SUM(P$3:S$3)</f>
        <v>1.8394260530495101</v>
      </c>
    </row>
    <row r="94" spans="1:20" ht="16.5" customHeight="1" x14ac:dyDescent="0.25">
      <c r="A94" s="5" t="s">
        <v>7202</v>
      </c>
      <c r="B94" s="16" t="s">
        <v>7680</v>
      </c>
      <c r="C94" s="4" t="s">
        <v>8796</v>
      </c>
      <c r="D94" s="4" t="s">
        <v>8931</v>
      </c>
      <c r="E94" s="12" t="s">
        <v>406</v>
      </c>
      <c r="F94" s="75" t="s">
        <v>7775</v>
      </c>
      <c r="G94" s="3">
        <v>16</v>
      </c>
      <c r="H94" s="3" t="s">
        <v>419</v>
      </c>
      <c r="I94" s="68" t="s">
        <v>260</v>
      </c>
      <c r="J94" s="72">
        <v>1.2</v>
      </c>
      <c r="L94" s="9">
        <v>125.9</v>
      </c>
      <c r="M94" s="3">
        <v>169.3</v>
      </c>
      <c r="N94" s="66" t="s">
        <v>8241</v>
      </c>
      <c r="O94" s="5" t="s">
        <v>8692</v>
      </c>
      <c r="P94" s="49">
        <f t="shared" si="5"/>
        <v>1.6855355419979001</v>
      </c>
      <c r="Q94" s="1">
        <f t="shared" si="6"/>
        <v>1.963084018953253</v>
      </c>
      <c r="R94" s="1">
        <f t="shared" si="8"/>
        <v>2.025704454823904</v>
      </c>
      <c r="S94" s="10">
        <f t="shared" si="7"/>
        <v>1.8243097804755766</v>
      </c>
      <c r="T94" s="45" cm="1">
        <f t="array" ref="T94">SUMPRODUCT(P94:S94 * P$3:S$3) / SUM(P$3:S$3)</f>
        <v>1.8766434593718846</v>
      </c>
    </row>
    <row r="95" spans="1:20" ht="16.5" customHeight="1" x14ac:dyDescent="0.25">
      <c r="A95" s="5" t="s">
        <v>7034</v>
      </c>
      <c r="B95" s="16" t="s">
        <v>7341</v>
      </c>
      <c r="C95" s="4" t="s">
        <v>8798</v>
      </c>
      <c r="D95" s="4" t="s">
        <v>8931</v>
      </c>
      <c r="E95" s="12" t="s">
        <v>406</v>
      </c>
      <c r="F95" s="75" t="s">
        <v>7775</v>
      </c>
      <c r="G95" s="3">
        <v>16</v>
      </c>
      <c r="H95" s="3" t="s">
        <v>419</v>
      </c>
      <c r="I95" s="68" t="s">
        <v>260</v>
      </c>
      <c r="J95" s="72">
        <v>1.2</v>
      </c>
      <c r="K95" s="14" t="s">
        <v>5476</v>
      </c>
      <c r="L95" s="9">
        <v>198</v>
      </c>
      <c r="M95" s="3">
        <v>206.71</v>
      </c>
      <c r="N95" s="66" t="s">
        <v>7902</v>
      </c>
      <c r="O95" s="5" t="s">
        <v>8405</v>
      </c>
      <c r="P95" s="49">
        <f t="shared" si="5"/>
        <v>1.6855355419979001</v>
      </c>
      <c r="Q95" s="1">
        <f t="shared" si="6"/>
        <v>1.963084018953253</v>
      </c>
      <c r="R95" s="1">
        <f t="shared" si="8"/>
        <v>2.025704454823904</v>
      </c>
      <c r="S95" s="10">
        <f t="shared" si="7"/>
        <v>1.8243097804755766</v>
      </c>
      <c r="T95" s="45" cm="1">
        <f t="array" ref="T95">SUMPRODUCT(P95:S95 * P$3:S$3) / SUM(P$3:S$3)</f>
        <v>1.8766434593718846</v>
      </c>
    </row>
    <row r="96" spans="1:20" ht="16.5" customHeight="1" x14ac:dyDescent="0.25">
      <c r="A96" s="5" t="s">
        <v>7034</v>
      </c>
      <c r="B96" s="16" t="s">
        <v>7342</v>
      </c>
      <c r="C96" s="4" t="s">
        <v>8798</v>
      </c>
      <c r="D96" s="4" t="s">
        <v>8931</v>
      </c>
      <c r="E96" s="12" t="s">
        <v>406</v>
      </c>
      <c r="F96" s="75" t="s">
        <v>7775</v>
      </c>
      <c r="G96" s="3">
        <v>16</v>
      </c>
      <c r="H96" s="3" t="s">
        <v>419</v>
      </c>
      <c r="I96" s="68" t="s">
        <v>260</v>
      </c>
      <c r="J96" s="72">
        <v>1.2</v>
      </c>
      <c r="K96" s="14" t="s">
        <v>5476</v>
      </c>
      <c r="L96" s="9">
        <v>129.1</v>
      </c>
      <c r="M96" s="3">
        <v>186.7</v>
      </c>
      <c r="N96" s="66" t="s">
        <v>7903</v>
      </c>
      <c r="O96" s="5" t="s">
        <v>8405</v>
      </c>
      <c r="P96" s="49">
        <f t="shared" si="5"/>
        <v>1.6855355419979001</v>
      </c>
      <c r="Q96" s="1">
        <f t="shared" si="6"/>
        <v>1.963084018953253</v>
      </c>
      <c r="R96" s="1">
        <f t="shared" si="8"/>
        <v>2.025704454823904</v>
      </c>
      <c r="S96" s="10">
        <f t="shared" si="7"/>
        <v>1.8243097804755766</v>
      </c>
      <c r="T96" s="45" cm="1">
        <f t="array" ref="T96">SUMPRODUCT(P96:S96 * P$3:S$3) / SUM(P$3:S$3)</f>
        <v>1.8766434593718846</v>
      </c>
    </row>
    <row r="97" spans="1:20" ht="16.5" customHeight="1" x14ac:dyDescent="0.25">
      <c r="A97" s="5" t="s">
        <v>7034</v>
      </c>
      <c r="B97" s="16" t="s">
        <v>7376</v>
      </c>
      <c r="C97" s="4" t="s">
        <v>8798</v>
      </c>
      <c r="D97" s="4" t="s">
        <v>8931</v>
      </c>
      <c r="E97" s="12" t="s">
        <v>406</v>
      </c>
      <c r="F97" s="75" t="s">
        <v>7775</v>
      </c>
      <c r="G97" s="3">
        <v>16</v>
      </c>
      <c r="H97" s="3" t="s">
        <v>419</v>
      </c>
      <c r="I97" s="68" t="s">
        <v>260</v>
      </c>
      <c r="J97" s="72">
        <v>1.2</v>
      </c>
      <c r="L97" s="9">
        <v>299.98</v>
      </c>
      <c r="M97" s="3">
        <v>313.17</v>
      </c>
      <c r="N97" s="66" t="s">
        <v>7937</v>
      </c>
      <c r="O97" s="5" t="s">
        <v>8431</v>
      </c>
      <c r="P97" s="49">
        <f t="shared" si="5"/>
        <v>1.6855355419979001</v>
      </c>
      <c r="Q97" s="1">
        <f t="shared" si="6"/>
        <v>1.963084018953253</v>
      </c>
      <c r="R97" s="1">
        <f t="shared" si="8"/>
        <v>2.025704454823904</v>
      </c>
      <c r="S97" s="10">
        <f t="shared" si="7"/>
        <v>1.8243097804755766</v>
      </c>
      <c r="T97" s="45" cm="1">
        <f t="array" ref="T97">SUMPRODUCT(P97:S97 * P$3:S$3) / SUM(P$3:S$3)</f>
        <v>1.8766434593718846</v>
      </c>
    </row>
    <row r="98" spans="1:20" ht="16.5" customHeight="1" x14ac:dyDescent="0.25">
      <c r="A98" s="5" t="s">
        <v>7223</v>
      </c>
      <c r="B98" s="16" t="s">
        <v>7739</v>
      </c>
      <c r="C98" s="4" t="s">
        <v>8796</v>
      </c>
      <c r="D98" s="4" t="s">
        <v>8932</v>
      </c>
      <c r="E98" s="12" t="s">
        <v>406</v>
      </c>
      <c r="F98" s="75" t="s">
        <v>7775</v>
      </c>
      <c r="G98" s="3">
        <v>32</v>
      </c>
      <c r="H98" s="3" t="s">
        <v>6736</v>
      </c>
      <c r="I98" s="68" t="s">
        <v>7794</v>
      </c>
      <c r="J98" s="72">
        <v>1.2</v>
      </c>
      <c r="K98" s="14" t="s">
        <v>450</v>
      </c>
      <c r="L98" s="9">
        <v>51</v>
      </c>
      <c r="M98" s="3">
        <v>99.9</v>
      </c>
      <c r="N98" s="66" t="s">
        <v>8300</v>
      </c>
      <c r="O98" s="5" t="s">
        <v>8741</v>
      </c>
      <c r="P98" s="49">
        <f t="shared" si="5"/>
        <v>2.0965632824167777</v>
      </c>
      <c r="Q98" s="1">
        <f t="shared" si="6"/>
        <v>2.7301670406059286</v>
      </c>
      <c r="R98" s="1">
        <f t="shared" si="8"/>
        <v>2.8805704571898225</v>
      </c>
      <c r="S98" s="10">
        <f t="shared" si="7"/>
        <v>2.4133651615113534</v>
      </c>
      <c r="T98" s="45" cm="1">
        <f t="array" ref="T98">SUMPRODUCT(P98:S98 * P$3:S$3) / SUM(P$3:S$3)</f>
        <v>2.5339816499379757</v>
      </c>
    </row>
    <row r="99" spans="1:20" ht="16.5" customHeight="1" x14ac:dyDescent="0.25">
      <c r="A99" s="5" t="s">
        <v>7216</v>
      </c>
      <c r="B99" s="16" t="s">
        <v>7721</v>
      </c>
      <c r="C99" s="4" t="s">
        <v>8796</v>
      </c>
      <c r="D99" s="4" t="s">
        <v>8932</v>
      </c>
      <c r="E99" s="12" t="s">
        <v>406</v>
      </c>
      <c r="F99" s="75" t="s">
        <v>7775</v>
      </c>
      <c r="G99" s="3">
        <v>32</v>
      </c>
      <c r="H99" s="3" t="s">
        <v>6736</v>
      </c>
      <c r="I99" s="68" t="s">
        <v>260</v>
      </c>
      <c r="J99" s="72">
        <v>1.2</v>
      </c>
      <c r="L99" s="9">
        <v>58.9</v>
      </c>
      <c r="M99" s="3">
        <v>87.9</v>
      </c>
      <c r="N99" s="66" t="s">
        <v>8282</v>
      </c>
      <c r="O99" s="5" t="s">
        <v>8723</v>
      </c>
      <c r="P99" s="49">
        <f t="shared" si="5"/>
        <v>2.1106100095448923</v>
      </c>
      <c r="Q99" s="1">
        <f t="shared" si="6"/>
        <v>2.7371904041699855</v>
      </c>
      <c r="R99" s="1">
        <f t="shared" si="8"/>
        <v>2.8875938207538798</v>
      </c>
      <c r="S99" s="10">
        <f t="shared" si="7"/>
        <v>2.4239002068574389</v>
      </c>
      <c r="T99" s="45" cm="1">
        <f t="array" ref="T99">SUMPRODUCT(P99:S99 * P$3:S$3) / SUM(P$3:S$3)</f>
        <v>2.543436177812668</v>
      </c>
    </row>
    <row r="100" spans="1:20" ht="16.5" customHeight="1" x14ac:dyDescent="0.25">
      <c r="A100" s="5" t="s">
        <v>7136</v>
      </c>
      <c r="B100" s="16" t="s">
        <v>7520</v>
      </c>
      <c r="C100" s="4" t="s">
        <v>8797</v>
      </c>
      <c r="D100" s="4" t="s">
        <v>8932</v>
      </c>
      <c r="E100" s="12" t="s">
        <v>406</v>
      </c>
      <c r="F100" s="75" t="s">
        <v>7775</v>
      </c>
      <c r="G100" s="3">
        <v>32</v>
      </c>
      <c r="H100" s="3" t="s">
        <v>6736</v>
      </c>
      <c r="I100" s="68" t="s">
        <v>7792</v>
      </c>
      <c r="J100" s="72">
        <v>1.2</v>
      </c>
      <c r="L100" s="9">
        <v>52.9</v>
      </c>
      <c r="M100" s="3">
        <v>79.900000000000006</v>
      </c>
      <c r="N100" s="66" t="s">
        <v>8081</v>
      </c>
      <c r="O100" s="5" t="s">
        <v>8559</v>
      </c>
      <c r="P100" s="49">
        <f t="shared" si="5"/>
        <v>2.0904402714037196</v>
      </c>
      <c r="Q100" s="1">
        <f t="shared" si="6"/>
        <v>2.7271055350993993</v>
      </c>
      <c r="R100" s="1">
        <f t="shared" si="8"/>
        <v>2.8775089516832937</v>
      </c>
      <c r="S100" s="10">
        <f t="shared" si="7"/>
        <v>2.4087729032515592</v>
      </c>
      <c r="T100" s="45" cm="1">
        <f t="array" ref="T100">SUMPRODUCT(P100:S100 * P$3:S$3) / SUM(P$3:S$3)</f>
        <v>2.52986039252534</v>
      </c>
    </row>
    <row r="101" spans="1:20" ht="16.5" customHeight="1" x14ac:dyDescent="0.25">
      <c r="A101" s="5" t="s">
        <v>7120</v>
      </c>
      <c r="B101" s="16" t="s">
        <v>7499</v>
      </c>
      <c r="C101" s="4" t="s">
        <v>8797</v>
      </c>
      <c r="D101" s="4" t="s">
        <v>8932</v>
      </c>
      <c r="E101" s="12" t="s">
        <v>406</v>
      </c>
      <c r="F101" s="75" t="s">
        <v>7775</v>
      </c>
      <c r="G101" s="3">
        <v>32</v>
      </c>
      <c r="H101" s="3" t="s">
        <v>6736</v>
      </c>
      <c r="I101" s="68" t="s">
        <v>7792</v>
      </c>
      <c r="J101" s="72">
        <v>1.2</v>
      </c>
      <c r="L101" s="9">
        <v>57.9</v>
      </c>
      <c r="M101" s="3">
        <v>85.9</v>
      </c>
      <c r="N101" s="66" t="s">
        <v>8060</v>
      </c>
      <c r="O101" s="5" t="s">
        <v>8539</v>
      </c>
      <c r="P101" s="49">
        <f t="shared" si="5"/>
        <v>2.0904402714037196</v>
      </c>
      <c r="Q101" s="1">
        <f t="shared" si="6"/>
        <v>2.7271055350993993</v>
      </c>
      <c r="R101" s="1">
        <f t="shared" si="8"/>
        <v>2.8775089516832937</v>
      </c>
      <c r="S101" s="10">
        <f t="shared" si="7"/>
        <v>2.4087729032515592</v>
      </c>
      <c r="T101" s="45" cm="1">
        <f t="array" ref="T101">SUMPRODUCT(P101:S101 * P$3:S$3) / SUM(P$3:S$3)</f>
        <v>2.52986039252534</v>
      </c>
    </row>
    <row r="102" spans="1:20" ht="16.5" customHeight="1" x14ac:dyDescent="0.25">
      <c r="A102" s="5" t="s">
        <v>7120</v>
      </c>
      <c r="B102" s="16" t="s">
        <v>7500</v>
      </c>
      <c r="C102" s="4" t="s">
        <v>8797</v>
      </c>
      <c r="D102" s="4" t="s">
        <v>8932</v>
      </c>
      <c r="E102" s="12" t="s">
        <v>406</v>
      </c>
      <c r="F102" s="75" t="s">
        <v>7775</v>
      </c>
      <c r="G102" s="3">
        <v>32</v>
      </c>
      <c r="H102" s="3" t="s">
        <v>6736</v>
      </c>
      <c r="I102" s="68" t="s">
        <v>7794</v>
      </c>
      <c r="J102" s="72">
        <v>1.2</v>
      </c>
      <c r="L102" s="9">
        <v>63.37</v>
      </c>
      <c r="M102" s="3">
        <v>94</v>
      </c>
      <c r="N102" s="66" t="s">
        <v>8061</v>
      </c>
      <c r="O102" s="5" t="s">
        <v>8540</v>
      </c>
      <c r="P102" s="49">
        <f t="shared" si="5"/>
        <v>2.0965632824167777</v>
      </c>
      <c r="Q102" s="1">
        <f t="shared" si="6"/>
        <v>2.7301670406059286</v>
      </c>
      <c r="R102" s="1">
        <f t="shared" si="8"/>
        <v>2.8805704571898225</v>
      </c>
      <c r="S102" s="10">
        <f t="shared" si="7"/>
        <v>2.4133651615113534</v>
      </c>
      <c r="T102" s="45" cm="1">
        <f t="array" ref="T102">SUMPRODUCT(P102:S102 * P$3:S$3) / SUM(P$3:S$3)</f>
        <v>2.5339816499379757</v>
      </c>
    </row>
    <row r="103" spans="1:20" ht="16.5" customHeight="1" x14ac:dyDescent="0.25">
      <c r="A103" s="5" t="s">
        <v>6982</v>
      </c>
      <c r="B103" s="16" t="s">
        <v>7245</v>
      </c>
      <c r="C103" s="4" t="s">
        <v>8798</v>
      </c>
      <c r="D103" s="4" t="s">
        <v>8932</v>
      </c>
      <c r="E103" s="12" t="s">
        <v>406</v>
      </c>
      <c r="F103" s="75" t="s">
        <v>7775</v>
      </c>
      <c r="G103" s="3">
        <v>32</v>
      </c>
      <c r="H103" s="3" t="s">
        <v>6736</v>
      </c>
      <c r="I103" s="68" t="s">
        <v>7792</v>
      </c>
      <c r="J103" s="72">
        <v>1.2</v>
      </c>
      <c r="L103" s="9">
        <v>124.24</v>
      </c>
      <c r="M103" s="3">
        <v>175.84</v>
      </c>
      <c r="N103" s="66" t="s">
        <v>7806</v>
      </c>
      <c r="O103" s="5" t="s">
        <v>8337</v>
      </c>
      <c r="P103" s="49">
        <f t="shared" si="5"/>
        <v>2.0904402714037196</v>
      </c>
      <c r="Q103" s="1">
        <f t="shared" si="6"/>
        <v>2.7271055350993993</v>
      </c>
      <c r="R103" s="1">
        <f t="shared" si="8"/>
        <v>2.8775089516832937</v>
      </c>
      <c r="S103" s="10">
        <f t="shared" si="7"/>
        <v>2.4087729032515592</v>
      </c>
      <c r="T103" s="45" cm="1">
        <f t="array" ref="T103">SUMPRODUCT(P103:S103 * P$3:S$3) / SUM(P$3:S$3)</f>
        <v>2.52986039252534</v>
      </c>
    </row>
    <row r="104" spans="1:20" ht="16.5" customHeight="1" x14ac:dyDescent="0.25">
      <c r="A104" s="5" t="s">
        <v>6982</v>
      </c>
      <c r="B104" s="16" t="s">
        <v>7246</v>
      </c>
      <c r="C104" s="4" t="s">
        <v>8798</v>
      </c>
      <c r="D104" s="4" t="s">
        <v>8932</v>
      </c>
      <c r="E104" s="12" t="s">
        <v>406</v>
      </c>
      <c r="F104" s="75" t="s">
        <v>7775</v>
      </c>
      <c r="G104" s="3">
        <v>32</v>
      </c>
      <c r="H104" s="3" t="s">
        <v>6736</v>
      </c>
      <c r="I104" s="68" t="s">
        <v>7792</v>
      </c>
      <c r="J104" s="72">
        <v>1.2</v>
      </c>
      <c r="L104" s="9">
        <v>103.95</v>
      </c>
      <c r="M104" s="3">
        <v>204.9</v>
      </c>
      <c r="N104" s="66" t="s">
        <v>7807</v>
      </c>
      <c r="O104" s="5" t="s">
        <v>8337</v>
      </c>
      <c r="P104" s="49">
        <f t="shared" si="5"/>
        <v>2.0904402714037196</v>
      </c>
      <c r="Q104" s="1">
        <f t="shared" si="6"/>
        <v>2.7271055350993993</v>
      </c>
      <c r="R104" s="1">
        <f t="shared" si="8"/>
        <v>2.8775089516832937</v>
      </c>
      <c r="S104" s="10">
        <f t="shared" si="7"/>
        <v>2.4087729032515592</v>
      </c>
      <c r="T104" s="45" cm="1">
        <f t="array" ref="T104">SUMPRODUCT(P104:S104 * P$3:S$3) / SUM(P$3:S$3)</f>
        <v>2.52986039252534</v>
      </c>
    </row>
    <row r="105" spans="1:20" ht="16.5" customHeight="1" x14ac:dyDescent="0.25">
      <c r="A105" s="5" t="s">
        <v>7203</v>
      </c>
      <c r="B105" s="16" t="s">
        <v>7681</v>
      </c>
      <c r="C105" s="4" t="s">
        <v>8796</v>
      </c>
      <c r="D105" s="4" t="s">
        <v>8933</v>
      </c>
      <c r="E105" s="12" t="s">
        <v>406</v>
      </c>
      <c r="F105" s="75" t="s">
        <v>7775</v>
      </c>
      <c r="G105" s="3">
        <v>32</v>
      </c>
      <c r="H105" s="3" t="s">
        <v>404</v>
      </c>
      <c r="I105" s="68" t="s">
        <v>260</v>
      </c>
      <c r="J105" s="72">
        <v>1.2</v>
      </c>
      <c r="L105" s="9">
        <v>117.9</v>
      </c>
      <c r="M105" s="3">
        <v>140.78</v>
      </c>
      <c r="N105" s="66" t="s">
        <v>8242</v>
      </c>
      <c r="O105" s="5" t="s">
        <v>8692</v>
      </c>
      <c r="P105" s="49">
        <f t="shared" si="5"/>
        <v>2.1337263232224997</v>
      </c>
      <c r="Q105" s="1">
        <f t="shared" si="6"/>
        <v>2.7538346138643055</v>
      </c>
      <c r="R105" s="1">
        <f t="shared" si="8"/>
        <v>2.9024450040204415</v>
      </c>
      <c r="S105" s="10">
        <f t="shared" si="7"/>
        <v>2.4437804685434026</v>
      </c>
      <c r="T105" s="45" cm="1">
        <f t="array" ref="T105">SUMPRODUCT(P105:S105 * P$3:S$3) / SUM(P$3:S$3)</f>
        <v>2.562044880973855</v>
      </c>
    </row>
    <row r="106" spans="1:20" ht="16.5" customHeight="1" x14ac:dyDescent="0.25">
      <c r="A106" s="5" t="s">
        <v>7131</v>
      </c>
      <c r="B106" s="16" t="s">
        <v>7515</v>
      </c>
      <c r="C106" s="4" t="s">
        <v>8797</v>
      </c>
      <c r="D106" s="4" t="s">
        <v>8933</v>
      </c>
      <c r="E106" s="12" t="s">
        <v>406</v>
      </c>
      <c r="F106" s="75" t="s">
        <v>7775</v>
      </c>
      <c r="G106" s="3">
        <v>32</v>
      </c>
      <c r="H106" s="3" t="s">
        <v>404</v>
      </c>
      <c r="I106" s="68" t="s">
        <v>7792</v>
      </c>
      <c r="J106" s="72">
        <v>1.2</v>
      </c>
      <c r="L106" s="9">
        <v>104.14</v>
      </c>
      <c r="M106" s="3">
        <v>160</v>
      </c>
      <c r="N106" s="66" t="s">
        <v>8076</v>
      </c>
      <c r="O106" s="5" t="s">
        <v>8554</v>
      </c>
      <c r="P106" s="49">
        <f t="shared" si="5"/>
        <v>2.1129910784044719</v>
      </c>
      <c r="Q106" s="1">
        <f t="shared" si="6"/>
        <v>2.7434669914552914</v>
      </c>
      <c r="R106" s="1">
        <f t="shared" si="8"/>
        <v>2.8920773816114274</v>
      </c>
      <c r="S106" s="10">
        <f t="shared" si="7"/>
        <v>2.4282290349298816</v>
      </c>
      <c r="T106" s="45" cm="1">
        <f t="array" ref="T106">SUMPRODUCT(P106:S106 * P$3:S$3) / SUM(P$3:S$3)</f>
        <v>2.5480884661924899</v>
      </c>
    </row>
    <row r="107" spans="1:20" ht="16.5" customHeight="1" x14ac:dyDescent="0.25">
      <c r="A107" s="5" t="s">
        <v>7108</v>
      </c>
      <c r="B107" s="16" t="s">
        <v>7481</v>
      </c>
      <c r="C107" s="4" t="s">
        <v>8797</v>
      </c>
      <c r="D107" s="4" t="s">
        <v>8933</v>
      </c>
      <c r="E107" s="12" t="s">
        <v>406</v>
      </c>
      <c r="F107" s="75" t="s">
        <v>7775</v>
      </c>
      <c r="G107" s="3">
        <v>32</v>
      </c>
      <c r="H107" s="3" t="s">
        <v>404</v>
      </c>
      <c r="I107" s="68" t="s">
        <v>7792</v>
      </c>
      <c r="J107" s="72">
        <v>1.2</v>
      </c>
      <c r="L107" s="9">
        <v>115.9</v>
      </c>
      <c r="M107" s="3">
        <v>235</v>
      </c>
      <c r="N107" s="66" t="s">
        <v>8042</v>
      </c>
      <c r="O107" s="5" t="s">
        <v>8522</v>
      </c>
      <c r="P107" s="49">
        <f t="shared" si="5"/>
        <v>2.1129910784044719</v>
      </c>
      <c r="Q107" s="1">
        <f t="shared" si="6"/>
        <v>2.7434669914552914</v>
      </c>
      <c r="R107" s="1">
        <f t="shared" si="8"/>
        <v>2.8920773816114274</v>
      </c>
      <c r="S107" s="10">
        <f t="shared" si="7"/>
        <v>2.4282290349298816</v>
      </c>
      <c r="T107" s="45" cm="1">
        <f t="array" ref="T107">SUMPRODUCT(P107:S107 * P$3:S$3) / SUM(P$3:S$3)</f>
        <v>2.5480884661924899</v>
      </c>
    </row>
    <row r="108" spans="1:20" ht="16.5" customHeight="1" x14ac:dyDescent="0.25">
      <c r="A108" s="5" t="s">
        <v>7108</v>
      </c>
      <c r="B108" s="16" t="s">
        <v>7482</v>
      </c>
      <c r="C108" s="4" t="s">
        <v>8797</v>
      </c>
      <c r="D108" s="4" t="s">
        <v>8933</v>
      </c>
      <c r="E108" s="12" t="s">
        <v>406</v>
      </c>
      <c r="F108" s="75" t="s">
        <v>7775</v>
      </c>
      <c r="G108" s="3">
        <v>32</v>
      </c>
      <c r="H108" s="3" t="s">
        <v>404</v>
      </c>
      <c r="I108" s="68" t="s">
        <v>7794</v>
      </c>
      <c r="J108" s="72">
        <v>1.2</v>
      </c>
      <c r="L108" s="9">
        <v>120.58</v>
      </c>
      <c r="M108" s="3">
        <v>301.60000000000002</v>
      </c>
      <c r="N108" s="66" t="s">
        <v>8043</v>
      </c>
      <c r="O108" s="5" t="s">
        <v>8523</v>
      </c>
      <c r="P108" s="49">
        <f t="shared" si="5"/>
        <v>2.119285762623504</v>
      </c>
      <c r="Q108" s="1">
        <f t="shared" si="6"/>
        <v>2.7466143335648074</v>
      </c>
      <c r="R108" s="1">
        <f t="shared" si="8"/>
        <v>2.8952247237209434</v>
      </c>
      <c r="S108" s="10">
        <f t="shared" si="7"/>
        <v>2.4329500480941553</v>
      </c>
      <c r="T108" s="45" cm="1">
        <f t="array" ref="T108">SUMPRODUCT(P108:S108 * P$3:S$3) / SUM(P$3:S$3)</f>
        <v>2.5523252728783774</v>
      </c>
    </row>
    <row r="109" spans="1:20" ht="16.5" customHeight="1" x14ac:dyDescent="0.25">
      <c r="A109" s="5" t="s">
        <v>7198</v>
      </c>
      <c r="B109" s="16" t="s">
        <v>7672</v>
      </c>
      <c r="C109" s="4" t="s">
        <v>8796</v>
      </c>
      <c r="D109" s="4" t="s">
        <v>8934</v>
      </c>
      <c r="E109" s="12" t="s">
        <v>406</v>
      </c>
      <c r="F109" s="75" t="s">
        <v>7775</v>
      </c>
      <c r="G109" s="3">
        <v>32</v>
      </c>
      <c r="H109" s="3" t="s">
        <v>419</v>
      </c>
      <c r="I109" s="68" t="s">
        <v>260</v>
      </c>
      <c r="J109" s="72">
        <v>1.2</v>
      </c>
      <c r="L109" s="9">
        <v>228.9</v>
      </c>
      <c r="M109" s="3">
        <v>266.69</v>
      </c>
      <c r="N109" s="66" t="s">
        <v>8233</v>
      </c>
      <c r="O109" s="5" t="s">
        <v>8687</v>
      </c>
      <c r="P109" s="49">
        <f t="shared" si="5"/>
        <v>2.1799589505777153</v>
      </c>
      <c r="Q109" s="1">
        <f t="shared" si="6"/>
        <v>2.7871230332529446</v>
      </c>
      <c r="R109" s="1">
        <f t="shared" si="8"/>
        <v>2.9321473705535648</v>
      </c>
      <c r="S109" s="10">
        <f t="shared" si="7"/>
        <v>2.48354099191533</v>
      </c>
      <c r="T109" s="45" cm="1">
        <f t="array" ref="T109">SUMPRODUCT(P109:S109 * P$3:S$3) / SUM(P$3:S$3)</f>
        <v>2.5992622872962299</v>
      </c>
    </row>
    <row r="110" spans="1:20" ht="16.5" customHeight="1" x14ac:dyDescent="0.25">
      <c r="A110" s="5" t="s">
        <v>7103</v>
      </c>
      <c r="B110" s="16" t="s">
        <v>7475</v>
      </c>
      <c r="C110" s="4" t="s">
        <v>8797</v>
      </c>
      <c r="D110" s="4" t="s">
        <v>8934</v>
      </c>
      <c r="E110" s="12" t="s">
        <v>406</v>
      </c>
      <c r="F110" s="75" t="s">
        <v>7775</v>
      </c>
      <c r="G110" s="3">
        <v>32</v>
      </c>
      <c r="H110" s="3" t="s">
        <v>419</v>
      </c>
      <c r="I110" s="68" t="s">
        <v>7792</v>
      </c>
      <c r="J110" s="72">
        <v>1.2</v>
      </c>
      <c r="L110" s="9">
        <v>227.33</v>
      </c>
      <c r="M110" s="3">
        <v>447</v>
      </c>
      <c r="N110" s="66" t="s">
        <v>8036</v>
      </c>
      <c r="O110" s="5" t="s">
        <v>8518</v>
      </c>
      <c r="P110" s="49">
        <f t="shared" si="5"/>
        <v>2.1580926924059769</v>
      </c>
      <c r="Q110" s="1">
        <f t="shared" si="6"/>
        <v>2.776189904167075</v>
      </c>
      <c r="R110" s="1">
        <f t="shared" si="8"/>
        <v>2.9212142414676956</v>
      </c>
      <c r="S110" s="10">
        <f t="shared" si="7"/>
        <v>2.467141298286526</v>
      </c>
      <c r="T110" s="45" cm="1">
        <f t="array" ref="T110">SUMPRODUCT(P110:S110 * P$3:S$3) / SUM(P$3:S$3)</f>
        <v>2.5845446135267904</v>
      </c>
    </row>
    <row r="111" spans="1:20" ht="16.5" customHeight="1" x14ac:dyDescent="0.25">
      <c r="A111" s="5" t="s">
        <v>7165</v>
      </c>
      <c r="B111" s="16" t="s">
        <v>7552</v>
      </c>
      <c r="C111" s="4" t="s">
        <v>8797</v>
      </c>
      <c r="D111" s="4" t="s">
        <v>8935</v>
      </c>
      <c r="E111" s="12" t="s">
        <v>406</v>
      </c>
      <c r="F111" s="75" t="s">
        <v>7788</v>
      </c>
      <c r="G111" s="3">
        <v>8</v>
      </c>
      <c r="H111" s="3" t="s">
        <v>6736</v>
      </c>
      <c r="I111" s="68" t="s">
        <v>7795</v>
      </c>
      <c r="J111" s="72">
        <v>1.2</v>
      </c>
      <c r="L111" s="9">
        <v>13.9</v>
      </c>
      <c r="M111" s="3">
        <v>31.47</v>
      </c>
      <c r="N111" s="66" t="s">
        <v>8113</v>
      </c>
      <c r="O111" s="5" t="s">
        <v>8590</v>
      </c>
      <c r="P111" s="49">
        <f t="shared" si="5"/>
        <v>1.3249498152274501</v>
      </c>
      <c r="Q111" s="1">
        <f t="shared" si="6"/>
        <v>1.4175717611496537</v>
      </c>
      <c r="R111" s="1">
        <f t="shared" si="8"/>
        <v>1.4322869127419953</v>
      </c>
      <c r="S111" s="10">
        <f t="shared" si="7"/>
        <v>1.3712607881885517</v>
      </c>
      <c r="T111" s="45" cm="1">
        <f t="array" ref="T111">SUMPRODUCT(P111:S111 * P$3:S$3) / SUM(P$3:S$3)</f>
        <v>1.3877741878061742</v>
      </c>
    </row>
    <row r="112" spans="1:20" ht="16.5" customHeight="1" x14ac:dyDescent="0.25">
      <c r="A112" s="5" t="s">
        <v>7129</v>
      </c>
      <c r="B112" s="16" t="s">
        <v>7512</v>
      </c>
      <c r="C112" s="4" t="s">
        <v>8797</v>
      </c>
      <c r="D112" s="4" t="s">
        <v>8935</v>
      </c>
      <c r="E112" s="12" t="s">
        <v>406</v>
      </c>
      <c r="F112" s="75" t="s">
        <v>7788</v>
      </c>
      <c r="G112" s="3">
        <v>8</v>
      </c>
      <c r="H112" s="3" t="s">
        <v>6736</v>
      </c>
      <c r="I112" s="68" t="s">
        <v>7795</v>
      </c>
      <c r="J112" s="72">
        <v>1.2</v>
      </c>
      <c r="L112" s="9">
        <v>15.49</v>
      </c>
      <c r="M112" s="3">
        <v>43.9</v>
      </c>
      <c r="N112" s="66" t="s">
        <v>8073</v>
      </c>
      <c r="O112" s="5" t="s">
        <v>8551</v>
      </c>
      <c r="P112" s="49">
        <f t="shared" si="5"/>
        <v>1.3249498152274501</v>
      </c>
      <c r="Q112" s="1">
        <f t="shared" si="6"/>
        <v>1.4175717611496537</v>
      </c>
      <c r="R112" s="1">
        <f t="shared" si="8"/>
        <v>1.4322869127419953</v>
      </c>
      <c r="S112" s="10">
        <f t="shared" si="7"/>
        <v>1.3712607881885517</v>
      </c>
      <c r="T112" s="45" cm="1">
        <f t="array" ref="T112">SUMPRODUCT(P112:S112 * P$3:S$3) / SUM(P$3:S$3)</f>
        <v>1.3877741878061742</v>
      </c>
    </row>
    <row r="113" spans="1:20" ht="16.5" customHeight="1" x14ac:dyDescent="0.25">
      <c r="A113" s="5" t="s">
        <v>7197</v>
      </c>
      <c r="B113" s="16" t="s">
        <v>7658</v>
      </c>
      <c r="C113" s="4" t="s">
        <v>8796</v>
      </c>
      <c r="D113" s="4" t="s">
        <v>8936</v>
      </c>
      <c r="E113" s="12" t="s">
        <v>406</v>
      </c>
      <c r="F113" s="75" t="s">
        <v>7789</v>
      </c>
      <c r="G113" s="3">
        <v>8</v>
      </c>
      <c r="H113" s="3" t="s">
        <v>404</v>
      </c>
      <c r="I113" s="68" t="s">
        <v>260</v>
      </c>
      <c r="J113" s="72">
        <v>1.35</v>
      </c>
      <c r="K113" s="14" t="s">
        <v>6175</v>
      </c>
      <c r="L113" s="9">
        <v>52.9</v>
      </c>
      <c r="M113" s="3">
        <v>70.33</v>
      </c>
      <c r="N113" s="66" t="s">
        <v>8219</v>
      </c>
      <c r="O113" s="5" t="s">
        <v>8673</v>
      </c>
      <c r="P113" s="49">
        <f t="shared" si="5"/>
        <v>1.3703920882532148</v>
      </c>
      <c r="Q113" s="1">
        <f t="shared" si="6"/>
        <v>1.4475491954868556</v>
      </c>
      <c r="R113" s="1">
        <f t="shared" si="8"/>
        <v>1.4578134468105444</v>
      </c>
      <c r="S113" s="10">
        <f t="shared" si="7"/>
        <v>1.4089706418700352</v>
      </c>
      <c r="T113" s="45" cm="1">
        <f t="array" ref="T113">SUMPRODUCT(P113:S113 * P$3:S$3) / SUM(P$3:S$3)</f>
        <v>1.4224200816480856</v>
      </c>
    </row>
    <row r="114" spans="1:20" ht="16.5" customHeight="1" x14ac:dyDescent="0.25">
      <c r="A114" s="5" t="s">
        <v>7197</v>
      </c>
      <c r="B114" s="16" t="s">
        <v>7710</v>
      </c>
      <c r="C114" s="4" t="s">
        <v>8796</v>
      </c>
      <c r="D114" s="4" t="s">
        <v>8936</v>
      </c>
      <c r="E114" s="12" t="s">
        <v>406</v>
      </c>
      <c r="F114" s="75" t="s">
        <v>7789</v>
      </c>
      <c r="G114" s="3">
        <v>8</v>
      </c>
      <c r="H114" s="3" t="s">
        <v>404</v>
      </c>
      <c r="I114" s="68" t="s">
        <v>260</v>
      </c>
      <c r="J114" s="72">
        <v>1.35</v>
      </c>
      <c r="L114" s="9">
        <v>40.29</v>
      </c>
      <c r="M114" s="3">
        <v>67.41</v>
      </c>
      <c r="N114" s="66" t="s">
        <v>8271</v>
      </c>
      <c r="O114" s="5" t="s">
        <v>8713</v>
      </c>
      <c r="P114" s="49">
        <f t="shared" si="5"/>
        <v>1.3703920882532148</v>
      </c>
      <c r="Q114" s="1">
        <f t="shared" si="6"/>
        <v>1.4475491954868556</v>
      </c>
      <c r="R114" s="1">
        <f t="shared" si="8"/>
        <v>1.4578134468105444</v>
      </c>
      <c r="S114" s="10">
        <f t="shared" si="7"/>
        <v>1.4089706418700352</v>
      </c>
      <c r="T114" s="45" cm="1">
        <f t="array" ref="T114">SUMPRODUCT(P114:S114 * P$3:S$3) / SUM(P$3:S$3)</f>
        <v>1.4224200816480856</v>
      </c>
    </row>
    <row r="115" spans="1:20" ht="16.5" customHeight="1" x14ac:dyDescent="0.25">
      <c r="A115" s="5" t="s">
        <v>7195</v>
      </c>
      <c r="B115" s="16" t="s">
        <v>7647</v>
      </c>
      <c r="C115" s="4" t="s">
        <v>8796</v>
      </c>
      <c r="D115" s="4" t="s">
        <v>8937</v>
      </c>
      <c r="E115" s="12" t="s">
        <v>406</v>
      </c>
      <c r="F115" s="75" t="s">
        <v>7789</v>
      </c>
      <c r="G115" s="3">
        <v>16</v>
      </c>
      <c r="H115" s="3" t="s">
        <v>404</v>
      </c>
      <c r="I115" s="68" t="s">
        <v>260</v>
      </c>
      <c r="J115" s="72">
        <v>1.35</v>
      </c>
      <c r="K115" s="14" t="s">
        <v>6175</v>
      </c>
      <c r="L115" s="9">
        <v>78.75</v>
      </c>
      <c r="M115" s="3">
        <v>117.9</v>
      </c>
      <c r="N115" s="66" t="s">
        <v>8208</v>
      </c>
      <c r="O115" s="5" t="s">
        <v>8664</v>
      </c>
      <c r="P115" s="49">
        <f t="shared" si="5"/>
        <v>1.67474539690321</v>
      </c>
      <c r="Q115" s="1">
        <f t="shared" si="6"/>
        <v>1.9548047099035142</v>
      </c>
      <c r="R115" s="1">
        <f t="shared" si="8"/>
        <v>2.0157945126688688</v>
      </c>
      <c r="S115" s="10">
        <f t="shared" si="7"/>
        <v>1.8147750534033622</v>
      </c>
      <c r="T115" s="45" cm="1">
        <f t="array" ref="T115">SUMPRODUCT(P115:S115 * P$3:S$3) / SUM(P$3:S$3)</f>
        <v>1.8672441481365403</v>
      </c>
    </row>
    <row r="116" spans="1:20" ht="16.5" customHeight="1" x14ac:dyDescent="0.25">
      <c r="A116" s="5" t="s">
        <v>7212</v>
      </c>
      <c r="B116" s="16" t="s">
        <v>7716</v>
      </c>
      <c r="C116" s="4" t="s">
        <v>8796</v>
      </c>
      <c r="D116" s="4" t="s">
        <v>8938</v>
      </c>
      <c r="E116" s="12" t="s">
        <v>406</v>
      </c>
      <c r="F116" s="75" t="s">
        <v>7781</v>
      </c>
      <c r="G116" s="3">
        <v>4</v>
      </c>
      <c r="H116" s="3" t="s">
        <v>404</v>
      </c>
      <c r="I116" s="68" t="s">
        <v>7793</v>
      </c>
      <c r="J116" s="72">
        <v>1.35</v>
      </c>
      <c r="K116" s="14" t="s">
        <v>450</v>
      </c>
      <c r="L116" s="9">
        <v>29.9</v>
      </c>
      <c r="M116" s="3">
        <v>29.9</v>
      </c>
      <c r="N116" s="66" t="s">
        <v>8277</v>
      </c>
      <c r="O116" s="5" t="s">
        <v>8718</v>
      </c>
      <c r="P116" s="49">
        <f t="shared" si="5"/>
        <v>1.2017478013997114</v>
      </c>
      <c r="Q116" s="1">
        <f t="shared" si="6"/>
        <v>1.1472380996932903</v>
      </c>
      <c r="R116" s="1">
        <f t="shared" si="8"/>
        <v>1.1249832488400799</v>
      </c>
      <c r="S116" s="10">
        <f t="shared" si="7"/>
        <v>1.1744929505465009</v>
      </c>
      <c r="T116" s="45" cm="1">
        <f t="array" ref="T116">SUMPRODUCT(P116:S116 * P$3:S$3) / SUM(P$3:S$3)</f>
        <v>1.1626830193834805</v>
      </c>
    </row>
    <row r="117" spans="1:20" ht="16.5" customHeight="1" x14ac:dyDescent="0.25">
      <c r="A117" s="5" t="s">
        <v>7220</v>
      </c>
      <c r="B117" s="16" t="s">
        <v>7730</v>
      </c>
      <c r="C117" s="4" t="s">
        <v>8796</v>
      </c>
      <c r="D117" s="4" t="s">
        <v>8939</v>
      </c>
      <c r="E117" s="12" t="s">
        <v>406</v>
      </c>
      <c r="F117" s="75" t="s">
        <v>7781</v>
      </c>
      <c r="G117" s="3">
        <v>8</v>
      </c>
      <c r="H117" s="3" t="s">
        <v>6736</v>
      </c>
      <c r="I117" s="68" t="s">
        <v>260</v>
      </c>
      <c r="J117" s="72">
        <v>1.35</v>
      </c>
      <c r="L117" s="9">
        <v>19.489999999999998</v>
      </c>
      <c r="M117" s="3">
        <v>81.900000000000006</v>
      </c>
      <c r="N117" s="66" t="s">
        <v>8291</v>
      </c>
      <c r="O117" s="5" t="s">
        <v>8732</v>
      </c>
      <c r="P117" s="49">
        <f t="shared" si="5"/>
        <v>1.3563777644715196</v>
      </c>
      <c r="Q117" s="1">
        <f t="shared" si="6"/>
        <v>1.4377743714332838</v>
      </c>
      <c r="R117" s="1">
        <f t="shared" si="8"/>
        <v>1.4487153470571479</v>
      </c>
      <c r="S117" s="10">
        <f t="shared" si="7"/>
        <v>1.3970760679524017</v>
      </c>
      <c r="T117" s="45" cm="1">
        <f t="array" ref="T117">SUMPRODUCT(P117:S117 * P$3:S$3) / SUM(P$3:S$3)</f>
        <v>1.4112818498886521</v>
      </c>
    </row>
    <row r="118" spans="1:20" ht="16.5" customHeight="1" x14ac:dyDescent="0.25">
      <c r="A118" s="5" t="s">
        <v>7164</v>
      </c>
      <c r="B118" s="16" t="s">
        <v>7551</v>
      </c>
      <c r="C118" s="4" t="s">
        <v>8797</v>
      </c>
      <c r="D118" s="4" t="s">
        <v>8939</v>
      </c>
      <c r="E118" s="12" t="s">
        <v>406</v>
      </c>
      <c r="F118" s="75" t="s">
        <v>7781</v>
      </c>
      <c r="G118" s="3">
        <v>8</v>
      </c>
      <c r="H118" s="3" t="s">
        <v>6736</v>
      </c>
      <c r="I118" s="68" t="s">
        <v>260</v>
      </c>
      <c r="J118" s="72">
        <v>1.35</v>
      </c>
      <c r="L118" s="9">
        <v>12.79</v>
      </c>
      <c r="M118" s="3">
        <v>59.95</v>
      </c>
      <c r="N118" s="66" t="s">
        <v>8112</v>
      </c>
      <c r="O118" s="5" t="s">
        <v>8589</v>
      </c>
      <c r="P118" s="49">
        <f t="shared" si="5"/>
        <v>1.3563777644715196</v>
      </c>
      <c r="Q118" s="1">
        <f t="shared" si="6"/>
        <v>1.4377743714332838</v>
      </c>
      <c r="R118" s="1">
        <f t="shared" si="8"/>
        <v>1.4487153470571479</v>
      </c>
      <c r="S118" s="10">
        <f t="shared" si="7"/>
        <v>1.3970760679524017</v>
      </c>
      <c r="T118" s="45" cm="1">
        <f t="array" ref="T118">SUMPRODUCT(P118:S118 * P$3:S$3) / SUM(P$3:S$3)</f>
        <v>1.4112818498886521</v>
      </c>
    </row>
    <row r="119" spans="1:20" ht="16.5" customHeight="1" x14ac:dyDescent="0.25">
      <c r="A119" s="5" t="s">
        <v>7013</v>
      </c>
      <c r="B119" s="16" t="s">
        <v>7293</v>
      </c>
      <c r="C119" s="4" t="s">
        <v>8798</v>
      </c>
      <c r="D119" s="4" t="s">
        <v>8939</v>
      </c>
      <c r="E119" s="12" t="s">
        <v>406</v>
      </c>
      <c r="F119" s="75" t="s">
        <v>7781</v>
      </c>
      <c r="G119" s="3">
        <v>8</v>
      </c>
      <c r="H119" s="3" t="s">
        <v>6736</v>
      </c>
      <c r="I119" s="68" t="s">
        <v>7793</v>
      </c>
      <c r="J119" s="72">
        <v>1.35</v>
      </c>
      <c r="K119" s="14" t="s">
        <v>5476</v>
      </c>
      <c r="L119" s="9">
        <v>36.33</v>
      </c>
      <c r="M119" s="3">
        <v>62.5</v>
      </c>
      <c r="N119" s="66" t="s">
        <v>7854</v>
      </c>
      <c r="O119" s="5" t="s">
        <v>8366</v>
      </c>
      <c r="P119" s="49">
        <f t="shared" si="5"/>
        <v>1.3645061173570969</v>
      </c>
      <c r="Q119" s="1">
        <f t="shared" si="6"/>
        <v>1.4418385478760722</v>
      </c>
      <c r="R119" s="1">
        <f t="shared" si="8"/>
        <v>1.4527795234999368</v>
      </c>
      <c r="S119" s="10">
        <f t="shared" si="7"/>
        <v>1.4031723326165848</v>
      </c>
      <c r="T119" s="45" cm="1">
        <f t="array" ref="T119">SUMPRODUCT(P119:S119 * P$3:S$3) / SUM(P$3:S$3)</f>
        <v>1.4167528566385599</v>
      </c>
    </row>
    <row r="120" spans="1:20" ht="16.5" customHeight="1" x14ac:dyDescent="0.25">
      <c r="A120" s="5" t="s">
        <v>7188</v>
      </c>
      <c r="B120" s="16" t="s">
        <v>7598</v>
      </c>
      <c r="C120" s="4" t="s">
        <v>8796</v>
      </c>
      <c r="D120" s="4" t="s">
        <v>8940</v>
      </c>
      <c r="E120" s="12" t="s">
        <v>406</v>
      </c>
      <c r="F120" s="75" t="s">
        <v>7781</v>
      </c>
      <c r="G120" s="3">
        <v>8</v>
      </c>
      <c r="H120" s="3" t="s">
        <v>404</v>
      </c>
      <c r="I120" s="68" t="s">
        <v>7793</v>
      </c>
      <c r="J120" s="72">
        <v>1.35</v>
      </c>
      <c r="K120" s="14" t="s">
        <v>6175</v>
      </c>
      <c r="L120" s="9">
        <v>56.9</v>
      </c>
      <c r="M120" s="3">
        <v>82.9</v>
      </c>
      <c r="N120" s="66" t="s">
        <v>8159</v>
      </c>
      <c r="O120" s="5" t="s">
        <v>8629</v>
      </c>
      <c r="P120" s="49">
        <f t="shared" si="5"/>
        <v>1.3890992392134527</v>
      </c>
      <c r="Q120" s="1">
        <f t="shared" si="6"/>
        <v>1.4594904960495256</v>
      </c>
      <c r="R120" s="1">
        <f t="shared" si="8"/>
        <v>1.4684608848319389</v>
      </c>
      <c r="S120" s="10">
        <f t="shared" si="7"/>
        <v>1.4242948676314895</v>
      </c>
      <c r="T120" s="45" cm="1">
        <f t="array" ref="T120">SUMPRODUCT(P120:S120 * P$3:S$3) / SUM(P$3:S$3)</f>
        <v>1.4365043515727949</v>
      </c>
    </row>
    <row r="121" spans="1:20" ht="16.5" customHeight="1" x14ac:dyDescent="0.25">
      <c r="A121" s="5" t="s">
        <v>7188</v>
      </c>
      <c r="B121" s="16" t="s">
        <v>7657</v>
      </c>
      <c r="C121" s="4" t="s">
        <v>8796</v>
      </c>
      <c r="D121" s="4" t="s">
        <v>8940</v>
      </c>
      <c r="E121" s="12" t="s">
        <v>406</v>
      </c>
      <c r="F121" s="75" t="s">
        <v>7781</v>
      </c>
      <c r="G121" s="3">
        <v>8</v>
      </c>
      <c r="H121" s="3" t="s">
        <v>404</v>
      </c>
      <c r="I121" s="68" t="s">
        <v>7793</v>
      </c>
      <c r="J121" s="72">
        <v>1.35</v>
      </c>
      <c r="K121" s="14" t="s">
        <v>6175</v>
      </c>
      <c r="L121" s="9">
        <v>55.9</v>
      </c>
      <c r="M121" s="3">
        <v>119.94</v>
      </c>
      <c r="N121" s="66" t="s">
        <v>8218</v>
      </c>
      <c r="O121" s="5" t="s">
        <v>8672</v>
      </c>
      <c r="P121" s="49">
        <f t="shared" si="5"/>
        <v>1.3890992392134527</v>
      </c>
      <c r="Q121" s="1">
        <f t="shared" si="6"/>
        <v>1.4594904960495256</v>
      </c>
      <c r="R121" s="1">
        <f t="shared" si="8"/>
        <v>1.4684608848319389</v>
      </c>
      <c r="S121" s="10">
        <f t="shared" si="7"/>
        <v>1.4242948676314895</v>
      </c>
      <c r="T121" s="45" cm="1">
        <f t="array" ref="T121">SUMPRODUCT(P121:S121 * P$3:S$3) / SUM(P$3:S$3)</f>
        <v>1.4365043515727949</v>
      </c>
    </row>
    <row r="122" spans="1:20" ht="16.5" customHeight="1" x14ac:dyDescent="0.25">
      <c r="A122" s="5" t="s">
        <v>7188</v>
      </c>
      <c r="B122" s="16" t="s">
        <v>7666</v>
      </c>
      <c r="C122" s="4" t="s">
        <v>8796</v>
      </c>
      <c r="D122" s="4" t="s">
        <v>8940</v>
      </c>
      <c r="E122" s="12" t="s">
        <v>406</v>
      </c>
      <c r="F122" s="75" t="s">
        <v>7781</v>
      </c>
      <c r="G122" s="3">
        <v>8</v>
      </c>
      <c r="H122" s="3" t="s">
        <v>404</v>
      </c>
      <c r="I122" s="68" t="s">
        <v>260</v>
      </c>
      <c r="J122" s="72">
        <v>1.35</v>
      </c>
      <c r="L122" s="9">
        <v>47.23</v>
      </c>
      <c r="M122" s="3">
        <v>65.75</v>
      </c>
      <c r="N122" s="66" t="s">
        <v>8227</v>
      </c>
      <c r="O122" s="5" t="s">
        <v>8681</v>
      </c>
      <c r="P122" s="49">
        <f t="shared" si="5"/>
        <v>1.3807429885834199</v>
      </c>
      <c r="Q122" s="1">
        <f t="shared" si="6"/>
        <v>1.4553123707345093</v>
      </c>
      <c r="R122" s="1">
        <f t="shared" si="8"/>
        <v>1.4642827595169225</v>
      </c>
      <c r="S122" s="10">
        <f t="shared" si="7"/>
        <v>1.4180276796589646</v>
      </c>
      <c r="T122" s="45" cm="1">
        <f t="array" ref="T122">SUMPRODUCT(P122:S122 * P$3:S$3) / SUM(P$3:S$3)</f>
        <v>1.4308799521102729</v>
      </c>
    </row>
    <row r="123" spans="1:20" ht="16.5" customHeight="1" x14ac:dyDescent="0.25">
      <c r="A123" s="5" t="s">
        <v>7188</v>
      </c>
      <c r="B123" s="16" t="s">
        <v>7708</v>
      </c>
      <c r="C123" s="4" t="s">
        <v>8796</v>
      </c>
      <c r="D123" s="4" t="s">
        <v>8940</v>
      </c>
      <c r="E123" s="12" t="s">
        <v>406</v>
      </c>
      <c r="F123" s="75" t="s">
        <v>7781</v>
      </c>
      <c r="G123" s="3">
        <v>8</v>
      </c>
      <c r="H123" s="3" t="s">
        <v>404</v>
      </c>
      <c r="I123" s="68" t="s">
        <v>260</v>
      </c>
      <c r="J123" s="72">
        <v>1.35</v>
      </c>
      <c r="L123" s="9">
        <v>39</v>
      </c>
      <c r="M123" s="3">
        <v>84</v>
      </c>
      <c r="N123" s="66" t="s">
        <v>8269</v>
      </c>
      <c r="O123" s="5" t="s">
        <v>8711</v>
      </c>
      <c r="P123" s="49">
        <f t="shared" si="5"/>
        <v>1.3807429885834199</v>
      </c>
      <c r="Q123" s="1">
        <f t="shared" si="6"/>
        <v>1.4553123707345093</v>
      </c>
      <c r="R123" s="1">
        <f t="shared" si="8"/>
        <v>1.4642827595169225</v>
      </c>
      <c r="S123" s="10">
        <f t="shared" si="7"/>
        <v>1.4180276796589646</v>
      </c>
      <c r="T123" s="45" cm="1">
        <f t="array" ref="T123">SUMPRODUCT(P123:S123 * P$3:S$3) / SUM(P$3:S$3)</f>
        <v>1.4308799521102729</v>
      </c>
    </row>
    <row r="124" spans="1:20" ht="16.5" customHeight="1" x14ac:dyDescent="0.25">
      <c r="A124" s="5" t="s">
        <v>7188</v>
      </c>
      <c r="B124" s="16" t="s">
        <v>7709</v>
      </c>
      <c r="C124" s="4" t="s">
        <v>8796</v>
      </c>
      <c r="D124" s="4" t="s">
        <v>8940</v>
      </c>
      <c r="E124" s="12" t="s">
        <v>406</v>
      </c>
      <c r="F124" s="75" t="s">
        <v>7781</v>
      </c>
      <c r="G124" s="3">
        <v>8</v>
      </c>
      <c r="H124" s="3" t="s">
        <v>404</v>
      </c>
      <c r="I124" s="68" t="s">
        <v>7793</v>
      </c>
      <c r="J124" s="72">
        <v>1.35</v>
      </c>
      <c r="L124" s="9">
        <v>40.85</v>
      </c>
      <c r="M124" s="3">
        <v>138.99</v>
      </c>
      <c r="N124" s="66" t="s">
        <v>8270</v>
      </c>
      <c r="O124" s="5" t="s">
        <v>8712</v>
      </c>
      <c r="P124" s="49">
        <f t="shared" si="5"/>
        <v>1.3890992392134527</v>
      </c>
      <c r="Q124" s="1">
        <f t="shared" si="6"/>
        <v>1.4594904960495256</v>
      </c>
      <c r="R124" s="1">
        <f t="shared" si="8"/>
        <v>1.4684608848319389</v>
      </c>
      <c r="S124" s="10">
        <f t="shared" si="7"/>
        <v>1.4242948676314895</v>
      </c>
      <c r="T124" s="45" cm="1">
        <f t="array" ref="T124">SUMPRODUCT(P124:S124 * P$3:S$3) / SUM(P$3:S$3)</f>
        <v>1.4365043515727949</v>
      </c>
    </row>
    <row r="125" spans="1:20" ht="16.5" customHeight="1" x14ac:dyDescent="0.25">
      <c r="A125" s="5" t="s">
        <v>7152</v>
      </c>
      <c r="B125" s="16" t="s">
        <v>7537</v>
      </c>
      <c r="C125" s="4" t="s">
        <v>8797</v>
      </c>
      <c r="D125" s="4" t="s">
        <v>8940</v>
      </c>
      <c r="E125" s="12" t="s">
        <v>406</v>
      </c>
      <c r="F125" s="75" t="s">
        <v>7781</v>
      </c>
      <c r="G125" s="3">
        <v>8</v>
      </c>
      <c r="H125" s="3" t="s">
        <v>404</v>
      </c>
      <c r="I125" s="68" t="s">
        <v>260</v>
      </c>
      <c r="J125" s="72">
        <v>1.35</v>
      </c>
      <c r="L125" s="9">
        <v>24.9</v>
      </c>
      <c r="M125" s="3">
        <v>72</v>
      </c>
      <c r="N125" s="66" t="s">
        <v>8098</v>
      </c>
      <c r="O125" s="5" t="s">
        <v>8575</v>
      </c>
      <c r="P125" s="49">
        <f t="shared" si="5"/>
        <v>1.3807429885834199</v>
      </c>
      <c r="Q125" s="1">
        <f t="shared" si="6"/>
        <v>1.4553123707345093</v>
      </c>
      <c r="R125" s="1">
        <f t="shared" si="8"/>
        <v>1.4642827595169225</v>
      </c>
      <c r="S125" s="10">
        <f t="shared" si="7"/>
        <v>1.4180276796589646</v>
      </c>
      <c r="T125" s="45" cm="1">
        <f t="array" ref="T125">SUMPRODUCT(P125:S125 * P$3:S$3) / SUM(P$3:S$3)</f>
        <v>1.4308799521102729</v>
      </c>
    </row>
    <row r="126" spans="1:20" ht="16.5" customHeight="1" x14ac:dyDescent="0.25">
      <c r="A126" s="5" t="s">
        <v>7125</v>
      </c>
      <c r="B126" s="16" t="s">
        <v>7507</v>
      </c>
      <c r="C126" s="4" t="s">
        <v>8797</v>
      </c>
      <c r="D126" s="4" t="s">
        <v>8940</v>
      </c>
      <c r="E126" s="12" t="s">
        <v>406</v>
      </c>
      <c r="F126" s="75" t="s">
        <v>7781</v>
      </c>
      <c r="G126" s="3">
        <v>8</v>
      </c>
      <c r="H126" s="3" t="s">
        <v>404</v>
      </c>
      <c r="I126" s="68" t="s">
        <v>260</v>
      </c>
      <c r="J126" s="72">
        <v>1.35</v>
      </c>
      <c r="L126" s="9">
        <v>28.79</v>
      </c>
      <c r="M126" s="3">
        <v>65.36</v>
      </c>
      <c r="N126" s="66" t="s">
        <v>8068</v>
      </c>
      <c r="O126" s="5" t="s">
        <v>8546</v>
      </c>
      <c r="P126" s="49">
        <f t="shared" si="5"/>
        <v>1.3807429885834199</v>
      </c>
      <c r="Q126" s="1">
        <f t="shared" si="6"/>
        <v>1.4553123707345093</v>
      </c>
      <c r="R126" s="1">
        <f t="shared" si="8"/>
        <v>1.4642827595169225</v>
      </c>
      <c r="S126" s="10">
        <f t="shared" si="7"/>
        <v>1.4180276796589646</v>
      </c>
      <c r="T126" s="45" cm="1">
        <f t="array" ref="T126">SUMPRODUCT(P126:S126 * P$3:S$3) / SUM(P$3:S$3)</f>
        <v>1.4308799521102729</v>
      </c>
    </row>
    <row r="127" spans="1:20" ht="16.5" customHeight="1" x14ac:dyDescent="0.25">
      <c r="A127" s="5" t="s">
        <v>7084</v>
      </c>
      <c r="B127" s="16" t="s">
        <v>7451</v>
      </c>
      <c r="C127" s="4" t="s">
        <v>8797</v>
      </c>
      <c r="D127" s="4" t="s">
        <v>8940</v>
      </c>
      <c r="E127" s="12" t="s">
        <v>406</v>
      </c>
      <c r="F127" s="75" t="s">
        <v>7781</v>
      </c>
      <c r="G127" s="3">
        <v>8</v>
      </c>
      <c r="H127" s="3" t="s">
        <v>404</v>
      </c>
      <c r="I127" s="68" t="s">
        <v>260</v>
      </c>
      <c r="J127" s="72">
        <v>1.35</v>
      </c>
      <c r="K127" s="14" t="s">
        <v>450</v>
      </c>
      <c r="L127" s="9">
        <v>40.29</v>
      </c>
      <c r="M127" s="3">
        <v>128.97999999999999</v>
      </c>
      <c r="N127" s="66" t="s">
        <v>8012</v>
      </c>
      <c r="O127" s="5" t="s">
        <v>8498</v>
      </c>
      <c r="P127" s="49">
        <f t="shared" si="5"/>
        <v>1.3807429885834199</v>
      </c>
      <c r="Q127" s="1">
        <f t="shared" si="6"/>
        <v>1.4553123707345093</v>
      </c>
      <c r="R127" s="1">
        <f t="shared" si="8"/>
        <v>1.4642827595169225</v>
      </c>
      <c r="S127" s="10">
        <f t="shared" si="7"/>
        <v>1.4180276796589646</v>
      </c>
      <c r="T127" s="45" cm="1">
        <f t="array" ref="T127">SUMPRODUCT(P127:S127 * P$3:S$3) / SUM(P$3:S$3)</f>
        <v>1.4308799521102729</v>
      </c>
    </row>
    <row r="128" spans="1:20" ht="16.5" customHeight="1" x14ac:dyDescent="0.25">
      <c r="A128" s="5" t="s">
        <v>7039</v>
      </c>
      <c r="B128" s="16" t="s">
        <v>7352</v>
      </c>
      <c r="C128" s="4" t="s">
        <v>8798</v>
      </c>
      <c r="D128" s="4" t="s">
        <v>8940</v>
      </c>
      <c r="E128" s="12" t="s">
        <v>406</v>
      </c>
      <c r="F128" s="75" t="s">
        <v>7781</v>
      </c>
      <c r="G128" s="3">
        <v>8</v>
      </c>
      <c r="H128" s="3" t="s">
        <v>404</v>
      </c>
      <c r="I128" s="68" t="s">
        <v>7793</v>
      </c>
      <c r="J128" s="72">
        <v>1.35</v>
      </c>
      <c r="K128" s="14" t="s">
        <v>5476</v>
      </c>
      <c r="L128" s="9">
        <v>89.95</v>
      </c>
      <c r="M128" s="3">
        <v>171.96</v>
      </c>
      <c r="N128" s="66" t="s">
        <v>7913</v>
      </c>
      <c r="O128" s="5" t="s">
        <v>8413</v>
      </c>
      <c r="P128" s="49">
        <f t="shared" si="5"/>
        <v>1.3890992392134527</v>
      </c>
      <c r="Q128" s="1">
        <f t="shared" si="6"/>
        <v>1.4594904960495256</v>
      </c>
      <c r="R128" s="1">
        <f t="shared" si="8"/>
        <v>1.4684608848319389</v>
      </c>
      <c r="S128" s="10">
        <f t="shared" si="7"/>
        <v>1.4242948676314895</v>
      </c>
      <c r="T128" s="45" cm="1">
        <f t="array" ref="T128">SUMPRODUCT(P128:S128 * P$3:S$3) / SUM(P$3:S$3)</f>
        <v>1.4365043515727949</v>
      </c>
    </row>
    <row r="129" spans="1:20" ht="16.5" customHeight="1" x14ac:dyDescent="0.25">
      <c r="A129" s="5" t="s">
        <v>7004</v>
      </c>
      <c r="B129" s="16" t="s">
        <v>7279</v>
      </c>
      <c r="C129" s="4" t="s">
        <v>8798</v>
      </c>
      <c r="D129" s="4" t="s">
        <v>8940</v>
      </c>
      <c r="E129" s="12" t="s">
        <v>406</v>
      </c>
      <c r="F129" s="75" t="s">
        <v>7781</v>
      </c>
      <c r="G129" s="3">
        <v>8</v>
      </c>
      <c r="H129" s="3" t="s">
        <v>404</v>
      </c>
      <c r="I129" s="68" t="s">
        <v>7793</v>
      </c>
      <c r="J129" s="72">
        <v>1.35</v>
      </c>
      <c r="K129" s="14" t="s">
        <v>5476</v>
      </c>
      <c r="L129" s="9">
        <v>113.99</v>
      </c>
      <c r="M129" s="3">
        <v>176.47</v>
      </c>
      <c r="N129" s="66" t="s">
        <v>7840</v>
      </c>
      <c r="O129" s="5" t="s">
        <v>8357</v>
      </c>
      <c r="P129" s="49">
        <f t="shared" si="5"/>
        <v>1.3890992392134527</v>
      </c>
      <c r="Q129" s="1">
        <f t="shared" si="6"/>
        <v>1.4594904960495256</v>
      </c>
      <c r="R129" s="1">
        <f t="shared" si="8"/>
        <v>1.4684608848319389</v>
      </c>
      <c r="S129" s="10">
        <f t="shared" si="7"/>
        <v>1.4242948676314895</v>
      </c>
      <c r="T129" s="45" cm="1">
        <f t="array" ref="T129">SUMPRODUCT(P129:S129 * P$3:S$3) / SUM(P$3:S$3)</f>
        <v>1.4365043515727949</v>
      </c>
    </row>
    <row r="130" spans="1:20" ht="16.5" customHeight="1" x14ac:dyDescent="0.25">
      <c r="A130" s="5" t="s">
        <v>7095</v>
      </c>
      <c r="B130" s="16" t="s">
        <v>7465</v>
      </c>
      <c r="C130" s="4" t="s">
        <v>8797</v>
      </c>
      <c r="D130" s="4" t="s">
        <v>8941</v>
      </c>
      <c r="E130" s="12" t="s">
        <v>406</v>
      </c>
      <c r="F130" s="75" t="s">
        <v>7781</v>
      </c>
      <c r="G130" s="3">
        <v>8</v>
      </c>
      <c r="H130" s="3" t="s">
        <v>419</v>
      </c>
      <c r="I130" s="68" t="s">
        <v>260</v>
      </c>
      <c r="J130" s="72">
        <v>1.35</v>
      </c>
      <c r="K130" s="14" t="s">
        <v>7797</v>
      </c>
      <c r="L130" s="9">
        <v>93.9</v>
      </c>
      <c r="M130" s="3">
        <v>143.65</v>
      </c>
      <c r="N130" s="66" t="s">
        <v>8026</v>
      </c>
      <c r="O130" s="5" t="s">
        <v>8508</v>
      </c>
      <c r="P130" s="49">
        <f t="shared" si="5"/>
        <v>1.4294734368072206</v>
      </c>
      <c r="Q130" s="1">
        <f t="shared" si="6"/>
        <v>1.4903883693369606</v>
      </c>
      <c r="R130" s="1">
        <f t="shared" si="8"/>
        <v>1.4954175844364714</v>
      </c>
      <c r="S130" s="10">
        <f t="shared" si="7"/>
        <v>1.4599309030720908</v>
      </c>
      <c r="T130" s="45" cm="1">
        <f t="array" ref="T130">SUMPRODUCT(P130:S130 * P$3:S$3) / SUM(P$3:S$3)</f>
        <v>1.4700761565535139</v>
      </c>
    </row>
    <row r="131" spans="1:20" ht="16.5" customHeight="1" x14ac:dyDescent="0.25">
      <c r="A131" s="5" t="s">
        <v>7217</v>
      </c>
      <c r="B131" s="16" t="s">
        <v>7723</v>
      </c>
      <c r="C131" s="4" t="s">
        <v>8796</v>
      </c>
      <c r="D131" s="4" t="s">
        <v>8942</v>
      </c>
      <c r="E131" s="12" t="s">
        <v>406</v>
      </c>
      <c r="F131" s="75" t="s">
        <v>7781</v>
      </c>
      <c r="G131" s="3">
        <v>16</v>
      </c>
      <c r="H131" s="3" t="s">
        <v>6736</v>
      </c>
      <c r="I131" s="68" t="s">
        <v>260</v>
      </c>
      <c r="J131" s="72">
        <v>1.35</v>
      </c>
      <c r="L131" s="9">
        <v>31.79</v>
      </c>
      <c r="M131" s="3">
        <v>91</v>
      </c>
      <c r="N131" s="66" t="s">
        <v>8284</v>
      </c>
      <c r="O131" s="5" t="s">
        <v>8725</v>
      </c>
      <c r="P131" s="49">
        <f t="shared" si="5"/>
        <v>1.6607310731215148</v>
      </c>
      <c r="Q131" s="1">
        <f t="shared" si="6"/>
        <v>1.9450298858499424</v>
      </c>
      <c r="R131" s="1">
        <f t="shared" si="8"/>
        <v>2.0066964129154723</v>
      </c>
      <c r="S131" s="10">
        <f t="shared" si="7"/>
        <v>1.8028804794857287</v>
      </c>
      <c r="T131" s="45" cm="1">
        <f t="array" ref="T131">SUMPRODUCT(P131:S131 * P$3:S$3) / SUM(P$3:S$3)</f>
        <v>1.8561059163771068</v>
      </c>
    </row>
    <row r="132" spans="1:20" ht="16.5" customHeight="1" x14ac:dyDescent="0.25">
      <c r="A132" s="5" t="s">
        <v>7159</v>
      </c>
      <c r="B132" s="16" t="s">
        <v>7546</v>
      </c>
      <c r="C132" s="4" t="s">
        <v>8797</v>
      </c>
      <c r="D132" s="4" t="s">
        <v>8942</v>
      </c>
      <c r="E132" s="12" t="s">
        <v>406</v>
      </c>
      <c r="F132" s="75" t="s">
        <v>7781</v>
      </c>
      <c r="G132" s="3">
        <v>16</v>
      </c>
      <c r="H132" s="3" t="s">
        <v>6736</v>
      </c>
      <c r="I132" s="68" t="s">
        <v>260</v>
      </c>
      <c r="J132" s="72">
        <v>1.35</v>
      </c>
      <c r="L132" s="9">
        <v>22.8</v>
      </c>
      <c r="M132" s="3">
        <v>71</v>
      </c>
      <c r="N132" s="66" t="s">
        <v>8107</v>
      </c>
      <c r="O132" s="5" t="s">
        <v>8584</v>
      </c>
      <c r="P132" s="49">
        <f t="shared" si="5"/>
        <v>1.6607310731215148</v>
      </c>
      <c r="Q132" s="1">
        <f t="shared" si="6"/>
        <v>1.9450298858499424</v>
      </c>
      <c r="R132" s="1">
        <f t="shared" si="8"/>
        <v>2.0066964129154723</v>
      </c>
      <c r="S132" s="10">
        <f t="shared" si="7"/>
        <v>1.8028804794857287</v>
      </c>
      <c r="T132" s="45" cm="1">
        <f t="array" ref="T132">SUMPRODUCT(P132:S132 * P$3:S$3) / SUM(P$3:S$3)</f>
        <v>1.8561059163771068</v>
      </c>
    </row>
    <row r="133" spans="1:20" ht="16.5" customHeight="1" x14ac:dyDescent="0.25">
      <c r="A133" s="5" t="s">
        <v>7044</v>
      </c>
      <c r="B133" s="16" t="s">
        <v>7362</v>
      </c>
      <c r="C133" s="4" t="s">
        <v>8798</v>
      </c>
      <c r="D133" s="4" t="s">
        <v>8942</v>
      </c>
      <c r="E133" s="12" t="s">
        <v>406</v>
      </c>
      <c r="F133" s="75" t="s">
        <v>7781</v>
      </c>
      <c r="G133" s="3">
        <v>16</v>
      </c>
      <c r="H133" s="3" t="s">
        <v>6736</v>
      </c>
      <c r="I133" s="68" t="s">
        <v>7793</v>
      </c>
      <c r="J133" s="72">
        <v>1.35</v>
      </c>
      <c r="K133" s="14" t="s">
        <v>5476</v>
      </c>
      <c r="L133" s="9">
        <v>73.45</v>
      </c>
      <c r="M133" s="3">
        <v>74.069999999999993</v>
      </c>
      <c r="N133" s="66" t="s">
        <v>7923</v>
      </c>
      <c r="O133" s="5" t="s">
        <v>8420</v>
      </c>
      <c r="P133" s="49">
        <f t="shared" si="5"/>
        <v>1.6688594260070921</v>
      </c>
      <c r="Q133" s="1">
        <f t="shared" si="6"/>
        <v>1.9490940622927311</v>
      </c>
      <c r="R133" s="1">
        <f t="shared" si="8"/>
        <v>2.0107605893582612</v>
      </c>
      <c r="S133" s="10">
        <f t="shared" si="7"/>
        <v>1.8089767441499118</v>
      </c>
      <c r="T133" s="45" cm="1">
        <f t="array" ref="T133">SUMPRODUCT(P133:S133 * P$3:S$3) / SUM(P$3:S$3)</f>
        <v>1.8615769231270145</v>
      </c>
    </row>
    <row r="134" spans="1:20" ht="16.5" customHeight="1" x14ac:dyDescent="0.25">
      <c r="A134" s="5" t="s">
        <v>7009</v>
      </c>
      <c r="B134" s="16" t="s">
        <v>7287</v>
      </c>
      <c r="C134" s="4" t="s">
        <v>8798</v>
      </c>
      <c r="D134" s="4" t="s">
        <v>8942</v>
      </c>
      <c r="E134" s="12" t="s">
        <v>406</v>
      </c>
      <c r="F134" s="75" t="s">
        <v>7781</v>
      </c>
      <c r="G134" s="3">
        <v>16</v>
      </c>
      <c r="H134" s="3" t="s">
        <v>6736</v>
      </c>
      <c r="I134" s="68" t="s">
        <v>7793</v>
      </c>
      <c r="J134" s="72">
        <v>1.35</v>
      </c>
      <c r="K134" s="14" t="s">
        <v>5476</v>
      </c>
      <c r="L134" s="9">
        <v>79</v>
      </c>
      <c r="M134" s="3">
        <v>79.66</v>
      </c>
      <c r="N134" s="66" t="s">
        <v>7848</v>
      </c>
      <c r="O134" s="5" t="s">
        <v>8362</v>
      </c>
      <c r="P134" s="49">
        <f t="shared" si="5"/>
        <v>1.6688594260070921</v>
      </c>
      <c r="Q134" s="1">
        <f t="shared" si="6"/>
        <v>1.9490940622927311</v>
      </c>
      <c r="R134" s="1">
        <f t="shared" si="8"/>
        <v>2.0107605893582612</v>
      </c>
      <c r="S134" s="10">
        <f t="shared" si="7"/>
        <v>1.8089767441499118</v>
      </c>
      <c r="T134" s="45" cm="1">
        <f t="array" ref="T134">SUMPRODUCT(P134:S134 * P$3:S$3) / SUM(P$3:S$3)</f>
        <v>1.8615769231270145</v>
      </c>
    </row>
    <row r="135" spans="1:20" ht="16.5" customHeight="1" x14ac:dyDescent="0.25">
      <c r="A135" s="5" t="s">
        <v>7009</v>
      </c>
      <c r="B135" s="16" t="s">
        <v>7323</v>
      </c>
      <c r="C135" s="4" t="s">
        <v>8798</v>
      </c>
      <c r="D135" s="4" t="s">
        <v>8942</v>
      </c>
      <c r="E135" s="12" t="s">
        <v>406</v>
      </c>
      <c r="F135" s="75" t="s">
        <v>7781</v>
      </c>
      <c r="G135" s="3">
        <v>16</v>
      </c>
      <c r="H135" s="3" t="s">
        <v>6736</v>
      </c>
      <c r="I135" s="68" t="s">
        <v>7793</v>
      </c>
      <c r="J135" s="72">
        <v>1.35</v>
      </c>
      <c r="L135" s="9">
        <v>78.900000000000006</v>
      </c>
      <c r="M135" s="3">
        <v>79.56</v>
      </c>
      <c r="N135" s="66" t="s">
        <v>7884</v>
      </c>
      <c r="O135" s="5" t="s">
        <v>8391</v>
      </c>
      <c r="P135" s="49">
        <f t="shared" si="5"/>
        <v>1.6688594260070921</v>
      </c>
      <c r="Q135" s="1">
        <f t="shared" si="6"/>
        <v>1.9490940622927311</v>
      </c>
      <c r="R135" s="1">
        <f t="shared" si="8"/>
        <v>2.0107605893582612</v>
      </c>
      <c r="S135" s="10">
        <f t="shared" si="7"/>
        <v>1.8089767441499118</v>
      </c>
      <c r="T135" s="45" cm="1">
        <f t="array" ref="T135">SUMPRODUCT(P135:S135 * P$3:S$3) / SUM(P$3:S$3)</f>
        <v>1.8615769231270145</v>
      </c>
    </row>
    <row r="136" spans="1:20" ht="16.5" customHeight="1" x14ac:dyDescent="0.25">
      <c r="A136" s="5" t="s">
        <v>7170</v>
      </c>
      <c r="B136" s="16" t="s">
        <v>7558</v>
      </c>
      <c r="C136" s="4" t="s">
        <v>8796</v>
      </c>
      <c r="D136" s="4" t="s">
        <v>8943</v>
      </c>
      <c r="E136" s="12" t="s">
        <v>406</v>
      </c>
      <c r="F136" s="75" t="s">
        <v>7781</v>
      </c>
      <c r="G136" s="3">
        <v>16</v>
      </c>
      <c r="H136" s="3" t="s">
        <v>404</v>
      </c>
      <c r="I136" s="68" t="s">
        <v>260</v>
      </c>
      <c r="J136" s="72">
        <v>1.35</v>
      </c>
      <c r="K136" s="14" t="s">
        <v>7798</v>
      </c>
      <c r="L136" s="9">
        <v>249.99</v>
      </c>
      <c r="M136" s="3">
        <v>249.99</v>
      </c>
      <c r="N136" s="66" t="s">
        <v>8119</v>
      </c>
      <c r="O136" s="5" t="s">
        <v>8596</v>
      </c>
      <c r="P136" s="49">
        <f t="shared" si="5"/>
        <v>1.6850962972334151</v>
      </c>
      <c r="Q136" s="1">
        <f t="shared" si="6"/>
        <v>1.9625678851511679</v>
      </c>
      <c r="R136" s="1">
        <f t="shared" si="8"/>
        <v>2.022263825375247</v>
      </c>
      <c r="S136" s="10">
        <f t="shared" si="7"/>
        <v>1.8238320911922918</v>
      </c>
      <c r="T136" s="45" cm="1">
        <f t="array" ref="T136">SUMPRODUCT(P136:S136 * P$3:S$3) / SUM(P$3:S$3)</f>
        <v>1.8757040185987273</v>
      </c>
    </row>
    <row r="137" spans="1:20" ht="16.5" customHeight="1" x14ac:dyDescent="0.25">
      <c r="A137" s="5" t="s">
        <v>7170</v>
      </c>
      <c r="B137" s="16" t="s">
        <v>7646</v>
      </c>
      <c r="C137" s="4" t="s">
        <v>8796</v>
      </c>
      <c r="D137" s="4" t="s">
        <v>8943</v>
      </c>
      <c r="E137" s="12" t="s">
        <v>406</v>
      </c>
      <c r="F137" s="75" t="s">
        <v>7781</v>
      </c>
      <c r="G137" s="3">
        <v>16</v>
      </c>
      <c r="H137" s="3" t="s">
        <v>404</v>
      </c>
      <c r="I137" s="68" t="s">
        <v>260</v>
      </c>
      <c r="J137" s="72">
        <v>1.35</v>
      </c>
      <c r="K137" s="14" t="s">
        <v>6175</v>
      </c>
      <c r="L137" s="9">
        <v>103.15</v>
      </c>
      <c r="M137" s="3">
        <v>149.9</v>
      </c>
      <c r="N137" s="66" t="s">
        <v>8207</v>
      </c>
      <c r="O137" s="5" t="s">
        <v>8663</v>
      </c>
      <c r="P137" s="49">
        <f t="shared" si="5"/>
        <v>1.6850962972334151</v>
      </c>
      <c r="Q137" s="1">
        <f t="shared" si="6"/>
        <v>1.9625678851511679</v>
      </c>
      <c r="R137" s="1">
        <f t="shared" si="8"/>
        <v>2.022263825375247</v>
      </c>
      <c r="S137" s="10">
        <f t="shared" si="7"/>
        <v>1.8238320911922918</v>
      </c>
      <c r="T137" s="45" cm="1">
        <f t="array" ref="T137">SUMPRODUCT(P137:S137 * P$3:S$3) / SUM(P$3:S$3)</f>
        <v>1.8757040185987273</v>
      </c>
    </row>
    <row r="138" spans="1:20" ht="16.5" customHeight="1" x14ac:dyDescent="0.25">
      <c r="A138" s="5" t="s">
        <v>7170</v>
      </c>
      <c r="B138" s="16" t="s">
        <v>7693</v>
      </c>
      <c r="C138" s="4" t="s">
        <v>8796</v>
      </c>
      <c r="D138" s="4" t="s">
        <v>8943</v>
      </c>
      <c r="E138" s="12" t="s">
        <v>406</v>
      </c>
      <c r="F138" s="75" t="s">
        <v>7781</v>
      </c>
      <c r="G138" s="3">
        <v>16</v>
      </c>
      <c r="H138" s="3" t="s">
        <v>404</v>
      </c>
      <c r="I138" s="68" t="s">
        <v>260</v>
      </c>
      <c r="J138" s="72">
        <v>1.35</v>
      </c>
      <c r="L138" s="9">
        <v>65.900000000000006</v>
      </c>
      <c r="M138" s="3">
        <v>104</v>
      </c>
      <c r="N138" s="66" t="s">
        <v>8254</v>
      </c>
      <c r="O138" s="5" t="s">
        <v>8700</v>
      </c>
      <c r="P138" s="49">
        <f t="shared" ref="P138:P201" si="9">(((F138/F$9)^F$7 * F$2 + (I138/I$9)^I$7 * I$2 + (J138/J$9)^J$7 * J$2) * (1+M$3*(MIN(H138,M$2)-1)+M$4*(H138-MIN(H138,M$2))) + (G138/G$9)^G$7 * G$2)  * P$9</f>
        <v>1.6850962972334151</v>
      </c>
      <c r="Q138" s="1">
        <f t="shared" ref="Q138:Q201" si="10">(((F138/F$9)^F$7 * F$3 + (I138/I$9)^I$7 * I$3 + (J138/J$9)^J$7 * J$3) * (1+M$3*(MIN(H138,M$2)-1)+M$4*(H138-MIN(H138,M$2))) + (G138/G$9)^G$7 * G$3)  * P$9</f>
        <v>1.9625678851511679</v>
      </c>
      <c r="R138" s="1">
        <f t="shared" si="8"/>
        <v>2.022263825375247</v>
      </c>
      <c r="S138" s="10">
        <f t="shared" ref="S138:S201" si="11">(((F138/F$9)^F$7 * F$5 + (I138/I$9)^I$7 * I$5 + (J138/J$9)^J$7 * J$5) * (1+M$3*(MIN(H138,M$2)-1)+M$4*(H138-MIN(H138,M$2))) + (G138/G$9)^G$7 * G$5)  * P$9</f>
        <v>1.8238320911922918</v>
      </c>
      <c r="T138" s="45" cm="1">
        <f t="array" ref="T138">SUMPRODUCT(P138:S138 * P$3:S$3) / SUM(P$3:S$3)</f>
        <v>1.8757040185987273</v>
      </c>
    </row>
    <row r="139" spans="1:20" ht="16.5" customHeight="1" x14ac:dyDescent="0.25">
      <c r="A139" s="5" t="s">
        <v>7148</v>
      </c>
      <c r="B139" s="16" t="s">
        <v>7533</v>
      </c>
      <c r="C139" s="4" t="s">
        <v>8797</v>
      </c>
      <c r="D139" s="4" t="s">
        <v>8943</v>
      </c>
      <c r="E139" s="12" t="s">
        <v>406</v>
      </c>
      <c r="F139" s="75" t="s">
        <v>7781</v>
      </c>
      <c r="G139" s="3">
        <v>16</v>
      </c>
      <c r="H139" s="3" t="s">
        <v>404</v>
      </c>
      <c r="I139" s="68" t="s">
        <v>260</v>
      </c>
      <c r="J139" s="72">
        <v>1.35</v>
      </c>
      <c r="L139" s="9">
        <v>48.79</v>
      </c>
      <c r="M139" s="3">
        <v>93</v>
      </c>
      <c r="N139" s="66" t="s">
        <v>8094</v>
      </c>
      <c r="O139" s="5" t="s">
        <v>8571</v>
      </c>
      <c r="P139" s="49">
        <f t="shared" si="9"/>
        <v>1.6850962972334151</v>
      </c>
      <c r="Q139" s="1">
        <f t="shared" si="10"/>
        <v>1.9625678851511679</v>
      </c>
      <c r="R139" s="1">
        <f t="shared" si="8"/>
        <v>2.022263825375247</v>
      </c>
      <c r="S139" s="10">
        <f t="shared" si="11"/>
        <v>1.8238320911922918</v>
      </c>
      <c r="T139" s="45" cm="1">
        <f t="array" ref="T139">SUMPRODUCT(P139:S139 * P$3:S$3) / SUM(P$3:S$3)</f>
        <v>1.8757040185987273</v>
      </c>
    </row>
    <row r="140" spans="1:20" ht="16.5" customHeight="1" x14ac:dyDescent="0.25">
      <c r="A140" s="5" t="s">
        <v>7122</v>
      </c>
      <c r="B140" s="16" t="s">
        <v>7503</v>
      </c>
      <c r="C140" s="4" t="s">
        <v>8797</v>
      </c>
      <c r="D140" s="4" t="s">
        <v>8943</v>
      </c>
      <c r="E140" s="12" t="s">
        <v>406</v>
      </c>
      <c r="F140" s="75" t="s">
        <v>7781</v>
      </c>
      <c r="G140" s="3">
        <v>16</v>
      </c>
      <c r="H140" s="3" t="s">
        <v>404</v>
      </c>
      <c r="I140" s="68" t="s">
        <v>260</v>
      </c>
      <c r="J140" s="72">
        <v>1.35</v>
      </c>
      <c r="L140" s="9">
        <v>48.29</v>
      </c>
      <c r="M140" s="3">
        <v>99.99</v>
      </c>
      <c r="N140" s="66" t="s">
        <v>8064</v>
      </c>
      <c r="O140" s="5" t="s">
        <v>8543</v>
      </c>
      <c r="P140" s="49">
        <f t="shared" si="9"/>
        <v>1.6850962972334151</v>
      </c>
      <c r="Q140" s="1">
        <f t="shared" si="10"/>
        <v>1.9625678851511679</v>
      </c>
      <c r="R140" s="1">
        <f t="shared" si="8"/>
        <v>2.022263825375247</v>
      </c>
      <c r="S140" s="10">
        <f t="shared" si="11"/>
        <v>1.8238320911922918</v>
      </c>
      <c r="T140" s="45" cm="1">
        <f t="array" ref="T140">SUMPRODUCT(P140:S140 * P$3:S$3) / SUM(P$3:S$3)</f>
        <v>1.8757040185987273</v>
      </c>
    </row>
    <row r="141" spans="1:20" ht="16.5" customHeight="1" x14ac:dyDescent="0.25">
      <c r="A141" s="5" t="s">
        <v>7081</v>
      </c>
      <c r="B141" s="16" t="s">
        <v>7444</v>
      </c>
      <c r="C141" s="4" t="s">
        <v>8797</v>
      </c>
      <c r="D141" s="4" t="s">
        <v>8943</v>
      </c>
      <c r="E141" s="12" t="s">
        <v>406</v>
      </c>
      <c r="F141" s="75" t="s">
        <v>7781</v>
      </c>
      <c r="G141" s="3">
        <v>16</v>
      </c>
      <c r="H141" s="3" t="s">
        <v>404</v>
      </c>
      <c r="I141" s="68" t="s">
        <v>260</v>
      </c>
      <c r="J141" s="72">
        <v>1.35</v>
      </c>
      <c r="K141" s="14" t="s">
        <v>7796</v>
      </c>
      <c r="L141" s="9">
        <v>59.9</v>
      </c>
      <c r="M141" s="3">
        <v>94.37</v>
      </c>
      <c r="N141" s="66" t="s">
        <v>8005</v>
      </c>
      <c r="O141" s="5" t="s">
        <v>8493</v>
      </c>
      <c r="P141" s="49">
        <f t="shared" si="9"/>
        <v>1.6850962972334151</v>
      </c>
      <c r="Q141" s="1">
        <f t="shared" si="10"/>
        <v>1.9625678851511679</v>
      </c>
      <c r="R141" s="1">
        <f t="shared" si="8"/>
        <v>2.022263825375247</v>
      </c>
      <c r="S141" s="10">
        <f t="shared" si="11"/>
        <v>1.8238320911922918</v>
      </c>
      <c r="T141" s="45" cm="1">
        <f t="array" ref="T141">SUMPRODUCT(P141:S141 * P$3:S$3) / SUM(P$3:S$3)</f>
        <v>1.8757040185987273</v>
      </c>
    </row>
    <row r="142" spans="1:20" ht="16.5" customHeight="1" x14ac:dyDescent="0.25">
      <c r="A142" s="5" t="s">
        <v>7200</v>
      </c>
      <c r="B142" s="16" t="s">
        <v>7678</v>
      </c>
      <c r="C142" s="4" t="s">
        <v>8796</v>
      </c>
      <c r="D142" s="4" t="s">
        <v>8944</v>
      </c>
      <c r="E142" s="12" t="s">
        <v>406</v>
      </c>
      <c r="F142" s="75" t="s">
        <v>7781</v>
      </c>
      <c r="G142" s="3">
        <v>16</v>
      </c>
      <c r="H142" s="3" t="s">
        <v>419</v>
      </c>
      <c r="I142" s="68" t="s">
        <v>260</v>
      </c>
      <c r="J142" s="72">
        <v>1.35</v>
      </c>
      <c r="L142" s="9">
        <v>139.88999999999999</v>
      </c>
      <c r="M142" s="3">
        <v>257.95999999999998</v>
      </c>
      <c r="N142" s="66" t="s">
        <v>8239</v>
      </c>
      <c r="O142" s="5" t="s">
        <v>8691</v>
      </c>
      <c r="P142" s="49">
        <f t="shared" si="9"/>
        <v>1.7338267454572158</v>
      </c>
      <c r="Q142" s="1">
        <f t="shared" si="10"/>
        <v>1.9976438837536192</v>
      </c>
      <c r="R142" s="1">
        <f t="shared" si="8"/>
        <v>2.0533986502947958</v>
      </c>
      <c r="S142" s="10">
        <f t="shared" si="11"/>
        <v>1.8657353146054176</v>
      </c>
      <c r="T142" s="45" cm="1">
        <f t="array" ref="T142">SUMPRODUCT(P142:S142 * P$3:S$3) / SUM(P$3:S$3)</f>
        <v>1.9149002230419683</v>
      </c>
    </row>
    <row r="143" spans="1:20" ht="16.5" customHeight="1" x14ac:dyDescent="0.25">
      <c r="A143" s="5" t="s">
        <v>7200</v>
      </c>
      <c r="B143" s="16" t="s">
        <v>7735</v>
      </c>
      <c r="C143" s="4" t="s">
        <v>8796</v>
      </c>
      <c r="D143" s="4" t="s">
        <v>8944</v>
      </c>
      <c r="E143" s="12" t="s">
        <v>406</v>
      </c>
      <c r="F143" s="75" t="s">
        <v>7781</v>
      </c>
      <c r="G143" s="3">
        <v>16</v>
      </c>
      <c r="H143" s="3" t="s">
        <v>419</v>
      </c>
      <c r="I143" s="68" t="s">
        <v>7793</v>
      </c>
      <c r="J143" s="72">
        <v>1.35</v>
      </c>
      <c r="K143" s="14" t="s">
        <v>7802</v>
      </c>
      <c r="L143" s="9">
        <v>299.99</v>
      </c>
      <c r="M143" s="3">
        <v>1195.1600000000001</v>
      </c>
      <c r="N143" s="66" t="s">
        <v>8296</v>
      </c>
      <c r="O143" s="5" t="s">
        <v>8737</v>
      </c>
      <c r="P143" s="49">
        <f t="shared" si="9"/>
        <v>1.7426387915761596</v>
      </c>
      <c r="Q143" s="1">
        <f t="shared" si="10"/>
        <v>2.0020499068130913</v>
      </c>
      <c r="R143" s="1">
        <f t="shared" si="8"/>
        <v>2.0578046733542679</v>
      </c>
      <c r="S143" s="10">
        <f t="shared" si="11"/>
        <v>1.8723443491946257</v>
      </c>
      <c r="T143" s="45" cm="1">
        <f t="array" ref="T143">SUMPRODUCT(P143:S143 * P$3:S$3) / SUM(P$3:S$3)</f>
        <v>1.9208314079297191</v>
      </c>
    </row>
    <row r="144" spans="1:20" ht="16.5" customHeight="1" x14ac:dyDescent="0.25">
      <c r="A144" s="5" t="s">
        <v>7200</v>
      </c>
      <c r="B144" s="16" t="s">
        <v>7738</v>
      </c>
      <c r="C144" s="4" t="s">
        <v>8796</v>
      </c>
      <c r="D144" s="4" t="s">
        <v>8944</v>
      </c>
      <c r="E144" s="12" t="s">
        <v>406</v>
      </c>
      <c r="F144" s="75" t="s">
        <v>7781</v>
      </c>
      <c r="G144" s="3">
        <v>16</v>
      </c>
      <c r="H144" s="3" t="s">
        <v>419</v>
      </c>
      <c r="I144" s="68" t="s">
        <v>7793</v>
      </c>
      <c r="J144" s="72">
        <v>1.35</v>
      </c>
      <c r="K144" s="14" t="s">
        <v>7803</v>
      </c>
      <c r="L144" s="9">
        <v>299.99</v>
      </c>
      <c r="M144" s="3">
        <v>299.99</v>
      </c>
      <c r="N144" s="66" t="s">
        <v>8299</v>
      </c>
      <c r="O144" s="5" t="s">
        <v>8740</v>
      </c>
      <c r="P144" s="49">
        <f t="shared" si="9"/>
        <v>1.7426387915761596</v>
      </c>
      <c r="Q144" s="1">
        <f t="shared" si="10"/>
        <v>2.0020499068130913</v>
      </c>
      <c r="R144" s="1">
        <f t="shared" ref="R144:R207" si="12">(((F144/F$9)^F$7 * F$4 + (I144/I$9)^I$7 * I$4 + (J144/J$9)^J$7 * J$4) * (1+M$3*(MIN(H144,M$2)-1)+M$4*(H144-MIN(H144,M$2))) + (G144/G$9)^G$7 * G$4)  * P$9</f>
        <v>2.0578046733542679</v>
      </c>
      <c r="S144" s="10">
        <f t="shared" si="11"/>
        <v>1.8723443491946257</v>
      </c>
      <c r="T144" s="45" cm="1">
        <f t="array" ref="T144">SUMPRODUCT(P144:S144 * P$3:S$3) / SUM(P$3:S$3)</f>
        <v>1.9208314079297191</v>
      </c>
    </row>
    <row r="145" spans="1:20" ht="16.5" customHeight="1" x14ac:dyDescent="0.25">
      <c r="A145" s="5" t="s">
        <v>7089</v>
      </c>
      <c r="B145" s="16" t="s">
        <v>7457</v>
      </c>
      <c r="C145" s="4" t="s">
        <v>8797</v>
      </c>
      <c r="D145" s="4" t="s">
        <v>8944</v>
      </c>
      <c r="E145" s="12" t="s">
        <v>406</v>
      </c>
      <c r="F145" s="75" t="s">
        <v>7781</v>
      </c>
      <c r="G145" s="3">
        <v>16</v>
      </c>
      <c r="H145" s="3" t="s">
        <v>419</v>
      </c>
      <c r="I145" s="68" t="s">
        <v>260</v>
      </c>
      <c r="J145" s="72">
        <v>1.35</v>
      </c>
      <c r="K145" s="14" t="s">
        <v>7797</v>
      </c>
      <c r="L145" s="9">
        <v>184.68</v>
      </c>
      <c r="M145" s="3">
        <v>299.89999999999998</v>
      </c>
      <c r="N145" s="66" t="s">
        <v>8018</v>
      </c>
      <c r="O145" s="5" t="s">
        <v>8503</v>
      </c>
      <c r="P145" s="49">
        <f t="shared" si="9"/>
        <v>1.7338267454572158</v>
      </c>
      <c r="Q145" s="1">
        <f t="shared" si="10"/>
        <v>1.9976438837536192</v>
      </c>
      <c r="R145" s="1">
        <f t="shared" si="12"/>
        <v>2.0533986502947958</v>
      </c>
      <c r="S145" s="10">
        <f t="shared" si="11"/>
        <v>1.8657353146054176</v>
      </c>
      <c r="T145" s="45" cm="1">
        <f t="array" ref="T145">SUMPRODUCT(P145:S145 * P$3:S$3) / SUM(P$3:S$3)</f>
        <v>1.9149002230419683</v>
      </c>
    </row>
    <row r="146" spans="1:20" ht="16.5" customHeight="1" x14ac:dyDescent="0.25">
      <c r="A146" s="5" t="s">
        <v>7215</v>
      </c>
      <c r="B146" s="16" t="s">
        <v>7720</v>
      </c>
      <c r="C146" s="4" t="s">
        <v>8796</v>
      </c>
      <c r="D146" s="4" t="s">
        <v>8945</v>
      </c>
      <c r="E146" s="12" t="s">
        <v>406</v>
      </c>
      <c r="F146" s="75" t="s">
        <v>7781</v>
      </c>
      <c r="G146" s="3">
        <v>32</v>
      </c>
      <c r="H146" s="3" t="s">
        <v>6736</v>
      </c>
      <c r="I146" s="68" t="s">
        <v>260</v>
      </c>
      <c r="J146" s="72">
        <v>1.35</v>
      </c>
      <c r="L146" s="9">
        <v>59.9</v>
      </c>
      <c r="M146" s="3">
        <v>98</v>
      </c>
      <c r="N146" s="66" t="s">
        <v>8281</v>
      </c>
      <c r="O146" s="5" t="s">
        <v>8722</v>
      </c>
      <c r="P146" s="49">
        <f t="shared" si="9"/>
        <v>2.1551544817013299</v>
      </c>
      <c r="Q146" s="1">
        <f t="shared" si="10"/>
        <v>2.7690689001496338</v>
      </c>
      <c r="R146" s="1">
        <f t="shared" si="12"/>
        <v>2.9131393286451335</v>
      </c>
      <c r="S146" s="10">
        <f t="shared" si="11"/>
        <v>2.4621116909254819</v>
      </c>
      <c r="T146" s="45" cm="1">
        <f t="array" ref="T146">SUMPRODUCT(P146:S146 * P$3:S$3) / SUM(P$3:S$3)</f>
        <v>2.5787247443014514</v>
      </c>
    </row>
    <row r="147" spans="1:20" ht="16.5" customHeight="1" x14ac:dyDescent="0.25">
      <c r="A147" s="5" t="s">
        <v>7052</v>
      </c>
      <c r="B147" s="16" t="s">
        <v>7390</v>
      </c>
      <c r="C147" s="4" t="s">
        <v>8798</v>
      </c>
      <c r="D147" s="4" t="s">
        <v>8945</v>
      </c>
      <c r="E147" s="12" t="s">
        <v>406</v>
      </c>
      <c r="F147" s="75" t="s">
        <v>7781</v>
      </c>
      <c r="G147" s="3">
        <v>32</v>
      </c>
      <c r="H147" s="3" t="s">
        <v>6736</v>
      </c>
      <c r="I147" s="68" t="s">
        <v>260</v>
      </c>
      <c r="J147" s="72">
        <v>1.35</v>
      </c>
      <c r="L147" s="9">
        <v>151.94999999999999</v>
      </c>
      <c r="M147" s="3">
        <v>153.22999999999999</v>
      </c>
      <c r="N147" s="66" t="s">
        <v>7951</v>
      </c>
      <c r="O147" s="5" t="s">
        <v>8443</v>
      </c>
      <c r="P147" s="49">
        <f t="shared" si="9"/>
        <v>2.1551544817013299</v>
      </c>
      <c r="Q147" s="1">
        <f t="shared" si="10"/>
        <v>2.7690689001496338</v>
      </c>
      <c r="R147" s="1">
        <f t="shared" si="12"/>
        <v>2.9131393286451335</v>
      </c>
      <c r="S147" s="10">
        <f t="shared" si="11"/>
        <v>2.4621116909254819</v>
      </c>
      <c r="T147" s="45" cm="1">
        <f t="array" ref="T147">SUMPRODUCT(P147:S147 * P$3:S$3) / SUM(P$3:S$3)</f>
        <v>2.5787247443014514</v>
      </c>
    </row>
    <row r="148" spans="1:20" ht="16.5" customHeight="1" x14ac:dyDescent="0.25">
      <c r="A148" s="5" t="s">
        <v>7201</v>
      </c>
      <c r="B148" s="16" t="s">
        <v>7679</v>
      </c>
      <c r="C148" s="4" t="s">
        <v>8796</v>
      </c>
      <c r="D148" s="4" t="s">
        <v>8946</v>
      </c>
      <c r="E148" s="12" t="s">
        <v>406</v>
      </c>
      <c r="F148" s="75" t="s">
        <v>7781</v>
      </c>
      <c r="G148" s="3">
        <v>32</v>
      </c>
      <c r="H148" s="3" t="s">
        <v>404</v>
      </c>
      <c r="I148" s="68" t="s">
        <v>260</v>
      </c>
      <c r="J148" s="72">
        <v>1.35</v>
      </c>
      <c r="L148" s="9">
        <v>115.9</v>
      </c>
      <c r="M148" s="3">
        <v>228</v>
      </c>
      <c r="N148" s="66" t="s">
        <v>8240</v>
      </c>
      <c r="O148" s="5" t="s">
        <v>8691</v>
      </c>
      <c r="P148" s="49">
        <f t="shared" si="9"/>
        <v>2.1795197058132301</v>
      </c>
      <c r="Q148" s="1">
        <f t="shared" si="10"/>
        <v>2.7866068994508595</v>
      </c>
      <c r="R148" s="1">
        <f t="shared" si="12"/>
        <v>2.9287067411049081</v>
      </c>
      <c r="S148" s="10">
        <f t="shared" si="11"/>
        <v>2.4830633026320448</v>
      </c>
      <c r="T148" s="45" cm="1">
        <f t="array" ref="T148">SUMPRODUCT(P148:S148 * P$3:S$3) / SUM(P$3:S$3)</f>
        <v>2.5983228465230721</v>
      </c>
    </row>
    <row r="149" spans="1:20" ht="16.5" customHeight="1" x14ac:dyDescent="0.25">
      <c r="A149" s="5" t="s">
        <v>7192</v>
      </c>
      <c r="B149" s="16" t="s">
        <v>7631</v>
      </c>
      <c r="C149" s="4" t="s">
        <v>8796</v>
      </c>
      <c r="D149" s="4" t="s">
        <v>8947</v>
      </c>
      <c r="E149" s="12" t="s">
        <v>406</v>
      </c>
      <c r="F149" s="75" t="s">
        <v>7781</v>
      </c>
      <c r="G149" s="3">
        <v>32</v>
      </c>
      <c r="H149" s="3" t="s">
        <v>419</v>
      </c>
      <c r="I149" s="68" t="s">
        <v>260</v>
      </c>
      <c r="J149" s="72">
        <v>1.35</v>
      </c>
      <c r="K149" s="14" t="s">
        <v>6175</v>
      </c>
      <c r="L149" s="9">
        <v>272</v>
      </c>
      <c r="M149" s="3">
        <v>335.78</v>
      </c>
      <c r="N149" s="66" t="s">
        <v>8192</v>
      </c>
      <c r="O149" s="5" t="s">
        <v>8652</v>
      </c>
      <c r="P149" s="49">
        <f t="shared" si="9"/>
        <v>2.2282501540370308</v>
      </c>
      <c r="Q149" s="1">
        <f t="shared" si="10"/>
        <v>2.8216828980533109</v>
      </c>
      <c r="R149" s="1">
        <f t="shared" si="12"/>
        <v>2.9598415660244566</v>
      </c>
      <c r="S149" s="10">
        <f t="shared" si="11"/>
        <v>2.524966526045171</v>
      </c>
      <c r="T149" s="45" cm="1">
        <f t="array" ref="T149">SUMPRODUCT(P149:S149 * P$3:S$3) / SUM(P$3:S$3)</f>
        <v>2.6375190509663131</v>
      </c>
    </row>
    <row r="150" spans="1:20" ht="16.5" customHeight="1" x14ac:dyDescent="0.25">
      <c r="A150" s="5" t="s">
        <v>7053</v>
      </c>
      <c r="B150" s="16" t="s">
        <v>7399</v>
      </c>
      <c r="C150" s="4" t="s">
        <v>8798</v>
      </c>
      <c r="D150" s="4" t="s">
        <v>8948</v>
      </c>
      <c r="E150" s="12" t="s">
        <v>406</v>
      </c>
      <c r="F150" s="75" t="s">
        <v>409</v>
      </c>
      <c r="G150" s="3">
        <v>4</v>
      </c>
      <c r="H150" s="3" t="s">
        <v>6736</v>
      </c>
      <c r="I150" s="68" t="s">
        <v>260</v>
      </c>
      <c r="J150" s="72">
        <v>1.35</v>
      </c>
      <c r="L150" s="9">
        <v>25.42</v>
      </c>
      <c r="M150" s="3">
        <v>44.2</v>
      </c>
      <c r="N150" s="66" t="s">
        <v>7960</v>
      </c>
      <c r="O150" s="5" t="s">
        <v>8452</v>
      </c>
      <c r="P150" s="49">
        <f t="shared" si="9"/>
        <v>1.1988195033025186</v>
      </c>
      <c r="Q150" s="1">
        <f t="shared" si="10"/>
        <v>1.1478668575606035</v>
      </c>
      <c r="R150" s="1">
        <f t="shared" si="12"/>
        <v>1.1238584464682517</v>
      </c>
      <c r="S150" s="10">
        <f t="shared" si="11"/>
        <v>1.1733431804315613</v>
      </c>
      <c r="T150" s="45" cm="1">
        <f t="array" ref="T150">SUMPRODUCT(P150:S150 * P$3:S$3) / SUM(P$3:S$3)</f>
        <v>1.1618107101493662</v>
      </c>
    </row>
    <row r="151" spans="1:20" ht="16.5" customHeight="1" x14ac:dyDescent="0.25">
      <c r="A151" s="5" t="s">
        <v>7118</v>
      </c>
      <c r="B151" s="16" t="s">
        <v>7497</v>
      </c>
      <c r="C151" s="4" t="s">
        <v>8797</v>
      </c>
      <c r="D151" s="4" t="s">
        <v>8949</v>
      </c>
      <c r="E151" s="12" t="s">
        <v>406</v>
      </c>
      <c r="F151" s="75" t="s">
        <v>409</v>
      </c>
      <c r="G151" s="3">
        <v>4</v>
      </c>
      <c r="H151" s="3" t="s">
        <v>404</v>
      </c>
      <c r="I151" s="68" t="s">
        <v>260</v>
      </c>
      <c r="J151" s="72">
        <v>1.35</v>
      </c>
      <c r="L151" s="9">
        <v>29.79</v>
      </c>
      <c r="M151" s="3">
        <v>68</v>
      </c>
      <c r="N151" s="66" t="s">
        <v>8058</v>
      </c>
      <c r="O151" s="5" t="s">
        <v>8537</v>
      </c>
      <c r="P151" s="49">
        <f t="shared" si="9"/>
        <v>1.2240200501240845</v>
      </c>
      <c r="Q151" s="1">
        <f t="shared" si="10"/>
        <v>1.1660313488940786</v>
      </c>
      <c r="R151" s="1">
        <f t="shared" si="12"/>
        <v>1.1399479356215672</v>
      </c>
      <c r="S151" s="10">
        <f t="shared" si="11"/>
        <v>1.1950256995090816</v>
      </c>
      <c r="T151" s="45" cm="1">
        <f t="array" ref="T151">SUMPRODUCT(P151:S151 * P$3:S$3) / SUM(P$3:S$3)</f>
        <v>1.1820915280471558</v>
      </c>
    </row>
    <row r="152" spans="1:20" ht="16.5" customHeight="1" x14ac:dyDescent="0.25">
      <c r="A152" s="5" t="s">
        <v>7050</v>
      </c>
      <c r="B152" s="16" t="s">
        <v>7386</v>
      </c>
      <c r="C152" s="4" t="s">
        <v>8798</v>
      </c>
      <c r="D152" s="4" t="s">
        <v>8949</v>
      </c>
      <c r="E152" s="12" t="s">
        <v>406</v>
      </c>
      <c r="F152" s="75" t="s">
        <v>409</v>
      </c>
      <c r="G152" s="3">
        <v>4</v>
      </c>
      <c r="H152" s="3" t="s">
        <v>404</v>
      </c>
      <c r="I152" s="68" t="s">
        <v>260</v>
      </c>
      <c r="J152" s="72">
        <v>1.35</v>
      </c>
      <c r="L152" s="9">
        <v>44.89</v>
      </c>
      <c r="M152" s="3">
        <v>69.2</v>
      </c>
      <c r="N152" s="66" t="s">
        <v>7947</v>
      </c>
      <c r="O152" s="5" t="s">
        <v>8439</v>
      </c>
      <c r="P152" s="49">
        <f t="shared" si="9"/>
        <v>1.2240200501240845</v>
      </c>
      <c r="Q152" s="1">
        <f t="shared" si="10"/>
        <v>1.1660313488940786</v>
      </c>
      <c r="R152" s="1">
        <f t="shared" si="12"/>
        <v>1.1399479356215672</v>
      </c>
      <c r="S152" s="10">
        <f t="shared" si="11"/>
        <v>1.1950256995090816</v>
      </c>
      <c r="T152" s="45" cm="1">
        <f t="array" ref="T152">SUMPRODUCT(P152:S152 * P$3:S$3) / SUM(P$3:S$3)</f>
        <v>1.1820915280471558</v>
      </c>
    </row>
    <row r="153" spans="1:20" ht="16.5" customHeight="1" x14ac:dyDescent="0.25">
      <c r="A153" s="5" t="s">
        <v>7209</v>
      </c>
      <c r="B153" s="16" t="s">
        <v>7705</v>
      </c>
      <c r="C153" s="4" t="s">
        <v>8796</v>
      </c>
      <c r="D153" s="4" t="s">
        <v>8950</v>
      </c>
      <c r="E153" s="12" t="s">
        <v>406</v>
      </c>
      <c r="F153" s="75" t="s">
        <v>409</v>
      </c>
      <c r="G153" s="3">
        <v>4</v>
      </c>
      <c r="H153" s="3" t="s">
        <v>419</v>
      </c>
      <c r="I153" s="68" t="s">
        <v>260</v>
      </c>
      <c r="J153" s="72">
        <v>1.35</v>
      </c>
      <c r="K153" s="14" t="s">
        <v>450</v>
      </c>
      <c r="L153" s="9">
        <v>99.99</v>
      </c>
      <c r="M153" s="3">
        <v>99.99</v>
      </c>
      <c r="N153" s="66" t="s">
        <v>8266</v>
      </c>
      <c r="O153" s="5" t="s">
        <v>8710</v>
      </c>
      <c r="P153" s="49">
        <f t="shared" si="9"/>
        <v>1.2744211437672166</v>
      </c>
      <c r="Q153" s="1">
        <f t="shared" si="10"/>
        <v>1.2023603315610283</v>
      </c>
      <c r="R153" s="1">
        <f t="shared" si="12"/>
        <v>1.172126913928198</v>
      </c>
      <c r="S153" s="10">
        <f t="shared" si="11"/>
        <v>1.2383907376641226</v>
      </c>
      <c r="T153" s="45" cm="1">
        <f t="array" ref="T153">SUMPRODUCT(P153:S153 * P$3:S$3) / SUM(P$3:S$3)</f>
        <v>1.2226531638427349</v>
      </c>
    </row>
    <row r="154" spans="1:20" ht="16.5" customHeight="1" x14ac:dyDescent="0.25">
      <c r="A154" s="5" t="s">
        <v>7048</v>
      </c>
      <c r="B154" s="16" t="s">
        <v>7383</v>
      </c>
      <c r="C154" s="4" t="s">
        <v>8798</v>
      </c>
      <c r="D154" s="4" t="s">
        <v>8950</v>
      </c>
      <c r="E154" s="12" t="s">
        <v>406</v>
      </c>
      <c r="F154" s="75" t="s">
        <v>409</v>
      </c>
      <c r="G154" s="3">
        <v>4</v>
      </c>
      <c r="H154" s="3" t="s">
        <v>419</v>
      </c>
      <c r="I154" s="68" t="s">
        <v>260</v>
      </c>
      <c r="J154" s="72">
        <v>1.35</v>
      </c>
      <c r="L154" s="9">
        <v>131.56</v>
      </c>
      <c r="M154" s="3">
        <v>137.35</v>
      </c>
      <c r="N154" s="66" t="s">
        <v>7944</v>
      </c>
      <c r="O154" s="5" t="s">
        <v>8437</v>
      </c>
      <c r="P154" s="49">
        <f t="shared" si="9"/>
        <v>1.2744211437672166</v>
      </c>
      <c r="Q154" s="1">
        <f t="shared" si="10"/>
        <v>1.2023603315610283</v>
      </c>
      <c r="R154" s="1">
        <f t="shared" si="12"/>
        <v>1.172126913928198</v>
      </c>
      <c r="S154" s="10">
        <f t="shared" si="11"/>
        <v>1.2383907376641226</v>
      </c>
      <c r="T154" s="45" cm="1">
        <f t="array" ref="T154">SUMPRODUCT(P154:S154 * P$3:S$3) / SUM(P$3:S$3)</f>
        <v>1.2226531638427349</v>
      </c>
    </row>
    <row r="155" spans="1:20" ht="16.5" customHeight="1" x14ac:dyDescent="0.25">
      <c r="A155" s="5" t="s">
        <v>7187</v>
      </c>
      <c r="B155" s="16" t="s">
        <v>7591</v>
      </c>
      <c r="C155" s="4" t="s">
        <v>8796</v>
      </c>
      <c r="D155" s="4" t="s">
        <v>8951</v>
      </c>
      <c r="E155" s="12" t="s">
        <v>406</v>
      </c>
      <c r="F155" s="75" t="s">
        <v>409</v>
      </c>
      <c r="G155" s="3">
        <v>8</v>
      </c>
      <c r="H155" s="3" t="s">
        <v>6736</v>
      </c>
      <c r="I155" s="68" t="s">
        <v>260</v>
      </c>
      <c r="J155" s="72">
        <v>1.35</v>
      </c>
      <c r="K155" s="14" t="s">
        <v>7799</v>
      </c>
      <c r="L155" s="9">
        <v>25.9</v>
      </c>
      <c r="M155" s="3">
        <v>45.54</v>
      </c>
      <c r="N155" s="66" t="s">
        <v>8152</v>
      </c>
      <c r="O155" s="5" t="s">
        <v>8622</v>
      </c>
      <c r="P155" s="49">
        <f t="shared" si="9"/>
        <v>1.3861709411162599</v>
      </c>
      <c r="Q155" s="1">
        <f t="shared" si="10"/>
        <v>1.4601192539168391</v>
      </c>
      <c r="R155" s="1">
        <f t="shared" si="12"/>
        <v>1.4673360824601107</v>
      </c>
      <c r="S155" s="10">
        <f t="shared" si="11"/>
        <v>1.4231450975165496</v>
      </c>
      <c r="T155" s="45" cm="1">
        <f t="array" ref="T155">SUMPRODUCT(P155:S155 * P$3:S$3) / SUM(P$3:S$3)</f>
        <v>1.4356320423386804</v>
      </c>
    </row>
    <row r="156" spans="1:20" ht="16.5" customHeight="1" x14ac:dyDescent="0.25">
      <c r="A156" s="5" t="s">
        <v>7187</v>
      </c>
      <c r="B156" s="16" t="s">
        <v>7662</v>
      </c>
      <c r="C156" s="4" t="s">
        <v>8796</v>
      </c>
      <c r="D156" s="4" t="s">
        <v>8951</v>
      </c>
      <c r="E156" s="12" t="s">
        <v>406</v>
      </c>
      <c r="F156" s="75" t="s">
        <v>409</v>
      </c>
      <c r="G156" s="3">
        <v>8</v>
      </c>
      <c r="H156" s="3" t="s">
        <v>6736</v>
      </c>
      <c r="I156" s="68" t="s">
        <v>260</v>
      </c>
      <c r="J156" s="72">
        <v>1.35</v>
      </c>
      <c r="K156" s="14" t="s">
        <v>6175</v>
      </c>
      <c r="L156" s="9">
        <v>31.09</v>
      </c>
      <c r="M156" s="3">
        <v>49.21</v>
      </c>
      <c r="N156" s="66" t="s">
        <v>8223</v>
      </c>
      <c r="O156" s="5" t="s">
        <v>8677</v>
      </c>
      <c r="P156" s="49">
        <f t="shared" si="9"/>
        <v>1.3861709411162599</v>
      </c>
      <c r="Q156" s="1">
        <f t="shared" si="10"/>
        <v>1.4601192539168391</v>
      </c>
      <c r="R156" s="1">
        <f t="shared" si="12"/>
        <v>1.4673360824601107</v>
      </c>
      <c r="S156" s="10">
        <f t="shared" si="11"/>
        <v>1.4231450975165496</v>
      </c>
      <c r="T156" s="45" cm="1">
        <f t="array" ref="T156">SUMPRODUCT(P156:S156 * P$3:S$3) / SUM(P$3:S$3)</f>
        <v>1.4356320423386804</v>
      </c>
    </row>
    <row r="157" spans="1:20" ht="16.5" customHeight="1" x14ac:dyDescent="0.25">
      <c r="A157" s="5" t="s">
        <v>7187</v>
      </c>
      <c r="B157" s="16" t="s">
        <v>7728</v>
      </c>
      <c r="C157" s="4" t="s">
        <v>8796</v>
      </c>
      <c r="D157" s="4" t="s">
        <v>8951</v>
      </c>
      <c r="E157" s="12" t="s">
        <v>406</v>
      </c>
      <c r="F157" s="75" t="s">
        <v>409</v>
      </c>
      <c r="G157" s="3">
        <v>8</v>
      </c>
      <c r="H157" s="3" t="s">
        <v>6736</v>
      </c>
      <c r="I157" s="68" t="s">
        <v>260</v>
      </c>
      <c r="J157" s="72">
        <v>1.35</v>
      </c>
      <c r="L157" s="9">
        <v>18.29</v>
      </c>
      <c r="M157" s="3">
        <v>31.54</v>
      </c>
      <c r="N157" s="66" t="s">
        <v>8289</v>
      </c>
      <c r="O157" s="5" t="s">
        <v>8730</v>
      </c>
      <c r="P157" s="49">
        <f t="shared" si="9"/>
        <v>1.3861709411162599</v>
      </c>
      <c r="Q157" s="1">
        <f t="shared" si="10"/>
        <v>1.4601192539168391</v>
      </c>
      <c r="R157" s="1">
        <f t="shared" si="12"/>
        <v>1.4673360824601107</v>
      </c>
      <c r="S157" s="10">
        <f t="shared" si="11"/>
        <v>1.4231450975165496</v>
      </c>
      <c r="T157" s="45" cm="1">
        <f t="array" ref="T157">SUMPRODUCT(P157:S157 * P$3:S$3) / SUM(P$3:S$3)</f>
        <v>1.4356320423386804</v>
      </c>
    </row>
    <row r="158" spans="1:20" ht="16.5" customHeight="1" x14ac:dyDescent="0.25">
      <c r="A158" s="5" t="s">
        <v>7187</v>
      </c>
      <c r="B158" s="16" t="s">
        <v>7729</v>
      </c>
      <c r="C158" s="4" t="s">
        <v>8796</v>
      </c>
      <c r="D158" s="4" t="s">
        <v>8951</v>
      </c>
      <c r="E158" s="12" t="s">
        <v>406</v>
      </c>
      <c r="F158" s="75" t="s">
        <v>409</v>
      </c>
      <c r="G158" s="3">
        <v>8</v>
      </c>
      <c r="H158" s="3" t="s">
        <v>6736</v>
      </c>
      <c r="I158" s="68" t="s">
        <v>260</v>
      </c>
      <c r="J158" s="72">
        <v>1.35</v>
      </c>
      <c r="L158" s="9">
        <v>21.78</v>
      </c>
      <c r="M158" s="3">
        <v>85</v>
      </c>
      <c r="N158" s="66" t="s">
        <v>8290</v>
      </c>
      <c r="O158" s="5" t="s">
        <v>8731</v>
      </c>
      <c r="P158" s="49">
        <f t="shared" si="9"/>
        <v>1.3861709411162599</v>
      </c>
      <c r="Q158" s="1">
        <f t="shared" si="10"/>
        <v>1.4601192539168391</v>
      </c>
      <c r="R158" s="1">
        <f t="shared" si="12"/>
        <v>1.4673360824601107</v>
      </c>
      <c r="S158" s="10">
        <f t="shared" si="11"/>
        <v>1.4231450975165496</v>
      </c>
      <c r="T158" s="45" cm="1">
        <f t="array" ref="T158">SUMPRODUCT(P158:S158 * P$3:S$3) / SUM(P$3:S$3)</f>
        <v>1.4356320423386804</v>
      </c>
    </row>
    <row r="159" spans="1:20" ht="16.5" customHeight="1" x14ac:dyDescent="0.25">
      <c r="A159" s="5" t="s">
        <v>7163</v>
      </c>
      <c r="B159" s="16" t="s">
        <v>7550</v>
      </c>
      <c r="C159" s="4" t="s">
        <v>8797</v>
      </c>
      <c r="D159" s="4" t="s">
        <v>8951</v>
      </c>
      <c r="E159" s="12" t="s">
        <v>406</v>
      </c>
      <c r="F159" s="75" t="s">
        <v>409</v>
      </c>
      <c r="G159" s="3">
        <v>8</v>
      </c>
      <c r="H159" s="3" t="s">
        <v>6736</v>
      </c>
      <c r="I159" s="68" t="s">
        <v>260</v>
      </c>
      <c r="J159" s="72">
        <v>1.35</v>
      </c>
      <c r="L159" s="9">
        <v>13.78</v>
      </c>
      <c r="M159" s="3">
        <v>57</v>
      </c>
      <c r="N159" s="66" t="s">
        <v>8111</v>
      </c>
      <c r="O159" s="5" t="s">
        <v>8588</v>
      </c>
      <c r="P159" s="49">
        <f t="shared" si="9"/>
        <v>1.3861709411162599</v>
      </c>
      <c r="Q159" s="1">
        <f t="shared" si="10"/>
        <v>1.4601192539168391</v>
      </c>
      <c r="R159" s="1">
        <f t="shared" si="12"/>
        <v>1.4673360824601107</v>
      </c>
      <c r="S159" s="10">
        <f t="shared" si="11"/>
        <v>1.4231450975165496</v>
      </c>
      <c r="T159" s="45" cm="1">
        <f t="array" ref="T159">SUMPRODUCT(P159:S159 * P$3:S$3) / SUM(P$3:S$3)</f>
        <v>1.4356320423386804</v>
      </c>
    </row>
    <row r="160" spans="1:20" ht="16.5" customHeight="1" x14ac:dyDescent="0.25">
      <c r="A160" s="5" t="s">
        <v>7027</v>
      </c>
      <c r="B160" s="16" t="s">
        <v>7333</v>
      </c>
      <c r="C160" s="4" t="s">
        <v>8798</v>
      </c>
      <c r="D160" s="4" t="s">
        <v>8951</v>
      </c>
      <c r="E160" s="12" t="s">
        <v>406</v>
      </c>
      <c r="F160" s="75" t="s">
        <v>409</v>
      </c>
      <c r="G160" s="3">
        <v>8</v>
      </c>
      <c r="H160" s="3" t="s">
        <v>6736</v>
      </c>
      <c r="I160" s="68" t="s">
        <v>260</v>
      </c>
      <c r="J160" s="72">
        <v>1.35</v>
      </c>
      <c r="K160" s="14" t="s">
        <v>5476</v>
      </c>
      <c r="L160" s="9">
        <v>34.9</v>
      </c>
      <c r="M160" s="3">
        <v>44.68</v>
      </c>
      <c r="N160" s="66" t="s">
        <v>7894</v>
      </c>
      <c r="O160" s="5" t="s">
        <v>8400</v>
      </c>
      <c r="P160" s="49">
        <f t="shared" si="9"/>
        <v>1.3861709411162599</v>
      </c>
      <c r="Q160" s="1">
        <f t="shared" si="10"/>
        <v>1.4601192539168391</v>
      </c>
      <c r="R160" s="1">
        <f t="shared" si="12"/>
        <v>1.4673360824601107</v>
      </c>
      <c r="S160" s="10">
        <f t="shared" si="11"/>
        <v>1.4231450975165496</v>
      </c>
      <c r="T160" s="45" cm="1">
        <f t="array" ref="T160">SUMPRODUCT(P160:S160 * P$3:S$3) / SUM(P$3:S$3)</f>
        <v>1.4356320423386804</v>
      </c>
    </row>
    <row r="161" spans="1:20" ht="16.5" customHeight="1" x14ac:dyDescent="0.25">
      <c r="A161" s="5" t="s">
        <v>7027</v>
      </c>
      <c r="B161" s="16" t="s">
        <v>7367</v>
      </c>
      <c r="C161" s="4" t="s">
        <v>8798</v>
      </c>
      <c r="D161" s="4" t="s">
        <v>8951</v>
      </c>
      <c r="E161" s="12" t="s">
        <v>406</v>
      </c>
      <c r="F161" s="75" t="s">
        <v>409</v>
      </c>
      <c r="G161" s="3">
        <v>8</v>
      </c>
      <c r="H161" s="3" t="s">
        <v>6736</v>
      </c>
      <c r="I161" s="68" t="s">
        <v>260</v>
      </c>
      <c r="J161" s="72">
        <v>1.35</v>
      </c>
      <c r="K161" s="14" t="s">
        <v>5476</v>
      </c>
      <c r="L161" s="9">
        <v>25.1</v>
      </c>
      <c r="M161" s="3">
        <v>74.34</v>
      </c>
      <c r="N161" s="66" t="s">
        <v>7928</v>
      </c>
      <c r="O161" s="5" t="s">
        <v>8424</v>
      </c>
      <c r="P161" s="49">
        <f t="shared" si="9"/>
        <v>1.3861709411162599</v>
      </c>
      <c r="Q161" s="1">
        <f t="shared" si="10"/>
        <v>1.4601192539168391</v>
      </c>
      <c r="R161" s="1">
        <f t="shared" si="12"/>
        <v>1.4673360824601107</v>
      </c>
      <c r="S161" s="10">
        <f t="shared" si="11"/>
        <v>1.4231450975165496</v>
      </c>
      <c r="T161" s="45" cm="1">
        <f t="array" ref="T161">SUMPRODUCT(P161:S161 * P$3:S$3) / SUM(P$3:S$3)</f>
        <v>1.4356320423386804</v>
      </c>
    </row>
    <row r="162" spans="1:20" ht="16.5" customHeight="1" x14ac:dyDescent="0.25">
      <c r="A162" s="5" t="s">
        <v>7027</v>
      </c>
      <c r="B162" s="16" t="s">
        <v>7398</v>
      </c>
      <c r="C162" s="4" t="s">
        <v>8798</v>
      </c>
      <c r="D162" s="4" t="s">
        <v>8951</v>
      </c>
      <c r="E162" s="12" t="s">
        <v>406</v>
      </c>
      <c r="F162" s="75" t="s">
        <v>409</v>
      </c>
      <c r="G162" s="3">
        <v>8</v>
      </c>
      <c r="H162" s="3" t="s">
        <v>6736</v>
      </c>
      <c r="I162" s="68" t="s">
        <v>260</v>
      </c>
      <c r="J162" s="72">
        <v>1.35</v>
      </c>
      <c r="L162" s="9">
        <v>17.84</v>
      </c>
      <c r="M162" s="3">
        <v>35.99</v>
      </c>
      <c r="N162" s="66" t="s">
        <v>7959</v>
      </c>
      <c r="O162" s="5" t="s">
        <v>8451</v>
      </c>
      <c r="P162" s="49">
        <f t="shared" si="9"/>
        <v>1.3861709411162599</v>
      </c>
      <c r="Q162" s="1">
        <f t="shared" si="10"/>
        <v>1.4601192539168391</v>
      </c>
      <c r="R162" s="1">
        <f t="shared" si="12"/>
        <v>1.4673360824601107</v>
      </c>
      <c r="S162" s="10">
        <f t="shared" si="11"/>
        <v>1.4231450975165496</v>
      </c>
      <c r="T162" s="45" cm="1">
        <f t="array" ref="T162">SUMPRODUCT(P162:S162 * P$3:S$3) / SUM(P$3:S$3)</f>
        <v>1.4356320423386804</v>
      </c>
    </row>
    <row r="163" spans="1:20" ht="16.5" customHeight="1" x14ac:dyDescent="0.25">
      <c r="A163" s="5" t="s">
        <v>7012</v>
      </c>
      <c r="B163" s="16" t="s">
        <v>7291</v>
      </c>
      <c r="C163" s="4" t="s">
        <v>8798</v>
      </c>
      <c r="D163" s="4" t="s">
        <v>8951</v>
      </c>
      <c r="E163" s="12" t="s">
        <v>406</v>
      </c>
      <c r="F163" s="75" t="s">
        <v>409</v>
      </c>
      <c r="G163" s="3">
        <v>8</v>
      </c>
      <c r="H163" s="3" t="s">
        <v>6736</v>
      </c>
      <c r="I163" s="68" t="s">
        <v>260</v>
      </c>
      <c r="J163" s="72">
        <v>1.35</v>
      </c>
      <c r="K163" s="14" t="s">
        <v>5476</v>
      </c>
      <c r="L163" s="9">
        <v>32.99</v>
      </c>
      <c r="M163" s="3">
        <v>47.95</v>
      </c>
      <c r="N163" s="66" t="s">
        <v>7852</v>
      </c>
      <c r="O163" s="5" t="s">
        <v>8365</v>
      </c>
      <c r="P163" s="49">
        <f t="shared" si="9"/>
        <v>1.3861709411162599</v>
      </c>
      <c r="Q163" s="1">
        <f t="shared" si="10"/>
        <v>1.4601192539168391</v>
      </c>
      <c r="R163" s="1">
        <f t="shared" si="12"/>
        <v>1.4673360824601107</v>
      </c>
      <c r="S163" s="10">
        <f t="shared" si="11"/>
        <v>1.4231450975165496</v>
      </c>
      <c r="T163" s="45" cm="1">
        <f t="array" ref="T163">SUMPRODUCT(P163:S163 * P$3:S$3) / SUM(P$3:S$3)</f>
        <v>1.4356320423386804</v>
      </c>
    </row>
    <row r="164" spans="1:20" ht="16.5" customHeight="1" x14ac:dyDescent="0.25">
      <c r="A164" s="5" t="s">
        <v>7012</v>
      </c>
      <c r="B164" s="16" t="s">
        <v>7292</v>
      </c>
      <c r="C164" s="4" t="s">
        <v>8798</v>
      </c>
      <c r="D164" s="4" t="s">
        <v>8951</v>
      </c>
      <c r="E164" s="12" t="s">
        <v>406</v>
      </c>
      <c r="F164" s="75" t="s">
        <v>409</v>
      </c>
      <c r="G164" s="3">
        <v>8</v>
      </c>
      <c r="H164" s="3" t="s">
        <v>6736</v>
      </c>
      <c r="I164" s="68" t="s">
        <v>260</v>
      </c>
      <c r="J164" s="72">
        <v>1.35</v>
      </c>
      <c r="K164" s="14" t="s">
        <v>5476</v>
      </c>
      <c r="L164" s="9">
        <v>27.29</v>
      </c>
      <c r="M164" s="3">
        <v>44.49</v>
      </c>
      <c r="N164" s="66" t="s">
        <v>7853</v>
      </c>
      <c r="O164" s="5" t="s">
        <v>8365</v>
      </c>
      <c r="P164" s="49">
        <f t="shared" si="9"/>
        <v>1.3861709411162599</v>
      </c>
      <c r="Q164" s="1">
        <f t="shared" si="10"/>
        <v>1.4601192539168391</v>
      </c>
      <c r="R164" s="1">
        <f t="shared" si="12"/>
        <v>1.4673360824601107</v>
      </c>
      <c r="S164" s="10">
        <f t="shared" si="11"/>
        <v>1.4231450975165496</v>
      </c>
      <c r="T164" s="45" cm="1">
        <f t="array" ref="T164">SUMPRODUCT(P164:S164 * P$3:S$3) / SUM(P$3:S$3)</f>
        <v>1.4356320423386804</v>
      </c>
    </row>
    <row r="165" spans="1:20" ht="16.5" customHeight="1" x14ac:dyDescent="0.25">
      <c r="A165" s="5" t="s">
        <v>7012</v>
      </c>
      <c r="B165" s="16" t="s">
        <v>7327</v>
      </c>
      <c r="C165" s="4" t="s">
        <v>8798</v>
      </c>
      <c r="D165" s="4" t="s">
        <v>8951</v>
      </c>
      <c r="E165" s="12" t="s">
        <v>406</v>
      </c>
      <c r="F165" s="75" t="s">
        <v>409</v>
      </c>
      <c r="G165" s="3">
        <v>8</v>
      </c>
      <c r="H165" s="3" t="s">
        <v>6736</v>
      </c>
      <c r="I165" s="68" t="s">
        <v>260</v>
      </c>
      <c r="J165" s="72">
        <v>1.35</v>
      </c>
      <c r="L165" s="9">
        <v>20.12</v>
      </c>
      <c r="M165" s="3">
        <v>44.6</v>
      </c>
      <c r="N165" s="66" t="s">
        <v>7888</v>
      </c>
      <c r="O165" s="5" t="s">
        <v>8394</v>
      </c>
      <c r="P165" s="49">
        <f t="shared" si="9"/>
        <v>1.3861709411162599</v>
      </c>
      <c r="Q165" s="1">
        <f t="shared" si="10"/>
        <v>1.4601192539168391</v>
      </c>
      <c r="R165" s="1">
        <f t="shared" si="12"/>
        <v>1.4673360824601107</v>
      </c>
      <c r="S165" s="10">
        <f t="shared" si="11"/>
        <v>1.4231450975165496</v>
      </c>
      <c r="T165" s="45" cm="1">
        <f t="array" ref="T165">SUMPRODUCT(P165:S165 * P$3:S$3) / SUM(P$3:S$3)</f>
        <v>1.4356320423386804</v>
      </c>
    </row>
    <row r="166" spans="1:20" ht="16.5" customHeight="1" x14ac:dyDescent="0.25">
      <c r="A166" s="5" t="s">
        <v>6985</v>
      </c>
      <c r="B166" s="16" t="s">
        <v>7255</v>
      </c>
      <c r="C166" s="4" t="s">
        <v>8798</v>
      </c>
      <c r="D166" s="4" t="s">
        <v>8951</v>
      </c>
      <c r="E166" s="12" t="s">
        <v>406</v>
      </c>
      <c r="F166" s="75" t="s">
        <v>409</v>
      </c>
      <c r="G166" s="3">
        <v>8</v>
      </c>
      <c r="H166" s="3" t="s">
        <v>6736</v>
      </c>
      <c r="I166" s="68" t="s">
        <v>7791</v>
      </c>
      <c r="J166" s="72">
        <v>1.2</v>
      </c>
      <c r="L166" s="9">
        <v>34.99</v>
      </c>
      <c r="M166" s="3">
        <v>59.99</v>
      </c>
      <c r="N166" s="66" t="s">
        <v>7816</v>
      </c>
      <c r="O166" s="5" t="s">
        <v>8340</v>
      </c>
      <c r="P166" s="49">
        <f t="shared" si="9"/>
        <v>1.3564837174974473</v>
      </c>
      <c r="Q166" s="1">
        <f t="shared" si="10"/>
        <v>1.4483353583827925</v>
      </c>
      <c r="R166" s="1">
        <f t="shared" si="12"/>
        <v>1.4555521869260641</v>
      </c>
      <c r="S166" s="10">
        <f t="shared" si="11"/>
        <v>1.4024095379401198</v>
      </c>
      <c r="T166" s="45" cm="1">
        <f t="array" ref="T166">SUMPRODUCT(P166:S166 * P$3:S$3) / SUM(P$3:S$3)</f>
        <v>1.417650840929138</v>
      </c>
    </row>
    <row r="167" spans="1:20" ht="16.5" customHeight="1" x14ac:dyDescent="0.25">
      <c r="A167" s="5" t="s">
        <v>6985</v>
      </c>
      <c r="B167" s="16" t="s">
        <v>7256</v>
      </c>
      <c r="C167" s="4" t="s">
        <v>8798</v>
      </c>
      <c r="D167" s="4" t="s">
        <v>8951</v>
      </c>
      <c r="E167" s="12" t="s">
        <v>406</v>
      </c>
      <c r="F167" s="75" t="s">
        <v>409</v>
      </c>
      <c r="G167" s="3">
        <v>8</v>
      </c>
      <c r="H167" s="3" t="s">
        <v>6736</v>
      </c>
      <c r="I167" s="68" t="s">
        <v>7791</v>
      </c>
      <c r="J167" s="72">
        <v>1.2</v>
      </c>
      <c r="L167" s="9">
        <v>31.99</v>
      </c>
      <c r="M167" s="3">
        <v>56.19</v>
      </c>
      <c r="N167" s="66" t="s">
        <v>7817</v>
      </c>
      <c r="O167" s="5" t="s">
        <v>8340</v>
      </c>
      <c r="P167" s="49">
        <f t="shared" si="9"/>
        <v>1.3564837174974473</v>
      </c>
      <c r="Q167" s="1">
        <f t="shared" si="10"/>
        <v>1.4483353583827925</v>
      </c>
      <c r="R167" s="1">
        <f t="shared" si="12"/>
        <v>1.4555521869260641</v>
      </c>
      <c r="S167" s="10">
        <f t="shared" si="11"/>
        <v>1.4024095379401198</v>
      </c>
      <c r="T167" s="45" cm="1">
        <f t="array" ref="T167">SUMPRODUCT(P167:S167 * P$3:S$3) / SUM(P$3:S$3)</f>
        <v>1.417650840929138</v>
      </c>
    </row>
    <row r="168" spans="1:20" ht="16.5" customHeight="1" x14ac:dyDescent="0.25">
      <c r="A168" s="5" t="s">
        <v>7236</v>
      </c>
      <c r="B168" s="16" t="s">
        <v>7752</v>
      </c>
      <c r="C168" s="4" t="s">
        <v>8796</v>
      </c>
      <c r="D168" s="4" t="s">
        <v>8952</v>
      </c>
      <c r="E168" s="12" t="s">
        <v>406</v>
      </c>
      <c r="F168" s="75" t="s">
        <v>409</v>
      </c>
      <c r="G168" s="3">
        <v>8</v>
      </c>
      <c r="H168" s="3" t="s">
        <v>404</v>
      </c>
      <c r="I168" s="68" t="s">
        <v>260</v>
      </c>
      <c r="J168" s="72">
        <v>1.35</v>
      </c>
      <c r="K168" s="14" t="s">
        <v>7804</v>
      </c>
      <c r="L168" s="9">
        <v>64.69</v>
      </c>
      <c r="M168" s="3">
        <v>102.05</v>
      </c>
      <c r="N168" s="66" t="s">
        <v>8313</v>
      </c>
      <c r="O168" s="5" t="s">
        <v>8754</v>
      </c>
      <c r="P168" s="49">
        <f t="shared" si="9"/>
        <v>1.4113714879378259</v>
      </c>
      <c r="Q168" s="1">
        <f t="shared" si="10"/>
        <v>1.4782837452503141</v>
      </c>
      <c r="R168" s="1">
        <f t="shared" si="12"/>
        <v>1.4834255716134264</v>
      </c>
      <c r="S168" s="10">
        <f t="shared" si="11"/>
        <v>1.4448276165940701</v>
      </c>
      <c r="T168" s="45" cm="1">
        <f t="array" ref="T168">SUMPRODUCT(P168:S168 * P$3:S$3) / SUM(P$3:S$3)</f>
        <v>1.4559128602364702</v>
      </c>
    </row>
    <row r="169" spans="1:20" ht="16.5" customHeight="1" x14ac:dyDescent="0.25">
      <c r="A169" s="5" t="s">
        <v>7236</v>
      </c>
      <c r="B169" s="16" t="s">
        <v>7771</v>
      </c>
      <c r="C169" s="4" t="s">
        <v>8796</v>
      </c>
      <c r="D169" s="4" t="s">
        <v>8952</v>
      </c>
      <c r="E169" s="12" t="s">
        <v>406</v>
      </c>
      <c r="F169" s="75" t="s">
        <v>409</v>
      </c>
      <c r="G169" s="3">
        <v>8</v>
      </c>
      <c r="H169" s="3" t="s">
        <v>404</v>
      </c>
      <c r="I169" s="68" t="s">
        <v>260</v>
      </c>
      <c r="J169" s="72">
        <v>1.35</v>
      </c>
      <c r="K169" s="14" t="s">
        <v>7804</v>
      </c>
      <c r="L169" s="9">
        <v>75.900000000000006</v>
      </c>
      <c r="M169" s="3">
        <v>129.99</v>
      </c>
      <c r="N169" s="66" t="s">
        <v>8332</v>
      </c>
      <c r="O169" s="5" t="s">
        <v>8767</v>
      </c>
      <c r="P169" s="49">
        <f t="shared" si="9"/>
        <v>1.4113714879378259</v>
      </c>
      <c r="Q169" s="1">
        <f t="shared" si="10"/>
        <v>1.4782837452503141</v>
      </c>
      <c r="R169" s="1">
        <f t="shared" si="12"/>
        <v>1.4834255716134264</v>
      </c>
      <c r="S169" s="10">
        <f t="shared" si="11"/>
        <v>1.4448276165940701</v>
      </c>
      <c r="T169" s="45" cm="1">
        <f t="array" ref="T169">SUMPRODUCT(P169:S169 * P$3:S$3) / SUM(P$3:S$3)</f>
        <v>1.4559128602364702</v>
      </c>
    </row>
    <row r="170" spans="1:20" ht="16.5" customHeight="1" x14ac:dyDescent="0.25">
      <c r="A170" s="5" t="s">
        <v>7236</v>
      </c>
      <c r="B170" s="16" t="s">
        <v>7772</v>
      </c>
      <c r="C170" s="4" t="s">
        <v>8796</v>
      </c>
      <c r="D170" s="4" t="s">
        <v>8952</v>
      </c>
      <c r="E170" s="12" t="s">
        <v>406</v>
      </c>
      <c r="F170" s="75" t="s">
        <v>409</v>
      </c>
      <c r="G170" s="3">
        <v>8</v>
      </c>
      <c r="H170" s="3" t="s">
        <v>404</v>
      </c>
      <c r="I170" s="68" t="s">
        <v>260</v>
      </c>
      <c r="J170" s="72">
        <v>1.35</v>
      </c>
      <c r="K170" s="14" t="s">
        <v>7804</v>
      </c>
      <c r="L170" s="9">
        <v>78.900000000000006</v>
      </c>
      <c r="M170" s="3">
        <v>111.51</v>
      </c>
      <c r="N170" s="66" t="s">
        <v>8333</v>
      </c>
      <c r="O170" s="5" t="s">
        <v>8768</v>
      </c>
      <c r="P170" s="49">
        <f t="shared" si="9"/>
        <v>1.4113714879378259</v>
      </c>
      <c r="Q170" s="1">
        <f t="shared" si="10"/>
        <v>1.4782837452503141</v>
      </c>
      <c r="R170" s="1">
        <f t="shared" si="12"/>
        <v>1.4834255716134264</v>
      </c>
      <c r="S170" s="10">
        <f t="shared" si="11"/>
        <v>1.4448276165940701</v>
      </c>
      <c r="T170" s="45" cm="1">
        <f t="array" ref="T170">SUMPRODUCT(P170:S170 * P$3:S$3) / SUM(P$3:S$3)</f>
        <v>1.4559128602364702</v>
      </c>
    </row>
    <row r="171" spans="1:20" ht="16.5" customHeight="1" x14ac:dyDescent="0.25">
      <c r="A171" s="5" t="s">
        <v>7236</v>
      </c>
      <c r="B171" s="16" t="s">
        <v>7773</v>
      </c>
      <c r="C171" s="4" t="s">
        <v>8796</v>
      </c>
      <c r="D171" s="4" t="s">
        <v>8952</v>
      </c>
      <c r="E171" s="12" t="s">
        <v>406</v>
      </c>
      <c r="F171" s="75" t="s">
        <v>409</v>
      </c>
      <c r="G171" s="3">
        <v>8</v>
      </c>
      <c r="H171" s="3" t="s">
        <v>404</v>
      </c>
      <c r="I171" s="68" t="s">
        <v>260</v>
      </c>
      <c r="J171" s="72">
        <v>1.35</v>
      </c>
      <c r="K171" s="14" t="s">
        <v>7804</v>
      </c>
      <c r="L171" s="9">
        <v>78.900000000000006</v>
      </c>
      <c r="M171" s="3">
        <v>101.35</v>
      </c>
      <c r="N171" s="66" t="s">
        <v>8334</v>
      </c>
      <c r="O171" s="5" t="s">
        <v>8768</v>
      </c>
      <c r="P171" s="49">
        <f t="shared" si="9"/>
        <v>1.4113714879378259</v>
      </c>
      <c r="Q171" s="1">
        <f t="shared" si="10"/>
        <v>1.4782837452503141</v>
      </c>
      <c r="R171" s="1">
        <f t="shared" si="12"/>
        <v>1.4834255716134264</v>
      </c>
      <c r="S171" s="10">
        <f t="shared" si="11"/>
        <v>1.4448276165940701</v>
      </c>
      <c r="T171" s="45" cm="1">
        <f t="array" ref="T171">SUMPRODUCT(P171:S171 * P$3:S$3) / SUM(P$3:S$3)</f>
        <v>1.4559128602364702</v>
      </c>
    </row>
    <row r="172" spans="1:20" ht="16.5" customHeight="1" x14ac:dyDescent="0.25">
      <c r="A172" s="5" t="s">
        <v>7178</v>
      </c>
      <c r="B172" s="16" t="s">
        <v>7566</v>
      </c>
      <c r="C172" s="4" t="s">
        <v>8796</v>
      </c>
      <c r="D172" s="4" t="s">
        <v>8952</v>
      </c>
      <c r="E172" s="12" t="s">
        <v>406</v>
      </c>
      <c r="F172" s="75" t="s">
        <v>409</v>
      </c>
      <c r="G172" s="3">
        <v>8</v>
      </c>
      <c r="H172" s="3" t="s">
        <v>404</v>
      </c>
      <c r="I172" s="68" t="s">
        <v>260</v>
      </c>
      <c r="J172" s="72">
        <v>1.35</v>
      </c>
      <c r="K172" s="14" t="s">
        <v>6175</v>
      </c>
      <c r="L172" s="9">
        <v>58.73</v>
      </c>
      <c r="M172" s="3">
        <v>158.81</v>
      </c>
      <c r="N172" s="66" t="s">
        <v>8127</v>
      </c>
      <c r="O172" s="5" t="s">
        <v>8601</v>
      </c>
      <c r="P172" s="49">
        <f t="shared" si="9"/>
        <v>1.4113714879378259</v>
      </c>
      <c r="Q172" s="1">
        <f t="shared" si="10"/>
        <v>1.4782837452503141</v>
      </c>
      <c r="R172" s="1">
        <f t="shared" si="12"/>
        <v>1.4834255716134264</v>
      </c>
      <c r="S172" s="10">
        <f t="shared" si="11"/>
        <v>1.4448276165940701</v>
      </c>
      <c r="T172" s="45" cm="1">
        <f t="array" ref="T172">SUMPRODUCT(P172:S172 * P$3:S$3) / SUM(P$3:S$3)</f>
        <v>1.4559128602364702</v>
      </c>
    </row>
    <row r="173" spans="1:20" ht="16.5" customHeight="1" x14ac:dyDescent="0.25">
      <c r="A173" s="5" t="s">
        <v>7178</v>
      </c>
      <c r="B173" s="16" t="s">
        <v>7581</v>
      </c>
      <c r="C173" s="4" t="s">
        <v>8796</v>
      </c>
      <c r="D173" s="4" t="s">
        <v>8952</v>
      </c>
      <c r="E173" s="12" t="s">
        <v>406</v>
      </c>
      <c r="F173" s="75" t="s">
        <v>409</v>
      </c>
      <c r="G173" s="3">
        <v>8</v>
      </c>
      <c r="H173" s="3" t="s">
        <v>404</v>
      </c>
      <c r="I173" s="68" t="s">
        <v>260</v>
      </c>
      <c r="J173" s="72">
        <v>1.35</v>
      </c>
      <c r="K173" s="14" t="s">
        <v>6175</v>
      </c>
      <c r="L173" s="9">
        <v>53.9</v>
      </c>
      <c r="M173" s="3">
        <v>91</v>
      </c>
      <c r="N173" s="66" t="s">
        <v>8142</v>
      </c>
      <c r="O173" s="5" t="s">
        <v>8612</v>
      </c>
      <c r="P173" s="49">
        <f t="shared" si="9"/>
        <v>1.4113714879378259</v>
      </c>
      <c r="Q173" s="1">
        <f t="shared" si="10"/>
        <v>1.4782837452503141</v>
      </c>
      <c r="R173" s="1">
        <f t="shared" si="12"/>
        <v>1.4834255716134264</v>
      </c>
      <c r="S173" s="10">
        <f t="shared" si="11"/>
        <v>1.4448276165940701</v>
      </c>
      <c r="T173" s="45" cm="1">
        <f t="array" ref="T173">SUMPRODUCT(P173:S173 * P$3:S$3) / SUM(P$3:S$3)</f>
        <v>1.4559128602364702</v>
      </c>
    </row>
    <row r="174" spans="1:20" ht="16.5" customHeight="1" x14ac:dyDescent="0.25">
      <c r="A174" s="5" t="s">
        <v>7178</v>
      </c>
      <c r="B174" s="16" t="s">
        <v>7587</v>
      </c>
      <c r="C174" s="4" t="s">
        <v>8796</v>
      </c>
      <c r="D174" s="4" t="s">
        <v>8952</v>
      </c>
      <c r="E174" s="12" t="s">
        <v>406</v>
      </c>
      <c r="F174" s="75" t="s">
        <v>409</v>
      </c>
      <c r="G174" s="3">
        <v>8</v>
      </c>
      <c r="H174" s="3" t="s">
        <v>404</v>
      </c>
      <c r="I174" s="68" t="s">
        <v>260</v>
      </c>
      <c r="J174" s="72">
        <v>1.35</v>
      </c>
      <c r="K174" s="14" t="s">
        <v>7799</v>
      </c>
      <c r="L174" s="9">
        <v>47.9</v>
      </c>
      <c r="M174" s="3">
        <v>73.430000000000007</v>
      </c>
      <c r="N174" s="66" t="s">
        <v>8148</v>
      </c>
      <c r="O174" s="5" t="s">
        <v>8618</v>
      </c>
      <c r="P174" s="49">
        <f t="shared" si="9"/>
        <v>1.4113714879378259</v>
      </c>
      <c r="Q174" s="1">
        <f t="shared" si="10"/>
        <v>1.4782837452503141</v>
      </c>
      <c r="R174" s="1">
        <f t="shared" si="12"/>
        <v>1.4834255716134264</v>
      </c>
      <c r="S174" s="10">
        <f t="shared" si="11"/>
        <v>1.4448276165940701</v>
      </c>
      <c r="T174" s="45" cm="1">
        <f t="array" ref="T174">SUMPRODUCT(P174:S174 * P$3:S$3) / SUM(P$3:S$3)</f>
        <v>1.4559128602364702</v>
      </c>
    </row>
    <row r="175" spans="1:20" ht="16.5" customHeight="1" x14ac:dyDescent="0.25">
      <c r="A175" s="5" t="s">
        <v>7178</v>
      </c>
      <c r="B175" s="16" t="s">
        <v>7597</v>
      </c>
      <c r="C175" s="4" t="s">
        <v>8796</v>
      </c>
      <c r="D175" s="4" t="s">
        <v>8952</v>
      </c>
      <c r="E175" s="12" t="s">
        <v>406</v>
      </c>
      <c r="F175" s="75" t="s">
        <v>409</v>
      </c>
      <c r="G175" s="3">
        <v>8</v>
      </c>
      <c r="H175" s="3" t="s">
        <v>404</v>
      </c>
      <c r="I175" s="68" t="s">
        <v>260</v>
      </c>
      <c r="J175" s="72">
        <v>1.35</v>
      </c>
      <c r="K175" s="14" t="s">
        <v>6175</v>
      </c>
      <c r="L175" s="9">
        <v>53.78</v>
      </c>
      <c r="M175" s="3">
        <v>92</v>
      </c>
      <c r="N175" s="66" t="s">
        <v>8158</v>
      </c>
      <c r="O175" s="5" t="s">
        <v>8628</v>
      </c>
      <c r="P175" s="49">
        <f t="shared" si="9"/>
        <v>1.4113714879378259</v>
      </c>
      <c r="Q175" s="1">
        <f t="shared" si="10"/>
        <v>1.4782837452503141</v>
      </c>
      <c r="R175" s="1">
        <f t="shared" si="12"/>
        <v>1.4834255716134264</v>
      </c>
      <c r="S175" s="10">
        <f t="shared" si="11"/>
        <v>1.4448276165940701</v>
      </c>
      <c r="T175" s="45" cm="1">
        <f t="array" ref="T175">SUMPRODUCT(P175:S175 * P$3:S$3) / SUM(P$3:S$3)</f>
        <v>1.4559128602364702</v>
      </c>
    </row>
    <row r="176" spans="1:20" ht="16.5" customHeight="1" x14ac:dyDescent="0.25">
      <c r="A176" s="5" t="s">
        <v>7178</v>
      </c>
      <c r="B176" s="16" t="s">
        <v>7601</v>
      </c>
      <c r="C176" s="4" t="s">
        <v>8796</v>
      </c>
      <c r="D176" s="4" t="s">
        <v>8952</v>
      </c>
      <c r="E176" s="12" t="s">
        <v>406</v>
      </c>
      <c r="F176" s="75" t="s">
        <v>409</v>
      </c>
      <c r="G176" s="3">
        <v>8</v>
      </c>
      <c r="H176" s="3" t="s">
        <v>404</v>
      </c>
      <c r="I176" s="68" t="s">
        <v>260</v>
      </c>
      <c r="J176" s="72">
        <v>1.35</v>
      </c>
      <c r="K176" s="14" t="s">
        <v>6175</v>
      </c>
      <c r="L176" s="9">
        <v>51.9</v>
      </c>
      <c r="M176" s="3">
        <v>69.040000000000006</v>
      </c>
      <c r="N176" s="66" t="s">
        <v>8162</v>
      </c>
      <c r="O176" s="5" t="s">
        <v>8632</v>
      </c>
      <c r="P176" s="49">
        <f t="shared" si="9"/>
        <v>1.4113714879378259</v>
      </c>
      <c r="Q176" s="1">
        <f t="shared" si="10"/>
        <v>1.4782837452503141</v>
      </c>
      <c r="R176" s="1">
        <f t="shared" si="12"/>
        <v>1.4834255716134264</v>
      </c>
      <c r="S176" s="10">
        <f t="shared" si="11"/>
        <v>1.4448276165940701</v>
      </c>
      <c r="T176" s="45" cm="1">
        <f t="array" ref="T176">SUMPRODUCT(P176:S176 * P$3:S$3) / SUM(P$3:S$3)</f>
        <v>1.4559128602364702</v>
      </c>
    </row>
    <row r="177" spans="1:20" ht="16.5" customHeight="1" x14ac:dyDescent="0.25">
      <c r="A177" s="5" t="s">
        <v>7178</v>
      </c>
      <c r="B177" s="16" t="s">
        <v>7602</v>
      </c>
      <c r="C177" s="4" t="s">
        <v>8796</v>
      </c>
      <c r="D177" s="4" t="s">
        <v>8952</v>
      </c>
      <c r="E177" s="12" t="s">
        <v>406</v>
      </c>
      <c r="F177" s="75" t="s">
        <v>409</v>
      </c>
      <c r="G177" s="3">
        <v>8</v>
      </c>
      <c r="H177" s="3" t="s">
        <v>404</v>
      </c>
      <c r="I177" s="68" t="s">
        <v>260</v>
      </c>
      <c r="J177" s="72">
        <v>1.35</v>
      </c>
      <c r="K177" s="14" t="s">
        <v>6175</v>
      </c>
      <c r="L177" s="9">
        <v>53.9</v>
      </c>
      <c r="M177" s="3">
        <v>71.91</v>
      </c>
      <c r="N177" s="66" t="s">
        <v>8163</v>
      </c>
      <c r="O177" s="5" t="s">
        <v>8633</v>
      </c>
      <c r="P177" s="49">
        <f t="shared" si="9"/>
        <v>1.4113714879378259</v>
      </c>
      <c r="Q177" s="1">
        <f t="shared" si="10"/>
        <v>1.4782837452503141</v>
      </c>
      <c r="R177" s="1">
        <f t="shared" si="12"/>
        <v>1.4834255716134264</v>
      </c>
      <c r="S177" s="10">
        <f t="shared" si="11"/>
        <v>1.4448276165940701</v>
      </c>
      <c r="T177" s="45" cm="1">
        <f t="array" ref="T177">SUMPRODUCT(P177:S177 * P$3:S$3) / SUM(P$3:S$3)</f>
        <v>1.4559128602364702</v>
      </c>
    </row>
    <row r="178" spans="1:20" ht="16.5" customHeight="1" x14ac:dyDescent="0.25">
      <c r="A178" s="5" t="s">
        <v>7178</v>
      </c>
      <c r="B178" s="16" t="s">
        <v>7610</v>
      </c>
      <c r="C178" s="4" t="s">
        <v>8796</v>
      </c>
      <c r="D178" s="4" t="s">
        <v>8952</v>
      </c>
      <c r="E178" s="12" t="s">
        <v>406</v>
      </c>
      <c r="F178" s="75" t="s">
        <v>409</v>
      </c>
      <c r="G178" s="3">
        <v>8</v>
      </c>
      <c r="H178" s="3" t="s">
        <v>404</v>
      </c>
      <c r="I178" s="68" t="s">
        <v>260</v>
      </c>
      <c r="J178" s="72">
        <v>1.35</v>
      </c>
      <c r="K178" s="14" t="s">
        <v>7800</v>
      </c>
      <c r="L178" s="9">
        <v>48.9</v>
      </c>
      <c r="M178" s="3">
        <v>95</v>
      </c>
      <c r="N178" s="66" t="s">
        <v>8171</v>
      </c>
      <c r="O178" s="5" t="s">
        <v>8639</v>
      </c>
      <c r="P178" s="49">
        <f t="shared" si="9"/>
        <v>1.4113714879378259</v>
      </c>
      <c r="Q178" s="1">
        <f t="shared" si="10"/>
        <v>1.4782837452503141</v>
      </c>
      <c r="R178" s="1">
        <f t="shared" si="12"/>
        <v>1.4834255716134264</v>
      </c>
      <c r="S178" s="10">
        <f t="shared" si="11"/>
        <v>1.4448276165940701</v>
      </c>
      <c r="T178" s="45" cm="1">
        <f t="array" ref="T178">SUMPRODUCT(P178:S178 * P$3:S$3) / SUM(P$3:S$3)</f>
        <v>1.4559128602364702</v>
      </c>
    </row>
    <row r="179" spans="1:20" ht="16.5" customHeight="1" x14ac:dyDescent="0.25">
      <c r="A179" s="5" t="s">
        <v>7178</v>
      </c>
      <c r="B179" s="16" t="s">
        <v>7626</v>
      </c>
      <c r="C179" s="4" t="s">
        <v>8796</v>
      </c>
      <c r="D179" s="4" t="s">
        <v>8952</v>
      </c>
      <c r="E179" s="12" t="s">
        <v>406</v>
      </c>
      <c r="F179" s="75" t="s">
        <v>409</v>
      </c>
      <c r="G179" s="3">
        <v>8</v>
      </c>
      <c r="H179" s="3" t="s">
        <v>404</v>
      </c>
      <c r="I179" s="68" t="s">
        <v>260</v>
      </c>
      <c r="J179" s="72">
        <v>1.35</v>
      </c>
      <c r="K179" s="14" t="s">
        <v>7800</v>
      </c>
      <c r="L179" s="9">
        <v>48.9</v>
      </c>
      <c r="M179" s="3">
        <v>72.900000000000006</v>
      </c>
      <c r="N179" s="66" t="s">
        <v>8187</v>
      </c>
      <c r="O179" s="5" t="s">
        <v>8648</v>
      </c>
      <c r="P179" s="49">
        <f t="shared" si="9"/>
        <v>1.4113714879378259</v>
      </c>
      <c r="Q179" s="1">
        <f t="shared" si="10"/>
        <v>1.4782837452503141</v>
      </c>
      <c r="R179" s="1">
        <f t="shared" si="12"/>
        <v>1.4834255716134264</v>
      </c>
      <c r="S179" s="10">
        <f t="shared" si="11"/>
        <v>1.4448276165940701</v>
      </c>
      <c r="T179" s="45" cm="1">
        <f t="array" ref="T179">SUMPRODUCT(P179:S179 * P$3:S$3) / SUM(P$3:S$3)</f>
        <v>1.4559128602364702</v>
      </c>
    </row>
    <row r="180" spans="1:20" ht="16.5" customHeight="1" x14ac:dyDescent="0.25">
      <c r="A180" s="5" t="s">
        <v>7178</v>
      </c>
      <c r="B180" s="16" t="s">
        <v>7627</v>
      </c>
      <c r="C180" s="4" t="s">
        <v>8796</v>
      </c>
      <c r="D180" s="4" t="s">
        <v>8952</v>
      </c>
      <c r="E180" s="12" t="s">
        <v>406</v>
      </c>
      <c r="F180" s="75" t="s">
        <v>409</v>
      </c>
      <c r="G180" s="3">
        <v>8</v>
      </c>
      <c r="H180" s="3" t="s">
        <v>404</v>
      </c>
      <c r="I180" s="68" t="s">
        <v>260</v>
      </c>
      <c r="J180" s="72">
        <v>1.35</v>
      </c>
      <c r="K180" s="14" t="s">
        <v>7800</v>
      </c>
      <c r="L180" s="9">
        <v>47.9</v>
      </c>
      <c r="M180" s="3">
        <v>73.900000000000006</v>
      </c>
      <c r="N180" s="66" t="s">
        <v>8188</v>
      </c>
      <c r="O180" s="5" t="s">
        <v>8648</v>
      </c>
      <c r="P180" s="49">
        <f t="shared" si="9"/>
        <v>1.4113714879378259</v>
      </c>
      <c r="Q180" s="1">
        <f t="shared" si="10"/>
        <v>1.4782837452503141</v>
      </c>
      <c r="R180" s="1">
        <f t="shared" si="12"/>
        <v>1.4834255716134264</v>
      </c>
      <c r="S180" s="10">
        <f t="shared" si="11"/>
        <v>1.4448276165940701</v>
      </c>
      <c r="T180" s="45" cm="1">
        <f t="array" ref="T180">SUMPRODUCT(P180:S180 * P$3:S$3) / SUM(P$3:S$3)</f>
        <v>1.4559128602364702</v>
      </c>
    </row>
    <row r="181" spans="1:20" ht="16.5" customHeight="1" x14ac:dyDescent="0.25">
      <c r="A181" s="5" t="s">
        <v>7178</v>
      </c>
      <c r="B181" s="16" t="s">
        <v>7655</v>
      </c>
      <c r="C181" s="4" t="s">
        <v>8796</v>
      </c>
      <c r="D181" s="4" t="s">
        <v>8952</v>
      </c>
      <c r="E181" s="12" t="s">
        <v>406</v>
      </c>
      <c r="F181" s="75" t="s">
        <v>409</v>
      </c>
      <c r="G181" s="3">
        <v>8</v>
      </c>
      <c r="H181" s="3" t="s">
        <v>404</v>
      </c>
      <c r="I181" s="68" t="s">
        <v>260</v>
      </c>
      <c r="J181" s="72">
        <v>1.35</v>
      </c>
      <c r="K181" s="14" t="s">
        <v>6175</v>
      </c>
      <c r="L181" s="9">
        <v>53.9</v>
      </c>
      <c r="M181" s="3">
        <v>89.48</v>
      </c>
      <c r="N181" s="66" t="s">
        <v>8216</v>
      </c>
      <c r="O181" s="5" t="s">
        <v>8671</v>
      </c>
      <c r="P181" s="49">
        <f t="shared" si="9"/>
        <v>1.4113714879378259</v>
      </c>
      <c r="Q181" s="1">
        <f t="shared" si="10"/>
        <v>1.4782837452503141</v>
      </c>
      <c r="R181" s="1">
        <f t="shared" si="12"/>
        <v>1.4834255716134264</v>
      </c>
      <c r="S181" s="10">
        <f t="shared" si="11"/>
        <v>1.4448276165940701</v>
      </c>
      <c r="T181" s="45" cm="1">
        <f t="array" ref="T181">SUMPRODUCT(P181:S181 * P$3:S$3) / SUM(P$3:S$3)</f>
        <v>1.4559128602364702</v>
      </c>
    </row>
    <row r="182" spans="1:20" ht="16.5" customHeight="1" x14ac:dyDescent="0.25">
      <c r="A182" s="5" t="s">
        <v>7178</v>
      </c>
      <c r="B182" s="16" t="s">
        <v>7656</v>
      </c>
      <c r="C182" s="4" t="s">
        <v>8796</v>
      </c>
      <c r="D182" s="4" t="s">
        <v>8952</v>
      </c>
      <c r="E182" s="12" t="s">
        <v>406</v>
      </c>
      <c r="F182" s="75" t="s">
        <v>409</v>
      </c>
      <c r="G182" s="3">
        <v>8</v>
      </c>
      <c r="H182" s="3" t="s">
        <v>404</v>
      </c>
      <c r="I182" s="68" t="s">
        <v>260</v>
      </c>
      <c r="J182" s="72">
        <v>1.35</v>
      </c>
      <c r="K182" s="14" t="s">
        <v>6175</v>
      </c>
      <c r="L182" s="9">
        <v>43.59</v>
      </c>
      <c r="M182" s="3">
        <v>109.95</v>
      </c>
      <c r="N182" s="66" t="s">
        <v>8217</v>
      </c>
      <c r="O182" s="5" t="s">
        <v>8671</v>
      </c>
      <c r="P182" s="49">
        <f t="shared" si="9"/>
        <v>1.4113714879378259</v>
      </c>
      <c r="Q182" s="1">
        <f t="shared" si="10"/>
        <v>1.4782837452503141</v>
      </c>
      <c r="R182" s="1">
        <f t="shared" si="12"/>
        <v>1.4834255716134264</v>
      </c>
      <c r="S182" s="10">
        <f t="shared" si="11"/>
        <v>1.4448276165940701</v>
      </c>
      <c r="T182" s="45" cm="1">
        <f t="array" ref="T182">SUMPRODUCT(P182:S182 * P$3:S$3) / SUM(P$3:S$3)</f>
        <v>1.4559128602364702</v>
      </c>
    </row>
    <row r="183" spans="1:20" ht="16.5" customHeight="1" x14ac:dyDescent="0.25">
      <c r="A183" s="5" t="s">
        <v>7178</v>
      </c>
      <c r="B183" s="16" t="s">
        <v>7664</v>
      </c>
      <c r="C183" s="4" t="s">
        <v>8796</v>
      </c>
      <c r="D183" s="4" t="s">
        <v>8952</v>
      </c>
      <c r="E183" s="12" t="s">
        <v>406</v>
      </c>
      <c r="F183" s="75" t="s">
        <v>409</v>
      </c>
      <c r="G183" s="3">
        <v>8</v>
      </c>
      <c r="H183" s="3" t="s">
        <v>404</v>
      </c>
      <c r="I183" s="68" t="s">
        <v>260</v>
      </c>
      <c r="J183" s="72">
        <v>1.35</v>
      </c>
      <c r="L183" s="9">
        <v>36.9</v>
      </c>
      <c r="M183" s="3">
        <v>51.27</v>
      </c>
      <c r="N183" s="66" t="s">
        <v>8225</v>
      </c>
      <c r="O183" s="5" t="s">
        <v>8679</v>
      </c>
      <c r="P183" s="49">
        <f t="shared" si="9"/>
        <v>1.4113714879378259</v>
      </c>
      <c r="Q183" s="1">
        <f t="shared" si="10"/>
        <v>1.4782837452503141</v>
      </c>
      <c r="R183" s="1">
        <f t="shared" si="12"/>
        <v>1.4834255716134264</v>
      </c>
      <c r="S183" s="10">
        <f t="shared" si="11"/>
        <v>1.4448276165940701</v>
      </c>
      <c r="T183" s="45" cm="1">
        <f t="array" ref="T183">SUMPRODUCT(P183:S183 * P$3:S$3) / SUM(P$3:S$3)</f>
        <v>1.4559128602364702</v>
      </c>
    </row>
    <row r="184" spans="1:20" ht="16.5" customHeight="1" x14ac:dyDescent="0.25">
      <c r="A184" s="5" t="s">
        <v>7178</v>
      </c>
      <c r="B184" s="16" t="s">
        <v>7665</v>
      </c>
      <c r="C184" s="4" t="s">
        <v>8796</v>
      </c>
      <c r="D184" s="4" t="s">
        <v>8952</v>
      </c>
      <c r="E184" s="12" t="s">
        <v>406</v>
      </c>
      <c r="F184" s="75" t="s">
        <v>409</v>
      </c>
      <c r="G184" s="3">
        <v>8</v>
      </c>
      <c r="H184" s="3" t="s">
        <v>404</v>
      </c>
      <c r="I184" s="68" t="s">
        <v>260</v>
      </c>
      <c r="J184" s="72">
        <v>1.35</v>
      </c>
      <c r="L184" s="9">
        <v>39.5</v>
      </c>
      <c r="M184" s="3">
        <v>61.9</v>
      </c>
      <c r="N184" s="66" t="s">
        <v>8226</v>
      </c>
      <c r="O184" s="5" t="s">
        <v>8680</v>
      </c>
      <c r="P184" s="49">
        <f t="shared" si="9"/>
        <v>1.4113714879378259</v>
      </c>
      <c r="Q184" s="1">
        <f t="shared" si="10"/>
        <v>1.4782837452503141</v>
      </c>
      <c r="R184" s="1">
        <f t="shared" si="12"/>
        <v>1.4834255716134264</v>
      </c>
      <c r="S184" s="10">
        <f t="shared" si="11"/>
        <v>1.4448276165940701</v>
      </c>
      <c r="T184" s="45" cm="1">
        <f t="array" ref="T184">SUMPRODUCT(P184:S184 * P$3:S$3) / SUM(P$3:S$3)</f>
        <v>1.4559128602364702</v>
      </c>
    </row>
    <row r="185" spans="1:20" ht="16.5" customHeight="1" x14ac:dyDescent="0.25">
      <c r="A185" s="5" t="s">
        <v>7178</v>
      </c>
      <c r="B185" s="16" t="s">
        <v>7704</v>
      </c>
      <c r="C185" s="4" t="s">
        <v>8796</v>
      </c>
      <c r="D185" s="4" t="s">
        <v>8952</v>
      </c>
      <c r="E185" s="12" t="s">
        <v>406</v>
      </c>
      <c r="F185" s="75" t="s">
        <v>409</v>
      </c>
      <c r="G185" s="3">
        <v>8</v>
      </c>
      <c r="H185" s="3" t="s">
        <v>404</v>
      </c>
      <c r="I185" s="68" t="s">
        <v>260</v>
      </c>
      <c r="J185" s="72">
        <v>1.35</v>
      </c>
      <c r="L185" s="9">
        <v>35.99</v>
      </c>
      <c r="M185" s="3">
        <v>56.21</v>
      </c>
      <c r="N185" s="66" t="s">
        <v>8265</v>
      </c>
      <c r="O185" s="5" t="s">
        <v>8709</v>
      </c>
      <c r="P185" s="49">
        <f t="shared" si="9"/>
        <v>1.4113714879378259</v>
      </c>
      <c r="Q185" s="1">
        <f t="shared" si="10"/>
        <v>1.4782837452503141</v>
      </c>
      <c r="R185" s="1">
        <f t="shared" si="12"/>
        <v>1.4834255716134264</v>
      </c>
      <c r="S185" s="10">
        <f t="shared" si="11"/>
        <v>1.4448276165940701</v>
      </c>
      <c r="T185" s="45" cm="1">
        <f t="array" ref="T185">SUMPRODUCT(P185:S185 * P$3:S$3) / SUM(P$3:S$3)</f>
        <v>1.4559128602364702</v>
      </c>
    </row>
    <row r="186" spans="1:20" ht="16.5" customHeight="1" x14ac:dyDescent="0.25">
      <c r="A186" s="5" t="s">
        <v>7178</v>
      </c>
      <c r="B186" s="16" t="s">
        <v>7706</v>
      </c>
      <c r="C186" s="4" t="s">
        <v>8796</v>
      </c>
      <c r="D186" s="4" t="s">
        <v>8952</v>
      </c>
      <c r="E186" s="12" t="s">
        <v>406</v>
      </c>
      <c r="F186" s="75" t="s">
        <v>409</v>
      </c>
      <c r="G186" s="3">
        <v>8</v>
      </c>
      <c r="H186" s="3" t="s">
        <v>404</v>
      </c>
      <c r="I186" s="68" t="s">
        <v>260</v>
      </c>
      <c r="J186" s="72">
        <v>1.35</v>
      </c>
      <c r="L186" s="9">
        <v>36.33</v>
      </c>
      <c r="M186" s="3">
        <v>54.12</v>
      </c>
      <c r="N186" s="66" t="s">
        <v>8267</v>
      </c>
      <c r="O186" s="5" t="s">
        <v>8710</v>
      </c>
      <c r="P186" s="49">
        <f t="shared" si="9"/>
        <v>1.4113714879378259</v>
      </c>
      <c r="Q186" s="1">
        <f t="shared" si="10"/>
        <v>1.4782837452503141</v>
      </c>
      <c r="R186" s="1">
        <f t="shared" si="12"/>
        <v>1.4834255716134264</v>
      </c>
      <c r="S186" s="10">
        <f t="shared" si="11"/>
        <v>1.4448276165940701</v>
      </c>
      <c r="T186" s="45" cm="1">
        <f t="array" ref="T186">SUMPRODUCT(P186:S186 * P$3:S$3) / SUM(P$3:S$3)</f>
        <v>1.4559128602364702</v>
      </c>
    </row>
    <row r="187" spans="1:20" ht="16.5" customHeight="1" x14ac:dyDescent="0.25">
      <c r="A187" s="5" t="s">
        <v>7178</v>
      </c>
      <c r="B187" s="16" t="s">
        <v>7707</v>
      </c>
      <c r="C187" s="4" t="s">
        <v>8796</v>
      </c>
      <c r="D187" s="4" t="s">
        <v>8952</v>
      </c>
      <c r="E187" s="12" t="s">
        <v>406</v>
      </c>
      <c r="F187" s="75" t="s">
        <v>409</v>
      </c>
      <c r="G187" s="3">
        <v>8</v>
      </c>
      <c r="H187" s="3" t="s">
        <v>404</v>
      </c>
      <c r="I187" s="68" t="s">
        <v>260</v>
      </c>
      <c r="J187" s="72">
        <v>1.35</v>
      </c>
      <c r="L187" s="9">
        <v>34.89</v>
      </c>
      <c r="M187" s="3">
        <v>118.59</v>
      </c>
      <c r="N187" s="66" t="s">
        <v>8268</v>
      </c>
      <c r="O187" s="5" t="s">
        <v>8710</v>
      </c>
      <c r="P187" s="49">
        <f t="shared" si="9"/>
        <v>1.4113714879378259</v>
      </c>
      <c r="Q187" s="1">
        <f t="shared" si="10"/>
        <v>1.4782837452503141</v>
      </c>
      <c r="R187" s="1">
        <f t="shared" si="12"/>
        <v>1.4834255716134264</v>
      </c>
      <c r="S187" s="10">
        <f t="shared" si="11"/>
        <v>1.4448276165940701</v>
      </c>
      <c r="T187" s="45" cm="1">
        <f t="array" ref="T187">SUMPRODUCT(P187:S187 * P$3:S$3) / SUM(P$3:S$3)</f>
        <v>1.4559128602364702</v>
      </c>
    </row>
    <row r="188" spans="1:20" ht="16.5" customHeight="1" x14ac:dyDescent="0.25">
      <c r="A188" s="5" t="s">
        <v>7151</v>
      </c>
      <c r="B188" s="16" t="s">
        <v>7536</v>
      </c>
      <c r="C188" s="4" t="s">
        <v>8797</v>
      </c>
      <c r="D188" s="4" t="s">
        <v>8952</v>
      </c>
      <c r="E188" s="12" t="s">
        <v>406</v>
      </c>
      <c r="F188" s="75" t="s">
        <v>409</v>
      </c>
      <c r="G188" s="3">
        <v>8</v>
      </c>
      <c r="H188" s="3" t="s">
        <v>404</v>
      </c>
      <c r="I188" s="68" t="s">
        <v>260</v>
      </c>
      <c r="J188" s="72">
        <v>1.35</v>
      </c>
      <c r="L188" s="9">
        <v>24.89</v>
      </c>
      <c r="M188" s="3">
        <v>83.93</v>
      </c>
      <c r="N188" s="66" t="s">
        <v>8097</v>
      </c>
      <c r="O188" s="5" t="s">
        <v>8574</v>
      </c>
      <c r="P188" s="49">
        <f t="shared" si="9"/>
        <v>1.4113714879378259</v>
      </c>
      <c r="Q188" s="1">
        <f t="shared" si="10"/>
        <v>1.4782837452503141</v>
      </c>
      <c r="R188" s="1">
        <f t="shared" si="12"/>
        <v>1.4834255716134264</v>
      </c>
      <c r="S188" s="10">
        <f t="shared" si="11"/>
        <v>1.4448276165940701</v>
      </c>
      <c r="T188" s="45" cm="1">
        <f t="array" ref="T188">SUMPRODUCT(P188:S188 * P$3:S$3) / SUM(P$3:S$3)</f>
        <v>1.4559128602364702</v>
      </c>
    </row>
    <row r="189" spans="1:20" ht="16.5" customHeight="1" x14ac:dyDescent="0.25">
      <c r="A189" s="5" t="s">
        <v>7117</v>
      </c>
      <c r="B189" s="16" t="s">
        <v>7496</v>
      </c>
      <c r="C189" s="4" t="s">
        <v>8797</v>
      </c>
      <c r="D189" s="4" t="s">
        <v>8952</v>
      </c>
      <c r="E189" s="12" t="s">
        <v>406</v>
      </c>
      <c r="F189" s="75" t="s">
        <v>409</v>
      </c>
      <c r="G189" s="3">
        <v>8</v>
      </c>
      <c r="H189" s="3" t="s">
        <v>404</v>
      </c>
      <c r="I189" s="68" t="s">
        <v>260</v>
      </c>
      <c r="J189" s="72">
        <v>1.35</v>
      </c>
      <c r="L189" s="9">
        <v>30.35</v>
      </c>
      <c r="M189" s="3">
        <v>68</v>
      </c>
      <c r="N189" s="66" t="s">
        <v>8057</v>
      </c>
      <c r="O189" s="5" t="s">
        <v>8536</v>
      </c>
      <c r="P189" s="49">
        <f t="shared" si="9"/>
        <v>1.4113714879378259</v>
      </c>
      <c r="Q189" s="1">
        <f t="shared" si="10"/>
        <v>1.4782837452503141</v>
      </c>
      <c r="R189" s="1">
        <f t="shared" si="12"/>
        <v>1.4834255716134264</v>
      </c>
      <c r="S189" s="10">
        <f t="shared" si="11"/>
        <v>1.4448276165940701</v>
      </c>
      <c r="T189" s="45" cm="1">
        <f t="array" ref="T189">SUMPRODUCT(P189:S189 * P$3:S$3) / SUM(P$3:S$3)</f>
        <v>1.4559128602364702</v>
      </c>
    </row>
    <row r="190" spans="1:20" ht="16.5" customHeight="1" x14ac:dyDescent="0.25">
      <c r="A190" s="5" t="s">
        <v>7117</v>
      </c>
      <c r="B190" s="16" t="s">
        <v>7513</v>
      </c>
      <c r="C190" s="4" t="s">
        <v>8797</v>
      </c>
      <c r="D190" s="4" t="s">
        <v>8952</v>
      </c>
      <c r="E190" s="12" t="s">
        <v>406</v>
      </c>
      <c r="F190" s="75" t="s">
        <v>409</v>
      </c>
      <c r="G190" s="3">
        <v>8</v>
      </c>
      <c r="H190" s="3" t="s">
        <v>404</v>
      </c>
      <c r="I190" s="68" t="s">
        <v>260</v>
      </c>
      <c r="J190" s="72">
        <v>1.35</v>
      </c>
      <c r="L190" s="9">
        <v>29.29</v>
      </c>
      <c r="M190" s="3">
        <v>46.9</v>
      </c>
      <c r="N190" s="66" t="s">
        <v>8074</v>
      </c>
      <c r="O190" s="5" t="s">
        <v>8552</v>
      </c>
      <c r="P190" s="49">
        <f t="shared" si="9"/>
        <v>1.4113714879378259</v>
      </c>
      <c r="Q190" s="1">
        <f t="shared" si="10"/>
        <v>1.4782837452503141</v>
      </c>
      <c r="R190" s="1">
        <f t="shared" si="12"/>
        <v>1.4834255716134264</v>
      </c>
      <c r="S190" s="10">
        <f t="shared" si="11"/>
        <v>1.4448276165940701</v>
      </c>
      <c r="T190" s="45" cm="1">
        <f t="array" ref="T190">SUMPRODUCT(P190:S190 * P$3:S$3) / SUM(P$3:S$3)</f>
        <v>1.4559128602364702</v>
      </c>
    </row>
    <row r="191" spans="1:20" ht="16.5" customHeight="1" x14ac:dyDescent="0.25">
      <c r="A191" s="5" t="s">
        <v>7056</v>
      </c>
      <c r="B191" s="16" t="s">
        <v>7402</v>
      </c>
      <c r="C191" s="4" t="s">
        <v>8797</v>
      </c>
      <c r="D191" s="4" t="s">
        <v>8952</v>
      </c>
      <c r="E191" s="12" t="s">
        <v>406</v>
      </c>
      <c r="F191" s="75" t="s">
        <v>409</v>
      </c>
      <c r="G191" s="3">
        <v>8</v>
      </c>
      <c r="H191" s="3" t="s">
        <v>404</v>
      </c>
      <c r="I191" s="68" t="s">
        <v>7793</v>
      </c>
      <c r="J191" s="72">
        <v>1.35</v>
      </c>
      <c r="L191" s="9">
        <v>119.99</v>
      </c>
      <c r="M191" s="3">
        <v>119.99</v>
      </c>
      <c r="N191" s="66" t="s">
        <v>7963</v>
      </c>
      <c r="O191" s="5" t="s">
        <v>8455</v>
      </c>
      <c r="P191" s="49">
        <f t="shared" si="9"/>
        <v>1.4197277385678588</v>
      </c>
      <c r="Q191" s="1">
        <f t="shared" si="10"/>
        <v>1.4824618705653303</v>
      </c>
      <c r="R191" s="1">
        <f t="shared" si="12"/>
        <v>1.4876036969284427</v>
      </c>
      <c r="S191" s="10">
        <f t="shared" si="11"/>
        <v>1.4510948045665946</v>
      </c>
      <c r="T191" s="45" cm="1">
        <f t="array" ref="T191">SUMPRODUCT(P191:S191 * P$3:S$3) / SUM(P$3:S$3)</f>
        <v>1.4615372596989924</v>
      </c>
    </row>
    <row r="192" spans="1:20" ht="16.5" customHeight="1" x14ac:dyDescent="0.25">
      <c r="A192" s="5" t="s">
        <v>7056</v>
      </c>
      <c r="B192" s="16" t="s">
        <v>7406</v>
      </c>
      <c r="C192" s="4" t="s">
        <v>8797</v>
      </c>
      <c r="D192" s="4" t="s">
        <v>8952</v>
      </c>
      <c r="E192" s="12" t="s">
        <v>406</v>
      </c>
      <c r="F192" s="75" t="s">
        <v>409</v>
      </c>
      <c r="G192" s="3">
        <v>8</v>
      </c>
      <c r="H192" s="3" t="s">
        <v>404</v>
      </c>
      <c r="I192" s="68" t="s">
        <v>260</v>
      </c>
      <c r="J192" s="72">
        <v>1.35</v>
      </c>
      <c r="L192" s="9">
        <v>40.99</v>
      </c>
      <c r="M192" s="3">
        <v>61.14</v>
      </c>
      <c r="N192" s="66" t="s">
        <v>7967</v>
      </c>
      <c r="O192" s="5" t="s">
        <v>8459</v>
      </c>
      <c r="P192" s="49">
        <f t="shared" si="9"/>
        <v>1.4113714879378259</v>
      </c>
      <c r="Q192" s="1">
        <f t="shared" si="10"/>
        <v>1.4782837452503141</v>
      </c>
      <c r="R192" s="1">
        <f t="shared" si="12"/>
        <v>1.4834255716134264</v>
      </c>
      <c r="S192" s="10">
        <f t="shared" si="11"/>
        <v>1.4448276165940701</v>
      </c>
      <c r="T192" s="45" cm="1">
        <f t="array" ref="T192">SUMPRODUCT(P192:S192 * P$3:S$3) / SUM(P$3:S$3)</f>
        <v>1.4559128602364702</v>
      </c>
    </row>
    <row r="193" spans="1:20" ht="16.5" customHeight="1" x14ac:dyDescent="0.25">
      <c r="A193" s="5" t="s">
        <v>7056</v>
      </c>
      <c r="B193" s="16" t="s">
        <v>7409</v>
      </c>
      <c r="C193" s="4" t="s">
        <v>8797</v>
      </c>
      <c r="D193" s="4" t="s">
        <v>8952</v>
      </c>
      <c r="E193" s="12" t="s">
        <v>406</v>
      </c>
      <c r="F193" s="75" t="s">
        <v>409</v>
      </c>
      <c r="G193" s="3">
        <v>8</v>
      </c>
      <c r="H193" s="3" t="s">
        <v>404</v>
      </c>
      <c r="I193" s="68" t="s">
        <v>260</v>
      </c>
      <c r="J193" s="72">
        <v>1.35</v>
      </c>
      <c r="L193" s="9">
        <v>38.79</v>
      </c>
      <c r="M193" s="3">
        <v>59.9</v>
      </c>
      <c r="N193" s="66" t="s">
        <v>7970</v>
      </c>
      <c r="O193" s="5" t="s">
        <v>8462</v>
      </c>
      <c r="P193" s="49">
        <f t="shared" si="9"/>
        <v>1.4113714879378259</v>
      </c>
      <c r="Q193" s="1">
        <f t="shared" si="10"/>
        <v>1.4782837452503141</v>
      </c>
      <c r="R193" s="1">
        <f t="shared" si="12"/>
        <v>1.4834255716134264</v>
      </c>
      <c r="S193" s="10">
        <f t="shared" si="11"/>
        <v>1.4448276165940701</v>
      </c>
      <c r="T193" s="45" cm="1">
        <f t="array" ref="T193">SUMPRODUCT(P193:S193 * P$3:S$3) / SUM(P$3:S$3)</f>
        <v>1.4559128602364702</v>
      </c>
    </row>
    <row r="194" spans="1:20" ht="16.5" customHeight="1" x14ac:dyDescent="0.25">
      <c r="A194" s="5" t="s">
        <v>7056</v>
      </c>
      <c r="B194" s="16" t="s">
        <v>7449</v>
      </c>
      <c r="C194" s="4" t="s">
        <v>8797</v>
      </c>
      <c r="D194" s="4" t="s">
        <v>8952</v>
      </c>
      <c r="E194" s="12" t="s">
        <v>406</v>
      </c>
      <c r="F194" s="75" t="s">
        <v>409</v>
      </c>
      <c r="G194" s="3">
        <v>8</v>
      </c>
      <c r="H194" s="3" t="s">
        <v>404</v>
      </c>
      <c r="I194" s="68" t="s">
        <v>260</v>
      </c>
      <c r="J194" s="72">
        <v>1.35</v>
      </c>
      <c r="K194" s="14" t="s">
        <v>7796</v>
      </c>
      <c r="L194" s="9">
        <v>41.49</v>
      </c>
      <c r="M194" s="3">
        <v>108</v>
      </c>
      <c r="N194" s="66" t="s">
        <v>8010</v>
      </c>
      <c r="O194" s="5" t="s">
        <v>8497</v>
      </c>
      <c r="P194" s="49">
        <f t="shared" si="9"/>
        <v>1.4113714879378259</v>
      </c>
      <c r="Q194" s="1">
        <f t="shared" si="10"/>
        <v>1.4782837452503141</v>
      </c>
      <c r="R194" s="1">
        <f t="shared" si="12"/>
        <v>1.4834255716134264</v>
      </c>
      <c r="S194" s="10">
        <f t="shared" si="11"/>
        <v>1.4448276165940701</v>
      </c>
      <c r="T194" s="45" cm="1">
        <f t="array" ref="T194">SUMPRODUCT(P194:S194 * P$3:S$3) / SUM(P$3:S$3)</f>
        <v>1.4559128602364702</v>
      </c>
    </row>
    <row r="195" spans="1:20" ht="16.5" customHeight="1" x14ac:dyDescent="0.25">
      <c r="A195" s="5" t="s">
        <v>7056</v>
      </c>
      <c r="B195" s="16" t="s">
        <v>7450</v>
      </c>
      <c r="C195" s="4" t="s">
        <v>8797</v>
      </c>
      <c r="D195" s="4" t="s">
        <v>8952</v>
      </c>
      <c r="E195" s="12" t="s">
        <v>406</v>
      </c>
      <c r="F195" s="75" t="s">
        <v>409</v>
      </c>
      <c r="G195" s="3">
        <v>8</v>
      </c>
      <c r="H195" s="3" t="s">
        <v>404</v>
      </c>
      <c r="I195" s="68" t="s">
        <v>260</v>
      </c>
      <c r="J195" s="72">
        <v>1.35</v>
      </c>
      <c r="K195" s="14" t="s">
        <v>7796</v>
      </c>
      <c r="L195" s="9">
        <v>42.29</v>
      </c>
      <c r="M195" s="3">
        <v>99.06</v>
      </c>
      <c r="N195" s="66" t="s">
        <v>8011</v>
      </c>
      <c r="O195" s="5" t="s">
        <v>8497</v>
      </c>
      <c r="P195" s="49">
        <f t="shared" si="9"/>
        <v>1.4113714879378259</v>
      </c>
      <c r="Q195" s="1">
        <f t="shared" si="10"/>
        <v>1.4782837452503141</v>
      </c>
      <c r="R195" s="1">
        <f t="shared" si="12"/>
        <v>1.4834255716134264</v>
      </c>
      <c r="S195" s="10">
        <f t="shared" si="11"/>
        <v>1.4448276165940701</v>
      </c>
      <c r="T195" s="45" cm="1">
        <f t="array" ref="T195">SUMPRODUCT(P195:S195 * P$3:S$3) / SUM(P$3:S$3)</f>
        <v>1.4559128602364702</v>
      </c>
    </row>
    <row r="196" spans="1:20" ht="16.5" customHeight="1" x14ac:dyDescent="0.25">
      <c r="A196" s="5" t="s">
        <v>7097</v>
      </c>
      <c r="B196" s="16" t="s">
        <v>7468</v>
      </c>
      <c r="C196" s="4" t="s">
        <v>8797</v>
      </c>
      <c r="D196" s="4" t="s">
        <v>8952</v>
      </c>
      <c r="E196" s="12" t="s">
        <v>406</v>
      </c>
      <c r="F196" s="75" t="s">
        <v>409</v>
      </c>
      <c r="G196" s="3">
        <v>8</v>
      </c>
      <c r="H196" s="3" t="s">
        <v>404</v>
      </c>
      <c r="I196" s="68" t="s">
        <v>260</v>
      </c>
      <c r="J196" s="72">
        <v>1.35</v>
      </c>
      <c r="K196" s="14" t="s">
        <v>7797</v>
      </c>
      <c r="L196" s="9">
        <v>46.29</v>
      </c>
      <c r="M196" s="3">
        <v>157.46</v>
      </c>
      <c r="N196" s="66" t="s">
        <v>8029</v>
      </c>
      <c r="O196" s="5" t="s">
        <v>8511</v>
      </c>
      <c r="P196" s="49">
        <f t="shared" si="9"/>
        <v>1.4113714879378259</v>
      </c>
      <c r="Q196" s="1">
        <f t="shared" si="10"/>
        <v>1.4782837452503141</v>
      </c>
      <c r="R196" s="1">
        <f t="shared" si="12"/>
        <v>1.4834255716134264</v>
      </c>
      <c r="S196" s="10">
        <f t="shared" si="11"/>
        <v>1.4448276165940701</v>
      </c>
      <c r="T196" s="45" cm="1">
        <f t="array" ref="T196">SUMPRODUCT(P196:S196 * P$3:S$3) / SUM(P$3:S$3)</f>
        <v>1.4559128602364702</v>
      </c>
    </row>
    <row r="197" spans="1:20" ht="16.5" customHeight="1" x14ac:dyDescent="0.25">
      <c r="A197" s="5" t="s">
        <v>7067</v>
      </c>
      <c r="B197" s="16" t="s">
        <v>7419</v>
      </c>
      <c r="C197" s="4" t="s">
        <v>8797</v>
      </c>
      <c r="D197" s="4" t="s">
        <v>8952</v>
      </c>
      <c r="E197" s="12" t="s">
        <v>406</v>
      </c>
      <c r="F197" s="75" t="s">
        <v>409</v>
      </c>
      <c r="G197" s="3">
        <v>8</v>
      </c>
      <c r="H197" s="3" t="s">
        <v>404</v>
      </c>
      <c r="I197" s="68" t="s">
        <v>260</v>
      </c>
      <c r="J197" s="72">
        <v>1.35</v>
      </c>
      <c r="K197" s="14" t="s">
        <v>7796</v>
      </c>
      <c r="L197" s="9">
        <v>67.900000000000006</v>
      </c>
      <c r="M197" s="3">
        <v>161.1</v>
      </c>
      <c r="N197" s="66" t="s">
        <v>7980</v>
      </c>
      <c r="O197" s="5" t="s">
        <v>8472</v>
      </c>
      <c r="P197" s="49">
        <f t="shared" si="9"/>
        <v>1.4113714879378259</v>
      </c>
      <c r="Q197" s="1">
        <f t="shared" si="10"/>
        <v>1.4782837452503141</v>
      </c>
      <c r="R197" s="1">
        <f t="shared" si="12"/>
        <v>1.4834255716134264</v>
      </c>
      <c r="S197" s="10">
        <f t="shared" si="11"/>
        <v>1.4448276165940701</v>
      </c>
      <c r="T197" s="45" cm="1">
        <f t="array" ref="T197">SUMPRODUCT(P197:S197 * P$3:S$3) / SUM(P$3:S$3)</f>
        <v>1.4559128602364702</v>
      </c>
    </row>
    <row r="198" spans="1:20" ht="16.5" customHeight="1" x14ac:dyDescent="0.25">
      <c r="A198" s="5" t="s">
        <v>7024</v>
      </c>
      <c r="B198" s="16" t="s">
        <v>7330</v>
      </c>
      <c r="C198" s="4" t="s">
        <v>8798</v>
      </c>
      <c r="D198" s="4" t="s">
        <v>8952</v>
      </c>
      <c r="E198" s="12" t="s">
        <v>406</v>
      </c>
      <c r="F198" s="75" t="s">
        <v>409</v>
      </c>
      <c r="G198" s="3">
        <v>8</v>
      </c>
      <c r="H198" s="3" t="s">
        <v>404</v>
      </c>
      <c r="I198" s="68" t="s">
        <v>260</v>
      </c>
      <c r="J198" s="72">
        <v>1.35</v>
      </c>
      <c r="K198" s="14" t="s">
        <v>5476</v>
      </c>
      <c r="L198" s="9">
        <v>51.97</v>
      </c>
      <c r="M198" s="3">
        <v>87.99</v>
      </c>
      <c r="N198" s="66" t="s">
        <v>7891</v>
      </c>
      <c r="O198" s="5" t="s">
        <v>8397</v>
      </c>
      <c r="P198" s="49">
        <f t="shared" si="9"/>
        <v>1.4113714879378259</v>
      </c>
      <c r="Q198" s="1">
        <f t="shared" si="10"/>
        <v>1.4782837452503141</v>
      </c>
      <c r="R198" s="1">
        <f t="shared" si="12"/>
        <v>1.4834255716134264</v>
      </c>
      <c r="S198" s="10">
        <f t="shared" si="11"/>
        <v>1.4448276165940701</v>
      </c>
      <c r="T198" s="45" cm="1">
        <f t="array" ref="T198">SUMPRODUCT(P198:S198 * P$3:S$3) / SUM(P$3:S$3)</f>
        <v>1.4559128602364702</v>
      </c>
    </row>
    <row r="199" spans="1:20" ht="16.5" customHeight="1" x14ac:dyDescent="0.25">
      <c r="A199" s="5" t="s">
        <v>7024</v>
      </c>
      <c r="B199" s="16" t="s">
        <v>7351</v>
      </c>
      <c r="C199" s="4" t="s">
        <v>8798</v>
      </c>
      <c r="D199" s="4" t="s">
        <v>8952</v>
      </c>
      <c r="E199" s="12" t="s">
        <v>406</v>
      </c>
      <c r="F199" s="75" t="s">
        <v>409</v>
      </c>
      <c r="G199" s="3">
        <v>8</v>
      </c>
      <c r="H199" s="3" t="s">
        <v>404</v>
      </c>
      <c r="I199" s="68" t="s">
        <v>260</v>
      </c>
      <c r="J199" s="72">
        <v>1.35</v>
      </c>
      <c r="K199" s="14" t="s">
        <v>5476</v>
      </c>
      <c r="L199" s="9">
        <v>46</v>
      </c>
      <c r="M199" s="3">
        <v>91</v>
      </c>
      <c r="N199" s="66" t="s">
        <v>7912</v>
      </c>
      <c r="O199" s="5" t="s">
        <v>8412</v>
      </c>
      <c r="P199" s="49">
        <f t="shared" si="9"/>
        <v>1.4113714879378259</v>
      </c>
      <c r="Q199" s="1">
        <f t="shared" si="10"/>
        <v>1.4782837452503141</v>
      </c>
      <c r="R199" s="1">
        <f t="shared" si="12"/>
        <v>1.4834255716134264</v>
      </c>
      <c r="S199" s="10">
        <f t="shared" si="11"/>
        <v>1.4448276165940701</v>
      </c>
      <c r="T199" s="45" cm="1">
        <f t="array" ref="T199">SUMPRODUCT(P199:S199 * P$3:S$3) / SUM(P$3:S$3)</f>
        <v>1.4559128602364702</v>
      </c>
    </row>
    <row r="200" spans="1:20" ht="16.5" customHeight="1" x14ac:dyDescent="0.25">
      <c r="A200" s="5" t="s">
        <v>7024</v>
      </c>
      <c r="B200" s="16" t="s">
        <v>7384</v>
      </c>
      <c r="C200" s="4" t="s">
        <v>8798</v>
      </c>
      <c r="D200" s="4" t="s">
        <v>8952</v>
      </c>
      <c r="E200" s="12" t="s">
        <v>406</v>
      </c>
      <c r="F200" s="75" t="s">
        <v>409</v>
      </c>
      <c r="G200" s="3">
        <v>8</v>
      </c>
      <c r="H200" s="3" t="s">
        <v>404</v>
      </c>
      <c r="I200" s="68" t="s">
        <v>260</v>
      </c>
      <c r="J200" s="72">
        <v>1.35</v>
      </c>
      <c r="L200" s="9">
        <v>29.9</v>
      </c>
      <c r="M200" s="3">
        <v>91.76</v>
      </c>
      <c r="N200" s="66" t="s">
        <v>7945</v>
      </c>
      <c r="O200" s="5" t="s">
        <v>8437</v>
      </c>
      <c r="P200" s="49">
        <f t="shared" si="9"/>
        <v>1.4113714879378259</v>
      </c>
      <c r="Q200" s="1">
        <f t="shared" si="10"/>
        <v>1.4782837452503141</v>
      </c>
      <c r="R200" s="1">
        <f t="shared" si="12"/>
        <v>1.4834255716134264</v>
      </c>
      <c r="S200" s="10">
        <f t="shared" si="11"/>
        <v>1.4448276165940701</v>
      </c>
      <c r="T200" s="45" cm="1">
        <f t="array" ref="T200">SUMPRODUCT(P200:S200 * P$3:S$3) / SUM(P$3:S$3)</f>
        <v>1.4559128602364702</v>
      </c>
    </row>
    <row r="201" spans="1:20" ht="16.5" customHeight="1" x14ac:dyDescent="0.25">
      <c r="A201" s="5" t="s">
        <v>7003</v>
      </c>
      <c r="B201" s="16" t="s">
        <v>7278</v>
      </c>
      <c r="C201" s="4" t="s">
        <v>8798</v>
      </c>
      <c r="D201" s="4" t="s">
        <v>8952</v>
      </c>
      <c r="E201" s="12" t="s">
        <v>406</v>
      </c>
      <c r="F201" s="75" t="s">
        <v>409</v>
      </c>
      <c r="G201" s="3">
        <v>8</v>
      </c>
      <c r="H201" s="3" t="s">
        <v>404</v>
      </c>
      <c r="I201" s="68" t="s">
        <v>260</v>
      </c>
      <c r="J201" s="72">
        <v>1.35</v>
      </c>
      <c r="K201" s="14" t="s">
        <v>5476</v>
      </c>
      <c r="L201" s="9">
        <v>54.9</v>
      </c>
      <c r="M201" s="3">
        <v>80.900000000000006</v>
      </c>
      <c r="N201" s="66" t="s">
        <v>7839</v>
      </c>
      <c r="O201" s="5" t="s">
        <v>8356</v>
      </c>
      <c r="P201" s="49">
        <f t="shared" si="9"/>
        <v>1.4113714879378259</v>
      </c>
      <c r="Q201" s="1">
        <f t="shared" si="10"/>
        <v>1.4782837452503141</v>
      </c>
      <c r="R201" s="1">
        <f t="shared" si="12"/>
        <v>1.4834255716134264</v>
      </c>
      <c r="S201" s="10">
        <f t="shared" si="11"/>
        <v>1.4448276165940701</v>
      </c>
      <c r="T201" s="45" cm="1">
        <f t="array" ref="T201">SUMPRODUCT(P201:S201 * P$3:S$3) / SUM(P$3:S$3)</f>
        <v>1.4559128602364702</v>
      </c>
    </row>
    <row r="202" spans="1:20" ht="16.5" customHeight="1" x14ac:dyDescent="0.25">
      <c r="A202" s="5" t="s">
        <v>7003</v>
      </c>
      <c r="B202" s="16" t="s">
        <v>7315</v>
      </c>
      <c r="C202" s="4" t="s">
        <v>8798</v>
      </c>
      <c r="D202" s="4" t="s">
        <v>8952</v>
      </c>
      <c r="E202" s="12" t="s">
        <v>406</v>
      </c>
      <c r="F202" s="75" t="s">
        <v>409</v>
      </c>
      <c r="G202" s="3">
        <v>8</v>
      </c>
      <c r="H202" s="3" t="s">
        <v>404</v>
      </c>
      <c r="I202" s="68" t="s">
        <v>260</v>
      </c>
      <c r="J202" s="72">
        <v>1.35</v>
      </c>
      <c r="L202" s="9">
        <v>55</v>
      </c>
      <c r="M202" s="3">
        <v>55</v>
      </c>
      <c r="N202" s="66" t="s">
        <v>7876</v>
      </c>
      <c r="O202" s="5" t="s">
        <v>8385</v>
      </c>
      <c r="P202" s="49">
        <f t="shared" ref="P202:P265" si="13">(((F202/F$9)^F$7 * F$2 + (I202/I$9)^I$7 * I$2 + (J202/J$9)^J$7 * J$2) * (1+M$3*(MIN(H202,M$2)-1)+M$4*(H202-MIN(H202,M$2))) + (G202/G$9)^G$7 * G$2)  * P$9</f>
        <v>1.4113714879378259</v>
      </c>
      <c r="Q202" s="1">
        <f t="shared" ref="Q202:Q265" si="14">(((F202/F$9)^F$7 * F$3 + (I202/I$9)^I$7 * I$3 + (J202/J$9)^J$7 * J$3) * (1+M$3*(MIN(H202,M$2)-1)+M$4*(H202-MIN(H202,M$2))) + (G202/G$9)^G$7 * G$3)  * P$9</f>
        <v>1.4782837452503141</v>
      </c>
      <c r="R202" s="1">
        <f t="shared" si="12"/>
        <v>1.4834255716134264</v>
      </c>
      <c r="S202" s="10">
        <f t="shared" ref="S202:S265" si="15">(((F202/F$9)^F$7 * F$5 + (I202/I$9)^I$7 * I$5 + (J202/J$9)^J$7 * J$5) * (1+M$3*(MIN(H202,M$2)-1)+M$4*(H202-MIN(H202,M$2))) + (G202/G$9)^G$7 * G$5)  * P$9</f>
        <v>1.4448276165940701</v>
      </c>
      <c r="T202" s="45" cm="1">
        <f t="array" ref="T202">SUMPRODUCT(P202:S202 * P$3:S$3) / SUM(P$3:S$3)</f>
        <v>1.4559128602364702</v>
      </c>
    </row>
    <row r="203" spans="1:20" ht="16.5" customHeight="1" x14ac:dyDescent="0.25">
      <c r="A203" s="5" t="s">
        <v>7003</v>
      </c>
      <c r="B203" s="16" t="s">
        <v>7316</v>
      </c>
      <c r="C203" s="4" t="s">
        <v>8798</v>
      </c>
      <c r="D203" s="4" t="s">
        <v>8952</v>
      </c>
      <c r="E203" s="12" t="s">
        <v>406</v>
      </c>
      <c r="F203" s="75" t="s">
        <v>409</v>
      </c>
      <c r="G203" s="3">
        <v>8</v>
      </c>
      <c r="H203" s="3" t="s">
        <v>404</v>
      </c>
      <c r="I203" s="68" t="s">
        <v>260</v>
      </c>
      <c r="J203" s="72">
        <v>1.35</v>
      </c>
      <c r="L203" s="9">
        <v>41.49</v>
      </c>
      <c r="M203" s="3">
        <v>63.01</v>
      </c>
      <c r="N203" s="66" t="s">
        <v>7877</v>
      </c>
      <c r="O203" s="5" t="s">
        <v>8385</v>
      </c>
      <c r="P203" s="49">
        <f t="shared" si="13"/>
        <v>1.4113714879378259</v>
      </c>
      <c r="Q203" s="1">
        <f t="shared" si="14"/>
        <v>1.4782837452503141</v>
      </c>
      <c r="R203" s="1">
        <f t="shared" si="12"/>
        <v>1.4834255716134264</v>
      </c>
      <c r="S203" s="10">
        <f t="shared" si="15"/>
        <v>1.4448276165940701</v>
      </c>
      <c r="T203" s="45" cm="1">
        <f t="array" ref="T203">SUMPRODUCT(P203:S203 * P$3:S$3) / SUM(P$3:S$3)</f>
        <v>1.4559128602364702</v>
      </c>
    </row>
    <row r="204" spans="1:20" ht="16.5" customHeight="1" x14ac:dyDescent="0.25">
      <c r="A204" s="5" t="s">
        <v>7234</v>
      </c>
      <c r="B204" s="16" t="s">
        <v>7750</v>
      </c>
      <c r="C204" s="4" t="s">
        <v>8796</v>
      </c>
      <c r="D204" s="4" t="s">
        <v>8953</v>
      </c>
      <c r="E204" s="12" t="s">
        <v>406</v>
      </c>
      <c r="F204" s="75" t="s">
        <v>409</v>
      </c>
      <c r="G204" s="3">
        <v>8</v>
      </c>
      <c r="H204" s="3" t="s">
        <v>419</v>
      </c>
      <c r="I204" s="68" t="s">
        <v>260</v>
      </c>
      <c r="J204" s="72">
        <v>1.35</v>
      </c>
      <c r="K204" s="14" t="s">
        <v>7804</v>
      </c>
      <c r="L204" s="9">
        <v>173.39</v>
      </c>
      <c r="M204" s="3">
        <v>224.06</v>
      </c>
      <c r="N204" s="66" t="s">
        <v>8311</v>
      </c>
      <c r="O204" s="5" t="s">
        <v>8752</v>
      </c>
      <c r="P204" s="49">
        <f t="shared" si="13"/>
        <v>1.4617725815809579</v>
      </c>
      <c r="Q204" s="1">
        <f t="shared" si="14"/>
        <v>1.5146127279172639</v>
      </c>
      <c r="R204" s="1">
        <f t="shared" si="12"/>
        <v>1.5156045499200572</v>
      </c>
      <c r="S204" s="10">
        <f t="shared" si="15"/>
        <v>1.4881926547491109</v>
      </c>
      <c r="T204" s="45" cm="1">
        <f t="array" ref="T204">SUMPRODUCT(P204:S204 * P$3:S$3) / SUM(P$3:S$3)</f>
        <v>1.4964744960320493</v>
      </c>
    </row>
    <row r="205" spans="1:20" ht="16.5" customHeight="1" x14ac:dyDescent="0.25">
      <c r="A205" s="5" t="s">
        <v>7234</v>
      </c>
      <c r="B205" s="16" t="s">
        <v>7765</v>
      </c>
      <c r="C205" s="4" t="s">
        <v>8796</v>
      </c>
      <c r="D205" s="4" t="s">
        <v>8953</v>
      </c>
      <c r="E205" s="12" t="s">
        <v>406</v>
      </c>
      <c r="F205" s="75" t="s">
        <v>409</v>
      </c>
      <c r="G205" s="3">
        <v>8</v>
      </c>
      <c r="H205" s="3" t="s">
        <v>419</v>
      </c>
      <c r="I205" s="68" t="s">
        <v>260</v>
      </c>
      <c r="J205" s="72">
        <v>1.35</v>
      </c>
      <c r="K205" s="14" t="s">
        <v>7804</v>
      </c>
      <c r="L205" s="9">
        <v>165.99</v>
      </c>
      <c r="M205" s="3">
        <v>194.55</v>
      </c>
      <c r="N205" s="66" t="s">
        <v>8326</v>
      </c>
      <c r="O205" s="5" t="s">
        <v>8764</v>
      </c>
      <c r="P205" s="49">
        <f t="shared" si="13"/>
        <v>1.4617725815809579</v>
      </c>
      <c r="Q205" s="1">
        <f t="shared" si="14"/>
        <v>1.5146127279172639</v>
      </c>
      <c r="R205" s="1">
        <f t="shared" si="12"/>
        <v>1.5156045499200572</v>
      </c>
      <c r="S205" s="10">
        <f t="shared" si="15"/>
        <v>1.4881926547491109</v>
      </c>
      <c r="T205" s="45" cm="1">
        <f t="array" ref="T205">SUMPRODUCT(P205:S205 * P$3:S$3) / SUM(P$3:S$3)</f>
        <v>1.4964744960320493</v>
      </c>
    </row>
    <row r="206" spans="1:20" ht="16.5" customHeight="1" x14ac:dyDescent="0.25">
      <c r="A206" s="5" t="s">
        <v>7234</v>
      </c>
      <c r="B206" s="16" t="s">
        <v>7767</v>
      </c>
      <c r="C206" s="4" t="s">
        <v>8796</v>
      </c>
      <c r="D206" s="4" t="s">
        <v>8953</v>
      </c>
      <c r="E206" s="12" t="s">
        <v>406</v>
      </c>
      <c r="F206" s="75" t="s">
        <v>409</v>
      </c>
      <c r="G206" s="3">
        <v>8</v>
      </c>
      <c r="H206" s="3" t="s">
        <v>419</v>
      </c>
      <c r="I206" s="68" t="s">
        <v>260</v>
      </c>
      <c r="J206" s="72">
        <v>1.35</v>
      </c>
      <c r="K206" s="14" t="s">
        <v>7804</v>
      </c>
      <c r="L206" s="9">
        <v>158.9</v>
      </c>
      <c r="M206" s="3">
        <v>312.39</v>
      </c>
      <c r="N206" s="66" t="s">
        <v>8328</v>
      </c>
      <c r="O206" s="5" t="s">
        <v>8765</v>
      </c>
      <c r="P206" s="49">
        <f t="shared" si="13"/>
        <v>1.4617725815809579</v>
      </c>
      <c r="Q206" s="1">
        <f t="shared" si="14"/>
        <v>1.5146127279172639</v>
      </c>
      <c r="R206" s="1">
        <f t="shared" si="12"/>
        <v>1.5156045499200572</v>
      </c>
      <c r="S206" s="10">
        <f t="shared" si="15"/>
        <v>1.4881926547491109</v>
      </c>
      <c r="T206" s="45" cm="1">
        <f t="array" ref="T206">SUMPRODUCT(P206:S206 * P$3:S$3) / SUM(P$3:S$3)</f>
        <v>1.4964744960320493</v>
      </c>
    </row>
    <row r="207" spans="1:20" ht="16.5" customHeight="1" x14ac:dyDescent="0.25">
      <c r="A207" s="5" t="s">
        <v>7234</v>
      </c>
      <c r="B207" s="16" t="s">
        <v>7768</v>
      </c>
      <c r="C207" s="4" t="s">
        <v>8796</v>
      </c>
      <c r="D207" s="4" t="s">
        <v>8953</v>
      </c>
      <c r="E207" s="12" t="s">
        <v>406</v>
      </c>
      <c r="F207" s="75" t="s">
        <v>409</v>
      </c>
      <c r="G207" s="3">
        <v>8</v>
      </c>
      <c r="H207" s="3" t="s">
        <v>419</v>
      </c>
      <c r="I207" s="68" t="s">
        <v>260</v>
      </c>
      <c r="J207" s="72">
        <v>1.35</v>
      </c>
      <c r="K207" s="14" t="s">
        <v>7804</v>
      </c>
      <c r="L207" s="9">
        <v>156.9</v>
      </c>
      <c r="M207" s="3">
        <v>235</v>
      </c>
      <c r="N207" s="66" t="s">
        <v>8329</v>
      </c>
      <c r="O207" s="5" t="s">
        <v>8765</v>
      </c>
      <c r="P207" s="49">
        <f t="shared" si="13"/>
        <v>1.4617725815809579</v>
      </c>
      <c r="Q207" s="1">
        <f t="shared" si="14"/>
        <v>1.5146127279172639</v>
      </c>
      <c r="R207" s="1">
        <f t="shared" si="12"/>
        <v>1.5156045499200572</v>
      </c>
      <c r="S207" s="10">
        <f t="shared" si="15"/>
        <v>1.4881926547491109</v>
      </c>
      <c r="T207" s="45" cm="1">
        <f t="array" ref="T207">SUMPRODUCT(P207:S207 * P$3:S$3) / SUM(P$3:S$3)</f>
        <v>1.4964744960320493</v>
      </c>
    </row>
    <row r="208" spans="1:20" ht="16.5" customHeight="1" x14ac:dyDescent="0.25">
      <c r="A208" s="5" t="s">
        <v>7234</v>
      </c>
      <c r="B208" s="16" t="s">
        <v>7774</v>
      </c>
      <c r="C208" s="4" t="s">
        <v>8796</v>
      </c>
      <c r="D208" s="4" t="s">
        <v>8953</v>
      </c>
      <c r="E208" s="12" t="s">
        <v>406</v>
      </c>
      <c r="F208" s="75" t="s">
        <v>409</v>
      </c>
      <c r="G208" s="3">
        <v>8</v>
      </c>
      <c r="H208" s="3" t="s">
        <v>419</v>
      </c>
      <c r="I208" s="68" t="s">
        <v>260</v>
      </c>
      <c r="J208" s="72">
        <v>1.35</v>
      </c>
      <c r="K208" s="14" t="s">
        <v>7802</v>
      </c>
      <c r="L208" s="9">
        <v>343.7</v>
      </c>
      <c r="M208" s="3">
        <v>343.7</v>
      </c>
      <c r="N208" s="66" t="s">
        <v>8335</v>
      </c>
      <c r="O208" s="5" t="s">
        <v>8769</v>
      </c>
      <c r="P208" s="49">
        <f t="shared" si="13"/>
        <v>1.4617725815809579</v>
      </c>
      <c r="Q208" s="1">
        <f t="shared" si="14"/>
        <v>1.5146127279172639</v>
      </c>
      <c r="R208" s="1">
        <f t="shared" ref="R208:R271" si="16">(((F208/F$9)^F$7 * F$4 + (I208/I$9)^I$7 * I$4 + (J208/J$9)^J$7 * J$4) * (1+M$3*(MIN(H208,M$2)-1)+M$4*(H208-MIN(H208,M$2))) + (G208/G$9)^G$7 * G$4)  * P$9</f>
        <v>1.5156045499200572</v>
      </c>
      <c r="S208" s="10">
        <f t="shared" si="15"/>
        <v>1.4881926547491109</v>
      </c>
      <c r="T208" s="45" cm="1">
        <f t="array" ref="T208">SUMPRODUCT(P208:S208 * P$3:S$3) / SUM(P$3:S$3)</f>
        <v>1.4964744960320493</v>
      </c>
    </row>
    <row r="209" spans="1:20" ht="16.5" customHeight="1" x14ac:dyDescent="0.25">
      <c r="A209" s="5" t="s">
        <v>7175</v>
      </c>
      <c r="B209" s="16" t="s">
        <v>7563</v>
      </c>
      <c r="C209" s="4" t="s">
        <v>8796</v>
      </c>
      <c r="D209" s="4" t="s">
        <v>8953</v>
      </c>
      <c r="E209" s="12" t="s">
        <v>406</v>
      </c>
      <c r="F209" s="75" t="s">
        <v>409</v>
      </c>
      <c r="G209" s="3">
        <v>8</v>
      </c>
      <c r="H209" s="3" t="s">
        <v>419</v>
      </c>
      <c r="I209" s="68" t="s">
        <v>260</v>
      </c>
      <c r="J209" s="72">
        <v>1.35</v>
      </c>
      <c r="K209" s="14" t="s">
        <v>6175</v>
      </c>
      <c r="L209" s="9">
        <v>128.99</v>
      </c>
      <c r="M209" s="3">
        <v>222.52</v>
      </c>
      <c r="N209" s="66" t="s">
        <v>8124</v>
      </c>
      <c r="O209" s="5" t="s">
        <v>8599</v>
      </c>
      <c r="P209" s="49">
        <f t="shared" si="13"/>
        <v>1.4617725815809579</v>
      </c>
      <c r="Q209" s="1">
        <f t="shared" si="14"/>
        <v>1.5146127279172639</v>
      </c>
      <c r="R209" s="1">
        <f t="shared" si="16"/>
        <v>1.5156045499200572</v>
      </c>
      <c r="S209" s="10">
        <f t="shared" si="15"/>
        <v>1.4881926547491109</v>
      </c>
      <c r="T209" s="45" cm="1">
        <f t="array" ref="T209">SUMPRODUCT(P209:S209 * P$3:S$3) / SUM(P$3:S$3)</f>
        <v>1.4964744960320493</v>
      </c>
    </row>
    <row r="210" spans="1:20" ht="16.5" customHeight="1" x14ac:dyDescent="0.25">
      <c r="A210" s="5" t="s">
        <v>7175</v>
      </c>
      <c r="B210" s="16" t="s">
        <v>7576</v>
      </c>
      <c r="C210" s="4" t="s">
        <v>8796</v>
      </c>
      <c r="D210" s="4" t="s">
        <v>8953</v>
      </c>
      <c r="E210" s="12" t="s">
        <v>406</v>
      </c>
      <c r="F210" s="75" t="s">
        <v>409</v>
      </c>
      <c r="G210" s="3">
        <v>8</v>
      </c>
      <c r="H210" s="3" t="s">
        <v>419</v>
      </c>
      <c r="I210" s="68" t="s">
        <v>260</v>
      </c>
      <c r="J210" s="72">
        <v>1.35</v>
      </c>
      <c r="K210" s="14" t="s">
        <v>6175</v>
      </c>
      <c r="L210" s="9">
        <v>128.99</v>
      </c>
      <c r="M210" s="3">
        <v>135.38999999999999</v>
      </c>
      <c r="N210" s="66" t="s">
        <v>8137</v>
      </c>
      <c r="O210" s="5" t="s">
        <v>8608</v>
      </c>
      <c r="P210" s="49">
        <f t="shared" si="13"/>
        <v>1.4617725815809579</v>
      </c>
      <c r="Q210" s="1">
        <f t="shared" si="14"/>
        <v>1.5146127279172639</v>
      </c>
      <c r="R210" s="1">
        <f t="shared" si="16"/>
        <v>1.5156045499200572</v>
      </c>
      <c r="S210" s="10">
        <f t="shared" si="15"/>
        <v>1.4881926547491109</v>
      </c>
      <c r="T210" s="45" cm="1">
        <f t="array" ref="T210">SUMPRODUCT(P210:S210 * P$3:S$3) / SUM(P$3:S$3)</f>
        <v>1.4964744960320493</v>
      </c>
    </row>
    <row r="211" spans="1:20" ht="16.5" customHeight="1" x14ac:dyDescent="0.25">
      <c r="A211" s="5" t="s">
        <v>7175</v>
      </c>
      <c r="B211" s="16" t="s">
        <v>7594</v>
      </c>
      <c r="C211" s="4" t="s">
        <v>8796</v>
      </c>
      <c r="D211" s="4" t="s">
        <v>8953</v>
      </c>
      <c r="E211" s="12" t="s">
        <v>406</v>
      </c>
      <c r="F211" s="75" t="s">
        <v>409</v>
      </c>
      <c r="G211" s="3">
        <v>8</v>
      </c>
      <c r="H211" s="3" t="s">
        <v>419</v>
      </c>
      <c r="I211" s="68" t="s">
        <v>260</v>
      </c>
      <c r="J211" s="72">
        <v>1.35</v>
      </c>
      <c r="K211" s="14" t="s">
        <v>6175</v>
      </c>
      <c r="L211" s="9">
        <v>106.9</v>
      </c>
      <c r="M211" s="3">
        <v>132.35</v>
      </c>
      <c r="N211" s="66" t="s">
        <v>8155</v>
      </c>
      <c r="O211" s="5" t="s">
        <v>8625</v>
      </c>
      <c r="P211" s="49">
        <f t="shared" si="13"/>
        <v>1.4617725815809579</v>
      </c>
      <c r="Q211" s="1">
        <f t="shared" si="14"/>
        <v>1.5146127279172639</v>
      </c>
      <c r="R211" s="1">
        <f t="shared" si="16"/>
        <v>1.5156045499200572</v>
      </c>
      <c r="S211" s="10">
        <f t="shared" si="15"/>
        <v>1.4881926547491109</v>
      </c>
      <c r="T211" s="45" cm="1">
        <f t="array" ref="T211">SUMPRODUCT(P211:S211 * P$3:S$3) / SUM(P$3:S$3)</f>
        <v>1.4964744960320493</v>
      </c>
    </row>
    <row r="212" spans="1:20" ht="16.5" customHeight="1" x14ac:dyDescent="0.25">
      <c r="A212" s="5" t="s">
        <v>7175</v>
      </c>
      <c r="B212" s="16" t="s">
        <v>7607</v>
      </c>
      <c r="C212" s="4" t="s">
        <v>8796</v>
      </c>
      <c r="D212" s="4" t="s">
        <v>8953</v>
      </c>
      <c r="E212" s="12" t="s">
        <v>406</v>
      </c>
      <c r="F212" s="75" t="s">
        <v>409</v>
      </c>
      <c r="G212" s="3">
        <v>8</v>
      </c>
      <c r="H212" s="3" t="s">
        <v>419</v>
      </c>
      <c r="I212" s="68" t="s">
        <v>260</v>
      </c>
      <c r="J212" s="72">
        <v>1.35</v>
      </c>
      <c r="K212" s="14" t="s">
        <v>7800</v>
      </c>
      <c r="L212" s="9">
        <v>99.9</v>
      </c>
      <c r="M212" s="3">
        <v>151.04</v>
      </c>
      <c r="N212" s="66" t="s">
        <v>8168</v>
      </c>
      <c r="O212" s="5" t="s">
        <v>8637</v>
      </c>
      <c r="P212" s="49">
        <f t="shared" si="13"/>
        <v>1.4617725815809579</v>
      </c>
      <c r="Q212" s="1">
        <f t="shared" si="14"/>
        <v>1.5146127279172639</v>
      </c>
      <c r="R212" s="1">
        <f t="shared" si="16"/>
        <v>1.5156045499200572</v>
      </c>
      <c r="S212" s="10">
        <f t="shared" si="15"/>
        <v>1.4881926547491109</v>
      </c>
      <c r="T212" s="45" cm="1">
        <f t="array" ref="T212">SUMPRODUCT(P212:S212 * P$3:S$3) / SUM(P$3:S$3)</f>
        <v>1.4964744960320493</v>
      </c>
    </row>
    <row r="213" spans="1:20" ht="16.5" customHeight="1" x14ac:dyDescent="0.25">
      <c r="A213" s="5" t="s">
        <v>7175</v>
      </c>
      <c r="B213" s="16" t="s">
        <v>7620</v>
      </c>
      <c r="C213" s="4" t="s">
        <v>8796</v>
      </c>
      <c r="D213" s="4" t="s">
        <v>8953</v>
      </c>
      <c r="E213" s="12" t="s">
        <v>406</v>
      </c>
      <c r="F213" s="75" t="s">
        <v>409</v>
      </c>
      <c r="G213" s="3">
        <v>8</v>
      </c>
      <c r="H213" s="3" t="s">
        <v>419</v>
      </c>
      <c r="I213" s="68" t="s">
        <v>260</v>
      </c>
      <c r="J213" s="72">
        <v>1.35</v>
      </c>
      <c r="K213" s="14" t="s">
        <v>7800</v>
      </c>
      <c r="L213" s="9">
        <v>100.9</v>
      </c>
      <c r="M213" s="3">
        <v>133.06</v>
      </c>
      <c r="N213" s="66" t="s">
        <v>8181</v>
      </c>
      <c r="O213" s="5" t="s">
        <v>8645</v>
      </c>
      <c r="P213" s="49">
        <f t="shared" si="13"/>
        <v>1.4617725815809579</v>
      </c>
      <c r="Q213" s="1">
        <f t="shared" si="14"/>
        <v>1.5146127279172639</v>
      </c>
      <c r="R213" s="1">
        <f t="shared" si="16"/>
        <v>1.5156045499200572</v>
      </c>
      <c r="S213" s="10">
        <f t="shared" si="15"/>
        <v>1.4881926547491109</v>
      </c>
      <c r="T213" s="45" cm="1">
        <f t="array" ref="T213">SUMPRODUCT(P213:S213 * P$3:S$3) / SUM(P$3:S$3)</f>
        <v>1.4964744960320493</v>
      </c>
    </row>
    <row r="214" spans="1:20" ht="16.5" customHeight="1" x14ac:dyDescent="0.25">
      <c r="A214" s="5" t="s">
        <v>7175</v>
      </c>
      <c r="B214" s="16" t="s">
        <v>7644</v>
      </c>
      <c r="C214" s="4" t="s">
        <v>8796</v>
      </c>
      <c r="D214" s="4" t="s">
        <v>8953</v>
      </c>
      <c r="E214" s="12" t="s">
        <v>406</v>
      </c>
      <c r="F214" s="75" t="s">
        <v>409</v>
      </c>
      <c r="G214" s="3">
        <v>8</v>
      </c>
      <c r="H214" s="3" t="s">
        <v>419</v>
      </c>
      <c r="I214" s="68" t="s">
        <v>260</v>
      </c>
      <c r="J214" s="72">
        <v>1.35</v>
      </c>
      <c r="K214" s="14" t="s">
        <v>6175</v>
      </c>
      <c r="L214" s="9">
        <v>108.3</v>
      </c>
      <c r="M214" s="3">
        <v>167</v>
      </c>
      <c r="N214" s="66" t="s">
        <v>8205</v>
      </c>
      <c r="O214" s="5" t="s">
        <v>8661</v>
      </c>
      <c r="P214" s="49">
        <f t="shared" si="13"/>
        <v>1.4617725815809579</v>
      </c>
      <c r="Q214" s="1">
        <f t="shared" si="14"/>
        <v>1.5146127279172639</v>
      </c>
      <c r="R214" s="1">
        <f t="shared" si="16"/>
        <v>1.5156045499200572</v>
      </c>
      <c r="S214" s="10">
        <f t="shared" si="15"/>
        <v>1.4881926547491109</v>
      </c>
      <c r="T214" s="45" cm="1">
        <f t="array" ref="T214">SUMPRODUCT(P214:S214 * P$3:S$3) / SUM(P$3:S$3)</f>
        <v>1.4964744960320493</v>
      </c>
    </row>
    <row r="215" spans="1:20" ht="16.5" customHeight="1" x14ac:dyDescent="0.25">
      <c r="A215" s="5" t="s">
        <v>7175</v>
      </c>
      <c r="B215" s="16" t="s">
        <v>7645</v>
      </c>
      <c r="C215" s="4" t="s">
        <v>8796</v>
      </c>
      <c r="D215" s="4" t="s">
        <v>8953</v>
      </c>
      <c r="E215" s="12" t="s">
        <v>406</v>
      </c>
      <c r="F215" s="75" t="s">
        <v>409</v>
      </c>
      <c r="G215" s="3">
        <v>8</v>
      </c>
      <c r="H215" s="3" t="s">
        <v>419</v>
      </c>
      <c r="I215" s="68" t="s">
        <v>397</v>
      </c>
      <c r="J215" s="72">
        <v>1.35</v>
      </c>
      <c r="K215" s="14" t="s">
        <v>6175</v>
      </c>
      <c r="L215" s="9">
        <v>702.32</v>
      </c>
      <c r="M215" s="3">
        <v>733.21</v>
      </c>
      <c r="N215" s="66" t="s">
        <v>8206</v>
      </c>
      <c r="O215" s="5" t="s">
        <v>8662</v>
      </c>
      <c r="P215" s="49">
        <f t="shared" si="13"/>
        <v>1.4803899851714017</v>
      </c>
      <c r="Q215" s="1">
        <f t="shared" si="14"/>
        <v>1.5239214297124857</v>
      </c>
      <c r="R215" s="1">
        <f t="shared" si="16"/>
        <v>1.524913251715279</v>
      </c>
      <c r="S215" s="10">
        <f t="shared" si="15"/>
        <v>1.5021557074419438</v>
      </c>
      <c r="T215" s="45" cm="1">
        <f t="array" ref="T215">SUMPRODUCT(P215:S215 * P$3:S$3) / SUM(P$3:S$3)</f>
        <v>1.5090054407563864</v>
      </c>
    </row>
    <row r="216" spans="1:20" ht="16.5" customHeight="1" x14ac:dyDescent="0.25">
      <c r="A216" s="5" t="s">
        <v>7175</v>
      </c>
      <c r="B216" s="16" t="s">
        <v>7691</v>
      </c>
      <c r="C216" s="4" t="s">
        <v>8796</v>
      </c>
      <c r="D216" s="4" t="s">
        <v>8953</v>
      </c>
      <c r="E216" s="12" t="s">
        <v>406</v>
      </c>
      <c r="F216" s="75" t="s">
        <v>409</v>
      </c>
      <c r="G216" s="3">
        <v>8</v>
      </c>
      <c r="H216" s="3" t="s">
        <v>419</v>
      </c>
      <c r="I216" s="68" t="s">
        <v>260</v>
      </c>
      <c r="J216" s="72">
        <v>1.35</v>
      </c>
      <c r="L216" s="9">
        <v>79.900000000000006</v>
      </c>
      <c r="M216" s="3">
        <v>101.09</v>
      </c>
      <c r="N216" s="66" t="s">
        <v>8252</v>
      </c>
      <c r="O216" s="5" t="s">
        <v>8699</v>
      </c>
      <c r="P216" s="49">
        <f t="shared" si="13"/>
        <v>1.4617725815809579</v>
      </c>
      <c r="Q216" s="1">
        <f t="shared" si="14"/>
        <v>1.5146127279172639</v>
      </c>
      <c r="R216" s="1">
        <f t="shared" si="16"/>
        <v>1.5156045499200572</v>
      </c>
      <c r="S216" s="10">
        <f t="shared" si="15"/>
        <v>1.4881926547491109</v>
      </c>
      <c r="T216" s="45" cm="1">
        <f t="array" ref="T216">SUMPRODUCT(P216:S216 * P$3:S$3) / SUM(P$3:S$3)</f>
        <v>1.4964744960320493</v>
      </c>
    </row>
    <row r="217" spans="1:20" ht="16.5" customHeight="1" x14ac:dyDescent="0.25">
      <c r="A217" s="5" t="s">
        <v>7175</v>
      </c>
      <c r="B217" s="16" t="s">
        <v>7692</v>
      </c>
      <c r="C217" s="4" t="s">
        <v>8796</v>
      </c>
      <c r="D217" s="4" t="s">
        <v>8953</v>
      </c>
      <c r="E217" s="12" t="s">
        <v>406</v>
      </c>
      <c r="F217" s="75" t="s">
        <v>409</v>
      </c>
      <c r="G217" s="3">
        <v>8</v>
      </c>
      <c r="H217" s="3" t="s">
        <v>419</v>
      </c>
      <c r="I217" s="68" t="s">
        <v>260</v>
      </c>
      <c r="J217" s="72">
        <v>1.35</v>
      </c>
      <c r="L217" s="9">
        <v>79.900000000000006</v>
      </c>
      <c r="M217" s="3">
        <v>101.09</v>
      </c>
      <c r="N217" s="66" t="s">
        <v>8253</v>
      </c>
      <c r="O217" s="5" t="s">
        <v>8699</v>
      </c>
      <c r="P217" s="49">
        <f t="shared" si="13"/>
        <v>1.4617725815809579</v>
      </c>
      <c r="Q217" s="1">
        <f t="shared" si="14"/>
        <v>1.5146127279172639</v>
      </c>
      <c r="R217" s="1">
        <f t="shared" si="16"/>
        <v>1.5156045499200572</v>
      </c>
      <c r="S217" s="10">
        <f t="shared" si="15"/>
        <v>1.4881926547491109</v>
      </c>
      <c r="T217" s="45" cm="1">
        <f t="array" ref="T217">SUMPRODUCT(P217:S217 * P$3:S$3) / SUM(P$3:S$3)</f>
        <v>1.4964744960320493</v>
      </c>
    </row>
    <row r="218" spans="1:20" ht="16.5" customHeight="1" x14ac:dyDescent="0.25">
      <c r="A218" s="5" t="s">
        <v>7146</v>
      </c>
      <c r="B218" s="16" t="s">
        <v>7531</v>
      </c>
      <c r="C218" s="4" t="s">
        <v>8797</v>
      </c>
      <c r="D218" s="4" t="s">
        <v>8953</v>
      </c>
      <c r="E218" s="12" t="s">
        <v>406</v>
      </c>
      <c r="F218" s="75" t="s">
        <v>409</v>
      </c>
      <c r="G218" s="3">
        <v>8</v>
      </c>
      <c r="H218" s="3" t="s">
        <v>419</v>
      </c>
      <c r="I218" s="68" t="s">
        <v>260</v>
      </c>
      <c r="J218" s="72">
        <v>1.35</v>
      </c>
      <c r="L218" s="9">
        <v>51.9</v>
      </c>
      <c r="M218" s="3">
        <v>81.41</v>
      </c>
      <c r="N218" s="66" t="s">
        <v>8092</v>
      </c>
      <c r="O218" s="5" t="s">
        <v>8570</v>
      </c>
      <c r="P218" s="49">
        <f t="shared" si="13"/>
        <v>1.4617725815809579</v>
      </c>
      <c r="Q218" s="1">
        <f t="shared" si="14"/>
        <v>1.5146127279172639</v>
      </c>
      <c r="R218" s="1">
        <f t="shared" si="16"/>
        <v>1.5156045499200572</v>
      </c>
      <c r="S218" s="10">
        <f t="shared" si="15"/>
        <v>1.4881926547491109</v>
      </c>
      <c r="T218" s="45" cm="1">
        <f t="array" ref="T218">SUMPRODUCT(P218:S218 * P$3:S$3) / SUM(P$3:S$3)</f>
        <v>1.4964744960320493</v>
      </c>
    </row>
    <row r="219" spans="1:20" ht="16.5" customHeight="1" x14ac:dyDescent="0.25">
      <c r="A219" s="5" t="s">
        <v>7080</v>
      </c>
      <c r="B219" s="16" t="s">
        <v>7440</v>
      </c>
      <c r="C219" s="4" t="s">
        <v>8797</v>
      </c>
      <c r="D219" s="4" t="s">
        <v>8953</v>
      </c>
      <c r="E219" s="12" t="s">
        <v>406</v>
      </c>
      <c r="F219" s="75" t="s">
        <v>409</v>
      </c>
      <c r="G219" s="3">
        <v>8</v>
      </c>
      <c r="H219" s="3" t="s">
        <v>419</v>
      </c>
      <c r="I219" s="68" t="s">
        <v>260</v>
      </c>
      <c r="J219" s="72">
        <v>1.35</v>
      </c>
      <c r="K219" s="14" t="s">
        <v>7796</v>
      </c>
      <c r="L219" s="9">
        <v>85.9</v>
      </c>
      <c r="M219" s="3">
        <v>119.04</v>
      </c>
      <c r="N219" s="66" t="s">
        <v>8001</v>
      </c>
      <c r="O219" s="5" t="s">
        <v>8492</v>
      </c>
      <c r="P219" s="49">
        <f t="shared" si="13"/>
        <v>1.4617725815809579</v>
      </c>
      <c r="Q219" s="1">
        <f t="shared" si="14"/>
        <v>1.5146127279172639</v>
      </c>
      <c r="R219" s="1">
        <f t="shared" si="16"/>
        <v>1.5156045499200572</v>
      </c>
      <c r="S219" s="10">
        <f t="shared" si="15"/>
        <v>1.4881926547491109</v>
      </c>
      <c r="T219" s="45" cm="1">
        <f t="array" ref="T219">SUMPRODUCT(P219:S219 * P$3:S$3) / SUM(P$3:S$3)</f>
        <v>1.4964744960320493</v>
      </c>
    </row>
    <row r="220" spans="1:20" ht="16.5" customHeight="1" x14ac:dyDescent="0.25">
      <c r="A220" s="5" t="s">
        <v>7080</v>
      </c>
      <c r="B220" s="16" t="s">
        <v>7441</v>
      </c>
      <c r="C220" s="4" t="s">
        <v>8797</v>
      </c>
      <c r="D220" s="4" t="s">
        <v>8953</v>
      </c>
      <c r="E220" s="12" t="s">
        <v>406</v>
      </c>
      <c r="F220" s="75" t="s">
        <v>409</v>
      </c>
      <c r="G220" s="3">
        <v>8</v>
      </c>
      <c r="H220" s="3" t="s">
        <v>419</v>
      </c>
      <c r="I220" s="68" t="s">
        <v>260</v>
      </c>
      <c r="J220" s="72">
        <v>1.35</v>
      </c>
      <c r="K220" s="14" t="s">
        <v>450</v>
      </c>
      <c r="L220" s="9">
        <v>91.42</v>
      </c>
      <c r="M220" s="3">
        <v>118.13</v>
      </c>
      <c r="N220" s="66" t="s">
        <v>8002</v>
      </c>
      <c r="O220" s="5" t="s">
        <v>8492</v>
      </c>
      <c r="P220" s="49">
        <f t="shared" si="13"/>
        <v>1.4617725815809579</v>
      </c>
      <c r="Q220" s="1">
        <f t="shared" si="14"/>
        <v>1.5146127279172639</v>
      </c>
      <c r="R220" s="1">
        <f t="shared" si="16"/>
        <v>1.5156045499200572</v>
      </c>
      <c r="S220" s="10">
        <f t="shared" si="15"/>
        <v>1.4881926547491109</v>
      </c>
      <c r="T220" s="45" cm="1">
        <f t="array" ref="T220">SUMPRODUCT(P220:S220 * P$3:S$3) / SUM(P$3:S$3)</f>
        <v>1.4964744960320493</v>
      </c>
    </row>
    <row r="221" spans="1:20" ht="16.5" customHeight="1" x14ac:dyDescent="0.25">
      <c r="A221" s="5" t="s">
        <v>7093</v>
      </c>
      <c r="B221" s="16" t="s">
        <v>7463</v>
      </c>
      <c r="C221" s="4" t="s">
        <v>8797</v>
      </c>
      <c r="D221" s="4" t="s">
        <v>8953</v>
      </c>
      <c r="E221" s="12" t="s">
        <v>406</v>
      </c>
      <c r="F221" s="75" t="s">
        <v>409</v>
      </c>
      <c r="G221" s="3">
        <v>8</v>
      </c>
      <c r="H221" s="3" t="s">
        <v>419</v>
      </c>
      <c r="I221" s="68" t="s">
        <v>260</v>
      </c>
      <c r="J221" s="72">
        <v>1.35</v>
      </c>
      <c r="K221" s="14" t="s">
        <v>7797</v>
      </c>
      <c r="L221" s="9">
        <v>92.9</v>
      </c>
      <c r="M221" s="3">
        <v>149.99</v>
      </c>
      <c r="N221" s="66" t="s">
        <v>8024</v>
      </c>
      <c r="O221" s="5" t="s">
        <v>8507</v>
      </c>
      <c r="P221" s="49">
        <f t="shared" si="13"/>
        <v>1.4617725815809579</v>
      </c>
      <c r="Q221" s="1">
        <f t="shared" si="14"/>
        <v>1.5146127279172639</v>
      </c>
      <c r="R221" s="1">
        <f t="shared" si="16"/>
        <v>1.5156045499200572</v>
      </c>
      <c r="S221" s="10">
        <f t="shared" si="15"/>
        <v>1.4881926547491109</v>
      </c>
      <c r="T221" s="45" cm="1">
        <f t="array" ref="T221">SUMPRODUCT(P221:S221 * P$3:S$3) / SUM(P$3:S$3)</f>
        <v>1.4964744960320493</v>
      </c>
    </row>
    <row r="222" spans="1:20" ht="16.5" customHeight="1" x14ac:dyDescent="0.25">
      <c r="A222" s="5" t="s">
        <v>7037</v>
      </c>
      <c r="B222" s="16" t="s">
        <v>7347</v>
      </c>
      <c r="C222" s="4" t="s">
        <v>8798</v>
      </c>
      <c r="D222" s="4" t="s">
        <v>8953</v>
      </c>
      <c r="E222" s="12" t="s">
        <v>406</v>
      </c>
      <c r="F222" s="75" t="s">
        <v>409</v>
      </c>
      <c r="G222" s="3">
        <v>8</v>
      </c>
      <c r="H222" s="3" t="s">
        <v>419</v>
      </c>
      <c r="I222" s="68" t="s">
        <v>260</v>
      </c>
      <c r="J222" s="72">
        <v>1.35</v>
      </c>
      <c r="K222" s="14" t="s">
        <v>5476</v>
      </c>
      <c r="L222" s="9">
        <v>100.9</v>
      </c>
      <c r="M222" s="3">
        <v>144.53</v>
      </c>
      <c r="N222" s="66" t="s">
        <v>7908</v>
      </c>
      <c r="O222" s="5" t="s">
        <v>8409</v>
      </c>
      <c r="P222" s="49">
        <f t="shared" si="13"/>
        <v>1.4617725815809579</v>
      </c>
      <c r="Q222" s="1">
        <f t="shared" si="14"/>
        <v>1.5146127279172639</v>
      </c>
      <c r="R222" s="1">
        <f t="shared" si="16"/>
        <v>1.5156045499200572</v>
      </c>
      <c r="S222" s="10">
        <f t="shared" si="15"/>
        <v>1.4881926547491109</v>
      </c>
      <c r="T222" s="45" cm="1">
        <f t="array" ref="T222">SUMPRODUCT(P222:S222 * P$3:S$3) / SUM(P$3:S$3)</f>
        <v>1.4964744960320493</v>
      </c>
    </row>
    <row r="223" spans="1:20" ht="16.5" customHeight="1" x14ac:dyDescent="0.25">
      <c r="A223" s="5" t="s">
        <v>7037</v>
      </c>
      <c r="B223" s="16" t="s">
        <v>7380</v>
      </c>
      <c r="C223" s="4" t="s">
        <v>8798</v>
      </c>
      <c r="D223" s="4" t="s">
        <v>8953</v>
      </c>
      <c r="E223" s="12" t="s">
        <v>406</v>
      </c>
      <c r="F223" s="75" t="s">
        <v>409</v>
      </c>
      <c r="G223" s="3">
        <v>8</v>
      </c>
      <c r="H223" s="3" t="s">
        <v>419</v>
      </c>
      <c r="I223" s="68" t="s">
        <v>260</v>
      </c>
      <c r="J223" s="72">
        <v>1.35</v>
      </c>
      <c r="L223" s="9">
        <v>74.2</v>
      </c>
      <c r="M223" s="3">
        <v>129.9</v>
      </c>
      <c r="N223" s="66" t="s">
        <v>7941</v>
      </c>
      <c r="O223" s="5" t="s">
        <v>8435</v>
      </c>
      <c r="P223" s="49">
        <f t="shared" si="13"/>
        <v>1.4617725815809579</v>
      </c>
      <c r="Q223" s="1">
        <f t="shared" si="14"/>
        <v>1.5146127279172639</v>
      </c>
      <c r="R223" s="1">
        <f t="shared" si="16"/>
        <v>1.5156045499200572</v>
      </c>
      <c r="S223" s="10">
        <f t="shared" si="15"/>
        <v>1.4881926547491109</v>
      </c>
      <c r="T223" s="45" cm="1">
        <f t="array" ref="T223">SUMPRODUCT(P223:S223 * P$3:S$3) / SUM(P$3:S$3)</f>
        <v>1.4964744960320493</v>
      </c>
    </row>
    <row r="224" spans="1:20" ht="16.5" customHeight="1" x14ac:dyDescent="0.25">
      <c r="A224" s="5" t="s">
        <v>6997</v>
      </c>
      <c r="B224" s="16" t="s">
        <v>7271</v>
      </c>
      <c r="C224" s="4" t="s">
        <v>8798</v>
      </c>
      <c r="D224" s="4" t="s">
        <v>8953</v>
      </c>
      <c r="E224" s="12" t="s">
        <v>406</v>
      </c>
      <c r="F224" s="75" t="s">
        <v>409</v>
      </c>
      <c r="G224" s="3">
        <v>8</v>
      </c>
      <c r="H224" s="3" t="s">
        <v>419</v>
      </c>
      <c r="I224" s="68" t="s">
        <v>260</v>
      </c>
      <c r="J224" s="72">
        <v>1.35</v>
      </c>
      <c r="K224" s="14" t="s">
        <v>5476</v>
      </c>
      <c r="L224" s="9">
        <v>108.9</v>
      </c>
      <c r="M224" s="3">
        <v>162.13</v>
      </c>
      <c r="N224" s="66" t="s">
        <v>7832</v>
      </c>
      <c r="O224" s="5" t="s">
        <v>8351</v>
      </c>
      <c r="P224" s="49">
        <f t="shared" si="13"/>
        <v>1.4617725815809579</v>
      </c>
      <c r="Q224" s="1">
        <f t="shared" si="14"/>
        <v>1.5146127279172639</v>
      </c>
      <c r="R224" s="1">
        <f t="shared" si="16"/>
        <v>1.5156045499200572</v>
      </c>
      <c r="S224" s="10">
        <f t="shared" si="15"/>
        <v>1.4881926547491109</v>
      </c>
      <c r="T224" s="45" cm="1">
        <f t="array" ref="T224">SUMPRODUCT(P224:S224 * P$3:S$3) / SUM(P$3:S$3)</f>
        <v>1.4964744960320493</v>
      </c>
    </row>
    <row r="225" spans="1:20" ht="16.5" customHeight="1" x14ac:dyDescent="0.25">
      <c r="A225" s="5" t="s">
        <v>6997</v>
      </c>
      <c r="B225" s="16" t="s">
        <v>7306</v>
      </c>
      <c r="C225" s="4" t="s">
        <v>8798</v>
      </c>
      <c r="D225" s="4" t="s">
        <v>8953</v>
      </c>
      <c r="E225" s="12" t="s">
        <v>406</v>
      </c>
      <c r="F225" s="75" t="s">
        <v>409</v>
      </c>
      <c r="G225" s="3">
        <v>8</v>
      </c>
      <c r="H225" s="3" t="s">
        <v>419</v>
      </c>
      <c r="I225" s="68" t="s">
        <v>260</v>
      </c>
      <c r="J225" s="72">
        <v>1.35</v>
      </c>
      <c r="L225" s="9">
        <v>66.09</v>
      </c>
      <c r="M225" s="3">
        <v>127.12</v>
      </c>
      <c r="N225" s="66" t="s">
        <v>7867</v>
      </c>
      <c r="O225" s="5" t="s">
        <v>8377</v>
      </c>
      <c r="P225" s="49">
        <f t="shared" si="13"/>
        <v>1.4617725815809579</v>
      </c>
      <c r="Q225" s="1">
        <f t="shared" si="14"/>
        <v>1.5146127279172639</v>
      </c>
      <c r="R225" s="1">
        <f t="shared" si="16"/>
        <v>1.5156045499200572</v>
      </c>
      <c r="S225" s="10">
        <f t="shared" si="15"/>
        <v>1.4881926547491109</v>
      </c>
      <c r="T225" s="45" cm="1">
        <f t="array" ref="T225">SUMPRODUCT(P225:S225 * P$3:S$3) / SUM(P$3:S$3)</f>
        <v>1.4964744960320493</v>
      </c>
    </row>
    <row r="226" spans="1:20" ht="16.5" customHeight="1" x14ac:dyDescent="0.25">
      <c r="A226" s="5" t="s">
        <v>7185</v>
      </c>
      <c r="B226" s="16" t="s">
        <v>7589</v>
      </c>
      <c r="C226" s="4" t="s">
        <v>8796</v>
      </c>
      <c r="D226" s="4" t="s">
        <v>8954</v>
      </c>
      <c r="E226" s="12" t="s">
        <v>406</v>
      </c>
      <c r="F226" s="75" t="s">
        <v>409</v>
      </c>
      <c r="G226" s="3">
        <v>16</v>
      </c>
      <c r="H226" s="3" t="s">
        <v>6736</v>
      </c>
      <c r="I226" s="68" t="s">
        <v>260</v>
      </c>
      <c r="J226" s="72">
        <v>1.35</v>
      </c>
      <c r="K226" s="14" t="s">
        <v>7799</v>
      </c>
      <c r="L226" s="9">
        <v>37.9</v>
      </c>
      <c r="M226" s="3">
        <v>59.9</v>
      </c>
      <c r="N226" s="66" t="s">
        <v>8150</v>
      </c>
      <c r="O226" s="5" t="s">
        <v>8620</v>
      </c>
      <c r="P226" s="49">
        <f t="shared" si="13"/>
        <v>1.6905242497662551</v>
      </c>
      <c r="Q226" s="1">
        <f t="shared" si="14"/>
        <v>1.9673747683334977</v>
      </c>
      <c r="R226" s="1">
        <f t="shared" si="16"/>
        <v>2.0253171483184351</v>
      </c>
      <c r="S226" s="10">
        <f t="shared" si="15"/>
        <v>1.8289495090498766</v>
      </c>
      <c r="T226" s="45" cm="1">
        <f t="array" ref="T226">SUMPRODUCT(P226:S226 * P$3:S$3) / SUM(P$3:S$3)</f>
        <v>1.8804561088271348</v>
      </c>
    </row>
    <row r="227" spans="1:20" ht="16.5" customHeight="1" x14ac:dyDescent="0.25">
      <c r="A227" s="5" t="s">
        <v>7158</v>
      </c>
      <c r="B227" s="16" t="s">
        <v>7545</v>
      </c>
      <c r="C227" s="4" t="s">
        <v>8797</v>
      </c>
      <c r="D227" s="4" t="s">
        <v>8954</v>
      </c>
      <c r="E227" s="12" t="s">
        <v>406</v>
      </c>
      <c r="F227" s="75" t="s">
        <v>409</v>
      </c>
      <c r="G227" s="3">
        <v>16</v>
      </c>
      <c r="H227" s="3" t="s">
        <v>6736</v>
      </c>
      <c r="I227" s="68" t="s">
        <v>260</v>
      </c>
      <c r="J227" s="72">
        <v>1.35</v>
      </c>
      <c r="L227" s="9">
        <v>24.9</v>
      </c>
      <c r="M227" s="3">
        <v>71</v>
      </c>
      <c r="N227" s="66" t="s">
        <v>8106</v>
      </c>
      <c r="O227" s="5" t="s">
        <v>8583</v>
      </c>
      <c r="P227" s="49">
        <f t="shared" si="13"/>
        <v>1.6905242497662551</v>
      </c>
      <c r="Q227" s="1">
        <f t="shared" si="14"/>
        <v>1.9673747683334977</v>
      </c>
      <c r="R227" s="1">
        <f t="shared" si="16"/>
        <v>2.0253171483184351</v>
      </c>
      <c r="S227" s="10">
        <f t="shared" si="15"/>
        <v>1.8289495090498766</v>
      </c>
      <c r="T227" s="45" cm="1">
        <f t="array" ref="T227">SUMPRODUCT(P227:S227 * P$3:S$3) / SUM(P$3:S$3)</f>
        <v>1.8804561088271348</v>
      </c>
    </row>
    <row r="228" spans="1:20" ht="16.5" customHeight="1" x14ac:dyDescent="0.25">
      <c r="A228" s="5" t="s">
        <v>7121</v>
      </c>
      <c r="B228" s="16" t="s">
        <v>7501</v>
      </c>
      <c r="C228" s="4" t="s">
        <v>8797</v>
      </c>
      <c r="D228" s="4" t="s">
        <v>8954</v>
      </c>
      <c r="E228" s="12" t="s">
        <v>406</v>
      </c>
      <c r="F228" s="75" t="s">
        <v>409</v>
      </c>
      <c r="G228" s="3">
        <v>16</v>
      </c>
      <c r="H228" s="3" t="s">
        <v>6736</v>
      </c>
      <c r="I228" s="68" t="s">
        <v>260</v>
      </c>
      <c r="J228" s="72">
        <v>1.35</v>
      </c>
      <c r="L228" s="9">
        <v>27.29</v>
      </c>
      <c r="M228" s="3">
        <v>74</v>
      </c>
      <c r="N228" s="66" t="s">
        <v>8062</v>
      </c>
      <c r="O228" s="5" t="s">
        <v>8541</v>
      </c>
      <c r="P228" s="49">
        <f t="shared" si="13"/>
        <v>1.6905242497662551</v>
      </c>
      <c r="Q228" s="1">
        <f t="shared" si="14"/>
        <v>1.9673747683334977</v>
      </c>
      <c r="R228" s="1">
        <f t="shared" si="16"/>
        <v>2.0253171483184351</v>
      </c>
      <c r="S228" s="10">
        <f t="shared" si="15"/>
        <v>1.8289495090498766</v>
      </c>
      <c r="T228" s="45" cm="1">
        <f t="array" ref="T228">SUMPRODUCT(P228:S228 * P$3:S$3) / SUM(P$3:S$3)</f>
        <v>1.8804561088271348</v>
      </c>
    </row>
    <row r="229" spans="1:20" ht="16.5" customHeight="1" x14ac:dyDescent="0.25">
      <c r="A229" s="5" t="s">
        <v>7025</v>
      </c>
      <c r="B229" s="16" t="s">
        <v>7331</v>
      </c>
      <c r="C229" s="4" t="s">
        <v>8798</v>
      </c>
      <c r="D229" s="4" t="s">
        <v>8954</v>
      </c>
      <c r="E229" s="12" t="s">
        <v>406</v>
      </c>
      <c r="F229" s="75" t="s">
        <v>409</v>
      </c>
      <c r="G229" s="3">
        <v>16</v>
      </c>
      <c r="H229" s="3" t="s">
        <v>6736</v>
      </c>
      <c r="I229" s="68" t="s">
        <v>260</v>
      </c>
      <c r="J229" s="72">
        <v>1.35</v>
      </c>
      <c r="K229" s="14" t="s">
        <v>5476</v>
      </c>
      <c r="L229" s="9">
        <v>48.9</v>
      </c>
      <c r="M229" s="3">
        <v>69.78</v>
      </c>
      <c r="N229" s="66" t="s">
        <v>7892</v>
      </c>
      <c r="O229" s="5" t="s">
        <v>8398</v>
      </c>
      <c r="P229" s="49">
        <f t="shared" si="13"/>
        <v>1.6905242497662551</v>
      </c>
      <c r="Q229" s="1">
        <f t="shared" si="14"/>
        <v>1.9673747683334977</v>
      </c>
      <c r="R229" s="1">
        <f t="shared" si="16"/>
        <v>2.0253171483184351</v>
      </c>
      <c r="S229" s="10">
        <f t="shared" si="15"/>
        <v>1.8289495090498766</v>
      </c>
      <c r="T229" s="45" cm="1">
        <f t="array" ref="T229">SUMPRODUCT(P229:S229 * P$3:S$3) / SUM(P$3:S$3)</f>
        <v>1.8804561088271348</v>
      </c>
    </row>
    <row r="230" spans="1:20" ht="16.5" customHeight="1" x14ac:dyDescent="0.25">
      <c r="A230" s="5" t="s">
        <v>7025</v>
      </c>
      <c r="B230" s="16" t="s">
        <v>7358</v>
      </c>
      <c r="C230" s="4" t="s">
        <v>8798</v>
      </c>
      <c r="D230" s="4" t="s">
        <v>8954</v>
      </c>
      <c r="E230" s="12" t="s">
        <v>406</v>
      </c>
      <c r="F230" s="75" t="s">
        <v>409</v>
      </c>
      <c r="G230" s="3">
        <v>16</v>
      </c>
      <c r="H230" s="3" t="s">
        <v>6736</v>
      </c>
      <c r="I230" s="68" t="s">
        <v>260</v>
      </c>
      <c r="J230" s="72">
        <v>1.35</v>
      </c>
      <c r="K230" s="14" t="s">
        <v>5476</v>
      </c>
      <c r="L230" s="9">
        <v>51</v>
      </c>
      <c r="M230" s="3">
        <v>84.5</v>
      </c>
      <c r="N230" s="66" t="s">
        <v>7919</v>
      </c>
      <c r="O230" s="5" t="s">
        <v>8418</v>
      </c>
      <c r="P230" s="49">
        <f t="shared" si="13"/>
        <v>1.6905242497662551</v>
      </c>
      <c r="Q230" s="1">
        <f t="shared" si="14"/>
        <v>1.9673747683334977</v>
      </c>
      <c r="R230" s="1">
        <f t="shared" si="16"/>
        <v>2.0253171483184351</v>
      </c>
      <c r="S230" s="10">
        <f t="shared" si="15"/>
        <v>1.8289495090498766</v>
      </c>
      <c r="T230" s="45" cm="1">
        <f t="array" ref="T230">SUMPRODUCT(P230:S230 * P$3:S$3) / SUM(P$3:S$3)</f>
        <v>1.8804561088271348</v>
      </c>
    </row>
    <row r="231" spans="1:20" ht="16.5" customHeight="1" x14ac:dyDescent="0.25">
      <c r="A231" s="5" t="s">
        <v>7025</v>
      </c>
      <c r="B231" s="16" t="s">
        <v>7359</v>
      </c>
      <c r="C231" s="4" t="s">
        <v>8798</v>
      </c>
      <c r="D231" s="4" t="s">
        <v>8954</v>
      </c>
      <c r="E231" s="12" t="s">
        <v>406</v>
      </c>
      <c r="F231" s="75" t="s">
        <v>409</v>
      </c>
      <c r="G231" s="3">
        <v>16</v>
      </c>
      <c r="H231" s="3" t="s">
        <v>6736</v>
      </c>
      <c r="I231" s="68" t="s">
        <v>260</v>
      </c>
      <c r="J231" s="72">
        <v>1.35</v>
      </c>
      <c r="K231" s="14" t="s">
        <v>5476</v>
      </c>
      <c r="L231" s="9">
        <v>38.9</v>
      </c>
      <c r="M231" s="3">
        <v>79</v>
      </c>
      <c r="N231" s="66" t="s">
        <v>7920</v>
      </c>
      <c r="O231" s="5" t="s">
        <v>8418</v>
      </c>
      <c r="P231" s="49">
        <f t="shared" si="13"/>
        <v>1.6905242497662551</v>
      </c>
      <c r="Q231" s="1">
        <f t="shared" si="14"/>
        <v>1.9673747683334977</v>
      </c>
      <c r="R231" s="1">
        <f t="shared" si="16"/>
        <v>2.0253171483184351</v>
      </c>
      <c r="S231" s="10">
        <f t="shared" si="15"/>
        <v>1.8289495090498766</v>
      </c>
      <c r="T231" s="45" cm="1">
        <f t="array" ref="T231">SUMPRODUCT(P231:S231 * P$3:S$3) / SUM(P$3:S$3)</f>
        <v>1.8804561088271348</v>
      </c>
    </row>
    <row r="232" spans="1:20" ht="16.5" customHeight="1" x14ac:dyDescent="0.25">
      <c r="A232" s="5" t="s">
        <v>7025</v>
      </c>
      <c r="B232" s="16" t="s">
        <v>7360</v>
      </c>
      <c r="C232" s="4" t="s">
        <v>8798</v>
      </c>
      <c r="D232" s="4" t="s">
        <v>8954</v>
      </c>
      <c r="E232" s="12" t="s">
        <v>406</v>
      </c>
      <c r="F232" s="75" t="s">
        <v>409</v>
      </c>
      <c r="G232" s="3">
        <v>16</v>
      </c>
      <c r="H232" s="3" t="s">
        <v>6736</v>
      </c>
      <c r="I232" s="68" t="s">
        <v>260</v>
      </c>
      <c r="J232" s="72">
        <v>1.35</v>
      </c>
      <c r="K232" s="14" t="s">
        <v>5476</v>
      </c>
      <c r="L232" s="9">
        <v>39.49</v>
      </c>
      <c r="M232" s="3">
        <v>94</v>
      </c>
      <c r="N232" s="66" t="s">
        <v>7921</v>
      </c>
      <c r="O232" s="5" t="s">
        <v>8418</v>
      </c>
      <c r="P232" s="49">
        <f t="shared" si="13"/>
        <v>1.6905242497662551</v>
      </c>
      <c r="Q232" s="1">
        <f t="shared" si="14"/>
        <v>1.9673747683334977</v>
      </c>
      <c r="R232" s="1">
        <f t="shared" si="16"/>
        <v>2.0253171483184351</v>
      </c>
      <c r="S232" s="10">
        <f t="shared" si="15"/>
        <v>1.8289495090498766</v>
      </c>
      <c r="T232" s="45" cm="1">
        <f t="array" ref="T232">SUMPRODUCT(P232:S232 * P$3:S$3) / SUM(P$3:S$3)</f>
        <v>1.8804561088271348</v>
      </c>
    </row>
    <row r="233" spans="1:20" ht="16.5" customHeight="1" x14ac:dyDescent="0.25">
      <c r="A233" s="5" t="s">
        <v>7025</v>
      </c>
      <c r="B233" s="16" t="s">
        <v>7361</v>
      </c>
      <c r="C233" s="4" t="s">
        <v>8798</v>
      </c>
      <c r="D233" s="4" t="s">
        <v>8954</v>
      </c>
      <c r="E233" s="12" t="s">
        <v>406</v>
      </c>
      <c r="F233" s="75" t="s">
        <v>409</v>
      </c>
      <c r="G233" s="3">
        <v>16</v>
      </c>
      <c r="H233" s="3" t="s">
        <v>6736</v>
      </c>
      <c r="I233" s="68" t="s">
        <v>260</v>
      </c>
      <c r="J233" s="72">
        <v>1.35</v>
      </c>
      <c r="K233" s="14" t="s">
        <v>5476</v>
      </c>
      <c r="L233" s="9">
        <v>95.9</v>
      </c>
      <c r="M233" s="3">
        <v>96.71</v>
      </c>
      <c r="N233" s="66" t="s">
        <v>7922</v>
      </c>
      <c r="O233" s="5" t="s">
        <v>8419</v>
      </c>
      <c r="P233" s="49">
        <f t="shared" si="13"/>
        <v>1.6905242497662551</v>
      </c>
      <c r="Q233" s="1">
        <f t="shared" si="14"/>
        <v>1.9673747683334977</v>
      </c>
      <c r="R233" s="1">
        <f t="shared" si="16"/>
        <v>2.0253171483184351</v>
      </c>
      <c r="S233" s="10">
        <f t="shared" si="15"/>
        <v>1.8289495090498766</v>
      </c>
      <c r="T233" s="45" cm="1">
        <f t="array" ref="T233">SUMPRODUCT(P233:S233 * P$3:S$3) / SUM(P$3:S$3)</f>
        <v>1.8804561088271348</v>
      </c>
    </row>
    <row r="234" spans="1:20" ht="16.5" customHeight="1" x14ac:dyDescent="0.25">
      <c r="A234" s="5" t="s">
        <v>7025</v>
      </c>
      <c r="B234" s="16" t="s">
        <v>7393</v>
      </c>
      <c r="C234" s="4" t="s">
        <v>8798</v>
      </c>
      <c r="D234" s="4" t="s">
        <v>8954</v>
      </c>
      <c r="E234" s="12" t="s">
        <v>406</v>
      </c>
      <c r="F234" s="75" t="s">
        <v>409</v>
      </c>
      <c r="G234" s="3">
        <v>16</v>
      </c>
      <c r="H234" s="3" t="s">
        <v>6736</v>
      </c>
      <c r="I234" s="68" t="s">
        <v>260</v>
      </c>
      <c r="J234" s="72">
        <v>1.35</v>
      </c>
      <c r="L234" s="9">
        <v>31.9</v>
      </c>
      <c r="M234" s="3">
        <v>72</v>
      </c>
      <c r="N234" s="66" t="s">
        <v>7954</v>
      </c>
      <c r="O234" s="5" t="s">
        <v>8446</v>
      </c>
      <c r="P234" s="49">
        <f t="shared" si="13"/>
        <v>1.6905242497662551</v>
      </c>
      <c r="Q234" s="1">
        <f t="shared" si="14"/>
        <v>1.9673747683334977</v>
      </c>
      <c r="R234" s="1">
        <f t="shared" si="16"/>
        <v>2.0253171483184351</v>
      </c>
      <c r="S234" s="10">
        <f t="shared" si="15"/>
        <v>1.8289495090498766</v>
      </c>
      <c r="T234" s="45" cm="1">
        <f t="array" ref="T234">SUMPRODUCT(P234:S234 * P$3:S$3) / SUM(P$3:S$3)</f>
        <v>1.8804561088271348</v>
      </c>
    </row>
    <row r="235" spans="1:20" ht="16.5" customHeight="1" x14ac:dyDescent="0.25">
      <c r="A235" s="5" t="s">
        <v>7025</v>
      </c>
      <c r="B235" s="16" t="s">
        <v>7394</v>
      </c>
      <c r="C235" s="4" t="s">
        <v>8798</v>
      </c>
      <c r="D235" s="4" t="s">
        <v>8954</v>
      </c>
      <c r="E235" s="12" t="s">
        <v>406</v>
      </c>
      <c r="F235" s="75" t="s">
        <v>409</v>
      </c>
      <c r="G235" s="3">
        <v>16</v>
      </c>
      <c r="H235" s="3" t="s">
        <v>6736</v>
      </c>
      <c r="I235" s="68" t="s">
        <v>260</v>
      </c>
      <c r="J235" s="72">
        <v>1.35</v>
      </c>
      <c r="L235" s="9">
        <v>30.9</v>
      </c>
      <c r="M235" s="3">
        <v>154.30000000000001</v>
      </c>
      <c r="N235" s="66" t="s">
        <v>7955</v>
      </c>
      <c r="O235" s="5" t="s">
        <v>8447</v>
      </c>
      <c r="P235" s="49">
        <f t="shared" si="13"/>
        <v>1.6905242497662551</v>
      </c>
      <c r="Q235" s="1">
        <f t="shared" si="14"/>
        <v>1.9673747683334977</v>
      </c>
      <c r="R235" s="1">
        <f t="shared" si="16"/>
        <v>2.0253171483184351</v>
      </c>
      <c r="S235" s="10">
        <f t="shared" si="15"/>
        <v>1.8289495090498766</v>
      </c>
      <c r="T235" s="45" cm="1">
        <f t="array" ref="T235">SUMPRODUCT(P235:S235 * P$3:S$3) / SUM(P$3:S$3)</f>
        <v>1.8804561088271348</v>
      </c>
    </row>
    <row r="236" spans="1:20" ht="16.5" customHeight="1" x14ac:dyDescent="0.25">
      <c r="A236" s="5" t="s">
        <v>7008</v>
      </c>
      <c r="B236" s="16" t="s">
        <v>7285</v>
      </c>
      <c r="C236" s="4" t="s">
        <v>8798</v>
      </c>
      <c r="D236" s="4" t="s">
        <v>8954</v>
      </c>
      <c r="E236" s="12" t="s">
        <v>406</v>
      </c>
      <c r="F236" s="75" t="s">
        <v>409</v>
      </c>
      <c r="G236" s="3">
        <v>16</v>
      </c>
      <c r="H236" s="3" t="s">
        <v>6736</v>
      </c>
      <c r="I236" s="68" t="s">
        <v>260</v>
      </c>
      <c r="J236" s="72">
        <v>1.35</v>
      </c>
      <c r="K236" s="14" t="s">
        <v>5476</v>
      </c>
      <c r="L236" s="9">
        <v>77.95</v>
      </c>
      <c r="M236" s="3">
        <v>78.61</v>
      </c>
      <c r="N236" s="66" t="s">
        <v>7846</v>
      </c>
      <c r="O236" s="5" t="s">
        <v>8361</v>
      </c>
      <c r="P236" s="49">
        <f t="shared" si="13"/>
        <v>1.6905242497662551</v>
      </c>
      <c r="Q236" s="1">
        <f t="shared" si="14"/>
        <v>1.9673747683334977</v>
      </c>
      <c r="R236" s="1">
        <f t="shared" si="16"/>
        <v>2.0253171483184351</v>
      </c>
      <c r="S236" s="10">
        <f t="shared" si="15"/>
        <v>1.8289495090498766</v>
      </c>
      <c r="T236" s="45" cm="1">
        <f t="array" ref="T236">SUMPRODUCT(P236:S236 * P$3:S$3) / SUM(P$3:S$3)</f>
        <v>1.8804561088271348</v>
      </c>
    </row>
    <row r="237" spans="1:20" ht="16.5" customHeight="1" x14ac:dyDescent="0.25">
      <c r="A237" s="5" t="s">
        <v>7008</v>
      </c>
      <c r="B237" s="16" t="s">
        <v>7286</v>
      </c>
      <c r="C237" s="4" t="s">
        <v>8798</v>
      </c>
      <c r="D237" s="4" t="s">
        <v>8954</v>
      </c>
      <c r="E237" s="12" t="s">
        <v>406</v>
      </c>
      <c r="F237" s="75" t="s">
        <v>409</v>
      </c>
      <c r="G237" s="3">
        <v>16</v>
      </c>
      <c r="H237" s="3" t="s">
        <v>6736</v>
      </c>
      <c r="I237" s="68" t="s">
        <v>260</v>
      </c>
      <c r="J237" s="72">
        <v>1.35</v>
      </c>
      <c r="K237" s="14" t="s">
        <v>5476</v>
      </c>
      <c r="L237" s="9">
        <v>41.49</v>
      </c>
      <c r="M237" s="3">
        <v>61.93</v>
      </c>
      <c r="N237" s="66" t="s">
        <v>7847</v>
      </c>
      <c r="O237" s="5" t="s">
        <v>8361</v>
      </c>
      <c r="P237" s="49">
        <f t="shared" si="13"/>
        <v>1.6905242497662551</v>
      </c>
      <c r="Q237" s="1">
        <f t="shared" si="14"/>
        <v>1.9673747683334977</v>
      </c>
      <c r="R237" s="1">
        <f t="shared" si="16"/>
        <v>2.0253171483184351</v>
      </c>
      <c r="S237" s="10">
        <f t="shared" si="15"/>
        <v>1.8289495090498766</v>
      </c>
      <c r="T237" s="45" cm="1">
        <f t="array" ref="T237">SUMPRODUCT(P237:S237 * P$3:S$3) / SUM(P$3:S$3)</f>
        <v>1.8804561088271348</v>
      </c>
    </row>
    <row r="238" spans="1:20" ht="16.5" customHeight="1" x14ac:dyDescent="0.25">
      <c r="A238" s="5" t="s">
        <v>7008</v>
      </c>
      <c r="B238" s="16" t="s">
        <v>7322</v>
      </c>
      <c r="C238" s="4" t="s">
        <v>8798</v>
      </c>
      <c r="D238" s="4" t="s">
        <v>8954</v>
      </c>
      <c r="E238" s="12" t="s">
        <v>406</v>
      </c>
      <c r="F238" s="75" t="s">
        <v>409</v>
      </c>
      <c r="G238" s="3">
        <v>16</v>
      </c>
      <c r="H238" s="3" t="s">
        <v>6736</v>
      </c>
      <c r="I238" s="68" t="s">
        <v>260</v>
      </c>
      <c r="J238" s="72">
        <v>1.35</v>
      </c>
      <c r="L238" s="9">
        <v>35.29</v>
      </c>
      <c r="M238" s="3">
        <v>64.3</v>
      </c>
      <c r="N238" s="66" t="s">
        <v>7883</v>
      </c>
      <c r="O238" s="5" t="s">
        <v>8390</v>
      </c>
      <c r="P238" s="49">
        <f t="shared" si="13"/>
        <v>1.6905242497662551</v>
      </c>
      <c r="Q238" s="1">
        <f t="shared" si="14"/>
        <v>1.9673747683334977</v>
      </c>
      <c r="R238" s="1">
        <f t="shared" si="16"/>
        <v>2.0253171483184351</v>
      </c>
      <c r="S238" s="10">
        <f t="shared" si="15"/>
        <v>1.8289495090498766</v>
      </c>
      <c r="T238" s="45" cm="1">
        <f t="array" ref="T238">SUMPRODUCT(P238:S238 * P$3:S$3) / SUM(P$3:S$3)</f>
        <v>1.8804561088271348</v>
      </c>
    </row>
    <row r="239" spans="1:20" ht="16.5" customHeight="1" x14ac:dyDescent="0.25">
      <c r="A239" s="5" t="s">
        <v>6987</v>
      </c>
      <c r="B239" s="16" t="s">
        <v>7259</v>
      </c>
      <c r="C239" s="4" t="s">
        <v>8798</v>
      </c>
      <c r="D239" s="4" t="s">
        <v>8954</v>
      </c>
      <c r="E239" s="12" t="s">
        <v>406</v>
      </c>
      <c r="F239" s="75" t="s">
        <v>409</v>
      </c>
      <c r="G239" s="3">
        <v>16</v>
      </c>
      <c r="H239" s="3" t="s">
        <v>6736</v>
      </c>
      <c r="I239" s="68" t="s">
        <v>260</v>
      </c>
      <c r="J239" s="72">
        <v>1.35</v>
      </c>
      <c r="K239" s="14" t="s">
        <v>450</v>
      </c>
      <c r="L239" s="9">
        <v>149.9</v>
      </c>
      <c r="M239" s="3">
        <v>149.9</v>
      </c>
      <c r="N239" s="66" t="s">
        <v>7820</v>
      </c>
      <c r="O239" s="5" t="s">
        <v>8342</v>
      </c>
      <c r="P239" s="49">
        <f t="shared" si="13"/>
        <v>1.6905242497662551</v>
      </c>
      <c r="Q239" s="1">
        <f t="shared" si="14"/>
        <v>1.9673747683334977</v>
      </c>
      <c r="R239" s="1">
        <f t="shared" si="16"/>
        <v>2.0253171483184351</v>
      </c>
      <c r="S239" s="10">
        <f t="shared" si="15"/>
        <v>1.8289495090498766</v>
      </c>
      <c r="T239" s="45" cm="1">
        <f t="array" ref="T239">SUMPRODUCT(P239:S239 * P$3:S$3) / SUM(P$3:S$3)</f>
        <v>1.8804561088271348</v>
      </c>
    </row>
    <row r="240" spans="1:20" ht="16.5" customHeight="1" x14ac:dyDescent="0.25">
      <c r="A240" s="5" t="s">
        <v>6983</v>
      </c>
      <c r="B240" s="16" t="s">
        <v>7247</v>
      </c>
      <c r="C240" s="4" t="s">
        <v>8798</v>
      </c>
      <c r="D240" s="4" t="s">
        <v>8954</v>
      </c>
      <c r="E240" s="12" t="s">
        <v>406</v>
      </c>
      <c r="F240" s="75" t="s">
        <v>409</v>
      </c>
      <c r="G240" s="3">
        <v>16</v>
      </c>
      <c r="H240" s="3" t="s">
        <v>6736</v>
      </c>
      <c r="I240" s="68" t="s">
        <v>7791</v>
      </c>
      <c r="J240" s="72">
        <v>1.2</v>
      </c>
      <c r="L240" s="9">
        <v>68.400000000000006</v>
      </c>
      <c r="M240" s="3">
        <v>92.9</v>
      </c>
      <c r="N240" s="66" t="s">
        <v>7808</v>
      </c>
      <c r="O240" s="5" t="s">
        <v>8338</v>
      </c>
      <c r="P240" s="49">
        <f t="shared" si="13"/>
        <v>1.6608370261474426</v>
      </c>
      <c r="Q240" s="1">
        <f t="shared" si="14"/>
        <v>1.9555908727994511</v>
      </c>
      <c r="R240" s="1">
        <f t="shared" si="16"/>
        <v>2.0135332527843888</v>
      </c>
      <c r="S240" s="10">
        <f t="shared" si="15"/>
        <v>1.8082139494734468</v>
      </c>
      <c r="T240" s="45" cm="1">
        <f t="array" ref="T240">SUMPRODUCT(P240:S240 * P$3:S$3) / SUM(P$3:S$3)</f>
        <v>1.8624749074175921</v>
      </c>
    </row>
    <row r="241" spans="1:20" ht="16.5" customHeight="1" x14ac:dyDescent="0.25">
      <c r="A241" s="5" t="s">
        <v>6983</v>
      </c>
      <c r="B241" s="16" t="s">
        <v>7248</v>
      </c>
      <c r="C241" s="4" t="s">
        <v>8798</v>
      </c>
      <c r="D241" s="4" t="s">
        <v>8954</v>
      </c>
      <c r="E241" s="12" t="s">
        <v>406</v>
      </c>
      <c r="F241" s="75" t="s">
        <v>409</v>
      </c>
      <c r="G241" s="3">
        <v>16</v>
      </c>
      <c r="H241" s="3" t="s">
        <v>6736</v>
      </c>
      <c r="I241" s="68" t="s">
        <v>7791</v>
      </c>
      <c r="J241" s="72">
        <v>1.2</v>
      </c>
      <c r="L241" s="9">
        <v>63.9</v>
      </c>
      <c r="M241" s="3">
        <v>98.9</v>
      </c>
      <c r="N241" s="66" t="s">
        <v>7809</v>
      </c>
      <c r="O241" s="5" t="s">
        <v>8338</v>
      </c>
      <c r="P241" s="49">
        <f t="shared" si="13"/>
        <v>1.6608370261474426</v>
      </c>
      <c r="Q241" s="1">
        <f t="shared" si="14"/>
        <v>1.9555908727994511</v>
      </c>
      <c r="R241" s="1">
        <f t="shared" si="16"/>
        <v>2.0135332527843888</v>
      </c>
      <c r="S241" s="10">
        <f t="shared" si="15"/>
        <v>1.8082139494734468</v>
      </c>
      <c r="T241" s="45" cm="1">
        <f t="array" ref="T241">SUMPRODUCT(P241:S241 * P$3:S$3) / SUM(P$3:S$3)</f>
        <v>1.8624749074175921</v>
      </c>
    </row>
    <row r="242" spans="1:20" ht="16.5" customHeight="1" x14ac:dyDescent="0.25">
      <c r="A242" s="5" t="s">
        <v>6983</v>
      </c>
      <c r="B242" s="16" t="s">
        <v>7249</v>
      </c>
      <c r="C242" s="4" t="s">
        <v>8798</v>
      </c>
      <c r="D242" s="4" t="s">
        <v>8954</v>
      </c>
      <c r="E242" s="12" t="s">
        <v>406</v>
      </c>
      <c r="F242" s="75" t="s">
        <v>409</v>
      </c>
      <c r="G242" s="3">
        <v>16</v>
      </c>
      <c r="H242" s="3" t="s">
        <v>6736</v>
      </c>
      <c r="I242" s="68" t="s">
        <v>7791</v>
      </c>
      <c r="J242" s="72">
        <v>1.2</v>
      </c>
      <c r="L242" s="9">
        <v>63.61</v>
      </c>
      <c r="M242" s="3">
        <v>109.9</v>
      </c>
      <c r="N242" s="66" t="s">
        <v>7810</v>
      </c>
      <c r="O242" s="5" t="s">
        <v>8338</v>
      </c>
      <c r="P242" s="49">
        <f t="shared" si="13"/>
        <v>1.6608370261474426</v>
      </c>
      <c r="Q242" s="1">
        <f t="shared" si="14"/>
        <v>1.9555908727994511</v>
      </c>
      <c r="R242" s="1">
        <f t="shared" si="16"/>
        <v>2.0135332527843888</v>
      </c>
      <c r="S242" s="10">
        <f t="shared" si="15"/>
        <v>1.8082139494734468</v>
      </c>
      <c r="T242" s="45" cm="1">
        <f t="array" ref="T242">SUMPRODUCT(P242:S242 * P$3:S$3) / SUM(P$3:S$3)</f>
        <v>1.8624749074175921</v>
      </c>
    </row>
    <row r="243" spans="1:20" ht="16.5" customHeight="1" x14ac:dyDescent="0.25">
      <c r="A243" s="5" t="s">
        <v>6983</v>
      </c>
      <c r="B243" s="16" t="s">
        <v>7250</v>
      </c>
      <c r="C243" s="4" t="s">
        <v>8798</v>
      </c>
      <c r="D243" s="4" t="s">
        <v>8954</v>
      </c>
      <c r="E243" s="12" t="s">
        <v>406</v>
      </c>
      <c r="F243" s="75" t="s">
        <v>409</v>
      </c>
      <c r="G243" s="3">
        <v>16</v>
      </c>
      <c r="H243" s="3" t="s">
        <v>6736</v>
      </c>
      <c r="I243" s="68" t="s">
        <v>7791</v>
      </c>
      <c r="J243" s="72">
        <v>1.2</v>
      </c>
      <c r="L243" s="9">
        <v>63.64</v>
      </c>
      <c r="M243" s="3">
        <v>109.9</v>
      </c>
      <c r="N243" s="66" t="s">
        <v>7811</v>
      </c>
      <c r="O243" s="5" t="s">
        <v>8338</v>
      </c>
      <c r="P243" s="49">
        <f t="shared" si="13"/>
        <v>1.6608370261474426</v>
      </c>
      <c r="Q243" s="1">
        <f t="shared" si="14"/>
        <v>1.9555908727994511</v>
      </c>
      <c r="R243" s="1">
        <f t="shared" si="16"/>
        <v>2.0135332527843888</v>
      </c>
      <c r="S243" s="10">
        <f t="shared" si="15"/>
        <v>1.8082139494734468</v>
      </c>
      <c r="T243" s="45" cm="1">
        <f t="array" ref="T243">SUMPRODUCT(P243:S243 * P$3:S$3) / SUM(P$3:S$3)</f>
        <v>1.8624749074175921</v>
      </c>
    </row>
    <row r="244" spans="1:20" ht="16.5" customHeight="1" x14ac:dyDescent="0.25">
      <c r="A244" s="5" t="s">
        <v>7233</v>
      </c>
      <c r="B244" s="16" t="s">
        <v>7749</v>
      </c>
      <c r="C244" s="4" t="s">
        <v>8796</v>
      </c>
      <c r="D244" s="4" t="s">
        <v>8955</v>
      </c>
      <c r="E244" s="12" t="s">
        <v>406</v>
      </c>
      <c r="F244" s="75" t="s">
        <v>409</v>
      </c>
      <c r="G244" s="3">
        <v>16</v>
      </c>
      <c r="H244" s="3" t="s">
        <v>404</v>
      </c>
      <c r="I244" s="68" t="s">
        <v>260</v>
      </c>
      <c r="J244" s="72">
        <v>1.35</v>
      </c>
      <c r="K244" s="14" t="s">
        <v>7804</v>
      </c>
      <c r="L244" s="9">
        <v>102.9</v>
      </c>
      <c r="M244" s="3">
        <v>132.16999999999999</v>
      </c>
      <c r="N244" s="66" t="s">
        <v>8310</v>
      </c>
      <c r="O244" s="5" t="s">
        <v>8751</v>
      </c>
      <c r="P244" s="49">
        <f t="shared" si="13"/>
        <v>1.7157247965878211</v>
      </c>
      <c r="Q244" s="1">
        <f t="shared" si="14"/>
        <v>1.9855392596669728</v>
      </c>
      <c r="R244" s="1">
        <f t="shared" si="16"/>
        <v>2.0414066374717508</v>
      </c>
      <c r="S244" s="10">
        <f t="shared" si="15"/>
        <v>1.8506320281273969</v>
      </c>
      <c r="T244" s="45" cm="1">
        <f t="array" ref="T244">SUMPRODUCT(P244:S244 * P$3:S$3) / SUM(P$3:S$3)</f>
        <v>1.9007369267249246</v>
      </c>
    </row>
    <row r="245" spans="1:20" ht="16.5" customHeight="1" x14ac:dyDescent="0.25">
      <c r="A245" s="5" t="s">
        <v>7233</v>
      </c>
      <c r="B245" s="16" t="s">
        <v>7766</v>
      </c>
      <c r="C245" s="4" t="s">
        <v>8796</v>
      </c>
      <c r="D245" s="4" t="s">
        <v>8955</v>
      </c>
      <c r="E245" s="12" t="s">
        <v>406</v>
      </c>
      <c r="F245" s="75" t="s">
        <v>409</v>
      </c>
      <c r="G245" s="3">
        <v>16</v>
      </c>
      <c r="H245" s="3" t="s">
        <v>404</v>
      </c>
      <c r="I245" s="68" t="s">
        <v>260</v>
      </c>
      <c r="J245" s="72">
        <v>1.35</v>
      </c>
      <c r="K245" s="14" t="s">
        <v>7804</v>
      </c>
      <c r="L245" s="9">
        <v>115.47</v>
      </c>
      <c r="M245" s="3">
        <v>128.13</v>
      </c>
      <c r="N245" s="66" t="s">
        <v>8327</v>
      </c>
      <c r="O245" s="5" t="s">
        <v>8764</v>
      </c>
      <c r="P245" s="49">
        <f t="shared" si="13"/>
        <v>1.7157247965878211</v>
      </c>
      <c r="Q245" s="1">
        <f t="shared" si="14"/>
        <v>1.9855392596669728</v>
      </c>
      <c r="R245" s="1">
        <f t="shared" si="16"/>
        <v>2.0414066374717508</v>
      </c>
      <c r="S245" s="10">
        <f t="shared" si="15"/>
        <v>1.8506320281273969</v>
      </c>
      <c r="T245" s="45" cm="1">
        <f t="array" ref="T245">SUMPRODUCT(P245:S245 * P$3:S$3) / SUM(P$3:S$3)</f>
        <v>1.9007369267249246</v>
      </c>
    </row>
    <row r="246" spans="1:20" ht="16.5" customHeight="1" x14ac:dyDescent="0.25">
      <c r="A246" s="5" t="s">
        <v>7233</v>
      </c>
      <c r="B246" s="16" t="s">
        <v>7769</v>
      </c>
      <c r="C246" s="4" t="s">
        <v>8796</v>
      </c>
      <c r="D246" s="4" t="s">
        <v>8955</v>
      </c>
      <c r="E246" s="12" t="s">
        <v>406</v>
      </c>
      <c r="F246" s="75" t="s">
        <v>409</v>
      </c>
      <c r="G246" s="3">
        <v>16</v>
      </c>
      <c r="H246" s="3" t="s">
        <v>404</v>
      </c>
      <c r="I246" s="68" t="s">
        <v>260</v>
      </c>
      <c r="J246" s="72">
        <v>1.35</v>
      </c>
      <c r="K246" s="14" t="s">
        <v>7804</v>
      </c>
      <c r="L246" s="9">
        <v>99.9</v>
      </c>
      <c r="M246" s="3">
        <v>156</v>
      </c>
      <c r="N246" s="66" t="s">
        <v>8330</v>
      </c>
      <c r="O246" s="5" t="s">
        <v>8765</v>
      </c>
      <c r="P246" s="49">
        <f t="shared" si="13"/>
        <v>1.7157247965878211</v>
      </c>
      <c r="Q246" s="1">
        <f t="shared" si="14"/>
        <v>1.9855392596669728</v>
      </c>
      <c r="R246" s="1">
        <f t="shared" si="16"/>
        <v>2.0414066374717508</v>
      </c>
      <c r="S246" s="10">
        <f t="shared" si="15"/>
        <v>1.8506320281273969</v>
      </c>
      <c r="T246" s="45" cm="1">
        <f t="array" ref="T246">SUMPRODUCT(P246:S246 * P$3:S$3) / SUM(P$3:S$3)</f>
        <v>1.9007369267249246</v>
      </c>
    </row>
    <row r="247" spans="1:20" ht="16.5" customHeight="1" x14ac:dyDescent="0.25">
      <c r="A247" s="5" t="s">
        <v>7176</v>
      </c>
      <c r="B247" s="16" t="s">
        <v>7564</v>
      </c>
      <c r="C247" s="4" t="s">
        <v>8796</v>
      </c>
      <c r="D247" s="4" t="s">
        <v>8955</v>
      </c>
      <c r="E247" s="12" t="s">
        <v>406</v>
      </c>
      <c r="F247" s="75" t="s">
        <v>409</v>
      </c>
      <c r="G247" s="3">
        <v>16</v>
      </c>
      <c r="H247" s="3" t="s">
        <v>404</v>
      </c>
      <c r="I247" s="68" t="s">
        <v>260</v>
      </c>
      <c r="J247" s="72">
        <v>1.35</v>
      </c>
      <c r="K247" s="14" t="s">
        <v>6175</v>
      </c>
      <c r="L247" s="9">
        <v>80.900000000000006</v>
      </c>
      <c r="M247" s="3">
        <v>103.2</v>
      </c>
      <c r="N247" s="66" t="s">
        <v>8125</v>
      </c>
      <c r="O247" s="5" t="s">
        <v>8599</v>
      </c>
      <c r="P247" s="49">
        <f t="shared" si="13"/>
        <v>1.7157247965878211</v>
      </c>
      <c r="Q247" s="1">
        <f t="shared" si="14"/>
        <v>1.9855392596669728</v>
      </c>
      <c r="R247" s="1">
        <f t="shared" si="16"/>
        <v>2.0414066374717508</v>
      </c>
      <c r="S247" s="10">
        <f t="shared" si="15"/>
        <v>1.8506320281273969</v>
      </c>
      <c r="T247" s="45" cm="1">
        <f t="array" ref="T247">SUMPRODUCT(P247:S247 * P$3:S$3) / SUM(P$3:S$3)</f>
        <v>1.9007369267249246</v>
      </c>
    </row>
    <row r="248" spans="1:20" ht="16.5" customHeight="1" x14ac:dyDescent="0.25">
      <c r="A248" s="5" t="s">
        <v>7176</v>
      </c>
      <c r="B248" s="16" t="s">
        <v>7577</v>
      </c>
      <c r="C248" s="4" t="s">
        <v>8796</v>
      </c>
      <c r="D248" s="4" t="s">
        <v>8955</v>
      </c>
      <c r="E248" s="12" t="s">
        <v>406</v>
      </c>
      <c r="F248" s="75" t="s">
        <v>409</v>
      </c>
      <c r="G248" s="3">
        <v>16</v>
      </c>
      <c r="H248" s="3" t="s">
        <v>404</v>
      </c>
      <c r="I248" s="68" t="s">
        <v>260</v>
      </c>
      <c r="J248" s="72">
        <v>1.35</v>
      </c>
      <c r="K248" s="14" t="s">
        <v>6175</v>
      </c>
      <c r="L248" s="9">
        <v>78.900000000000006</v>
      </c>
      <c r="M248" s="3">
        <v>127</v>
      </c>
      <c r="N248" s="66" t="s">
        <v>8138</v>
      </c>
      <c r="O248" s="5" t="s">
        <v>8608</v>
      </c>
      <c r="P248" s="49">
        <f t="shared" si="13"/>
        <v>1.7157247965878211</v>
      </c>
      <c r="Q248" s="1">
        <f t="shared" si="14"/>
        <v>1.9855392596669728</v>
      </c>
      <c r="R248" s="1">
        <f t="shared" si="16"/>
        <v>2.0414066374717508</v>
      </c>
      <c r="S248" s="10">
        <f t="shared" si="15"/>
        <v>1.8506320281273969</v>
      </c>
      <c r="T248" s="45" cm="1">
        <f t="array" ref="T248">SUMPRODUCT(P248:S248 * P$3:S$3) / SUM(P$3:S$3)</f>
        <v>1.9007369267249246</v>
      </c>
    </row>
    <row r="249" spans="1:20" ht="16.5" customHeight="1" x14ac:dyDescent="0.25">
      <c r="A249" s="5" t="s">
        <v>7176</v>
      </c>
      <c r="B249" s="16" t="s">
        <v>7585</v>
      </c>
      <c r="C249" s="4" t="s">
        <v>8796</v>
      </c>
      <c r="D249" s="4" t="s">
        <v>8955</v>
      </c>
      <c r="E249" s="12" t="s">
        <v>406</v>
      </c>
      <c r="F249" s="75" t="s">
        <v>409</v>
      </c>
      <c r="G249" s="3">
        <v>16</v>
      </c>
      <c r="H249" s="3" t="s">
        <v>404</v>
      </c>
      <c r="I249" s="68" t="s">
        <v>260</v>
      </c>
      <c r="J249" s="72">
        <v>1.35</v>
      </c>
      <c r="K249" s="14" t="s">
        <v>7799</v>
      </c>
      <c r="L249" s="9">
        <v>71.900000000000006</v>
      </c>
      <c r="M249" s="3">
        <v>115</v>
      </c>
      <c r="N249" s="66" t="s">
        <v>8146</v>
      </c>
      <c r="O249" s="5" t="s">
        <v>8616</v>
      </c>
      <c r="P249" s="49">
        <f t="shared" si="13"/>
        <v>1.7157247965878211</v>
      </c>
      <c r="Q249" s="1">
        <f t="shared" si="14"/>
        <v>1.9855392596669728</v>
      </c>
      <c r="R249" s="1">
        <f t="shared" si="16"/>
        <v>2.0414066374717508</v>
      </c>
      <c r="S249" s="10">
        <f t="shared" si="15"/>
        <v>1.8506320281273969</v>
      </c>
      <c r="T249" s="45" cm="1">
        <f t="array" ref="T249">SUMPRODUCT(P249:S249 * P$3:S$3) / SUM(P$3:S$3)</f>
        <v>1.9007369267249246</v>
      </c>
    </row>
    <row r="250" spans="1:20" ht="16.5" customHeight="1" x14ac:dyDescent="0.25">
      <c r="A250" s="5" t="s">
        <v>7176</v>
      </c>
      <c r="B250" s="16" t="s">
        <v>7593</v>
      </c>
      <c r="C250" s="4" t="s">
        <v>8796</v>
      </c>
      <c r="D250" s="4" t="s">
        <v>8955</v>
      </c>
      <c r="E250" s="12" t="s">
        <v>406</v>
      </c>
      <c r="F250" s="75" t="s">
        <v>409</v>
      </c>
      <c r="G250" s="3">
        <v>16</v>
      </c>
      <c r="H250" s="3" t="s">
        <v>404</v>
      </c>
      <c r="I250" s="68" t="s">
        <v>260</v>
      </c>
      <c r="J250" s="72">
        <v>1.35</v>
      </c>
      <c r="K250" s="14" t="s">
        <v>6175</v>
      </c>
      <c r="L250" s="9">
        <v>76.900000000000006</v>
      </c>
      <c r="M250" s="3">
        <v>157</v>
      </c>
      <c r="N250" s="66" t="s">
        <v>8154</v>
      </c>
      <c r="O250" s="5" t="s">
        <v>8624</v>
      </c>
      <c r="P250" s="49">
        <f t="shared" si="13"/>
        <v>1.7157247965878211</v>
      </c>
      <c r="Q250" s="1">
        <f t="shared" si="14"/>
        <v>1.9855392596669728</v>
      </c>
      <c r="R250" s="1">
        <f t="shared" si="16"/>
        <v>2.0414066374717508</v>
      </c>
      <c r="S250" s="10">
        <f t="shared" si="15"/>
        <v>1.8506320281273969</v>
      </c>
      <c r="T250" s="45" cm="1">
        <f t="array" ref="T250">SUMPRODUCT(P250:S250 * P$3:S$3) / SUM(P$3:S$3)</f>
        <v>1.9007369267249246</v>
      </c>
    </row>
    <row r="251" spans="1:20" ht="16.5" customHeight="1" x14ac:dyDescent="0.25">
      <c r="A251" s="5" t="s">
        <v>7176</v>
      </c>
      <c r="B251" s="16" t="s">
        <v>7600</v>
      </c>
      <c r="C251" s="4" t="s">
        <v>8796</v>
      </c>
      <c r="D251" s="4" t="s">
        <v>8955</v>
      </c>
      <c r="E251" s="12" t="s">
        <v>406</v>
      </c>
      <c r="F251" s="75" t="s">
        <v>409</v>
      </c>
      <c r="G251" s="3">
        <v>16</v>
      </c>
      <c r="H251" s="3" t="s">
        <v>404</v>
      </c>
      <c r="I251" s="68" t="s">
        <v>260</v>
      </c>
      <c r="J251" s="72">
        <v>1.35</v>
      </c>
      <c r="K251" s="14" t="s">
        <v>6175</v>
      </c>
      <c r="L251" s="9">
        <v>75.900000000000006</v>
      </c>
      <c r="M251" s="3">
        <v>103.2</v>
      </c>
      <c r="N251" s="66" t="s">
        <v>8161</v>
      </c>
      <c r="O251" s="5" t="s">
        <v>8631</v>
      </c>
      <c r="P251" s="49">
        <f t="shared" si="13"/>
        <v>1.7157247965878211</v>
      </c>
      <c r="Q251" s="1">
        <f t="shared" si="14"/>
        <v>1.9855392596669728</v>
      </c>
      <c r="R251" s="1">
        <f t="shared" si="16"/>
        <v>2.0414066374717508</v>
      </c>
      <c r="S251" s="10">
        <f t="shared" si="15"/>
        <v>1.8506320281273969</v>
      </c>
      <c r="T251" s="45" cm="1">
        <f t="array" ref="T251">SUMPRODUCT(P251:S251 * P$3:S$3) / SUM(P$3:S$3)</f>
        <v>1.9007369267249246</v>
      </c>
    </row>
    <row r="252" spans="1:20" ht="16.5" customHeight="1" x14ac:dyDescent="0.25">
      <c r="A252" s="5" t="s">
        <v>7176</v>
      </c>
      <c r="B252" s="16" t="s">
        <v>7608</v>
      </c>
      <c r="C252" s="4" t="s">
        <v>8796</v>
      </c>
      <c r="D252" s="4" t="s">
        <v>8955</v>
      </c>
      <c r="E252" s="12" t="s">
        <v>406</v>
      </c>
      <c r="F252" s="75" t="s">
        <v>409</v>
      </c>
      <c r="G252" s="3">
        <v>16</v>
      </c>
      <c r="H252" s="3" t="s">
        <v>404</v>
      </c>
      <c r="I252" s="68" t="s">
        <v>260</v>
      </c>
      <c r="J252" s="72">
        <v>1.35</v>
      </c>
      <c r="K252" s="14" t="s">
        <v>7800</v>
      </c>
      <c r="L252" s="9">
        <v>74.77</v>
      </c>
      <c r="M252" s="3">
        <v>117</v>
      </c>
      <c r="N252" s="66" t="s">
        <v>8169</v>
      </c>
      <c r="O252" s="5" t="s">
        <v>8637</v>
      </c>
      <c r="P252" s="49">
        <f t="shared" si="13"/>
        <v>1.7157247965878211</v>
      </c>
      <c r="Q252" s="1">
        <f t="shared" si="14"/>
        <v>1.9855392596669728</v>
      </c>
      <c r="R252" s="1">
        <f t="shared" si="16"/>
        <v>2.0414066374717508</v>
      </c>
      <c r="S252" s="10">
        <f t="shared" si="15"/>
        <v>1.8506320281273969</v>
      </c>
      <c r="T252" s="45" cm="1">
        <f t="array" ref="T252">SUMPRODUCT(P252:S252 * P$3:S$3) / SUM(P$3:S$3)</f>
        <v>1.9007369267249246</v>
      </c>
    </row>
    <row r="253" spans="1:20" ht="16.5" customHeight="1" x14ac:dyDescent="0.25">
      <c r="A253" s="5" t="s">
        <v>7176</v>
      </c>
      <c r="B253" s="16" t="s">
        <v>7621</v>
      </c>
      <c r="C253" s="4" t="s">
        <v>8796</v>
      </c>
      <c r="D253" s="4" t="s">
        <v>8955</v>
      </c>
      <c r="E253" s="12" t="s">
        <v>406</v>
      </c>
      <c r="F253" s="75" t="s">
        <v>409</v>
      </c>
      <c r="G253" s="3">
        <v>16</v>
      </c>
      <c r="H253" s="3" t="s">
        <v>404</v>
      </c>
      <c r="I253" s="68" t="s">
        <v>260</v>
      </c>
      <c r="J253" s="72">
        <v>1.35</v>
      </c>
      <c r="K253" s="14" t="s">
        <v>7800</v>
      </c>
      <c r="L253" s="9">
        <v>73.900000000000006</v>
      </c>
      <c r="M253" s="3">
        <v>179</v>
      </c>
      <c r="N253" s="66" t="s">
        <v>8182</v>
      </c>
      <c r="O253" s="5" t="s">
        <v>8645</v>
      </c>
      <c r="P253" s="49">
        <f t="shared" si="13"/>
        <v>1.7157247965878211</v>
      </c>
      <c r="Q253" s="1">
        <f t="shared" si="14"/>
        <v>1.9855392596669728</v>
      </c>
      <c r="R253" s="1">
        <f t="shared" si="16"/>
        <v>2.0414066374717508</v>
      </c>
      <c r="S253" s="10">
        <f t="shared" si="15"/>
        <v>1.8506320281273969</v>
      </c>
      <c r="T253" s="45" cm="1">
        <f t="array" ref="T253">SUMPRODUCT(P253:S253 * P$3:S$3) / SUM(P$3:S$3)</f>
        <v>1.9007369267249246</v>
      </c>
    </row>
    <row r="254" spans="1:20" ht="16.5" customHeight="1" x14ac:dyDescent="0.25">
      <c r="A254" s="5" t="s">
        <v>7176</v>
      </c>
      <c r="B254" s="16" t="s">
        <v>7622</v>
      </c>
      <c r="C254" s="4" t="s">
        <v>8796</v>
      </c>
      <c r="D254" s="4" t="s">
        <v>8955</v>
      </c>
      <c r="E254" s="12" t="s">
        <v>406</v>
      </c>
      <c r="F254" s="75" t="s">
        <v>409</v>
      </c>
      <c r="G254" s="3">
        <v>16</v>
      </c>
      <c r="H254" s="3" t="s">
        <v>404</v>
      </c>
      <c r="I254" s="68" t="s">
        <v>260</v>
      </c>
      <c r="J254" s="72">
        <v>1.35</v>
      </c>
      <c r="K254" s="14" t="s">
        <v>7800</v>
      </c>
      <c r="L254" s="9">
        <v>73.900000000000006</v>
      </c>
      <c r="M254" s="3">
        <v>118</v>
      </c>
      <c r="N254" s="66" t="s">
        <v>8183</v>
      </c>
      <c r="O254" s="5" t="s">
        <v>8645</v>
      </c>
      <c r="P254" s="49">
        <f t="shared" si="13"/>
        <v>1.7157247965878211</v>
      </c>
      <c r="Q254" s="1">
        <f t="shared" si="14"/>
        <v>1.9855392596669728</v>
      </c>
      <c r="R254" s="1">
        <f t="shared" si="16"/>
        <v>2.0414066374717508</v>
      </c>
      <c r="S254" s="10">
        <f t="shared" si="15"/>
        <v>1.8506320281273969</v>
      </c>
      <c r="T254" s="45" cm="1">
        <f t="array" ref="T254">SUMPRODUCT(P254:S254 * P$3:S$3) / SUM(P$3:S$3)</f>
        <v>1.9007369267249246</v>
      </c>
    </row>
    <row r="255" spans="1:20" ht="16.5" customHeight="1" x14ac:dyDescent="0.25">
      <c r="A255" s="5" t="s">
        <v>7176</v>
      </c>
      <c r="B255" s="16" t="s">
        <v>7643</v>
      </c>
      <c r="C255" s="4" t="s">
        <v>8796</v>
      </c>
      <c r="D255" s="4" t="s">
        <v>8955</v>
      </c>
      <c r="E255" s="12" t="s">
        <v>406</v>
      </c>
      <c r="F255" s="75" t="s">
        <v>409</v>
      </c>
      <c r="G255" s="3">
        <v>16</v>
      </c>
      <c r="H255" s="3" t="s">
        <v>404</v>
      </c>
      <c r="I255" s="68" t="s">
        <v>260</v>
      </c>
      <c r="J255" s="72">
        <v>1.35</v>
      </c>
      <c r="K255" s="14" t="s">
        <v>6175</v>
      </c>
      <c r="L255" s="9">
        <v>70.89</v>
      </c>
      <c r="M255" s="3">
        <v>108</v>
      </c>
      <c r="N255" s="66" t="s">
        <v>8204</v>
      </c>
      <c r="O255" s="5" t="s">
        <v>8660</v>
      </c>
      <c r="P255" s="49">
        <f t="shared" si="13"/>
        <v>1.7157247965878211</v>
      </c>
      <c r="Q255" s="1">
        <f t="shared" si="14"/>
        <v>1.9855392596669728</v>
      </c>
      <c r="R255" s="1">
        <f t="shared" si="16"/>
        <v>2.0414066374717508</v>
      </c>
      <c r="S255" s="10">
        <f t="shared" si="15"/>
        <v>1.8506320281273969</v>
      </c>
      <c r="T255" s="45" cm="1">
        <f t="array" ref="T255">SUMPRODUCT(P255:S255 * P$3:S$3) / SUM(P$3:S$3)</f>
        <v>1.9007369267249246</v>
      </c>
    </row>
    <row r="256" spans="1:20" ht="16.5" customHeight="1" x14ac:dyDescent="0.25">
      <c r="A256" s="5" t="s">
        <v>7176</v>
      </c>
      <c r="B256" s="16" t="s">
        <v>7663</v>
      </c>
      <c r="C256" s="4" t="s">
        <v>8796</v>
      </c>
      <c r="D256" s="4" t="s">
        <v>8955</v>
      </c>
      <c r="E256" s="12" t="s">
        <v>406</v>
      </c>
      <c r="F256" s="75" t="s">
        <v>409</v>
      </c>
      <c r="G256" s="3">
        <v>16</v>
      </c>
      <c r="H256" s="3" t="s">
        <v>404</v>
      </c>
      <c r="I256" s="68" t="s">
        <v>260</v>
      </c>
      <c r="J256" s="72">
        <v>1.35</v>
      </c>
      <c r="L256" s="9">
        <v>59.89</v>
      </c>
      <c r="M256" s="3">
        <v>101</v>
      </c>
      <c r="N256" s="66" t="s">
        <v>8224</v>
      </c>
      <c r="O256" s="5" t="s">
        <v>8678</v>
      </c>
      <c r="P256" s="49">
        <f t="shared" si="13"/>
        <v>1.7157247965878211</v>
      </c>
      <c r="Q256" s="1">
        <f t="shared" si="14"/>
        <v>1.9855392596669728</v>
      </c>
      <c r="R256" s="1">
        <f t="shared" si="16"/>
        <v>2.0414066374717508</v>
      </c>
      <c r="S256" s="10">
        <f t="shared" si="15"/>
        <v>1.8506320281273969</v>
      </c>
      <c r="T256" s="45" cm="1">
        <f t="array" ref="T256">SUMPRODUCT(P256:S256 * P$3:S$3) / SUM(P$3:S$3)</f>
        <v>1.9007369267249246</v>
      </c>
    </row>
    <row r="257" spans="1:20" ht="16.5" customHeight="1" x14ac:dyDescent="0.25">
      <c r="A257" s="5" t="s">
        <v>7176</v>
      </c>
      <c r="B257" s="16" t="s">
        <v>7690</v>
      </c>
      <c r="C257" s="4" t="s">
        <v>8796</v>
      </c>
      <c r="D257" s="4" t="s">
        <v>8955</v>
      </c>
      <c r="E257" s="12" t="s">
        <v>406</v>
      </c>
      <c r="F257" s="75" t="s">
        <v>409</v>
      </c>
      <c r="G257" s="3">
        <v>16</v>
      </c>
      <c r="H257" s="3" t="s">
        <v>404</v>
      </c>
      <c r="I257" s="68" t="s">
        <v>260</v>
      </c>
      <c r="J257" s="72">
        <v>1.35</v>
      </c>
      <c r="L257" s="9">
        <v>56.9</v>
      </c>
      <c r="M257" s="3">
        <v>113</v>
      </c>
      <c r="N257" s="66" t="s">
        <v>8251</v>
      </c>
      <c r="O257" s="5" t="s">
        <v>8698</v>
      </c>
      <c r="P257" s="49">
        <f t="shared" si="13"/>
        <v>1.7157247965878211</v>
      </c>
      <c r="Q257" s="1">
        <f t="shared" si="14"/>
        <v>1.9855392596669728</v>
      </c>
      <c r="R257" s="1">
        <f t="shared" si="16"/>
        <v>2.0414066374717508</v>
      </c>
      <c r="S257" s="10">
        <f t="shared" si="15"/>
        <v>1.8506320281273969</v>
      </c>
      <c r="T257" s="45" cm="1">
        <f t="array" ref="T257">SUMPRODUCT(P257:S257 * P$3:S$3) / SUM(P$3:S$3)</f>
        <v>1.9007369267249246</v>
      </c>
    </row>
    <row r="258" spans="1:20" ht="16.5" customHeight="1" x14ac:dyDescent="0.25">
      <c r="A258" s="5" t="s">
        <v>7176</v>
      </c>
      <c r="B258" s="16" t="s">
        <v>7736</v>
      </c>
      <c r="C258" s="4" t="s">
        <v>8796</v>
      </c>
      <c r="D258" s="4" t="s">
        <v>8955</v>
      </c>
      <c r="E258" s="12" t="s">
        <v>406</v>
      </c>
      <c r="F258" s="75" t="s">
        <v>409</v>
      </c>
      <c r="G258" s="3">
        <v>16</v>
      </c>
      <c r="H258" s="3" t="s">
        <v>404</v>
      </c>
      <c r="I258" s="68" t="s">
        <v>260</v>
      </c>
      <c r="J258" s="72">
        <v>1.35</v>
      </c>
      <c r="K258" s="14" t="s">
        <v>7802</v>
      </c>
      <c r="L258" s="9">
        <v>249.99</v>
      </c>
      <c r="M258" s="3">
        <v>249.99</v>
      </c>
      <c r="N258" s="66" t="s">
        <v>8297</v>
      </c>
      <c r="O258" s="5" t="s">
        <v>8738</v>
      </c>
      <c r="P258" s="49">
        <f t="shared" si="13"/>
        <v>1.7157247965878211</v>
      </c>
      <c r="Q258" s="1">
        <f t="shared" si="14"/>
        <v>1.9855392596669728</v>
      </c>
      <c r="R258" s="1">
        <f t="shared" si="16"/>
        <v>2.0414066374717508</v>
      </c>
      <c r="S258" s="10">
        <f t="shared" si="15"/>
        <v>1.8506320281273969</v>
      </c>
      <c r="T258" s="45" cm="1">
        <f t="array" ref="T258">SUMPRODUCT(P258:S258 * P$3:S$3) / SUM(P$3:S$3)</f>
        <v>1.9007369267249246</v>
      </c>
    </row>
    <row r="259" spans="1:20" ht="16.5" customHeight="1" x14ac:dyDescent="0.25">
      <c r="A259" s="5" t="s">
        <v>7147</v>
      </c>
      <c r="B259" s="16" t="s">
        <v>7532</v>
      </c>
      <c r="C259" s="4" t="s">
        <v>8797</v>
      </c>
      <c r="D259" s="4" t="s">
        <v>8955</v>
      </c>
      <c r="E259" s="12" t="s">
        <v>406</v>
      </c>
      <c r="F259" s="75" t="s">
        <v>409</v>
      </c>
      <c r="G259" s="3">
        <v>16</v>
      </c>
      <c r="H259" s="3" t="s">
        <v>404</v>
      </c>
      <c r="I259" s="68" t="s">
        <v>260</v>
      </c>
      <c r="J259" s="72">
        <v>1.35</v>
      </c>
      <c r="L259" s="9">
        <v>46.26</v>
      </c>
      <c r="M259" s="3">
        <v>99.99</v>
      </c>
      <c r="N259" s="66" t="s">
        <v>8093</v>
      </c>
      <c r="O259" s="5" t="s">
        <v>8570</v>
      </c>
      <c r="P259" s="49">
        <f t="shared" si="13"/>
        <v>1.7157247965878211</v>
      </c>
      <c r="Q259" s="1">
        <f t="shared" si="14"/>
        <v>1.9855392596669728</v>
      </c>
      <c r="R259" s="1">
        <f t="shared" si="16"/>
        <v>2.0414066374717508</v>
      </c>
      <c r="S259" s="10">
        <f t="shared" si="15"/>
        <v>1.8506320281273969</v>
      </c>
      <c r="T259" s="45" cm="1">
        <f t="array" ref="T259">SUMPRODUCT(P259:S259 * P$3:S$3) / SUM(P$3:S$3)</f>
        <v>1.9007369267249246</v>
      </c>
    </row>
    <row r="260" spans="1:20" ht="16.5" customHeight="1" x14ac:dyDescent="0.25">
      <c r="A260" s="5" t="s">
        <v>7144</v>
      </c>
      <c r="B260" s="16" t="s">
        <v>7529</v>
      </c>
      <c r="C260" s="4" t="s">
        <v>8797</v>
      </c>
      <c r="D260" s="4" t="s">
        <v>8955</v>
      </c>
      <c r="E260" s="12" t="s">
        <v>406</v>
      </c>
      <c r="F260" s="75" t="s">
        <v>409</v>
      </c>
      <c r="G260" s="3">
        <v>16</v>
      </c>
      <c r="H260" s="3" t="s">
        <v>404</v>
      </c>
      <c r="I260" s="68" t="s">
        <v>260</v>
      </c>
      <c r="J260" s="72">
        <v>1.35</v>
      </c>
      <c r="L260" s="9">
        <v>50.9</v>
      </c>
      <c r="M260" s="3">
        <v>103</v>
      </c>
      <c r="N260" s="66" t="s">
        <v>8090</v>
      </c>
      <c r="O260" s="5" t="s">
        <v>8568</v>
      </c>
      <c r="P260" s="49">
        <f t="shared" si="13"/>
        <v>1.7157247965878211</v>
      </c>
      <c r="Q260" s="1">
        <f t="shared" si="14"/>
        <v>1.9855392596669728</v>
      </c>
      <c r="R260" s="1">
        <f t="shared" si="16"/>
        <v>2.0414066374717508</v>
      </c>
      <c r="S260" s="10">
        <f t="shared" si="15"/>
        <v>1.8506320281273969</v>
      </c>
      <c r="T260" s="45" cm="1">
        <f t="array" ref="T260">SUMPRODUCT(P260:S260 * P$3:S$3) / SUM(P$3:S$3)</f>
        <v>1.9007369267249246</v>
      </c>
    </row>
    <row r="261" spans="1:20" ht="16.5" customHeight="1" x14ac:dyDescent="0.25">
      <c r="A261" s="5" t="s">
        <v>7113</v>
      </c>
      <c r="B261" s="16" t="s">
        <v>7489</v>
      </c>
      <c r="C261" s="4" t="s">
        <v>8797</v>
      </c>
      <c r="D261" s="4" t="s">
        <v>8955</v>
      </c>
      <c r="E261" s="12" t="s">
        <v>406</v>
      </c>
      <c r="F261" s="75" t="s">
        <v>409</v>
      </c>
      <c r="G261" s="3">
        <v>16</v>
      </c>
      <c r="H261" s="3" t="s">
        <v>404</v>
      </c>
      <c r="I261" s="68" t="s">
        <v>260</v>
      </c>
      <c r="J261" s="72">
        <v>1.35</v>
      </c>
      <c r="L261" s="9">
        <v>49.89</v>
      </c>
      <c r="M261" s="3">
        <v>107.18</v>
      </c>
      <c r="N261" s="66" t="s">
        <v>8050</v>
      </c>
      <c r="O261" s="5" t="s">
        <v>8529</v>
      </c>
      <c r="P261" s="49">
        <f t="shared" si="13"/>
        <v>1.7157247965878211</v>
      </c>
      <c r="Q261" s="1">
        <f t="shared" si="14"/>
        <v>1.9855392596669728</v>
      </c>
      <c r="R261" s="1">
        <f t="shared" si="16"/>
        <v>2.0414066374717508</v>
      </c>
      <c r="S261" s="10">
        <f t="shared" si="15"/>
        <v>1.8506320281273969</v>
      </c>
      <c r="T261" s="45" cm="1">
        <f t="array" ref="T261">SUMPRODUCT(P261:S261 * P$3:S$3) / SUM(P$3:S$3)</f>
        <v>1.9007369267249246</v>
      </c>
    </row>
    <row r="262" spans="1:20" ht="16.5" customHeight="1" x14ac:dyDescent="0.25">
      <c r="A262" s="5" t="s">
        <v>7113</v>
      </c>
      <c r="B262" s="16" t="s">
        <v>7490</v>
      </c>
      <c r="C262" s="4" t="s">
        <v>8797</v>
      </c>
      <c r="D262" s="4" t="s">
        <v>8955</v>
      </c>
      <c r="E262" s="12" t="s">
        <v>406</v>
      </c>
      <c r="F262" s="75" t="s">
        <v>409</v>
      </c>
      <c r="G262" s="3">
        <v>16</v>
      </c>
      <c r="H262" s="3" t="s">
        <v>404</v>
      </c>
      <c r="I262" s="68" t="s">
        <v>7793</v>
      </c>
      <c r="J262" s="72">
        <v>1.35</v>
      </c>
      <c r="L262" s="9">
        <v>372.4</v>
      </c>
      <c r="M262" s="3">
        <v>375.53</v>
      </c>
      <c r="N262" s="66" t="s">
        <v>8051</v>
      </c>
      <c r="O262" s="5" t="s">
        <v>8530</v>
      </c>
      <c r="P262" s="49">
        <f t="shared" si="13"/>
        <v>1.724081047217854</v>
      </c>
      <c r="Q262" s="1">
        <f t="shared" si="14"/>
        <v>1.9897173849819891</v>
      </c>
      <c r="R262" s="1">
        <f t="shared" si="16"/>
        <v>2.0455847627867674</v>
      </c>
      <c r="S262" s="10">
        <f t="shared" si="15"/>
        <v>1.8568992160999216</v>
      </c>
      <c r="T262" s="45" cm="1">
        <f t="array" ref="T262">SUMPRODUCT(P262:S262 * P$3:S$3) / SUM(P$3:S$3)</f>
        <v>1.906361326187447</v>
      </c>
    </row>
    <row r="263" spans="1:20" ht="16.5" customHeight="1" x14ac:dyDescent="0.25">
      <c r="A263" s="5" t="s">
        <v>7055</v>
      </c>
      <c r="B263" s="16" t="s">
        <v>7401</v>
      </c>
      <c r="C263" s="4" t="s">
        <v>8797</v>
      </c>
      <c r="D263" s="4" t="s">
        <v>8955</v>
      </c>
      <c r="E263" s="12" t="s">
        <v>406</v>
      </c>
      <c r="F263" s="75" t="s">
        <v>409</v>
      </c>
      <c r="G263" s="3">
        <v>16</v>
      </c>
      <c r="H263" s="3" t="s">
        <v>404</v>
      </c>
      <c r="I263" s="68" t="s">
        <v>260</v>
      </c>
      <c r="J263" s="72">
        <v>1.35</v>
      </c>
      <c r="L263" s="9">
        <v>62.95</v>
      </c>
      <c r="M263" s="3">
        <v>94.62</v>
      </c>
      <c r="N263" s="66" t="s">
        <v>7962</v>
      </c>
      <c r="O263" s="5" t="s">
        <v>8454</v>
      </c>
      <c r="P263" s="49">
        <f t="shared" si="13"/>
        <v>1.7157247965878211</v>
      </c>
      <c r="Q263" s="1">
        <f t="shared" si="14"/>
        <v>1.9855392596669728</v>
      </c>
      <c r="R263" s="1">
        <f t="shared" si="16"/>
        <v>2.0414066374717508</v>
      </c>
      <c r="S263" s="10">
        <f t="shared" si="15"/>
        <v>1.8506320281273969</v>
      </c>
      <c r="T263" s="45" cm="1">
        <f t="array" ref="T263">SUMPRODUCT(P263:S263 * P$3:S$3) / SUM(P$3:S$3)</f>
        <v>1.9007369267249246</v>
      </c>
    </row>
    <row r="264" spans="1:20" ht="16.5" customHeight="1" x14ac:dyDescent="0.25">
      <c r="A264" s="5" t="s">
        <v>7055</v>
      </c>
      <c r="B264" s="16" t="s">
        <v>7403</v>
      </c>
      <c r="C264" s="4" t="s">
        <v>8797</v>
      </c>
      <c r="D264" s="4" t="s">
        <v>8955</v>
      </c>
      <c r="E264" s="12" t="s">
        <v>406</v>
      </c>
      <c r="F264" s="75" t="s">
        <v>409</v>
      </c>
      <c r="G264" s="3">
        <v>16</v>
      </c>
      <c r="H264" s="3" t="s">
        <v>404</v>
      </c>
      <c r="I264" s="68" t="s">
        <v>260</v>
      </c>
      <c r="J264" s="72">
        <v>1.35</v>
      </c>
      <c r="L264" s="9">
        <v>61.9</v>
      </c>
      <c r="M264" s="3">
        <v>89.9</v>
      </c>
      <c r="N264" s="66" t="s">
        <v>7964</v>
      </c>
      <c r="O264" s="5" t="s">
        <v>8456</v>
      </c>
      <c r="P264" s="49">
        <f t="shared" si="13"/>
        <v>1.7157247965878211</v>
      </c>
      <c r="Q264" s="1">
        <f t="shared" si="14"/>
        <v>1.9855392596669728</v>
      </c>
      <c r="R264" s="1">
        <f t="shared" si="16"/>
        <v>2.0414066374717508</v>
      </c>
      <c r="S264" s="10">
        <f t="shared" si="15"/>
        <v>1.8506320281273969</v>
      </c>
      <c r="T264" s="45" cm="1">
        <f t="array" ref="T264">SUMPRODUCT(P264:S264 * P$3:S$3) / SUM(P$3:S$3)</f>
        <v>1.9007369267249246</v>
      </c>
    </row>
    <row r="265" spans="1:20" ht="16.5" customHeight="1" x14ac:dyDescent="0.25">
      <c r="A265" s="5" t="s">
        <v>7055</v>
      </c>
      <c r="B265" s="16" t="s">
        <v>7405</v>
      </c>
      <c r="C265" s="4" t="s">
        <v>8797</v>
      </c>
      <c r="D265" s="4" t="s">
        <v>8955</v>
      </c>
      <c r="E265" s="12" t="s">
        <v>406</v>
      </c>
      <c r="F265" s="75" t="s">
        <v>409</v>
      </c>
      <c r="G265" s="3">
        <v>16</v>
      </c>
      <c r="H265" s="3" t="s">
        <v>404</v>
      </c>
      <c r="I265" s="68" t="s">
        <v>260</v>
      </c>
      <c r="J265" s="72">
        <v>1.35</v>
      </c>
      <c r="L265" s="9">
        <v>59.9</v>
      </c>
      <c r="M265" s="3">
        <v>155.78</v>
      </c>
      <c r="N265" s="66" t="s">
        <v>7966</v>
      </c>
      <c r="O265" s="5" t="s">
        <v>8458</v>
      </c>
      <c r="P265" s="49">
        <f t="shared" si="13"/>
        <v>1.7157247965878211</v>
      </c>
      <c r="Q265" s="1">
        <f t="shared" si="14"/>
        <v>1.9855392596669728</v>
      </c>
      <c r="R265" s="1">
        <f t="shared" si="16"/>
        <v>2.0414066374717508</v>
      </c>
      <c r="S265" s="10">
        <f t="shared" si="15"/>
        <v>1.8506320281273969</v>
      </c>
      <c r="T265" s="45" cm="1">
        <f t="array" ref="T265">SUMPRODUCT(P265:S265 * P$3:S$3) / SUM(P$3:S$3)</f>
        <v>1.9007369267249246</v>
      </c>
    </row>
    <row r="266" spans="1:20" ht="16.5" customHeight="1" x14ac:dyDescent="0.25">
      <c r="A266" s="5" t="s">
        <v>7055</v>
      </c>
      <c r="B266" s="16" t="s">
        <v>7408</v>
      </c>
      <c r="C266" s="4" t="s">
        <v>8797</v>
      </c>
      <c r="D266" s="4" t="s">
        <v>8955</v>
      </c>
      <c r="E266" s="12" t="s">
        <v>406</v>
      </c>
      <c r="F266" s="75" t="s">
        <v>409</v>
      </c>
      <c r="G266" s="3">
        <v>16</v>
      </c>
      <c r="H266" s="3" t="s">
        <v>404</v>
      </c>
      <c r="I266" s="68" t="s">
        <v>260</v>
      </c>
      <c r="J266" s="72">
        <v>1.35</v>
      </c>
      <c r="L266" s="9">
        <v>61.9</v>
      </c>
      <c r="M266" s="3">
        <v>98</v>
      </c>
      <c r="N266" s="66" t="s">
        <v>7969</v>
      </c>
      <c r="O266" s="5" t="s">
        <v>8461</v>
      </c>
      <c r="P266" s="49">
        <f t="shared" ref="P266:P329" si="17">(((F266/F$9)^F$7 * F$2 + (I266/I$9)^I$7 * I$2 + (J266/J$9)^J$7 * J$2) * (1+M$3*(MIN(H266,M$2)-1)+M$4*(H266-MIN(H266,M$2))) + (G266/G$9)^G$7 * G$2)  * P$9</f>
        <v>1.7157247965878211</v>
      </c>
      <c r="Q266" s="1">
        <f t="shared" ref="Q266:Q329" si="18">(((F266/F$9)^F$7 * F$3 + (I266/I$9)^I$7 * I$3 + (J266/J$9)^J$7 * J$3) * (1+M$3*(MIN(H266,M$2)-1)+M$4*(H266-MIN(H266,M$2))) + (G266/G$9)^G$7 * G$3)  * P$9</f>
        <v>1.9855392596669728</v>
      </c>
      <c r="R266" s="1">
        <f t="shared" si="16"/>
        <v>2.0414066374717508</v>
      </c>
      <c r="S266" s="10">
        <f t="shared" ref="S266:S329" si="19">(((F266/F$9)^F$7 * F$5 + (I266/I$9)^I$7 * I$5 + (J266/J$9)^J$7 * J$5) * (1+M$3*(MIN(H266,M$2)-1)+M$4*(H266-MIN(H266,M$2))) + (G266/G$9)^G$7 * G$5)  * P$9</f>
        <v>1.8506320281273969</v>
      </c>
      <c r="T266" s="45" cm="1">
        <f t="array" ref="T266">SUMPRODUCT(P266:S266 * P$3:S$3) / SUM(P$3:S$3)</f>
        <v>1.9007369267249246</v>
      </c>
    </row>
    <row r="267" spans="1:20" ht="16.5" customHeight="1" x14ac:dyDescent="0.25">
      <c r="A267" s="5" t="s">
        <v>7055</v>
      </c>
      <c r="B267" s="16" t="s">
        <v>7442</v>
      </c>
      <c r="C267" s="4" t="s">
        <v>8797</v>
      </c>
      <c r="D267" s="4" t="s">
        <v>8955</v>
      </c>
      <c r="E267" s="12" t="s">
        <v>406</v>
      </c>
      <c r="F267" s="75" t="s">
        <v>409</v>
      </c>
      <c r="G267" s="3">
        <v>16</v>
      </c>
      <c r="H267" s="3" t="s">
        <v>404</v>
      </c>
      <c r="I267" s="68" t="s">
        <v>260</v>
      </c>
      <c r="J267" s="72">
        <v>1.35</v>
      </c>
      <c r="K267" s="14" t="s">
        <v>7796</v>
      </c>
      <c r="L267" s="9">
        <v>64.900000000000006</v>
      </c>
      <c r="M267" s="3">
        <v>109.76</v>
      </c>
      <c r="N267" s="66" t="s">
        <v>8003</v>
      </c>
      <c r="O267" s="5" t="s">
        <v>8492</v>
      </c>
      <c r="P267" s="49">
        <f t="shared" si="17"/>
        <v>1.7157247965878211</v>
      </c>
      <c r="Q267" s="1">
        <f t="shared" si="18"/>
        <v>1.9855392596669728</v>
      </c>
      <c r="R267" s="1">
        <f t="shared" si="16"/>
        <v>2.0414066374717508</v>
      </c>
      <c r="S267" s="10">
        <f t="shared" si="19"/>
        <v>1.8506320281273969</v>
      </c>
      <c r="T267" s="45" cm="1">
        <f t="array" ref="T267">SUMPRODUCT(P267:S267 * P$3:S$3) / SUM(P$3:S$3)</f>
        <v>1.9007369267249246</v>
      </c>
    </row>
    <row r="268" spans="1:20" ht="16.5" customHeight="1" x14ac:dyDescent="0.25">
      <c r="A268" s="5" t="s">
        <v>7055</v>
      </c>
      <c r="B268" s="16" t="s">
        <v>7443</v>
      </c>
      <c r="C268" s="4" t="s">
        <v>8797</v>
      </c>
      <c r="D268" s="4" t="s">
        <v>8955</v>
      </c>
      <c r="E268" s="12" t="s">
        <v>406</v>
      </c>
      <c r="F268" s="75" t="s">
        <v>409</v>
      </c>
      <c r="G268" s="3">
        <v>16</v>
      </c>
      <c r="H268" s="3" t="s">
        <v>404</v>
      </c>
      <c r="I268" s="68" t="s">
        <v>260</v>
      </c>
      <c r="J268" s="72">
        <v>1.35</v>
      </c>
      <c r="K268" s="14" t="s">
        <v>7796</v>
      </c>
      <c r="L268" s="9">
        <v>66.989999999999995</v>
      </c>
      <c r="M268" s="3">
        <v>139.97999999999999</v>
      </c>
      <c r="N268" s="66" t="s">
        <v>8004</v>
      </c>
      <c r="O268" s="5" t="s">
        <v>8492</v>
      </c>
      <c r="P268" s="49">
        <f t="shared" si="17"/>
        <v>1.7157247965878211</v>
      </c>
      <c r="Q268" s="1">
        <f t="shared" si="18"/>
        <v>1.9855392596669728</v>
      </c>
      <c r="R268" s="1">
        <f t="shared" si="16"/>
        <v>2.0414066374717508</v>
      </c>
      <c r="S268" s="10">
        <f t="shared" si="19"/>
        <v>1.8506320281273969</v>
      </c>
      <c r="T268" s="45" cm="1">
        <f t="array" ref="T268">SUMPRODUCT(P268:S268 * P$3:S$3) / SUM(P$3:S$3)</f>
        <v>1.9007369267249246</v>
      </c>
    </row>
    <row r="269" spans="1:20" ht="16.5" customHeight="1" x14ac:dyDescent="0.25">
      <c r="A269" s="5" t="s">
        <v>7094</v>
      </c>
      <c r="B269" s="16" t="s">
        <v>7464</v>
      </c>
      <c r="C269" s="4" t="s">
        <v>8797</v>
      </c>
      <c r="D269" s="4" t="s">
        <v>8955</v>
      </c>
      <c r="E269" s="12" t="s">
        <v>406</v>
      </c>
      <c r="F269" s="75" t="s">
        <v>409</v>
      </c>
      <c r="G269" s="3">
        <v>16</v>
      </c>
      <c r="H269" s="3" t="s">
        <v>404</v>
      </c>
      <c r="I269" s="68" t="s">
        <v>260</v>
      </c>
      <c r="J269" s="72">
        <v>1.35</v>
      </c>
      <c r="K269" s="14" t="s">
        <v>7797</v>
      </c>
      <c r="L269" s="9">
        <v>66.900000000000006</v>
      </c>
      <c r="M269" s="3">
        <v>145</v>
      </c>
      <c r="N269" s="66" t="s">
        <v>8025</v>
      </c>
      <c r="O269" s="5" t="s">
        <v>8507</v>
      </c>
      <c r="P269" s="49">
        <f t="shared" si="17"/>
        <v>1.7157247965878211</v>
      </c>
      <c r="Q269" s="1">
        <f t="shared" si="18"/>
        <v>1.9855392596669728</v>
      </c>
      <c r="R269" s="1">
        <f t="shared" si="16"/>
        <v>2.0414066374717508</v>
      </c>
      <c r="S269" s="10">
        <f t="shared" si="19"/>
        <v>1.8506320281273969</v>
      </c>
      <c r="T269" s="45" cm="1">
        <f t="array" ref="T269">SUMPRODUCT(P269:S269 * P$3:S$3) / SUM(P$3:S$3)</f>
        <v>1.9007369267249246</v>
      </c>
    </row>
    <row r="270" spans="1:20" ht="16.5" customHeight="1" x14ac:dyDescent="0.25">
      <c r="A270" s="5" t="s">
        <v>7022</v>
      </c>
      <c r="B270" s="16" t="s">
        <v>7328</v>
      </c>
      <c r="C270" s="4" t="s">
        <v>8798</v>
      </c>
      <c r="D270" s="4" t="s">
        <v>8955</v>
      </c>
      <c r="E270" s="12" t="s">
        <v>406</v>
      </c>
      <c r="F270" s="75" t="s">
        <v>409</v>
      </c>
      <c r="G270" s="3">
        <v>16</v>
      </c>
      <c r="H270" s="3" t="s">
        <v>404</v>
      </c>
      <c r="I270" s="68" t="s">
        <v>260</v>
      </c>
      <c r="J270" s="72">
        <v>1.35</v>
      </c>
      <c r="K270" s="14" t="s">
        <v>5476</v>
      </c>
      <c r="L270" s="9">
        <v>88.3</v>
      </c>
      <c r="M270" s="3">
        <v>133.11000000000001</v>
      </c>
      <c r="N270" s="66" t="s">
        <v>7889</v>
      </c>
      <c r="O270" s="5" t="s">
        <v>8395</v>
      </c>
      <c r="P270" s="49">
        <f t="shared" si="17"/>
        <v>1.7157247965878211</v>
      </c>
      <c r="Q270" s="1">
        <f t="shared" si="18"/>
        <v>1.9855392596669728</v>
      </c>
      <c r="R270" s="1">
        <f t="shared" si="16"/>
        <v>2.0414066374717508</v>
      </c>
      <c r="S270" s="10">
        <f t="shared" si="19"/>
        <v>1.8506320281273969</v>
      </c>
      <c r="T270" s="45" cm="1">
        <f t="array" ref="T270">SUMPRODUCT(P270:S270 * P$3:S$3) / SUM(P$3:S$3)</f>
        <v>1.9007369267249246</v>
      </c>
    </row>
    <row r="271" spans="1:20" ht="16.5" customHeight="1" x14ac:dyDescent="0.25">
      <c r="A271" s="5" t="s">
        <v>7022</v>
      </c>
      <c r="B271" s="16" t="s">
        <v>7345</v>
      </c>
      <c r="C271" s="4" t="s">
        <v>8798</v>
      </c>
      <c r="D271" s="4" t="s">
        <v>8955</v>
      </c>
      <c r="E271" s="12" t="s">
        <v>406</v>
      </c>
      <c r="F271" s="75" t="s">
        <v>409</v>
      </c>
      <c r="G271" s="3">
        <v>16</v>
      </c>
      <c r="H271" s="3" t="s">
        <v>404</v>
      </c>
      <c r="I271" s="68" t="s">
        <v>260</v>
      </c>
      <c r="J271" s="72">
        <v>1.35</v>
      </c>
      <c r="K271" s="14" t="s">
        <v>5476</v>
      </c>
      <c r="L271" s="9">
        <v>77.180000000000007</v>
      </c>
      <c r="M271" s="3">
        <v>142.80000000000001</v>
      </c>
      <c r="N271" s="66" t="s">
        <v>7906</v>
      </c>
      <c r="O271" s="5" t="s">
        <v>8408</v>
      </c>
      <c r="P271" s="49">
        <f t="shared" si="17"/>
        <v>1.7157247965878211</v>
      </c>
      <c r="Q271" s="1">
        <f t="shared" si="18"/>
        <v>1.9855392596669728</v>
      </c>
      <c r="R271" s="1">
        <f t="shared" si="16"/>
        <v>2.0414066374717508</v>
      </c>
      <c r="S271" s="10">
        <f t="shared" si="19"/>
        <v>1.8506320281273969</v>
      </c>
      <c r="T271" s="45" cm="1">
        <f t="array" ref="T271">SUMPRODUCT(P271:S271 * P$3:S$3) / SUM(P$3:S$3)</f>
        <v>1.9007369267249246</v>
      </c>
    </row>
    <row r="272" spans="1:20" ht="16.5" customHeight="1" x14ac:dyDescent="0.25">
      <c r="A272" s="5" t="s">
        <v>7022</v>
      </c>
      <c r="B272" s="16" t="s">
        <v>7346</v>
      </c>
      <c r="C272" s="4" t="s">
        <v>8798</v>
      </c>
      <c r="D272" s="4" t="s">
        <v>8955</v>
      </c>
      <c r="E272" s="12" t="s">
        <v>406</v>
      </c>
      <c r="F272" s="75" t="s">
        <v>409</v>
      </c>
      <c r="G272" s="3">
        <v>16</v>
      </c>
      <c r="H272" s="3" t="s">
        <v>404</v>
      </c>
      <c r="I272" s="68" t="s">
        <v>260</v>
      </c>
      <c r="J272" s="72">
        <v>1.35</v>
      </c>
      <c r="K272" s="14" t="s">
        <v>5476</v>
      </c>
      <c r="L272" s="9">
        <v>76.900000000000006</v>
      </c>
      <c r="M272" s="3">
        <v>139.9</v>
      </c>
      <c r="N272" s="66" t="s">
        <v>7907</v>
      </c>
      <c r="O272" s="5" t="s">
        <v>8408</v>
      </c>
      <c r="P272" s="49">
        <f t="shared" si="17"/>
        <v>1.7157247965878211</v>
      </c>
      <c r="Q272" s="1">
        <f t="shared" si="18"/>
        <v>1.9855392596669728</v>
      </c>
      <c r="R272" s="1">
        <f t="shared" ref="R272:R335" si="20">(((F272/F$9)^F$7 * F$4 + (I272/I$9)^I$7 * I$4 + (J272/J$9)^J$7 * J$4) * (1+M$3*(MIN(H272,M$2)-1)+M$4*(H272-MIN(H272,M$2))) + (G272/G$9)^G$7 * G$4)  * P$9</f>
        <v>2.0414066374717508</v>
      </c>
      <c r="S272" s="10">
        <f t="shared" si="19"/>
        <v>1.8506320281273969</v>
      </c>
      <c r="T272" s="45" cm="1">
        <f t="array" ref="T272">SUMPRODUCT(P272:S272 * P$3:S$3) / SUM(P$3:S$3)</f>
        <v>1.9007369267249246</v>
      </c>
    </row>
    <row r="273" spans="1:20" ht="16.5" customHeight="1" x14ac:dyDescent="0.25">
      <c r="A273" s="5" t="s">
        <v>7022</v>
      </c>
      <c r="B273" s="16" t="s">
        <v>7379</v>
      </c>
      <c r="C273" s="4" t="s">
        <v>8798</v>
      </c>
      <c r="D273" s="4" t="s">
        <v>8955</v>
      </c>
      <c r="E273" s="12" t="s">
        <v>406</v>
      </c>
      <c r="F273" s="75" t="s">
        <v>409</v>
      </c>
      <c r="G273" s="3">
        <v>16</v>
      </c>
      <c r="H273" s="3" t="s">
        <v>404</v>
      </c>
      <c r="I273" s="68" t="s">
        <v>260</v>
      </c>
      <c r="J273" s="72">
        <v>1.35</v>
      </c>
      <c r="L273" s="9">
        <v>54.9</v>
      </c>
      <c r="M273" s="3">
        <v>109.9</v>
      </c>
      <c r="N273" s="66" t="s">
        <v>7940</v>
      </c>
      <c r="O273" s="5" t="s">
        <v>8434</v>
      </c>
      <c r="P273" s="49">
        <f t="shared" si="17"/>
        <v>1.7157247965878211</v>
      </c>
      <c r="Q273" s="1">
        <f t="shared" si="18"/>
        <v>1.9855392596669728</v>
      </c>
      <c r="R273" s="1">
        <f t="shared" si="20"/>
        <v>2.0414066374717508</v>
      </c>
      <c r="S273" s="10">
        <f t="shared" si="19"/>
        <v>1.8506320281273969</v>
      </c>
      <c r="T273" s="45" cm="1">
        <f t="array" ref="T273">SUMPRODUCT(P273:S273 * P$3:S$3) / SUM(P$3:S$3)</f>
        <v>1.9007369267249246</v>
      </c>
    </row>
    <row r="274" spans="1:20" ht="16.5" customHeight="1" x14ac:dyDescent="0.25">
      <c r="A274" s="5" t="s">
        <v>7022</v>
      </c>
      <c r="B274" s="16" t="s">
        <v>7381</v>
      </c>
      <c r="C274" s="4" t="s">
        <v>8798</v>
      </c>
      <c r="D274" s="4" t="s">
        <v>8955</v>
      </c>
      <c r="E274" s="12" t="s">
        <v>406</v>
      </c>
      <c r="F274" s="75" t="s">
        <v>409</v>
      </c>
      <c r="G274" s="3">
        <v>16</v>
      </c>
      <c r="H274" s="3" t="s">
        <v>404</v>
      </c>
      <c r="I274" s="68" t="s">
        <v>260</v>
      </c>
      <c r="J274" s="72">
        <v>1.35</v>
      </c>
      <c r="L274" s="9">
        <v>59.9</v>
      </c>
      <c r="M274" s="3">
        <v>114.9</v>
      </c>
      <c r="N274" s="66" t="s">
        <v>7942</v>
      </c>
      <c r="O274" s="5" t="s">
        <v>8435</v>
      </c>
      <c r="P274" s="49">
        <f t="shared" si="17"/>
        <v>1.7157247965878211</v>
      </c>
      <c r="Q274" s="1">
        <f t="shared" si="18"/>
        <v>1.9855392596669728</v>
      </c>
      <c r="R274" s="1">
        <f t="shared" si="20"/>
        <v>2.0414066374717508</v>
      </c>
      <c r="S274" s="10">
        <f t="shared" si="19"/>
        <v>1.8506320281273969</v>
      </c>
      <c r="T274" s="45" cm="1">
        <f t="array" ref="T274">SUMPRODUCT(P274:S274 * P$3:S$3) / SUM(P$3:S$3)</f>
        <v>1.9007369267249246</v>
      </c>
    </row>
    <row r="275" spans="1:20" ht="16.5" customHeight="1" x14ac:dyDescent="0.25">
      <c r="A275" s="5" t="s">
        <v>6998</v>
      </c>
      <c r="B275" s="16" t="s">
        <v>7272</v>
      </c>
      <c r="C275" s="4" t="s">
        <v>8798</v>
      </c>
      <c r="D275" s="4" t="s">
        <v>8955</v>
      </c>
      <c r="E275" s="12" t="s">
        <v>406</v>
      </c>
      <c r="F275" s="75" t="s">
        <v>409</v>
      </c>
      <c r="G275" s="3">
        <v>16</v>
      </c>
      <c r="H275" s="3" t="s">
        <v>404</v>
      </c>
      <c r="I275" s="68" t="s">
        <v>260</v>
      </c>
      <c r="J275" s="72">
        <v>1.35</v>
      </c>
      <c r="K275" s="14" t="s">
        <v>5476</v>
      </c>
      <c r="L275" s="9">
        <v>83.9</v>
      </c>
      <c r="M275" s="3">
        <v>122.7</v>
      </c>
      <c r="N275" s="66" t="s">
        <v>7833</v>
      </c>
      <c r="O275" s="5" t="s">
        <v>8351</v>
      </c>
      <c r="P275" s="49">
        <f t="shared" si="17"/>
        <v>1.7157247965878211</v>
      </c>
      <c r="Q275" s="1">
        <f t="shared" si="18"/>
        <v>1.9855392596669728</v>
      </c>
      <c r="R275" s="1">
        <f t="shared" si="20"/>
        <v>2.0414066374717508</v>
      </c>
      <c r="S275" s="10">
        <f t="shared" si="19"/>
        <v>1.8506320281273969</v>
      </c>
      <c r="T275" s="45" cm="1">
        <f t="array" ref="T275">SUMPRODUCT(P275:S275 * P$3:S$3) / SUM(P$3:S$3)</f>
        <v>1.9007369267249246</v>
      </c>
    </row>
    <row r="276" spans="1:20" ht="16.5" customHeight="1" x14ac:dyDescent="0.25">
      <c r="A276" s="5" t="s">
        <v>6998</v>
      </c>
      <c r="B276" s="16" t="s">
        <v>7307</v>
      </c>
      <c r="C276" s="4" t="s">
        <v>8798</v>
      </c>
      <c r="D276" s="4" t="s">
        <v>8955</v>
      </c>
      <c r="E276" s="12" t="s">
        <v>406</v>
      </c>
      <c r="F276" s="75" t="s">
        <v>409</v>
      </c>
      <c r="G276" s="3">
        <v>16</v>
      </c>
      <c r="H276" s="3" t="s">
        <v>404</v>
      </c>
      <c r="I276" s="68" t="s">
        <v>260</v>
      </c>
      <c r="J276" s="72">
        <v>1.35</v>
      </c>
      <c r="L276" s="9">
        <v>69.22</v>
      </c>
      <c r="M276" s="3">
        <v>124.9</v>
      </c>
      <c r="N276" s="66" t="s">
        <v>7868</v>
      </c>
      <c r="O276" s="5" t="s">
        <v>8377</v>
      </c>
      <c r="P276" s="49">
        <f t="shared" si="17"/>
        <v>1.7157247965878211</v>
      </c>
      <c r="Q276" s="1">
        <f t="shared" si="18"/>
        <v>1.9855392596669728</v>
      </c>
      <c r="R276" s="1">
        <f t="shared" si="20"/>
        <v>2.0414066374717508</v>
      </c>
      <c r="S276" s="10">
        <f t="shared" si="19"/>
        <v>1.8506320281273969</v>
      </c>
      <c r="T276" s="45" cm="1">
        <f t="array" ref="T276">SUMPRODUCT(P276:S276 * P$3:S$3) / SUM(P$3:S$3)</f>
        <v>1.9007369267249246</v>
      </c>
    </row>
    <row r="277" spans="1:20" ht="16.5" customHeight="1" x14ac:dyDescent="0.25">
      <c r="A277" s="5" t="s">
        <v>7240</v>
      </c>
      <c r="B277" s="16" t="s">
        <v>7756</v>
      </c>
      <c r="C277" s="4" t="s">
        <v>8796</v>
      </c>
      <c r="D277" s="4" t="s">
        <v>8956</v>
      </c>
      <c r="E277" s="12" t="s">
        <v>406</v>
      </c>
      <c r="F277" s="75" t="s">
        <v>409</v>
      </c>
      <c r="G277" s="3">
        <v>16</v>
      </c>
      <c r="H277" s="3" t="s">
        <v>419</v>
      </c>
      <c r="I277" s="68" t="s">
        <v>260</v>
      </c>
      <c r="J277" s="72">
        <v>1.35</v>
      </c>
      <c r="K277" s="14" t="s">
        <v>7804</v>
      </c>
      <c r="L277" s="9">
        <v>217.55</v>
      </c>
      <c r="M277" s="3">
        <v>498.07</v>
      </c>
      <c r="N277" s="66" t="s">
        <v>8317</v>
      </c>
      <c r="O277" s="5" t="s">
        <v>8758</v>
      </c>
      <c r="P277" s="49">
        <f t="shared" si="17"/>
        <v>1.7661258902309531</v>
      </c>
      <c r="Q277" s="1">
        <f t="shared" si="18"/>
        <v>2.0218682423339223</v>
      </c>
      <c r="R277" s="1">
        <f t="shared" si="20"/>
        <v>2.0735856157783816</v>
      </c>
      <c r="S277" s="10">
        <f t="shared" si="19"/>
        <v>1.8939970662824379</v>
      </c>
      <c r="T277" s="45" cm="1">
        <f t="array" ref="T277">SUMPRODUCT(P277:S277 * P$3:S$3) / SUM(P$3:S$3)</f>
        <v>1.9412985625205037</v>
      </c>
    </row>
    <row r="278" spans="1:20" ht="16.5" customHeight="1" x14ac:dyDescent="0.25">
      <c r="A278" s="5" t="s">
        <v>7171</v>
      </c>
      <c r="B278" s="16" t="s">
        <v>7559</v>
      </c>
      <c r="C278" s="4" t="s">
        <v>8796</v>
      </c>
      <c r="D278" s="4" t="s">
        <v>8956</v>
      </c>
      <c r="E278" s="12" t="s">
        <v>406</v>
      </c>
      <c r="F278" s="75" t="s">
        <v>409</v>
      </c>
      <c r="G278" s="3">
        <v>16</v>
      </c>
      <c r="H278" s="3" t="s">
        <v>419</v>
      </c>
      <c r="I278" s="68" t="s">
        <v>260</v>
      </c>
      <c r="J278" s="72">
        <v>1.35</v>
      </c>
      <c r="K278" s="14" t="s">
        <v>6175</v>
      </c>
      <c r="L278" s="9">
        <v>190.94</v>
      </c>
      <c r="M278" s="3">
        <v>190.94</v>
      </c>
      <c r="N278" s="66" t="s">
        <v>8120</v>
      </c>
      <c r="O278" s="5" t="s">
        <v>8597</v>
      </c>
      <c r="P278" s="49">
        <f t="shared" si="17"/>
        <v>1.7661258902309531</v>
      </c>
      <c r="Q278" s="1">
        <f t="shared" si="18"/>
        <v>2.0218682423339223</v>
      </c>
      <c r="R278" s="1">
        <f t="shared" si="20"/>
        <v>2.0735856157783816</v>
      </c>
      <c r="S278" s="10">
        <f t="shared" si="19"/>
        <v>1.8939970662824379</v>
      </c>
      <c r="T278" s="45" cm="1">
        <f t="array" ref="T278">SUMPRODUCT(P278:S278 * P$3:S$3) / SUM(P$3:S$3)</f>
        <v>1.9412985625205037</v>
      </c>
    </row>
    <row r="279" spans="1:20" ht="16.5" customHeight="1" x14ac:dyDescent="0.25">
      <c r="A279" s="5" t="s">
        <v>7171</v>
      </c>
      <c r="B279" s="16" t="s">
        <v>7571</v>
      </c>
      <c r="C279" s="4" t="s">
        <v>8796</v>
      </c>
      <c r="D279" s="4" t="s">
        <v>8956</v>
      </c>
      <c r="E279" s="12" t="s">
        <v>406</v>
      </c>
      <c r="F279" s="75" t="s">
        <v>409</v>
      </c>
      <c r="G279" s="3">
        <v>16</v>
      </c>
      <c r="H279" s="3" t="s">
        <v>419</v>
      </c>
      <c r="I279" s="68" t="s">
        <v>260</v>
      </c>
      <c r="J279" s="72">
        <v>1.35</v>
      </c>
      <c r="K279" s="14" t="s">
        <v>6175</v>
      </c>
      <c r="L279" s="9">
        <v>190.94</v>
      </c>
      <c r="M279" s="3">
        <v>458.23</v>
      </c>
      <c r="N279" s="66" t="s">
        <v>8132</v>
      </c>
      <c r="O279" s="5" t="s">
        <v>8605</v>
      </c>
      <c r="P279" s="49">
        <f t="shared" si="17"/>
        <v>1.7661258902309531</v>
      </c>
      <c r="Q279" s="1">
        <f t="shared" si="18"/>
        <v>2.0218682423339223</v>
      </c>
      <c r="R279" s="1">
        <f t="shared" si="20"/>
        <v>2.0735856157783816</v>
      </c>
      <c r="S279" s="10">
        <f t="shared" si="19"/>
        <v>1.8939970662824379</v>
      </c>
      <c r="T279" s="45" cm="1">
        <f t="array" ref="T279">SUMPRODUCT(P279:S279 * P$3:S$3) / SUM(P$3:S$3)</f>
        <v>1.9412985625205037</v>
      </c>
    </row>
    <row r="280" spans="1:20" ht="16.5" customHeight="1" x14ac:dyDescent="0.25">
      <c r="A280" s="5" t="s">
        <v>7171</v>
      </c>
      <c r="B280" s="16" t="s">
        <v>7604</v>
      </c>
      <c r="C280" s="4" t="s">
        <v>8796</v>
      </c>
      <c r="D280" s="4" t="s">
        <v>8956</v>
      </c>
      <c r="E280" s="12" t="s">
        <v>406</v>
      </c>
      <c r="F280" s="75" t="s">
        <v>409</v>
      </c>
      <c r="G280" s="3">
        <v>16</v>
      </c>
      <c r="H280" s="3" t="s">
        <v>419</v>
      </c>
      <c r="I280" s="68" t="s">
        <v>260</v>
      </c>
      <c r="J280" s="72">
        <v>1.35</v>
      </c>
      <c r="K280" s="14" t="s">
        <v>7800</v>
      </c>
      <c r="L280" s="9">
        <v>156.58000000000001</v>
      </c>
      <c r="M280" s="3">
        <v>207.51</v>
      </c>
      <c r="N280" s="66" t="s">
        <v>8165</v>
      </c>
      <c r="O280" s="5" t="s">
        <v>8635</v>
      </c>
      <c r="P280" s="49">
        <f t="shared" si="17"/>
        <v>1.7661258902309531</v>
      </c>
      <c r="Q280" s="1">
        <f t="shared" si="18"/>
        <v>2.0218682423339223</v>
      </c>
      <c r="R280" s="1">
        <f t="shared" si="20"/>
        <v>2.0735856157783816</v>
      </c>
      <c r="S280" s="10">
        <f t="shared" si="19"/>
        <v>1.8939970662824379</v>
      </c>
      <c r="T280" s="45" cm="1">
        <f t="array" ref="T280">SUMPRODUCT(P280:S280 * P$3:S$3) / SUM(P$3:S$3)</f>
        <v>1.9412985625205037</v>
      </c>
    </row>
    <row r="281" spans="1:20" ht="16.5" customHeight="1" x14ac:dyDescent="0.25">
      <c r="A281" s="5" t="s">
        <v>7171</v>
      </c>
      <c r="B281" s="16" t="s">
        <v>7615</v>
      </c>
      <c r="C281" s="4" t="s">
        <v>8796</v>
      </c>
      <c r="D281" s="4" t="s">
        <v>8956</v>
      </c>
      <c r="E281" s="12" t="s">
        <v>406</v>
      </c>
      <c r="F281" s="75" t="s">
        <v>409</v>
      </c>
      <c r="G281" s="3">
        <v>16</v>
      </c>
      <c r="H281" s="3" t="s">
        <v>419</v>
      </c>
      <c r="I281" s="68" t="s">
        <v>260</v>
      </c>
      <c r="J281" s="72">
        <v>1.35</v>
      </c>
      <c r="K281" s="14" t="s">
        <v>7800</v>
      </c>
      <c r="L281" s="9">
        <v>156.9</v>
      </c>
      <c r="M281" s="3">
        <v>193.03</v>
      </c>
      <c r="N281" s="66" t="s">
        <v>8176</v>
      </c>
      <c r="O281" s="5" t="s">
        <v>8643</v>
      </c>
      <c r="P281" s="49">
        <f t="shared" si="17"/>
        <v>1.7661258902309531</v>
      </c>
      <c r="Q281" s="1">
        <f t="shared" si="18"/>
        <v>2.0218682423339223</v>
      </c>
      <c r="R281" s="1">
        <f t="shared" si="20"/>
        <v>2.0735856157783816</v>
      </c>
      <c r="S281" s="10">
        <f t="shared" si="19"/>
        <v>1.8939970662824379</v>
      </c>
      <c r="T281" s="45" cm="1">
        <f t="array" ref="T281">SUMPRODUCT(P281:S281 * P$3:S$3) / SUM(P$3:S$3)</f>
        <v>1.9412985625205037</v>
      </c>
    </row>
    <row r="282" spans="1:20" ht="16.5" customHeight="1" x14ac:dyDescent="0.25">
      <c r="A282" s="5" t="s">
        <v>7171</v>
      </c>
      <c r="B282" s="16" t="s">
        <v>7634</v>
      </c>
      <c r="C282" s="4" t="s">
        <v>8796</v>
      </c>
      <c r="D282" s="4" t="s">
        <v>8956</v>
      </c>
      <c r="E282" s="12" t="s">
        <v>406</v>
      </c>
      <c r="F282" s="75" t="s">
        <v>409</v>
      </c>
      <c r="G282" s="3">
        <v>16</v>
      </c>
      <c r="H282" s="3" t="s">
        <v>419</v>
      </c>
      <c r="I282" s="68" t="s">
        <v>260</v>
      </c>
      <c r="J282" s="72">
        <v>1.35</v>
      </c>
      <c r="K282" s="14" t="s">
        <v>6175</v>
      </c>
      <c r="L282" s="9">
        <v>162.27000000000001</v>
      </c>
      <c r="M282" s="3">
        <v>315</v>
      </c>
      <c r="N282" s="66" t="s">
        <v>8195</v>
      </c>
      <c r="O282" s="5" t="s">
        <v>8654</v>
      </c>
      <c r="P282" s="49">
        <f t="shared" si="17"/>
        <v>1.7661258902309531</v>
      </c>
      <c r="Q282" s="1">
        <f t="shared" si="18"/>
        <v>2.0218682423339223</v>
      </c>
      <c r="R282" s="1">
        <f t="shared" si="20"/>
        <v>2.0735856157783816</v>
      </c>
      <c r="S282" s="10">
        <f t="shared" si="19"/>
        <v>1.8939970662824379</v>
      </c>
      <c r="T282" s="45" cm="1">
        <f t="array" ref="T282">SUMPRODUCT(P282:S282 * P$3:S$3) / SUM(P$3:S$3)</f>
        <v>1.9412985625205037</v>
      </c>
    </row>
    <row r="283" spans="1:20" ht="16.5" customHeight="1" x14ac:dyDescent="0.25">
      <c r="A283" s="5" t="s">
        <v>7171</v>
      </c>
      <c r="B283" s="16" t="s">
        <v>7676</v>
      </c>
      <c r="C283" s="4" t="s">
        <v>8796</v>
      </c>
      <c r="D283" s="4" t="s">
        <v>8956</v>
      </c>
      <c r="E283" s="12" t="s">
        <v>406</v>
      </c>
      <c r="F283" s="75" t="s">
        <v>409</v>
      </c>
      <c r="G283" s="3">
        <v>16</v>
      </c>
      <c r="H283" s="3" t="s">
        <v>419</v>
      </c>
      <c r="I283" s="68" t="s">
        <v>260</v>
      </c>
      <c r="J283" s="72">
        <v>1.35</v>
      </c>
      <c r="L283" s="9">
        <v>127.89</v>
      </c>
      <c r="M283" s="3">
        <v>153.85</v>
      </c>
      <c r="N283" s="66" t="s">
        <v>8237</v>
      </c>
      <c r="O283" s="5" t="s">
        <v>8690</v>
      </c>
      <c r="P283" s="49">
        <f t="shared" si="17"/>
        <v>1.7661258902309531</v>
      </c>
      <c r="Q283" s="1">
        <f t="shared" si="18"/>
        <v>2.0218682423339223</v>
      </c>
      <c r="R283" s="1">
        <f t="shared" si="20"/>
        <v>2.0735856157783816</v>
      </c>
      <c r="S283" s="10">
        <f t="shared" si="19"/>
        <v>1.8939970662824379</v>
      </c>
      <c r="T283" s="45" cm="1">
        <f t="array" ref="T283">SUMPRODUCT(P283:S283 * P$3:S$3) / SUM(P$3:S$3)</f>
        <v>1.9412985625205037</v>
      </c>
    </row>
    <row r="284" spans="1:20" ht="16.5" customHeight="1" x14ac:dyDescent="0.25">
      <c r="A284" s="5" t="s">
        <v>7171</v>
      </c>
      <c r="B284" s="16" t="s">
        <v>7737</v>
      </c>
      <c r="C284" s="4" t="s">
        <v>8796</v>
      </c>
      <c r="D284" s="4" t="s">
        <v>8956</v>
      </c>
      <c r="E284" s="12" t="s">
        <v>406</v>
      </c>
      <c r="F284" s="75" t="s">
        <v>409</v>
      </c>
      <c r="G284" s="3">
        <v>16</v>
      </c>
      <c r="H284" s="3" t="s">
        <v>419</v>
      </c>
      <c r="I284" s="68" t="s">
        <v>260</v>
      </c>
      <c r="J284" s="72">
        <v>1.35</v>
      </c>
      <c r="K284" s="14" t="s">
        <v>7803</v>
      </c>
      <c r="L284" s="9">
        <v>349.99</v>
      </c>
      <c r="M284" s="3">
        <v>349.99</v>
      </c>
      <c r="N284" s="66" t="s">
        <v>8298</v>
      </c>
      <c r="O284" s="5" t="s">
        <v>8739</v>
      </c>
      <c r="P284" s="49">
        <f t="shared" si="17"/>
        <v>1.7661258902309531</v>
      </c>
      <c r="Q284" s="1">
        <f t="shared" si="18"/>
        <v>2.0218682423339223</v>
      </c>
      <c r="R284" s="1">
        <f t="shared" si="20"/>
        <v>2.0735856157783816</v>
      </c>
      <c r="S284" s="10">
        <f t="shared" si="19"/>
        <v>1.8939970662824379</v>
      </c>
      <c r="T284" s="45" cm="1">
        <f t="array" ref="T284">SUMPRODUCT(P284:S284 * P$3:S$3) / SUM(P$3:S$3)</f>
        <v>1.9412985625205037</v>
      </c>
    </row>
    <row r="285" spans="1:20" ht="16.5" customHeight="1" x14ac:dyDescent="0.25">
      <c r="A285" s="5" t="s">
        <v>7145</v>
      </c>
      <c r="B285" s="16" t="s">
        <v>7530</v>
      </c>
      <c r="C285" s="4" t="s">
        <v>8797</v>
      </c>
      <c r="D285" s="4" t="s">
        <v>8956</v>
      </c>
      <c r="E285" s="12" t="s">
        <v>406</v>
      </c>
      <c r="F285" s="75" t="s">
        <v>409</v>
      </c>
      <c r="G285" s="3">
        <v>16</v>
      </c>
      <c r="H285" s="3" t="s">
        <v>419</v>
      </c>
      <c r="I285" s="68" t="s">
        <v>260</v>
      </c>
      <c r="J285" s="72">
        <v>1.35</v>
      </c>
      <c r="L285" s="9">
        <v>95.9</v>
      </c>
      <c r="M285" s="3">
        <v>205</v>
      </c>
      <c r="N285" s="66" t="s">
        <v>8091</v>
      </c>
      <c r="O285" s="5" t="s">
        <v>8569</v>
      </c>
      <c r="P285" s="49">
        <f t="shared" si="17"/>
        <v>1.7661258902309531</v>
      </c>
      <c r="Q285" s="1">
        <f t="shared" si="18"/>
        <v>2.0218682423339223</v>
      </c>
      <c r="R285" s="1">
        <f t="shared" si="20"/>
        <v>2.0735856157783816</v>
      </c>
      <c r="S285" s="10">
        <f t="shared" si="19"/>
        <v>1.8939970662824379</v>
      </c>
      <c r="T285" s="45" cm="1">
        <f t="array" ref="T285">SUMPRODUCT(P285:S285 * P$3:S$3) / SUM(P$3:S$3)</f>
        <v>1.9412985625205037</v>
      </c>
    </row>
    <row r="286" spans="1:20" ht="16.5" customHeight="1" x14ac:dyDescent="0.25">
      <c r="A286" s="5" t="s">
        <v>7143</v>
      </c>
      <c r="B286" s="16" t="s">
        <v>7528</v>
      </c>
      <c r="C286" s="4" t="s">
        <v>8797</v>
      </c>
      <c r="D286" s="4" t="s">
        <v>8956</v>
      </c>
      <c r="E286" s="12" t="s">
        <v>406</v>
      </c>
      <c r="F286" s="75" t="s">
        <v>409</v>
      </c>
      <c r="G286" s="3">
        <v>16</v>
      </c>
      <c r="H286" s="3" t="s">
        <v>419</v>
      </c>
      <c r="I286" s="68" t="s">
        <v>260</v>
      </c>
      <c r="J286" s="72">
        <v>1.35</v>
      </c>
      <c r="L286" s="9">
        <v>105.9</v>
      </c>
      <c r="M286" s="3">
        <v>136.78</v>
      </c>
      <c r="N286" s="66" t="s">
        <v>8089</v>
      </c>
      <c r="O286" s="5" t="s">
        <v>8567</v>
      </c>
      <c r="P286" s="49">
        <f t="shared" si="17"/>
        <v>1.7661258902309531</v>
      </c>
      <c r="Q286" s="1">
        <f t="shared" si="18"/>
        <v>2.0218682423339223</v>
      </c>
      <c r="R286" s="1">
        <f t="shared" si="20"/>
        <v>2.0735856157783816</v>
      </c>
      <c r="S286" s="10">
        <f t="shared" si="19"/>
        <v>1.8939970662824379</v>
      </c>
      <c r="T286" s="45" cm="1">
        <f t="array" ref="T286">SUMPRODUCT(P286:S286 * P$3:S$3) / SUM(P$3:S$3)</f>
        <v>1.9412985625205037</v>
      </c>
    </row>
    <row r="287" spans="1:20" ht="16.5" customHeight="1" x14ac:dyDescent="0.25">
      <c r="A287" s="5" t="s">
        <v>7106</v>
      </c>
      <c r="B287" s="16" t="s">
        <v>7479</v>
      </c>
      <c r="C287" s="4" t="s">
        <v>8797</v>
      </c>
      <c r="D287" s="4" t="s">
        <v>8956</v>
      </c>
      <c r="E287" s="12" t="s">
        <v>406</v>
      </c>
      <c r="F287" s="75" t="s">
        <v>409</v>
      </c>
      <c r="G287" s="3">
        <v>16</v>
      </c>
      <c r="H287" s="3" t="s">
        <v>419</v>
      </c>
      <c r="I287" s="68" t="s">
        <v>260</v>
      </c>
      <c r="J287" s="72">
        <v>1.35</v>
      </c>
      <c r="K287" s="14" t="s">
        <v>450</v>
      </c>
      <c r="L287" s="9">
        <v>104.9</v>
      </c>
      <c r="M287" s="3">
        <v>537.9</v>
      </c>
      <c r="N287" s="66" t="s">
        <v>8040</v>
      </c>
      <c r="O287" s="5" t="s">
        <v>8521</v>
      </c>
      <c r="P287" s="49">
        <f t="shared" si="17"/>
        <v>1.7661258902309531</v>
      </c>
      <c r="Q287" s="1">
        <f t="shared" si="18"/>
        <v>2.0218682423339223</v>
      </c>
      <c r="R287" s="1">
        <f t="shared" si="20"/>
        <v>2.0735856157783816</v>
      </c>
      <c r="S287" s="10">
        <f t="shared" si="19"/>
        <v>1.8939970662824379</v>
      </c>
      <c r="T287" s="45" cm="1">
        <f t="array" ref="T287">SUMPRODUCT(P287:S287 * P$3:S$3) / SUM(P$3:S$3)</f>
        <v>1.9412985625205037</v>
      </c>
    </row>
    <row r="288" spans="1:20" ht="16.5" customHeight="1" x14ac:dyDescent="0.25">
      <c r="A288" s="5" t="s">
        <v>7088</v>
      </c>
      <c r="B288" s="16" t="s">
        <v>7456</v>
      </c>
      <c r="C288" s="4" t="s">
        <v>8797</v>
      </c>
      <c r="D288" s="4" t="s">
        <v>8956</v>
      </c>
      <c r="E288" s="12" t="s">
        <v>406</v>
      </c>
      <c r="F288" s="75" t="s">
        <v>409</v>
      </c>
      <c r="G288" s="3">
        <v>16</v>
      </c>
      <c r="H288" s="3" t="s">
        <v>419</v>
      </c>
      <c r="I288" s="68" t="s">
        <v>260</v>
      </c>
      <c r="J288" s="72">
        <v>1.35</v>
      </c>
      <c r="K288" s="14" t="s">
        <v>7797</v>
      </c>
      <c r="L288" s="9">
        <v>135.9</v>
      </c>
      <c r="M288" s="3">
        <v>193.59</v>
      </c>
      <c r="N288" s="66" t="s">
        <v>8017</v>
      </c>
      <c r="O288" s="5" t="s">
        <v>8502</v>
      </c>
      <c r="P288" s="49">
        <f t="shared" si="17"/>
        <v>1.7661258902309531</v>
      </c>
      <c r="Q288" s="1">
        <f t="shared" si="18"/>
        <v>2.0218682423339223</v>
      </c>
      <c r="R288" s="1">
        <f t="shared" si="20"/>
        <v>2.0735856157783816</v>
      </c>
      <c r="S288" s="10">
        <f t="shared" si="19"/>
        <v>1.8939970662824379</v>
      </c>
      <c r="T288" s="45" cm="1">
        <f t="array" ref="T288">SUMPRODUCT(P288:S288 * P$3:S$3) / SUM(P$3:S$3)</f>
        <v>1.9412985625205037</v>
      </c>
    </row>
    <row r="289" spans="1:20" ht="16.5" customHeight="1" x14ac:dyDescent="0.25">
      <c r="A289" s="5" t="s">
        <v>7032</v>
      </c>
      <c r="B289" s="16" t="s">
        <v>7338</v>
      </c>
      <c r="C289" s="4" t="s">
        <v>8798</v>
      </c>
      <c r="D289" s="4" t="s">
        <v>8956</v>
      </c>
      <c r="E289" s="12" t="s">
        <v>406</v>
      </c>
      <c r="F289" s="75" t="s">
        <v>409</v>
      </c>
      <c r="G289" s="3">
        <v>16</v>
      </c>
      <c r="H289" s="3" t="s">
        <v>419</v>
      </c>
      <c r="I289" s="68" t="s">
        <v>260</v>
      </c>
      <c r="J289" s="72">
        <v>1.35</v>
      </c>
      <c r="K289" s="14" t="s">
        <v>5476</v>
      </c>
      <c r="L289" s="9">
        <v>158.9</v>
      </c>
      <c r="M289" s="3">
        <v>217.88</v>
      </c>
      <c r="N289" s="66" t="s">
        <v>7899</v>
      </c>
      <c r="O289" s="5" t="s">
        <v>8404</v>
      </c>
      <c r="P289" s="49">
        <f t="shared" si="17"/>
        <v>1.7661258902309531</v>
      </c>
      <c r="Q289" s="1">
        <f t="shared" si="18"/>
        <v>2.0218682423339223</v>
      </c>
      <c r="R289" s="1">
        <f t="shared" si="20"/>
        <v>2.0735856157783816</v>
      </c>
      <c r="S289" s="10">
        <f t="shared" si="19"/>
        <v>1.8939970662824379</v>
      </c>
      <c r="T289" s="45" cm="1">
        <f t="array" ref="T289">SUMPRODUCT(P289:S289 * P$3:S$3) / SUM(P$3:S$3)</f>
        <v>1.9412985625205037</v>
      </c>
    </row>
    <row r="290" spans="1:20" ht="16.5" customHeight="1" x14ac:dyDescent="0.25">
      <c r="A290" s="5" t="s">
        <v>7032</v>
      </c>
      <c r="B290" s="16" t="s">
        <v>7340</v>
      </c>
      <c r="C290" s="4" t="s">
        <v>8798</v>
      </c>
      <c r="D290" s="4" t="s">
        <v>8956</v>
      </c>
      <c r="E290" s="12" t="s">
        <v>406</v>
      </c>
      <c r="F290" s="75" t="s">
        <v>409</v>
      </c>
      <c r="G290" s="3">
        <v>16</v>
      </c>
      <c r="H290" s="3" t="s">
        <v>419</v>
      </c>
      <c r="I290" s="68" t="s">
        <v>260</v>
      </c>
      <c r="J290" s="72">
        <v>1.35</v>
      </c>
      <c r="K290" s="14" t="s">
        <v>5476</v>
      </c>
      <c r="L290" s="9">
        <v>149.99</v>
      </c>
      <c r="M290" s="3">
        <v>239</v>
      </c>
      <c r="N290" s="66" t="s">
        <v>7901</v>
      </c>
      <c r="O290" s="5" t="s">
        <v>8404</v>
      </c>
      <c r="P290" s="49">
        <f t="shared" si="17"/>
        <v>1.7661258902309531</v>
      </c>
      <c r="Q290" s="1">
        <f t="shared" si="18"/>
        <v>2.0218682423339223</v>
      </c>
      <c r="R290" s="1">
        <f t="shared" si="20"/>
        <v>2.0735856157783816</v>
      </c>
      <c r="S290" s="10">
        <f t="shared" si="19"/>
        <v>1.8939970662824379</v>
      </c>
      <c r="T290" s="45" cm="1">
        <f t="array" ref="T290">SUMPRODUCT(P290:S290 * P$3:S$3) / SUM(P$3:S$3)</f>
        <v>1.9412985625205037</v>
      </c>
    </row>
    <row r="291" spans="1:20" ht="16.5" customHeight="1" x14ac:dyDescent="0.25">
      <c r="A291" s="5" t="s">
        <v>7032</v>
      </c>
      <c r="B291" s="16" t="s">
        <v>7373</v>
      </c>
      <c r="C291" s="4" t="s">
        <v>8798</v>
      </c>
      <c r="D291" s="4" t="s">
        <v>8956</v>
      </c>
      <c r="E291" s="12" t="s">
        <v>406</v>
      </c>
      <c r="F291" s="75" t="s">
        <v>409</v>
      </c>
      <c r="G291" s="3">
        <v>16</v>
      </c>
      <c r="H291" s="3" t="s">
        <v>419</v>
      </c>
      <c r="I291" s="68" t="s">
        <v>260</v>
      </c>
      <c r="J291" s="72">
        <v>1.35</v>
      </c>
      <c r="L291" s="9">
        <v>127.7</v>
      </c>
      <c r="M291" s="3">
        <v>204</v>
      </c>
      <c r="N291" s="66" t="s">
        <v>7934</v>
      </c>
      <c r="O291" s="5" t="s">
        <v>8429</v>
      </c>
      <c r="P291" s="49">
        <f t="shared" si="17"/>
        <v>1.7661258902309531</v>
      </c>
      <c r="Q291" s="1">
        <f t="shared" si="18"/>
        <v>2.0218682423339223</v>
      </c>
      <c r="R291" s="1">
        <f t="shared" si="20"/>
        <v>2.0735856157783816</v>
      </c>
      <c r="S291" s="10">
        <f t="shared" si="19"/>
        <v>1.8939970662824379</v>
      </c>
      <c r="T291" s="45" cm="1">
        <f t="array" ref="T291">SUMPRODUCT(P291:S291 * P$3:S$3) / SUM(P$3:S$3)</f>
        <v>1.9412985625205037</v>
      </c>
    </row>
    <row r="292" spans="1:20" ht="16.5" customHeight="1" x14ac:dyDescent="0.25">
      <c r="A292" s="5" t="s">
        <v>7032</v>
      </c>
      <c r="B292" s="16" t="s">
        <v>7375</v>
      </c>
      <c r="C292" s="4" t="s">
        <v>8798</v>
      </c>
      <c r="D292" s="4" t="s">
        <v>8956</v>
      </c>
      <c r="E292" s="12" t="s">
        <v>406</v>
      </c>
      <c r="F292" s="75" t="s">
        <v>409</v>
      </c>
      <c r="G292" s="3">
        <v>16</v>
      </c>
      <c r="H292" s="3" t="s">
        <v>419</v>
      </c>
      <c r="I292" s="68" t="s">
        <v>260</v>
      </c>
      <c r="J292" s="72">
        <v>1.35</v>
      </c>
      <c r="L292" s="9">
        <v>133.9</v>
      </c>
      <c r="M292" s="3">
        <v>176.93</v>
      </c>
      <c r="N292" s="66" t="s">
        <v>7936</v>
      </c>
      <c r="O292" s="5" t="s">
        <v>8430</v>
      </c>
      <c r="P292" s="49">
        <f t="shared" si="17"/>
        <v>1.7661258902309531</v>
      </c>
      <c r="Q292" s="1">
        <f t="shared" si="18"/>
        <v>2.0218682423339223</v>
      </c>
      <c r="R292" s="1">
        <f t="shared" si="20"/>
        <v>2.0735856157783816</v>
      </c>
      <c r="S292" s="10">
        <f t="shared" si="19"/>
        <v>1.8939970662824379</v>
      </c>
      <c r="T292" s="45" cm="1">
        <f t="array" ref="T292">SUMPRODUCT(P292:S292 * P$3:S$3) / SUM(P$3:S$3)</f>
        <v>1.9412985625205037</v>
      </c>
    </row>
    <row r="293" spans="1:20" ht="16.5" customHeight="1" x14ac:dyDescent="0.25">
      <c r="A293" s="5" t="s">
        <v>6994</v>
      </c>
      <c r="B293" s="16" t="s">
        <v>7268</v>
      </c>
      <c r="C293" s="4" t="s">
        <v>8798</v>
      </c>
      <c r="D293" s="4" t="s">
        <v>8956</v>
      </c>
      <c r="E293" s="12" t="s">
        <v>406</v>
      </c>
      <c r="F293" s="75" t="s">
        <v>409</v>
      </c>
      <c r="G293" s="3">
        <v>16</v>
      </c>
      <c r="H293" s="3" t="s">
        <v>419</v>
      </c>
      <c r="I293" s="68" t="s">
        <v>260</v>
      </c>
      <c r="J293" s="72">
        <v>1.35</v>
      </c>
      <c r="K293" s="14" t="s">
        <v>5476</v>
      </c>
      <c r="L293" s="9">
        <v>166.9</v>
      </c>
      <c r="M293" s="3">
        <v>247.3</v>
      </c>
      <c r="N293" s="66" t="s">
        <v>7829</v>
      </c>
      <c r="O293" s="5" t="s">
        <v>8349</v>
      </c>
      <c r="P293" s="49">
        <f t="shared" si="17"/>
        <v>1.7661258902309531</v>
      </c>
      <c r="Q293" s="1">
        <f t="shared" si="18"/>
        <v>2.0218682423339223</v>
      </c>
      <c r="R293" s="1">
        <f t="shared" si="20"/>
        <v>2.0735856157783816</v>
      </c>
      <c r="S293" s="10">
        <f t="shared" si="19"/>
        <v>1.8939970662824379</v>
      </c>
      <c r="T293" s="45" cm="1">
        <f t="array" ref="T293">SUMPRODUCT(P293:S293 * P$3:S$3) / SUM(P$3:S$3)</f>
        <v>1.9412985625205037</v>
      </c>
    </row>
    <row r="294" spans="1:20" ht="16.5" customHeight="1" x14ac:dyDescent="0.25">
      <c r="A294" s="5" t="s">
        <v>6994</v>
      </c>
      <c r="B294" s="16" t="s">
        <v>7300</v>
      </c>
      <c r="C294" s="4" t="s">
        <v>8798</v>
      </c>
      <c r="D294" s="4" t="s">
        <v>8956</v>
      </c>
      <c r="E294" s="12" t="s">
        <v>406</v>
      </c>
      <c r="F294" s="75" t="s">
        <v>409</v>
      </c>
      <c r="G294" s="3">
        <v>16</v>
      </c>
      <c r="H294" s="3" t="s">
        <v>419</v>
      </c>
      <c r="I294" s="68" t="s">
        <v>260</v>
      </c>
      <c r="J294" s="72">
        <v>1.35</v>
      </c>
      <c r="L294" s="9">
        <v>140.9</v>
      </c>
      <c r="M294" s="3">
        <v>197.69</v>
      </c>
      <c r="N294" s="66" t="s">
        <v>7861</v>
      </c>
      <c r="O294" s="5" t="s">
        <v>8372</v>
      </c>
      <c r="P294" s="49">
        <f t="shared" si="17"/>
        <v>1.7661258902309531</v>
      </c>
      <c r="Q294" s="1">
        <f t="shared" si="18"/>
        <v>2.0218682423339223</v>
      </c>
      <c r="R294" s="1">
        <f t="shared" si="20"/>
        <v>2.0735856157783816</v>
      </c>
      <c r="S294" s="10">
        <f t="shared" si="19"/>
        <v>1.8939970662824379</v>
      </c>
      <c r="T294" s="45" cm="1">
        <f t="array" ref="T294">SUMPRODUCT(P294:S294 * P$3:S$3) / SUM(P$3:S$3)</f>
        <v>1.9412985625205037</v>
      </c>
    </row>
    <row r="295" spans="1:20" ht="16.5" customHeight="1" x14ac:dyDescent="0.25">
      <c r="A295" s="5" t="s">
        <v>7069</v>
      </c>
      <c r="B295" s="16" t="s">
        <v>7421</v>
      </c>
      <c r="C295" s="4" t="s">
        <v>8797</v>
      </c>
      <c r="D295" s="4" t="s">
        <v>9070</v>
      </c>
      <c r="E295" s="12" t="s">
        <v>406</v>
      </c>
      <c r="F295" s="75" t="s">
        <v>409</v>
      </c>
      <c r="G295" s="3">
        <v>16</v>
      </c>
      <c r="H295" s="3" t="s">
        <v>193</v>
      </c>
      <c r="I295" s="68" t="s">
        <v>260</v>
      </c>
      <c r="J295" s="72">
        <v>1.35</v>
      </c>
      <c r="K295" s="14" t="s">
        <v>7796</v>
      </c>
      <c r="L295" s="9">
        <v>392.99</v>
      </c>
      <c r="M295" s="3">
        <v>545.05999999999995</v>
      </c>
      <c r="N295" s="66" t="s">
        <v>7982</v>
      </c>
      <c r="O295" s="5" t="s">
        <v>8474</v>
      </c>
      <c r="P295" s="49">
        <f t="shared" si="17"/>
        <v>1.8669280775172168</v>
      </c>
      <c r="Q295" s="1">
        <f t="shared" si="18"/>
        <v>2.0945262076678217</v>
      </c>
      <c r="R295" s="1">
        <f t="shared" si="20"/>
        <v>2.1379435723916433</v>
      </c>
      <c r="S295" s="10">
        <f t="shared" si="19"/>
        <v>1.9807271425925195</v>
      </c>
      <c r="T295" s="45" cm="1">
        <f t="array" ref="T295">SUMPRODUCT(P295:S295 * P$3:S$3) / SUM(P$3:S$3)</f>
        <v>2.022421834111662</v>
      </c>
    </row>
    <row r="296" spans="1:20" ht="16.5" customHeight="1" x14ac:dyDescent="0.25">
      <c r="A296" s="5" t="s">
        <v>7119</v>
      </c>
      <c r="B296" s="16" t="s">
        <v>7498</v>
      </c>
      <c r="C296" s="4" t="s">
        <v>8797</v>
      </c>
      <c r="D296" s="4" t="s">
        <v>8957</v>
      </c>
      <c r="E296" s="12" t="s">
        <v>406</v>
      </c>
      <c r="F296" s="75" t="s">
        <v>409</v>
      </c>
      <c r="G296" s="3">
        <v>32</v>
      </c>
      <c r="H296" s="3" t="s">
        <v>6736</v>
      </c>
      <c r="I296" s="68" t="s">
        <v>260</v>
      </c>
      <c r="J296" s="72">
        <v>1.35</v>
      </c>
      <c r="L296" s="9">
        <v>64.66</v>
      </c>
      <c r="M296" s="3">
        <v>96.9</v>
      </c>
      <c r="N296" s="66" t="s">
        <v>8059</v>
      </c>
      <c r="O296" s="5" t="s">
        <v>8538</v>
      </c>
      <c r="P296" s="49">
        <f t="shared" si="17"/>
        <v>2.1849476583460703</v>
      </c>
      <c r="Q296" s="1">
        <f t="shared" si="18"/>
        <v>2.7914137826331893</v>
      </c>
      <c r="R296" s="1">
        <f t="shared" si="20"/>
        <v>2.9317600640480963</v>
      </c>
      <c r="S296" s="10">
        <f t="shared" si="19"/>
        <v>2.4881807204896296</v>
      </c>
      <c r="T296" s="45" cm="1">
        <f t="array" ref="T296">SUMPRODUCT(P296:S296 * P$3:S$3) / SUM(P$3:S$3)</f>
        <v>2.6030749367514803</v>
      </c>
    </row>
    <row r="297" spans="1:20" ht="16.5" customHeight="1" x14ac:dyDescent="0.25">
      <c r="A297" s="5" t="s">
        <v>7041</v>
      </c>
      <c r="B297" s="16" t="s">
        <v>7354</v>
      </c>
      <c r="C297" s="4" t="s">
        <v>8798</v>
      </c>
      <c r="D297" s="4" t="s">
        <v>8957</v>
      </c>
      <c r="E297" s="12" t="s">
        <v>406</v>
      </c>
      <c r="F297" s="75" t="s">
        <v>409</v>
      </c>
      <c r="G297" s="3">
        <v>32</v>
      </c>
      <c r="H297" s="3" t="s">
        <v>6736</v>
      </c>
      <c r="I297" s="68" t="s">
        <v>260</v>
      </c>
      <c r="J297" s="72">
        <v>1.35</v>
      </c>
      <c r="K297" s="14" t="s">
        <v>5476</v>
      </c>
      <c r="L297" s="9">
        <v>67.290000000000006</v>
      </c>
      <c r="M297" s="3">
        <v>114.9</v>
      </c>
      <c r="N297" s="66" t="s">
        <v>7915</v>
      </c>
      <c r="O297" s="5" t="s">
        <v>8415</v>
      </c>
      <c r="P297" s="49">
        <f t="shared" si="17"/>
        <v>2.1849476583460703</v>
      </c>
      <c r="Q297" s="1">
        <f t="shared" si="18"/>
        <v>2.7914137826331893</v>
      </c>
      <c r="R297" s="1">
        <f t="shared" si="20"/>
        <v>2.9317600640480963</v>
      </c>
      <c r="S297" s="10">
        <f t="shared" si="19"/>
        <v>2.4881807204896296</v>
      </c>
      <c r="T297" s="45" cm="1">
        <f t="array" ref="T297">SUMPRODUCT(P297:S297 * P$3:S$3) / SUM(P$3:S$3)</f>
        <v>2.6030749367514803</v>
      </c>
    </row>
    <row r="298" spans="1:20" ht="16.5" customHeight="1" x14ac:dyDescent="0.25">
      <c r="A298" s="5" t="s">
        <v>7041</v>
      </c>
      <c r="B298" s="16" t="s">
        <v>7389</v>
      </c>
      <c r="C298" s="4" t="s">
        <v>8798</v>
      </c>
      <c r="D298" s="4" t="s">
        <v>8957</v>
      </c>
      <c r="E298" s="12" t="s">
        <v>406</v>
      </c>
      <c r="F298" s="75" t="s">
        <v>409</v>
      </c>
      <c r="G298" s="3">
        <v>32</v>
      </c>
      <c r="H298" s="3" t="s">
        <v>6736</v>
      </c>
      <c r="I298" s="68" t="s">
        <v>260</v>
      </c>
      <c r="J298" s="72">
        <v>1.35</v>
      </c>
      <c r="L298" s="9">
        <v>58.8</v>
      </c>
      <c r="M298" s="3">
        <v>109.9</v>
      </c>
      <c r="N298" s="66" t="s">
        <v>7950</v>
      </c>
      <c r="O298" s="5" t="s">
        <v>8442</v>
      </c>
      <c r="P298" s="49">
        <f t="shared" si="17"/>
        <v>2.1849476583460703</v>
      </c>
      <c r="Q298" s="1">
        <f t="shared" si="18"/>
        <v>2.7914137826331893</v>
      </c>
      <c r="R298" s="1">
        <f t="shared" si="20"/>
        <v>2.9317600640480963</v>
      </c>
      <c r="S298" s="10">
        <f t="shared" si="19"/>
        <v>2.4881807204896296</v>
      </c>
      <c r="T298" s="45" cm="1">
        <f t="array" ref="T298">SUMPRODUCT(P298:S298 * P$3:S$3) / SUM(P$3:S$3)</f>
        <v>2.6030749367514803</v>
      </c>
    </row>
    <row r="299" spans="1:20" ht="16.5" customHeight="1" x14ac:dyDescent="0.25">
      <c r="A299" s="5" t="s">
        <v>7006</v>
      </c>
      <c r="B299" s="16" t="s">
        <v>7281</v>
      </c>
      <c r="C299" s="4" t="s">
        <v>8798</v>
      </c>
      <c r="D299" s="4" t="s">
        <v>8957</v>
      </c>
      <c r="E299" s="12" t="s">
        <v>406</v>
      </c>
      <c r="F299" s="75" t="s">
        <v>409</v>
      </c>
      <c r="G299" s="3">
        <v>32</v>
      </c>
      <c r="H299" s="3" t="s">
        <v>6736</v>
      </c>
      <c r="I299" s="68" t="s">
        <v>260</v>
      </c>
      <c r="J299" s="72">
        <v>1.35</v>
      </c>
      <c r="K299" s="14" t="s">
        <v>5476</v>
      </c>
      <c r="L299" s="9">
        <v>143.94999999999999</v>
      </c>
      <c r="M299" s="3">
        <v>145.16</v>
      </c>
      <c r="N299" s="66" t="s">
        <v>7842</v>
      </c>
      <c r="O299" s="5" t="s">
        <v>8359</v>
      </c>
      <c r="P299" s="49">
        <f t="shared" si="17"/>
        <v>2.1849476583460703</v>
      </c>
      <c r="Q299" s="1">
        <f t="shared" si="18"/>
        <v>2.7914137826331893</v>
      </c>
      <c r="R299" s="1">
        <f t="shared" si="20"/>
        <v>2.9317600640480963</v>
      </c>
      <c r="S299" s="10">
        <f t="shared" si="19"/>
        <v>2.4881807204896296</v>
      </c>
      <c r="T299" s="45" cm="1">
        <f t="array" ref="T299">SUMPRODUCT(P299:S299 * P$3:S$3) / SUM(P$3:S$3)</f>
        <v>2.6030749367514803</v>
      </c>
    </row>
    <row r="300" spans="1:20" ht="16.5" customHeight="1" x14ac:dyDescent="0.25">
      <c r="A300" s="5" t="s">
        <v>7006</v>
      </c>
      <c r="B300" s="16" t="s">
        <v>7282</v>
      </c>
      <c r="C300" s="4" t="s">
        <v>8798</v>
      </c>
      <c r="D300" s="4" t="s">
        <v>8957</v>
      </c>
      <c r="E300" s="12" t="s">
        <v>406</v>
      </c>
      <c r="F300" s="75" t="s">
        <v>409</v>
      </c>
      <c r="G300" s="3">
        <v>32</v>
      </c>
      <c r="H300" s="3" t="s">
        <v>6736</v>
      </c>
      <c r="I300" s="68" t="s">
        <v>260</v>
      </c>
      <c r="J300" s="72">
        <v>1.35</v>
      </c>
      <c r="K300" s="14" t="s">
        <v>5476</v>
      </c>
      <c r="L300" s="9">
        <v>70.900000000000006</v>
      </c>
      <c r="M300" s="3">
        <v>102.63</v>
      </c>
      <c r="N300" s="66" t="s">
        <v>7843</v>
      </c>
      <c r="O300" s="5" t="s">
        <v>8359</v>
      </c>
      <c r="P300" s="49">
        <f t="shared" si="17"/>
        <v>2.1849476583460703</v>
      </c>
      <c r="Q300" s="1">
        <f t="shared" si="18"/>
        <v>2.7914137826331893</v>
      </c>
      <c r="R300" s="1">
        <f t="shared" si="20"/>
        <v>2.9317600640480963</v>
      </c>
      <c r="S300" s="10">
        <f t="shared" si="19"/>
        <v>2.4881807204896296</v>
      </c>
      <c r="T300" s="45" cm="1">
        <f t="array" ref="T300">SUMPRODUCT(P300:S300 * P$3:S$3) / SUM(P$3:S$3)</f>
        <v>2.6030749367514803</v>
      </c>
    </row>
    <row r="301" spans="1:20" ht="16.5" customHeight="1" x14ac:dyDescent="0.25">
      <c r="A301" s="5" t="s">
        <v>7006</v>
      </c>
      <c r="B301" s="16" t="s">
        <v>7318</v>
      </c>
      <c r="C301" s="4" t="s">
        <v>8798</v>
      </c>
      <c r="D301" s="4" t="s">
        <v>8957</v>
      </c>
      <c r="E301" s="12" t="s">
        <v>406</v>
      </c>
      <c r="F301" s="75" t="s">
        <v>409</v>
      </c>
      <c r="G301" s="3">
        <v>32</v>
      </c>
      <c r="H301" s="3" t="s">
        <v>6736</v>
      </c>
      <c r="I301" s="68" t="s">
        <v>260</v>
      </c>
      <c r="J301" s="72">
        <v>1.35</v>
      </c>
      <c r="L301" s="9">
        <v>64.900000000000006</v>
      </c>
      <c r="M301" s="3">
        <v>95.26</v>
      </c>
      <c r="N301" s="66" t="s">
        <v>7879</v>
      </c>
      <c r="O301" s="5" t="s">
        <v>8387</v>
      </c>
      <c r="P301" s="49">
        <f t="shared" si="17"/>
        <v>2.1849476583460703</v>
      </c>
      <c r="Q301" s="1">
        <f t="shared" si="18"/>
        <v>2.7914137826331893</v>
      </c>
      <c r="R301" s="1">
        <f t="shared" si="20"/>
        <v>2.9317600640480963</v>
      </c>
      <c r="S301" s="10">
        <f t="shared" si="19"/>
        <v>2.4881807204896296</v>
      </c>
      <c r="T301" s="45" cm="1">
        <f t="array" ref="T301">SUMPRODUCT(P301:S301 * P$3:S$3) / SUM(P$3:S$3)</f>
        <v>2.6030749367514803</v>
      </c>
    </row>
    <row r="302" spans="1:20" ht="16.5" customHeight="1" x14ac:dyDescent="0.25">
      <c r="A302" s="5" t="s">
        <v>6981</v>
      </c>
      <c r="B302" s="16" t="s">
        <v>7244</v>
      </c>
      <c r="C302" s="4" t="s">
        <v>8798</v>
      </c>
      <c r="D302" s="4" t="s">
        <v>8957</v>
      </c>
      <c r="E302" s="12" t="s">
        <v>406</v>
      </c>
      <c r="F302" s="75" t="s">
        <v>409</v>
      </c>
      <c r="G302" s="3">
        <v>32</v>
      </c>
      <c r="H302" s="3" t="s">
        <v>6736</v>
      </c>
      <c r="I302" s="68" t="s">
        <v>7791</v>
      </c>
      <c r="J302" s="72">
        <v>1.2</v>
      </c>
      <c r="L302" s="9">
        <v>109.58</v>
      </c>
      <c r="M302" s="3">
        <v>204.9</v>
      </c>
      <c r="N302" s="66" t="s">
        <v>7805</v>
      </c>
      <c r="O302" s="5" t="s">
        <v>8336</v>
      </c>
      <c r="P302" s="49">
        <f t="shared" si="17"/>
        <v>2.1552604347272575</v>
      </c>
      <c r="Q302" s="1">
        <f t="shared" si="18"/>
        <v>2.7796298870991425</v>
      </c>
      <c r="R302" s="1">
        <f t="shared" si="20"/>
        <v>2.9199761685140495</v>
      </c>
      <c r="S302" s="10">
        <f t="shared" si="19"/>
        <v>2.4674451609131998</v>
      </c>
      <c r="T302" s="45" cm="1">
        <f t="array" ref="T302">SUMPRODUCT(P302:S302 * P$3:S$3) / SUM(P$3:S$3)</f>
        <v>2.5850937353419372</v>
      </c>
    </row>
    <row r="303" spans="1:20" ht="16.5" customHeight="1" x14ac:dyDescent="0.25">
      <c r="A303" s="5" t="s">
        <v>7241</v>
      </c>
      <c r="B303" s="16" t="s">
        <v>7757</v>
      </c>
      <c r="C303" s="4" t="s">
        <v>8796</v>
      </c>
      <c r="D303" s="4" t="s">
        <v>8958</v>
      </c>
      <c r="E303" s="12" t="s">
        <v>406</v>
      </c>
      <c r="F303" s="75" t="s">
        <v>409</v>
      </c>
      <c r="G303" s="3">
        <v>32</v>
      </c>
      <c r="H303" s="3" t="s">
        <v>404</v>
      </c>
      <c r="I303" s="68" t="s">
        <v>260</v>
      </c>
      <c r="J303" s="72">
        <v>1.35</v>
      </c>
      <c r="K303" s="14" t="s">
        <v>7804</v>
      </c>
      <c r="L303" s="9">
        <v>177.29</v>
      </c>
      <c r="M303" s="3">
        <v>216.17</v>
      </c>
      <c r="N303" s="66" t="s">
        <v>8318</v>
      </c>
      <c r="O303" s="5" t="s">
        <v>8758</v>
      </c>
      <c r="P303" s="49">
        <f t="shared" si="17"/>
        <v>2.210148205167636</v>
      </c>
      <c r="Q303" s="1">
        <f t="shared" si="18"/>
        <v>2.8095782739666646</v>
      </c>
      <c r="R303" s="1">
        <f t="shared" si="20"/>
        <v>2.9478495532014115</v>
      </c>
      <c r="S303" s="10">
        <f t="shared" si="19"/>
        <v>2.5098632395671503</v>
      </c>
      <c r="T303" s="45" cm="1">
        <f t="array" ref="T303">SUMPRODUCT(P303:S303 * P$3:S$3) / SUM(P$3:S$3)</f>
        <v>2.6233557546492698</v>
      </c>
    </row>
    <row r="304" spans="1:20" ht="16.5" customHeight="1" x14ac:dyDescent="0.25">
      <c r="A304" s="5" t="s">
        <v>7241</v>
      </c>
      <c r="B304" s="16" t="s">
        <v>7758</v>
      </c>
      <c r="C304" s="4" t="s">
        <v>8796</v>
      </c>
      <c r="D304" s="4" t="s">
        <v>8958</v>
      </c>
      <c r="E304" s="12" t="s">
        <v>406</v>
      </c>
      <c r="F304" s="75" t="s">
        <v>409</v>
      </c>
      <c r="G304" s="3">
        <v>32</v>
      </c>
      <c r="H304" s="3" t="s">
        <v>404</v>
      </c>
      <c r="I304" s="68" t="s">
        <v>260</v>
      </c>
      <c r="J304" s="72">
        <v>1.35</v>
      </c>
      <c r="K304" s="14" t="s">
        <v>7804</v>
      </c>
      <c r="L304" s="9">
        <v>180.9</v>
      </c>
      <c r="M304" s="3">
        <v>225.52</v>
      </c>
      <c r="N304" s="66" t="s">
        <v>8319</v>
      </c>
      <c r="O304" s="5" t="s">
        <v>8759</v>
      </c>
      <c r="P304" s="49">
        <f t="shared" si="17"/>
        <v>2.210148205167636</v>
      </c>
      <c r="Q304" s="1">
        <f t="shared" si="18"/>
        <v>2.8095782739666646</v>
      </c>
      <c r="R304" s="1">
        <f t="shared" si="20"/>
        <v>2.9478495532014115</v>
      </c>
      <c r="S304" s="10">
        <f t="shared" si="19"/>
        <v>2.5098632395671503</v>
      </c>
      <c r="T304" s="45" cm="1">
        <f t="array" ref="T304">SUMPRODUCT(P304:S304 * P$3:S$3) / SUM(P$3:S$3)</f>
        <v>2.6233557546492698</v>
      </c>
    </row>
    <row r="305" spans="1:20" ht="16.5" customHeight="1" x14ac:dyDescent="0.25">
      <c r="A305" s="5" t="s">
        <v>7172</v>
      </c>
      <c r="B305" s="16" t="s">
        <v>7560</v>
      </c>
      <c r="C305" s="4" t="s">
        <v>8796</v>
      </c>
      <c r="D305" s="4" t="s">
        <v>8958</v>
      </c>
      <c r="E305" s="12" t="s">
        <v>406</v>
      </c>
      <c r="F305" s="75" t="s">
        <v>409</v>
      </c>
      <c r="G305" s="3">
        <v>32</v>
      </c>
      <c r="H305" s="3" t="s">
        <v>404</v>
      </c>
      <c r="I305" s="68" t="s">
        <v>260</v>
      </c>
      <c r="J305" s="72">
        <v>1.35</v>
      </c>
      <c r="K305" s="14" t="s">
        <v>6175</v>
      </c>
      <c r="L305" s="9">
        <v>138.9</v>
      </c>
      <c r="M305" s="3">
        <v>172.25</v>
      </c>
      <c r="N305" s="66" t="s">
        <v>8121</v>
      </c>
      <c r="O305" s="5" t="s">
        <v>8597</v>
      </c>
      <c r="P305" s="49">
        <f t="shared" si="17"/>
        <v>2.210148205167636</v>
      </c>
      <c r="Q305" s="1">
        <f t="shared" si="18"/>
        <v>2.8095782739666646</v>
      </c>
      <c r="R305" s="1">
        <f t="shared" si="20"/>
        <v>2.9478495532014115</v>
      </c>
      <c r="S305" s="10">
        <f t="shared" si="19"/>
        <v>2.5098632395671503</v>
      </c>
      <c r="T305" s="45" cm="1">
        <f t="array" ref="T305">SUMPRODUCT(P305:S305 * P$3:S$3) / SUM(P$3:S$3)</f>
        <v>2.6233557546492698</v>
      </c>
    </row>
    <row r="306" spans="1:20" ht="16.5" customHeight="1" x14ac:dyDescent="0.25">
      <c r="A306" s="5" t="s">
        <v>7172</v>
      </c>
      <c r="B306" s="16" t="s">
        <v>7572</v>
      </c>
      <c r="C306" s="4" t="s">
        <v>8796</v>
      </c>
      <c r="D306" s="4" t="s">
        <v>8958</v>
      </c>
      <c r="E306" s="12" t="s">
        <v>406</v>
      </c>
      <c r="F306" s="75" t="s">
        <v>409</v>
      </c>
      <c r="G306" s="3">
        <v>32</v>
      </c>
      <c r="H306" s="3" t="s">
        <v>404</v>
      </c>
      <c r="I306" s="68" t="s">
        <v>260</v>
      </c>
      <c r="J306" s="72">
        <v>1.35</v>
      </c>
      <c r="K306" s="14" t="s">
        <v>6175</v>
      </c>
      <c r="L306" s="9">
        <v>145.9</v>
      </c>
      <c r="M306" s="3">
        <v>192.52</v>
      </c>
      <c r="N306" s="66" t="s">
        <v>8133</v>
      </c>
      <c r="O306" s="5" t="s">
        <v>8605</v>
      </c>
      <c r="P306" s="49">
        <f t="shared" si="17"/>
        <v>2.210148205167636</v>
      </c>
      <c r="Q306" s="1">
        <f t="shared" si="18"/>
        <v>2.8095782739666646</v>
      </c>
      <c r="R306" s="1">
        <f t="shared" si="20"/>
        <v>2.9478495532014115</v>
      </c>
      <c r="S306" s="10">
        <f t="shared" si="19"/>
        <v>2.5098632395671503</v>
      </c>
      <c r="T306" s="45" cm="1">
        <f t="array" ref="T306">SUMPRODUCT(P306:S306 * P$3:S$3) / SUM(P$3:S$3)</f>
        <v>2.6233557546492698</v>
      </c>
    </row>
    <row r="307" spans="1:20" ht="16.5" customHeight="1" x14ac:dyDescent="0.25">
      <c r="A307" s="5" t="s">
        <v>7172</v>
      </c>
      <c r="B307" s="16" t="s">
        <v>7583</v>
      </c>
      <c r="C307" s="4" t="s">
        <v>8796</v>
      </c>
      <c r="D307" s="4" t="s">
        <v>8958</v>
      </c>
      <c r="E307" s="12" t="s">
        <v>406</v>
      </c>
      <c r="F307" s="75" t="s">
        <v>409</v>
      </c>
      <c r="G307" s="3">
        <v>32</v>
      </c>
      <c r="H307" s="3" t="s">
        <v>404</v>
      </c>
      <c r="I307" s="68" t="s">
        <v>260</v>
      </c>
      <c r="J307" s="72">
        <v>1.35</v>
      </c>
      <c r="K307" s="14" t="s">
        <v>7799</v>
      </c>
      <c r="L307" s="9">
        <v>126.62</v>
      </c>
      <c r="M307" s="3">
        <v>165.25</v>
      </c>
      <c r="N307" s="66" t="s">
        <v>8144</v>
      </c>
      <c r="O307" s="5" t="s">
        <v>8614</v>
      </c>
      <c r="P307" s="49">
        <f t="shared" si="17"/>
        <v>2.210148205167636</v>
      </c>
      <c r="Q307" s="1">
        <f t="shared" si="18"/>
        <v>2.8095782739666646</v>
      </c>
      <c r="R307" s="1">
        <f t="shared" si="20"/>
        <v>2.9478495532014115</v>
      </c>
      <c r="S307" s="10">
        <f t="shared" si="19"/>
        <v>2.5098632395671503</v>
      </c>
      <c r="T307" s="45" cm="1">
        <f t="array" ref="T307">SUMPRODUCT(P307:S307 * P$3:S$3) / SUM(P$3:S$3)</f>
        <v>2.6233557546492698</v>
      </c>
    </row>
    <row r="308" spans="1:20" ht="16.5" customHeight="1" x14ac:dyDescent="0.25">
      <c r="A308" s="5" t="s">
        <v>7172</v>
      </c>
      <c r="B308" s="16" t="s">
        <v>7616</v>
      </c>
      <c r="C308" s="4" t="s">
        <v>8796</v>
      </c>
      <c r="D308" s="4" t="s">
        <v>8958</v>
      </c>
      <c r="E308" s="12" t="s">
        <v>406</v>
      </c>
      <c r="F308" s="75" t="s">
        <v>409</v>
      </c>
      <c r="G308" s="3">
        <v>32</v>
      </c>
      <c r="H308" s="3" t="s">
        <v>404</v>
      </c>
      <c r="I308" s="68" t="s">
        <v>260</v>
      </c>
      <c r="J308" s="72">
        <v>1.35</v>
      </c>
      <c r="K308" s="14" t="s">
        <v>7800</v>
      </c>
      <c r="L308" s="9">
        <v>124.9</v>
      </c>
      <c r="M308" s="3">
        <v>164.97</v>
      </c>
      <c r="N308" s="66" t="s">
        <v>8177</v>
      </c>
      <c r="O308" s="5" t="s">
        <v>8643</v>
      </c>
      <c r="P308" s="49">
        <f t="shared" si="17"/>
        <v>2.210148205167636</v>
      </c>
      <c r="Q308" s="1">
        <f t="shared" si="18"/>
        <v>2.8095782739666646</v>
      </c>
      <c r="R308" s="1">
        <f t="shared" si="20"/>
        <v>2.9478495532014115</v>
      </c>
      <c r="S308" s="10">
        <f t="shared" si="19"/>
        <v>2.5098632395671503</v>
      </c>
      <c r="T308" s="45" cm="1">
        <f t="array" ref="T308">SUMPRODUCT(P308:S308 * P$3:S$3) / SUM(P$3:S$3)</f>
        <v>2.6233557546492698</v>
      </c>
    </row>
    <row r="309" spans="1:20" ht="16.5" customHeight="1" x14ac:dyDescent="0.25">
      <c r="A309" s="5" t="s">
        <v>7172</v>
      </c>
      <c r="B309" s="16" t="s">
        <v>7635</v>
      </c>
      <c r="C309" s="4" t="s">
        <v>8796</v>
      </c>
      <c r="D309" s="4" t="s">
        <v>8958</v>
      </c>
      <c r="E309" s="12" t="s">
        <v>406</v>
      </c>
      <c r="F309" s="75" t="s">
        <v>409</v>
      </c>
      <c r="G309" s="3">
        <v>32</v>
      </c>
      <c r="H309" s="3" t="s">
        <v>404</v>
      </c>
      <c r="I309" s="68" t="s">
        <v>260</v>
      </c>
      <c r="J309" s="72">
        <v>1.35</v>
      </c>
      <c r="K309" s="14" t="s">
        <v>6175</v>
      </c>
      <c r="L309" s="9">
        <v>119.85</v>
      </c>
      <c r="M309" s="3">
        <v>226</v>
      </c>
      <c r="N309" s="66" t="s">
        <v>8196</v>
      </c>
      <c r="O309" s="5" t="s">
        <v>8654</v>
      </c>
      <c r="P309" s="49">
        <f t="shared" si="17"/>
        <v>2.210148205167636</v>
      </c>
      <c r="Q309" s="1">
        <f t="shared" si="18"/>
        <v>2.8095782739666646</v>
      </c>
      <c r="R309" s="1">
        <f t="shared" si="20"/>
        <v>2.9478495532014115</v>
      </c>
      <c r="S309" s="10">
        <f t="shared" si="19"/>
        <v>2.5098632395671503</v>
      </c>
      <c r="T309" s="45" cm="1">
        <f t="array" ref="T309">SUMPRODUCT(P309:S309 * P$3:S$3) / SUM(P$3:S$3)</f>
        <v>2.6233557546492698</v>
      </c>
    </row>
    <row r="310" spans="1:20" ht="16.5" customHeight="1" x14ac:dyDescent="0.25">
      <c r="A310" s="5" t="s">
        <v>7172</v>
      </c>
      <c r="B310" s="16" t="s">
        <v>7677</v>
      </c>
      <c r="C310" s="4" t="s">
        <v>8796</v>
      </c>
      <c r="D310" s="4" t="s">
        <v>8958</v>
      </c>
      <c r="E310" s="12" t="s">
        <v>406</v>
      </c>
      <c r="F310" s="75" t="s">
        <v>409</v>
      </c>
      <c r="G310" s="3">
        <v>32</v>
      </c>
      <c r="H310" s="3" t="s">
        <v>404</v>
      </c>
      <c r="I310" s="68" t="s">
        <v>260</v>
      </c>
      <c r="J310" s="72">
        <v>1.35</v>
      </c>
      <c r="L310" s="9">
        <v>107.81</v>
      </c>
      <c r="M310" s="3">
        <v>170</v>
      </c>
      <c r="N310" s="66" t="s">
        <v>8238</v>
      </c>
      <c r="O310" s="5" t="s">
        <v>8690</v>
      </c>
      <c r="P310" s="49">
        <f t="shared" si="17"/>
        <v>2.210148205167636</v>
      </c>
      <c r="Q310" s="1">
        <f t="shared" si="18"/>
        <v>2.8095782739666646</v>
      </c>
      <c r="R310" s="1">
        <f t="shared" si="20"/>
        <v>2.9478495532014115</v>
      </c>
      <c r="S310" s="10">
        <f t="shared" si="19"/>
        <v>2.5098632395671503</v>
      </c>
      <c r="T310" s="45" cm="1">
        <f t="array" ref="T310">SUMPRODUCT(P310:S310 * P$3:S$3) / SUM(P$3:S$3)</f>
        <v>2.6233557546492698</v>
      </c>
    </row>
    <row r="311" spans="1:20" ht="16.5" customHeight="1" x14ac:dyDescent="0.25">
      <c r="A311" s="5" t="s">
        <v>7107</v>
      </c>
      <c r="B311" s="16" t="s">
        <v>7480</v>
      </c>
      <c r="C311" s="4" t="s">
        <v>8797</v>
      </c>
      <c r="D311" s="4" t="s">
        <v>8958</v>
      </c>
      <c r="E311" s="12" t="s">
        <v>406</v>
      </c>
      <c r="F311" s="75" t="s">
        <v>409</v>
      </c>
      <c r="G311" s="3">
        <v>32</v>
      </c>
      <c r="H311" s="3" t="s">
        <v>404</v>
      </c>
      <c r="I311" s="68" t="s">
        <v>260</v>
      </c>
      <c r="J311" s="72">
        <v>1.35</v>
      </c>
      <c r="L311" s="9">
        <v>114.9</v>
      </c>
      <c r="M311" s="3">
        <v>186</v>
      </c>
      <c r="N311" s="66" t="s">
        <v>8041</v>
      </c>
      <c r="O311" s="5" t="s">
        <v>8521</v>
      </c>
      <c r="P311" s="49">
        <f t="shared" si="17"/>
        <v>2.210148205167636</v>
      </c>
      <c r="Q311" s="1">
        <f t="shared" si="18"/>
        <v>2.8095782739666646</v>
      </c>
      <c r="R311" s="1">
        <f t="shared" si="20"/>
        <v>2.9478495532014115</v>
      </c>
      <c r="S311" s="10">
        <f t="shared" si="19"/>
        <v>2.5098632395671503</v>
      </c>
      <c r="T311" s="45" cm="1">
        <f t="array" ref="T311">SUMPRODUCT(P311:S311 * P$3:S$3) / SUM(P$3:S$3)</f>
        <v>2.6233557546492698</v>
      </c>
    </row>
    <row r="312" spans="1:20" ht="16.5" customHeight="1" x14ac:dyDescent="0.25">
      <c r="A312" s="5" t="s">
        <v>7033</v>
      </c>
      <c r="B312" s="16" t="s">
        <v>7339</v>
      </c>
      <c r="C312" s="4" t="s">
        <v>8798</v>
      </c>
      <c r="D312" s="4" t="s">
        <v>8958</v>
      </c>
      <c r="E312" s="12" t="s">
        <v>406</v>
      </c>
      <c r="F312" s="75" t="s">
        <v>409</v>
      </c>
      <c r="G312" s="3">
        <v>32</v>
      </c>
      <c r="H312" s="3" t="s">
        <v>404</v>
      </c>
      <c r="I312" s="68" t="s">
        <v>260</v>
      </c>
      <c r="J312" s="72">
        <v>1.35</v>
      </c>
      <c r="K312" s="14" t="s">
        <v>5476</v>
      </c>
      <c r="L312" s="9">
        <v>129.88999999999999</v>
      </c>
      <c r="M312" s="3">
        <v>200</v>
      </c>
      <c r="N312" s="66" t="s">
        <v>7900</v>
      </c>
      <c r="O312" s="5" t="s">
        <v>8404</v>
      </c>
      <c r="P312" s="49">
        <f t="shared" si="17"/>
        <v>2.210148205167636</v>
      </c>
      <c r="Q312" s="1">
        <f t="shared" si="18"/>
        <v>2.8095782739666646</v>
      </c>
      <c r="R312" s="1">
        <f t="shared" si="20"/>
        <v>2.9478495532014115</v>
      </c>
      <c r="S312" s="10">
        <f t="shared" si="19"/>
        <v>2.5098632395671503</v>
      </c>
      <c r="T312" s="45" cm="1">
        <f t="array" ref="T312">SUMPRODUCT(P312:S312 * P$3:S$3) / SUM(P$3:S$3)</f>
        <v>2.6233557546492698</v>
      </c>
    </row>
    <row r="313" spans="1:20" ht="16.5" customHeight="1" x14ac:dyDescent="0.25">
      <c r="A313" s="5" t="s">
        <v>7033</v>
      </c>
      <c r="B313" s="16" t="s">
        <v>7374</v>
      </c>
      <c r="C313" s="4" t="s">
        <v>8798</v>
      </c>
      <c r="D313" s="4" t="s">
        <v>8958</v>
      </c>
      <c r="E313" s="12" t="s">
        <v>406</v>
      </c>
      <c r="F313" s="75" t="s">
        <v>409</v>
      </c>
      <c r="G313" s="3">
        <v>32</v>
      </c>
      <c r="H313" s="3" t="s">
        <v>404</v>
      </c>
      <c r="I313" s="68" t="s">
        <v>260</v>
      </c>
      <c r="J313" s="72">
        <v>1.35</v>
      </c>
      <c r="L313" s="9">
        <v>112.41</v>
      </c>
      <c r="M313" s="3">
        <v>174</v>
      </c>
      <c r="N313" s="66" t="s">
        <v>7935</v>
      </c>
      <c r="O313" s="5" t="s">
        <v>8429</v>
      </c>
      <c r="P313" s="49">
        <f t="shared" si="17"/>
        <v>2.210148205167636</v>
      </c>
      <c r="Q313" s="1">
        <f t="shared" si="18"/>
        <v>2.8095782739666646</v>
      </c>
      <c r="R313" s="1">
        <f t="shared" si="20"/>
        <v>2.9478495532014115</v>
      </c>
      <c r="S313" s="10">
        <f t="shared" si="19"/>
        <v>2.5098632395671503</v>
      </c>
      <c r="T313" s="45" cm="1">
        <f t="array" ref="T313">SUMPRODUCT(P313:S313 * P$3:S$3) / SUM(P$3:S$3)</f>
        <v>2.6233557546492698</v>
      </c>
    </row>
    <row r="314" spans="1:20" ht="16.5" customHeight="1" x14ac:dyDescent="0.25">
      <c r="A314" s="5" t="s">
        <v>6993</v>
      </c>
      <c r="B314" s="16" t="s">
        <v>7266</v>
      </c>
      <c r="C314" s="4" t="s">
        <v>8798</v>
      </c>
      <c r="D314" s="4" t="s">
        <v>8958</v>
      </c>
      <c r="E314" s="12" t="s">
        <v>406</v>
      </c>
      <c r="F314" s="75" t="s">
        <v>409</v>
      </c>
      <c r="G314" s="3">
        <v>32</v>
      </c>
      <c r="H314" s="3" t="s">
        <v>404</v>
      </c>
      <c r="I314" s="68" t="s">
        <v>260</v>
      </c>
      <c r="J314" s="72">
        <v>1.35</v>
      </c>
      <c r="K314" s="14" t="s">
        <v>5476</v>
      </c>
      <c r="L314" s="9">
        <v>239.9</v>
      </c>
      <c r="M314" s="3">
        <v>239.9</v>
      </c>
      <c r="N314" s="66" t="s">
        <v>7827</v>
      </c>
      <c r="O314" s="5" t="s">
        <v>8348</v>
      </c>
      <c r="P314" s="49">
        <f t="shared" si="17"/>
        <v>2.210148205167636</v>
      </c>
      <c r="Q314" s="1">
        <f t="shared" si="18"/>
        <v>2.8095782739666646</v>
      </c>
      <c r="R314" s="1">
        <f t="shared" si="20"/>
        <v>2.9478495532014115</v>
      </c>
      <c r="S314" s="10">
        <f t="shared" si="19"/>
        <v>2.5098632395671503</v>
      </c>
      <c r="T314" s="45" cm="1">
        <f t="array" ref="T314">SUMPRODUCT(P314:S314 * P$3:S$3) / SUM(P$3:S$3)</f>
        <v>2.6233557546492698</v>
      </c>
    </row>
    <row r="315" spans="1:20" ht="16.5" customHeight="1" x14ac:dyDescent="0.25">
      <c r="A315" s="5" t="s">
        <v>6993</v>
      </c>
      <c r="B315" s="16" t="s">
        <v>7267</v>
      </c>
      <c r="C315" s="4" t="s">
        <v>8798</v>
      </c>
      <c r="D315" s="4" t="s">
        <v>8958</v>
      </c>
      <c r="E315" s="12" t="s">
        <v>406</v>
      </c>
      <c r="F315" s="75" t="s">
        <v>409</v>
      </c>
      <c r="G315" s="3">
        <v>32</v>
      </c>
      <c r="H315" s="3" t="s">
        <v>404</v>
      </c>
      <c r="I315" s="68" t="s">
        <v>260</v>
      </c>
      <c r="J315" s="72">
        <v>1.35</v>
      </c>
      <c r="K315" s="14" t="s">
        <v>5476</v>
      </c>
      <c r="L315" s="9">
        <v>140.9</v>
      </c>
      <c r="M315" s="3">
        <v>204.46</v>
      </c>
      <c r="N315" s="66" t="s">
        <v>7828</v>
      </c>
      <c r="O315" s="5" t="s">
        <v>8348</v>
      </c>
      <c r="P315" s="49">
        <f t="shared" si="17"/>
        <v>2.210148205167636</v>
      </c>
      <c r="Q315" s="1">
        <f t="shared" si="18"/>
        <v>2.8095782739666646</v>
      </c>
      <c r="R315" s="1">
        <f t="shared" si="20"/>
        <v>2.9478495532014115</v>
      </c>
      <c r="S315" s="10">
        <f t="shared" si="19"/>
        <v>2.5098632395671503</v>
      </c>
      <c r="T315" s="45" cm="1">
        <f t="array" ref="T315">SUMPRODUCT(P315:S315 * P$3:S$3) / SUM(P$3:S$3)</f>
        <v>2.6233557546492698</v>
      </c>
    </row>
    <row r="316" spans="1:20" ht="16.5" customHeight="1" x14ac:dyDescent="0.25">
      <c r="A316" s="5" t="s">
        <v>6993</v>
      </c>
      <c r="B316" s="16" t="s">
        <v>7298</v>
      </c>
      <c r="C316" s="4" t="s">
        <v>8798</v>
      </c>
      <c r="D316" s="4" t="s">
        <v>8958</v>
      </c>
      <c r="E316" s="12" t="s">
        <v>406</v>
      </c>
      <c r="F316" s="75" t="s">
        <v>409</v>
      </c>
      <c r="G316" s="3">
        <v>32</v>
      </c>
      <c r="H316" s="3" t="s">
        <v>404</v>
      </c>
      <c r="I316" s="68" t="s">
        <v>260</v>
      </c>
      <c r="J316" s="72">
        <v>1.35</v>
      </c>
      <c r="L316" s="9">
        <v>219.9</v>
      </c>
      <c r="M316" s="3">
        <v>219.9</v>
      </c>
      <c r="N316" s="66" t="s">
        <v>7859</v>
      </c>
      <c r="O316" s="5" t="s">
        <v>8371</v>
      </c>
      <c r="P316" s="49">
        <f t="shared" si="17"/>
        <v>2.210148205167636</v>
      </c>
      <c r="Q316" s="1">
        <f t="shared" si="18"/>
        <v>2.8095782739666646</v>
      </c>
      <c r="R316" s="1">
        <f t="shared" si="20"/>
        <v>2.9478495532014115</v>
      </c>
      <c r="S316" s="10">
        <f t="shared" si="19"/>
        <v>2.5098632395671503</v>
      </c>
      <c r="T316" s="45" cm="1">
        <f t="array" ref="T316">SUMPRODUCT(P316:S316 * P$3:S$3) / SUM(P$3:S$3)</f>
        <v>2.6233557546492698</v>
      </c>
    </row>
    <row r="317" spans="1:20" ht="16.5" customHeight="1" x14ac:dyDescent="0.25">
      <c r="A317" s="5" t="s">
        <v>6993</v>
      </c>
      <c r="B317" s="16" t="s">
        <v>7299</v>
      </c>
      <c r="C317" s="4" t="s">
        <v>8798</v>
      </c>
      <c r="D317" s="4" t="s">
        <v>8958</v>
      </c>
      <c r="E317" s="12" t="s">
        <v>406</v>
      </c>
      <c r="F317" s="75" t="s">
        <v>409</v>
      </c>
      <c r="G317" s="3">
        <v>32</v>
      </c>
      <c r="H317" s="3" t="s">
        <v>404</v>
      </c>
      <c r="I317" s="68" t="s">
        <v>260</v>
      </c>
      <c r="J317" s="72">
        <v>1.35</v>
      </c>
      <c r="L317" s="9">
        <v>123.2</v>
      </c>
      <c r="M317" s="3">
        <v>188.02</v>
      </c>
      <c r="N317" s="66" t="s">
        <v>7860</v>
      </c>
      <c r="O317" s="5" t="s">
        <v>8371</v>
      </c>
      <c r="P317" s="49">
        <f t="shared" si="17"/>
        <v>2.210148205167636</v>
      </c>
      <c r="Q317" s="1">
        <f t="shared" si="18"/>
        <v>2.8095782739666646</v>
      </c>
      <c r="R317" s="1">
        <f t="shared" si="20"/>
        <v>2.9478495532014115</v>
      </c>
      <c r="S317" s="10">
        <f t="shared" si="19"/>
        <v>2.5098632395671503</v>
      </c>
      <c r="T317" s="45" cm="1">
        <f t="array" ref="T317">SUMPRODUCT(P317:S317 * P$3:S$3) / SUM(P$3:S$3)</f>
        <v>2.6233557546492698</v>
      </c>
    </row>
    <row r="318" spans="1:20" ht="16.5" customHeight="1" x14ac:dyDescent="0.25">
      <c r="A318" s="5" t="s">
        <v>7238</v>
      </c>
      <c r="B318" s="16" t="s">
        <v>7754</v>
      </c>
      <c r="C318" s="4" t="s">
        <v>8796</v>
      </c>
      <c r="D318" s="4" t="s">
        <v>8959</v>
      </c>
      <c r="E318" s="12" t="s">
        <v>406</v>
      </c>
      <c r="F318" s="75" t="s">
        <v>409</v>
      </c>
      <c r="G318" s="3">
        <v>32</v>
      </c>
      <c r="H318" s="3" t="s">
        <v>419</v>
      </c>
      <c r="I318" s="68" t="s">
        <v>260</v>
      </c>
      <c r="J318" s="72">
        <v>1.35</v>
      </c>
      <c r="K318" s="14" t="s">
        <v>7804</v>
      </c>
      <c r="L318" s="9">
        <v>430.8</v>
      </c>
      <c r="M318" s="3">
        <v>477.61</v>
      </c>
      <c r="N318" s="66" t="s">
        <v>8315</v>
      </c>
      <c r="O318" s="5" t="s">
        <v>8756</v>
      </c>
      <c r="P318" s="49">
        <f t="shared" si="17"/>
        <v>2.2605492988107683</v>
      </c>
      <c r="Q318" s="1">
        <f t="shared" si="18"/>
        <v>2.8459072566336143</v>
      </c>
      <c r="R318" s="1">
        <f t="shared" si="20"/>
        <v>2.9800285315080428</v>
      </c>
      <c r="S318" s="10">
        <f t="shared" si="19"/>
        <v>2.5532282777221909</v>
      </c>
      <c r="T318" s="45" cm="1">
        <f t="array" ref="T318">SUMPRODUCT(P318:S318 * P$3:S$3) / SUM(P$3:S$3)</f>
        <v>2.663917390444849</v>
      </c>
    </row>
    <row r="319" spans="1:20" ht="16.5" customHeight="1" x14ac:dyDescent="0.25">
      <c r="A319" s="5" t="s">
        <v>7191</v>
      </c>
      <c r="B319" s="16" t="s">
        <v>7612</v>
      </c>
      <c r="C319" s="4" t="s">
        <v>8796</v>
      </c>
      <c r="D319" s="4" t="s">
        <v>8959</v>
      </c>
      <c r="E319" s="12" t="s">
        <v>406</v>
      </c>
      <c r="F319" s="75" t="s">
        <v>409</v>
      </c>
      <c r="G319" s="3">
        <v>32</v>
      </c>
      <c r="H319" s="3" t="s">
        <v>419</v>
      </c>
      <c r="I319" s="68" t="s">
        <v>260</v>
      </c>
      <c r="J319" s="72">
        <v>1.35</v>
      </c>
      <c r="K319" s="14" t="s">
        <v>7800</v>
      </c>
      <c r="L319" s="9">
        <v>273.29000000000002</v>
      </c>
      <c r="M319" s="3">
        <v>386</v>
      </c>
      <c r="N319" s="66" t="s">
        <v>8173</v>
      </c>
      <c r="O319" s="5" t="s">
        <v>8641</v>
      </c>
      <c r="P319" s="49">
        <f t="shared" si="17"/>
        <v>2.2605492988107683</v>
      </c>
      <c r="Q319" s="1">
        <f t="shared" si="18"/>
        <v>2.8459072566336143</v>
      </c>
      <c r="R319" s="1">
        <f t="shared" si="20"/>
        <v>2.9800285315080428</v>
      </c>
      <c r="S319" s="10">
        <f t="shared" si="19"/>
        <v>2.5532282777221909</v>
      </c>
      <c r="T319" s="45" cm="1">
        <f t="array" ref="T319">SUMPRODUCT(P319:S319 * P$3:S$3) / SUM(P$3:S$3)</f>
        <v>2.663917390444849</v>
      </c>
    </row>
    <row r="320" spans="1:20" ht="16.5" customHeight="1" x14ac:dyDescent="0.25">
      <c r="A320" s="5" t="s">
        <v>7191</v>
      </c>
      <c r="B320" s="16" t="s">
        <v>7630</v>
      </c>
      <c r="C320" s="4" t="s">
        <v>8796</v>
      </c>
      <c r="D320" s="4" t="s">
        <v>8959</v>
      </c>
      <c r="E320" s="12" t="s">
        <v>406</v>
      </c>
      <c r="F320" s="75" t="s">
        <v>409</v>
      </c>
      <c r="G320" s="3">
        <v>32</v>
      </c>
      <c r="H320" s="3" t="s">
        <v>419</v>
      </c>
      <c r="I320" s="68" t="s">
        <v>260</v>
      </c>
      <c r="J320" s="72">
        <v>1.35</v>
      </c>
      <c r="K320" s="14" t="s">
        <v>6175</v>
      </c>
      <c r="L320" s="9">
        <v>315.99</v>
      </c>
      <c r="M320" s="3">
        <v>370.82</v>
      </c>
      <c r="N320" s="66" t="s">
        <v>8191</v>
      </c>
      <c r="O320" s="5" t="s">
        <v>8651</v>
      </c>
      <c r="P320" s="49">
        <f t="shared" si="17"/>
        <v>2.2605492988107683</v>
      </c>
      <c r="Q320" s="1">
        <f t="shared" si="18"/>
        <v>2.8459072566336143</v>
      </c>
      <c r="R320" s="1">
        <f t="shared" si="20"/>
        <v>2.9800285315080428</v>
      </c>
      <c r="S320" s="10">
        <f t="shared" si="19"/>
        <v>2.5532282777221909</v>
      </c>
      <c r="T320" s="45" cm="1">
        <f t="array" ref="T320">SUMPRODUCT(P320:S320 * P$3:S$3) / SUM(P$3:S$3)</f>
        <v>2.663917390444849</v>
      </c>
    </row>
    <row r="321" spans="1:20" ht="16.5" customHeight="1" x14ac:dyDescent="0.25">
      <c r="A321" s="5" t="s">
        <v>7191</v>
      </c>
      <c r="B321" s="16" t="s">
        <v>7671</v>
      </c>
      <c r="C321" s="4" t="s">
        <v>8796</v>
      </c>
      <c r="D321" s="4" t="s">
        <v>8959</v>
      </c>
      <c r="E321" s="12" t="s">
        <v>406</v>
      </c>
      <c r="F321" s="75" t="s">
        <v>409</v>
      </c>
      <c r="G321" s="3">
        <v>32</v>
      </c>
      <c r="H321" s="3" t="s">
        <v>419</v>
      </c>
      <c r="I321" s="68" t="s">
        <v>260</v>
      </c>
      <c r="J321" s="72">
        <v>1.35</v>
      </c>
      <c r="L321" s="9">
        <v>266.08</v>
      </c>
      <c r="M321" s="3">
        <v>294.18</v>
      </c>
      <c r="N321" s="66" t="s">
        <v>8232</v>
      </c>
      <c r="O321" s="5" t="s">
        <v>8686</v>
      </c>
      <c r="P321" s="49">
        <f t="shared" si="17"/>
        <v>2.2605492988107683</v>
      </c>
      <c r="Q321" s="1">
        <f t="shared" si="18"/>
        <v>2.8459072566336143</v>
      </c>
      <c r="R321" s="1">
        <f t="shared" si="20"/>
        <v>2.9800285315080428</v>
      </c>
      <c r="S321" s="10">
        <f t="shared" si="19"/>
        <v>2.5532282777221909</v>
      </c>
      <c r="T321" s="45" cm="1">
        <f t="array" ref="T321">SUMPRODUCT(P321:S321 * P$3:S$3) / SUM(P$3:S$3)</f>
        <v>2.663917390444849</v>
      </c>
    </row>
    <row r="322" spans="1:20" ht="16.5" customHeight="1" x14ac:dyDescent="0.25">
      <c r="A322" s="5" t="s">
        <v>7102</v>
      </c>
      <c r="B322" s="16" t="s">
        <v>7474</v>
      </c>
      <c r="C322" s="4" t="s">
        <v>8797</v>
      </c>
      <c r="D322" s="4" t="s">
        <v>8959</v>
      </c>
      <c r="E322" s="12" t="s">
        <v>406</v>
      </c>
      <c r="F322" s="75" t="s">
        <v>409</v>
      </c>
      <c r="G322" s="3">
        <v>32</v>
      </c>
      <c r="H322" s="3" t="s">
        <v>419</v>
      </c>
      <c r="I322" s="68" t="s">
        <v>260</v>
      </c>
      <c r="J322" s="72">
        <v>1.35</v>
      </c>
      <c r="K322" s="14" t="s">
        <v>450</v>
      </c>
      <c r="L322" s="9">
        <v>232</v>
      </c>
      <c r="M322" s="3">
        <v>311.33999999999997</v>
      </c>
      <c r="N322" s="66" t="s">
        <v>8035</v>
      </c>
      <c r="O322" s="5" t="s">
        <v>8517</v>
      </c>
      <c r="P322" s="49">
        <f t="shared" si="17"/>
        <v>2.2605492988107683</v>
      </c>
      <c r="Q322" s="1">
        <f t="shared" si="18"/>
        <v>2.8459072566336143</v>
      </c>
      <c r="R322" s="1">
        <f t="shared" si="20"/>
        <v>2.9800285315080428</v>
      </c>
      <c r="S322" s="10">
        <f t="shared" si="19"/>
        <v>2.5532282777221909</v>
      </c>
      <c r="T322" s="45" cm="1">
        <f t="array" ref="T322">SUMPRODUCT(P322:S322 * P$3:S$3) / SUM(P$3:S$3)</f>
        <v>2.663917390444849</v>
      </c>
    </row>
    <row r="323" spans="1:20" ht="16.5" customHeight="1" x14ac:dyDescent="0.25">
      <c r="A323" s="5" t="s">
        <v>7029</v>
      </c>
      <c r="B323" s="16" t="s">
        <v>7335</v>
      </c>
      <c r="C323" s="4" t="s">
        <v>8798</v>
      </c>
      <c r="D323" s="4" t="s">
        <v>8959</v>
      </c>
      <c r="E323" s="12" t="s">
        <v>406</v>
      </c>
      <c r="F323" s="75" t="s">
        <v>409</v>
      </c>
      <c r="G323" s="3">
        <v>32</v>
      </c>
      <c r="H323" s="3" t="s">
        <v>419</v>
      </c>
      <c r="I323" s="68" t="s">
        <v>260</v>
      </c>
      <c r="J323" s="72">
        <v>1.35</v>
      </c>
      <c r="K323" s="14" t="s">
        <v>5476</v>
      </c>
      <c r="L323" s="9">
        <v>275</v>
      </c>
      <c r="M323" s="3">
        <v>373.84</v>
      </c>
      <c r="N323" s="66" t="s">
        <v>7896</v>
      </c>
      <c r="O323" s="5" t="s">
        <v>8402</v>
      </c>
      <c r="P323" s="49">
        <f t="shared" si="17"/>
        <v>2.2605492988107683</v>
      </c>
      <c r="Q323" s="1">
        <f t="shared" si="18"/>
        <v>2.8459072566336143</v>
      </c>
      <c r="R323" s="1">
        <f t="shared" si="20"/>
        <v>2.9800285315080428</v>
      </c>
      <c r="S323" s="10">
        <f t="shared" si="19"/>
        <v>2.5532282777221909</v>
      </c>
      <c r="T323" s="45" cm="1">
        <f t="array" ref="T323">SUMPRODUCT(P323:S323 * P$3:S$3) / SUM(P$3:S$3)</f>
        <v>2.663917390444849</v>
      </c>
    </row>
    <row r="324" spans="1:20" ht="16.5" customHeight="1" x14ac:dyDescent="0.25">
      <c r="A324" s="5" t="s">
        <v>7029</v>
      </c>
      <c r="B324" s="16" t="s">
        <v>7370</v>
      </c>
      <c r="C324" s="4" t="s">
        <v>8798</v>
      </c>
      <c r="D324" s="4" t="s">
        <v>8959</v>
      </c>
      <c r="E324" s="12" t="s">
        <v>406</v>
      </c>
      <c r="F324" s="75" t="s">
        <v>409</v>
      </c>
      <c r="G324" s="3">
        <v>32</v>
      </c>
      <c r="H324" s="3" t="s">
        <v>419</v>
      </c>
      <c r="I324" s="68" t="s">
        <v>260</v>
      </c>
      <c r="J324" s="72">
        <v>1.35</v>
      </c>
      <c r="L324" s="9">
        <v>229.89</v>
      </c>
      <c r="M324" s="3">
        <v>352.37</v>
      </c>
      <c r="N324" s="66" t="s">
        <v>7931</v>
      </c>
      <c r="O324" s="5" t="s">
        <v>8427</v>
      </c>
      <c r="P324" s="49">
        <f t="shared" si="17"/>
        <v>2.2605492988107683</v>
      </c>
      <c r="Q324" s="1">
        <f t="shared" si="18"/>
        <v>2.8459072566336143</v>
      </c>
      <c r="R324" s="1">
        <f t="shared" si="20"/>
        <v>2.9800285315080428</v>
      </c>
      <c r="S324" s="10">
        <f t="shared" si="19"/>
        <v>2.5532282777221909</v>
      </c>
      <c r="T324" s="45" cm="1">
        <f t="array" ref="T324">SUMPRODUCT(P324:S324 * P$3:S$3) / SUM(P$3:S$3)</f>
        <v>2.663917390444849</v>
      </c>
    </row>
    <row r="325" spans="1:20" ht="16.5" customHeight="1" x14ac:dyDescent="0.25">
      <c r="A325" s="5" t="s">
        <v>6990</v>
      </c>
      <c r="B325" s="16" t="s">
        <v>7263</v>
      </c>
      <c r="C325" s="4" t="s">
        <v>8798</v>
      </c>
      <c r="D325" s="4" t="s">
        <v>8959</v>
      </c>
      <c r="E325" s="12" t="s">
        <v>406</v>
      </c>
      <c r="F325" s="75" t="s">
        <v>409</v>
      </c>
      <c r="G325" s="3">
        <v>32</v>
      </c>
      <c r="H325" s="3" t="s">
        <v>419</v>
      </c>
      <c r="I325" s="68" t="s">
        <v>260</v>
      </c>
      <c r="J325" s="72">
        <v>1.35</v>
      </c>
      <c r="K325" s="14" t="s">
        <v>5476</v>
      </c>
      <c r="L325" s="9">
        <v>282</v>
      </c>
      <c r="M325" s="3">
        <v>363.23</v>
      </c>
      <c r="N325" s="66" t="s">
        <v>7824</v>
      </c>
      <c r="O325" s="5" t="s">
        <v>8345</v>
      </c>
      <c r="P325" s="49">
        <f t="shared" si="17"/>
        <v>2.2605492988107683</v>
      </c>
      <c r="Q325" s="1">
        <f t="shared" si="18"/>
        <v>2.8459072566336143</v>
      </c>
      <c r="R325" s="1">
        <f t="shared" si="20"/>
        <v>2.9800285315080428</v>
      </c>
      <c r="S325" s="10">
        <f t="shared" si="19"/>
        <v>2.5532282777221909</v>
      </c>
      <c r="T325" s="45" cm="1">
        <f t="array" ref="T325">SUMPRODUCT(P325:S325 * P$3:S$3) / SUM(P$3:S$3)</f>
        <v>2.663917390444849</v>
      </c>
    </row>
    <row r="326" spans="1:20" ht="16.5" customHeight="1" x14ac:dyDescent="0.25">
      <c r="A326" s="5" t="s">
        <v>7190</v>
      </c>
      <c r="B326" s="16" t="s">
        <v>7611</v>
      </c>
      <c r="C326" s="4" t="s">
        <v>8796</v>
      </c>
      <c r="D326" s="4" t="s">
        <v>9071</v>
      </c>
      <c r="E326" s="12" t="s">
        <v>406</v>
      </c>
      <c r="F326" s="75" t="s">
        <v>409</v>
      </c>
      <c r="G326" s="3">
        <v>32</v>
      </c>
      <c r="H326" s="3" t="s">
        <v>193</v>
      </c>
      <c r="I326" s="68" t="s">
        <v>260</v>
      </c>
      <c r="J326" s="72">
        <v>1.35</v>
      </c>
      <c r="K326" s="14" t="s">
        <v>7800</v>
      </c>
      <c r="L326" s="9">
        <v>1419.57</v>
      </c>
      <c r="M326" s="3">
        <v>1419.57</v>
      </c>
      <c r="N326" s="66" t="s">
        <v>8172</v>
      </c>
      <c r="O326" s="5" t="s">
        <v>8640</v>
      </c>
      <c r="P326" s="49">
        <f t="shared" si="17"/>
        <v>2.3613514860970319</v>
      </c>
      <c r="Q326" s="1">
        <f t="shared" si="18"/>
        <v>2.9185652219675133</v>
      </c>
      <c r="R326" s="1">
        <f t="shared" si="20"/>
        <v>3.0443864881213045</v>
      </c>
      <c r="S326" s="10">
        <f t="shared" si="19"/>
        <v>2.6399583540322724</v>
      </c>
      <c r="T326" s="45" cm="1">
        <f t="array" ref="T326">SUMPRODUCT(P326:S326 * P$3:S$3) / SUM(P$3:S$3)</f>
        <v>2.7450406620360068</v>
      </c>
    </row>
    <row r="327" spans="1:20" ht="16.5" customHeight="1" x14ac:dyDescent="0.25">
      <c r="A327" s="5" t="s">
        <v>7190</v>
      </c>
      <c r="B327" s="16" t="s">
        <v>7628</v>
      </c>
      <c r="C327" s="4" t="s">
        <v>8796</v>
      </c>
      <c r="D327" s="4" t="s">
        <v>9071</v>
      </c>
      <c r="E327" s="12" t="s">
        <v>406</v>
      </c>
      <c r="F327" s="75" t="s">
        <v>409</v>
      </c>
      <c r="G327" s="3">
        <v>32</v>
      </c>
      <c r="H327" s="3" t="s">
        <v>193</v>
      </c>
      <c r="I327" s="68" t="s">
        <v>260</v>
      </c>
      <c r="J327" s="72">
        <v>1.35</v>
      </c>
      <c r="K327" s="14" t="s">
        <v>6175</v>
      </c>
      <c r="L327" s="9">
        <v>704.93</v>
      </c>
      <c r="M327" s="3">
        <v>783.42</v>
      </c>
      <c r="N327" s="66" t="s">
        <v>8189</v>
      </c>
      <c r="O327" s="5" t="s">
        <v>8649</v>
      </c>
      <c r="P327" s="49">
        <f t="shared" si="17"/>
        <v>2.3613514860970319</v>
      </c>
      <c r="Q327" s="1">
        <f t="shared" si="18"/>
        <v>2.9185652219675133</v>
      </c>
      <c r="R327" s="1">
        <f t="shared" si="20"/>
        <v>3.0443864881213045</v>
      </c>
      <c r="S327" s="10">
        <f t="shared" si="19"/>
        <v>2.6399583540322724</v>
      </c>
      <c r="T327" s="45" cm="1">
        <f t="array" ref="T327">SUMPRODUCT(P327:S327 * P$3:S$3) / SUM(P$3:S$3)</f>
        <v>2.7450406620360068</v>
      </c>
    </row>
    <row r="328" spans="1:20" ht="16.5" customHeight="1" x14ac:dyDescent="0.25">
      <c r="A328" s="5" t="s">
        <v>7190</v>
      </c>
      <c r="B328" s="16" t="s">
        <v>7669</v>
      </c>
      <c r="C328" s="4" t="s">
        <v>8796</v>
      </c>
      <c r="D328" s="4" t="s">
        <v>9071</v>
      </c>
      <c r="E328" s="12" t="s">
        <v>406</v>
      </c>
      <c r="F328" s="75" t="s">
        <v>409</v>
      </c>
      <c r="G328" s="3">
        <v>32</v>
      </c>
      <c r="H328" s="3" t="s">
        <v>193</v>
      </c>
      <c r="I328" s="68" t="s">
        <v>260</v>
      </c>
      <c r="J328" s="72">
        <v>1.35</v>
      </c>
      <c r="L328" s="9">
        <v>614.99</v>
      </c>
      <c r="M328" s="3">
        <v>1109.83</v>
      </c>
      <c r="N328" s="66" t="s">
        <v>8230</v>
      </c>
      <c r="O328" s="5" t="s">
        <v>8684</v>
      </c>
      <c r="P328" s="49">
        <f t="shared" si="17"/>
        <v>2.3613514860970319</v>
      </c>
      <c r="Q328" s="1">
        <f t="shared" si="18"/>
        <v>2.9185652219675133</v>
      </c>
      <c r="R328" s="1">
        <f t="shared" si="20"/>
        <v>3.0443864881213045</v>
      </c>
      <c r="S328" s="10">
        <f t="shared" si="19"/>
        <v>2.6399583540322724</v>
      </c>
      <c r="T328" s="45" cm="1">
        <f t="array" ref="T328">SUMPRODUCT(P328:S328 * P$3:S$3) / SUM(P$3:S$3)</f>
        <v>2.7450406620360068</v>
      </c>
    </row>
    <row r="329" spans="1:20" ht="16.5" customHeight="1" x14ac:dyDescent="0.25">
      <c r="A329" s="5" t="s">
        <v>7100</v>
      </c>
      <c r="B329" s="16" t="s">
        <v>7471</v>
      </c>
      <c r="C329" s="4" t="s">
        <v>8797</v>
      </c>
      <c r="D329" s="4" t="s">
        <v>9071</v>
      </c>
      <c r="E329" s="12" t="s">
        <v>406</v>
      </c>
      <c r="F329" s="75" t="s">
        <v>409</v>
      </c>
      <c r="G329" s="3">
        <v>32</v>
      </c>
      <c r="H329" s="3" t="s">
        <v>193</v>
      </c>
      <c r="I329" s="68" t="s">
        <v>260</v>
      </c>
      <c r="J329" s="72">
        <v>1.35</v>
      </c>
      <c r="L329" s="9">
        <v>473</v>
      </c>
      <c r="M329" s="3">
        <v>860</v>
      </c>
      <c r="N329" s="66" t="s">
        <v>8032</v>
      </c>
      <c r="O329" s="5" t="s">
        <v>8514</v>
      </c>
      <c r="P329" s="49">
        <f t="shared" si="17"/>
        <v>2.3613514860970319</v>
      </c>
      <c r="Q329" s="1">
        <f t="shared" si="18"/>
        <v>2.9185652219675133</v>
      </c>
      <c r="R329" s="1">
        <f t="shared" si="20"/>
        <v>3.0443864881213045</v>
      </c>
      <c r="S329" s="10">
        <f t="shared" si="19"/>
        <v>2.6399583540322724</v>
      </c>
      <c r="T329" s="45" cm="1">
        <f t="array" ref="T329">SUMPRODUCT(P329:S329 * P$3:S$3) / SUM(P$3:S$3)</f>
        <v>2.7450406620360068</v>
      </c>
    </row>
    <row r="330" spans="1:20" ht="16.5" customHeight="1" x14ac:dyDescent="0.25">
      <c r="A330" s="5" t="s">
        <v>7085</v>
      </c>
      <c r="B330" s="16" t="s">
        <v>7452</v>
      </c>
      <c r="C330" s="4" t="s">
        <v>8797</v>
      </c>
      <c r="D330" s="4" t="s">
        <v>9071</v>
      </c>
      <c r="E330" s="12" t="s">
        <v>406</v>
      </c>
      <c r="F330" s="75" t="s">
        <v>409</v>
      </c>
      <c r="G330" s="3">
        <v>32</v>
      </c>
      <c r="H330" s="3" t="s">
        <v>193</v>
      </c>
      <c r="I330" s="68" t="s">
        <v>260</v>
      </c>
      <c r="J330" s="72">
        <v>1.35</v>
      </c>
      <c r="K330" s="14" t="s">
        <v>7797</v>
      </c>
      <c r="L330" s="9">
        <v>449.03</v>
      </c>
      <c r="M330" s="3">
        <v>743.32</v>
      </c>
      <c r="N330" s="66" t="s">
        <v>8013</v>
      </c>
      <c r="O330" s="5" t="s">
        <v>8499</v>
      </c>
      <c r="P330" s="49">
        <f t="shared" ref="P330:P393" si="21">(((F330/F$9)^F$7 * F$2 + (I330/I$9)^I$7 * I$2 + (J330/J$9)^J$7 * J$2) * (1+M$3*(MIN(H330,M$2)-1)+M$4*(H330-MIN(H330,M$2))) + (G330/G$9)^G$7 * G$2)  * P$9</f>
        <v>2.3613514860970319</v>
      </c>
      <c r="Q330" s="1">
        <f t="shared" ref="Q330:Q393" si="22">(((F330/F$9)^F$7 * F$3 + (I330/I$9)^I$7 * I$3 + (J330/J$9)^J$7 * J$3) * (1+M$3*(MIN(H330,M$2)-1)+M$4*(H330-MIN(H330,M$2))) + (G330/G$9)^G$7 * G$3)  * P$9</f>
        <v>2.9185652219675133</v>
      </c>
      <c r="R330" s="1">
        <f t="shared" si="20"/>
        <v>3.0443864881213045</v>
      </c>
      <c r="S330" s="10">
        <f t="shared" ref="S330:S393" si="23">(((F330/F$9)^F$7 * F$5 + (I330/I$9)^I$7 * I$5 + (J330/J$9)^J$7 * J$5) * (1+M$3*(MIN(H330,M$2)-1)+M$4*(H330-MIN(H330,M$2))) + (G330/G$9)^G$7 * G$5)  * P$9</f>
        <v>2.6399583540322724</v>
      </c>
      <c r="T330" s="45" cm="1">
        <f t="array" ref="T330">SUMPRODUCT(P330:S330 * P$3:S$3) / SUM(P$3:S$3)</f>
        <v>2.7450406620360068</v>
      </c>
    </row>
    <row r="331" spans="1:20" ht="16.5" customHeight="1" x14ac:dyDescent="0.25">
      <c r="A331" s="5" t="s">
        <v>6989</v>
      </c>
      <c r="B331" s="16" t="s">
        <v>7262</v>
      </c>
      <c r="C331" s="4" t="s">
        <v>8798</v>
      </c>
      <c r="D331" s="4" t="s">
        <v>9071</v>
      </c>
      <c r="E331" s="12" t="s">
        <v>406</v>
      </c>
      <c r="F331" s="75" t="s">
        <v>409</v>
      </c>
      <c r="G331" s="3">
        <v>32</v>
      </c>
      <c r="H331" s="3" t="s">
        <v>193</v>
      </c>
      <c r="I331" s="68" t="s">
        <v>260</v>
      </c>
      <c r="J331" s="72">
        <v>1.35</v>
      </c>
      <c r="K331" s="14" t="s">
        <v>5476</v>
      </c>
      <c r="L331" s="9">
        <v>975.75</v>
      </c>
      <c r="M331" s="3">
        <v>1018.66</v>
      </c>
      <c r="N331" s="66" t="s">
        <v>7823</v>
      </c>
      <c r="O331" s="5" t="s">
        <v>8344</v>
      </c>
      <c r="P331" s="49">
        <f t="shared" si="21"/>
        <v>2.3613514860970319</v>
      </c>
      <c r="Q331" s="1">
        <f t="shared" si="22"/>
        <v>2.9185652219675133</v>
      </c>
      <c r="R331" s="1">
        <f t="shared" si="20"/>
        <v>3.0443864881213045</v>
      </c>
      <c r="S331" s="10">
        <f t="shared" si="23"/>
        <v>2.6399583540322724</v>
      </c>
      <c r="T331" s="45" cm="1">
        <f t="array" ref="T331">SUMPRODUCT(P331:S331 * P$3:S$3) / SUM(P$3:S$3)</f>
        <v>2.7450406620360068</v>
      </c>
    </row>
    <row r="332" spans="1:20" ht="16.5" customHeight="1" x14ac:dyDescent="0.25">
      <c r="A332" s="5" t="s">
        <v>6989</v>
      </c>
      <c r="B332" s="16" t="s">
        <v>7294</v>
      </c>
      <c r="C332" s="4" t="s">
        <v>8798</v>
      </c>
      <c r="D332" s="4" t="s">
        <v>9071</v>
      </c>
      <c r="E332" s="12" t="s">
        <v>406</v>
      </c>
      <c r="F332" s="75" t="s">
        <v>409</v>
      </c>
      <c r="G332" s="3">
        <v>32</v>
      </c>
      <c r="H332" s="3" t="s">
        <v>193</v>
      </c>
      <c r="I332" s="68" t="s">
        <v>260</v>
      </c>
      <c r="J332" s="72">
        <v>1.35</v>
      </c>
      <c r="L332" s="9">
        <v>513</v>
      </c>
      <c r="M332" s="3">
        <v>728</v>
      </c>
      <c r="N332" s="66" t="s">
        <v>7855</v>
      </c>
      <c r="O332" s="5" t="s">
        <v>8367</v>
      </c>
      <c r="P332" s="49">
        <f t="shared" si="21"/>
        <v>2.3613514860970319</v>
      </c>
      <c r="Q332" s="1">
        <f t="shared" si="22"/>
        <v>2.9185652219675133</v>
      </c>
      <c r="R332" s="1">
        <f t="shared" si="20"/>
        <v>3.0443864881213045</v>
      </c>
      <c r="S332" s="10">
        <f t="shared" si="23"/>
        <v>2.6399583540322724</v>
      </c>
      <c r="T332" s="45" cm="1">
        <f t="array" ref="T332">SUMPRODUCT(P332:S332 * P$3:S$3) / SUM(P$3:S$3)</f>
        <v>2.7450406620360068</v>
      </c>
    </row>
    <row r="333" spans="1:20" ht="16.5" customHeight="1" x14ac:dyDescent="0.25">
      <c r="A333" s="5" t="s">
        <v>7243</v>
      </c>
      <c r="B333" s="16" t="s">
        <v>7764</v>
      </c>
      <c r="C333" s="4" t="s">
        <v>8796</v>
      </c>
      <c r="D333" s="4" t="s">
        <v>8960</v>
      </c>
      <c r="E333" s="12" t="s">
        <v>406</v>
      </c>
      <c r="F333" s="75" t="s">
        <v>7790</v>
      </c>
      <c r="G333" s="3">
        <v>16</v>
      </c>
      <c r="H333" s="3" t="s">
        <v>404</v>
      </c>
      <c r="I333" s="68" t="s">
        <v>260</v>
      </c>
      <c r="J333" s="72">
        <v>1.35</v>
      </c>
      <c r="K333" s="14" t="s">
        <v>7804</v>
      </c>
      <c r="L333" s="9">
        <v>108.74</v>
      </c>
      <c r="M333" s="3">
        <v>159.13</v>
      </c>
      <c r="N333" s="66" t="s">
        <v>8325</v>
      </c>
      <c r="O333" s="5" t="s">
        <v>8763</v>
      </c>
      <c r="P333" s="49">
        <f t="shared" si="21"/>
        <v>1.7558754141150421</v>
      </c>
      <c r="Q333" s="1">
        <f t="shared" si="22"/>
        <v>2.0156522228123883</v>
      </c>
      <c r="R333" s="1">
        <f t="shared" si="20"/>
        <v>2.0665007734262639</v>
      </c>
      <c r="S333" s="10">
        <f t="shared" si="23"/>
        <v>1.8857638184637153</v>
      </c>
      <c r="T333" s="45" cm="1">
        <f t="array" ref="T333">SUMPRODUCT(P333:S333 * P$3:S$3) / SUM(P$3:S$3)</f>
        <v>1.9335523352808262</v>
      </c>
    </row>
    <row r="334" spans="1:20" ht="16.5" customHeight="1" x14ac:dyDescent="0.25">
      <c r="A334" s="5" t="s">
        <v>7186</v>
      </c>
      <c r="B334" s="16" t="s">
        <v>7590</v>
      </c>
      <c r="C334" s="4" t="s">
        <v>8796</v>
      </c>
      <c r="D334" s="4" t="s">
        <v>8961</v>
      </c>
      <c r="E334" s="12" t="s">
        <v>406</v>
      </c>
      <c r="F334" s="75" t="s">
        <v>7777</v>
      </c>
      <c r="G334" s="3">
        <v>8</v>
      </c>
      <c r="H334" s="3" t="s">
        <v>6736</v>
      </c>
      <c r="I334" s="68" t="s">
        <v>7794</v>
      </c>
      <c r="J334" s="72">
        <v>1.35</v>
      </c>
      <c r="K334" s="14" t="s">
        <v>7799</v>
      </c>
      <c r="L334" s="9">
        <v>29.36</v>
      </c>
      <c r="M334" s="3">
        <v>36.07</v>
      </c>
      <c r="N334" s="66" t="s">
        <v>8151</v>
      </c>
      <c r="O334" s="5" t="s">
        <v>8621</v>
      </c>
      <c r="P334" s="49">
        <f t="shared" si="21"/>
        <v>1.4306255061403383</v>
      </c>
      <c r="Q334" s="1">
        <f t="shared" si="22"/>
        <v>1.4969718594669263</v>
      </c>
      <c r="R334" s="1">
        <f t="shared" si="20"/>
        <v>1.496876026491174</v>
      </c>
      <c r="S334" s="10">
        <f t="shared" si="23"/>
        <v>1.4637986828036325</v>
      </c>
      <c r="T334" s="45" cm="1">
        <f t="array" ref="T334">SUMPRODUCT(P334:S334 * P$3:S$3) / SUM(P$3:S$3)</f>
        <v>1.4739910705499146</v>
      </c>
    </row>
    <row r="335" spans="1:20" ht="16.5" customHeight="1" x14ac:dyDescent="0.25">
      <c r="A335" s="5" t="s">
        <v>7186</v>
      </c>
      <c r="B335" s="16" t="s">
        <v>7661</v>
      </c>
      <c r="C335" s="4" t="s">
        <v>8796</v>
      </c>
      <c r="D335" s="4" t="s">
        <v>8961</v>
      </c>
      <c r="E335" s="12" t="s">
        <v>406</v>
      </c>
      <c r="F335" s="75" t="s">
        <v>7777</v>
      </c>
      <c r="G335" s="3">
        <v>8</v>
      </c>
      <c r="H335" s="3" t="s">
        <v>6736</v>
      </c>
      <c r="I335" s="68" t="s">
        <v>7794</v>
      </c>
      <c r="J335" s="72">
        <v>1.35</v>
      </c>
      <c r="K335" s="14" t="s">
        <v>6175</v>
      </c>
      <c r="L335" s="9">
        <v>34.19</v>
      </c>
      <c r="M335" s="3">
        <v>69.900000000000006</v>
      </c>
      <c r="N335" s="66" t="s">
        <v>8222</v>
      </c>
      <c r="O335" s="5" t="s">
        <v>8676</v>
      </c>
      <c r="P335" s="49">
        <f t="shared" si="21"/>
        <v>1.4306255061403383</v>
      </c>
      <c r="Q335" s="1">
        <f t="shared" si="22"/>
        <v>1.4969718594669263</v>
      </c>
      <c r="R335" s="1">
        <f t="shared" si="20"/>
        <v>1.496876026491174</v>
      </c>
      <c r="S335" s="10">
        <f t="shared" si="23"/>
        <v>1.4637986828036325</v>
      </c>
      <c r="T335" s="45" cm="1">
        <f t="array" ref="T335">SUMPRODUCT(P335:S335 * P$3:S$3) / SUM(P$3:S$3)</f>
        <v>1.4739910705499146</v>
      </c>
    </row>
    <row r="336" spans="1:20" ht="16.5" customHeight="1" x14ac:dyDescent="0.25">
      <c r="A336" s="5" t="s">
        <v>7186</v>
      </c>
      <c r="B336" s="16" t="s">
        <v>7727</v>
      </c>
      <c r="C336" s="4" t="s">
        <v>8796</v>
      </c>
      <c r="D336" s="4" t="s">
        <v>8961</v>
      </c>
      <c r="E336" s="12" t="s">
        <v>406</v>
      </c>
      <c r="F336" s="75" t="s">
        <v>7777</v>
      </c>
      <c r="G336" s="3">
        <v>8</v>
      </c>
      <c r="H336" s="3" t="s">
        <v>6736</v>
      </c>
      <c r="I336" s="68" t="s">
        <v>7794</v>
      </c>
      <c r="J336" s="72">
        <v>1.35</v>
      </c>
      <c r="L336" s="9">
        <v>22.4</v>
      </c>
      <c r="M336" s="3">
        <v>31.61</v>
      </c>
      <c r="N336" s="66" t="s">
        <v>8288</v>
      </c>
      <c r="O336" s="5" t="s">
        <v>8729</v>
      </c>
      <c r="P336" s="49">
        <f t="shared" si="21"/>
        <v>1.4306255061403383</v>
      </c>
      <c r="Q336" s="1">
        <f t="shared" si="22"/>
        <v>1.4969718594669263</v>
      </c>
      <c r="R336" s="1">
        <f t="shared" ref="R336:R399" si="24">(((F336/F$9)^F$7 * F$4 + (I336/I$9)^I$7 * I$4 + (J336/J$9)^J$7 * J$4) * (1+M$3*(MIN(H336,M$2)-1)+M$4*(H336-MIN(H336,M$2))) + (G336/G$9)^G$7 * G$4)  * P$9</f>
        <v>1.496876026491174</v>
      </c>
      <c r="S336" s="10">
        <f t="shared" si="23"/>
        <v>1.4637986828036325</v>
      </c>
      <c r="T336" s="45" cm="1">
        <f t="array" ref="T336">SUMPRODUCT(P336:S336 * P$3:S$3) / SUM(P$3:S$3)</f>
        <v>1.4739910705499146</v>
      </c>
    </row>
    <row r="337" spans="1:20" ht="16.5" customHeight="1" x14ac:dyDescent="0.25">
      <c r="A337" s="5" t="s">
        <v>7026</v>
      </c>
      <c r="B337" s="16" t="s">
        <v>7332</v>
      </c>
      <c r="C337" s="4" t="s">
        <v>8798</v>
      </c>
      <c r="D337" s="4" t="s">
        <v>8961</v>
      </c>
      <c r="E337" s="12" t="s">
        <v>406</v>
      </c>
      <c r="F337" s="75" t="s">
        <v>7777</v>
      </c>
      <c r="G337" s="3">
        <v>8</v>
      </c>
      <c r="H337" s="3" t="s">
        <v>6736</v>
      </c>
      <c r="I337" s="68" t="s">
        <v>7795</v>
      </c>
      <c r="J337" s="72">
        <v>1.35</v>
      </c>
      <c r="K337" s="14" t="s">
        <v>5476</v>
      </c>
      <c r="L337" s="9">
        <v>24.85</v>
      </c>
      <c r="M337" s="3">
        <v>44.5</v>
      </c>
      <c r="N337" s="66" t="s">
        <v>7893</v>
      </c>
      <c r="O337" s="5" t="s">
        <v>8399</v>
      </c>
      <c r="P337" s="49">
        <f t="shared" si="21"/>
        <v>1.4373182592214846</v>
      </c>
      <c r="Q337" s="1">
        <f t="shared" si="22"/>
        <v>1.5003182360074994</v>
      </c>
      <c r="R337" s="1">
        <f t="shared" si="24"/>
        <v>1.500222403031747</v>
      </c>
      <c r="S337" s="10">
        <f t="shared" si="23"/>
        <v>1.468818247614492</v>
      </c>
      <c r="T337" s="45" cm="1">
        <f t="array" ref="T337">SUMPRODUCT(P337:S337 * P$3:S$3) / SUM(P$3:S$3)</f>
        <v>1.4784958082006863</v>
      </c>
    </row>
    <row r="338" spans="1:20" ht="16.5" customHeight="1" x14ac:dyDescent="0.25">
      <c r="A338" s="5" t="s">
        <v>7026</v>
      </c>
      <c r="B338" s="16" t="s">
        <v>7366</v>
      </c>
      <c r="C338" s="4" t="s">
        <v>8798</v>
      </c>
      <c r="D338" s="4" t="s">
        <v>8961</v>
      </c>
      <c r="E338" s="12" t="s">
        <v>406</v>
      </c>
      <c r="F338" s="75" t="s">
        <v>7777</v>
      </c>
      <c r="G338" s="3">
        <v>8</v>
      </c>
      <c r="H338" s="3" t="s">
        <v>6736</v>
      </c>
      <c r="I338" s="68" t="s">
        <v>7795</v>
      </c>
      <c r="J338" s="72">
        <v>1.35</v>
      </c>
      <c r="K338" s="14" t="s">
        <v>5476</v>
      </c>
      <c r="L338" s="9">
        <v>18.89</v>
      </c>
      <c r="M338" s="3">
        <v>47.4</v>
      </c>
      <c r="N338" s="66" t="s">
        <v>7927</v>
      </c>
      <c r="O338" s="5" t="s">
        <v>8423</v>
      </c>
      <c r="P338" s="49">
        <f t="shared" si="21"/>
        <v>1.4373182592214846</v>
      </c>
      <c r="Q338" s="1">
        <f t="shared" si="22"/>
        <v>1.5003182360074994</v>
      </c>
      <c r="R338" s="1">
        <f t="shared" si="24"/>
        <v>1.500222403031747</v>
      </c>
      <c r="S338" s="10">
        <f t="shared" si="23"/>
        <v>1.468818247614492</v>
      </c>
      <c r="T338" s="45" cm="1">
        <f t="array" ref="T338">SUMPRODUCT(P338:S338 * P$3:S$3) / SUM(P$3:S$3)</f>
        <v>1.4784958082006863</v>
      </c>
    </row>
    <row r="339" spans="1:20" ht="16.5" customHeight="1" x14ac:dyDescent="0.25">
      <c r="A339" s="5" t="s">
        <v>7026</v>
      </c>
      <c r="B339" s="16" t="s">
        <v>7397</v>
      </c>
      <c r="C339" s="4" t="s">
        <v>8798</v>
      </c>
      <c r="D339" s="4" t="s">
        <v>8961</v>
      </c>
      <c r="E339" s="12" t="s">
        <v>406</v>
      </c>
      <c r="F339" s="75" t="s">
        <v>7777</v>
      </c>
      <c r="G339" s="3">
        <v>8</v>
      </c>
      <c r="H339" s="3" t="s">
        <v>6736</v>
      </c>
      <c r="I339" s="68" t="s">
        <v>7795</v>
      </c>
      <c r="J339" s="72">
        <v>1.35</v>
      </c>
      <c r="L339" s="9">
        <v>19.96</v>
      </c>
      <c r="M339" s="3">
        <v>38.520000000000003</v>
      </c>
      <c r="N339" s="66" t="s">
        <v>7958</v>
      </c>
      <c r="O339" s="5" t="s">
        <v>8450</v>
      </c>
      <c r="P339" s="49">
        <f t="shared" si="21"/>
        <v>1.4373182592214846</v>
      </c>
      <c r="Q339" s="1">
        <f t="shared" si="22"/>
        <v>1.5003182360074994</v>
      </c>
      <c r="R339" s="1">
        <f t="shared" si="24"/>
        <v>1.500222403031747</v>
      </c>
      <c r="S339" s="10">
        <f t="shared" si="23"/>
        <v>1.468818247614492</v>
      </c>
      <c r="T339" s="45" cm="1">
        <f t="array" ref="T339">SUMPRODUCT(P339:S339 * P$3:S$3) / SUM(P$3:S$3)</f>
        <v>1.4784958082006863</v>
      </c>
    </row>
    <row r="340" spans="1:20" ht="16.5" customHeight="1" x14ac:dyDescent="0.25">
      <c r="A340" s="5" t="s">
        <v>7011</v>
      </c>
      <c r="B340" s="16" t="s">
        <v>7290</v>
      </c>
      <c r="C340" s="4" t="s">
        <v>8798</v>
      </c>
      <c r="D340" s="4" t="s">
        <v>8961</v>
      </c>
      <c r="E340" s="12" t="s">
        <v>406</v>
      </c>
      <c r="F340" s="75" t="s">
        <v>7777</v>
      </c>
      <c r="G340" s="3">
        <v>8</v>
      </c>
      <c r="H340" s="3" t="s">
        <v>6736</v>
      </c>
      <c r="I340" s="68" t="s">
        <v>260</v>
      </c>
      <c r="J340" s="72">
        <v>1.35</v>
      </c>
      <c r="K340" s="14" t="s">
        <v>5476</v>
      </c>
      <c r="L340" s="9">
        <v>28.79</v>
      </c>
      <c r="M340" s="3">
        <v>47.07</v>
      </c>
      <c r="N340" s="66" t="s">
        <v>7851</v>
      </c>
      <c r="O340" s="5" t="s">
        <v>8364</v>
      </c>
      <c r="P340" s="49">
        <f t="shared" si="21"/>
        <v>1.4446722332684527</v>
      </c>
      <c r="Q340" s="1">
        <f t="shared" si="22"/>
        <v>1.5039952230309837</v>
      </c>
      <c r="R340" s="1">
        <f t="shared" si="24"/>
        <v>1.5038993900552313</v>
      </c>
      <c r="S340" s="10">
        <f t="shared" si="23"/>
        <v>1.4743337281497182</v>
      </c>
      <c r="T340" s="45" cm="1">
        <f t="array" ref="T340">SUMPRODUCT(P340:S340 * P$3:S$3) / SUM(P$3:S$3)</f>
        <v>1.4834455984246071</v>
      </c>
    </row>
    <row r="341" spans="1:20" ht="16.5" customHeight="1" x14ac:dyDescent="0.25">
      <c r="A341" s="5" t="s">
        <v>7011</v>
      </c>
      <c r="B341" s="16" t="s">
        <v>7326</v>
      </c>
      <c r="C341" s="4" t="s">
        <v>8798</v>
      </c>
      <c r="D341" s="4" t="s">
        <v>8961</v>
      </c>
      <c r="E341" s="12" t="s">
        <v>406</v>
      </c>
      <c r="F341" s="75" t="s">
        <v>7777</v>
      </c>
      <c r="G341" s="3">
        <v>8</v>
      </c>
      <c r="H341" s="3" t="s">
        <v>6736</v>
      </c>
      <c r="I341" s="68" t="s">
        <v>260</v>
      </c>
      <c r="J341" s="72">
        <v>1.35</v>
      </c>
      <c r="L341" s="9">
        <v>22.29</v>
      </c>
      <c r="M341" s="3">
        <v>66</v>
      </c>
      <c r="N341" s="66" t="s">
        <v>7887</v>
      </c>
      <c r="O341" s="5" t="s">
        <v>8393</v>
      </c>
      <c r="P341" s="49">
        <f t="shared" si="21"/>
        <v>1.4446722332684527</v>
      </c>
      <c r="Q341" s="1">
        <f t="shared" si="22"/>
        <v>1.5039952230309837</v>
      </c>
      <c r="R341" s="1">
        <f t="shared" si="24"/>
        <v>1.5038993900552313</v>
      </c>
      <c r="S341" s="10">
        <f t="shared" si="23"/>
        <v>1.4743337281497182</v>
      </c>
      <c r="T341" s="45" cm="1">
        <f t="array" ref="T341">SUMPRODUCT(P341:S341 * P$3:S$3) / SUM(P$3:S$3)</f>
        <v>1.4834455984246071</v>
      </c>
    </row>
    <row r="342" spans="1:20" ht="16.5" customHeight="1" x14ac:dyDescent="0.25">
      <c r="A342" s="5" t="s">
        <v>7235</v>
      </c>
      <c r="B342" s="16" t="s">
        <v>7751</v>
      </c>
      <c r="C342" s="4" t="s">
        <v>8796</v>
      </c>
      <c r="D342" s="4" t="s">
        <v>8962</v>
      </c>
      <c r="E342" s="12" t="s">
        <v>406</v>
      </c>
      <c r="F342" s="75" t="s">
        <v>7777</v>
      </c>
      <c r="G342" s="3">
        <v>8</v>
      </c>
      <c r="H342" s="3" t="s">
        <v>404</v>
      </c>
      <c r="I342" s="68" t="s">
        <v>7794</v>
      </c>
      <c r="J342" s="72">
        <v>1.35</v>
      </c>
      <c r="K342" s="14" t="s">
        <v>7804</v>
      </c>
      <c r="L342" s="9">
        <v>89.86</v>
      </c>
      <c r="M342" s="3">
        <v>173</v>
      </c>
      <c r="N342" s="66" t="s">
        <v>8312</v>
      </c>
      <c r="O342" s="5" t="s">
        <v>8753</v>
      </c>
      <c r="P342" s="49">
        <f t="shared" si="21"/>
        <v>1.4570724426354766</v>
      </c>
      <c r="Q342" s="1">
        <f t="shared" si="22"/>
        <v>1.516169601423301</v>
      </c>
      <c r="R342" s="1">
        <f t="shared" si="24"/>
        <v>1.5137937383743325</v>
      </c>
      <c r="S342" s="10">
        <f t="shared" si="23"/>
        <v>1.4866210220293889</v>
      </c>
      <c r="T342" s="45" cm="1">
        <f t="array" ref="T342">SUMPRODUCT(P342:S342 * P$3:S$3) / SUM(P$3:S$3)</f>
        <v>1.4953473752199822</v>
      </c>
    </row>
    <row r="343" spans="1:20" ht="16.5" customHeight="1" x14ac:dyDescent="0.25">
      <c r="A343" s="5" t="s">
        <v>7235</v>
      </c>
      <c r="B343" s="16" t="s">
        <v>7770</v>
      </c>
      <c r="C343" s="4" t="s">
        <v>8796</v>
      </c>
      <c r="D343" s="4" t="s">
        <v>8962</v>
      </c>
      <c r="E343" s="12" t="s">
        <v>406</v>
      </c>
      <c r="F343" s="75" t="s">
        <v>7777</v>
      </c>
      <c r="G343" s="3">
        <v>8</v>
      </c>
      <c r="H343" s="3" t="s">
        <v>404</v>
      </c>
      <c r="I343" s="68" t="s">
        <v>7794</v>
      </c>
      <c r="J343" s="72">
        <v>1.35</v>
      </c>
      <c r="K343" s="14" t="s">
        <v>7804</v>
      </c>
      <c r="L343" s="9">
        <v>86.9</v>
      </c>
      <c r="M343" s="3">
        <v>126.58</v>
      </c>
      <c r="N343" s="66" t="s">
        <v>8331</v>
      </c>
      <c r="O343" s="5" t="s">
        <v>8766</v>
      </c>
      <c r="P343" s="49">
        <f t="shared" si="21"/>
        <v>1.4570724426354766</v>
      </c>
      <c r="Q343" s="1">
        <f t="shared" si="22"/>
        <v>1.516169601423301</v>
      </c>
      <c r="R343" s="1">
        <f t="shared" si="24"/>
        <v>1.5137937383743325</v>
      </c>
      <c r="S343" s="10">
        <f t="shared" si="23"/>
        <v>1.4866210220293889</v>
      </c>
      <c r="T343" s="45" cm="1">
        <f t="array" ref="T343">SUMPRODUCT(P343:S343 * P$3:S$3) / SUM(P$3:S$3)</f>
        <v>1.4953473752199822</v>
      </c>
    </row>
    <row r="344" spans="1:20" ht="16.5" customHeight="1" x14ac:dyDescent="0.25">
      <c r="A344" s="5" t="s">
        <v>7177</v>
      </c>
      <c r="B344" s="16" t="s">
        <v>7565</v>
      </c>
      <c r="C344" s="4" t="s">
        <v>8796</v>
      </c>
      <c r="D344" s="4" t="s">
        <v>8962</v>
      </c>
      <c r="E344" s="12" t="s">
        <v>406</v>
      </c>
      <c r="F344" s="75" t="s">
        <v>7777</v>
      </c>
      <c r="G344" s="3">
        <v>8</v>
      </c>
      <c r="H344" s="3" t="s">
        <v>404</v>
      </c>
      <c r="I344" s="68" t="s">
        <v>7794</v>
      </c>
      <c r="J344" s="72">
        <v>1.35</v>
      </c>
      <c r="K344" s="14" t="s">
        <v>6175</v>
      </c>
      <c r="L344" s="9">
        <v>54.9</v>
      </c>
      <c r="M344" s="3">
        <v>75.180000000000007</v>
      </c>
      <c r="N344" s="66" t="s">
        <v>8126</v>
      </c>
      <c r="O344" s="5" t="s">
        <v>8600</v>
      </c>
      <c r="P344" s="49">
        <f t="shared" si="21"/>
        <v>1.4570724426354766</v>
      </c>
      <c r="Q344" s="1">
        <f t="shared" si="22"/>
        <v>1.516169601423301</v>
      </c>
      <c r="R344" s="1">
        <f t="shared" si="24"/>
        <v>1.5137937383743325</v>
      </c>
      <c r="S344" s="10">
        <f t="shared" si="23"/>
        <v>1.4866210220293889</v>
      </c>
      <c r="T344" s="45" cm="1">
        <f t="array" ref="T344">SUMPRODUCT(P344:S344 * P$3:S$3) / SUM(P$3:S$3)</f>
        <v>1.4953473752199822</v>
      </c>
    </row>
    <row r="345" spans="1:20" ht="16.5" customHeight="1" x14ac:dyDescent="0.25">
      <c r="A345" s="5" t="s">
        <v>7177</v>
      </c>
      <c r="B345" s="16" t="s">
        <v>7579</v>
      </c>
      <c r="C345" s="4" t="s">
        <v>8796</v>
      </c>
      <c r="D345" s="4" t="s">
        <v>8962</v>
      </c>
      <c r="E345" s="12" t="s">
        <v>406</v>
      </c>
      <c r="F345" s="75" t="s">
        <v>7777</v>
      </c>
      <c r="G345" s="3">
        <v>8</v>
      </c>
      <c r="H345" s="3" t="s">
        <v>404</v>
      </c>
      <c r="I345" s="68" t="s">
        <v>7794</v>
      </c>
      <c r="J345" s="72">
        <v>1.35</v>
      </c>
      <c r="K345" s="14" t="s">
        <v>6175</v>
      </c>
      <c r="L345" s="9">
        <v>55.9</v>
      </c>
      <c r="M345" s="3">
        <v>92</v>
      </c>
      <c r="N345" s="66" t="s">
        <v>8140</v>
      </c>
      <c r="O345" s="5" t="s">
        <v>8610</v>
      </c>
      <c r="P345" s="49">
        <f t="shared" si="21"/>
        <v>1.4570724426354766</v>
      </c>
      <c r="Q345" s="1">
        <f t="shared" si="22"/>
        <v>1.516169601423301</v>
      </c>
      <c r="R345" s="1">
        <f t="shared" si="24"/>
        <v>1.5137937383743325</v>
      </c>
      <c r="S345" s="10">
        <f t="shared" si="23"/>
        <v>1.4866210220293889</v>
      </c>
      <c r="T345" s="45" cm="1">
        <f t="array" ref="T345">SUMPRODUCT(P345:S345 * P$3:S$3) / SUM(P$3:S$3)</f>
        <v>1.4953473752199822</v>
      </c>
    </row>
    <row r="346" spans="1:20" ht="16.5" customHeight="1" x14ac:dyDescent="0.25">
      <c r="A346" s="5" t="s">
        <v>7177</v>
      </c>
      <c r="B346" s="16" t="s">
        <v>7580</v>
      </c>
      <c r="C346" s="4" t="s">
        <v>8796</v>
      </c>
      <c r="D346" s="4" t="s">
        <v>8962</v>
      </c>
      <c r="E346" s="12" t="s">
        <v>406</v>
      </c>
      <c r="F346" s="75" t="s">
        <v>7777</v>
      </c>
      <c r="G346" s="3">
        <v>8</v>
      </c>
      <c r="H346" s="3" t="s">
        <v>404</v>
      </c>
      <c r="I346" s="68" t="s">
        <v>260</v>
      </c>
      <c r="J346" s="72">
        <v>1.35</v>
      </c>
      <c r="K346" s="14" t="s">
        <v>6175</v>
      </c>
      <c r="L346" s="9">
        <v>78.989999999999995</v>
      </c>
      <c r="M346" s="3">
        <v>84.89</v>
      </c>
      <c r="N346" s="66" t="s">
        <v>8141</v>
      </c>
      <c r="O346" s="5" t="s">
        <v>8611</v>
      </c>
      <c r="P346" s="49">
        <f t="shared" si="21"/>
        <v>1.4715130032344725</v>
      </c>
      <c r="Q346" s="1">
        <f t="shared" si="22"/>
        <v>1.5233898817227989</v>
      </c>
      <c r="R346" s="1">
        <f t="shared" si="24"/>
        <v>1.5210140186738303</v>
      </c>
      <c r="S346" s="10">
        <f t="shared" si="23"/>
        <v>1.4974514424786358</v>
      </c>
      <c r="T346" s="45" cm="1">
        <f t="array" ref="T346">SUMPRODUCT(P346:S346 * P$3:S$3) / SUM(P$3:S$3)</f>
        <v>1.50506698331546</v>
      </c>
    </row>
    <row r="347" spans="1:20" ht="16.5" customHeight="1" x14ac:dyDescent="0.25">
      <c r="A347" s="5" t="s">
        <v>7177</v>
      </c>
      <c r="B347" s="16" t="s">
        <v>7586</v>
      </c>
      <c r="C347" s="4" t="s">
        <v>8796</v>
      </c>
      <c r="D347" s="4" t="s">
        <v>8962</v>
      </c>
      <c r="E347" s="12" t="s">
        <v>406</v>
      </c>
      <c r="F347" s="75" t="s">
        <v>7777</v>
      </c>
      <c r="G347" s="3">
        <v>8</v>
      </c>
      <c r="H347" s="3" t="s">
        <v>404</v>
      </c>
      <c r="I347" s="68" t="s">
        <v>7794</v>
      </c>
      <c r="J347" s="72">
        <v>1.35</v>
      </c>
      <c r="K347" s="14" t="s">
        <v>7799</v>
      </c>
      <c r="L347" s="9">
        <v>50.9</v>
      </c>
      <c r="M347" s="3">
        <v>75.91</v>
      </c>
      <c r="N347" s="66" t="s">
        <v>8147</v>
      </c>
      <c r="O347" s="5" t="s">
        <v>8617</v>
      </c>
      <c r="P347" s="49">
        <f t="shared" si="21"/>
        <v>1.4570724426354766</v>
      </c>
      <c r="Q347" s="1">
        <f t="shared" si="22"/>
        <v>1.516169601423301</v>
      </c>
      <c r="R347" s="1">
        <f t="shared" si="24"/>
        <v>1.5137937383743325</v>
      </c>
      <c r="S347" s="10">
        <f t="shared" si="23"/>
        <v>1.4866210220293889</v>
      </c>
      <c r="T347" s="45" cm="1">
        <f t="array" ref="T347">SUMPRODUCT(P347:S347 * P$3:S$3) / SUM(P$3:S$3)</f>
        <v>1.4953473752199822</v>
      </c>
    </row>
    <row r="348" spans="1:20" ht="16.5" customHeight="1" x14ac:dyDescent="0.25">
      <c r="A348" s="5" t="s">
        <v>7177</v>
      </c>
      <c r="B348" s="16" t="s">
        <v>7595</v>
      </c>
      <c r="C348" s="4" t="s">
        <v>8796</v>
      </c>
      <c r="D348" s="4" t="s">
        <v>8962</v>
      </c>
      <c r="E348" s="12" t="s">
        <v>406</v>
      </c>
      <c r="F348" s="75" t="s">
        <v>7777</v>
      </c>
      <c r="G348" s="3">
        <v>8</v>
      </c>
      <c r="H348" s="3" t="s">
        <v>404</v>
      </c>
      <c r="I348" s="68" t="s">
        <v>7794</v>
      </c>
      <c r="J348" s="72">
        <v>1.35</v>
      </c>
      <c r="K348" s="14" t="s">
        <v>6175</v>
      </c>
      <c r="L348" s="9">
        <v>51.9</v>
      </c>
      <c r="M348" s="3">
        <v>88.37</v>
      </c>
      <c r="N348" s="66" t="s">
        <v>8156</v>
      </c>
      <c r="O348" s="5" t="s">
        <v>8626</v>
      </c>
      <c r="P348" s="49">
        <f t="shared" si="21"/>
        <v>1.4570724426354766</v>
      </c>
      <c r="Q348" s="1">
        <f t="shared" si="22"/>
        <v>1.516169601423301</v>
      </c>
      <c r="R348" s="1">
        <f t="shared" si="24"/>
        <v>1.5137937383743325</v>
      </c>
      <c r="S348" s="10">
        <f t="shared" si="23"/>
        <v>1.4866210220293889</v>
      </c>
      <c r="T348" s="45" cm="1">
        <f t="array" ref="T348">SUMPRODUCT(P348:S348 * P$3:S$3) / SUM(P$3:S$3)</f>
        <v>1.4953473752199822</v>
      </c>
    </row>
    <row r="349" spans="1:20" ht="16.5" customHeight="1" x14ac:dyDescent="0.25">
      <c r="A349" s="5" t="s">
        <v>7177</v>
      </c>
      <c r="B349" s="16" t="s">
        <v>7596</v>
      </c>
      <c r="C349" s="4" t="s">
        <v>8796</v>
      </c>
      <c r="D349" s="4" t="s">
        <v>8962</v>
      </c>
      <c r="E349" s="12" t="s">
        <v>406</v>
      </c>
      <c r="F349" s="75" t="s">
        <v>7777</v>
      </c>
      <c r="G349" s="3">
        <v>8</v>
      </c>
      <c r="H349" s="3" t="s">
        <v>404</v>
      </c>
      <c r="I349" s="68" t="s">
        <v>7794</v>
      </c>
      <c r="J349" s="72">
        <v>1.35</v>
      </c>
      <c r="K349" s="14" t="s">
        <v>6175</v>
      </c>
      <c r="L349" s="9">
        <v>59.9</v>
      </c>
      <c r="M349" s="3">
        <v>89.19</v>
      </c>
      <c r="N349" s="66" t="s">
        <v>8157</v>
      </c>
      <c r="O349" s="5" t="s">
        <v>8627</v>
      </c>
      <c r="P349" s="49">
        <f t="shared" si="21"/>
        <v>1.4570724426354766</v>
      </c>
      <c r="Q349" s="1">
        <f t="shared" si="22"/>
        <v>1.516169601423301</v>
      </c>
      <c r="R349" s="1">
        <f t="shared" si="24"/>
        <v>1.5137937383743325</v>
      </c>
      <c r="S349" s="10">
        <f t="shared" si="23"/>
        <v>1.4866210220293889</v>
      </c>
      <c r="T349" s="45" cm="1">
        <f t="array" ref="T349">SUMPRODUCT(P349:S349 * P$3:S$3) / SUM(P$3:S$3)</f>
        <v>1.4953473752199822</v>
      </c>
    </row>
    <row r="350" spans="1:20" ht="16.5" customHeight="1" x14ac:dyDescent="0.25">
      <c r="A350" s="5" t="s">
        <v>7177</v>
      </c>
      <c r="B350" s="16" t="s">
        <v>7609</v>
      </c>
      <c r="C350" s="4" t="s">
        <v>8796</v>
      </c>
      <c r="D350" s="4" t="s">
        <v>8962</v>
      </c>
      <c r="E350" s="12" t="s">
        <v>406</v>
      </c>
      <c r="F350" s="75" t="s">
        <v>7777</v>
      </c>
      <c r="G350" s="3">
        <v>8</v>
      </c>
      <c r="H350" s="3" t="s">
        <v>404</v>
      </c>
      <c r="I350" s="68" t="s">
        <v>7794</v>
      </c>
      <c r="J350" s="72">
        <v>1.35</v>
      </c>
      <c r="K350" s="14" t="s">
        <v>7800</v>
      </c>
      <c r="L350" s="9">
        <v>47.9</v>
      </c>
      <c r="M350" s="3">
        <v>74.900000000000006</v>
      </c>
      <c r="N350" s="66" t="s">
        <v>8170</v>
      </c>
      <c r="O350" s="5" t="s">
        <v>8638</v>
      </c>
      <c r="P350" s="49">
        <f t="shared" si="21"/>
        <v>1.4570724426354766</v>
      </c>
      <c r="Q350" s="1">
        <f t="shared" si="22"/>
        <v>1.516169601423301</v>
      </c>
      <c r="R350" s="1">
        <f t="shared" si="24"/>
        <v>1.5137937383743325</v>
      </c>
      <c r="S350" s="10">
        <f t="shared" si="23"/>
        <v>1.4866210220293889</v>
      </c>
      <c r="T350" s="45" cm="1">
        <f t="array" ref="T350">SUMPRODUCT(P350:S350 * P$3:S$3) / SUM(P$3:S$3)</f>
        <v>1.4953473752199822</v>
      </c>
    </row>
    <row r="351" spans="1:20" ht="16.5" customHeight="1" x14ac:dyDescent="0.25">
      <c r="A351" s="5" t="s">
        <v>7177</v>
      </c>
      <c r="B351" s="16" t="s">
        <v>7623</v>
      </c>
      <c r="C351" s="4" t="s">
        <v>8796</v>
      </c>
      <c r="D351" s="4" t="s">
        <v>8962</v>
      </c>
      <c r="E351" s="12" t="s">
        <v>406</v>
      </c>
      <c r="F351" s="75" t="s">
        <v>7777</v>
      </c>
      <c r="G351" s="3">
        <v>8</v>
      </c>
      <c r="H351" s="3" t="s">
        <v>404</v>
      </c>
      <c r="I351" s="68" t="s">
        <v>7794</v>
      </c>
      <c r="J351" s="72">
        <v>1.35</v>
      </c>
      <c r="K351" s="14" t="s">
        <v>7800</v>
      </c>
      <c r="L351" s="9">
        <v>51.9</v>
      </c>
      <c r="M351" s="3">
        <v>75.900000000000006</v>
      </c>
      <c r="N351" s="66" t="s">
        <v>8184</v>
      </c>
      <c r="O351" s="5" t="s">
        <v>8646</v>
      </c>
      <c r="P351" s="49">
        <f t="shared" si="21"/>
        <v>1.4570724426354766</v>
      </c>
      <c r="Q351" s="1">
        <f t="shared" si="22"/>
        <v>1.516169601423301</v>
      </c>
      <c r="R351" s="1">
        <f t="shared" si="24"/>
        <v>1.5137937383743325</v>
      </c>
      <c r="S351" s="10">
        <f t="shared" si="23"/>
        <v>1.4866210220293889</v>
      </c>
      <c r="T351" s="45" cm="1">
        <f t="array" ref="T351">SUMPRODUCT(P351:S351 * P$3:S$3) / SUM(P$3:S$3)</f>
        <v>1.4953473752199822</v>
      </c>
    </row>
    <row r="352" spans="1:20" ht="16.5" customHeight="1" x14ac:dyDescent="0.25">
      <c r="A352" s="5" t="s">
        <v>7177</v>
      </c>
      <c r="B352" s="16" t="s">
        <v>7624</v>
      </c>
      <c r="C352" s="4" t="s">
        <v>8796</v>
      </c>
      <c r="D352" s="4" t="s">
        <v>8962</v>
      </c>
      <c r="E352" s="12" t="s">
        <v>406</v>
      </c>
      <c r="F352" s="75" t="s">
        <v>7777</v>
      </c>
      <c r="G352" s="3">
        <v>8</v>
      </c>
      <c r="H352" s="3" t="s">
        <v>404</v>
      </c>
      <c r="I352" s="68" t="s">
        <v>7794</v>
      </c>
      <c r="J352" s="72">
        <v>1.35</v>
      </c>
      <c r="K352" s="14" t="s">
        <v>7800</v>
      </c>
      <c r="L352" s="9">
        <v>48.43</v>
      </c>
      <c r="M352" s="3">
        <v>85.15</v>
      </c>
      <c r="N352" s="66" t="s">
        <v>8185</v>
      </c>
      <c r="O352" s="5" t="s">
        <v>8646</v>
      </c>
      <c r="P352" s="49">
        <f t="shared" si="21"/>
        <v>1.4570724426354766</v>
      </c>
      <c r="Q352" s="1">
        <f t="shared" si="22"/>
        <v>1.516169601423301</v>
      </c>
      <c r="R352" s="1">
        <f t="shared" si="24"/>
        <v>1.5137937383743325</v>
      </c>
      <c r="S352" s="10">
        <f t="shared" si="23"/>
        <v>1.4866210220293889</v>
      </c>
      <c r="T352" s="45" cm="1">
        <f t="array" ref="T352">SUMPRODUCT(P352:S352 * P$3:S$3) / SUM(P$3:S$3)</f>
        <v>1.4953473752199822</v>
      </c>
    </row>
    <row r="353" spans="1:20" ht="16.5" customHeight="1" x14ac:dyDescent="0.25">
      <c r="A353" s="5" t="s">
        <v>7177</v>
      </c>
      <c r="B353" s="16" t="s">
        <v>7625</v>
      </c>
      <c r="C353" s="4" t="s">
        <v>8796</v>
      </c>
      <c r="D353" s="4" t="s">
        <v>8962</v>
      </c>
      <c r="E353" s="12" t="s">
        <v>406</v>
      </c>
      <c r="F353" s="75" t="s">
        <v>7777</v>
      </c>
      <c r="G353" s="3">
        <v>8</v>
      </c>
      <c r="H353" s="3" t="s">
        <v>404</v>
      </c>
      <c r="I353" s="68" t="s">
        <v>260</v>
      </c>
      <c r="J353" s="72">
        <v>1.35</v>
      </c>
      <c r="K353" s="14" t="s">
        <v>7800</v>
      </c>
      <c r="L353" s="9">
        <v>71.42</v>
      </c>
      <c r="M353" s="3">
        <v>152.80000000000001</v>
      </c>
      <c r="N353" s="66" t="s">
        <v>8186</v>
      </c>
      <c r="O353" s="5" t="s">
        <v>8647</v>
      </c>
      <c r="P353" s="49">
        <f t="shared" si="21"/>
        <v>1.4715130032344725</v>
      </c>
      <c r="Q353" s="1">
        <f t="shared" si="22"/>
        <v>1.5233898817227989</v>
      </c>
      <c r="R353" s="1">
        <f t="shared" si="24"/>
        <v>1.5210140186738303</v>
      </c>
      <c r="S353" s="10">
        <f t="shared" si="23"/>
        <v>1.4974514424786358</v>
      </c>
      <c r="T353" s="45" cm="1">
        <f t="array" ref="T353">SUMPRODUCT(P353:S353 * P$3:S$3) / SUM(P$3:S$3)</f>
        <v>1.50506698331546</v>
      </c>
    </row>
    <row r="354" spans="1:20" ht="16.5" customHeight="1" x14ac:dyDescent="0.25">
      <c r="A354" s="5" t="s">
        <v>7177</v>
      </c>
      <c r="B354" s="16" t="s">
        <v>7651</v>
      </c>
      <c r="C354" s="4" t="s">
        <v>8796</v>
      </c>
      <c r="D354" s="4" t="s">
        <v>8962</v>
      </c>
      <c r="E354" s="12" t="s">
        <v>406</v>
      </c>
      <c r="F354" s="75" t="s">
        <v>7777</v>
      </c>
      <c r="G354" s="3">
        <v>8</v>
      </c>
      <c r="H354" s="3" t="s">
        <v>404</v>
      </c>
      <c r="I354" s="68" t="s">
        <v>7794</v>
      </c>
      <c r="J354" s="72">
        <v>1.35</v>
      </c>
      <c r="K354" s="14" t="s">
        <v>6175</v>
      </c>
      <c r="L354" s="9">
        <v>52.5</v>
      </c>
      <c r="M354" s="3">
        <v>101</v>
      </c>
      <c r="N354" s="66" t="s">
        <v>8212</v>
      </c>
      <c r="O354" s="5" t="s">
        <v>8668</v>
      </c>
      <c r="P354" s="49">
        <f t="shared" si="21"/>
        <v>1.4570724426354766</v>
      </c>
      <c r="Q354" s="1">
        <f t="shared" si="22"/>
        <v>1.516169601423301</v>
      </c>
      <c r="R354" s="1">
        <f t="shared" si="24"/>
        <v>1.5137937383743325</v>
      </c>
      <c r="S354" s="10">
        <f t="shared" si="23"/>
        <v>1.4866210220293889</v>
      </c>
      <c r="T354" s="45" cm="1">
        <f t="array" ref="T354">SUMPRODUCT(P354:S354 * P$3:S$3) / SUM(P$3:S$3)</f>
        <v>1.4953473752199822</v>
      </c>
    </row>
    <row r="355" spans="1:20" ht="16.5" customHeight="1" x14ac:dyDescent="0.25">
      <c r="A355" s="5" t="s">
        <v>7177</v>
      </c>
      <c r="B355" s="16" t="s">
        <v>7652</v>
      </c>
      <c r="C355" s="4" t="s">
        <v>8796</v>
      </c>
      <c r="D355" s="4" t="s">
        <v>8962</v>
      </c>
      <c r="E355" s="12" t="s">
        <v>406</v>
      </c>
      <c r="F355" s="75" t="s">
        <v>7777</v>
      </c>
      <c r="G355" s="3">
        <v>8</v>
      </c>
      <c r="H355" s="3" t="s">
        <v>404</v>
      </c>
      <c r="I355" s="68" t="s">
        <v>7794</v>
      </c>
      <c r="J355" s="72">
        <v>1.35</v>
      </c>
      <c r="K355" s="14" t="s">
        <v>6175</v>
      </c>
      <c r="L355" s="9">
        <v>51</v>
      </c>
      <c r="M355" s="3">
        <v>119</v>
      </c>
      <c r="N355" s="66" t="s">
        <v>8213</v>
      </c>
      <c r="O355" s="5" t="s">
        <v>8668</v>
      </c>
      <c r="P355" s="49">
        <f t="shared" si="21"/>
        <v>1.4570724426354766</v>
      </c>
      <c r="Q355" s="1">
        <f t="shared" si="22"/>
        <v>1.516169601423301</v>
      </c>
      <c r="R355" s="1">
        <f t="shared" si="24"/>
        <v>1.5137937383743325</v>
      </c>
      <c r="S355" s="10">
        <f t="shared" si="23"/>
        <v>1.4866210220293889</v>
      </c>
      <c r="T355" s="45" cm="1">
        <f t="array" ref="T355">SUMPRODUCT(P355:S355 * P$3:S$3) / SUM(P$3:S$3)</f>
        <v>1.4953473752199822</v>
      </c>
    </row>
    <row r="356" spans="1:20" ht="16.5" customHeight="1" x14ac:dyDescent="0.25">
      <c r="A356" s="5" t="s">
        <v>7177</v>
      </c>
      <c r="B356" s="16" t="s">
        <v>7653</v>
      </c>
      <c r="C356" s="4" t="s">
        <v>8796</v>
      </c>
      <c r="D356" s="4" t="s">
        <v>8962</v>
      </c>
      <c r="E356" s="12" t="s">
        <v>406</v>
      </c>
      <c r="F356" s="75" t="s">
        <v>7777</v>
      </c>
      <c r="G356" s="3">
        <v>8</v>
      </c>
      <c r="H356" s="3" t="s">
        <v>404</v>
      </c>
      <c r="I356" s="68" t="s">
        <v>7794</v>
      </c>
      <c r="J356" s="72">
        <v>1.35</v>
      </c>
      <c r="K356" s="14" t="s">
        <v>6175</v>
      </c>
      <c r="L356" s="9">
        <v>61.9</v>
      </c>
      <c r="M356" s="3">
        <v>92.9</v>
      </c>
      <c r="N356" s="66" t="s">
        <v>8214</v>
      </c>
      <c r="O356" s="5" t="s">
        <v>8669</v>
      </c>
      <c r="P356" s="49">
        <f t="shared" si="21"/>
        <v>1.4570724426354766</v>
      </c>
      <c r="Q356" s="1">
        <f t="shared" si="22"/>
        <v>1.516169601423301</v>
      </c>
      <c r="R356" s="1">
        <f t="shared" si="24"/>
        <v>1.5137937383743325</v>
      </c>
      <c r="S356" s="10">
        <f t="shared" si="23"/>
        <v>1.4866210220293889</v>
      </c>
      <c r="T356" s="45" cm="1">
        <f t="array" ref="T356">SUMPRODUCT(P356:S356 * P$3:S$3) / SUM(P$3:S$3)</f>
        <v>1.4953473752199822</v>
      </c>
    </row>
    <row r="357" spans="1:20" ht="16.5" customHeight="1" x14ac:dyDescent="0.25">
      <c r="A357" s="5" t="s">
        <v>7177</v>
      </c>
      <c r="B357" s="16" t="s">
        <v>7654</v>
      </c>
      <c r="C357" s="4" t="s">
        <v>8796</v>
      </c>
      <c r="D357" s="4" t="s">
        <v>8962</v>
      </c>
      <c r="E357" s="12" t="s">
        <v>406</v>
      </c>
      <c r="F357" s="75" t="s">
        <v>7777</v>
      </c>
      <c r="G357" s="3">
        <v>8</v>
      </c>
      <c r="H357" s="3" t="s">
        <v>404</v>
      </c>
      <c r="I357" s="68" t="s">
        <v>260</v>
      </c>
      <c r="J357" s="72">
        <v>1.35</v>
      </c>
      <c r="K357" s="14" t="s">
        <v>6175</v>
      </c>
      <c r="L357" s="9">
        <v>62.9</v>
      </c>
      <c r="M357" s="3">
        <v>97.9</v>
      </c>
      <c r="N357" s="66" t="s">
        <v>8215</v>
      </c>
      <c r="O357" s="5" t="s">
        <v>8670</v>
      </c>
      <c r="P357" s="49">
        <f t="shared" si="21"/>
        <v>1.4715130032344725</v>
      </c>
      <c r="Q357" s="1">
        <f t="shared" si="22"/>
        <v>1.5233898817227989</v>
      </c>
      <c r="R357" s="1">
        <f t="shared" si="24"/>
        <v>1.5210140186738303</v>
      </c>
      <c r="S357" s="10">
        <f t="shared" si="23"/>
        <v>1.4974514424786358</v>
      </c>
      <c r="T357" s="45" cm="1">
        <f t="array" ref="T357">SUMPRODUCT(P357:S357 * P$3:S$3) / SUM(P$3:S$3)</f>
        <v>1.50506698331546</v>
      </c>
    </row>
    <row r="358" spans="1:20" ht="16.5" customHeight="1" x14ac:dyDescent="0.25">
      <c r="A358" s="5" t="s">
        <v>7177</v>
      </c>
      <c r="B358" s="16" t="s">
        <v>7701</v>
      </c>
      <c r="C358" s="4" t="s">
        <v>8796</v>
      </c>
      <c r="D358" s="4" t="s">
        <v>8962</v>
      </c>
      <c r="E358" s="12" t="s">
        <v>406</v>
      </c>
      <c r="F358" s="75" t="s">
        <v>7777</v>
      </c>
      <c r="G358" s="3">
        <v>8</v>
      </c>
      <c r="H358" s="3" t="s">
        <v>404</v>
      </c>
      <c r="I358" s="68" t="s">
        <v>7794</v>
      </c>
      <c r="J358" s="72">
        <v>1.35</v>
      </c>
      <c r="L358" s="9">
        <v>38.9</v>
      </c>
      <c r="M358" s="3">
        <v>59.9</v>
      </c>
      <c r="N358" s="66" t="s">
        <v>8262</v>
      </c>
      <c r="O358" s="5" t="s">
        <v>8707</v>
      </c>
      <c r="P358" s="49">
        <f t="shared" si="21"/>
        <v>1.4570724426354766</v>
      </c>
      <c r="Q358" s="1">
        <f t="shared" si="22"/>
        <v>1.516169601423301</v>
      </c>
      <c r="R358" s="1">
        <f t="shared" si="24"/>
        <v>1.5137937383743325</v>
      </c>
      <c r="S358" s="10">
        <f t="shared" si="23"/>
        <v>1.4866210220293889</v>
      </c>
      <c r="T358" s="45" cm="1">
        <f t="array" ref="T358">SUMPRODUCT(P358:S358 * P$3:S$3) / SUM(P$3:S$3)</f>
        <v>1.4953473752199822</v>
      </c>
    </row>
    <row r="359" spans="1:20" ht="16.5" customHeight="1" x14ac:dyDescent="0.25">
      <c r="A359" s="5" t="s">
        <v>7177</v>
      </c>
      <c r="B359" s="16" t="s">
        <v>7702</v>
      </c>
      <c r="C359" s="4" t="s">
        <v>8796</v>
      </c>
      <c r="D359" s="4" t="s">
        <v>8962</v>
      </c>
      <c r="E359" s="12" t="s">
        <v>406</v>
      </c>
      <c r="F359" s="75" t="s">
        <v>7777</v>
      </c>
      <c r="G359" s="3">
        <v>8</v>
      </c>
      <c r="H359" s="3" t="s">
        <v>404</v>
      </c>
      <c r="I359" s="68" t="s">
        <v>7794</v>
      </c>
      <c r="J359" s="72">
        <v>1.35</v>
      </c>
      <c r="L359" s="9">
        <v>35.89</v>
      </c>
      <c r="M359" s="3">
        <v>73</v>
      </c>
      <c r="N359" s="66" t="s">
        <v>8263</v>
      </c>
      <c r="O359" s="5" t="s">
        <v>8707</v>
      </c>
      <c r="P359" s="49">
        <f t="shared" si="21"/>
        <v>1.4570724426354766</v>
      </c>
      <c r="Q359" s="1">
        <f t="shared" si="22"/>
        <v>1.516169601423301</v>
      </c>
      <c r="R359" s="1">
        <f t="shared" si="24"/>
        <v>1.5137937383743325</v>
      </c>
      <c r="S359" s="10">
        <f t="shared" si="23"/>
        <v>1.4866210220293889</v>
      </c>
      <c r="T359" s="45" cm="1">
        <f t="array" ref="T359">SUMPRODUCT(P359:S359 * P$3:S$3) / SUM(P$3:S$3)</f>
        <v>1.4953473752199822</v>
      </c>
    </row>
    <row r="360" spans="1:20" ht="16.5" customHeight="1" x14ac:dyDescent="0.25">
      <c r="A360" s="5" t="s">
        <v>7177</v>
      </c>
      <c r="B360" s="16" t="s">
        <v>7703</v>
      </c>
      <c r="C360" s="4" t="s">
        <v>8796</v>
      </c>
      <c r="D360" s="4" t="s">
        <v>8962</v>
      </c>
      <c r="E360" s="12" t="s">
        <v>406</v>
      </c>
      <c r="F360" s="75" t="s">
        <v>7777</v>
      </c>
      <c r="G360" s="3">
        <v>8</v>
      </c>
      <c r="H360" s="3" t="s">
        <v>404</v>
      </c>
      <c r="I360" s="68" t="s">
        <v>260</v>
      </c>
      <c r="J360" s="72">
        <v>1.35</v>
      </c>
      <c r="L360" s="9">
        <v>45.29</v>
      </c>
      <c r="M360" s="3">
        <v>66.36</v>
      </c>
      <c r="N360" s="66" t="s">
        <v>8264</v>
      </c>
      <c r="O360" s="5" t="s">
        <v>8708</v>
      </c>
      <c r="P360" s="49">
        <f t="shared" si="21"/>
        <v>1.4715130032344725</v>
      </c>
      <c r="Q360" s="1">
        <f t="shared" si="22"/>
        <v>1.5233898817227989</v>
      </c>
      <c r="R360" s="1">
        <f t="shared" si="24"/>
        <v>1.5210140186738303</v>
      </c>
      <c r="S360" s="10">
        <f t="shared" si="23"/>
        <v>1.4974514424786358</v>
      </c>
      <c r="T360" s="45" cm="1">
        <f t="array" ref="T360">SUMPRODUCT(P360:S360 * P$3:S$3) / SUM(P$3:S$3)</f>
        <v>1.50506698331546</v>
      </c>
    </row>
    <row r="361" spans="1:20" ht="16.5" customHeight="1" x14ac:dyDescent="0.25">
      <c r="A361" s="5" t="s">
        <v>7116</v>
      </c>
      <c r="B361" s="16" t="s">
        <v>7494</v>
      </c>
      <c r="C361" s="4" t="s">
        <v>8797</v>
      </c>
      <c r="D361" s="4" t="s">
        <v>8962</v>
      </c>
      <c r="E361" s="12" t="s">
        <v>406</v>
      </c>
      <c r="F361" s="75" t="s">
        <v>7777</v>
      </c>
      <c r="G361" s="3">
        <v>8</v>
      </c>
      <c r="H361" s="3" t="s">
        <v>404</v>
      </c>
      <c r="I361" s="68" t="s">
        <v>7794</v>
      </c>
      <c r="J361" s="72">
        <v>1.35</v>
      </c>
      <c r="L361" s="9">
        <v>29.78</v>
      </c>
      <c r="M361" s="3">
        <v>121.12</v>
      </c>
      <c r="N361" s="66" t="s">
        <v>8055</v>
      </c>
      <c r="O361" s="5" t="s">
        <v>8534</v>
      </c>
      <c r="P361" s="49">
        <f t="shared" si="21"/>
        <v>1.4570724426354766</v>
      </c>
      <c r="Q361" s="1">
        <f t="shared" si="22"/>
        <v>1.516169601423301</v>
      </c>
      <c r="R361" s="1">
        <f t="shared" si="24"/>
        <v>1.5137937383743325</v>
      </c>
      <c r="S361" s="10">
        <f t="shared" si="23"/>
        <v>1.4866210220293889</v>
      </c>
      <c r="T361" s="45" cm="1">
        <f t="array" ref="T361">SUMPRODUCT(P361:S361 * P$3:S$3) / SUM(P$3:S$3)</f>
        <v>1.4953473752199822</v>
      </c>
    </row>
    <row r="362" spans="1:20" ht="16.5" customHeight="1" x14ac:dyDescent="0.25">
      <c r="A362" s="5" t="s">
        <v>7116</v>
      </c>
      <c r="B362" s="16" t="s">
        <v>7495</v>
      </c>
      <c r="C362" s="4" t="s">
        <v>8797</v>
      </c>
      <c r="D362" s="4" t="s">
        <v>8962</v>
      </c>
      <c r="E362" s="12" t="s">
        <v>406</v>
      </c>
      <c r="F362" s="75" t="s">
        <v>7777</v>
      </c>
      <c r="G362" s="3">
        <v>8</v>
      </c>
      <c r="H362" s="3" t="s">
        <v>404</v>
      </c>
      <c r="I362" s="68" t="s">
        <v>260</v>
      </c>
      <c r="J362" s="72">
        <v>1.35</v>
      </c>
      <c r="L362" s="9">
        <v>39.89</v>
      </c>
      <c r="M362" s="3">
        <v>70.13</v>
      </c>
      <c r="N362" s="66" t="s">
        <v>8056</v>
      </c>
      <c r="O362" s="5" t="s">
        <v>8535</v>
      </c>
      <c r="P362" s="49">
        <f t="shared" si="21"/>
        <v>1.4715130032344725</v>
      </c>
      <c r="Q362" s="1">
        <f t="shared" si="22"/>
        <v>1.5233898817227989</v>
      </c>
      <c r="R362" s="1">
        <f t="shared" si="24"/>
        <v>1.5210140186738303</v>
      </c>
      <c r="S362" s="10">
        <f t="shared" si="23"/>
        <v>1.4974514424786358</v>
      </c>
      <c r="T362" s="45" cm="1">
        <f t="array" ref="T362">SUMPRODUCT(P362:S362 * P$3:S$3) / SUM(P$3:S$3)</f>
        <v>1.50506698331546</v>
      </c>
    </row>
    <row r="363" spans="1:20" ht="16.5" customHeight="1" x14ac:dyDescent="0.25">
      <c r="A363" s="5" t="s">
        <v>7116</v>
      </c>
      <c r="B363" s="16" t="s">
        <v>7506</v>
      </c>
      <c r="C363" s="4" t="s">
        <v>8797</v>
      </c>
      <c r="D363" s="4" t="s">
        <v>8962</v>
      </c>
      <c r="E363" s="12" t="s">
        <v>406</v>
      </c>
      <c r="F363" s="75" t="s">
        <v>7777</v>
      </c>
      <c r="G363" s="3">
        <v>8</v>
      </c>
      <c r="H363" s="3" t="s">
        <v>404</v>
      </c>
      <c r="I363" s="68" t="s">
        <v>7792</v>
      </c>
      <c r="J363" s="72">
        <v>1.35</v>
      </c>
      <c r="L363" s="9">
        <v>29.29</v>
      </c>
      <c r="M363" s="3">
        <v>67</v>
      </c>
      <c r="N363" s="66" t="s">
        <v>8067</v>
      </c>
      <c r="O363" s="5" t="s">
        <v>8545</v>
      </c>
      <c r="P363" s="49">
        <f t="shared" si="21"/>
        <v>1.4507777584164447</v>
      </c>
      <c r="Q363" s="1">
        <f t="shared" si="22"/>
        <v>1.513022259313785</v>
      </c>
      <c r="R363" s="1">
        <f t="shared" si="24"/>
        <v>1.5106463962648164</v>
      </c>
      <c r="S363" s="10">
        <f t="shared" si="23"/>
        <v>1.4819000088651149</v>
      </c>
      <c r="T363" s="45" cm="1">
        <f t="array" ref="T363">SUMPRODUCT(P363:S363 * P$3:S$3) / SUM(P$3:S$3)</f>
        <v>1.4911105685340948</v>
      </c>
    </row>
    <row r="364" spans="1:20" ht="16.5" customHeight="1" x14ac:dyDescent="0.25">
      <c r="A364" s="5" t="s">
        <v>7083</v>
      </c>
      <c r="B364" s="16" t="s">
        <v>7446</v>
      </c>
      <c r="C364" s="4" t="s">
        <v>8797</v>
      </c>
      <c r="D364" s="4" t="s">
        <v>8962</v>
      </c>
      <c r="E364" s="12" t="s">
        <v>406</v>
      </c>
      <c r="F364" s="75" t="s">
        <v>7777</v>
      </c>
      <c r="G364" s="3">
        <v>8</v>
      </c>
      <c r="H364" s="3" t="s">
        <v>404</v>
      </c>
      <c r="I364" s="68" t="s">
        <v>7794</v>
      </c>
      <c r="J364" s="72">
        <v>1.35</v>
      </c>
      <c r="K364" s="14" t="s">
        <v>450</v>
      </c>
      <c r="L364" s="9">
        <v>41.99</v>
      </c>
      <c r="M364" s="3">
        <v>93</v>
      </c>
      <c r="N364" s="66" t="s">
        <v>8007</v>
      </c>
      <c r="O364" s="5" t="s">
        <v>8495</v>
      </c>
      <c r="P364" s="49">
        <f t="shared" si="21"/>
        <v>1.4570724426354766</v>
      </c>
      <c r="Q364" s="1">
        <f t="shared" si="22"/>
        <v>1.516169601423301</v>
      </c>
      <c r="R364" s="1">
        <f t="shared" si="24"/>
        <v>1.5137937383743325</v>
      </c>
      <c r="S364" s="10">
        <f t="shared" si="23"/>
        <v>1.4866210220293889</v>
      </c>
      <c r="T364" s="45" cm="1">
        <f t="array" ref="T364">SUMPRODUCT(P364:S364 * P$3:S$3) / SUM(P$3:S$3)</f>
        <v>1.4953473752199822</v>
      </c>
    </row>
    <row r="365" spans="1:20" ht="16.5" customHeight="1" x14ac:dyDescent="0.25">
      <c r="A365" s="5" t="s">
        <v>7083</v>
      </c>
      <c r="B365" s="16" t="s">
        <v>7447</v>
      </c>
      <c r="C365" s="4" t="s">
        <v>8797</v>
      </c>
      <c r="D365" s="4" t="s">
        <v>8962</v>
      </c>
      <c r="E365" s="12" t="s">
        <v>406</v>
      </c>
      <c r="F365" s="75" t="s">
        <v>7777</v>
      </c>
      <c r="G365" s="3">
        <v>8</v>
      </c>
      <c r="H365" s="3" t="s">
        <v>404</v>
      </c>
      <c r="I365" s="68" t="s">
        <v>7794</v>
      </c>
      <c r="J365" s="72">
        <v>1.35</v>
      </c>
      <c r="K365" s="14" t="s">
        <v>7796</v>
      </c>
      <c r="L365" s="9">
        <v>42.29</v>
      </c>
      <c r="M365" s="3">
        <v>74.900000000000006</v>
      </c>
      <c r="N365" s="66" t="s">
        <v>8008</v>
      </c>
      <c r="O365" s="5" t="s">
        <v>8495</v>
      </c>
      <c r="P365" s="49">
        <f t="shared" si="21"/>
        <v>1.4570724426354766</v>
      </c>
      <c r="Q365" s="1">
        <f t="shared" si="22"/>
        <v>1.516169601423301</v>
      </c>
      <c r="R365" s="1">
        <f t="shared" si="24"/>
        <v>1.5137937383743325</v>
      </c>
      <c r="S365" s="10">
        <f t="shared" si="23"/>
        <v>1.4866210220293889</v>
      </c>
      <c r="T365" s="45" cm="1">
        <f t="array" ref="T365">SUMPRODUCT(P365:S365 * P$3:S$3) / SUM(P$3:S$3)</f>
        <v>1.4953473752199822</v>
      </c>
    </row>
    <row r="366" spans="1:20" ht="16.5" customHeight="1" x14ac:dyDescent="0.25">
      <c r="A366" s="5" t="s">
        <v>7083</v>
      </c>
      <c r="B366" s="16" t="s">
        <v>7448</v>
      </c>
      <c r="C366" s="4" t="s">
        <v>8797</v>
      </c>
      <c r="D366" s="4" t="s">
        <v>8962</v>
      </c>
      <c r="E366" s="12" t="s">
        <v>406</v>
      </c>
      <c r="F366" s="75" t="s">
        <v>7777</v>
      </c>
      <c r="G366" s="3">
        <v>8</v>
      </c>
      <c r="H366" s="3" t="s">
        <v>404</v>
      </c>
      <c r="I366" s="68" t="s">
        <v>260</v>
      </c>
      <c r="J366" s="72">
        <v>1.35</v>
      </c>
      <c r="K366" s="14" t="s">
        <v>7796</v>
      </c>
      <c r="L366" s="9">
        <v>47.79</v>
      </c>
      <c r="M366" s="3">
        <v>158.04</v>
      </c>
      <c r="N366" s="66" t="s">
        <v>8009</v>
      </c>
      <c r="O366" s="5" t="s">
        <v>8496</v>
      </c>
      <c r="P366" s="49">
        <f t="shared" si="21"/>
        <v>1.4715130032344725</v>
      </c>
      <c r="Q366" s="1">
        <f t="shared" si="22"/>
        <v>1.5233898817227989</v>
      </c>
      <c r="R366" s="1">
        <f t="shared" si="24"/>
        <v>1.5210140186738303</v>
      </c>
      <c r="S366" s="10">
        <f t="shared" si="23"/>
        <v>1.4974514424786358</v>
      </c>
      <c r="T366" s="45" cm="1">
        <f t="array" ref="T366">SUMPRODUCT(P366:S366 * P$3:S$3) / SUM(P$3:S$3)</f>
        <v>1.50506698331546</v>
      </c>
    </row>
    <row r="367" spans="1:20" ht="16.5" customHeight="1" x14ac:dyDescent="0.25">
      <c r="A367" s="5" t="s">
        <v>7096</v>
      </c>
      <c r="B367" s="16" t="s">
        <v>7466</v>
      </c>
      <c r="C367" s="4" t="s">
        <v>8797</v>
      </c>
      <c r="D367" s="4" t="s">
        <v>8962</v>
      </c>
      <c r="E367" s="12" t="s">
        <v>406</v>
      </c>
      <c r="F367" s="75" t="s">
        <v>7777</v>
      </c>
      <c r="G367" s="3">
        <v>8</v>
      </c>
      <c r="H367" s="3" t="s">
        <v>404</v>
      </c>
      <c r="I367" s="68" t="s">
        <v>7794</v>
      </c>
      <c r="J367" s="72">
        <v>1.35</v>
      </c>
      <c r="K367" s="14" t="s">
        <v>7797</v>
      </c>
      <c r="L367" s="9">
        <v>49</v>
      </c>
      <c r="M367" s="3">
        <v>128.9</v>
      </c>
      <c r="N367" s="66" t="s">
        <v>8027</v>
      </c>
      <c r="O367" s="5" t="s">
        <v>8509</v>
      </c>
      <c r="P367" s="49">
        <f t="shared" si="21"/>
        <v>1.4570724426354766</v>
      </c>
      <c r="Q367" s="1">
        <f t="shared" si="22"/>
        <v>1.516169601423301</v>
      </c>
      <c r="R367" s="1">
        <f t="shared" si="24"/>
        <v>1.5137937383743325</v>
      </c>
      <c r="S367" s="10">
        <f t="shared" si="23"/>
        <v>1.4866210220293889</v>
      </c>
      <c r="T367" s="45" cm="1">
        <f t="array" ref="T367">SUMPRODUCT(P367:S367 * P$3:S$3) / SUM(P$3:S$3)</f>
        <v>1.4953473752199822</v>
      </c>
    </row>
    <row r="368" spans="1:20" ht="16.5" customHeight="1" x14ac:dyDescent="0.25">
      <c r="A368" s="5" t="s">
        <v>7096</v>
      </c>
      <c r="B368" s="16" t="s">
        <v>7467</v>
      </c>
      <c r="C368" s="4" t="s">
        <v>8797</v>
      </c>
      <c r="D368" s="4" t="s">
        <v>8962</v>
      </c>
      <c r="E368" s="12" t="s">
        <v>406</v>
      </c>
      <c r="F368" s="75" t="s">
        <v>7777</v>
      </c>
      <c r="G368" s="3">
        <v>8</v>
      </c>
      <c r="H368" s="3" t="s">
        <v>404</v>
      </c>
      <c r="I368" s="68" t="s">
        <v>260</v>
      </c>
      <c r="J368" s="72">
        <v>1.35</v>
      </c>
      <c r="K368" s="14" t="s">
        <v>7797</v>
      </c>
      <c r="L368" s="9">
        <v>50.9</v>
      </c>
      <c r="M368" s="3">
        <v>97</v>
      </c>
      <c r="N368" s="66" t="s">
        <v>8028</v>
      </c>
      <c r="O368" s="5" t="s">
        <v>8510</v>
      </c>
      <c r="P368" s="49">
        <f t="shared" si="21"/>
        <v>1.4715130032344725</v>
      </c>
      <c r="Q368" s="1">
        <f t="shared" si="22"/>
        <v>1.5233898817227989</v>
      </c>
      <c r="R368" s="1">
        <f t="shared" si="24"/>
        <v>1.5210140186738303</v>
      </c>
      <c r="S368" s="10">
        <f t="shared" si="23"/>
        <v>1.4974514424786358</v>
      </c>
      <c r="T368" s="45" cm="1">
        <f t="array" ref="T368">SUMPRODUCT(P368:S368 * P$3:S$3) / SUM(P$3:S$3)</f>
        <v>1.50506698331546</v>
      </c>
    </row>
    <row r="369" spans="1:20" ht="16.5" customHeight="1" x14ac:dyDescent="0.25">
      <c r="A369" s="5" t="s">
        <v>7066</v>
      </c>
      <c r="B369" s="16" t="s">
        <v>7418</v>
      </c>
      <c r="C369" s="4" t="s">
        <v>8797</v>
      </c>
      <c r="D369" s="4" t="s">
        <v>8962</v>
      </c>
      <c r="E369" s="12" t="s">
        <v>406</v>
      </c>
      <c r="F369" s="75" t="s">
        <v>7777</v>
      </c>
      <c r="G369" s="3">
        <v>8</v>
      </c>
      <c r="H369" s="3" t="s">
        <v>404</v>
      </c>
      <c r="I369" s="68" t="s">
        <v>260</v>
      </c>
      <c r="J369" s="72">
        <v>1.35</v>
      </c>
      <c r="K369" s="14" t="s">
        <v>7796</v>
      </c>
      <c r="L369" s="9">
        <v>74.900000000000006</v>
      </c>
      <c r="M369" s="3">
        <v>109.66</v>
      </c>
      <c r="N369" s="66" t="s">
        <v>7979</v>
      </c>
      <c r="O369" s="5" t="s">
        <v>8471</v>
      </c>
      <c r="P369" s="49">
        <f t="shared" si="21"/>
        <v>1.4715130032344725</v>
      </c>
      <c r="Q369" s="1">
        <f t="shared" si="22"/>
        <v>1.5233898817227989</v>
      </c>
      <c r="R369" s="1">
        <f t="shared" si="24"/>
        <v>1.5210140186738303</v>
      </c>
      <c r="S369" s="10">
        <f t="shared" si="23"/>
        <v>1.4974514424786358</v>
      </c>
      <c r="T369" s="45" cm="1">
        <f t="array" ref="T369">SUMPRODUCT(P369:S369 * P$3:S$3) / SUM(P$3:S$3)</f>
        <v>1.50506698331546</v>
      </c>
    </row>
    <row r="370" spans="1:20" ht="16.5" customHeight="1" x14ac:dyDescent="0.25">
      <c r="A370" s="5" t="s">
        <v>7023</v>
      </c>
      <c r="B370" s="16" t="s">
        <v>7329</v>
      </c>
      <c r="C370" s="4" t="s">
        <v>8798</v>
      </c>
      <c r="D370" s="4" t="s">
        <v>8962</v>
      </c>
      <c r="E370" s="12" t="s">
        <v>406</v>
      </c>
      <c r="F370" s="75" t="s">
        <v>7777</v>
      </c>
      <c r="G370" s="3">
        <v>8</v>
      </c>
      <c r="H370" s="3" t="s">
        <v>404</v>
      </c>
      <c r="I370" s="68" t="s">
        <v>7795</v>
      </c>
      <c r="J370" s="72">
        <v>1.35</v>
      </c>
      <c r="K370" s="14" t="s">
        <v>5476</v>
      </c>
      <c r="L370" s="9">
        <v>57.62</v>
      </c>
      <c r="M370" s="3">
        <v>89.7</v>
      </c>
      <c r="N370" s="66" t="s">
        <v>7890</v>
      </c>
      <c r="O370" s="5" t="s">
        <v>8396</v>
      </c>
      <c r="P370" s="49">
        <f t="shared" si="21"/>
        <v>1.4639528429992716</v>
      </c>
      <c r="Q370" s="1">
        <f t="shared" si="22"/>
        <v>1.5196098016051987</v>
      </c>
      <c r="R370" s="1">
        <f t="shared" si="24"/>
        <v>1.5172339385562301</v>
      </c>
      <c r="S370" s="10">
        <f t="shared" si="23"/>
        <v>1.4917813223022351</v>
      </c>
      <c r="T370" s="45" cm="1">
        <f t="array" ref="T370">SUMPRODUCT(P370:S370 * P$3:S$3) / SUM(P$3:S$3)</f>
        <v>1.4999784139263828</v>
      </c>
    </row>
    <row r="371" spans="1:20" ht="16.5" customHeight="1" x14ac:dyDescent="0.25">
      <c r="A371" s="5" t="s">
        <v>7023</v>
      </c>
      <c r="B371" s="16" t="s">
        <v>7350</v>
      </c>
      <c r="C371" s="4" t="s">
        <v>8798</v>
      </c>
      <c r="D371" s="4" t="s">
        <v>8962</v>
      </c>
      <c r="E371" s="12" t="s">
        <v>406</v>
      </c>
      <c r="F371" s="75" t="s">
        <v>7777</v>
      </c>
      <c r="G371" s="3">
        <v>8</v>
      </c>
      <c r="H371" s="3" t="s">
        <v>404</v>
      </c>
      <c r="I371" s="68" t="s">
        <v>7795</v>
      </c>
      <c r="J371" s="72">
        <v>1.35</v>
      </c>
      <c r="K371" s="14" t="s">
        <v>5476</v>
      </c>
      <c r="L371" s="9">
        <v>52.88</v>
      </c>
      <c r="M371" s="3">
        <v>88.49</v>
      </c>
      <c r="N371" s="66" t="s">
        <v>7911</v>
      </c>
      <c r="O371" s="5" t="s">
        <v>8411</v>
      </c>
      <c r="P371" s="49">
        <f t="shared" si="21"/>
        <v>1.4639528429992716</v>
      </c>
      <c r="Q371" s="1">
        <f t="shared" si="22"/>
        <v>1.5196098016051987</v>
      </c>
      <c r="R371" s="1">
        <f t="shared" si="24"/>
        <v>1.5172339385562301</v>
      </c>
      <c r="S371" s="10">
        <f t="shared" si="23"/>
        <v>1.4917813223022351</v>
      </c>
      <c r="T371" s="45" cm="1">
        <f t="array" ref="T371">SUMPRODUCT(P371:S371 * P$3:S$3) / SUM(P$3:S$3)</f>
        <v>1.4999784139263828</v>
      </c>
    </row>
    <row r="372" spans="1:20" ht="16.5" customHeight="1" x14ac:dyDescent="0.25">
      <c r="A372" s="5" t="s">
        <v>7023</v>
      </c>
      <c r="B372" s="16" t="s">
        <v>7382</v>
      </c>
      <c r="C372" s="4" t="s">
        <v>8798</v>
      </c>
      <c r="D372" s="4" t="s">
        <v>8962</v>
      </c>
      <c r="E372" s="12" t="s">
        <v>406</v>
      </c>
      <c r="F372" s="75" t="s">
        <v>7777</v>
      </c>
      <c r="G372" s="3">
        <v>8</v>
      </c>
      <c r="H372" s="3" t="s">
        <v>404</v>
      </c>
      <c r="I372" s="68" t="s">
        <v>7795</v>
      </c>
      <c r="J372" s="72">
        <v>1.35</v>
      </c>
      <c r="L372" s="9">
        <v>37.9</v>
      </c>
      <c r="M372" s="3">
        <v>84</v>
      </c>
      <c r="N372" s="66" t="s">
        <v>7943</v>
      </c>
      <c r="O372" s="5" t="s">
        <v>8436</v>
      </c>
      <c r="P372" s="49">
        <f t="shared" si="21"/>
        <v>1.4639528429992716</v>
      </c>
      <c r="Q372" s="1">
        <f t="shared" si="22"/>
        <v>1.5196098016051987</v>
      </c>
      <c r="R372" s="1">
        <f t="shared" si="24"/>
        <v>1.5172339385562301</v>
      </c>
      <c r="S372" s="10">
        <f t="shared" si="23"/>
        <v>1.4917813223022351</v>
      </c>
      <c r="T372" s="45" cm="1">
        <f t="array" ref="T372">SUMPRODUCT(P372:S372 * P$3:S$3) / SUM(P$3:S$3)</f>
        <v>1.4999784139263828</v>
      </c>
    </row>
    <row r="373" spans="1:20" ht="16.5" customHeight="1" x14ac:dyDescent="0.25">
      <c r="A373" s="5" t="s">
        <v>7002</v>
      </c>
      <c r="B373" s="16" t="s">
        <v>7277</v>
      </c>
      <c r="C373" s="4" t="s">
        <v>8798</v>
      </c>
      <c r="D373" s="4" t="s">
        <v>8962</v>
      </c>
      <c r="E373" s="12" t="s">
        <v>406</v>
      </c>
      <c r="F373" s="75" t="s">
        <v>7777</v>
      </c>
      <c r="G373" s="3">
        <v>8</v>
      </c>
      <c r="H373" s="3" t="s">
        <v>404</v>
      </c>
      <c r="I373" s="68" t="s">
        <v>260</v>
      </c>
      <c r="J373" s="72">
        <v>1.35</v>
      </c>
      <c r="K373" s="14" t="s">
        <v>5476</v>
      </c>
      <c r="L373" s="9">
        <v>57.9</v>
      </c>
      <c r="M373" s="3">
        <v>108</v>
      </c>
      <c r="N373" s="66" t="s">
        <v>7838</v>
      </c>
      <c r="O373" s="5" t="s">
        <v>8355</v>
      </c>
      <c r="P373" s="49">
        <f t="shared" si="21"/>
        <v>1.4715130032344725</v>
      </c>
      <c r="Q373" s="1">
        <f t="shared" si="22"/>
        <v>1.5233898817227989</v>
      </c>
      <c r="R373" s="1">
        <f t="shared" si="24"/>
        <v>1.5210140186738303</v>
      </c>
      <c r="S373" s="10">
        <f t="shared" si="23"/>
        <v>1.4974514424786358</v>
      </c>
      <c r="T373" s="45" cm="1">
        <f t="array" ref="T373">SUMPRODUCT(P373:S373 * P$3:S$3) / SUM(P$3:S$3)</f>
        <v>1.50506698331546</v>
      </c>
    </row>
    <row r="374" spans="1:20" ht="16.5" customHeight="1" x14ac:dyDescent="0.25">
      <c r="A374" s="5" t="s">
        <v>7002</v>
      </c>
      <c r="B374" s="16" t="s">
        <v>7314</v>
      </c>
      <c r="C374" s="4" t="s">
        <v>8798</v>
      </c>
      <c r="D374" s="4" t="s">
        <v>8962</v>
      </c>
      <c r="E374" s="12" t="s">
        <v>406</v>
      </c>
      <c r="F374" s="75" t="s">
        <v>7777</v>
      </c>
      <c r="G374" s="3">
        <v>8</v>
      </c>
      <c r="H374" s="3" t="s">
        <v>404</v>
      </c>
      <c r="I374" s="68" t="s">
        <v>260</v>
      </c>
      <c r="J374" s="72">
        <v>1.35</v>
      </c>
      <c r="L374" s="9">
        <v>44.79</v>
      </c>
      <c r="M374" s="3">
        <v>94</v>
      </c>
      <c r="N374" s="66" t="s">
        <v>7875</v>
      </c>
      <c r="O374" s="5" t="s">
        <v>8384</v>
      </c>
      <c r="P374" s="49">
        <f t="shared" si="21"/>
        <v>1.4715130032344725</v>
      </c>
      <c r="Q374" s="1">
        <f t="shared" si="22"/>
        <v>1.5233898817227989</v>
      </c>
      <c r="R374" s="1">
        <f t="shared" si="24"/>
        <v>1.5210140186738303</v>
      </c>
      <c r="S374" s="10">
        <f t="shared" si="23"/>
        <v>1.4974514424786358</v>
      </c>
      <c r="T374" s="45" cm="1">
        <f t="array" ref="T374">SUMPRODUCT(P374:S374 * P$3:S$3) / SUM(P$3:S$3)</f>
        <v>1.50506698331546</v>
      </c>
    </row>
    <row r="375" spans="1:20" ht="16.5" customHeight="1" x14ac:dyDescent="0.25">
      <c r="A375" s="5" t="s">
        <v>7232</v>
      </c>
      <c r="B375" s="16" t="s">
        <v>7748</v>
      </c>
      <c r="C375" s="4" t="s">
        <v>8796</v>
      </c>
      <c r="D375" s="4" t="s">
        <v>8963</v>
      </c>
      <c r="E375" s="12" t="s">
        <v>406</v>
      </c>
      <c r="F375" s="75" t="s">
        <v>7777</v>
      </c>
      <c r="G375" s="3">
        <v>8</v>
      </c>
      <c r="H375" s="3" t="s">
        <v>419</v>
      </c>
      <c r="I375" s="68" t="s">
        <v>7794</v>
      </c>
      <c r="J375" s="72">
        <v>1.35</v>
      </c>
      <c r="K375" s="14" t="s">
        <v>7804</v>
      </c>
      <c r="L375" s="9">
        <v>176.9</v>
      </c>
      <c r="M375" s="3">
        <v>217.78</v>
      </c>
      <c r="N375" s="66" t="s">
        <v>8309</v>
      </c>
      <c r="O375" s="5" t="s">
        <v>8750</v>
      </c>
      <c r="P375" s="49">
        <f t="shared" si="21"/>
        <v>1.509966315625753</v>
      </c>
      <c r="Q375" s="1">
        <f t="shared" si="22"/>
        <v>1.55456508533605</v>
      </c>
      <c r="R375" s="1">
        <f t="shared" si="24"/>
        <v>1.5476291621406493</v>
      </c>
      <c r="S375" s="10">
        <f t="shared" si="23"/>
        <v>1.5322657004809015</v>
      </c>
      <c r="T375" s="45" cm="1">
        <f t="array" ref="T375">SUMPRODUCT(P375:S375 * P$3:S$3) / SUM(P$3:S$3)</f>
        <v>1.5380599845601162</v>
      </c>
    </row>
    <row r="376" spans="1:20" ht="16.5" customHeight="1" x14ac:dyDescent="0.25">
      <c r="A376" s="5" t="s">
        <v>7232</v>
      </c>
      <c r="B376" s="16" t="s">
        <v>7763</v>
      </c>
      <c r="C376" s="4" t="s">
        <v>8796</v>
      </c>
      <c r="D376" s="4" t="s">
        <v>8963</v>
      </c>
      <c r="E376" s="12" t="s">
        <v>406</v>
      </c>
      <c r="F376" s="75" t="s">
        <v>7777</v>
      </c>
      <c r="G376" s="3">
        <v>8</v>
      </c>
      <c r="H376" s="3" t="s">
        <v>419</v>
      </c>
      <c r="I376" s="68" t="s">
        <v>7794</v>
      </c>
      <c r="J376" s="72">
        <v>1.35</v>
      </c>
      <c r="K376" s="14" t="s">
        <v>7804</v>
      </c>
      <c r="L376" s="9">
        <v>175.9</v>
      </c>
      <c r="M376" s="3">
        <v>251</v>
      </c>
      <c r="N376" s="66" t="s">
        <v>8324</v>
      </c>
      <c r="O376" s="5" t="s">
        <v>8762</v>
      </c>
      <c r="P376" s="49">
        <f t="shared" si="21"/>
        <v>1.509966315625753</v>
      </c>
      <c r="Q376" s="1">
        <f t="shared" si="22"/>
        <v>1.55456508533605</v>
      </c>
      <c r="R376" s="1">
        <f t="shared" si="24"/>
        <v>1.5476291621406493</v>
      </c>
      <c r="S376" s="10">
        <f t="shared" si="23"/>
        <v>1.5322657004809015</v>
      </c>
      <c r="T376" s="45" cm="1">
        <f t="array" ref="T376">SUMPRODUCT(P376:S376 * P$3:S$3) / SUM(P$3:S$3)</f>
        <v>1.5380599845601162</v>
      </c>
    </row>
    <row r="377" spans="1:20" ht="16.5" customHeight="1" x14ac:dyDescent="0.25">
      <c r="A377" s="5" t="s">
        <v>7173</v>
      </c>
      <c r="B377" s="16" t="s">
        <v>7561</v>
      </c>
      <c r="C377" s="4" t="s">
        <v>8796</v>
      </c>
      <c r="D377" s="4" t="s">
        <v>8963</v>
      </c>
      <c r="E377" s="12" t="s">
        <v>406</v>
      </c>
      <c r="F377" s="75" t="s">
        <v>7777</v>
      </c>
      <c r="G377" s="3">
        <v>8</v>
      </c>
      <c r="H377" s="3" t="s">
        <v>419</v>
      </c>
      <c r="I377" s="68" t="s">
        <v>7794</v>
      </c>
      <c r="J377" s="72">
        <v>1.35</v>
      </c>
      <c r="K377" s="14" t="s">
        <v>6175</v>
      </c>
      <c r="L377" s="9">
        <v>97.84</v>
      </c>
      <c r="M377" s="3">
        <v>216.12</v>
      </c>
      <c r="N377" s="66" t="s">
        <v>8122</v>
      </c>
      <c r="O377" s="5" t="s">
        <v>8598</v>
      </c>
      <c r="P377" s="49">
        <f t="shared" si="21"/>
        <v>1.509966315625753</v>
      </c>
      <c r="Q377" s="1">
        <f t="shared" si="22"/>
        <v>1.55456508533605</v>
      </c>
      <c r="R377" s="1">
        <f t="shared" si="24"/>
        <v>1.5476291621406493</v>
      </c>
      <c r="S377" s="10">
        <f t="shared" si="23"/>
        <v>1.5322657004809015</v>
      </c>
      <c r="T377" s="45" cm="1">
        <f t="array" ref="T377">SUMPRODUCT(P377:S377 * P$3:S$3) / SUM(P$3:S$3)</f>
        <v>1.5380599845601162</v>
      </c>
    </row>
    <row r="378" spans="1:20" ht="16.5" customHeight="1" x14ac:dyDescent="0.25">
      <c r="A378" s="5" t="s">
        <v>7173</v>
      </c>
      <c r="B378" s="16" t="s">
        <v>7573</v>
      </c>
      <c r="C378" s="4" t="s">
        <v>8796</v>
      </c>
      <c r="D378" s="4" t="s">
        <v>8963</v>
      </c>
      <c r="E378" s="12" t="s">
        <v>406</v>
      </c>
      <c r="F378" s="75" t="s">
        <v>7777</v>
      </c>
      <c r="G378" s="3">
        <v>8</v>
      </c>
      <c r="H378" s="3" t="s">
        <v>419</v>
      </c>
      <c r="I378" s="68" t="s">
        <v>7794</v>
      </c>
      <c r="J378" s="72">
        <v>1.35</v>
      </c>
      <c r="K378" s="14" t="s">
        <v>6175</v>
      </c>
      <c r="L378" s="9">
        <v>110.9</v>
      </c>
      <c r="M378" s="3">
        <v>165</v>
      </c>
      <c r="N378" s="66" t="s">
        <v>8134</v>
      </c>
      <c r="O378" s="5" t="s">
        <v>8606</v>
      </c>
      <c r="P378" s="49">
        <f t="shared" si="21"/>
        <v>1.509966315625753</v>
      </c>
      <c r="Q378" s="1">
        <f t="shared" si="22"/>
        <v>1.55456508533605</v>
      </c>
      <c r="R378" s="1">
        <f t="shared" si="24"/>
        <v>1.5476291621406493</v>
      </c>
      <c r="S378" s="10">
        <f t="shared" si="23"/>
        <v>1.5322657004809015</v>
      </c>
      <c r="T378" s="45" cm="1">
        <f t="array" ref="T378">SUMPRODUCT(P378:S378 * P$3:S$3) / SUM(P$3:S$3)</f>
        <v>1.5380599845601162</v>
      </c>
    </row>
    <row r="379" spans="1:20" ht="16.5" customHeight="1" x14ac:dyDescent="0.25">
      <c r="A379" s="5" t="s">
        <v>7173</v>
      </c>
      <c r="B379" s="16" t="s">
        <v>7592</v>
      </c>
      <c r="C379" s="4" t="s">
        <v>8796</v>
      </c>
      <c r="D379" s="4" t="s">
        <v>8963</v>
      </c>
      <c r="E379" s="12" t="s">
        <v>406</v>
      </c>
      <c r="F379" s="75" t="s">
        <v>7777</v>
      </c>
      <c r="G379" s="3">
        <v>8</v>
      </c>
      <c r="H379" s="3" t="s">
        <v>419</v>
      </c>
      <c r="I379" s="68" t="s">
        <v>7794</v>
      </c>
      <c r="J379" s="72">
        <v>1.35</v>
      </c>
      <c r="K379" s="14" t="s">
        <v>6175</v>
      </c>
      <c r="L379" s="9">
        <v>120.9</v>
      </c>
      <c r="M379" s="3">
        <v>148.63999999999999</v>
      </c>
      <c r="N379" s="66" t="s">
        <v>8153</v>
      </c>
      <c r="O379" s="5" t="s">
        <v>8623</v>
      </c>
      <c r="P379" s="49">
        <f t="shared" si="21"/>
        <v>1.509966315625753</v>
      </c>
      <c r="Q379" s="1">
        <f t="shared" si="22"/>
        <v>1.55456508533605</v>
      </c>
      <c r="R379" s="1">
        <f t="shared" si="24"/>
        <v>1.5476291621406493</v>
      </c>
      <c r="S379" s="10">
        <f t="shared" si="23"/>
        <v>1.5322657004809015</v>
      </c>
      <c r="T379" s="45" cm="1">
        <f t="array" ref="T379">SUMPRODUCT(P379:S379 * P$3:S$3) / SUM(P$3:S$3)</f>
        <v>1.5380599845601162</v>
      </c>
    </row>
    <row r="380" spans="1:20" ht="16.5" customHeight="1" x14ac:dyDescent="0.25">
      <c r="A380" s="5" t="s">
        <v>7173</v>
      </c>
      <c r="B380" s="16" t="s">
        <v>7605</v>
      </c>
      <c r="C380" s="4" t="s">
        <v>8796</v>
      </c>
      <c r="D380" s="4" t="s">
        <v>8963</v>
      </c>
      <c r="E380" s="12" t="s">
        <v>406</v>
      </c>
      <c r="F380" s="75" t="s">
        <v>7777</v>
      </c>
      <c r="G380" s="3">
        <v>8</v>
      </c>
      <c r="H380" s="3" t="s">
        <v>419</v>
      </c>
      <c r="I380" s="68" t="s">
        <v>7794</v>
      </c>
      <c r="J380" s="72">
        <v>1.35</v>
      </c>
      <c r="K380" s="14" t="s">
        <v>7800</v>
      </c>
      <c r="L380" s="9">
        <v>110.9</v>
      </c>
      <c r="M380" s="3">
        <v>140.16999999999999</v>
      </c>
      <c r="N380" s="66" t="s">
        <v>8166</v>
      </c>
      <c r="O380" s="5" t="s">
        <v>8636</v>
      </c>
      <c r="P380" s="49">
        <f t="shared" si="21"/>
        <v>1.509966315625753</v>
      </c>
      <c r="Q380" s="1">
        <f t="shared" si="22"/>
        <v>1.55456508533605</v>
      </c>
      <c r="R380" s="1">
        <f t="shared" si="24"/>
        <v>1.5476291621406493</v>
      </c>
      <c r="S380" s="10">
        <f t="shared" si="23"/>
        <v>1.5322657004809015</v>
      </c>
      <c r="T380" s="45" cm="1">
        <f t="array" ref="T380">SUMPRODUCT(P380:S380 * P$3:S$3) / SUM(P$3:S$3)</f>
        <v>1.5380599845601162</v>
      </c>
    </row>
    <row r="381" spans="1:20" ht="16.5" customHeight="1" x14ac:dyDescent="0.25">
      <c r="A381" s="5" t="s">
        <v>7173</v>
      </c>
      <c r="B381" s="16" t="s">
        <v>7617</v>
      </c>
      <c r="C381" s="4" t="s">
        <v>8796</v>
      </c>
      <c r="D381" s="4" t="s">
        <v>8963</v>
      </c>
      <c r="E381" s="12" t="s">
        <v>406</v>
      </c>
      <c r="F381" s="75" t="s">
        <v>7777</v>
      </c>
      <c r="G381" s="3">
        <v>8</v>
      </c>
      <c r="H381" s="3" t="s">
        <v>419</v>
      </c>
      <c r="I381" s="68" t="s">
        <v>7794</v>
      </c>
      <c r="J381" s="72">
        <v>1.35</v>
      </c>
      <c r="K381" s="14" t="s">
        <v>7800</v>
      </c>
      <c r="L381" s="9">
        <v>109.9</v>
      </c>
      <c r="M381" s="3">
        <v>142.59</v>
      </c>
      <c r="N381" s="66" t="s">
        <v>8178</v>
      </c>
      <c r="O381" s="5" t="s">
        <v>8644</v>
      </c>
      <c r="P381" s="49">
        <f t="shared" si="21"/>
        <v>1.509966315625753</v>
      </c>
      <c r="Q381" s="1">
        <f t="shared" si="22"/>
        <v>1.55456508533605</v>
      </c>
      <c r="R381" s="1">
        <f t="shared" si="24"/>
        <v>1.5476291621406493</v>
      </c>
      <c r="S381" s="10">
        <f t="shared" si="23"/>
        <v>1.5322657004809015</v>
      </c>
      <c r="T381" s="45" cm="1">
        <f t="array" ref="T381">SUMPRODUCT(P381:S381 * P$3:S$3) / SUM(P$3:S$3)</f>
        <v>1.5380599845601162</v>
      </c>
    </row>
    <row r="382" spans="1:20" ht="16.5" customHeight="1" x14ac:dyDescent="0.25">
      <c r="A382" s="5" t="s">
        <v>7173</v>
      </c>
      <c r="B382" s="16" t="s">
        <v>7638</v>
      </c>
      <c r="C382" s="4" t="s">
        <v>8796</v>
      </c>
      <c r="D382" s="4" t="s">
        <v>8963</v>
      </c>
      <c r="E382" s="12" t="s">
        <v>406</v>
      </c>
      <c r="F382" s="75" t="s">
        <v>7777</v>
      </c>
      <c r="G382" s="3">
        <v>8</v>
      </c>
      <c r="H382" s="3" t="s">
        <v>419</v>
      </c>
      <c r="I382" s="68" t="s">
        <v>7794</v>
      </c>
      <c r="J382" s="72">
        <v>1.35</v>
      </c>
      <c r="K382" s="14" t="s">
        <v>6175</v>
      </c>
      <c r="L382" s="9">
        <v>113.9</v>
      </c>
      <c r="M382" s="3">
        <v>172</v>
      </c>
      <c r="N382" s="66" t="s">
        <v>8199</v>
      </c>
      <c r="O382" s="5" t="s">
        <v>8657</v>
      </c>
      <c r="P382" s="49">
        <f t="shared" si="21"/>
        <v>1.509966315625753</v>
      </c>
      <c r="Q382" s="1">
        <f t="shared" si="22"/>
        <v>1.55456508533605</v>
      </c>
      <c r="R382" s="1">
        <f t="shared" si="24"/>
        <v>1.5476291621406493</v>
      </c>
      <c r="S382" s="10">
        <f t="shared" si="23"/>
        <v>1.5322657004809015</v>
      </c>
      <c r="T382" s="45" cm="1">
        <f t="array" ref="T382">SUMPRODUCT(P382:S382 * P$3:S$3) / SUM(P$3:S$3)</f>
        <v>1.5380599845601162</v>
      </c>
    </row>
    <row r="383" spans="1:20" ht="16.5" customHeight="1" x14ac:dyDescent="0.25">
      <c r="A383" s="5" t="s">
        <v>7173</v>
      </c>
      <c r="B383" s="16" t="s">
        <v>7641</v>
      </c>
      <c r="C383" s="4" t="s">
        <v>8796</v>
      </c>
      <c r="D383" s="4" t="s">
        <v>8963</v>
      </c>
      <c r="E383" s="12" t="s">
        <v>406</v>
      </c>
      <c r="F383" s="75" t="s">
        <v>7777</v>
      </c>
      <c r="G383" s="3">
        <v>8</v>
      </c>
      <c r="H383" s="3" t="s">
        <v>419</v>
      </c>
      <c r="I383" s="68" t="s">
        <v>7794</v>
      </c>
      <c r="J383" s="72">
        <v>1.35</v>
      </c>
      <c r="K383" s="14" t="s">
        <v>6175</v>
      </c>
      <c r="L383" s="9">
        <v>119.9</v>
      </c>
      <c r="M383" s="3">
        <v>146.05000000000001</v>
      </c>
      <c r="N383" s="66" t="s">
        <v>8202</v>
      </c>
      <c r="O383" s="5" t="s">
        <v>8658</v>
      </c>
      <c r="P383" s="49">
        <f t="shared" si="21"/>
        <v>1.509966315625753</v>
      </c>
      <c r="Q383" s="1">
        <f t="shared" si="22"/>
        <v>1.55456508533605</v>
      </c>
      <c r="R383" s="1">
        <f t="shared" si="24"/>
        <v>1.5476291621406493</v>
      </c>
      <c r="S383" s="10">
        <f t="shared" si="23"/>
        <v>1.5322657004809015</v>
      </c>
      <c r="T383" s="45" cm="1">
        <f t="array" ref="T383">SUMPRODUCT(P383:S383 * P$3:S$3) / SUM(P$3:S$3)</f>
        <v>1.5380599845601162</v>
      </c>
    </row>
    <row r="384" spans="1:20" ht="16.5" customHeight="1" x14ac:dyDescent="0.25">
      <c r="A384" s="5" t="s">
        <v>7173</v>
      </c>
      <c r="B384" s="16" t="s">
        <v>7642</v>
      </c>
      <c r="C384" s="4" t="s">
        <v>8796</v>
      </c>
      <c r="D384" s="4" t="s">
        <v>8963</v>
      </c>
      <c r="E384" s="12" t="s">
        <v>406</v>
      </c>
      <c r="F384" s="75" t="s">
        <v>7777</v>
      </c>
      <c r="G384" s="3">
        <v>8</v>
      </c>
      <c r="H384" s="3" t="s">
        <v>419</v>
      </c>
      <c r="I384" s="68" t="s">
        <v>260</v>
      </c>
      <c r="J384" s="72">
        <v>1.35</v>
      </c>
      <c r="K384" s="14" t="s">
        <v>6175</v>
      </c>
      <c r="L384" s="9">
        <v>156.99</v>
      </c>
      <c r="M384" s="3">
        <v>210.99</v>
      </c>
      <c r="N384" s="66" t="s">
        <v>8203</v>
      </c>
      <c r="O384" s="5" t="s">
        <v>8659</v>
      </c>
      <c r="P384" s="49">
        <f t="shared" si="21"/>
        <v>1.5251945431665126</v>
      </c>
      <c r="Q384" s="1">
        <f t="shared" si="22"/>
        <v>1.5621791991064296</v>
      </c>
      <c r="R384" s="1">
        <f t="shared" si="24"/>
        <v>1.5552432759110288</v>
      </c>
      <c r="S384" s="10">
        <f t="shared" si="23"/>
        <v>1.5436868711364713</v>
      </c>
      <c r="T384" s="45" cm="1">
        <f t="array" ref="T384">SUMPRODUCT(P384:S384 * P$3:S$3) / SUM(P$3:S$3)</f>
        <v>1.5483097530971659</v>
      </c>
    </row>
    <row r="385" spans="1:20" ht="16.5" customHeight="1" x14ac:dyDescent="0.25">
      <c r="A385" s="5" t="s">
        <v>7173</v>
      </c>
      <c r="B385" s="16" t="s">
        <v>7685</v>
      </c>
      <c r="C385" s="4" t="s">
        <v>8796</v>
      </c>
      <c r="D385" s="4" t="s">
        <v>8963</v>
      </c>
      <c r="E385" s="12" t="s">
        <v>406</v>
      </c>
      <c r="F385" s="75" t="s">
        <v>7777</v>
      </c>
      <c r="G385" s="3">
        <v>8</v>
      </c>
      <c r="H385" s="3" t="s">
        <v>419</v>
      </c>
      <c r="I385" s="68" t="s">
        <v>7794</v>
      </c>
      <c r="J385" s="72">
        <v>1.35</v>
      </c>
      <c r="L385" s="9">
        <v>82.9</v>
      </c>
      <c r="M385" s="3">
        <v>156.81</v>
      </c>
      <c r="N385" s="66" t="s">
        <v>8246</v>
      </c>
      <c r="O385" s="5" t="s">
        <v>8696</v>
      </c>
      <c r="P385" s="49">
        <f t="shared" si="21"/>
        <v>1.509966315625753</v>
      </c>
      <c r="Q385" s="1">
        <f t="shared" si="22"/>
        <v>1.55456508533605</v>
      </c>
      <c r="R385" s="1">
        <f t="shared" si="24"/>
        <v>1.5476291621406493</v>
      </c>
      <c r="S385" s="10">
        <f t="shared" si="23"/>
        <v>1.5322657004809015</v>
      </c>
      <c r="T385" s="45" cm="1">
        <f t="array" ref="T385">SUMPRODUCT(P385:S385 * P$3:S$3) / SUM(P$3:S$3)</f>
        <v>1.5380599845601162</v>
      </c>
    </row>
    <row r="386" spans="1:20" ht="16.5" customHeight="1" x14ac:dyDescent="0.25">
      <c r="A386" s="5" t="s">
        <v>7173</v>
      </c>
      <c r="B386" s="16" t="s">
        <v>7688</v>
      </c>
      <c r="C386" s="4" t="s">
        <v>8796</v>
      </c>
      <c r="D386" s="4" t="s">
        <v>8963</v>
      </c>
      <c r="E386" s="12" t="s">
        <v>406</v>
      </c>
      <c r="F386" s="75" t="s">
        <v>7777</v>
      </c>
      <c r="G386" s="3">
        <v>8</v>
      </c>
      <c r="H386" s="3" t="s">
        <v>419</v>
      </c>
      <c r="I386" s="68" t="s">
        <v>260</v>
      </c>
      <c r="J386" s="72">
        <v>1.35</v>
      </c>
      <c r="L386" s="9">
        <v>94.55</v>
      </c>
      <c r="M386" s="3">
        <v>119.04</v>
      </c>
      <c r="N386" s="66" t="s">
        <v>8249</v>
      </c>
      <c r="O386" s="5" t="s">
        <v>8697</v>
      </c>
      <c r="P386" s="49">
        <f t="shared" si="21"/>
        <v>1.5251945431665126</v>
      </c>
      <c r="Q386" s="1">
        <f t="shared" si="22"/>
        <v>1.5621791991064296</v>
      </c>
      <c r="R386" s="1">
        <f t="shared" si="24"/>
        <v>1.5552432759110288</v>
      </c>
      <c r="S386" s="10">
        <f t="shared" si="23"/>
        <v>1.5436868711364713</v>
      </c>
      <c r="T386" s="45" cm="1">
        <f t="array" ref="T386">SUMPRODUCT(P386:S386 * P$3:S$3) / SUM(P$3:S$3)</f>
        <v>1.5483097530971659</v>
      </c>
    </row>
    <row r="387" spans="1:20" ht="16.5" customHeight="1" x14ac:dyDescent="0.25">
      <c r="A387" s="5" t="s">
        <v>7079</v>
      </c>
      <c r="B387" s="16" t="s">
        <v>7436</v>
      </c>
      <c r="C387" s="4" t="s">
        <v>8797</v>
      </c>
      <c r="D387" s="4" t="s">
        <v>8963</v>
      </c>
      <c r="E387" s="12" t="s">
        <v>406</v>
      </c>
      <c r="F387" s="75" t="s">
        <v>7777</v>
      </c>
      <c r="G387" s="3">
        <v>8</v>
      </c>
      <c r="H387" s="3" t="s">
        <v>419</v>
      </c>
      <c r="I387" s="68" t="s">
        <v>7794</v>
      </c>
      <c r="J387" s="72">
        <v>1.35</v>
      </c>
      <c r="K387" s="14" t="s">
        <v>7796</v>
      </c>
      <c r="L387" s="9">
        <v>86.9</v>
      </c>
      <c r="M387" s="3">
        <v>119.44</v>
      </c>
      <c r="N387" s="66" t="s">
        <v>7997</v>
      </c>
      <c r="O387" s="5" t="s">
        <v>8489</v>
      </c>
      <c r="P387" s="49">
        <f t="shared" si="21"/>
        <v>1.509966315625753</v>
      </c>
      <c r="Q387" s="1">
        <f t="shared" si="22"/>
        <v>1.55456508533605</v>
      </c>
      <c r="R387" s="1">
        <f t="shared" si="24"/>
        <v>1.5476291621406493</v>
      </c>
      <c r="S387" s="10">
        <f t="shared" si="23"/>
        <v>1.5322657004809015</v>
      </c>
      <c r="T387" s="45" cm="1">
        <f t="array" ref="T387">SUMPRODUCT(P387:S387 * P$3:S$3) / SUM(P$3:S$3)</f>
        <v>1.5380599845601162</v>
      </c>
    </row>
    <row r="388" spans="1:20" ht="16.5" customHeight="1" x14ac:dyDescent="0.25">
      <c r="A388" s="5" t="s">
        <v>7079</v>
      </c>
      <c r="B388" s="16" t="s">
        <v>7438</v>
      </c>
      <c r="C388" s="4" t="s">
        <v>8797</v>
      </c>
      <c r="D388" s="4" t="s">
        <v>8963</v>
      </c>
      <c r="E388" s="12" t="s">
        <v>406</v>
      </c>
      <c r="F388" s="75" t="s">
        <v>7777</v>
      </c>
      <c r="G388" s="3">
        <v>8</v>
      </c>
      <c r="H388" s="3" t="s">
        <v>419</v>
      </c>
      <c r="I388" s="68" t="s">
        <v>260</v>
      </c>
      <c r="J388" s="72">
        <v>1.35</v>
      </c>
      <c r="K388" s="14" t="s">
        <v>7796</v>
      </c>
      <c r="L388" s="9">
        <v>97.9</v>
      </c>
      <c r="M388" s="3">
        <v>125.55</v>
      </c>
      <c r="N388" s="66" t="s">
        <v>7999</v>
      </c>
      <c r="O388" s="5" t="s">
        <v>8491</v>
      </c>
      <c r="P388" s="49">
        <f t="shared" si="21"/>
        <v>1.5251945431665126</v>
      </c>
      <c r="Q388" s="1">
        <f t="shared" si="22"/>
        <v>1.5621791991064296</v>
      </c>
      <c r="R388" s="1">
        <f t="shared" si="24"/>
        <v>1.5552432759110288</v>
      </c>
      <c r="S388" s="10">
        <f t="shared" si="23"/>
        <v>1.5436868711364713</v>
      </c>
      <c r="T388" s="45" cm="1">
        <f t="array" ref="T388">SUMPRODUCT(P388:S388 * P$3:S$3) / SUM(P$3:S$3)</f>
        <v>1.5483097530971659</v>
      </c>
    </row>
    <row r="389" spans="1:20" ht="16.5" customHeight="1" x14ac:dyDescent="0.25">
      <c r="A389" s="5" t="s">
        <v>7091</v>
      </c>
      <c r="B389" s="16" t="s">
        <v>7459</v>
      </c>
      <c r="C389" s="4" t="s">
        <v>8797</v>
      </c>
      <c r="D389" s="4" t="s">
        <v>8963</v>
      </c>
      <c r="E389" s="12" t="s">
        <v>406</v>
      </c>
      <c r="F389" s="75" t="s">
        <v>7777</v>
      </c>
      <c r="G389" s="3">
        <v>8</v>
      </c>
      <c r="H389" s="3" t="s">
        <v>419</v>
      </c>
      <c r="I389" s="68" t="s">
        <v>7794</v>
      </c>
      <c r="J389" s="72">
        <v>1.35</v>
      </c>
      <c r="K389" s="14" t="s">
        <v>7797</v>
      </c>
      <c r="L389" s="9">
        <v>97.55</v>
      </c>
      <c r="M389" s="3">
        <v>230.7</v>
      </c>
      <c r="N389" s="66" t="s">
        <v>8020</v>
      </c>
      <c r="O389" s="5" t="s">
        <v>8505</v>
      </c>
      <c r="P389" s="49">
        <f t="shared" si="21"/>
        <v>1.509966315625753</v>
      </c>
      <c r="Q389" s="1">
        <f t="shared" si="22"/>
        <v>1.55456508533605</v>
      </c>
      <c r="R389" s="1">
        <f t="shared" si="24"/>
        <v>1.5476291621406493</v>
      </c>
      <c r="S389" s="10">
        <f t="shared" si="23"/>
        <v>1.5322657004809015</v>
      </c>
      <c r="T389" s="45" cm="1">
        <f t="array" ref="T389">SUMPRODUCT(P389:S389 * P$3:S$3) / SUM(P$3:S$3)</f>
        <v>1.5380599845601162</v>
      </c>
    </row>
    <row r="390" spans="1:20" ht="16.5" customHeight="1" x14ac:dyDescent="0.25">
      <c r="A390" s="5" t="s">
        <v>7091</v>
      </c>
      <c r="B390" s="16" t="s">
        <v>7461</v>
      </c>
      <c r="C390" s="4" t="s">
        <v>8797</v>
      </c>
      <c r="D390" s="4" t="s">
        <v>8963</v>
      </c>
      <c r="E390" s="12" t="s">
        <v>406</v>
      </c>
      <c r="F390" s="75" t="s">
        <v>7777</v>
      </c>
      <c r="G390" s="3">
        <v>8</v>
      </c>
      <c r="H390" s="3" t="s">
        <v>419</v>
      </c>
      <c r="I390" s="68">
        <v>16</v>
      </c>
      <c r="J390" s="72">
        <v>1.35</v>
      </c>
      <c r="K390" s="14" t="s">
        <v>450</v>
      </c>
      <c r="L390" s="9">
        <v>104.9</v>
      </c>
      <c r="M390" s="3">
        <v>161</v>
      </c>
      <c r="N390" s="66" t="s">
        <v>8022</v>
      </c>
      <c r="O390" s="5" t="s">
        <v>8506</v>
      </c>
      <c r="P390" s="49">
        <f t="shared" si="21"/>
        <v>1.5251945431665126</v>
      </c>
      <c r="Q390" s="1">
        <f t="shared" si="22"/>
        <v>1.5621791991064296</v>
      </c>
      <c r="R390" s="1">
        <f t="shared" si="24"/>
        <v>1.5552432759110288</v>
      </c>
      <c r="S390" s="10">
        <f t="shared" si="23"/>
        <v>1.5436868711364713</v>
      </c>
      <c r="T390" s="45" cm="1">
        <f t="array" ref="T390">SUMPRODUCT(P390:S390 * P$3:S$3) / SUM(P$3:S$3)</f>
        <v>1.5483097530971659</v>
      </c>
    </row>
    <row r="391" spans="1:20" ht="16.5" customHeight="1" x14ac:dyDescent="0.25">
      <c r="A391" s="5" t="s">
        <v>7065</v>
      </c>
      <c r="B391" s="16" t="s">
        <v>7417</v>
      </c>
      <c r="C391" s="4" t="s">
        <v>8797</v>
      </c>
      <c r="D391" s="4" t="s">
        <v>8963</v>
      </c>
      <c r="E391" s="12" t="s">
        <v>406</v>
      </c>
      <c r="F391" s="75" t="s">
        <v>7777</v>
      </c>
      <c r="G391" s="3">
        <v>8</v>
      </c>
      <c r="H391" s="3" t="s">
        <v>419</v>
      </c>
      <c r="I391" s="68" t="s">
        <v>260</v>
      </c>
      <c r="J391" s="72">
        <v>1.35</v>
      </c>
      <c r="K391" s="14" t="s">
        <v>7796</v>
      </c>
      <c r="L391" s="9">
        <v>148.85</v>
      </c>
      <c r="M391" s="3">
        <v>190.63</v>
      </c>
      <c r="N391" s="66" t="s">
        <v>7978</v>
      </c>
      <c r="O391" s="5" t="s">
        <v>8470</v>
      </c>
      <c r="P391" s="49">
        <f t="shared" si="21"/>
        <v>1.5251945431665126</v>
      </c>
      <c r="Q391" s="1">
        <f t="shared" si="22"/>
        <v>1.5621791991064296</v>
      </c>
      <c r="R391" s="1">
        <f t="shared" si="24"/>
        <v>1.5552432759110288</v>
      </c>
      <c r="S391" s="10">
        <f t="shared" si="23"/>
        <v>1.5436868711364713</v>
      </c>
      <c r="T391" s="45" cm="1">
        <f t="array" ref="T391">SUMPRODUCT(P391:S391 * P$3:S$3) / SUM(P$3:S$3)</f>
        <v>1.5483097530971659</v>
      </c>
    </row>
    <row r="392" spans="1:20" ht="16.5" customHeight="1" x14ac:dyDescent="0.25">
      <c r="A392" s="5" t="s">
        <v>7036</v>
      </c>
      <c r="B392" s="16" t="s">
        <v>7344</v>
      </c>
      <c r="C392" s="4" t="s">
        <v>8798</v>
      </c>
      <c r="D392" s="4" t="s">
        <v>8963</v>
      </c>
      <c r="E392" s="12" t="s">
        <v>406</v>
      </c>
      <c r="F392" s="75" t="s">
        <v>7777</v>
      </c>
      <c r="G392" s="3">
        <v>8</v>
      </c>
      <c r="H392" s="3" t="s">
        <v>419</v>
      </c>
      <c r="I392" s="68" t="s">
        <v>7795</v>
      </c>
      <c r="J392" s="72">
        <v>1.35</v>
      </c>
      <c r="K392" s="14" t="s">
        <v>5476</v>
      </c>
      <c r="L392" s="9">
        <v>106.9</v>
      </c>
      <c r="M392" s="3">
        <v>168.7</v>
      </c>
      <c r="N392" s="66" t="s">
        <v>7905</v>
      </c>
      <c r="O392" s="5" t="s">
        <v>8407</v>
      </c>
      <c r="P392" s="49">
        <f t="shared" si="21"/>
        <v>1.5172220105548462</v>
      </c>
      <c r="Q392" s="1">
        <f t="shared" si="22"/>
        <v>1.5581929328005963</v>
      </c>
      <c r="R392" s="1">
        <f t="shared" si="24"/>
        <v>1.5512570096051959</v>
      </c>
      <c r="S392" s="10">
        <f t="shared" si="23"/>
        <v>1.5377074716777215</v>
      </c>
      <c r="T392" s="45" cm="1">
        <f t="array" ref="T392">SUMPRODUCT(P392:S392 * P$3:S$3) / SUM(P$3:S$3)</f>
        <v>1.5429436253777751</v>
      </c>
    </row>
    <row r="393" spans="1:20" ht="16.5" customHeight="1" x14ac:dyDescent="0.25">
      <c r="A393" s="5" t="s">
        <v>7036</v>
      </c>
      <c r="B393" s="16" t="s">
        <v>7378</v>
      </c>
      <c r="C393" s="4" t="s">
        <v>8798</v>
      </c>
      <c r="D393" s="4" t="s">
        <v>8963</v>
      </c>
      <c r="E393" s="12" t="s">
        <v>406</v>
      </c>
      <c r="F393" s="75" t="s">
        <v>7777</v>
      </c>
      <c r="G393" s="3">
        <v>8</v>
      </c>
      <c r="H393" s="3" t="s">
        <v>419</v>
      </c>
      <c r="I393" s="68" t="s">
        <v>7795</v>
      </c>
      <c r="J393" s="72">
        <v>1.35</v>
      </c>
      <c r="L393" s="9">
        <v>81.05</v>
      </c>
      <c r="M393" s="3">
        <v>132</v>
      </c>
      <c r="N393" s="66" t="s">
        <v>7939</v>
      </c>
      <c r="O393" s="5" t="s">
        <v>8433</v>
      </c>
      <c r="P393" s="49">
        <f t="shared" si="21"/>
        <v>1.5172220105548462</v>
      </c>
      <c r="Q393" s="1">
        <f t="shared" si="22"/>
        <v>1.5581929328005963</v>
      </c>
      <c r="R393" s="1">
        <f t="shared" si="24"/>
        <v>1.5512570096051959</v>
      </c>
      <c r="S393" s="10">
        <f t="shared" si="23"/>
        <v>1.5377074716777215</v>
      </c>
      <c r="T393" s="45" cm="1">
        <f t="array" ref="T393">SUMPRODUCT(P393:S393 * P$3:S$3) / SUM(P$3:S$3)</f>
        <v>1.5429436253777751</v>
      </c>
    </row>
    <row r="394" spans="1:20" ht="16.5" customHeight="1" x14ac:dyDescent="0.25">
      <c r="A394" s="5" t="s">
        <v>6995</v>
      </c>
      <c r="B394" s="16" t="s">
        <v>7269</v>
      </c>
      <c r="C394" s="4" t="s">
        <v>8798</v>
      </c>
      <c r="D394" s="4" t="s">
        <v>8963</v>
      </c>
      <c r="E394" s="12" t="s">
        <v>406</v>
      </c>
      <c r="F394" s="75" t="s">
        <v>7777</v>
      </c>
      <c r="G394" s="3">
        <v>8</v>
      </c>
      <c r="H394" s="3" t="s">
        <v>419</v>
      </c>
      <c r="I394" s="68" t="s">
        <v>260</v>
      </c>
      <c r="J394" s="72">
        <v>1.35</v>
      </c>
      <c r="K394" s="14" t="s">
        <v>5476</v>
      </c>
      <c r="L394" s="9">
        <v>114.9</v>
      </c>
      <c r="M394" s="3">
        <v>174.15</v>
      </c>
      <c r="N394" s="66" t="s">
        <v>7830</v>
      </c>
      <c r="O394" s="5" t="s">
        <v>8350</v>
      </c>
      <c r="P394" s="49">
        <f t="shared" ref="P394:P457" si="25">(((F394/F$9)^F$7 * F$2 + (I394/I$9)^I$7 * I$2 + (J394/J$9)^J$7 * J$2) * (1+M$3*(MIN(H394,M$2)-1)+M$4*(H394-MIN(H394,M$2))) + (G394/G$9)^G$7 * G$2)  * P$9</f>
        <v>1.5251945431665126</v>
      </c>
      <c r="Q394" s="1">
        <f t="shared" ref="Q394:Q457" si="26">(((F394/F$9)^F$7 * F$3 + (I394/I$9)^I$7 * I$3 + (J394/J$9)^J$7 * J$3) * (1+M$3*(MIN(H394,M$2)-1)+M$4*(H394-MIN(H394,M$2))) + (G394/G$9)^G$7 * G$3)  * P$9</f>
        <v>1.5621791991064296</v>
      </c>
      <c r="R394" s="1">
        <f t="shared" si="24"/>
        <v>1.5552432759110288</v>
      </c>
      <c r="S394" s="10">
        <f t="shared" ref="S394:S457" si="27">(((F394/F$9)^F$7 * F$5 + (I394/I$9)^I$7 * I$5 + (J394/J$9)^J$7 * J$5) * (1+M$3*(MIN(H394,M$2)-1)+M$4*(H394-MIN(H394,M$2))) + (G394/G$9)^G$7 * G$5)  * P$9</f>
        <v>1.5436868711364713</v>
      </c>
      <c r="T394" s="45" cm="1">
        <f t="array" ref="T394">SUMPRODUCT(P394:S394 * P$3:S$3) / SUM(P$3:S$3)</f>
        <v>1.5483097530971659</v>
      </c>
    </row>
    <row r="395" spans="1:20" ht="16.5" customHeight="1" x14ac:dyDescent="0.25">
      <c r="A395" s="5" t="s">
        <v>6995</v>
      </c>
      <c r="B395" s="16" t="s">
        <v>7304</v>
      </c>
      <c r="C395" s="4" t="s">
        <v>8798</v>
      </c>
      <c r="D395" s="4" t="s">
        <v>8963</v>
      </c>
      <c r="E395" s="12" t="s">
        <v>406</v>
      </c>
      <c r="F395" s="75" t="s">
        <v>7777</v>
      </c>
      <c r="G395" s="3">
        <v>8</v>
      </c>
      <c r="H395" s="3" t="s">
        <v>419</v>
      </c>
      <c r="I395" s="68" t="s">
        <v>260</v>
      </c>
      <c r="J395" s="72">
        <v>1.35</v>
      </c>
      <c r="L395" s="9">
        <v>88.1</v>
      </c>
      <c r="M395" s="3">
        <v>137</v>
      </c>
      <c r="N395" s="66" t="s">
        <v>7865</v>
      </c>
      <c r="O395" s="5" t="s">
        <v>8376</v>
      </c>
      <c r="P395" s="49">
        <f t="shared" si="25"/>
        <v>1.5251945431665126</v>
      </c>
      <c r="Q395" s="1">
        <f t="shared" si="26"/>
        <v>1.5621791991064296</v>
      </c>
      <c r="R395" s="1">
        <f t="shared" si="24"/>
        <v>1.5552432759110288</v>
      </c>
      <c r="S395" s="10">
        <f t="shared" si="27"/>
        <v>1.5436868711364713</v>
      </c>
      <c r="T395" s="45" cm="1">
        <f t="array" ref="T395">SUMPRODUCT(P395:S395 * P$3:S$3) / SUM(P$3:S$3)</f>
        <v>1.5483097530971659</v>
      </c>
    </row>
    <row r="396" spans="1:20" ht="16.5" customHeight="1" x14ac:dyDescent="0.25">
      <c r="A396" s="5" t="s">
        <v>7184</v>
      </c>
      <c r="B396" s="16" t="s">
        <v>7588</v>
      </c>
      <c r="C396" s="4" t="s">
        <v>8796</v>
      </c>
      <c r="D396" s="4" t="s">
        <v>8964</v>
      </c>
      <c r="E396" s="12" t="s">
        <v>406</v>
      </c>
      <c r="F396" s="75" t="s">
        <v>7777</v>
      </c>
      <c r="G396" s="3">
        <v>16</v>
      </c>
      <c r="H396" s="3" t="s">
        <v>6736</v>
      </c>
      <c r="I396" s="68" t="s">
        <v>7794</v>
      </c>
      <c r="J396" s="72">
        <v>1.35</v>
      </c>
      <c r="K396" s="14" t="s">
        <v>7799</v>
      </c>
      <c r="L396" s="9">
        <v>43.13</v>
      </c>
      <c r="M396" s="3">
        <v>55.67</v>
      </c>
      <c r="N396" s="66" t="s">
        <v>8149</v>
      </c>
      <c r="O396" s="5" t="s">
        <v>8619</v>
      </c>
      <c r="P396" s="49">
        <f t="shared" si="25"/>
        <v>1.7349788147903336</v>
      </c>
      <c r="Q396" s="1">
        <f t="shared" si="26"/>
        <v>2.0042273738835852</v>
      </c>
      <c r="R396" s="1">
        <f t="shared" si="24"/>
        <v>2.0548570923494989</v>
      </c>
      <c r="S396" s="10">
        <f t="shared" si="27"/>
        <v>1.8696030943369595</v>
      </c>
      <c r="T396" s="45" cm="1">
        <f t="array" ref="T396">SUMPRODUCT(P396:S396 * P$3:S$3) / SUM(P$3:S$3)</f>
        <v>1.9188151370383695</v>
      </c>
    </row>
    <row r="397" spans="1:20" ht="16.5" customHeight="1" x14ac:dyDescent="0.25">
      <c r="A397" s="5" t="s">
        <v>7184</v>
      </c>
      <c r="B397" s="16" t="s">
        <v>7660</v>
      </c>
      <c r="C397" s="4" t="s">
        <v>8796</v>
      </c>
      <c r="D397" s="4" t="s">
        <v>8964</v>
      </c>
      <c r="E397" s="12" t="s">
        <v>406</v>
      </c>
      <c r="F397" s="75" t="s">
        <v>7777</v>
      </c>
      <c r="G397" s="3">
        <v>16</v>
      </c>
      <c r="H397" s="3" t="s">
        <v>6736</v>
      </c>
      <c r="I397" s="68" t="s">
        <v>7794</v>
      </c>
      <c r="J397" s="72">
        <v>1.35</v>
      </c>
      <c r="K397" s="14" t="s">
        <v>6175</v>
      </c>
      <c r="L397" s="9">
        <v>40.5</v>
      </c>
      <c r="M397" s="3">
        <v>104</v>
      </c>
      <c r="N397" s="67" t="s">
        <v>8221</v>
      </c>
      <c r="O397" s="5" t="s">
        <v>8675</v>
      </c>
      <c r="P397" s="49">
        <f t="shared" si="25"/>
        <v>1.7349788147903336</v>
      </c>
      <c r="Q397" s="1">
        <f t="shared" si="26"/>
        <v>2.0042273738835852</v>
      </c>
      <c r="R397" s="1">
        <f t="shared" si="24"/>
        <v>2.0548570923494989</v>
      </c>
      <c r="S397" s="10">
        <f t="shared" si="27"/>
        <v>1.8696030943369595</v>
      </c>
      <c r="T397" s="45" cm="1">
        <f t="array" ref="T397">SUMPRODUCT(P397:S397 * P$3:S$3) / SUM(P$3:S$3)</f>
        <v>1.9188151370383695</v>
      </c>
    </row>
    <row r="398" spans="1:20" ht="16.5" customHeight="1" x14ac:dyDescent="0.25">
      <c r="A398" s="5" t="s">
        <v>7184</v>
      </c>
      <c r="B398" s="16" t="s">
        <v>7722</v>
      </c>
      <c r="C398" s="4" t="s">
        <v>8796</v>
      </c>
      <c r="D398" s="4" t="s">
        <v>8964</v>
      </c>
      <c r="E398" s="12" t="s">
        <v>406</v>
      </c>
      <c r="F398" s="75" t="s">
        <v>7777</v>
      </c>
      <c r="G398" s="3">
        <v>16</v>
      </c>
      <c r="H398" s="3" t="s">
        <v>6736</v>
      </c>
      <c r="I398" s="68" t="s">
        <v>7794</v>
      </c>
      <c r="J398" s="72">
        <v>1.35</v>
      </c>
      <c r="L398" s="9">
        <v>38.14</v>
      </c>
      <c r="M398" s="3">
        <v>50.2</v>
      </c>
      <c r="N398" s="66" t="s">
        <v>8283</v>
      </c>
      <c r="O398" s="5" t="s">
        <v>8724</v>
      </c>
      <c r="P398" s="49">
        <f t="shared" si="25"/>
        <v>1.7349788147903336</v>
      </c>
      <c r="Q398" s="1">
        <f t="shared" si="26"/>
        <v>2.0042273738835852</v>
      </c>
      <c r="R398" s="1">
        <f t="shared" si="24"/>
        <v>2.0548570923494989</v>
      </c>
      <c r="S398" s="10">
        <f t="shared" si="27"/>
        <v>1.8696030943369595</v>
      </c>
      <c r="T398" s="45" cm="1">
        <f t="array" ref="T398">SUMPRODUCT(P398:S398 * P$3:S$3) / SUM(P$3:S$3)</f>
        <v>1.9188151370383695</v>
      </c>
    </row>
    <row r="399" spans="1:20" ht="16.5" customHeight="1" x14ac:dyDescent="0.25">
      <c r="A399" s="5" t="s">
        <v>7043</v>
      </c>
      <c r="B399" s="16" t="s">
        <v>7356</v>
      </c>
      <c r="C399" s="4" t="s">
        <v>8798</v>
      </c>
      <c r="D399" s="4" t="s">
        <v>8964</v>
      </c>
      <c r="E399" s="12" t="s">
        <v>406</v>
      </c>
      <c r="F399" s="75" t="s">
        <v>7777</v>
      </c>
      <c r="G399" s="3">
        <v>16</v>
      </c>
      <c r="H399" s="3" t="s">
        <v>6736</v>
      </c>
      <c r="I399" s="68" t="s">
        <v>7794</v>
      </c>
      <c r="J399" s="72">
        <v>1.35</v>
      </c>
      <c r="K399" s="14" t="s">
        <v>5476</v>
      </c>
      <c r="L399" s="9">
        <v>64.41</v>
      </c>
      <c r="M399" s="3">
        <v>509.04</v>
      </c>
      <c r="N399" s="66" t="s">
        <v>7917</v>
      </c>
      <c r="O399" s="5" t="s">
        <v>8417</v>
      </c>
      <c r="P399" s="49">
        <f t="shared" si="25"/>
        <v>1.7349788147903336</v>
      </c>
      <c r="Q399" s="1">
        <f t="shared" si="26"/>
        <v>2.0042273738835852</v>
      </c>
      <c r="R399" s="1">
        <f t="shared" si="24"/>
        <v>2.0548570923494989</v>
      </c>
      <c r="S399" s="10">
        <f t="shared" si="27"/>
        <v>1.8696030943369595</v>
      </c>
      <c r="T399" s="45" cm="1">
        <f t="array" ref="T399">SUMPRODUCT(P399:S399 * P$3:S$3) / SUM(P$3:S$3)</f>
        <v>1.9188151370383695</v>
      </c>
    </row>
    <row r="400" spans="1:20" ht="16.5" customHeight="1" x14ac:dyDescent="0.25">
      <c r="A400" s="5" t="s">
        <v>7043</v>
      </c>
      <c r="B400" s="16" t="s">
        <v>7357</v>
      </c>
      <c r="C400" s="4" t="s">
        <v>8798</v>
      </c>
      <c r="D400" s="4" t="s">
        <v>8964</v>
      </c>
      <c r="E400" s="12" t="s">
        <v>406</v>
      </c>
      <c r="F400" s="75" t="s">
        <v>7777</v>
      </c>
      <c r="G400" s="3">
        <v>16</v>
      </c>
      <c r="H400" s="3" t="s">
        <v>6736</v>
      </c>
      <c r="I400" s="68" t="s">
        <v>7794</v>
      </c>
      <c r="J400" s="72">
        <v>1.35</v>
      </c>
      <c r="K400" s="14" t="s">
        <v>5476</v>
      </c>
      <c r="L400" s="9">
        <v>41.9</v>
      </c>
      <c r="M400" s="3">
        <v>91</v>
      </c>
      <c r="N400" s="66" t="s">
        <v>7918</v>
      </c>
      <c r="O400" s="5" t="s">
        <v>8417</v>
      </c>
      <c r="P400" s="49">
        <f t="shared" si="25"/>
        <v>1.7349788147903336</v>
      </c>
      <c r="Q400" s="1">
        <f t="shared" si="26"/>
        <v>2.0042273738835852</v>
      </c>
      <c r="R400" s="1">
        <f t="shared" ref="R400:R463" si="28">(((F400/F$9)^F$7 * F$4 + (I400/I$9)^I$7 * I$4 + (J400/J$9)^J$7 * J$4) * (1+M$3*(MIN(H400,M$2)-1)+M$4*(H400-MIN(H400,M$2))) + (G400/G$9)^G$7 * G$4)  * P$9</f>
        <v>2.0548570923494989</v>
      </c>
      <c r="S400" s="10">
        <f t="shared" si="27"/>
        <v>1.8696030943369595</v>
      </c>
      <c r="T400" s="45" cm="1">
        <f t="array" ref="T400">SUMPRODUCT(P400:S400 * P$3:S$3) / SUM(P$3:S$3)</f>
        <v>1.9188151370383695</v>
      </c>
    </row>
    <row r="401" spans="1:20" ht="16.5" customHeight="1" x14ac:dyDescent="0.25">
      <c r="A401" s="5" t="s">
        <v>7043</v>
      </c>
      <c r="B401" s="16" t="s">
        <v>7392</v>
      </c>
      <c r="C401" s="4" t="s">
        <v>8798</v>
      </c>
      <c r="D401" s="4" t="s">
        <v>8964</v>
      </c>
      <c r="E401" s="12" t="s">
        <v>406</v>
      </c>
      <c r="F401" s="75" t="s">
        <v>7777</v>
      </c>
      <c r="G401" s="3">
        <v>16</v>
      </c>
      <c r="H401" s="3" t="s">
        <v>6736</v>
      </c>
      <c r="I401" s="68" t="s">
        <v>7794</v>
      </c>
      <c r="J401" s="72">
        <v>1.35</v>
      </c>
      <c r="L401" s="9">
        <v>34.950000000000003</v>
      </c>
      <c r="M401" s="3">
        <v>73</v>
      </c>
      <c r="N401" s="66" t="s">
        <v>7953</v>
      </c>
      <c r="O401" s="5" t="s">
        <v>8445</v>
      </c>
      <c r="P401" s="49">
        <f t="shared" si="25"/>
        <v>1.7349788147903336</v>
      </c>
      <c r="Q401" s="1">
        <f t="shared" si="26"/>
        <v>2.0042273738835852</v>
      </c>
      <c r="R401" s="1">
        <f t="shared" si="28"/>
        <v>2.0548570923494989</v>
      </c>
      <c r="S401" s="10">
        <f t="shared" si="27"/>
        <v>1.8696030943369595</v>
      </c>
      <c r="T401" s="45" cm="1">
        <f t="array" ref="T401">SUMPRODUCT(P401:S401 * P$3:S$3) / SUM(P$3:S$3)</f>
        <v>1.9188151370383695</v>
      </c>
    </row>
    <row r="402" spans="1:20" ht="16.5" customHeight="1" x14ac:dyDescent="0.25">
      <c r="A402" s="5" t="s">
        <v>7007</v>
      </c>
      <c r="B402" s="16" t="s">
        <v>7283</v>
      </c>
      <c r="C402" s="4" t="s">
        <v>8798</v>
      </c>
      <c r="D402" s="4" t="s">
        <v>8964</v>
      </c>
      <c r="E402" s="12" t="s">
        <v>406</v>
      </c>
      <c r="F402" s="75" t="s">
        <v>7777</v>
      </c>
      <c r="G402" s="3">
        <v>16</v>
      </c>
      <c r="H402" s="3" t="s">
        <v>6736</v>
      </c>
      <c r="I402" s="68" t="s">
        <v>260</v>
      </c>
      <c r="J402" s="72">
        <v>1.35</v>
      </c>
      <c r="K402" s="14" t="s">
        <v>5476</v>
      </c>
      <c r="L402" s="9">
        <v>61.5</v>
      </c>
      <c r="M402" s="3">
        <v>182.32</v>
      </c>
      <c r="N402" s="66" t="s">
        <v>7844</v>
      </c>
      <c r="O402" s="5" t="s">
        <v>8360</v>
      </c>
      <c r="P402" s="49">
        <f t="shared" si="25"/>
        <v>1.7490255419184479</v>
      </c>
      <c r="Q402" s="1">
        <f t="shared" si="26"/>
        <v>2.011250737447642</v>
      </c>
      <c r="R402" s="1">
        <f t="shared" si="28"/>
        <v>2.0618804559135557</v>
      </c>
      <c r="S402" s="10">
        <f t="shared" si="27"/>
        <v>1.8801381396830452</v>
      </c>
      <c r="T402" s="45" cm="1">
        <f t="array" ref="T402">SUMPRODUCT(P402:S402 * P$3:S$3) / SUM(P$3:S$3)</f>
        <v>1.928269664913062</v>
      </c>
    </row>
    <row r="403" spans="1:20" ht="16.5" customHeight="1" x14ac:dyDescent="0.25">
      <c r="A403" s="5" t="s">
        <v>7007</v>
      </c>
      <c r="B403" s="16" t="s">
        <v>7284</v>
      </c>
      <c r="C403" s="4" t="s">
        <v>8798</v>
      </c>
      <c r="D403" s="4" t="s">
        <v>8964</v>
      </c>
      <c r="E403" s="12" t="s">
        <v>406</v>
      </c>
      <c r="F403" s="75" t="s">
        <v>7777</v>
      </c>
      <c r="G403" s="3">
        <v>16</v>
      </c>
      <c r="H403" s="3" t="s">
        <v>6736</v>
      </c>
      <c r="I403" s="68" t="s">
        <v>260</v>
      </c>
      <c r="J403" s="72">
        <v>1.35</v>
      </c>
      <c r="K403" s="14" t="s">
        <v>5476</v>
      </c>
      <c r="L403" s="9">
        <v>44.79</v>
      </c>
      <c r="M403" s="3">
        <v>94</v>
      </c>
      <c r="N403" s="66" t="s">
        <v>7845</v>
      </c>
      <c r="O403" s="5" t="s">
        <v>8360</v>
      </c>
      <c r="P403" s="49">
        <f t="shared" si="25"/>
        <v>1.7490255419184479</v>
      </c>
      <c r="Q403" s="1">
        <f t="shared" si="26"/>
        <v>2.011250737447642</v>
      </c>
      <c r="R403" s="1">
        <f t="shared" si="28"/>
        <v>2.0618804559135557</v>
      </c>
      <c r="S403" s="10">
        <f t="shared" si="27"/>
        <v>1.8801381396830452</v>
      </c>
      <c r="T403" s="45" cm="1">
        <f t="array" ref="T403">SUMPRODUCT(P403:S403 * P$3:S$3) / SUM(P$3:S$3)</f>
        <v>1.928269664913062</v>
      </c>
    </row>
    <row r="404" spans="1:20" ht="16.5" customHeight="1" x14ac:dyDescent="0.25">
      <c r="A404" s="5" t="s">
        <v>7007</v>
      </c>
      <c r="B404" s="16" t="s">
        <v>7320</v>
      </c>
      <c r="C404" s="4" t="s">
        <v>8798</v>
      </c>
      <c r="D404" s="4" t="s">
        <v>8964</v>
      </c>
      <c r="E404" s="12" t="s">
        <v>406</v>
      </c>
      <c r="F404" s="75" t="s">
        <v>7777</v>
      </c>
      <c r="G404" s="3">
        <v>16</v>
      </c>
      <c r="H404" s="3" t="s">
        <v>6736</v>
      </c>
      <c r="I404" s="68" t="s">
        <v>260</v>
      </c>
      <c r="J404" s="72">
        <v>1.35</v>
      </c>
      <c r="L404" s="9">
        <v>38.090000000000003</v>
      </c>
      <c r="M404" s="3">
        <v>77</v>
      </c>
      <c r="N404" s="66" t="s">
        <v>7881</v>
      </c>
      <c r="O404" s="5" t="s">
        <v>8389</v>
      </c>
      <c r="P404" s="49">
        <f t="shared" si="25"/>
        <v>1.7490255419184479</v>
      </c>
      <c r="Q404" s="1">
        <f t="shared" si="26"/>
        <v>2.011250737447642</v>
      </c>
      <c r="R404" s="1">
        <f t="shared" si="28"/>
        <v>2.0618804559135557</v>
      </c>
      <c r="S404" s="10">
        <f t="shared" si="27"/>
        <v>1.8801381396830452</v>
      </c>
      <c r="T404" s="45" cm="1">
        <f t="array" ref="T404">SUMPRODUCT(P404:S404 * P$3:S$3) / SUM(P$3:S$3)</f>
        <v>1.928269664913062</v>
      </c>
    </row>
    <row r="405" spans="1:20" ht="16.5" customHeight="1" x14ac:dyDescent="0.25">
      <c r="A405" s="5" t="s">
        <v>7007</v>
      </c>
      <c r="B405" s="16" t="s">
        <v>7321</v>
      </c>
      <c r="C405" s="4" t="s">
        <v>8798</v>
      </c>
      <c r="D405" s="4" t="s">
        <v>8964</v>
      </c>
      <c r="E405" s="12" t="s">
        <v>406</v>
      </c>
      <c r="F405" s="75" t="s">
        <v>7777</v>
      </c>
      <c r="G405" s="3">
        <v>16</v>
      </c>
      <c r="H405" s="3" t="s">
        <v>6736</v>
      </c>
      <c r="I405" s="68" t="s">
        <v>260</v>
      </c>
      <c r="J405" s="72">
        <v>1.35</v>
      </c>
      <c r="L405" s="9">
        <v>79.989999999999995</v>
      </c>
      <c r="M405" s="3">
        <v>79.989999999999995</v>
      </c>
      <c r="N405" s="66" t="s">
        <v>7882</v>
      </c>
      <c r="O405" s="5" t="s">
        <v>8389</v>
      </c>
      <c r="P405" s="49">
        <f t="shared" si="25"/>
        <v>1.7490255419184479</v>
      </c>
      <c r="Q405" s="1">
        <f t="shared" si="26"/>
        <v>2.011250737447642</v>
      </c>
      <c r="R405" s="1">
        <f t="shared" si="28"/>
        <v>2.0618804559135557</v>
      </c>
      <c r="S405" s="10">
        <f t="shared" si="27"/>
        <v>1.8801381396830452</v>
      </c>
      <c r="T405" s="45" cm="1">
        <f t="array" ref="T405">SUMPRODUCT(P405:S405 * P$3:S$3) / SUM(P$3:S$3)</f>
        <v>1.928269664913062</v>
      </c>
    </row>
    <row r="406" spans="1:20" ht="16.5" customHeight="1" x14ac:dyDescent="0.25">
      <c r="A406" s="5" t="s">
        <v>7231</v>
      </c>
      <c r="B406" s="16" t="s">
        <v>7747</v>
      </c>
      <c r="C406" s="4" t="s">
        <v>8796</v>
      </c>
      <c r="D406" s="4" t="s">
        <v>8965</v>
      </c>
      <c r="E406" s="12" t="s">
        <v>406</v>
      </c>
      <c r="F406" s="75" t="s">
        <v>7777</v>
      </c>
      <c r="G406" s="3">
        <v>16</v>
      </c>
      <c r="H406" s="3" t="s">
        <v>404</v>
      </c>
      <c r="I406" s="68" t="s">
        <v>7794</v>
      </c>
      <c r="J406" s="72">
        <v>1.35</v>
      </c>
      <c r="K406" s="14" t="s">
        <v>7804</v>
      </c>
      <c r="L406" s="9">
        <v>119.28</v>
      </c>
      <c r="M406" s="3">
        <v>195.27</v>
      </c>
      <c r="N406" s="66" t="s">
        <v>8308</v>
      </c>
      <c r="O406" s="5" t="s">
        <v>8749</v>
      </c>
      <c r="P406" s="49">
        <f t="shared" si="25"/>
        <v>1.7614257512854719</v>
      </c>
      <c r="Q406" s="1">
        <f t="shared" si="26"/>
        <v>2.0234251158399599</v>
      </c>
      <c r="R406" s="1">
        <f t="shared" si="28"/>
        <v>2.0717748042326569</v>
      </c>
      <c r="S406" s="10">
        <f t="shared" si="27"/>
        <v>1.8924254335627158</v>
      </c>
      <c r="T406" s="45" cm="1">
        <f t="array" ref="T406">SUMPRODUCT(P406:S406 * P$3:S$3) / SUM(P$3:S$3)</f>
        <v>1.9401714417084364</v>
      </c>
    </row>
    <row r="407" spans="1:20" ht="16.5" customHeight="1" x14ac:dyDescent="0.25">
      <c r="A407" s="5" t="s">
        <v>7231</v>
      </c>
      <c r="B407" s="16" t="s">
        <v>7761</v>
      </c>
      <c r="C407" s="4" t="s">
        <v>8796</v>
      </c>
      <c r="D407" s="4" t="s">
        <v>8965</v>
      </c>
      <c r="E407" s="12" t="s">
        <v>406</v>
      </c>
      <c r="F407" s="75" t="s">
        <v>7777</v>
      </c>
      <c r="G407" s="3">
        <v>16</v>
      </c>
      <c r="H407" s="3" t="s">
        <v>404</v>
      </c>
      <c r="I407" s="68" t="s">
        <v>7794</v>
      </c>
      <c r="J407" s="72">
        <v>1.35</v>
      </c>
      <c r="K407" s="14" t="s">
        <v>7804</v>
      </c>
      <c r="L407" s="9">
        <v>111.9</v>
      </c>
      <c r="M407" s="3">
        <v>134.30000000000001</v>
      </c>
      <c r="N407" s="66" t="s">
        <v>8322</v>
      </c>
      <c r="O407" s="5" t="s">
        <v>8761</v>
      </c>
      <c r="P407" s="49">
        <f t="shared" si="25"/>
        <v>1.7614257512854719</v>
      </c>
      <c r="Q407" s="1">
        <f t="shared" si="26"/>
        <v>2.0234251158399599</v>
      </c>
      <c r="R407" s="1">
        <f t="shared" si="28"/>
        <v>2.0717748042326569</v>
      </c>
      <c r="S407" s="10">
        <f t="shared" si="27"/>
        <v>1.8924254335627158</v>
      </c>
      <c r="T407" s="45" cm="1">
        <f t="array" ref="T407">SUMPRODUCT(P407:S407 * P$3:S$3) / SUM(P$3:S$3)</f>
        <v>1.9401714417084364</v>
      </c>
    </row>
    <row r="408" spans="1:20" ht="16.5" customHeight="1" x14ac:dyDescent="0.25">
      <c r="A408" s="5" t="s">
        <v>7231</v>
      </c>
      <c r="B408" s="16" t="s">
        <v>7762</v>
      </c>
      <c r="C408" s="4" t="s">
        <v>8796</v>
      </c>
      <c r="D408" s="4" t="s">
        <v>8965</v>
      </c>
      <c r="E408" s="12" t="s">
        <v>406</v>
      </c>
      <c r="F408" s="75" t="s">
        <v>7777</v>
      </c>
      <c r="G408" s="3">
        <v>16</v>
      </c>
      <c r="H408" s="3" t="s">
        <v>404</v>
      </c>
      <c r="I408" s="68" t="s">
        <v>7794</v>
      </c>
      <c r="J408" s="72">
        <v>1.35</v>
      </c>
      <c r="K408" s="14" t="s">
        <v>7804</v>
      </c>
      <c r="L408" s="9">
        <v>131.55000000000001</v>
      </c>
      <c r="M408" s="3">
        <v>148.66</v>
      </c>
      <c r="N408" s="66" t="s">
        <v>8323</v>
      </c>
      <c r="O408" s="5" t="s">
        <v>8761</v>
      </c>
      <c r="P408" s="49">
        <f t="shared" si="25"/>
        <v>1.7614257512854719</v>
      </c>
      <c r="Q408" s="1">
        <f t="shared" si="26"/>
        <v>2.0234251158399599</v>
      </c>
      <c r="R408" s="1">
        <f t="shared" si="28"/>
        <v>2.0717748042326569</v>
      </c>
      <c r="S408" s="10">
        <f t="shared" si="27"/>
        <v>1.8924254335627158</v>
      </c>
      <c r="T408" s="45" cm="1">
        <f t="array" ref="T408">SUMPRODUCT(P408:S408 * P$3:S$3) / SUM(P$3:S$3)</f>
        <v>1.9401714417084364</v>
      </c>
    </row>
    <row r="409" spans="1:20" ht="16.5" customHeight="1" x14ac:dyDescent="0.25">
      <c r="A409" s="5" t="s">
        <v>7174</v>
      </c>
      <c r="B409" s="16" t="s">
        <v>7562</v>
      </c>
      <c r="C409" s="4" t="s">
        <v>8796</v>
      </c>
      <c r="D409" s="4" t="s">
        <v>8965</v>
      </c>
      <c r="E409" s="12" t="s">
        <v>406</v>
      </c>
      <c r="F409" s="75" t="s">
        <v>7777</v>
      </c>
      <c r="G409" s="3">
        <v>16</v>
      </c>
      <c r="H409" s="3" t="s">
        <v>404</v>
      </c>
      <c r="I409" s="68" t="s">
        <v>7794</v>
      </c>
      <c r="J409" s="72">
        <v>1.35</v>
      </c>
      <c r="K409" s="14" t="s">
        <v>6175</v>
      </c>
      <c r="L409" s="9">
        <v>84.9</v>
      </c>
      <c r="M409" s="3">
        <v>148.32</v>
      </c>
      <c r="N409" s="66" t="s">
        <v>8123</v>
      </c>
      <c r="O409" s="5" t="s">
        <v>8598</v>
      </c>
      <c r="P409" s="49">
        <f t="shared" si="25"/>
        <v>1.7614257512854719</v>
      </c>
      <c r="Q409" s="1">
        <f t="shared" si="26"/>
        <v>2.0234251158399599</v>
      </c>
      <c r="R409" s="1">
        <f t="shared" si="28"/>
        <v>2.0717748042326569</v>
      </c>
      <c r="S409" s="10">
        <f t="shared" si="27"/>
        <v>1.8924254335627158</v>
      </c>
      <c r="T409" s="45" cm="1">
        <f t="array" ref="T409">SUMPRODUCT(P409:S409 * P$3:S$3) / SUM(P$3:S$3)</f>
        <v>1.9401714417084364</v>
      </c>
    </row>
    <row r="410" spans="1:20" ht="16.5" customHeight="1" x14ac:dyDescent="0.25">
      <c r="A410" s="5" t="s">
        <v>7174</v>
      </c>
      <c r="B410" s="16" t="s">
        <v>7574</v>
      </c>
      <c r="C410" s="4" t="s">
        <v>8796</v>
      </c>
      <c r="D410" s="4" t="s">
        <v>8965</v>
      </c>
      <c r="E410" s="12" t="s">
        <v>406</v>
      </c>
      <c r="F410" s="75" t="s">
        <v>7777</v>
      </c>
      <c r="G410" s="3">
        <v>16</v>
      </c>
      <c r="H410" s="3" t="s">
        <v>404</v>
      </c>
      <c r="I410" s="68" t="s">
        <v>7794</v>
      </c>
      <c r="J410" s="72">
        <v>1.35</v>
      </c>
      <c r="K410" s="14" t="s">
        <v>6175</v>
      </c>
      <c r="L410" s="9">
        <v>82.9</v>
      </c>
      <c r="M410" s="3">
        <v>127</v>
      </c>
      <c r="N410" s="66" t="s">
        <v>8135</v>
      </c>
      <c r="O410" s="5" t="s">
        <v>8606</v>
      </c>
      <c r="P410" s="49">
        <f t="shared" si="25"/>
        <v>1.7614257512854719</v>
      </c>
      <c r="Q410" s="1">
        <f t="shared" si="26"/>
        <v>2.0234251158399599</v>
      </c>
      <c r="R410" s="1">
        <f t="shared" si="28"/>
        <v>2.0717748042326569</v>
      </c>
      <c r="S410" s="10">
        <f t="shared" si="27"/>
        <v>1.8924254335627158</v>
      </c>
      <c r="T410" s="45" cm="1">
        <f t="array" ref="T410">SUMPRODUCT(P410:S410 * P$3:S$3) / SUM(P$3:S$3)</f>
        <v>1.9401714417084364</v>
      </c>
    </row>
    <row r="411" spans="1:20" ht="16.5" customHeight="1" x14ac:dyDescent="0.25">
      <c r="A411" s="5" t="s">
        <v>7174</v>
      </c>
      <c r="B411" s="16" t="s">
        <v>7575</v>
      </c>
      <c r="C411" s="4" t="s">
        <v>8796</v>
      </c>
      <c r="D411" s="4" t="s">
        <v>8965</v>
      </c>
      <c r="E411" s="12" t="s">
        <v>406</v>
      </c>
      <c r="F411" s="75" t="s">
        <v>7777</v>
      </c>
      <c r="G411" s="3">
        <v>16</v>
      </c>
      <c r="H411" s="3" t="s">
        <v>404</v>
      </c>
      <c r="I411" s="68" t="s">
        <v>260</v>
      </c>
      <c r="J411" s="72">
        <v>1.35</v>
      </c>
      <c r="K411" s="14" t="s">
        <v>6175</v>
      </c>
      <c r="L411" s="9">
        <v>87.9</v>
      </c>
      <c r="M411" s="3">
        <v>139</v>
      </c>
      <c r="N411" s="66" t="s">
        <v>8136</v>
      </c>
      <c r="O411" s="5" t="s">
        <v>8607</v>
      </c>
      <c r="P411" s="49">
        <f t="shared" si="25"/>
        <v>1.7758663118844678</v>
      </c>
      <c r="Q411" s="1">
        <f t="shared" si="26"/>
        <v>2.0306453961394575</v>
      </c>
      <c r="R411" s="1">
        <f t="shared" si="28"/>
        <v>2.078995084532155</v>
      </c>
      <c r="S411" s="10">
        <f t="shared" si="27"/>
        <v>1.9032558540119631</v>
      </c>
      <c r="T411" s="45" cm="1">
        <f t="array" ref="T411">SUMPRODUCT(P411:S411 * P$3:S$3) / SUM(P$3:S$3)</f>
        <v>1.9498910498039146</v>
      </c>
    </row>
    <row r="412" spans="1:20" ht="16.5" customHeight="1" x14ac:dyDescent="0.25">
      <c r="A412" s="5" t="s">
        <v>7174</v>
      </c>
      <c r="B412" s="16" t="s">
        <v>7584</v>
      </c>
      <c r="C412" s="4" t="s">
        <v>8796</v>
      </c>
      <c r="D412" s="4" t="s">
        <v>8965</v>
      </c>
      <c r="E412" s="12" t="s">
        <v>406</v>
      </c>
      <c r="F412" s="75" t="s">
        <v>7777</v>
      </c>
      <c r="G412" s="3">
        <v>16</v>
      </c>
      <c r="H412" s="3" t="s">
        <v>404</v>
      </c>
      <c r="I412" s="68" t="s">
        <v>7794</v>
      </c>
      <c r="J412" s="72">
        <v>1.35</v>
      </c>
      <c r="K412" s="14" t="s">
        <v>7799</v>
      </c>
      <c r="L412" s="9">
        <v>72.900000000000006</v>
      </c>
      <c r="M412" s="3">
        <v>117</v>
      </c>
      <c r="N412" s="66" t="s">
        <v>8145</v>
      </c>
      <c r="O412" s="5" t="s">
        <v>8615</v>
      </c>
      <c r="P412" s="49">
        <f t="shared" si="25"/>
        <v>1.7614257512854719</v>
      </c>
      <c r="Q412" s="1">
        <f t="shared" si="26"/>
        <v>2.0234251158399599</v>
      </c>
      <c r="R412" s="1">
        <f t="shared" si="28"/>
        <v>2.0717748042326569</v>
      </c>
      <c r="S412" s="10">
        <f t="shared" si="27"/>
        <v>1.8924254335627158</v>
      </c>
      <c r="T412" s="45" cm="1">
        <f t="array" ref="T412">SUMPRODUCT(P412:S412 * P$3:S$3) / SUM(P$3:S$3)</f>
        <v>1.9401714417084364</v>
      </c>
    </row>
    <row r="413" spans="1:20" ht="16.5" customHeight="1" x14ac:dyDescent="0.25">
      <c r="A413" s="5" t="s">
        <v>7174</v>
      </c>
      <c r="B413" s="16" t="s">
        <v>7606</v>
      </c>
      <c r="C413" s="4" t="s">
        <v>8796</v>
      </c>
      <c r="D413" s="4" t="s">
        <v>8965</v>
      </c>
      <c r="E413" s="12" t="s">
        <v>406</v>
      </c>
      <c r="F413" s="75" t="s">
        <v>7777</v>
      </c>
      <c r="G413" s="3">
        <v>16</v>
      </c>
      <c r="H413" s="3" t="s">
        <v>404</v>
      </c>
      <c r="I413" s="68" t="s">
        <v>7794</v>
      </c>
      <c r="J413" s="72">
        <v>1.35</v>
      </c>
      <c r="K413" s="14" t="s">
        <v>7800</v>
      </c>
      <c r="L413" s="9">
        <v>76.760000000000005</v>
      </c>
      <c r="M413" s="3">
        <v>127</v>
      </c>
      <c r="N413" s="66" t="s">
        <v>8167</v>
      </c>
      <c r="O413" s="5" t="s">
        <v>8636</v>
      </c>
      <c r="P413" s="49">
        <f t="shared" si="25"/>
        <v>1.7614257512854719</v>
      </c>
      <c r="Q413" s="1">
        <f t="shared" si="26"/>
        <v>2.0234251158399599</v>
      </c>
      <c r="R413" s="1">
        <f t="shared" si="28"/>
        <v>2.0717748042326569</v>
      </c>
      <c r="S413" s="10">
        <f t="shared" si="27"/>
        <v>1.8924254335627158</v>
      </c>
      <c r="T413" s="45" cm="1">
        <f t="array" ref="T413">SUMPRODUCT(P413:S413 * P$3:S$3) / SUM(P$3:S$3)</f>
        <v>1.9401714417084364</v>
      </c>
    </row>
    <row r="414" spans="1:20" ht="16.5" customHeight="1" x14ac:dyDescent="0.25">
      <c r="A414" s="5" t="s">
        <v>7174</v>
      </c>
      <c r="B414" s="16" t="s">
        <v>7618</v>
      </c>
      <c r="C414" s="4" t="s">
        <v>8796</v>
      </c>
      <c r="D414" s="4" t="s">
        <v>8965</v>
      </c>
      <c r="E414" s="12" t="s">
        <v>406</v>
      </c>
      <c r="F414" s="75" t="s">
        <v>7777</v>
      </c>
      <c r="G414" s="3">
        <v>16</v>
      </c>
      <c r="H414" s="3" t="s">
        <v>404</v>
      </c>
      <c r="I414" s="68" t="s">
        <v>7794</v>
      </c>
      <c r="J414" s="72">
        <v>1.35</v>
      </c>
      <c r="K414" s="14" t="s">
        <v>7800</v>
      </c>
      <c r="L414" s="9">
        <v>76.98</v>
      </c>
      <c r="M414" s="3">
        <v>123</v>
      </c>
      <c r="N414" s="66" t="s">
        <v>8179</v>
      </c>
      <c r="O414" s="5" t="s">
        <v>8644</v>
      </c>
      <c r="P414" s="49">
        <f t="shared" si="25"/>
        <v>1.7614257512854719</v>
      </c>
      <c r="Q414" s="1">
        <f t="shared" si="26"/>
        <v>2.0234251158399599</v>
      </c>
      <c r="R414" s="1">
        <f t="shared" si="28"/>
        <v>2.0717748042326569</v>
      </c>
      <c r="S414" s="10">
        <f t="shared" si="27"/>
        <v>1.8924254335627158</v>
      </c>
      <c r="T414" s="45" cm="1">
        <f t="array" ref="T414">SUMPRODUCT(P414:S414 * P$3:S$3) / SUM(P$3:S$3)</f>
        <v>1.9401714417084364</v>
      </c>
    </row>
    <row r="415" spans="1:20" ht="16.5" customHeight="1" x14ac:dyDescent="0.25">
      <c r="A415" s="5" t="s">
        <v>7174</v>
      </c>
      <c r="B415" s="16" t="s">
        <v>7619</v>
      </c>
      <c r="C415" s="4" t="s">
        <v>8796</v>
      </c>
      <c r="D415" s="4" t="s">
        <v>8965</v>
      </c>
      <c r="E415" s="12" t="s">
        <v>406</v>
      </c>
      <c r="F415" s="75" t="s">
        <v>7777</v>
      </c>
      <c r="G415" s="3">
        <v>16</v>
      </c>
      <c r="H415" s="3" t="s">
        <v>404</v>
      </c>
      <c r="I415" s="68" t="s">
        <v>7794</v>
      </c>
      <c r="J415" s="72">
        <v>1.35</v>
      </c>
      <c r="K415" s="14" t="s">
        <v>7800</v>
      </c>
      <c r="L415" s="9">
        <v>77.22</v>
      </c>
      <c r="M415" s="3">
        <v>159</v>
      </c>
      <c r="N415" s="66" t="s">
        <v>8180</v>
      </c>
      <c r="O415" s="5" t="s">
        <v>8644</v>
      </c>
      <c r="P415" s="49">
        <f t="shared" si="25"/>
        <v>1.7614257512854719</v>
      </c>
      <c r="Q415" s="1">
        <f t="shared" si="26"/>
        <v>2.0234251158399599</v>
      </c>
      <c r="R415" s="1">
        <f t="shared" si="28"/>
        <v>2.0717748042326569</v>
      </c>
      <c r="S415" s="10">
        <f t="shared" si="27"/>
        <v>1.8924254335627158</v>
      </c>
      <c r="T415" s="45" cm="1">
        <f t="array" ref="T415">SUMPRODUCT(P415:S415 * P$3:S$3) / SUM(P$3:S$3)</f>
        <v>1.9401714417084364</v>
      </c>
    </row>
    <row r="416" spans="1:20" ht="16.5" customHeight="1" x14ac:dyDescent="0.25">
      <c r="A416" s="5" t="s">
        <v>7174</v>
      </c>
      <c r="B416" s="16" t="s">
        <v>7639</v>
      </c>
      <c r="C416" s="4" t="s">
        <v>8796</v>
      </c>
      <c r="D416" s="4" t="s">
        <v>8965</v>
      </c>
      <c r="E416" s="12" t="s">
        <v>406</v>
      </c>
      <c r="F416" s="75" t="s">
        <v>7777</v>
      </c>
      <c r="G416" s="3">
        <v>16</v>
      </c>
      <c r="H416" s="3" t="s">
        <v>404</v>
      </c>
      <c r="I416" s="68" t="s">
        <v>7794</v>
      </c>
      <c r="J416" s="72">
        <v>1.35</v>
      </c>
      <c r="K416" s="14" t="s">
        <v>6175</v>
      </c>
      <c r="L416" s="9">
        <v>72.900000000000006</v>
      </c>
      <c r="M416" s="3">
        <v>108</v>
      </c>
      <c r="N416" s="66" t="s">
        <v>8200</v>
      </c>
      <c r="O416" s="5" t="s">
        <v>8657</v>
      </c>
      <c r="P416" s="49">
        <f t="shared" si="25"/>
        <v>1.7614257512854719</v>
      </c>
      <c r="Q416" s="1">
        <f t="shared" si="26"/>
        <v>2.0234251158399599</v>
      </c>
      <c r="R416" s="1">
        <f t="shared" si="28"/>
        <v>2.0717748042326569</v>
      </c>
      <c r="S416" s="10">
        <f t="shared" si="27"/>
        <v>1.8924254335627158</v>
      </c>
      <c r="T416" s="45" cm="1">
        <f t="array" ref="T416">SUMPRODUCT(P416:S416 * P$3:S$3) / SUM(P$3:S$3)</f>
        <v>1.9401714417084364</v>
      </c>
    </row>
    <row r="417" spans="1:20" ht="16.5" customHeight="1" x14ac:dyDescent="0.25">
      <c r="A417" s="5" t="s">
        <v>7174</v>
      </c>
      <c r="B417" s="16" t="s">
        <v>7640</v>
      </c>
      <c r="C417" s="4" t="s">
        <v>8796</v>
      </c>
      <c r="D417" s="4" t="s">
        <v>8965</v>
      </c>
      <c r="E417" s="12" t="s">
        <v>406</v>
      </c>
      <c r="F417" s="75" t="s">
        <v>7777</v>
      </c>
      <c r="G417" s="3">
        <v>16</v>
      </c>
      <c r="H417" s="3" t="s">
        <v>404</v>
      </c>
      <c r="I417" s="68" t="s">
        <v>7794</v>
      </c>
      <c r="J417" s="72">
        <v>1.35</v>
      </c>
      <c r="K417" s="14" t="s">
        <v>6175</v>
      </c>
      <c r="L417" s="9">
        <v>74.89</v>
      </c>
      <c r="M417" s="3">
        <v>112</v>
      </c>
      <c r="N417" s="66" t="s">
        <v>8201</v>
      </c>
      <c r="O417" s="5" t="s">
        <v>8657</v>
      </c>
      <c r="P417" s="49">
        <f t="shared" si="25"/>
        <v>1.7614257512854719</v>
      </c>
      <c r="Q417" s="1">
        <f t="shared" si="26"/>
        <v>2.0234251158399599</v>
      </c>
      <c r="R417" s="1">
        <f t="shared" si="28"/>
        <v>2.0717748042326569</v>
      </c>
      <c r="S417" s="10">
        <f t="shared" si="27"/>
        <v>1.8924254335627158</v>
      </c>
      <c r="T417" s="45" cm="1">
        <f t="array" ref="T417">SUMPRODUCT(P417:S417 * P$3:S$3) / SUM(P$3:S$3)</f>
        <v>1.9401714417084364</v>
      </c>
    </row>
    <row r="418" spans="1:20" ht="16.5" customHeight="1" x14ac:dyDescent="0.25">
      <c r="A418" s="5" t="s">
        <v>7174</v>
      </c>
      <c r="B418" s="16" t="s">
        <v>7686</v>
      </c>
      <c r="C418" s="4" t="s">
        <v>8796</v>
      </c>
      <c r="D418" s="4" t="s">
        <v>8965</v>
      </c>
      <c r="E418" s="12" t="s">
        <v>406</v>
      </c>
      <c r="F418" s="75" t="s">
        <v>7777</v>
      </c>
      <c r="G418" s="3">
        <v>16</v>
      </c>
      <c r="H418" s="3" t="s">
        <v>404</v>
      </c>
      <c r="I418" s="68" t="s">
        <v>7794</v>
      </c>
      <c r="J418" s="72">
        <v>1.35</v>
      </c>
      <c r="L418" s="9">
        <v>62.04</v>
      </c>
      <c r="M418" s="3">
        <v>102</v>
      </c>
      <c r="N418" s="66" t="s">
        <v>8247</v>
      </c>
      <c r="O418" s="5" t="s">
        <v>8696</v>
      </c>
      <c r="P418" s="49">
        <f t="shared" si="25"/>
        <v>1.7614257512854719</v>
      </c>
      <c r="Q418" s="1">
        <f t="shared" si="26"/>
        <v>2.0234251158399599</v>
      </c>
      <c r="R418" s="1">
        <f t="shared" si="28"/>
        <v>2.0717748042326569</v>
      </c>
      <c r="S418" s="10">
        <f t="shared" si="27"/>
        <v>1.8924254335627158</v>
      </c>
      <c r="T418" s="45" cm="1">
        <f t="array" ref="T418">SUMPRODUCT(P418:S418 * P$3:S$3) / SUM(P$3:S$3)</f>
        <v>1.9401714417084364</v>
      </c>
    </row>
    <row r="419" spans="1:20" ht="16.5" customHeight="1" x14ac:dyDescent="0.25">
      <c r="A419" s="5" t="s">
        <v>7174</v>
      </c>
      <c r="B419" s="16" t="s">
        <v>7687</v>
      </c>
      <c r="C419" s="4" t="s">
        <v>8796</v>
      </c>
      <c r="D419" s="4" t="s">
        <v>8965</v>
      </c>
      <c r="E419" s="12" t="s">
        <v>406</v>
      </c>
      <c r="F419" s="75" t="s">
        <v>7777</v>
      </c>
      <c r="G419" s="3">
        <v>16</v>
      </c>
      <c r="H419" s="3" t="s">
        <v>404</v>
      </c>
      <c r="I419" s="68" t="s">
        <v>7794</v>
      </c>
      <c r="J419" s="72">
        <v>1.35</v>
      </c>
      <c r="L419" s="9">
        <v>61.56</v>
      </c>
      <c r="M419" s="3">
        <v>124</v>
      </c>
      <c r="N419" s="66" t="s">
        <v>8248</v>
      </c>
      <c r="O419" s="5" t="s">
        <v>8696</v>
      </c>
      <c r="P419" s="49">
        <f t="shared" si="25"/>
        <v>1.7614257512854719</v>
      </c>
      <c r="Q419" s="1">
        <f t="shared" si="26"/>
        <v>2.0234251158399599</v>
      </c>
      <c r="R419" s="1">
        <f t="shared" si="28"/>
        <v>2.0717748042326569</v>
      </c>
      <c r="S419" s="10">
        <f t="shared" si="27"/>
        <v>1.8924254335627158</v>
      </c>
      <c r="T419" s="45" cm="1">
        <f t="array" ref="T419">SUMPRODUCT(P419:S419 * P$3:S$3) / SUM(P$3:S$3)</f>
        <v>1.9401714417084364</v>
      </c>
    </row>
    <row r="420" spans="1:20" ht="16.5" customHeight="1" x14ac:dyDescent="0.25">
      <c r="A420" s="5" t="s">
        <v>7174</v>
      </c>
      <c r="B420" s="16" t="s">
        <v>7689</v>
      </c>
      <c r="C420" s="4" t="s">
        <v>8796</v>
      </c>
      <c r="D420" s="4" t="s">
        <v>8965</v>
      </c>
      <c r="E420" s="12" t="s">
        <v>406</v>
      </c>
      <c r="F420" s="75" t="s">
        <v>7777</v>
      </c>
      <c r="G420" s="3">
        <v>16</v>
      </c>
      <c r="H420" s="3" t="s">
        <v>404</v>
      </c>
      <c r="I420" s="68" t="s">
        <v>260</v>
      </c>
      <c r="J420" s="72">
        <v>1.35</v>
      </c>
      <c r="L420" s="9">
        <v>78.83</v>
      </c>
      <c r="M420" s="3">
        <v>156</v>
      </c>
      <c r="N420" s="66" t="s">
        <v>8250</v>
      </c>
      <c r="O420" s="5" t="s">
        <v>8697</v>
      </c>
      <c r="P420" s="49">
        <f t="shared" si="25"/>
        <v>1.7758663118844678</v>
      </c>
      <c r="Q420" s="1">
        <f t="shared" si="26"/>
        <v>2.0306453961394575</v>
      </c>
      <c r="R420" s="1">
        <f t="shared" si="28"/>
        <v>2.078995084532155</v>
      </c>
      <c r="S420" s="10">
        <f t="shared" si="27"/>
        <v>1.9032558540119631</v>
      </c>
      <c r="T420" s="45" cm="1">
        <f t="array" ref="T420">SUMPRODUCT(P420:S420 * P$3:S$3) / SUM(P$3:S$3)</f>
        <v>1.9498910498039146</v>
      </c>
    </row>
    <row r="421" spans="1:20" ht="16.5" customHeight="1" x14ac:dyDescent="0.25">
      <c r="A421" s="5" t="s">
        <v>7098</v>
      </c>
      <c r="B421" s="16" t="s">
        <v>7469</v>
      </c>
      <c r="C421" s="4" t="s">
        <v>8797</v>
      </c>
      <c r="D421" s="4" t="s">
        <v>8965</v>
      </c>
      <c r="E421" s="12" t="s">
        <v>406</v>
      </c>
      <c r="F421" s="75" t="s">
        <v>7777</v>
      </c>
      <c r="G421" s="3">
        <v>16</v>
      </c>
      <c r="H421" s="3" t="s">
        <v>404</v>
      </c>
      <c r="I421" s="68" t="s">
        <v>7794</v>
      </c>
      <c r="J421" s="72">
        <v>1.35</v>
      </c>
      <c r="L421" s="9">
        <v>60.12</v>
      </c>
      <c r="M421" s="3">
        <v>98.59</v>
      </c>
      <c r="N421" s="66" t="s">
        <v>8030</v>
      </c>
      <c r="O421" s="5" t="s">
        <v>8512</v>
      </c>
      <c r="P421" s="49">
        <f t="shared" si="25"/>
        <v>1.7614257512854719</v>
      </c>
      <c r="Q421" s="1">
        <f t="shared" si="26"/>
        <v>2.0234251158399599</v>
      </c>
      <c r="R421" s="1">
        <f t="shared" si="28"/>
        <v>2.0717748042326569</v>
      </c>
      <c r="S421" s="10">
        <f t="shared" si="27"/>
        <v>1.8924254335627158</v>
      </c>
      <c r="T421" s="45" cm="1">
        <f t="array" ref="T421">SUMPRODUCT(P421:S421 * P$3:S$3) / SUM(P$3:S$3)</f>
        <v>1.9401714417084364</v>
      </c>
    </row>
    <row r="422" spans="1:20" ht="16.5" customHeight="1" x14ac:dyDescent="0.25">
      <c r="A422" s="5" t="s">
        <v>7098</v>
      </c>
      <c r="B422" s="16" t="s">
        <v>7487</v>
      </c>
      <c r="C422" s="4" t="s">
        <v>8797</v>
      </c>
      <c r="D422" s="4" t="s">
        <v>8965</v>
      </c>
      <c r="E422" s="12" t="s">
        <v>406</v>
      </c>
      <c r="F422" s="75" t="s">
        <v>7777</v>
      </c>
      <c r="G422" s="3">
        <v>16</v>
      </c>
      <c r="H422" s="3" t="s">
        <v>404</v>
      </c>
      <c r="I422" s="68" t="s">
        <v>7794</v>
      </c>
      <c r="J422" s="72">
        <v>1.35</v>
      </c>
      <c r="L422" s="9">
        <v>53.1</v>
      </c>
      <c r="M422" s="3">
        <v>101</v>
      </c>
      <c r="N422" s="66" t="s">
        <v>8048</v>
      </c>
      <c r="O422" s="5" t="s">
        <v>8527</v>
      </c>
      <c r="P422" s="49">
        <f t="shared" si="25"/>
        <v>1.7614257512854719</v>
      </c>
      <c r="Q422" s="1">
        <f t="shared" si="26"/>
        <v>2.0234251158399599</v>
      </c>
      <c r="R422" s="1">
        <f t="shared" si="28"/>
        <v>2.0717748042326569</v>
      </c>
      <c r="S422" s="10">
        <f t="shared" si="27"/>
        <v>1.8924254335627158</v>
      </c>
      <c r="T422" s="45" cm="1">
        <f t="array" ref="T422">SUMPRODUCT(P422:S422 * P$3:S$3) / SUM(P$3:S$3)</f>
        <v>1.9401714417084364</v>
      </c>
    </row>
    <row r="423" spans="1:20" ht="16.5" customHeight="1" x14ac:dyDescent="0.25">
      <c r="A423" s="5" t="s">
        <v>7098</v>
      </c>
      <c r="B423" s="16" t="s">
        <v>7488</v>
      </c>
      <c r="C423" s="4" t="s">
        <v>8797</v>
      </c>
      <c r="D423" s="4" t="s">
        <v>8965</v>
      </c>
      <c r="E423" s="12" t="s">
        <v>406</v>
      </c>
      <c r="F423" s="75" t="s">
        <v>7777</v>
      </c>
      <c r="G423" s="3">
        <v>16</v>
      </c>
      <c r="H423" s="3" t="s">
        <v>404</v>
      </c>
      <c r="I423" s="68" t="s">
        <v>260</v>
      </c>
      <c r="J423" s="72">
        <v>1.35</v>
      </c>
      <c r="L423" s="9">
        <v>67.900000000000006</v>
      </c>
      <c r="M423" s="3">
        <v>134</v>
      </c>
      <c r="N423" s="66" t="s">
        <v>8049</v>
      </c>
      <c r="O423" s="5" t="s">
        <v>8528</v>
      </c>
      <c r="P423" s="49">
        <f t="shared" si="25"/>
        <v>1.7758663118844678</v>
      </c>
      <c r="Q423" s="1">
        <f t="shared" si="26"/>
        <v>2.0306453961394575</v>
      </c>
      <c r="R423" s="1">
        <f t="shared" si="28"/>
        <v>2.078995084532155</v>
      </c>
      <c r="S423" s="10">
        <f t="shared" si="27"/>
        <v>1.9032558540119631</v>
      </c>
      <c r="T423" s="45" cm="1">
        <f t="array" ref="T423">SUMPRODUCT(P423:S423 * P$3:S$3) / SUM(P$3:S$3)</f>
        <v>1.9498910498039146</v>
      </c>
    </row>
    <row r="424" spans="1:20" ht="16.5" customHeight="1" x14ac:dyDescent="0.25">
      <c r="A424" s="5" t="s">
        <v>7098</v>
      </c>
      <c r="B424" s="16" t="s">
        <v>7502</v>
      </c>
      <c r="C424" s="4" t="s">
        <v>8797</v>
      </c>
      <c r="D424" s="4" t="s">
        <v>8965</v>
      </c>
      <c r="E424" s="12" t="s">
        <v>406</v>
      </c>
      <c r="F424" s="75" t="s">
        <v>7777</v>
      </c>
      <c r="G424" s="3">
        <v>16</v>
      </c>
      <c r="H424" s="3" t="s">
        <v>404</v>
      </c>
      <c r="I424" s="68" t="s">
        <v>7792</v>
      </c>
      <c r="J424" s="72">
        <v>1.35</v>
      </c>
      <c r="L424" s="9">
        <v>50.9</v>
      </c>
      <c r="M424" s="3">
        <v>90.24</v>
      </c>
      <c r="N424" s="66" t="s">
        <v>8063</v>
      </c>
      <c r="O424" s="5" t="s">
        <v>8542</v>
      </c>
      <c r="P424" s="49">
        <f t="shared" si="25"/>
        <v>1.75513106706644</v>
      </c>
      <c r="Q424" s="1">
        <f t="shared" si="26"/>
        <v>2.0202777737304438</v>
      </c>
      <c r="R424" s="1">
        <f t="shared" si="28"/>
        <v>2.0686274621231409</v>
      </c>
      <c r="S424" s="10">
        <f t="shared" si="27"/>
        <v>1.8877044203984419</v>
      </c>
      <c r="T424" s="45" cm="1">
        <f t="array" ref="T424">SUMPRODUCT(P424:S424 * P$3:S$3) / SUM(P$3:S$3)</f>
        <v>1.9359346350225495</v>
      </c>
    </row>
    <row r="425" spans="1:20" ht="16.5" customHeight="1" x14ac:dyDescent="0.25">
      <c r="A425" s="5" t="s">
        <v>7057</v>
      </c>
      <c r="B425" s="16" t="s">
        <v>7404</v>
      </c>
      <c r="C425" s="4" t="s">
        <v>8797</v>
      </c>
      <c r="D425" s="4" t="s">
        <v>8965</v>
      </c>
      <c r="E425" s="12" t="s">
        <v>406</v>
      </c>
      <c r="F425" s="75" t="s">
        <v>7777</v>
      </c>
      <c r="G425" s="3">
        <v>16</v>
      </c>
      <c r="H425" s="3" t="s">
        <v>404</v>
      </c>
      <c r="I425" s="68" t="s">
        <v>7795</v>
      </c>
      <c r="J425" s="72">
        <v>1.35</v>
      </c>
      <c r="L425" s="9">
        <v>88.9</v>
      </c>
      <c r="M425" s="3">
        <v>228.93</v>
      </c>
      <c r="N425" s="66" t="s">
        <v>7965</v>
      </c>
      <c r="O425" s="5" t="s">
        <v>8457</v>
      </c>
      <c r="P425" s="49">
        <f t="shared" si="25"/>
        <v>1.7683061516492669</v>
      </c>
      <c r="Q425" s="1">
        <f t="shared" si="26"/>
        <v>2.0268653160218575</v>
      </c>
      <c r="R425" s="1">
        <f t="shared" si="28"/>
        <v>2.0752150044145545</v>
      </c>
      <c r="S425" s="10">
        <f t="shared" si="27"/>
        <v>1.8975857338355622</v>
      </c>
      <c r="T425" s="45" cm="1">
        <f t="array" ref="T425">SUMPRODUCT(P425:S425 * P$3:S$3) / SUM(P$3:S$3)</f>
        <v>1.9448024804148374</v>
      </c>
    </row>
    <row r="426" spans="1:20" ht="16.5" customHeight="1" x14ac:dyDescent="0.25">
      <c r="A426" s="5" t="s">
        <v>7057</v>
      </c>
      <c r="B426" s="16" t="s">
        <v>7407</v>
      </c>
      <c r="C426" s="4" t="s">
        <v>8797</v>
      </c>
      <c r="D426" s="4" t="s">
        <v>8965</v>
      </c>
      <c r="E426" s="12" t="s">
        <v>406</v>
      </c>
      <c r="F426" s="75" t="s">
        <v>7777</v>
      </c>
      <c r="G426" s="3">
        <v>16</v>
      </c>
      <c r="H426" s="3" t="s">
        <v>404</v>
      </c>
      <c r="I426" s="68" t="s">
        <v>7795</v>
      </c>
      <c r="J426" s="72">
        <v>1.35</v>
      </c>
      <c r="L426" s="9">
        <v>92.9</v>
      </c>
      <c r="M426" s="3">
        <v>123.76</v>
      </c>
      <c r="N426" s="66" t="s">
        <v>7968</v>
      </c>
      <c r="O426" s="5" t="s">
        <v>8460</v>
      </c>
      <c r="P426" s="49">
        <f t="shared" si="25"/>
        <v>1.7683061516492669</v>
      </c>
      <c r="Q426" s="1">
        <f t="shared" si="26"/>
        <v>2.0268653160218575</v>
      </c>
      <c r="R426" s="1">
        <f t="shared" si="28"/>
        <v>2.0752150044145545</v>
      </c>
      <c r="S426" s="10">
        <f t="shared" si="27"/>
        <v>1.8975857338355622</v>
      </c>
      <c r="T426" s="45" cm="1">
        <f t="array" ref="T426">SUMPRODUCT(P426:S426 * P$3:S$3) / SUM(P$3:S$3)</f>
        <v>1.9448024804148374</v>
      </c>
    </row>
    <row r="427" spans="1:20" ht="16.5" customHeight="1" x14ac:dyDescent="0.25">
      <c r="A427" s="5" t="s">
        <v>7057</v>
      </c>
      <c r="B427" s="16" t="s">
        <v>7437</v>
      </c>
      <c r="C427" s="4" t="s">
        <v>8797</v>
      </c>
      <c r="D427" s="4" t="s">
        <v>8965</v>
      </c>
      <c r="E427" s="12" t="s">
        <v>406</v>
      </c>
      <c r="F427" s="75" t="s">
        <v>7777</v>
      </c>
      <c r="G427" s="3">
        <v>16</v>
      </c>
      <c r="H427" s="3" t="s">
        <v>404</v>
      </c>
      <c r="I427" s="68" t="s">
        <v>7795</v>
      </c>
      <c r="J427" s="72">
        <v>1.35</v>
      </c>
      <c r="K427" s="14" t="s">
        <v>7796</v>
      </c>
      <c r="L427" s="9">
        <v>86.9</v>
      </c>
      <c r="M427" s="3">
        <v>184</v>
      </c>
      <c r="N427" s="66" t="s">
        <v>7998</v>
      </c>
      <c r="O427" s="5" t="s">
        <v>8490</v>
      </c>
      <c r="P427" s="49">
        <f t="shared" si="25"/>
        <v>1.7683061516492669</v>
      </c>
      <c r="Q427" s="1">
        <f t="shared" si="26"/>
        <v>2.0268653160218575</v>
      </c>
      <c r="R427" s="1">
        <f t="shared" si="28"/>
        <v>2.0752150044145545</v>
      </c>
      <c r="S427" s="10">
        <f t="shared" si="27"/>
        <v>1.8975857338355622</v>
      </c>
      <c r="T427" s="45" cm="1">
        <f t="array" ref="T427">SUMPRODUCT(P427:S427 * P$3:S$3) / SUM(P$3:S$3)</f>
        <v>1.9448024804148374</v>
      </c>
    </row>
    <row r="428" spans="1:20" ht="16.5" customHeight="1" x14ac:dyDescent="0.25">
      <c r="A428" s="5" t="s">
        <v>7057</v>
      </c>
      <c r="B428" s="16" t="s">
        <v>7439</v>
      </c>
      <c r="C428" s="4" t="s">
        <v>8797</v>
      </c>
      <c r="D428" s="4" t="s">
        <v>8965</v>
      </c>
      <c r="E428" s="12" t="s">
        <v>406</v>
      </c>
      <c r="F428" s="75" t="s">
        <v>7777</v>
      </c>
      <c r="G428" s="3">
        <v>16</v>
      </c>
      <c r="H428" s="3" t="s">
        <v>404</v>
      </c>
      <c r="I428" s="68" t="s">
        <v>260</v>
      </c>
      <c r="J428" s="72">
        <v>1.35</v>
      </c>
      <c r="K428" s="14" t="s">
        <v>7796</v>
      </c>
      <c r="L428" s="9">
        <v>83.9</v>
      </c>
      <c r="M428" s="3">
        <v>247.09</v>
      </c>
      <c r="N428" s="66" t="s">
        <v>8000</v>
      </c>
      <c r="O428" s="5" t="s">
        <v>8491</v>
      </c>
      <c r="P428" s="49">
        <f t="shared" si="25"/>
        <v>1.7758663118844678</v>
      </c>
      <c r="Q428" s="1">
        <f t="shared" si="26"/>
        <v>2.0306453961394575</v>
      </c>
      <c r="R428" s="1">
        <f t="shared" si="28"/>
        <v>2.078995084532155</v>
      </c>
      <c r="S428" s="10">
        <f t="shared" si="27"/>
        <v>1.9032558540119631</v>
      </c>
      <c r="T428" s="45" cm="1">
        <f t="array" ref="T428">SUMPRODUCT(P428:S428 * P$3:S$3) / SUM(P$3:S$3)</f>
        <v>1.9498910498039146</v>
      </c>
    </row>
    <row r="429" spans="1:20" ht="16.5" customHeight="1" x14ac:dyDescent="0.25">
      <c r="A429" s="5" t="s">
        <v>7092</v>
      </c>
      <c r="B429" s="16" t="s">
        <v>7460</v>
      </c>
      <c r="C429" s="4" t="s">
        <v>8797</v>
      </c>
      <c r="D429" s="4" t="s">
        <v>8965</v>
      </c>
      <c r="E429" s="12" t="s">
        <v>406</v>
      </c>
      <c r="F429" s="75" t="s">
        <v>7777</v>
      </c>
      <c r="G429" s="3">
        <v>16</v>
      </c>
      <c r="H429" s="3" t="s">
        <v>404</v>
      </c>
      <c r="I429" s="68" t="s">
        <v>7794</v>
      </c>
      <c r="J429" s="72">
        <v>1.35</v>
      </c>
      <c r="K429" s="14" t="s">
        <v>7797</v>
      </c>
      <c r="L429" s="9">
        <v>70.599999999999994</v>
      </c>
      <c r="M429" s="3">
        <v>115</v>
      </c>
      <c r="N429" s="66" t="s">
        <v>8021</v>
      </c>
      <c r="O429" s="5" t="s">
        <v>8505</v>
      </c>
      <c r="P429" s="49">
        <f t="shared" si="25"/>
        <v>1.7614257512854719</v>
      </c>
      <c r="Q429" s="1">
        <f t="shared" si="26"/>
        <v>2.0234251158399599</v>
      </c>
      <c r="R429" s="1">
        <f t="shared" si="28"/>
        <v>2.0717748042326569</v>
      </c>
      <c r="S429" s="10">
        <f t="shared" si="27"/>
        <v>1.8924254335627158</v>
      </c>
      <c r="T429" s="45" cm="1">
        <f t="array" ref="T429">SUMPRODUCT(P429:S429 * P$3:S$3) / SUM(P$3:S$3)</f>
        <v>1.9401714417084364</v>
      </c>
    </row>
    <row r="430" spans="1:20" ht="16.5" customHeight="1" x14ac:dyDescent="0.25">
      <c r="A430" s="5" t="s">
        <v>7092</v>
      </c>
      <c r="B430" s="16" t="s">
        <v>7462</v>
      </c>
      <c r="C430" s="4" t="s">
        <v>8797</v>
      </c>
      <c r="D430" s="4" t="s">
        <v>8965</v>
      </c>
      <c r="E430" s="12" t="s">
        <v>406</v>
      </c>
      <c r="F430" s="75" t="s">
        <v>7777</v>
      </c>
      <c r="G430" s="3">
        <v>16</v>
      </c>
      <c r="H430" s="3" t="s">
        <v>404</v>
      </c>
      <c r="I430" s="68" t="s">
        <v>260</v>
      </c>
      <c r="J430" s="72">
        <v>1.35</v>
      </c>
      <c r="K430" s="14" t="s">
        <v>7797</v>
      </c>
      <c r="L430" s="9">
        <v>85.89</v>
      </c>
      <c r="M430" s="3">
        <v>161</v>
      </c>
      <c r="N430" s="66" t="s">
        <v>8023</v>
      </c>
      <c r="O430" s="5" t="s">
        <v>8506</v>
      </c>
      <c r="P430" s="49">
        <f t="shared" si="25"/>
        <v>1.7758663118844678</v>
      </c>
      <c r="Q430" s="1">
        <f t="shared" si="26"/>
        <v>2.0306453961394575</v>
      </c>
      <c r="R430" s="1">
        <f t="shared" si="28"/>
        <v>2.078995084532155</v>
      </c>
      <c r="S430" s="10">
        <f t="shared" si="27"/>
        <v>1.9032558540119631</v>
      </c>
      <c r="T430" s="45" cm="1">
        <f t="array" ref="T430">SUMPRODUCT(P430:S430 * P$3:S$3) / SUM(P$3:S$3)</f>
        <v>1.9498910498039146</v>
      </c>
    </row>
    <row r="431" spans="1:20" ht="16.5" customHeight="1" x14ac:dyDescent="0.25">
      <c r="A431" s="5" t="s">
        <v>7064</v>
      </c>
      <c r="B431" s="16" t="s">
        <v>7416</v>
      </c>
      <c r="C431" s="4" t="s">
        <v>8797</v>
      </c>
      <c r="D431" s="4" t="s">
        <v>8965</v>
      </c>
      <c r="E431" s="12" t="s">
        <v>406</v>
      </c>
      <c r="F431" s="75" t="s">
        <v>7777</v>
      </c>
      <c r="G431" s="3">
        <v>16</v>
      </c>
      <c r="H431" s="3" t="s">
        <v>404</v>
      </c>
      <c r="I431" s="68" t="s">
        <v>7794</v>
      </c>
      <c r="J431" s="72">
        <v>1.35</v>
      </c>
      <c r="K431" s="14" t="s">
        <v>7796</v>
      </c>
      <c r="L431" s="9">
        <v>88.9</v>
      </c>
      <c r="M431" s="3">
        <v>130.9</v>
      </c>
      <c r="N431" s="66" t="s">
        <v>7977</v>
      </c>
      <c r="O431" s="5" t="s">
        <v>8469</v>
      </c>
      <c r="P431" s="49">
        <f t="shared" si="25"/>
        <v>1.7614257512854719</v>
      </c>
      <c r="Q431" s="1">
        <f t="shared" si="26"/>
        <v>2.0234251158399599</v>
      </c>
      <c r="R431" s="1">
        <f t="shared" si="28"/>
        <v>2.0717748042326569</v>
      </c>
      <c r="S431" s="10">
        <f t="shared" si="27"/>
        <v>1.8924254335627158</v>
      </c>
      <c r="T431" s="45" cm="1">
        <f t="array" ref="T431">SUMPRODUCT(P431:S431 * P$3:S$3) / SUM(P$3:S$3)</f>
        <v>1.9401714417084364</v>
      </c>
    </row>
    <row r="432" spans="1:20" ht="16.5" customHeight="1" x14ac:dyDescent="0.25">
      <c r="A432" s="5" t="s">
        <v>7064</v>
      </c>
      <c r="B432" s="16" t="s">
        <v>7423</v>
      </c>
      <c r="C432" s="4" t="s">
        <v>8797</v>
      </c>
      <c r="D432" s="4" t="s">
        <v>8965</v>
      </c>
      <c r="E432" s="12" t="s">
        <v>406</v>
      </c>
      <c r="F432" s="75" t="s">
        <v>7777</v>
      </c>
      <c r="G432" s="3">
        <v>16</v>
      </c>
      <c r="H432" s="3" t="s">
        <v>404</v>
      </c>
      <c r="I432" s="68" t="s">
        <v>7794</v>
      </c>
      <c r="J432" s="72">
        <v>1.35</v>
      </c>
      <c r="K432" s="14" t="s">
        <v>7796</v>
      </c>
      <c r="L432" s="9">
        <v>96.9</v>
      </c>
      <c r="M432" s="3">
        <v>146</v>
      </c>
      <c r="N432" s="66" t="s">
        <v>7984</v>
      </c>
      <c r="O432" s="5" t="s">
        <v>8476</v>
      </c>
      <c r="P432" s="49">
        <f t="shared" si="25"/>
        <v>1.7614257512854719</v>
      </c>
      <c r="Q432" s="1">
        <f t="shared" si="26"/>
        <v>2.0234251158399599</v>
      </c>
      <c r="R432" s="1">
        <f t="shared" si="28"/>
        <v>2.0717748042326569</v>
      </c>
      <c r="S432" s="10">
        <f t="shared" si="27"/>
        <v>1.8924254335627158</v>
      </c>
      <c r="T432" s="45" cm="1">
        <f t="array" ref="T432">SUMPRODUCT(P432:S432 * P$3:S$3) / SUM(P$3:S$3)</f>
        <v>1.9401714417084364</v>
      </c>
    </row>
    <row r="433" spans="1:20" ht="16.5" customHeight="1" x14ac:dyDescent="0.25">
      <c r="A433" s="5" t="s">
        <v>7035</v>
      </c>
      <c r="B433" s="16" t="s">
        <v>7343</v>
      </c>
      <c r="C433" s="4" t="s">
        <v>8798</v>
      </c>
      <c r="D433" s="4" t="s">
        <v>8965</v>
      </c>
      <c r="E433" s="12" t="s">
        <v>406</v>
      </c>
      <c r="F433" s="75" t="s">
        <v>7777</v>
      </c>
      <c r="G433" s="3">
        <v>16</v>
      </c>
      <c r="H433" s="3" t="s">
        <v>404</v>
      </c>
      <c r="I433" s="68" t="s">
        <v>7794</v>
      </c>
      <c r="J433" s="72">
        <v>1.35</v>
      </c>
      <c r="K433" s="14" t="s">
        <v>5476</v>
      </c>
      <c r="L433" s="9">
        <v>81.900000000000006</v>
      </c>
      <c r="M433" s="3">
        <v>144.9</v>
      </c>
      <c r="N433" s="66" t="s">
        <v>7904</v>
      </c>
      <c r="O433" s="5" t="s">
        <v>8406</v>
      </c>
      <c r="P433" s="49">
        <f t="shared" si="25"/>
        <v>1.7614257512854719</v>
      </c>
      <c r="Q433" s="1">
        <f t="shared" si="26"/>
        <v>2.0234251158399599</v>
      </c>
      <c r="R433" s="1">
        <f t="shared" si="28"/>
        <v>2.0717748042326569</v>
      </c>
      <c r="S433" s="10">
        <f t="shared" si="27"/>
        <v>1.8924254335627158</v>
      </c>
      <c r="T433" s="45" cm="1">
        <f t="array" ref="T433">SUMPRODUCT(P433:S433 * P$3:S$3) / SUM(P$3:S$3)</f>
        <v>1.9401714417084364</v>
      </c>
    </row>
    <row r="434" spans="1:20" ht="16.5" customHeight="1" x14ac:dyDescent="0.25">
      <c r="A434" s="5" t="s">
        <v>7035</v>
      </c>
      <c r="B434" s="16" t="s">
        <v>7377</v>
      </c>
      <c r="C434" s="4" t="s">
        <v>8798</v>
      </c>
      <c r="D434" s="4" t="s">
        <v>8965</v>
      </c>
      <c r="E434" s="12" t="s">
        <v>406</v>
      </c>
      <c r="F434" s="75" t="s">
        <v>7777</v>
      </c>
      <c r="G434" s="3">
        <v>16</v>
      </c>
      <c r="H434" s="3" t="s">
        <v>404</v>
      </c>
      <c r="I434" s="68" t="s">
        <v>7794</v>
      </c>
      <c r="J434" s="72">
        <v>1.35</v>
      </c>
      <c r="L434" s="9">
        <v>68.900000000000006</v>
      </c>
      <c r="M434" s="3">
        <v>119.9</v>
      </c>
      <c r="N434" s="66" t="s">
        <v>7938</v>
      </c>
      <c r="O434" s="5" t="s">
        <v>8432</v>
      </c>
      <c r="P434" s="49">
        <f t="shared" si="25"/>
        <v>1.7614257512854719</v>
      </c>
      <c r="Q434" s="1">
        <f t="shared" si="26"/>
        <v>2.0234251158399599</v>
      </c>
      <c r="R434" s="1">
        <f t="shared" si="28"/>
        <v>2.0717748042326569</v>
      </c>
      <c r="S434" s="10">
        <f t="shared" si="27"/>
        <v>1.8924254335627158</v>
      </c>
      <c r="T434" s="45" cm="1">
        <f t="array" ref="T434">SUMPRODUCT(P434:S434 * P$3:S$3) / SUM(P$3:S$3)</f>
        <v>1.9401714417084364</v>
      </c>
    </row>
    <row r="435" spans="1:20" ht="16.5" customHeight="1" x14ac:dyDescent="0.25">
      <c r="A435" s="5" t="s">
        <v>6996</v>
      </c>
      <c r="B435" s="16" t="s">
        <v>7270</v>
      </c>
      <c r="C435" s="4" t="s">
        <v>8798</v>
      </c>
      <c r="D435" s="4" t="s">
        <v>8965</v>
      </c>
      <c r="E435" s="12" t="s">
        <v>406</v>
      </c>
      <c r="F435" s="75" t="s">
        <v>7777</v>
      </c>
      <c r="G435" s="3">
        <v>16</v>
      </c>
      <c r="H435" s="3" t="s">
        <v>404</v>
      </c>
      <c r="I435" s="68" t="s">
        <v>260</v>
      </c>
      <c r="J435" s="72">
        <v>1.35</v>
      </c>
      <c r="K435" s="14" t="s">
        <v>5476</v>
      </c>
      <c r="L435" s="9">
        <v>86.89</v>
      </c>
      <c r="M435" s="3">
        <v>145</v>
      </c>
      <c r="N435" s="66" t="s">
        <v>7831</v>
      </c>
      <c r="O435" s="5" t="s">
        <v>8350</v>
      </c>
      <c r="P435" s="49">
        <f t="shared" si="25"/>
        <v>1.7758663118844678</v>
      </c>
      <c r="Q435" s="1">
        <f t="shared" si="26"/>
        <v>2.0306453961394575</v>
      </c>
      <c r="R435" s="1">
        <f t="shared" si="28"/>
        <v>2.078995084532155</v>
      </c>
      <c r="S435" s="10">
        <f t="shared" si="27"/>
        <v>1.9032558540119631</v>
      </c>
      <c r="T435" s="45" cm="1">
        <f t="array" ref="T435">SUMPRODUCT(P435:S435 * P$3:S$3) / SUM(P$3:S$3)</f>
        <v>1.9498910498039146</v>
      </c>
    </row>
    <row r="436" spans="1:20" ht="16.5" customHeight="1" x14ac:dyDescent="0.25">
      <c r="A436" s="5" t="s">
        <v>6996</v>
      </c>
      <c r="B436" s="16" t="s">
        <v>7305</v>
      </c>
      <c r="C436" s="4" t="s">
        <v>8798</v>
      </c>
      <c r="D436" s="4" t="s">
        <v>8965</v>
      </c>
      <c r="E436" s="12" t="s">
        <v>406</v>
      </c>
      <c r="F436" s="75" t="s">
        <v>7777</v>
      </c>
      <c r="G436" s="3">
        <v>16</v>
      </c>
      <c r="H436" s="3" t="s">
        <v>404</v>
      </c>
      <c r="I436" s="68" t="s">
        <v>260</v>
      </c>
      <c r="J436" s="72">
        <v>1.35</v>
      </c>
      <c r="L436" s="9">
        <v>74.89</v>
      </c>
      <c r="M436" s="3">
        <v>134.9</v>
      </c>
      <c r="N436" s="66" t="s">
        <v>7866</v>
      </c>
      <c r="O436" s="5" t="s">
        <v>8376</v>
      </c>
      <c r="P436" s="49">
        <f t="shared" si="25"/>
        <v>1.7758663118844678</v>
      </c>
      <c r="Q436" s="1">
        <f t="shared" si="26"/>
        <v>2.0306453961394575</v>
      </c>
      <c r="R436" s="1">
        <f t="shared" si="28"/>
        <v>2.078995084532155</v>
      </c>
      <c r="S436" s="10">
        <f t="shared" si="27"/>
        <v>1.9032558540119631</v>
      </c>
      <c r="T436" s="45" cm="1">
        <f t="array" ref="T436">SUMPRODUCT(P436:S436 * P$3:S$3) / SUM(P$3:S$3)</f>
        <v>1.9498910498039146</v>
      </c>
    </row>
    <row r="437" spans="1:20" ht="16.5" customHeight="1" x14ac:dyDescent="0.25">
      <c r="A437" s="5" t="s">
        <v>7239</v>
      </c>
      <c r="B437" s="16" t="s">
        <v>7755</v>
      </c>
      <c r="C437" s="4" t="s">
        <v>8796</v>
      </c>
      <c r="D437" s="4" t="s">
        <v>8966</v>
      </c>
      <c r="E437" s="12" t="s">
        <v>406</v>
      </c>
      <c r="F437" s="75" t="s">
        <v>7777</v>
      </c>
      <c r="G437" s="3">
        <v>16</v>
      </c>
      <c r="H437" s="3" t="s">
        <v>419</v>
      </c>
      <c r="I437" s="68" t="s">
        <v>7794</v>
      </c>
      <c r="J437" s="72">
        <v>1.35</v>
      </c>
      <c r="K437" s="14" t="s">
        <v>7804</v>
      </c>
      <c r="L437" s="9">
        <v>250.56</v>
      </c>
      <c r="M437" s="3">
        <v>356.67</v>
      </c>
      <c r="N437" s="66" t="s">
        <v>8316</v>
      </c>
      <c r="O437" s="5" t="s">
        <v>8757</v>
      </c>
      <c r="P437" s="49">
        <f t="shared" si="25"/>
        <v>1.8143196242757482</v>
      </c>
      <c r="Q437" s="1">
        <f t="shared" si="26"/>
        <v>2.0618205997527088</v>
      </c>
      <c r="R437" s="1">
        <f t="shared" si="28"/>
        <v>2.1056102279989739</v>
      </c>
      <c r="S437" s="10">
        <f t="shared" si="27"/>
        <v>1.9380701120142287</v>
      </c>
      <c r="T437" s="45" cm="1">
        <f t="array" ref="T437">SUMPRODUCT(P437:S437 * P$3:S$3) / SUM(P$3:S$3)</f>
        <v>1.9828840510485708</v>
      </c>
    </row>
    <row r="438" spans="1:20" ht="16.5" customHeight="1" x14ac:dyDescent="0.25">
      <c r="A438" s="5" t="s">
        <v>7181</v>
      </c>
      <c r="B438" s="16" t="s">
        <v>7569</v>
      </c>
      <c r="C438" s="4" t="s">
        <v>8796</v>
      </c>
      <c r="D438" s="4" t="s">
        <v>8966</v>
      </c>
      <c r="E438" s="12" t="s">
        <v>406</v>
      </c>
      <c r="F438" s="75" t="s">
        <v>7777</v>
      </c>
      <c r="G438" s="3">
        <v>16</v>
      </c>
      <c r="H438" s="3" t="s">
        <v>419</v>
      </c>
      <c r="I438" s="68" t="s">
        <v>7794</v>
      </c>
      <c r="J438" s="72">
        <v>1.35</v>
      </c>
      <c r="K438" s="14" t="s">
        <v>6175</v>
      </c>
      <c r="L438" s="9">
        <v>169.9</v>
      </c>
      <c r="M438" s="3">
        <v>333.76</v>
      </c>
      <c r="N438" s="66" t="s">
        <v>8130</v>
      </c>
      <c r="O438" s="5" t="s">
        <v>8604</v>
      </c>
      <c r="P438" s="49">
        <f t="shared" si="25"/>
        <v>1.8143196242757482</v>
      </c>
      <c r="Q438" s="1">
        <f t="shared" si="26"/>
        <v>2.0618205997527088</v>
      </c>
      <c r="R438" s="1">
        <f t="shared" si="28"/>
        <v>2.1056102279989739</v>
      </c>
      <c r="S438" s="10">
        <f t="shared" si="27"/>
        <v>1.9380701120142287</v>
      </c>
      <c r="T438" s="45" cm="1">
        <f t="array" ref="T438">SUMPRODUCT(P438:S438 * P$3:S$3) / SUM(P$3:S$3)</f>
        <v>1.9828840510485708</v>
      </c>
    </row>
    <row r="439" spans="1:20" ht="16.5" customHeight="1" x14ac:dyDescent="0.25">
      <c r="A439" s="5" t="s">
        <v>7181</v>
      </c>
      <c r="B439" s="16" t="s">
        <v>7603</v>
      </c>
      <c r="C439" s="4" t="s">
        <v>8796</v>
      </c>
      <c r="D439" s="4" t="s">
        <v>8966</v>
      </c>
      <c r="E439" s="12" t="s">
        <v>406</v>
      </c>
      <c r="F439" s="75" t="s">
        <v>7777</v>
      </c>
      <c r="G439" s="3">
        <v>16</v>
      </c>
      <c r="H439" s="3" t="s">
        <v>419</v>
      </c>
      <c r="I439" s="68" t="s">
        <v>7794</v>
      </c>
      <c r="J439" s="72">
        <v>1.35</v>
      </c>
      <c r="K439" s="14" t="s">
        <v>7800</v>
      </c>
      <c r="L439" s="9">
        <v>157.9</v>
      </c>
      <c r="M439" s="3">
        <v>193.62</v>
      </c>
      <c r="N439" s="66" t="s">
        <v>8164</v>
      </c>
      <c r="O439" s="5" t="s">
        <v>8634</v>
      </c>
      <c r="P439" s="49">
        <f t="shared" si="25"/>
        <v>1.8143196242757482</v>
      </c>
      <c r="Q439" s="1">
        <f t="shared" si="26"/>
        <v>2.0618205997527088</v>
      </c>
      <c r="R439" s="1">
        <f t="shared" si="28"/>
        <v>2.1056102279989739</v>
      </c>
      <c r="S439" s="10">
        <f t="shared" si="27"/>
        <v>1.9380701120142287</v>
      </c>
      <c r="T439" s="45" cm="1">
        <f t="array" ref="T439">SUMPRODUCT(P439:S439 * P$3:S$3) / SUM(P$3:S$3)</f>
        <v>1.9828840510485708</v>
      </c>
    </row>
    <row r="440" spans="1:20" ht="16.5" customHeight="1" x14ac:dyDescent="0.25">
      <c r="A440" s="5" t="s">
        <v>7181</v>
      </c>
      <c r="B440" s="16" t="s">
        <v>7613</v>
      </c>
      <c r="C440" s="4" t="s">
        <v>8796</v>
      </c>
      <c r="D440" s="4" t="s">
        <v>8966</v>
      </c>
      <c r="E440" s="12" t="s">
        <v>406</v>
      </c>
      <c r="F440" s="75" t="s">
        <v>7777</v>
      </c>
      <c r="G440" s="3">
        <v>16</v>
      </c>
      <c r="H440" s="3" t="s">
        <v>419</v>
      </c>
      <c r="I440" s="68" t="s">
        <v>7794</v>
      </c>
      <c r="J440" s="72">
        <v>1.35</v>
      </c>
      <c r="K440" s="14" t="s">
        <v>7800</v>
      </c>
      <c r="L440" s="9">
        <v>162.27000000000001</v>
      </c>
      <c r="M440" s="3">
        <v>305.20999999999998</v>
      </c>
      <c r="N440" s="66" t="s">
        <v>8174</v>
      </c>
      <c r="O440" s="5" t="s">
        <v>8642</v>
      </c>
      <c r="P440" s="49">
        <f t="shared" si="25"/>
        <v>1.8143196242757482</v>
      </c>
      <c r="Q440" s="1">
        <f t="shared" si="26"/>
        <v>2.0618205997527088</v>
      </c>
      <c r="R440" s="1">
        <f t="shared" si="28"/>
        <v>2.1056102279989739</v>
      </c>
      <c r="S440" s="10">
        <f t="shared" si="27"/>
        <v>1.9380701120142287</v>
      </c>
      <c r="T440" s="45" cm="1">
        <f t="array" ref="T440">SUMPRODUCT(P440:S440 * P$3:S$3) / SUM(P$3:S$3)</f>
        <v>1.9828840510485708</v>
      </c>
    </row>
    <row r="441" spans="1:20" ht="16.5" customHeight="1" x14ac:dyDescent="0.25">
      <c r="A441" s="5" t="s">
        <v>7181</v>
      </c>
      <c r="B441" s="16" t="s">
        <v>7632</v>
      </c>
      <c r="C441" s="4" t="s">
        <v>8796</v>
      </c>
      <c r="D441" s="4" t="s">
        <v>8966</v>
      </c>
      <c r="E441" s="12" t="s">
        <v>406</v>
      </c>
      <c r="F441" s="75" t="s">
        <v>7777</v>
      </c>
      <c r="G441" s="3">
        <v>16</v>
      </c>
      <c r="H441" s="3" t="s">
        <v>419</v>
      </c>
      <c r="I441" s="68" t="s">
        <v>7794</v>
      </c>
      <c r="J441" s="72">
        <v>1.35</v>
      </c>
      <c r="K441" s="14" t="s">
        <v>6175</v>
      </c>
      <c r="L441" s="9">
        <v>167.12</v>
      </c>
      <c r="M441" s="3">
        <v>247</v>
      </c>
      <c r="N441" s="66" t="s">
        <v>8193</v>
      </c>
      <c r="O441" s="5" t="s">
        <v>8653</v>
      </c>
      <c r="P441" s="49">
        <f t="shared" si="25"/>
        <v>1.8143196242757482</v>
      </c>
      <c r="Q441" s="1">
        <f t="shared" si="26"/>
        <v>2.0618205997527088</v>
      </c>
      <c r="R441" s="1">
        <f t="shared" si="28"/>
        <v>2.1056102279989739</v>
      </c>
      <c r="S441" s="10">
        <f t="shared" si="27"/>
        <v>1.9380701120142287</v>
      </c>
      <c r="T441" s="45" cm="1">
        <f t="array" ref="T441">SUMPRODUCT(P441:S441 * P$3:S$3) / SUM(P$3:S$3)</f>
        <v>1.9828840510485708</v>
      </c>
    </row>
    <row r="442" spans="1:20" ht="16.5" customHeight="1" x14ac:dyDescent="0.25">
      <c r="A442" s="5" t="s">
        <v>7181</v>
      </c>
      <c r="B442" s="16" t="s">
        <v>7674</v>
      </c>
      <c r="C442" s="4" t="s">
        <v>8796</v>
      </c>
      <c r="D442" s="4" t="s">
        <v>8966</v>
      </c>
      <c r="E442" s="12" t="s">
        <v>406</v>
      </c>
      <c r="F442" s="75" t="s">
        <v>7777</v>
      </c>
      <c r="G442" s="3">
        <v>16</v>
      </c>
      <c r="H442" s="3" t="s">
        <v>419</v>
      </c>
      <c r="I442" s="68" t="s">
        <v>7794</v>
      </c>
      <c r="J442" s="72">
        <v>1.35</v>
      </c>
      <c r="L442" s="9">
        <v>142.66</v>
      </c>
      <c r="M442" s="3">
        <v>278.24</v>
      </c>
      <c r="N442" s="66" t="s">
        <v>8235</v>
      </c>
      <c r="O442" s="5" t="s">
        <v>8689</v>
      </c>
      <c r="P442" s="49">
        <f t="shared" si="25"/>
        <v>1.8143196242757482</v>
      </c>
      <c r="Q442" s="1">
        <f t="shared" si="26"/>
        <v>2.0618205997527088</v>
      </c>
      <c r="R442" s="1">
        <f t="shared" si="28"/>
        <v>2.1056102279989739</v>
      </c>
      <c r="S442" s="10">
        <f t="shared" si="27"/>
        <v>1.9380701120142287</v>
      </c>
      <c r="T442" s="45" cm="1">
        <f t="array" ref="T442">SUMPRODUCT(P442:S442 * P$3:S$3) / SUM(P$3:S$3)</f>
        <v>1.9828840510485708</v>
      </c>
    </row>
    <row r="443" spans="1:20" ht="16.5" customHeight="1" x14ac:dyDescent="0.25">
      <c r="A443" s="5" t="s">
        <v>7104</v>
      </c>
      <c r="B443" s="16" t="s">
        <v>7476</v>
      </c>
      <c r="C443" s="4" t="s">
        <v>8797</v>
      </c>
      <c r="D443" s="4" t="s">
        <v>8966</v>
      </c>
      <c r="E443" s="12" t="s">
        <v>406</v>
      </c>
      <c r="F443" s="75" t="s">
        <v>7777</v>
      </c>
      <c r="G443" s="3">
        <v>16</v>
      </c>
      <c r="H443" s="3" t="s">
        <v>419</v>
      </c>
      <c r="I443" s="68" t="s">
        <v>7794</v>
      </c>
      <c r="J443" s="72">
        <v>1.35</v>
      </c>
      <c r="K443" s="14" t="s">
        <v>450</v>
      </c>
      <c r="L443" s="9">
        <v>103.9</v>
      </c>
      <c r="M443" s="3">
        <v>179</v>
      </c>
      <c r="N443" s="66" t="s">
        <v>8037</v>
      </c>
      <c r="O443" s="5" t="s">
        <v>8519</v>
      </c>
      <c r="P443" s="49">
        <f t="shared" si="25"/>
        <v>1.8143196242757482</v>
      </c>
      <c r="Q443" s="1">
        <f t="shared" si="26"/>
        <v>2.0618205997527088</v>
      </c>
      <c r="R443" s="1">
        <f t="shared" si="28"/>
        <v>2.1056102279989739</v>
      </c>
      <c r="S443" s="10">
        <f t="shared" si="27"/>
        <v>1.9380701120142287</v>
      </c>
      <c r="T443" s="45" cm="1">
        <f t="array" ref="T443">SUMPRODUCT(P443:S443 * P$3:S$3) / SUM(P$3:S$3)</f>
        <v>1.9828840510485708</v>
      </c>
    </row>
    <row r="444" spans="1:20" ht="16.5" customHeight="1" x14ac:dyDescent="0.25">
      <c r="A444" s="5" t="s">
        <v>7104</v>
      </c>
      <c r="B444" s="16" t="s">
        <v>7478</v>
      </c>
      <c r="C444" s="4" t="s">
        <v>8797</v>
      </c>
      <c r="D444" s="4" t="s">
        <v>8966</v>
      </c>
      <c r="E444" s="12" t="s">
        <v>406</v>
      </c>
      <c r="F444" s="75" t="s">
        <v>7777</v>
      </c>
      <c r="G444" s="3">
        <v>16</v>
      </c>
      <c r="H444" s="3" t="s">
        <v>419</v>
      </c>
      <c r="I444" s="68" t="s">
        <v>260</v>
      </c>
      <c r="J444" s="72">
        <v>1.35</v>
      </c>
      <c r="K444" s="14" t="s">
        <v>450</v>
      </c>
      <c r="L444" s="9">
        <v>136.9</v>
      </c>
      <c r="M444" s="3">
        <v>205.32</v>
      </c>
      <c r="N444" s="66" t="s">
        <v>8039</v>
      </c>
      <c r="O444" s="5" t="s">
        <v>8520</v>
      </c>
      <c r="P444" s="49">
        <f t="shared" si="25"/>
        <v>1.8295478518165078</v>
      </c>
      <c r="Q444" s="1">
        <f t="shared" si="26"/>
        <v>2.0694347135230884</v>
      </c>
      <c r="R444" s="1">
        <f t="shared" si="28"/>
        <v>2.1132243417693535</v>
      </c>
      <c r="S444" s="10">
        <f t="shared" si="27"/>
        <v>1.9494912826697983</v>
      </c>
      <c r="T444" s="45" cm="1">
        <f t="array" ref="T444">SUMPRODUCT(P444:S444 * P$3:S$3) / SUM(P$3:S$3)</f>
        <v>1.9931338195856205</v>
      </c>
    </row>
    <row r="445" spans="1:20" ht="16.5" customHeight="1" x14ac:dyDescent="0.25">
      <c r="A445" s="5" t="s">
        <v>7076</v>
      </c>
      <c r="B445" s="16" t="s">
        <v>7432</v>
      </c>
      <c r="C445" s="4" t="s">
        <v>8797</v>
      </c>
      <c r="D445" s="4" t="s">
        <v>8966</v>
      </c>
      <c r="E445" s="12" t="s">
        <v>406</v>
      </c>
      <c r="F445" s="75" t="s">
        <v>7777</v>
      </c>
      <c r="G445" s="3">
        <v>16</v>
      </c>
      <c r="H445" s="3" t="s">
        <v>419</v>
      </c>
      <c r="I445" s="68" t="s">
        <v>7795</v>
      </c>
      <c r="J445" s="72">
        <v>1.35</v>
      </c>
      <c r="K445" s="14" t="s">
        <v>7796</v>
      </c>
      <c r="L445" s="9">
        <v>187.9</v>
      </c>
      <c r="M445" s="3">
        <v>288</v>
      </c>
      <c r="N445" s="66" t="s">
        <v>7993</v>
      </c>
      <c r="O445" s="5" t="s">
        <v>8485</v>
      </c>
      <c r="P445" s="49">
        <f t="shared" si="25"/>
        <v>1.8215753192048414</v>
      </c>
      <c r="Q445" s="1">
        <f t="shared" si="26"/>
        <v>2.0654484472172552</v>
      </c>
      <c r="R445" s="1">
        <f t="shared" si="28"/>
        <v>2.1092380754635203</v>
      </c>
      <c r="S445" s="10">
        <f t="shared" si="27"/>
        <v>1.9435118832110483</v>
      </c>
      <c r="T445" s="45" cm="1">
        <f t="array" ref="T445">SUMPRODUCT(P445:S445 * P$3:S$3) / SUM(P$3:S$3)</f>
        <v>1.9877676918662297</v>
      </c>
    </row>
    <row r="446" spans="1:20" ht="16.5" customHeight="1" x14ac:dyDescent="0.25">
      <c r="A446" s="5" t="s">
        <v>7076</v>
      </c>
      <c r="B446" s="16" t="s">
        <v>7433</v>
      </c>
      <c r="C446" s="4" t="s">
        <v>8797</v>
      </c>
      <c r="D446" s="4" t="s">
        <v>8966</v>
      </c>
      <c r="E446" s="12" t="s">
        <v>406</v>
      </c>
      <c r="F446" s="75" t="s">
        <v>7777</v>
      </c>
      <c r="G446" s="3">
        <v>16</v>
      </c>
      <c r="H446" s="3" t="s">
        <v>419</v>
      </c>
      <c r="I446" s="68" t="s">
        <v>260</v>
      </c>
      <c r="J446" s="72">
        <v>1.35</v>
      </c>
      <c r="K446" s="14" t="s">
        <v>7796</v>
      </c>
      <c r="L446" s="9">
        <v>173.9</v>
      </c>
      <c r="M446" s="3">
        <v>212.9</v>
      </c>
      <c r="N446" s="66" t="s">
        <v>7994</v>
      </c>
      <c r="O446" s="5" t="s">
        <v>8486</v>
      </c>
      <c r="P446" s="49">
        <f t="shared" si="25"/>
        <v>1.8295478518165078</v>
      </c>
      <c r="Q446" s="1">
        <f t="shared" si="26"/>
        <v>2.0694347135230884</v>
      </c>
      <c r="R446" s="1">
        <f t="shared" si="28"/>
        <v>2.1132243417693535</v>
      </c>
      <c r="S446" s="10">
        <f t="shared" si="27"/>
        <v>1.9494912826697983</v>
      </c>
      <c r="T446" s="45" cm="1">
        <f t="array" ref="T446">SUMPRODUCT(P446:S446 * P$3:S$3) / SUM(P$3:S$3)</f>
        <v>1.9931338195856205</v>
      </c>
    </row>
    <row r="447" spans="1:20" ht="16.5" customHeight="1" x14ac:dyDescent="0.25">
      <c r="A447" s="5" t="s">
        <v>7086</v>
      </c>
      <c r="B447" s="16" t="s">
        <v>7453</v>
      </c>
      <c r="C447" s="4" t="s">
        <v>8797</v>
      </c>
      <c r="D447" s="4" t="s">
        <v>8966</v>
      </c>
      <c r="E447" s="12" t="s">
        <v>406</v>
      </c>
      <c r="F447" s="75" t="s">
        <v>7777</v>
      </c>
      <c r="G447" s="3">
        <v>16</v>
      </c>
      <c r="H447" s="3" t="s">
        <v>419</v>
      </c>
      <c r="I447" s="68" t="s">
        <v>7794</v>
      </c>
      <c r="J447" s="72">
        <v>1.35</v>
      </c>
      <c r="K447" s="14" t="s">
        <v>7797</v>
      </c>
      <c r="L447" s="9">
        <v>140.9</v>
      </c>
      <c r="M447" s="3">
        <v>273.02999999999997</v>
      </c>
      <c r="N447" s="66" t="s">
        <v>8014</v>
      </c>
      <c r="O447" s="5" t="s">
        <v>8500</v>
      </c>
      <c r="P447" s="49">
        <f t="shared" si="25"/>
        <v>1.8143196242757482</v>
      </c>
      <c r="Q447" s="1">
        <f t="shared" si="26"/>
        <v>2.0618205997527088</v>
      </c>
      <c r="R447" s="1">
        <f t="shared" si="28"/>
        <v>2.1056102279989739</v>
      </c>
      <c r="S447" s="10">
        <f t="shared" si="27"/>
        <v>1.9380701120142287</v>
      </c>
      <c r="T447" s="45" cm="1">
        <f t="array" ref="T447">SUMPRODUCT(P447:S447 * P$3:S$3) / SUM(P$3:S$3)</f>
        <v>1.9828840510485708</v>
      </c>
    </row>
    <row r="448" spans="1:20" ht="16.5" customHeight="1" x14ac:dyDescent="0.25">
      <c r="A448" s="5" t="s">
        <v>7086</v>
      </c>
      <c r="B448" s="16" t="s">
        <v>7455</v>
      </c>
      <c r="C448" s="4" t="s">
        <v>8797</v>
      </c>
      <c r="D448" s="4" t="s">
        <v>8966</v>
      </c>
      <c r="E448" s="12" t="s">
        <v>406</v>
      </c>
      <c r="F448" s="75" t="s">
        <v>7777</v>
      </c>
      <c r="G448" s="3">
        <v>16</v>
      </c>
      <c r="H448" s="3" t="s">
        <v>419</v>
      </c>
      <c r="I448" s="68" t="s">
        <v>260</v>
      </c>
      <c r="J448" s="72">
        <v>1.35</v>
      </c>
      <c r="K448" s="14" t="s">
        <v>7797</v>
      </c>
      <c r="L448" s="9">
        <v>184.22</v>
      </c>
      <c r="M448" s="3">
        <v>338</v>
      </c>
      <c r="N448" s="66" t="s">
        <v>8016</v>
      </c>
      <c r="O448" s="5" t="s">
        <v>8501</v>
      </c>
      <c r="P448" s="49">
        <f t="shared" si="25"/>
        <v>1.8295478518165078</v>
      </c>
      <c r="Q448" s="1">
        <f t="shared" si="26"/>
        <v>2.0694347135230884</v>
      </c>
      <c r="R448" s="1">
        <f t="shared" si="28"/>
        <v>2.1132243417693535</v>
      </c>
      <c r="S448" s="10">
        <f t="shared" si="27"/>
        <v>1.9494912826697983</v>
      </c>
      <c r="T448" s="45" cm="1">
        <f t="array" ref="T448">SUMPRODUCT(P448:S448 * P$3:S$3) / SUM(P$3:S$3)</f>
        <v>1.9931338195856205</v>
      </c>
    </row>
    <row r="449" spans="1:20" ht="16.5" customHeight="1" x14ac:dyDescent="0.25">
      <c r="A449" s="5" t="s">
        <v>7062</v>
      </c>
      <c r="B449" s="16" t="s">
        <v>7414</v>
      </c>
      <c r="C449" s="4" t="s">
        <v>8797</v>
      </c>
      <c r="D449" s="4" t="s">
        <v>8966</v>
      </c>
      <c r="E449" s="12" t="s">
        <v>406</v>
      </c>
      <c r="F449" s="75" t="s">
        <v>7777</v>
      </c>
      <c r="G449" s="3">
        <v>16</v>
      </c>
      <c r="H449" s="3" t="s">
        <v>419</v>
      </c>
      <c r="I449" s="68" t="s">
        <v>260</v>
      </c>
      <c r="J449" s="72">
        <v>1.35</v>
      </c>
      <c r="K449" s="14" t="s">
        <v>7796</v>
      </c>
      <c r="L449" s="9">
        <v>214.54</v>
      </c>
      <c r="M449" s="3">
        <v>327</v>
      </c>
      <c r="N449" s="66" t="s">
        <v>7975</v>
      </c>
      <c r="O449" s="5" t="s">
        <v>8467</v>
      </c>
      <c r="P449" s="49">
        <f t="shared" si="25"/>
        <v>1.8295478518165078</v>
      </c>
      <c r="Q449" s="1">
        <f t="shared" si="26"/>
        <v>2.0694347135230884</v>
      </c>
      <c r="R449" s="1">
        <f t="shared" si="28"/>
        <v>2.1132243417693535</v>
      </c>
      <c r="S449" s="10">
        <f t="shared" si="27"/>
        <v>1.9494912826697983</v>
      </c>
      <c r="T449" s="45" cm="1">
        <f t="array" ref="T449">SUMPRODUCT(P449:S449 * P$3:S$3) / SUM(P$3:S$3)</f>
        <v>1.9931338195856205</v>
      </c>
    </row>
    <row r="450" spans="1:20" ht="16.5" customHeight="1" x14ac:dyDescent="0.25">
      <c r="A450" s="5" t="s">
        <v>7062</v>
      </c>
      <c r="B450" s="16" t="s">
        <v>7427</v>
      </c>
      <c r="C450" s="4" t="s">
        <v>8797</v>
      </c>
      <c r="D450" s="4" t="s">
        <v>8966</v>
      </c>
      <c r="E450" s="12" t="s">
        <v>406</v>
      </c>
      <c r="F450" s="75" t="s">
        <v>7777</v>
      </c>
      <c r="G450" s="3">
        <v>16</v>
      </c>
      <c r="H450" s="3" t="s">
        <v>419</v>
      </c>
      <c r="I450" s="68" t="s">
        <v>260</v>
      </c>
      <c r="J450" s="72">
        <v>1.35</v>
      </c>
      <c r="K450" s="14" t="s">
        <v>7796</v>
      </c>
      <c r="L450" s="9">
        <v>263.75</v>
      </c>
      <c r="M450" s="3">
        <v>429</v>
      </c>
      <c r="N450" s="66" t="s">
        <v>7988</v>
      </c>
      <c r="O450" s="5" t="s">
        <v>8480</v>
      </c>
      <c r="P450" s="49">
        <f t="shared" si="25"/>
        <v>1.8295478518165078</v>
      </c>
      <c r="Q450" s="1">
        <f t="shared" si="26"/>
        <v>2.0694347135230884</v>
      </c>
      <c r="R450" s="1">
        <f t="shared" si="28"/>
        <v>2.1132243417693535</v>
      </c>
      <c r="S450" s="10">
        <f t="shared" si="27"/>
        <v>1.9494912826697983</v>
      </c>
      <c r="T450" s="45" cm="1">
        <f t="array" ref="T450">SUMPRODUCT(P450:S450 * P$3:S$3) / SUM(P$3:S$3)</f>
        <v>1.9931338195856205</v>
      </c>
    </row>
    <row r="451" spans="1:20" ht="16.5" customHeight="1" x14ac:dyDescent="0.25">
      <c r="A451" s="5" t="s">
        <v>7030</v>
      </c>
      <c r="B451" s="16" t="s">
        <v>7336</v>
      </c>
      <c r="C451" s="4" t="s">
        <v>8798</v>
      </c>
      <c r="D451" s="4" t="s">
        <v>8966</v>
      </c>
      <c r="E451" s="12" t="s">
        <v>406</v>
      </c>
      <c r="F451" s="75" t="s">
        <v>7777</v>
      </c>
      <c r="G451" s="3">
        <v>16</v>
      </c>
      <c r="H451" s="3" t="s">
        <v>419</v>
      </c>
      <c r="I451" s="68" t="s">
        <v>7794</v>
      </c>
      <c r="J451" s="72">
        <v>1.35</v>
      </c>
      <c r="K451" s="14" t="s">
        <v>5476</v>
      </c>
      <c r="L451" s="9">
        <v>171.9</v>
      </c>
      <c r="M451" s="3">
        <v>240.86</v>
      </c>
      <c r="N451" s="66" t="s">
        <v>7897</v>
      </c>
      <c r="O451" s="5" t="s">
        <v>8403</v>
      </c>
      <c r="P451" s="49">
        <f t="shared" si="25"/>
        <v>1.8143196242757482</v>
      </c>
      <c r="Q451" s="1">
        <f t="shared" si="26"/>
        <v>2.0618205997527088</v>
      </c>
      <c r="R451" s="1">
        <f t="shared" si="28"/>
        <v>2.1056102279989739</v>
      </c>
      <c r="S451" s="10">
        <f t="shared" si="27"/>
        <v>1.9380701120142287</v>
      </c>
      <c r="T451" s="45" cm="1">
        <f t="array" ref="T451">SUMPRODUCT(P451:S451 * P$3:S$3) / SUM(P$3:S$3)</f>
        <v>1.9828840510485708</v>
      </c>
    </row>
    <row r="452" spans="1:20" ht="16.5" customHeight="1" x14ac:dyDescent="0.25">
      <c r="A452" s="5" t="s">
        <v>7030</v>
      </c>
      <c r="B452" s="16" t="s">
        <v>7371</v>
      </c>
      <c r="C452" s="4" t="s">
        <v>8798</v>
      </c>
      <c r="D452" s="4" t="s">
        <v>8966</v>
      </c>
      <c r="E452" s="12" t="s">
        <v>406</v>
      </c>
      <c r="F452" s="75" t="s">
        <v>7777</v>
      </c>
      <c r="G452" s="3">
        <v>16</v>
      </c>
      <c r="H452" s="3" t="s">
        <v>419</v>
      </c>
      <c r="I452" s="68" t="s">
        <v>7794</v>
      </c>
      <c r="J452" s="72">
        <v>1.35</v>
      </c>
      <c r="L452" s="9">
        <v>151.88</v>
      </c>
      <c r="M452" s="3">
        <v>244</v>
      </c>
      <c r="N452" s="66" t="s">
        <v>7932</v>
      </c>
      <c r="O452" s="5" t="s">
        <v>8428</v>
      </c>
      <c r="P452" s="49">
        <f t="shared" si="25"/>
        <v>1.8143196242757482</v>
      </c>
      <c r="Q452" s="1">
        <f t="shared" si="26"/>
        <v>2.0618205997527088</v>
      </c>
      <c r="R452" s="1">
        <f t="shared" si="28"/>
        <v>2.1056102279989739</v>
      </c>
      <c r="S452" s="10">
        <f t="shared" si="27"/>
        <v>1.9380701120142287</v>
      </c>
      <c r="T452" s="45" cm="1">
        <f t="array" ref="T452">SUMPRODUCT(P452:S452 * P$3:S$3) / SUM(P$3:S$3)</f>
        <v>1.9828840510485708</v>
      </c>
    </row>
    <row r="453" spans="1:20" ht="16.5" customHeight="1" x14ac:dyDescent="0.25">
      <c r="A453" s="5" t="s">
        <v>6992</v>
      </c>
      <c r="B453" s="16" t="s">
        <v>7265</v>
      </c>
      <c r="C453" s="4" t="s">
        <v>8798</v>
      </c>
      <c r="D453" s="4" t="s">
        <v>8966</v>
      </c>
      <c r="E453" s="12" t="s">
        <v>406</v>
      </c>
      <c r="F453" s="75" t="s">
        <v>7777</v>
      </c>
      <c r="G453" s="3">
        <v>16</v>
      </c>
      <c r="H453" s="3" t="s">
        <v>419</v>
      </c>
      <c r="I453" s="68" t="s">
        <v>260</v>
      </c>
      <c r="J453" s="72">
        <v>1.35</v>
      </c>
      <c r="K453" s="14" t="s">
        <v>5476</v>
      </c>
      <c r="L453" s="9">
        <v>178.9</v>
      </c>
      <c r="M453" s="3">
        <v>230.91</v>
      </c>
      <c r="N453" s="66" t="s">
        <v>7826</v>
      </c>
      <c r="O453" s="5" t="s">
        <v>8347</v>
      </c>
      <c r="P453" s="49">
        <f t="shared" si="25"/>
        <v>1.8295478518165078</v>
      </c>
      <c r="Q453" s="1">
        <f t="shared" si="26"/>
        <v>2.0694347135230884</v>
      </c>
      <c r="R453" s="1">
        <f t="shared" si="28"/>
        <v>2.1132243417693535</v>
      </c>
      <c r="S453" s="10">
        <f t="shared" si="27"/>
        <v>1.9494912826697983</v>
      </c>
      <c r="T453" s="45" cm="1">
        <f t="array" ref="T453">SUMPRODUCT(P453:S453 * P$3:S$3) / SUM(P$3:S$3)</f>
        <v>1.9931338195856205</v>
      </c>
    </row>
    <row r="454" spans="1:20" ht="16.5" customHeight="1" x14ac:dyDescent="0.25">
      <c r="A454" s="5" t="s">
        <v>6992</v>
      </c>
      <c r="B454" s="16" t="s">
        <v>7297</v>
      </c>
      <c r="C454" s="4" t="s">
        <v>8798</v>
      </c>
      <c r="D454" s="4" t="s">
        <v>8966</v>
      </c>
      <c r="E454" s="12" t="s">
        <v>406</v>
      </c>
      <c r="F454" s="75" t="s">
        <v>7777</v>
      </c>
      <c r="G454" s="3">
        <v>16</v>
      </c>
      <c r="H454" s="3" t="s">
        <v>419</v>
      </c>
      <c r="I454" s="68" t="s">
        <v>260</v>
      </c>
      <c r="J454" s="72">
        <v>1.35</v>
      </c>
      <c r="L454" s="9">
        <v>145.69999999999999</v>
      </c>
      <c r="M454" s="3">
        <v>229.88</v>
      </c>
      <c r="N454" s="66" t="s">
        <v>7858</v>
      </c>
      <c r="O454" s="5" t="s">
        <v>8370</v>
      </c>
      <c r="P454" s="49">
        <f t="shared" si="25"/>
        <v>1.8295478518165078</v>
      </c>
      <c r="Q454" s="1">
        <f t="shared" si="26"/>
        <v>2.0694347135230884</v>
      </c>
      <c r="R454" s="1">
        <f t="shared" si="28"/>
        <v>2.1132243417693535</v>
      </c>
      <c r="S454" s="10">
        <f t="shared" si="27"/>
        <v>1.9494912826697983</v>
      </c>
      <c r="T454" s="45" cm="1">
        <f t="array" ref="T454">SUMPRODUCT(P454:S454 * P$3:S$3) / SUM(P$3:S$3)</f>
        <v>1.9931338195856205</v>
      </c>
    </row>
    <row r="455" spans="1:20" ht="16.5" customHeight="1" x14ac:dyDescent="0.25">
      <c r="A455" s="5" t="s">
        <v>7059</v>
      </c>
      <c r="B455" s="16" t="s">
        <v>7411</v>
      </c>
      <c r="C455" s="4" t="s">
        <v>8797</v>
      </c>
      <c r="D455" s="4" t="s">
        <v>9072</v>
      </c>
      <c r="E455" s="12" t="s">
        <v>406</v>
      </c>
      <c r="F455" s="75" t="s">
        <v>7777</v>
      </c>
      <c r="G455" s="3">
        <v>16</v>
      </c>
      <c r="H455" s="3" t="s">
        <v>193</v>
      </c>
      <c r="I455" s="68" t="s">
        <v>397</v>
      </c>
      <c r="J455" s="72">
        <v>1.45</v>
      </c>
      <c r="K455" s="14" t="s">
        <v>7796</v>
      </c>
      <c r="L455" s="9">
        <v>1014.61</v>
      </c>
      <c r="M455" s="3">
        <v>1348.19</v>
      </c>
      <c r="N455" s="66" t="s">
        <v>7972</v>
      </c>
      <c r="O455" s="5" t="s">
        <v>8464</v>
      </c>
      <c r="P455" s="49">
        <f t="shared" si="25"/>
        <v>1.9532185757447067</v>
      </c>
      <c r="Q455" s="1">
        <f t="shared" si="26"/>
        <v>2.1530493214080169</v>
      </c>
      <c r="R455" s="1">
        <f t="shared" si="28"/>
        <v>2.1877188293614176</v>
      </c>
      <c r="S455" s="10">
        <f t="shared" si="27"/>
        <v>2.0531339485763618</v>
      </c>
      <c r="T455" s="45" cm="1">
        <f t="array" ref="T455">SUMPRODUCT(P455:S455 * P$3:S$3) / SUM(P$3:S$3)</f>
        <v>2.0892109106712402</v>
      </c>
    </row>
    <row r="456" spans="1:20" ht="16.5" customHeight="1" x14ac:dyDescent="0.25">
      <c r="A456" s="5" t="s">
        <v>7040</v>
      </c>
      <c r="B456" s="16" t="s">
        <v>7353</v>
      </c>
      <c r="C456" s="4" t="s">
        <v>8798</v>
      </c>
      <c r="D456" s="4" t="s">
        <v>8967</v>
      </c>
      <c r="E456" s="12" t="s">
        <v>406</v>
      </c>
      <c r="F456" s="75" t="s">
        <v>7777</v>
      </c>
      <c r="G456" s="3">
        <v>32</v>
      </c>
      <c r="H456" s="3" t="s">
        <v>6736</v>
      </c>
      <c r="I456" s="68" t="s">
        <v>7794</v>
      </c>
      <c r="J456" s="72">
        <v>1.35</v>
      </c>
      <c r="K456" s="14" t="s">
        <v>5476</v>
      </c>
      <c r="L456" s="9">
        <v>75.89</v>
      </c>
      <c r="M456" s="3">
        <v>103.89</v>
      </c>
      <c r="N456" s="66" t="s">
        <v>7914</v>
      </c>
      <c r="O456" s="5" t="s">
        <v>8414</v>
      </c>
      <c r="P456" s="49">
        <f t="shared" si="25"/>
        <v>2.2294022233701485</v>
      </c>
      <c r="Q456" s="1">
        <f t="shared" si="26"/>
        <v>2.8282663881832768</v>
      </c>
      <c r="R456" s="1">
        <f t="shared" si="28"/>
        <v>2.9613000080791596</v>
      </c>
      <c r="S456" s="10">
        <f t="shared" si="27"/>
        <v>2.5288343057767126</v>
      </c>
      <c r="T456" s="45" cm="1">
        <f t="array" ref="T456">SUMPRODUCT(P456:S456 * P$3:S$3) / SUM(P$3:S$3)</f>
        <v>2.6414339649627148</v>
      </c>
    </row>
    <row r="457" spans="1:20" ht="16.5" customHeight="1" x14ac:dyDescent="0.25">
      <c r="A457" s="5" t="s">
        <v>7040</v>
      </c>
      <c r="B457" s="16" t="s">
        <v>7388</v>
      </c>
      <c r="C457" s="4" t="s">
        <v>8798</v>
      </c>
      <c r="D457" s="4" t="s">
        <v>8967</v>
      </c>
      <c r="E457" s="12" t="s">
        <v>406</v>
      </c>
      <c r="F457" s="75" t="s">
        <v>7777</v>
      </c>
      <c r="G457" s="3">
        <v>32</v>
      </c>
      <c r="H457" s="3" t="s">
        <v>6736</v>
      </c>
      <c r="I457" s="68" t="s">
        <v>7794</v>
      </c>
      <c r="J457" s="72">
        <v>1.35</v>
      </c>
      <c r="L457" s="9">
        <v>60.9</v>
      </c>
      <c r="M457" s="3">
        <v>119.9</v>
      </c>
      <c r="N457" s="66" t="s">
        <v>7949</v>
      </c>
      <c r="O457" s="5" t="s">
        <v>8441</v>
      </c>
      <c r="P457" s="49">
        <f t="shared" si="25"/>
        <v>2.2294022233701485</v>
      </c>
      <c r="Q457" s="1">
        <f t="shared" si="26"/>
        <v>2.8282663881832768</v>
      </c>
      <c r="R457" s="1">
        <f t="shared" si="28"/>
        <v>2.9613000080791596</v>
      </c>
      <c r="S457" s="10">
        <f t="shared" si="27"/>
        <v>2.5288343057767126</v>
      </c>
      <c r="T457" s="45" cm="1">
        <f t="array" ref="T457">SUMPRODUCT(P457:S457 * P$3:S$3) / SUM(P$3:S$3)</f>
        <v>2.6414339649627148</v>
      </c>
    </row>
    <row r="458" spans="1:20" ht="16.5" customHeight="1" x14ac:dyDescent="0.25">
      <c r="A458" s="5" t="s">
        <v>7005</v>
      </c>
      <c r="B458" s="16" t="s">
        <v>7280</v>
      </c>
      <c r="C458" s="4" t="s">
        <v>8798</v>
      </c>
      <c r="D458" s="4" t="s">
        <v>8967</v>
      </c>
      <c r="E458" s="12" t="s">
        <v>406</v>
      </c>
      <c r="F458" s="75" t="s">
        <v>7777</v>
      </c>
      <c r="G458" s="3">
        <v>32</v>
      </c>
      <c r="H458" s="3" t="s">
        <v>6736</v>
      </c>
      <c r="I458" s="68" t="s">
        <v>7794</v>
      </c>
      <c r="J458" s="72">
        <v>1.35</v>
      </c>
      <c r="K458" s="14" t="s">
        <v>5476</v>
      </c>
      <c r="L458" s="9">
        <v>76.900000000000006</v>
      </c>
      <c r="M458" s="3">
        <v>113.99</v>
      </c>
      <c r="N458" s="66" t="s">
        <v>7841</v>
      </c>
      <c r="O458" s="5" t="s">
        <v>8358</v>
      </c>
      <c r="P458" s="49">
        <f t="shared" ref="P458:P521" si="29">(((F458/F$9)^F$7 * F$2 + (I458/I$9)^I$7 * I$2 + (J458/J$9)^J$7 * J$2) * (1+M$3*(MIN(H458,M$2)-1)+M$4*(H458-MIN(H458,M$2))) + (G458/G$9)^G$7 * G$2)  * P$9</f>
        <v>2.2294022233701485</v>
      </c>
      <c r="Q458" s="1">
        <f t="shared" ref="Q458:Q521" si="30">(((F458/F$9)^F$7 * F$3 + (I458/I$9)^I$7 * I$3 + (J458/J$9)^J$7 * J$3) * (1+M$3*(MIN(H458,M$2)-1)+M$4*(H458-MIN(H458,M$2))) + (G458/G$9)^G$7 * G$3)  * P$9</f>
        <v>2.8282663881832768</v>
      </c>
      <c r="R458" s="1">
        <f t="shared" si="28"/>
        <v>2.9613000080791596</v>
      </c>
      <c r="S458" s="10">
        <f t="shared" ref="S458:S521" si="31">(((F458/F$9)^F$7 * F$5 + (I458/I$9)^I$7 * I$5 + (J458/J$9)^J$7 * J$5) * (1+M$3*(MIN(H458,M$2)-1)+M$4*(H458-MIN(H458,M$2))) + (G458/G$9)^G$7 * G$5)  * P$9</f>
        <v>2.5288343057767126</v>
      </c>
      <c r="T458" s="45" cm="1">
        <f t="array" ref="T458">SUMPRODUCT(P458:S458 * P$3:S$3) / SUM(P$3:S$3)</f>
        <v>2.6414339649627148</v>
      </c>
    </row>
    <row r="459" spans="1:20" ht="16.5" customHeight="1" x14ac:dyDescent="0.25">
      <c r="A459" s="5" t="s">
        <v>7005</v>
      </c>
      <c r="B459" s="16" t="s">
        <v>7317</v>
      </c>
      <c r="C459" s="4" t="s">
        <v>8798</v>
      </c>
      <c r="D459" s="4" t="s">
        <v>8967</v>
      </c>
      <c r="E459" s="12" t="s">
        <v>406</v>
      </c>
      <c r="F459" s="75" t="s">
        <v>7777</v>
      </c>
      <c r="G459" s="3">
        <v>32</v>
      </c>
      <c r="H459" s="3" t="s">
        <v>6736</v>
      </c>
      <c r="I459" s="68" t="s">
        <v>7794</v>
      </c>
      <c r="J459" s="72">
        <v>1.35</v>
      </c>
      <c r="L459" s="9">
        <v>69.900000000000006</v>
      </c>
      <c r="M459" s="3">
        <v>104.42</v>
      </c>
      <c r="N459" s="66" t="s">
        <v>7878</v>
      </c>
      <c r="O459" s="5" t="s">
        <v>8386</v>
      </c>
      <c r="P459" s="49">
        <f t="shared" si="29"/>
        <v>2.2294022233701485</v>
      </c>
      <c r="Q459" s="1">
        <f t="shared" si="30"/>
        <v>2.8282663881832768</v>
      </c>
      <c r="R459" s="1">
        <f t="shared" si="28"/>
        <v>2.9613000080791596</v>
      </c>
      <c r="S459" s="10">
        <f t="shared" si="31"/>
        <v>2.5288343057767126</v>
      </c>
      <c r="T459" s="45" cm="1">
        <f t="array" ref="T459">SUMPRODUCT(P459:S459 * P$3:S$3) / SUM(P$3:S$3)</f>
        <v>2.6414339649627148</v>
      </c>
    </row>
    <row r="460" spans="1:20" ht="16.5" customHeight="1" x14ac:dyDescent="0.25">
      <c r="A460" s="5" t="s">
        <v>7182</v>
      </c>
      <c r="B460" s="16" t="s">
        <v>7570</v>
      </c>
      <c r="C460" s="4" t="s">
        <v>8796</v>
      </c>
      <c r="D460" s="4" t="s">
        <v>8968</v>
      </c>
      <c r="E460" s="12" t="s">
        <v>406</v>
      </c>
      <c r="F460" s="75" t="s">
        <v>7777</v>
      </c>
      <c r="G460" s="3">
        <v>32</v>
      </c>
      <c r="H460" s="3" t="s">
        <v>404</v>
      </c>
      <c r="I460" s="68" t="s">
        <v>7794</v>
      </c>
      <c r="J460" s="72">
        <v>1.35</v>
      </c>
      <c r="K460" s="14" t="s">
        <v>6175</v>
      </c>
      <c r="L460" s="9">
        <v>141.97</v>
      </c>
      <c r="M460" s="3">
        <v>209</v>
      </c>
      <c r="N460" s="66" t="s">
        <v>8131</v>
      </c>
      <c r="O460" s="5" t="s">
        <v>8604</v>
      </c>
      <c r="P460" s="49">
        <f t="shared" si="29"/>
        <v>2.2558491598652868</v>
      </c>
      <c r="Q460" s="1">
        <f t="shared" si="30"/>
        <v>2.8474641301396515</v>
      </c>
      <c r="R460" s="1">
        <f t="shared" si="28"/>
        <v>2.9782177199623181</v>
      </c>
      <c r="S460" s="10">
        <f t="shared" si="31"/>
        <v>2.5516566450024691</v>
      </c>
      <c r="T460" s="45" cm="1">
        <f t="array" ref="T460">SUMPRODUCT(P460:S460 * P$3:S$3) / SUM(P$3:S$3)</f>
        <v>2.6627902696327816</v>
      </c>
    </row>
    <row r="461" spans="1:20" ht="16.5" customHeight="1" x14ac:dyDescent="0.25">
      <c r="A461" s="5" t="s">
        <v>7182</v>
      </c>
      <c r="B461" s="16" t="s">
        <v>7582</v>
      </c>
      <c r="C461" s="4" t="s">
        <v>8796</v>
      </c>
      <c r="D461" s="4" t="s">
        <v>8968</v>
      </c>
      <c r="E461" s="12" t="s">
        <v>406</v>
      </c>
      <c r="F461" s="75" t="s">
        <v>7777</v>
      </c>
      <c r="G461" s="3">
        <v>32</v>
      </c>
      <c r="H461" s="3" t="s">
        <v>404</v>
      </c>
      <c r="I461" s="68" t="s">
        <v>7794</v>
      </c>
      <c r="J461" s="72">
        <v>1.35</v>
      </c>
      <c r="K461" s="14" t="s">
        <v>7799</v>
      </c>
      <c r="L461" s="9">
        <v>134.52000000000001</v>
      </c>
      <c r="M461" s="3">
        <v>201</v>
      </c>
      <c r="N461" s="66" t="s">
        <v>8143</v>
      </c>
      <c r="O461" s="5" t="s">
        <v>8613</v>
      </c>
      <c r="P461" s="49">
        <f t="shared" si="29"/>
        <v>2.2558491598652868</v>
      </c>
      <c r="Q461" s="1">
        <f t="shared" si="30"/>
        <v>2.8474641301396515</v>
      </c>
      <c r="R461" s="1">
        <f t="shared" si="28"/>
        <v>2.9782177199623181</v>
      </c>
      <c r="S461" s="10">
        <f t="shared" si="31"/>
        <v>2.5516566450024691</v>
      </c>
      <c r="T461" s="45" cm="1">
        <f t="array" ref="T461">SUMPRODUCT(P461:S461 * P$3:S$3) / SUM(P$3:S$3)</f>
        <v>2.6627902696327816</v>
      </c>
    </row>
    <row r="462" spans="1:20" ht="16.5" customHeight="1" x14ac:dyDescent="0.25">
      <c r="A462" s="5" t="s">
        <v>7182</v>
      </c>
      <c r="B462" s="16" t="s">
        <v>7614</v>
      </c>
      <c r="C462" s="4" t="s">
        <v>8796</v>
      </c>
      <c r="D462" s="4" t="s">
        <v>8968</v>
      </c>
      <c r="E462" s="12" t="s">
        <v>406</v>
      </c>
      <c r="F462" s="75" t="s">
        <v>7777</v>
      </c>
      <c r="G462" s="3">
        <v>32</v>
      </c>
      <c r="H462" s="3" t="s">
        <v>404</v>
      </c>
      <c r="I462" s="68" t="s">
        <v>7794</v>
      </c>
      <c r="J462" s="72">
        <v>1.35</v>
      </c>
      <c r="K462" s="14" t="s">
        <v>7800</v>
      </c>
      <c r="L462" s="9">
        <v>142.37</v>
      </c>
      <c r="M462" s="3">
        <v>176.35</v>
      </c>
      <c r="N462" s="66" t="s">
        <v>8175</v>
      </c>
      <c r="O462" s="5" t="s">
        <v>8642</v>
      </c>
      <c r="P462" s="49">
        <f t="shared" si="29"/>
        <v>2.2558491598652868</v>
      </c>
      <c r="Q462" s="1">
        <f t="shared" si="30"/>
        <v>2.8474641301396515</v>
      </c>
      <c r="R462" s="1">
        <f t="shared" si="28"/>
        <v>2.9782177199623181</v>
      </c>
      <c r="S462" s="10">
        <f t="shared" si="31"/>
        <v>2.5516566450024691</v>
      </c>
      <c r="T462" s="45" cm="1">
        <f t="array" ref="T462">SUMPRODUCT(P462:S462 * P$3:S$3) / SUM(P$3:S$3)</f>
        <v>2.6627902696327816</v>
      </c>
    </row>
    <row r="463" spans="1:20" ht="16.5" customHeight="1" x14ac:dyDescent="0.25">
      <c r="A463" s="5" t="s">
        <v>7182</v>
      </c>
      <c r="B463" s="16" t="s">
        <v>7633</v>
      </c>
      <c r="C463" s="4" t="s">
        <v>8796</v>
      </c>
      <c r="D463" s="4" t="s">
        <v>8968</v>
      </c>
      <c r="E463" s="12" t="s">
        <v>406</v>
      </c>
      <c r="F463" s="75" t="s">
        <v>7777</v>
      </c>
      <c r="G463" s="3">
        <v>32</v>
      </c>
      <c r="H463" s="3" t="s">
        <v>404</v>
      </c>
      <c r="I463" s="68" t="s">
        <v>7794</v>
      </c>
      <c r="J463" s="72">
        <v>1.35</v>
      </c>
      <c r="K463" s="14" t="s">
        <v>6175</v>
      </c>
      <c r="L463" s="9">
        <v>141.52000000000001</v>
      </c>
      <c r="M463" s="3">
        <v>215</v>
      </c>
      <c r="N463" s="66" t="s">
        <v>8194</v>
      </c>
      <c r="O463" s="5" t="s">
        <v>8653</v>
      </c>
      <c r="P463" s="49">
        <f t="shared" si="29"/>
        <v>2.2558491598652868</v>
      </c>
      <c r="Q463" s="1">
        <f t="shared" si="30"/>
        <v>2.8474641301396515</v>
      </c>
      <c r="R463" s="1">
        <f t="shared" si="28"/>
        <v>2.9782177199623181</v>
      </c>
      <c r="S463" s="10">
        <f t="shared" si="31"/>
        <v>2.5516566450024691</v>
      </c>
      <c r="T463" s="45" cm="1">
        <f t="array" ref="T463">SUMPRODUCT(P463:S463 * P$3:S$3) / SUM(P$3:S$3)</f>
        <v>2.6627902696327816</v>
      </c>
    </row>
    <row r="464" spans="1:20" ht="16.5" customHeight="1" x14ac:dyDescent="0.25">
      <c r="A464" s="5" t="s">
        <v>7182</v>
      </c>
      <c r="B464" s="16" t="s">
        <v>7675</v>
      </c>
      <c r="C464" s="4" t="s">
        <v>8796</v>
      </c>
      <c r="D464" s="4" t="s">
        <v>8968</v>
      </c>
      <c r="E464" s="12" t="s">
        <v>406</v>
      </c>
      <c r="F464" s="75" t="s">
        <v>7777</v>
      </c>
      <c r="G464" s="3">
        <v>32</v>
      </c>
      <c r="H464" s="3" t="s">
        <v>404</v>
      </c>
      <c r="I464" s="68" t="s">
        <v>7794</v>
      </c>
      <c r="J464" s="72">
        <v>1.35</v>
      </c>
      <c r="L464" s="9">
        <v>126.62</v>
      </c>
      <c r="M464" s="3">
        <v>212</v>
      </c>
      <c r="N464" s="66" t="s">
        <v>8236</v>
      </c>
      <c r="O464" s="5" t="s">
        <v>8689</v>
      </c>
      <c r="P464" s="49">
        <f t="shared" si="29"/>
        <v>2.2558491598652868</v>
      </c>
      <c r="Q464" s="1">
        <f t="shared" si="30"/>
        <v>2.8474641301396515</v>
      </c>
      <c r="R464" s="1">
        <f t="shared" ref="R464:R527" si="32">(((F464/F$9)^F$7 * F$4 + (I464/I$9)^I$7 * I$4 + (J464/J$9)^J$7 * J$4) * (1+M$3*(MIN(H464,M$2)-1)+M$4*(H464-MIN(H464,M$2))) + (G464/G$9)^G$7 * G$4)  * P$9</f>
        <v>2.9782177199623181</v>
      </c>
      <c r="S464" s="10">
        <f t="shared" si="31"/>
        <v>2.5516566450024691</v>
      </c>
      <c r="T464" s="45" cm="1">
        <f t="array" ref="T464">SUMPRODUCT(P464:S464 * P$3:S$3) / SUM(P$3:S$3)</f>
        <v>2.6627902696327816</v>
      </c>
    </row>
    <row r="465" spans="1:20" ht="16.5" customHeight="1" x14ac:dyDescent="0.25">
      <c r="A465" s="5" t="s">
        <v>7105</v>
      </c>
      <c r="B465" s="16" t="s">
        <v>7477</v>
      </c>
      <c r="C465" s="4" t="s">
        <v>8797</v>
      </c>
      <c r="D465" s="4" t="s">
        <v>8968</v>
      </c>
      <c r="E465" s="12" t="s">
        <v>406</v>
      </c>
      <c r="F465" s="75" t="s">
        <v>7777</v>
      </c>
      <c r="G465" s="3">
        <v>32</v>
      </c>
      <c r="H465" s="3" t="s">
        <v>404</v>
      </c>
      <c r="I465" s="68" t="s">
        <v>7794</v>
      </c>
      <c r="J465" s="72">
        <v>1.35</v>
      </c>
      <c r="L465" s="9">
        <v>117.97</v>
      </c>
      <c r="M465" s="3">
        <v>192.43</v>
      </c>
      <c r="N465" s="66" t="s">
        <v>8038</v>
      </c>
      <c r="O465" s="5" t="s">
        <v>8519</v>
      </c>
      <c r="P465" s="49">
        <f t="shared" si="29"/>
        <v>2.2558491598652868</v>
      </c>
      <c r="Q465" s="1">
        <f t="shared" si="30"/>
        <v>2.8474641301396515</v>
      </c>
      <c r="R465" s="1">
        <f t="shared" si="32"/>
        <v>2.9782177199623181</v>
      </c>
      <c r="S465" s="10">
        <f t="shared" si="31"/>
        <v>2.5516566450024691</v>
      </c>
      <c r="T465" s="45" cm="1">
        <f t="array" ref="T465">SUMPRODUCT(P465:S465 * P$3:S$3) / SUM(P$3:S$3)</f>
        <v>2.6627902696327816</v>
      </c>
    </row>
    <row r="466" spans="1:20" ht="16.5" customHeight="1" x14ac:dyDescent="0.25">
      <c r="A466" s="5" t="s">
        <v>7075</v>
      </c>
      <c r="B466" s="16" t="s">
        <v>7431</v>
      </c>
      <c r="C466" s="4" t="s">
        <v>8797</v>
      </c>
      <c r="D466" s="4" t="s">
        <v>8968</v>
      </c>
      <c r="E466" s="12" t="s">
        <v>406</v>
      </c>
      <c r="F466" s="75" t="s">
        <v>7777</v>
      </c>
      <c r="G466" s="3">
        <v>32</v>
      </c>
      <c r="H466" s="3" t="s">
        <v>404</v>
      </c>
      <c r="I466" s="68" t="s">
        <v>7794</v>
      </c>
      <c r="J466" s="72">
        <v>1.35</v>
      </c>
      <c r="K466" s="14" t="s">
        <v>7796</v>
      </c>
      <c r="L466" s="9">
        <v>149.58000000000001</v>
      </c>
      <c r="M466" s="3">
        <v>192.9</v>
      </c>
      <c r="N466" s="66" t="s">
        <v>7992</v>
      </c>
      <c r="O466" s="5" t="s">
        <v>8484</v>
      </c>
      <c r="P466" s="49">
        <f t="shared" si="29"/>
        <v>2.2558491598652868</v>
      </c>
      <c r="Q466" s="1">
        <f t="shared" si="30"/>
        <v>2.8474641301396515</v>
      </c>
      <c r="R466" s="1">
        <f t="shared" si="32"/>
        <v>2.9782177199623181</v>
      </c>
      <c r="S466" s="10">
        <f t="shared" si="31"/>
        <v>2.5516566450024691</v>
      </c>
      <c r="T466" s="45" cm="1">
        <f t="array" ref="T466">SUMPRODUCT(P466:S466 * P$3:S$3) / SUM(P$3:S$3)</f>
        <v>2.6627902696327816</v>
      </c>
    </row>
    <row r="467" spans="1:20" ht="16.5" customHeight="1" x14ac:dyDescent="0.25">
      <c r="A467" s="5" t="s">
        <v>7087</v>
      </c>
      <c r="B467" s="16" t="s">
        <v>7454</v>
      </c>
      <c r="C467" s="4" t="s">
        <v>8797</v>
      </c>
      <c r="D467" s="4" t="s">
        <v>8968</v>
      </c>
      <c r="E467" s="12" t="s">
        <v>406</v>
      </c>
      <c r="F467" s="75" t="s">
        <v>7777</v>
      </c>
      <c r="G467" s="3">
        <v>32</v>
      </c>
      <c r="H467" s="3" t="s">
        <v>404</v>
      </c>
      <c r="I467" s="68" t="s">
        <v>7794</v>
      </c>
      <c r="J467" s="72">
        <v>1.35</v>
      </c>
      <c r="K467" s="14" t="s">
        <v>7797</v>
      </c>
      <c r="L467" s="9">
        <v>143.81</v>
      </c>
      <c r="M467" s="3">
        <v>315.82</v>
      </c>
      <c r="N467" s="66" t="s">
        <v>8015</v>
      </c>
      <c r="O467" s="5" t="s">
        <v>8500</v>
      </c>
      <c r="P467" s="49">
        <f t="shared" si="29"/>
        <v>2.2558491598652868</v>
      </c>
      <c r="Q467" s="1">
        <f t="shared" si="30"/>
        <v>2.8474641301396515</v>
      </c>
      <c r="R467" s="1">
        <f t="shared" si="32"/>
        <v>2.9782177199623181</v>
      </c>
      <c r="S467" s="10">
        <f t="shared" si="31"/>
        <v>2.5516566450024691</v>
      </c>
      <c r="T467" s="45" cm="1">
        <f t="array" ref="T467">SUMPRODUCT(P467:S467 * P$3:S$3) / SUM(P$3:S$3)</f>
        <v>2.6627902696327816</v>
      </c>
    </row>
    <row r="468" spans="1:20" ht="16.5" customHeight="1" x14ac:dyDescent="0.25">
      <c r="A468" s="5" t="s">
        <v>7031</v>
      </c>
      <c r="B468" s="16" t="s">
        <v>7337</v>
      </c>
      <c r="C468" s="4" t="s">
        <v>8798</v>
      </c>
      <c r="D468" s="4" t="s">
        <v>8968</v>
      </c>
      <c r="E468" s="12" t="s">
        <v>406</v>
      </c>
      <c r="F468" s="75" t="s">
        <v>7777</v>
      </c>
      <c r="G468" s="3">
        <v>32</v>
      </c>
      <c r="H468" s="3" t="s">
        <v>404</v>
      </c>
      <c r="I468" s="68" t="s">
        <v>7794</v>
      </c>
      <c r="J468" s="72">
        <v>1.35</v>
      </c>
      <c r="K468" s="14" t="s">
        <v>5476</v>
      </c>
      <c r="L468" s="9">
        <v>149.9</v>
      </c>
      <c r="M468" s="3">
        <v>330</v>
      </c>
      <c r="N468" s="66" t="s">
        <v>7898</v>
      </c>
      <c r="O468" s="5" t="s">
        <v>8403</v>
      </c>
      <c r="P468" s="49">
        <f t="shared" si="29"/>
        <v>2.2558491598652868</v>
      </c>
      <c r="Q468" s="1">
        <f t="shared" si="30"/>
        <v>2.8474641301396515</v>
      </c>
      <c r="R468" s="1">
        <f t="shared" si="32"/>
        <v>2.9782177199623181</v>
      </c>
      <c r="S468" s="10">
        <f t="shared" si="31"/>
        <v>2.5516566450024691</v>
      </c>
      <c r="T468" s="45" cm="1">
        <f t="array" ref="T468">SUMPRODUCT(P468:S468 * P$3:S$3) / SUM(P$3:S$3)</f>
        <v>2.6627902696327816</v>
      </c>
    </row>
    <row r="469" spans="1:20" ht="16.5" customHeight="1" x14ac:dyDescent="0.25">
      <c r="A469" s="5" t="s">
        <v>7031</v>
      </c>
      <c r="B469" s="16" t="s">
        <v>7372</v>
      </c>
      <c r="C469" s="4" t="s">
        <v>8798</v>
      </c>
      <c r="D469" s="4" t="s">
        <v>8968</v>
      </c>
      <c r="E469" s="12" t="s">
        <v>406</v>
      </c>
      <c r="F469" s="75" t="s">
        <v>7777</v>
      </c>
      <c r="G469" s="3">
        <v>32</v>
      </c>
      <c r="H469" s="3" t="s">
        <v>404</v>
      </c>
      <c r="I469" s="68" t="s">
        <v>7794</v>
      </c>
      <c r="J469" s="72">
        <v>1.35</v>
      </c>
      <c r="L469" s="9">
        <v>128.9</v>
      </c>
      <c r="M469" s="3">
        <v>193</v>
      </c>
      <c r="N469" s="66" t="s">
        <v>7933</v>
      </c>
      <c r="O469" s="5" t="s">
        <v>8428</v>
      </c>
      <c r="P469" s="49">
        <f t="shared" si="29"/>
        <v>2.2558491598652868</v>
      </c>
      <c r="Q469" s="1">
        <f t="shared" si="30"/>
        <v>2.8474641301396515</v>
      </c>
      <c r="R469" s="1">
        <f t="shared" si="32"/>
        <v>2.9782177199623181</v>
      </c>
      <c r="S469" s="10">
        <f t="shared" si="31"/>
        <v>2.5516566450024691</v>
      </c>
      <c r="T469" s="45" cm="1">
        <f t="array" ref="T469">SUMPRODUCT(P469:S469 * P$3:S$3) / SUM(P$3:S$3)</f>
        <v>2.6627902696327816</v>
      </c>
    </row>
    <row r="470" spans="1:20" ht="16.5" customHeight="1" x14ac:dyDescent="0.25">
      <c r="A470" s="5" t="s">
        <v>6991</v>
      </c>
      <c r="B470" s="16" t="s">
        <v>7264</v>
      </c>
      <c r="C470" s="4" t="s">
        <v>8798</v>
      </c>
      <c r="D470" s="4" t="s">
        <v>8968</v>
      </c>
      <c r="E470" s="12" t="s">
        <v>406</v>
      </c>
      <c r="F470" s="75" t="s">
        <v>7777</v>
      </c>
      <c r="G470" s="3">
        <v>32</v>
      </c>
      <c r="H470" s="3" t="s">
        <v>404</v>
      </c>
      <c r="I470" s="68" t="s">
        <v>7794</v>
      </c>
      <c r="J470" s="72">
        <v>1.35</v>
      </c>
      <c r="K470" s="14" t="s">
        <v>5476</v>
      </c>
      <c r="L470" s="9">
        <v>153.9</v>
      </c>
      <c r="M470" s="3">
        <v>225.46</v>
      </c>
      <c r="N470" s="66" t="s">
        <v>7825</v>
      </c>
      <c r="O470" s="5" t="s">
        <v>8346</v>
      </c>
      <c r="P470" s="49">
        <f t="shared" si="29"/>
        <v>2.2558491598652868</v>
      </c>
      <c r="Q470" s="1">
        <f t="shared" si="30"/>
        <v>2.8474641301396515</v>
      </c>
      <c r="R470" s="1">
        <f t="shared" si="32"/>
        <v>2.9782177199623181</v>
      </c>
      <c r="S470" s="10">
        <f t="shared" si="31"/>
        <v>2.5516566450024691</v>
      </c>
      <c r="T470" s="45" cm="1">
        <f t="array" ref="T470">SUMPRODUCT(P470:S470 * P$3:S$3) / SUM(P$3:S$3)</f>
        <v>2.6627902696327816</v>
      </c>
    </row>
    <row r="471" spans="1:20" ht="16.5" customHeight="1" x14ac:dyDescent="0.25">
      <c r="A471" s="5" t="s">
        <v>6991</v>
      </c>
      <c r="B471" s="16" t="s">
        <v>7296</v>
      </c>
      <c r="C471" s="4" t="s">
        <v>8798</v>
      </c>
      <c r="D471" s="4" t="s">
        <v>8968</v>
      </c>
      <c r="E471" s="12" t="s">
        <v>406</v>
      </c>
      <c r="F471" s="75" t="s">
        <v>7777</v>
      </c>
      <c r="G471" s="3">
        <v>32</v>
      </c>
      <c r="H471" s="3" t="s">
        <v>404</v>
      </c>
      <c r="I471" s="68" t="s">
        <v>7794</v>
      </c>
      <c r="J471" s="72">
        <v>1.35</v>
      </c>
      <c r="L471" s="9">
        <v>133.9</v>
      </c>
      <c r="M471" s="3">
        <v>196.14</v>
      </c>
      <c r="N471" s="66" t="s">
        <v>7857</v>
      </c>
      <c r="O471" s="5" t="s">
        <v>8369</v>
      </c>
      <c r="P471" s="49">
        <f t="shared" si="29"/>
        <v>2.2558491598652868</v>
      </c>
      <c r="Q471" s="1">
        <f t="shared" si="30"/>
        <v>2.8474641301396515</v>
      </c>
      <c r="R471" s="1">
        <f t="shared" si="32"/>
        <v>2.9782177199623181</v>
      </c>
      <c r="S471" s="10">
        <f t="shared" si="31"/>
        <v>2.5516566450024691</v>
      </c>
      <c r="T471" s="45" cm="1">
        <f t="array" ref="T471">SUMPRODUCT(P471:S471 * P$3:S$3) / SUM(P$3:S$3)</f>
        <v>2.6627902696327816</v>
      </c>
    </row>
    <row r="472" spans="1:20" ht="16.5" customHeight="1" x14ac:dyDescent="0.25">
      <c r="A472" s="5" t="s">
        <v>7237</v>
      </c>
      <c r="B472" s="16" t="s">
        <v>7753</v>
      </c>
      <c r="C472" s="4" t="s">
        <v>8796</v>
      </c>
      <c r="D472" s="4" t="s">
        <v>8969</v>
      </c>
      <c r="E472" s="12" t="s">
        <v>406</v>
      </c>
      <c r="F472" s="75" t="s">
        <v>7777</v>
      </c>
      <c r="G472" s="3">
        <v>32</v>
      </c>
      <c r="H472" s="3" t="s">
        <v>419</v>
      </c>
      <c r="I472" s="68" t="s">
        <v>7794</v>
      </c>
      <c r="J472" s="72">
        <v>1.35</v>
      </c>
      <c r="K472" s="14" t="s">
        <v>7804</v>
      </c>
      <c r="L472" s="9">
        <v>447.97</v>
      </c>
      <c r="M472" s="3">
        <v>631.39</v>
      </c>
      <c r="N472" s="66" t="s">
        <v>8314</v>
      </c>
      <c r="O472" s="5" t="s">
        <v>8755</v>
      </c>
      <c r="P472" s="49">
        <f t="shared" si="29"/>
        <v>2.3087430328555634</v>
      </c>
      <c r="Q472" s="1">
        <f t="shared" si="30"/>
        <v>2.8858596140524004</v>
      </c>
      <c r="R472" s="1">
        <f t="shared" si="32"/>
        <v>3.0120531437286346</v>
      </c>
      <c r="S472" s="10">
        <f t="shared" si="31"/>
        <v>2.5973013234539817</v>
      </c>
      <c r="T472" s="45" cm="1">
        <f t="array" ref="T472">SUMPRODUCT(P472:S472 * P$3:S$3) / SUM(P$3:S$3)</f>
        <v>2.7055028789729159</v>
      </c>
    </row>
    <row r="473" spans="1:20" ht="16.5" customHeight="1" x14ac:dyDescent="0.25">
      <c r="A473" s="5" t="s">
        <v>7180</v>
      </c>
      <c r="B473" s="16" t="s">
        <v>7568</v>
      </c>
      <c r="C473" s="4" t="s">
        <v>8796</v>
      </c>
      <c r="D473" s="4" t="s">
        <v>8969</v>
      </c>
      <c r="E473" s="12" t="s">
        <v>406</v>
      </c>
      <c r="F473" s="75" t="s">
        <v>7777</v>
      </c>
      <c r="G473" s="3">
        <v>32</v>
      </c>
      <c r="H473" s="3" t="s">
        <v>419</v>
      </c>
      <c r="I473" s="68" t="s">
        <v>7794</v>
      </c>
      <c r="J473" s="72">
        <v>1.35</v>
      </c>
      <c r="K473" s="14" t="s">
        <v>6175</v>
      </c>
      <c r="L473" s="9">
        <v>282</v>
      </c>
      <c r="M473" s="3">
        <v>506</v>
      </c>
      <c r="N473" s="66" t="s">
        <v>8129</v>
      </c>
      <c r="O473" s="5" t="s">
        <v>8603</v>
      </c>
      <c r="P473" s="49">
        <f t="shared" si="29"/>
        <v>2.3087430328555634</v>
      </c>
      <c r="Q473" s="1">
        <f t="shared" si="30"/>
        <v>2.8858596140524004</v>
      </c>
      <c r="R473" s="1">
        <f t="shared" si="32"/>
        <v>3.0120531437286346</v>
      </c>
      <c r="S473" s="10">
        <f t="shared" si="31"/>
        <v>2.5973013234539817</v>
      </c>
      <c r="T473" s="45" cm="1">
        <f t="array" ref="T473">SUMPRODUCT(P473:S473 * P$3:S$3) / SUM(P$3:S$3)</f>
        <v>2.7055028789729159</v>
      </c>
    </row>
    <row r="474" spans="1:20" ht="16.5" customHeight="1" x14ac:dyDescent="0.25">
      <c r="A474" s="5" t="s">
        <v>7180</v>
      </c>
      <c r="B474" s="16" t="s">
        <v>7629</v>
      </c>
      <c r="C474" s="4" t="s">
        <v>8796</v>
      </c>
      <c r="D474" s="4" t="s">
        <v>8969</v>
      </c>
      <c r="E474" s="12" t="s">
        <v>406</v>
      </c>
      <c r="F474" s="75" t="s">
        <v>7777</v>
      </c>
      <c r="G474" s="3">
        <v>32</v>
      </c>
      <c r="H474" s="3" t="s">
        <v>419</v>
      </c>
      <c r="I474" s="68" t="s">
        <v>7794</v>
      </c>
      <c r="J474" s="72">
        <v>1.35</v>
      </c>
      <c r="K474" s="14" t="s">
        <v>6175</v>
      </c>
      <c r="L474" s="9">
        <v>314.91000000000003</v>
      </c>
      <c r="M474" s="3">
        <v>634.61</v>
      </c>
      <c r="N474" s="66" t="s">
        <v>8190</v>
      </c>
      <c r="O474" s="5" t="s">
        <v>8650</v>
      </c>
      <c r="P474" s="49">
        <f t="shared" si="29"/>
        <v>2.3087430328555634</v>
      </c>
      <c r="Q474" s="1">
        <f t="shared" si="30"/>
        <v>2.8858596140524004</v>
      </c>
      <c r="R474" s="1">
        <f t="shared" si="32"/>
        <v>3.0120531437286346</v>
      </c>
      <c r="S474" s="10">
        <f t="shared" si="31"/>
        <v>2.5973013234539817</v>
      </c>
      <c r="T474" s="45" cm="1">
        <f t="array" ref="T474">SUMPRODUCT(P474:S474 * P$3:S$3) / SUM(P$3:S$3)</f>
        <v>2.7055028789729159</v>
      </c>
    </row>
    <row r="475" spans="1:20" ht="16.5" customHeight="1" x14ac:dyDescent="0.25">
      <c r="A475" s="5" t="s">
        <v>7180</v>
      </c>
      <c r="B475" s="16" t="s">
        <v>7670</v>
      </c>
      <c r="C475" s="4" t="s">
        <v>8796</v>
      </c>
      <c r="D475" s="4" t="s">
        <v>8969</v>
      </c>
      <c r="E475" s="12" t="s">
        <v>406</v>
      </c>
      <c r="F475" s="75" t="s">
        <v>7777</v>
      </c>
      <c r="G475" s="3">
        <v>32</v>
      </c>
      <c r="H475" s="3" t="s">
        <v>419</v>
      </c>
      <c r="I475" s="68" t="s">
        <v>7794</v>
      </c>
      <c r="J475" s="72">
        <v>1.35</v>
      </c>
      <c r="L475" s="9">
        <v>279.79000000000002</v>
      </c>
      <c r="M475" s="3">
        <v>610.36</v>
      </c>
      <c r="N475" s="66" t="s">
        <v>8231</v>
      </c>
      <c r="O475" s="5" t="s">
        <v>8685</v>
      </c>
      <c r="P475" s="49">
        <f t="shared" si="29"/>
        <v>2.3087430328555634</v>
      </c>
      <c r="Q475" s="1">
        <f t="shared" si="30"/>
        <v>2.8858596140524004</v>
      </c>
      <c r="R475" s="1">
        <f t="shared" si="32"/>
        <v>3.0120531437286346</v>
      </c>
      <c r="S475" s="10">
        <f t="shared" si="31"/>
        <v>2.5973013234539817</v>
      </c>
      <c r="T475" s="45" cm="1">
        <f t="array" ref="T475">SUMPRODUCT(P475:S475 * P$3:S$3) / SUM(P$3:S$3)</f>
        <v>2.7055028789729159</v>
      </c>
    </row>
    <row r="476" spans="1:20" ht="16.5" customHeight="1" x14ac:dyDescent="0.25">
      <c r="A476" s="5" t="s">
        <v>7101</v>
      </c>
      <c r="B476" s="16" t="s">
        <v>7472</v>
      </c>
      <c r="C476" s="4" t="s">
        <v>8797</v>
      </c>
      <c r="D476" s="4" t="s">
        <v>8969</v>
      </c>
      <c r="E476" s="12" t="s">
        <v>406</v>
      </c>
      <c r="F476" s="75" t="s">
        <v>7777</v>
      </c>
      <c r="G476" s="3">
        <v>32</v>
      </c>
      <c r="H476" s="3" t="s">
        <v>419</v>
      </c>
      <c r="I476" s="68" t="s">
        <v>7794</v>
      </c>
      <c r="J476" s="72">
        <v>1.35</v>
      </c>
      <c r="K476" s="14" t="s">
        <v>450</v>
      </c>
      <c r="L476" s="9">
        <v>229.8</v>
      </c>
      <c r="M476" s="3">
        <v>449.37</v>
      </c>
      <c r="N476" s="66" t="s">
        <v>8033</v>
      </c>
      <c r="O476" s="5" t="s">
        <v>8515</v>
      </c>
      <c r="P476" s="49">
        <f t="shared" si="29"/>
        <v>2.3087430328555634</v>
      </c>
      <c r="Q476" s="1">
        <f t="shared" si="30"/>
        <v>2.8858596140524004</v>
      </c>
      <c r="R476" s="1">
        <f t="shared" si="32"/>
        <v>3.0120531437286346</v>
      </c>
      <c r="S476" s="10">
        <f t="shared" si="31"/>
        <v>2.5973013234539817</v>
      </c>
      <c r="T476" s="45" cm="1">
        <f t="array" ref="T476">SUMPRODUCT(P476:S476 * P$3:S$3) / SUM(P$3:S$3)</f>
        <v>2.7055028789729159</v>
      </c>
    </row>
    <row r="477" spans="1:20" ht="16.5" customHeight="1" x14ac:dyDescent="0.25">
      <c r="A477" s="5" t="s">
        <v>7101</v>
      </c>
      <c r="B477" s="16" t="s">
        <v>7473</v>
      </c>
      <c r="C477" s="4" t="s">
        <v>8797</v>
      </c>
      <c r="D477" s="4" t="s">
        <v>8969</v>
      </c>
      <c r="E477" s="12" t="s">
        <v>406</v>
      </c>
      <c r="F477" s="75" t="s">
        <v>7777</v>
      </c>
      <c r="G477" s="3">
        <v>32</v>
      </c>
      <c r="H477" s="3" t="s">
        <v>419</v>
      </c>
      <c r="I477" s="68" t="s">
        <v>260</v>
      </c>
      <c r="J477" s="72">
        <v>1.45</v>
      </c>
      <c r="L477" s="9">
        <v>283.81</v>
      </c>
      <c r="M477" s="3">
        <v>378.66</v>
      </c>
      <c r="N477" s="66" t="s">
        <v>8034</v>
      </c>
      <c r="O477" s="5" t="s">
        <v>8516</v>
      </c>
      <c r="P477" s="49">
        <f t="shared" si="29"/>
        <v>2.320132659238987</v>
      </c>
      <c r="Q477" s="1">
        <f t="shared" si="30"/>
        <v>2.8896351266654441</v>
      </c>
      <c r="R477" s="1">
        <f t="shared" si="32"/>
        <v>3.0158286563416783</v>
      </c>
      <c r="S477" s="10">
        <f t="shared" si="31"/>
        <v>2.6048838929522153</v>
      </c>
      <c r="T477" s="45" cm="1">
        <f t="array" ref="T477">SUMPRODUCT(P477:S477 * P$3:S$3) / SUM(P$3:S$3)</f>
        <v>2.7119140463526299</v>
      </c>
    </row>
    <row r="478" spans="1:20" ht="16.5" customHeight="1" x14ac:dyDescent="0.25">
      <c r="A478" s="5" t="s">
        <v>7028</v>
      </c>
      <c r="B478" s="16" t="s">
        <v>7334</v>
      </c>
      <c r="C478" s="4" t="s">
        <v>8798</v>
      </c>
      <c r="D478" s="4" t="s">
        <v>8969</v>
      </c>
      <c r="E478" s="12" t="s">
        <v>406</v>
      </c>
      <c r="F478" s="75" t="s">
        <v>7777</v>
      </c>
      <c r="G478" s="3">
        <v>32</v>
      </c>
      <c r="H478" s="3" t="s">
        <v>419</v>
      </c>
      <c r="I478" s="68" t="s">
        <v>7794</v>
      </c>
      <c r="J478" s="72">
        <v>1.35</v>
      </c>
      <c r="K478" s="14" t="s">
        <v>5476</v>
      </c>
      <c r="L478" s="9">
        <v>299</v>
      </c>
      <c r="M478" s="3">
        <v>400.16</v>
      </c>
      <c r="N478" s="66" t="s">
        <v>7895</v>
      </c>
      <c r="O478" s="5" t="s">
        <v>8401</v>
      </c>
      <c r="P478" s="49">
        <f t="shared" si="29"/>
        <v>2.3087430328555634</v>
      </c>
      <c r="Q478" s="1">
        <f t="shared" si="30"/>
        <v>2.8858596140524004</v>
      </c>
      <c r="R478" s="1">
        <f t="shared" si="32"/>
        <v>3.0120531437286346</v>
      </c>
      <c r="S478" s="10">
        <f t="shared" si="31"/>
        <v>2.5973013234539817</v>
      </c>
      <c r="T478" s="45" cm="1">
        <f t="array" ref="T478">SUMPRODUCT(P478:S478 * P$3:S$3) / SUM(P$3:S$3)</f>
        <v>2.7055028789729159</v>
      </c>
    </row>
    <row r="479" spans="1:20" ht="16.5" customHeight="1" x14ac:dyDescent="0.25">
      <c r="A479" s="5" t="s">
        <v>7028</v>
      </c>
      <c r="B479" s="16" t="s">
        <v>7369</v>
      </c>
      <c r="C479" s="4" t="s">
        <v>8798</v>
      </c>
      <c r="D479" s="4" t="s">
        <v>8969</v>
      </c>
      <c r="E479" s="12" t="s">
        <v>406</v>
      </c>
      <c r="F479" s="75" t="s">
        <v>7777</v>
      </c>
      <c r="G479" s="3">
        <v>32</v>
      </c>
      <c r="H479" s="3" t="s">
        <v>419</v>
      </c>
      <c r="I479" s="68" t="s">
        <v>7794</v>
      </c>
      <c r="J479" s="72">
        <v>1.35</v>
      </c>
      <c r="L479" s="9">
        <v>263.23</v>
      </c>
      <c r="M479" s="3">
        <v>389</v>
      </c>
      <c r="N479" s="66" t="s">
        <v>7930</v>
      </c>
      <c r="O479" s="5" t="s">
        <v>8426</v>
      </c>
      <c r="P479" s="49">
        <f t="shared" si="29"/>
        <v>2.3087430328555634</v>
      </c>
      <c r="Q479" s="1">
        <f t="shared" si="30"/>
        <v>2.8858596140524004</v>
      </c>
      <c r="R479" s="1">
        <f t="shared" si="32"/>
        <v>3.0120531437286346</v>
      </c>
      <c r="S479" s="10">
        <f t="shared" si="31"/>
        <v>2.5973013234539817</v>
      </c>
      <c r="T479" s="45" cm="1">
        <f t="array" ref="T479">SUMPRODUCT(P479:S479 * P$3:S$3) / SUM(P$3:S$3)</f>
        <v>2.7055028789729159</v>
      </c>
    </row>
    <row r="480" spans="1:20" ht="16.5" customHeight="1" x14ac:dyDescent="0.25">
      <c r="A480" s="5" t="s">
        <v>7014</v>
      </c>
      <c r="B480" s="16" t="s">
        <v>7295</v>
      </c>
      <c r="C480" s="4" t="s">
        <v>8798</v>
      </c>
      <c r="D480" s="4" t="s">
        <v>8969</v>
      </c>
      <c r="E480" s="12" t="s">
        <v>406</v>
      </c>
      <c r="F480" s="75" t="s">
        <v>7777</v>
      </c>
      <c r="G480" s="3">
        <v>32</v>
      </c>
      <c r="H480" s="3" t="s">
        <v>419</v>
      </c>
      <c r="I480" s="68" t="s">
        <v>7794</v>
      </c>
      <c r="J480" s="72">
        <v>1.35</v>
      </c>
      <c r="L480" s="9">
        <v>282</v>
      </c>
      <c r="M480" s="3">
        <v>379.51</v>
      </c>
      <c r="N480" s="66" t="s">
        <v>7856</v>
      </c>
      <c r="O480" s="5" t="s">
        <v>8368</v>
      </c>
      <c r="P480" s="49">
        <f t="shared" si="29"/>
        <v>2.3087430328555634</v>
      </c>
      <c r="Q480" s="1">
        <f t="shared" si="30"/>
        <v>2.8858596140524004</v>
      </c>
      <c r="R480" s="1">
        <f t="shared" si="32"/>
        <v>3.0120531437286346</v>
      </c>
      <c r="S480" s="10">
        <f t="shared" si="31"/>
        <v>2.5973013234539817</v>
      </c>
      <c r="T480" s="45" cm="1">
        <f t="array" ref="T480">SUMPRODUCT(P480:S480 * P$3:S$3) / SUM(P$3:S$3)</f>
        <v>2.7055028789729159</v>
      </c>
    </row>
    <row r="481" spans="1:20" ht="16.5" customHeight="1" x14ac:dyDescent="0.25">
      <c r="A481" s="5" t="s">
        <v>7179</v>
      </c>
      <c r="B481" s="16" t="s">
        <v>7567</v>
      </c>
      <c r="C481" s="4" t="s">
        <v>8796</v>
      </c>
      <c r="D481" s="4" t="s">
        <v>9073</v>
      </c>
      <c r="E481" s="12" t="s">
        <v>406</v>
      </c>
      <c r="F481" s="75" t="s">
        <v>7777</v>
      </c>
      <c r="G481" s="3">
        <v>32</v>
      </c>
      <c r="H481" s="3" t="s">
        <v>193</v>
      </c>
      <c r="I481" s="68" t="s">
        <v>7794</v>
      </c>
      <c r="J481" s="72">
        <v>1.35</v>
      </c>
      <c r="K481" s="14" t="s">
        <v>6175</v>
      </c>
      <c r="L481" s="9">
        <v>1197.9000000000001</v>
      </c>
      <c r="M481" s="3">
        <v>1457.45</v>
      </c>
      <c r="N481" s="66" t="s">
        <v>8128</v>
      </c>
      <c r="O481" s="5" t="s">
        <v>8602</v>
      </c>
      <c r="P481" s="49">
        <f t="shared" si="29"/>
        <v>2.4145307788361166</v>
      </c>
      <c r="Q481" s="1">
        <f t="shared" si="30"/>
        <v>2.9626505818778983</v>
      </c>
      <c r="R481" s="1">
        <f t="shared" si="32"/>
        <v>3.0797239912612682</v>
      </c>
      <c r="S481" s="10">
        <f t="shared" si="31"/>
        <v>2.6885906803570072</v>
      </c>
      <c r="T481" s="45" cm="1">
        <f t="array" ref="T481">SUMPRODUCT(P481:S481 * P$3:S$3) / SUM(P$3:S$3)</f>
        <v>2.7909280976531843</v>
      </c>
    </row>
    <row r="482" spans="1:20" ht="16.5" customHeight="1" x14ac:dyDescent="0.25">
      <c r="A482" s="5" t="s">
        <v>7179</v>
      </c>
      <c r="B482" s="16" t="s">
        <v>7668</v>
      </c>
      <c r="C482" s="4" t="s">
        <v>8796</v>
      </c>
      <c r="D482" s="4" t="s">
        <v>9073</v>
      </c>
      <c r="E482" s="12" t="s">
        <v>406</v>
      </c>
      <c r="F482" s="75" t="s">
        <v>7777</v>
      </c>
      <c r="G482" s="3">
        <v>32</v>
      </c>
      <c r="H482" s="3" t="s">
        <v>193</v>
      </c>
      <c r="I482" s="68" t="s">
        <v>7794</v>
      </c>
      <c r="J482" s="72">
        <v>1.35</v>
      </c>
      <c r="L482" s="9">
        <v>664</v>
      </c>
      <c r="M482" s="3">
        <v>1982.18</v>
      </c>
      <c r="N482" s="66" t="s">
        <v>8229</v>
      </c>
      <c r="O482" s="5" t="s">
        <v>8683</v>
      </c>
      <c r="P482" s="49">
        <f t="shared" si="29"/>
        <v>2.4145307788361166</v>
      </c>
      <c r="Q482" s="1">
        <f t="shared" si="30"/>
        <v>2.9626505818778983</v>
      </c>
      <c r="R482" s="1">
        <f t="shared" si="32"/>
        <v>3.0797239912612682</v>
      </c>
      <c r="S482" s="10">
        <f t="shared" si="31"/>
        <v>2.6885906803570072</v>
      </c>
      <c r="T482" s="45" cm="1">
        <f t="array" ref="T482">SUMPRODUCT(P482:S482 * P$3:S$3) / SUM(P$3:S$3)</f>
        <v>2.7909280976531843</v>
      </c>
    </row>
    <row r="483" spans="1:20" ht="16.5" customHeight="1" x14ac:dyDescent="0.25">
      <c r="A483" s="5" t="s">
        <v>7099</v>
      </c>
      <c r="B483" s="16" t="s">
        <v>7470</v>
      </c>
      <c r="C483" s="4" t="s">
        <v>8797</v>
      </c>
      <c r="D483" s="4" t="s">
        <v>9073</v>
      </c>
      <c r="E483" s="12" t="s">
        <v>406</v>
      </c>
      <c r="F483" s="75" t="s">
        <v>7777</v>
      </c>
      <c r="G483" s="3">
        <v>32</v>
      </c>
      <c r="H483" s="3" t="s">
        <v>193</v>
      </c>
      <c r="I483" s="68" t="s">
        <v>7794</v>
      </c>
      <c r="J483" s="72">
        <v>1.35</v>
      </c>
      <c r="L483" s="9">
        <v>456.88</v>
      </c>
      <c r="M483" s="3">
        <v>614.74</v>
      </c>
      <c r="N483" s="66" t="s">
        <v>8031</v>
      </c>
      <c r="O483" s="5" t="s">
        <v>8513</v>
      </c>
      <c r="P483" s="49">
        <f t="shared" si="29"/>
        <v>2.4145307788361166</v>
      </c>
      <c r="Q483" s="1">
        <f t="shared" si="30"/>
        <v>2.9626505818778983</v>
      </c>
      <c r="R483" s="1">
        <f t="shared" si="32"/>
        <v>3.0797239912612682</v>
      </c>
      <c r="S483" s="10">
        <f t="shared" si="31"/>
        <v>2.6885906803570072</v>
      </c>
      <c r="T483" s="45" cm="1">
        <f t="array" ref="T483">SUMPRODUCT(P483:S483 * P$3:S$3) / SUM(P$3:S$3)</f>
        <v>2.7909280976531843</v>
      </c>
    </row>
    <row r="484" spans="1:20" ht="16.5" customHeight="1" x14ac:dyDescent="0.25">
      <c r="A484" s="5" t="s">
        <v>7046</v>
      </c>
      <c r="B484" s="16" t="s">
        <v>7364</v>
      </c>
      <c r="C484" s="4" t="s">
        <v>8798</v>
      </c>
      <c r="D484" s="4" t="s">
        <v>8970</v>
      </c>
      <c r="E484" s="12" t="s">
        <v>406</v>
      </c>
      <c r="F484" s="75" t="s">
        <v>7784</v>
      </c>
      <c r="G484" s="3">
        <v>8</v>
      </c>
      <c r="H484" s="3" t="s">
        <v>6736</v>
      </c>
      <c r="I484" s="68" t="s">
        <v>7792</v>
      </c>
      <c r="J484" s="72">
        <v>1.35</v>
      </c>
      <c r="K484" s="14" t="s">
        <v>5476</v>
      </c>
      <c r="L484" s="9">
        <v>39.99</v>
      </c>
      <c r="M484" s="3">
        <v>51.19</v>
      </c>
      <c r="N484" s="66" t="s">
        <v>7925</v>
      </c>
      <c r="O484" s="5" t="s">
        <v>8422</v>
      </c>
      <c r="P484" s="49">
        <f t="shared" si="29"/>
        <v>1.4436604034178799</v>
      </c>
      <c r="Q484" s="1">
        <f t="shared" si="30"/>
        <v>1.5082787851783472</v>
      </c>
      <c r="R484" s="1">
        <f t="shared" si="32"/>
        <v>1.5057882136662699</v>
      </c>
      <c r="S484" s="10">
        <f t="shared" si="31"/>
        <v>1.4759695942981135</v>
      </c>
      <c r="T484" s="45" cm="1">
        <f t="array" ref="T484">SUMPRODUCT(P484:S484 * P$3:S$3) / SUM(P$3:S$3)</f>
        <v>1.485527718951712</v>
      </c>
    </row>
    <row r="485" spans="1:20" ht="16.5" customHeight="1" x14ac:dyDescent="0.25">
      <c r="A485" s="5" t="s">
        <v>7046</v>
      </c>
      <c r="B485" s="16" t="s">
        <v>7365</v>
      </c>
      <c r="C485" s="4" t="s">
        <v>8798</v>
      </c>
      <c r="D485" s="4" t="s">
        <v>8970</v>
      </c>
      <c r="E485" s="12" t="s">
        <v>406</v>
      </c>
      <c r="F485" s="75" t="s">
        <v>7784</v>
      </c>
      <c r="G485" s="3">
        <v>8</v>
      </c>
      <c r="H485" s="3" t="s">
        <v>6736</v>
      </c>
      <c r="I485" s="68" t="s">
        <v>7792</v>
      </c>
      <c r="J485" s="72">
        <v>1.35</v>
      </c>
      <c r="K485" s="14" t="s">
        <v>5476</v>
      </c>
      <c r="L485" s="9">
        <v>41.93</v>
      </c>
      <c r="M485" s="3">
        <v>47.78</v>
      </c>
      <c r="N485" s="66" t="s">
        <v>7926</v>
      </c>
      <c r="O485" s="5" t="s">
        <v>8422</v>
      </c>
      <c r="P485" s="49">
        <f t="shared" si="29"/>
        <v>1.4436604034178799</v>
      </c>
      <c r="Q485" s="1">
        <f t="shared" si="30"/>
        <v>1.5082787851783472</v>
      </c>
      <c r="R485" s="1">
        <f t="shared" si="32"/>
        <v>1.5057882136662699</v>
      </c>
      <c r="S485" s="10">
        <f t="shared" si="31"/>
        <v>1.4759695942981135</v>
      </c>
      <c r="T485" s="45" cm="1">
        <f t="array" ref="T485">SUMPRODUCT(P485:S485 * P$3:S$3) / SUM(P$3:S$3)</f>
        <v>1.485527718951712</v>
      </c>
    </row>
    <row r="486" spans="1:20" ht="16.5" customHeight="1" x14ac:dyDescent="0.25">
      <c r="A486" s="5" t="s">
        <v>7046</v>
      </c>
      <c r="B486" s="16" t="s">
        <v>7396</v>
      </c>
      <c r="C486" s="4" t="s">
        <v>8798</v>
      </c>
      <c r="D486" s="4" t="s">
        <v>8970</v>
      </c>
      <c r="E486" s="12" t="s">
        <v>406</v>
      </c>
      <c r="F486" s="75" t="s">
        <v>7784</v>
      </c>
      <c r="G486" s="3">
        <v>8</v>
      </c>
      <c r="H486" s="3" t="s">
        <v>6736</v>
      </c>
      <c r="I486" s="68" t="s">
        <v>7792</v>
      </c>
      <c r="J486" s="72">
        <v>1.35</v>
      </c>
      <c r="L486" s="9">
        <v>36.9</v>
      </c>
      <c r="M486" s="3">
        <v>54.49</v>
      </c>
      <c r="N486" s="66" t="s">
        <v>7957</v>
      </c>
      <c r="O486" s="5" t="s">
        <v>8449</v>
      </c>
      <c r="P486" s="49">
        <f t="shared" si="29"/>
        <v>1.4436604034178799</v>
      </c>
      <c r="Q486" s="1">
        <f t="shared" si="30"/>
        <v>1.5082787851783472</v>
      </c>
      <c r="R486" s="1">
        <f t="shared" si="32"/>
        <v>1.5057882136662699</v>
      </c>
      <c r="S486" s="10">
        <f t="shared" si="31"/>
        <v>1.4759695942981135</v>
      </c>
      <c r="T486" s="45" cm="1">
        <f t="array" ref="T486">SUMPRODUCT(P486:S486 * P$3:S$3) / SUM(P$3:S$3)</f>
        <v>1.485527718951712</v>
      </c>
    </row>
    <row r="487" spans="1:20" ht="16.5" customHeight="1" x14ac:dyDescent="0.25">
      <c r="A487" s="5" t="s">
        <v>7042</v>
      </c>
      <c r="B487" s="16" t="s">
        <v>7355</v>
      </c>
      <c r="C487" s="4" t="s">
        <v>8798</v>
      </c>
      <c r="D487" s="4" t="s">
        <v>8971</v>
      </c>
      <c r="E487" s="12" t="s">
        <v>406</v>
      </c>
      <c r="F487" s="75" t="s">
        <v>7784</v>
      </c>
      <c r="G487" s="3">
        <v>16</v>
      </c>
      <c r="H487" s="3" t="s">
        <v>6736</v>
      </c>
      <c r="I487" s="68" t="s">
        <v>7792</v>
      </c>
      <c r="J487" s="72">
        <v>1.35</v>
      </c>
      <c r="K487" s="14" t="s">
        <v>5476</v>
      </c>
      <c r="L487" s="9">
        <v>141.44999999999999</v>
      </c>
      <c r="M487" s="3">
        <v>143.44999999999999</v>
      </c>
      <c r="N487" s="66" t="s">
        <v>7916</v>
      </c>
      <c r="O487" s="5" t="s">
        <v>8416</v>
      </c>
      <c r="P487" s="49">
        <f t="shared" si="29"/>
        <v>1.7480137120678751</v>
      </c>
      <c r="Q487" s="1">
        <f t="shared" si="30"/>
        <v>2.0155342995950059</v>
      </c>
      <c r="R487" s="1">
        <f t="shared" si="32"/>
        <v>2.0637692795245943</v>
      </c>
      <c r="S487" s="10">
        <f t="shared" si="31"/>
        <v>1.8817740058314407</v>
      </c>
      <c r="T487" s="45" cm="1">
        <f t="array" ref="T487">SUMPRODUCT(P487:S487 * P$3:S$3) / SUM(P$3:S$3)</f>
        <v>1.9303517854401666</v>
      </c>
    </row>
    <row r="488" spans="1:20" ht="16.5" customHeight="1" x14ac:dyDescent="0.25">
      <c r="A488" s="5" t="s">
        <v>7042</v>
      </c>
      <c r="B488" s="16" t="s">
        <v>7391</v>
      </c>
      <c r="C488" s="4" t="s">
        <v>8798</v>
      </c>
      <c r="D488" s="4" t="s">
        <v>8971</v>
      </c>
      <c r="E488" s="12" t="s">
        <v>406</v>
      </c>
      <c r="F488" s="75" t="s">
        <v>7784</v>
      </c>
      <c r="G488" s="3">
        <v>16</v>
      </c>
      <c r="H488" s="3" t="s">
        <v>6736</v>
      </c>
      <c r="I488" s="68" t="s">
        <v>7792</v>
      </c>
      <c r="J488" s="72">
        <v>1.35</v>
      </c>
      <c r="L488" s="9">
        <v>89.93</v>
      </c>
      <c r="M488" s="3">
        <v>90.68</v>
      </c>
      <c r="N488" s="66" t="s">
        <v>7952</v>
      </c>
      <c r="O488" s="5" t="s">
        <v>8444</v>
      </c>
      <c r="P488" s="49">
        <f t="shared" si="29"/>
        <v>1.7480137120678751</v>
      </c>
      <c r="Q488" s="1">
        <f t="shared" si="30"/>
        <v>2.0155342995950059</v>
      </c>
      <c r="R488" s="1">
        <f t="shared" si="32"/>
        <v>2.0637692795245943</v>
      </c>
      <c r="S488" s="10">
        <f t="shared" si="31"/>
        <v>1.8817740058314407</v>
      </c>
      <c r="T488" s="45" cm="1">
        <f t="array" ref="T488">SUMPRODUCT(P488:S488 * P$3:S$3) / SUM(P$3:S$3)</f>
        <v>1.9303517854401666</v>
      </c>
    </row>
    <row r="489" spans="1:20" ht="16.5" customHeight="1" x14ac:dyDescent="0.25">
      <c r="A489" s="5" t="s">
        <v>7010</v>
      </c>
      <c r="B489" s="16" t="s">
        <v>7288</v>
      </c>
      <c r="C489" s="4" t="s">
        <v>8798</v>
      </c>
      <c r="D489" s="4" t="s">
        <v>8972</v>
      </c>
      <c r="E489" s="12" t="s">
        <v>406</v>
      </c>
      <c r="F489" s="75" t="s">
        <v>7780</v>
      </c>
      <c r="G489" s="3">
        <v>8</v>
      </c>
      <c r="H489" s="3" t="s">
        <v>6736</v>
      </c>
      <c r="I489" s="68" t="s">
        <v>7792</v>
      </c>
      <c r="J489" s="72">
        <v>1.35</v>
      </c>
      <c r="K489" s="14" t="s">
        <v>5476</v>
      </c>
      <c r="L489" s="9">
        <v>72.900000000000006</v>
      </c>
      <c r="M489" s="3">
        <v>73.510000000000005</v>
      </c>
      <c r="N489" s="66" t="s">
        <v>7849</v>
      </c>
      <c r="O489" s="5" t="s">
        <v>8363</v>
      </c>
      <c r="P489" s="49">
        <f t="shared" si="29"/>
        <v>1.4817152037728665</v>
      </c>
      <c r="Q489" s="1">
        <f t="shared" si="30"/>
        <v>1.5368198854445871</v>
      </c>
      <c r="R489" s="1">
        <f t="shared" si="32"/>
        <v>1.5295724638881367</v>
      </c>
      <c r="S489" s="10">
        <f t="shared" si="31"/>
        <v>1.5092675446087269</v>
      </c>
      <c r="T489" s="45" cm="1">
        <f t="array" ref="T489">SUMPRODUCT(P489:S489 * P$3:S$3) / SUM(P$3:S$3)</f>
        <v>1.5166302000110763</v>
      </c>
    </row>
    <row r="490" spans="1:20" ht="16.5" customHeight="1" x14ac:dyDescent="0.25">
      <c r="A490" s="5" t="s">
        <v>7010</v>
      </c>
      <c r="B490" s="16" t="s">
        <v>7289</v>
      </c>
      <c r="C490" s="4" t="s">
        <v>8798</v>
      </c>
      <c r="D490" s="4" t="s">
        <v>8972</v>
      </c>
      <c r="E490" s="12" t="s">
        <v>406</v>
      </c>
      <c r="F490" s="75" t="s">
        <v>7780</v>
      </c>
      <c r="G490" s="3">
        <v>8</v>
      </c>
      <c r="H490" s="3" t="s">
        <v>6736</v>
      </c>
      <c r="I490" s="68" t="s">
        <v>7792</v>
      </c>
      <c r="J490" s="72">
        <v>1.35</v>
      </c>
      <c r="K490" s="14" t="s">
        <v>5476</v>
      </c>
      <c r="L490" s="9">
        <v>28.08</v>
      </c>
      <c r="M490" s="3">
        <v>54.7</v>
      </c>
      <c r="N490" s="66" t="s">
        <v>7850</v>
      </c>
      <c r="O490" s="5" t="s">
        <v>8363</v>
      </c>
      <c r="P490" s="49">
        <f t="shared" si="29"/>
        <v>1.4817152037728665</v>
      </c>
      <c r="Q490" s="1">
        <f t="shared" si="30"/>
        <v>1.5368198854445871</v>
      </c>
      <c r="R490" s="1">
        <f t="shared" si="32"/>
        <v>1.5295724638881367</v>
      </c>
      <c r="S490" s="10">
        <f t="shared" si="31"/>
        <v>1.5092675446087269</v>
      </c>
      <c r="T490" s="45" cm="1">
        <f t="array" ref="T490">SUMPRODUCT(P490:S490 * P$3:S$3) / SUM(P$3:S$3)</f>
        <v>1.5166302000110763</v>
      </c>
    </row>
    <row r="491" spans="1:20" ht="16.5" customHeight="1" x14ac:dyDescent="0.25">
      <c r="A491" s="5" t="s">
        <v>7010</v>
      </c>
      <c r="B491" s="16" t="s">
        <v>7324</v>
      </c>
      <c r="C491" s="4" t="s">
        <v>8798</v>
      </c>
      <c r="D491" s="4" t="s">
        <v>8972</v>
      </c>
      <c r="E491" s="12" t="s">
        <v>406</v>
      </c>
      <c r="F491" s="75" t="s">
        <v>7780</v>
      </c>
      <c r="G491" s="3">
        <v>8</v>
      </c>
      <c r="H491" s="3" t="s">
        <v>6736</v>
      </c>
      <c r="I491" s="68" t="s">
        <v>7792</v>
      </c>
      <c r="J491" s="72">
        <v>1.35</v>
      </c>
      <c r="L491" s="9">
        <v>34.43</v>
      </c>
      <c r="M491" s="3">
        <v>46.4</v>
      </c>
      <c r="N491" s="66" t="s">
        <v>7885</v>
      </c>
      <c r="O491" s="5" t="s">
        <v>8392</v>
      </c>
      <c r="P491" s="49">
        <f t="shared" si="29"/>
        <v>1.4817152037728665</v>
      </c>
      <c r="Q491" s="1">
        <f t="shared" si="30"/>
        <v>1.5368198854445871</v>
      </c>
      <c r="R491" s="1">
        <f t="shared" si="32"/>
        <v>1.5295724638881367</v>
      </c>
      <c r="S491" s="10">
        <f t="shared" si="31"/>
        <v>1.5092675446087269</v>
      </c>
      <c r="T491" s="45" cm="1">
        <f t="array" ref="T491">SUMPRODUCT(P491:S491 * P$3:S$3) / SUM(P$3:S$3)</f>
        <v>1.5166302000110763</v>
      </c>
    </row>
    <row r="492" spans="1:20" ht="16.5" customHeight="1" x14ac:dyDescent="0.25">
      <c r="A492" s="5" t="s">
        <v>7010</v>
      </c>
      <c r="B492" s="16" t="s">
        <v>7325</v>
      </c>
      <c r="C492" s="4" t="s">
        <v>8798</v>
      </c>
      <c r="D492" s="4" t="s">
        <v>8972</v>
      </c>
      <c r="E492" s="12" t="s">
        <v>406</v>
      </c>
      <c r="F492" s="75" t="s">
        <v>7780</v>
      </c>
      <c r="G492" s="3">
        <v>8</v>
      </c>
      <c r="H492" s="3" t="s">
        <v>6736</v>
      </c>
      <c r="I492" s="68" t="s">
        <v>7792</v>
      </c>
      <c r="J492" s="72">
        <v>1.35</v>
      </c>
      <c r="L492" s="9">
        <v>73.099999999999994</v>
      </c>
      <c r="M492" s="3">
        <v>73.709999999999994</v>
      </c>
      <c r="N492" s="66" t="s">
        <v>7886</v>
      </c>
      <c r="O492" s="5" t="s">
        <v>8392</v>
      </c>
      <c r="P492" s="49">
        <f t="shared" si="29"/>
        <v>1.4817152037728665</v>
      </c>
      <c r="Q492" s="1">
        <f t="shared" si="30"/>
        <v>1.5368198854445871</v>
      </c>
      <c r="R492" s="1">
        <f t="shared" si="32"/>
        <v>1.5295724638881367</v>
      </c>
      <c r="S492" s="10">
        <f t="shared" si="31"/>
        <v>1.5092675446087269</v>
      </c>
      <c r="T492" s="45" cm="1">
        <f t="array" ref="T492">SUMPRODUCT(P492:S492 * P$3:S$3) / SUM(P$3:S$3)</f>
        <v>1.5166302000110763</v>
      </c>
    </row>
    <row r="493" spans="1:20" ht="16.5" customHeight="1" x14ac:dyDescent="0.25">
      <c r="A493" s="5" t="s">
        <v>7183</v>
      </c>
      <c r="B493" s="16" t="s">
        <v>7578</v>
      </c>
      <c r="C493" s="4" t="s">
        <v>8796</v>
      </c>
      <c r="D493" s="4" t="s">
        <v>8973</v>
      </c>
      <c r="E493" s="12" t="s">
        <v>406</v>
      </c>
      <c r="F493" s="75" t="s">
        <v>7780</v>
      </c>
      <c r="G493" s="3">
        <v>8</v>
      </c>
      <c r="H493" s="3" t="s">
        <v>404</v>
      </c>
      <c r="I493" s="68" t="s">
        <v>7794</v>
      </c>
      <c r="J493" s="72">
        <v>1.35</v>
      </c>
      <c r="K493" s="14" t="s">
        <v>6175</v>
      </c>
      <c r="L493" s="9">
        <v>91.9</v>
      </c>
      <c r="M493" s="3">
        <v>144</v>
      </c>
      <c r="N493" s="66" t="s">
        <v>8139</v>
      </c>
      <c r="O493" s="5" t="s">
        <v>8609</v>
      </c>
      <c r="P493" s="49">
        <f t="shared" si="29"/>
        <v>1.5158892459159863</v>
      </c>
      <c r="Q493" s="1">
        <f t="shared" si="30"/>
        <v>1.5602822038836832</v>
      </c>
      <c r="R493" s="1">
        <f t="shared" si="32"/>
        <v>1.5505542404246508</v>
      </c>
      <c r="S493" s="10">
        <f t="shared" si="31"/>
        <v>1.5380857248998345</v>
      </c>
      <c r="T493" s="45" cm="1">
        <f t="array" ref="T493">SUMPRODUCT(P493:S493 * P$3:S$3) / SUM(P$3:S$3)</f>
        <v>1.5434188009780907</v>
      </c>
    </row>
    <row r="494" spans="1:20" ht="16.5" customHeight="1" x14ac:dyDescent="0.25">
      <c r="A494" s="5" t="s">
        <v>7183</v>
      </c>
      <c r="B494" s="16" t="s">
        <v>7649</v>
      </c>
      <c r="C494" s="4" t="s">
        <v>8796</v>
      </c>
      <c r="D494" s="4" t="s">
        <v>8973</v>
      </c>
      <c r="E494" s="12" t="s">
        <v>406</v>
      </c>
      <c r="F494" s="75" t="s">
        <v>7780</v>
      </c>
      <c r="G494" s="3">
        <v>8</v>
      </c>
      <c r="H494" s="3" t="s">
        <v>404</v>
      </c>
      <c r="I494" s="68" t="s">
        <v>7794</v>
      </c>
      <c r="J494" s="72">
        <v>1.35</v>
      </c>
      <c r="K494" s="14" t="s">
        <v>6175</v>
      </c>
      <c r="L494" s="9">
        <v>91.9</v>
      </c>
      <c r="M494" s="3">
        <v>161.38999999999999</v>
      </c>
      <c r="N494" s="66" t="s">
        <v>8210</v>
      </c>
      <c r="O494" s="5" t="s">
        <v>8666</v>
      </c>
      <c r="P494" s="49">
        <f t="shared" si="29"/>
        <v>1.5158892459159863</v>
      </c>
      <c r="Q494" s="1">
        <f t="shared" si="30"/>
        <v>1.5602822038836832</v>
      </c>
      <c r="R494" s="1">
        <f t="shared" si="32"/>
        <v>1.5505542404246508</v>
      </c>
      <c r="S494" s="10">
        <f t="shared" si="31"/>
        <v>1.5380857248998345</v>
      </c>
      <c r="T494" s="45" cm="1">
        <f t="array" ref="T494">SUMPRODUCT(P494:S494 * P$3:S$3) / SUM(P$3:S$3)</f>
        <v>1.5434188009780907</v>
      </c>
    </row>
    <row r="495" spans="1:20" ht="16.5" customHeight="1" x14ac:dyDescent="0.25">
      <c r="A495" s="5" t="s">
        <v>7183</v>
      </c>
      <c r="B495" s="16" t="s">
        <v>7650</v>
      </c>
      <c r="C495" s="4" t="s">
        <v>8796</v>
      </c>
      <c r="D495" s="4" t="s">
        <v>8973</v>
      </c>
      <c r="E495" s="12" t="s">
        <v>406</v>
      </c>
      <c r="F495" s="75" t="s">
        <v>7780</v>
      </c>
      <c r="G495" s="3">
        <v>8</v>
      </c>
      <c r="H495" s="3" t="s">
        <v>404</v>
      </c>
      <c r="I495" s="68" t="s">
        <v>260</v>
      </c>
      <c r="J495" s="72">
        <v>1.35</v>
      </c>
      <c r="K495" s="14" t="s">
        <v>6175</v>
      </c>
      <c r="L495" s="9">
        <v>172.96</v>
      </c>
      <c r="M495" s="3">
        <v>190.76</v>
      </c>
      <c r="N495" s="66" t="s">
        <v>8211</v>
      </c>
      <c r="O495" s="5" t="s">
        <v>8667</v>
      </c>
      <c r="P495" s="49">
        <f t="shared" si="29"/>
        <v>1.530329806514982</v>
      </c>
      <c r="Q495" s="1">
        <f t="shared" si="30"/>
        <v>1.5675024841831813</v>
      </c>
      <c r="R495" s="1">
        <f t="shared" si="32"/>
        <v>1.5577745207241489</v>
      </c>
      <c r="S495" s="10">
        <f t="shared" si="31"/>
        <v>1.5489161453490818</v>
      </c>
      <c r="T495" s="45" cm="1">
        <f t="array" ref="T495">SUMPRODUCT(P495:S495 * P$3:S$3) / SUM(P$3:S$3)</f>
        <v>1.5531384090735689</v>
      </c>
    </row>
    <row r="496" spans="1:20" ht="16.5" customHeight="1" x14ac:dyDescent="0.25">
      <c r="A496" s="5" t="s">
        <v>7183</v>
      </c>
      <c r="B496" s="16" t="s">
        <v>7699</v>
      </c>
      <c r="C496" s="4" t="s">
        <v>8796</v>
      </c>
      <c r="D496" s="4" t="s">
        <v>8973</v>
      </c>
      <c r="E496" s="12" t="s">
        <v>406</v>
      </c>
      <c r="F496" s="75" t="s">
        <v>7780</v>
      </c>
      <c r="G496" s="3">
        <v>8</v>
      </c>
      <c r="H496" s="3" t="s">
        <v>404</v>
      </c>
      <c r="I496" s="68" t="s">
        <v>7792</v>
      </c>
      <c r="J496" s="72">
        <v>1.35</v>
      </c>
      <c r="L496" s="9">
        <v>79.930000000000007</v>
      </c>
      <c r="M496" s="3">
        <v>108.65</v>
      </c>
      <c r="N496" s="66" t="s">
        <v>8260</v>
      </c>
      <c r="O496" s="5" t="s">
        <v>8705</v>
      </c>
      <c r="P496" s="49">
        <f t="shared" si="29"/>
        <v>1.5095945616969542</v>
      </c>
      <c r="Q496" s="1">
        <f t="shared" si="30"/>
        <v>1.5571348617741672</v>
      </c>
      <c r="R496" s="1">
        <f t="shared" si="32"/>
        <v>1.547406898315135</v>
      </c>
      <c r="S496" s="10">
        <f t="shared" si="31"/>
        <v>1.5333647117355607</v>
      </c>
      <c r="T496" s="45" cm="1">
        <f t="array" ref="T496">SUMPRODUCT(P496:S496 * P$3:S$3) / SUM(P$3:S$3)</f>
        <v>1.5391819942922038</v>
      </c>
    </row>
    <row r="497" spans="1:20" ht="16.5" customHeight="1" x14ac:dyDescent="0.25">
      <c r="A497" s="5" t="s">
        <v>7183</v>
      </c>
      <c r="B497" s="16" t="s">
        <v>7700</v>
      </c>
      <c r="C497" s="4" t="s">
        <v>8796</v>
      </c>
      <c r="D497" s="4" t="s">
        <v>8973</v>
      </c>
      <c r="E497" s="12" t="s">
        <v>406</v>
      </c>
      <c r="F497" s="75" t="s">
        <v>7780</v>
      </c>
      <c r="G497" s="3">
        <v>8</v>
      </c>
      <c r="H497" s="3" t="s">
        <v>404</v>
      </c>
      <c r="I497" s="68" t="s">
        <v>7794</v>
      </c>
      <c r="J497" s="72">
        <v>1.35</v>
      </c>
      <c r="L497" s="9">
        <v>76.900000000000006</v>
      </c>
      <c r="M497" s="3">
        <v>104</v>
      </c>
      <c r="N497" s="66" t="s">
        <v>8261</v>
      </c>
      <c r="O497" s="5" t="s">
        <v>8706</v>
      </c>
      <c r="P497" s="49">
        <f t="shared" si="29"/>
        <v>1.5158892459159863</v>
      </c>
      <c r="Q497" s="1">
        <f t="shared" si="30"/>
        <v>1.5602822038836832</v>
      </c>
      <c r="R497" s="1">
        <f t="shared" si="32"/>
        <v>1.5505542404246508</v>
      </c>
      <c r="S497" s="10">
        <f t="shared" si="31"/>
        <v>1.5380857248998345</v>
      </c>
      <c r="T497" s="45" cm="1">
        <f t="array" ref="T497">SUMPRODUCT(P497:S497 * P$3:S$3) / SUM(P$3:S$3)</f>
        <v>1.5434188009780907</v>
      </c>
    </row>
    <row r="498" spans="1:20" ht="16.5" customHeight="1" x14ac:dyDescent="0.25">
      <c r="A498" s="5" t="s">
        <v>7115</v>
      </c>
      <c r="B498" s="16" t="s">
        <v>7492</v>
      </c>
      <c r="C498" s="4" t="s">
        <v>8797</v>
      </c>
      <c r="D498" s="4" t="s">
        <v>8973</v>
      </c>
      <c r="E498" s="12" t="s">
        <v>406</v>
      </c>
      <c r="F498" s="75" t="s">
        <v>7780</v>
      </c>
      <c r="G498" s="3">
        <v>8</v>
      </c>
      <c r="H498" s="3" t="s">
        <v>404</v>
      </c>
      <c r="I498" s="68" t="s">
        <v>7794</v>
      </c>
      <c r="J498" s="72">
        <v>1.35</v>
      </c>
      <c r="L498" s="9">
        <v>36.99</v>
      </c>
      <c r="M498" s="3">
        <v>109</v>
      </c>
      <c r="N498" s="66" t="s">
        <v>8053</v>
      </c>
      <c r="O498" s="5" t="s">
        <v>8532</v>
      </c>
      <c r="P498" s="49">
        <f t="shared" si="29"/>
        <v>1.5158892459159863</v>
      </c>
      <c r="Q498" s="1">
        <f t="shared" si="30"/>
        <v>1.5602822038836832</v>
      </c>
      <c r="R498" s="1">
        <f t="shared" si="32"/>
        <v>1.5505542404246508</v>
      </c>
      <c r="S498" s="10">
        <f t="shared" si="31"/>
        <v>1.5380857248998345</v>
      </c>
      <c r="T498" s="45" cm="1">
        <f t="array" ref="T498">SUMPRODUCT(P498:S498 * P$3:S$3) / SUM(P$3:S$3)</f>
        <v>1.5434188009780907</v>
      </c>
    </row>
    <row r="499" spans="1:20" ht="16.5" customHeight="1" x14ac:dyDescent="0.25">
      <c r="A499" s="5" t="s">
        <v>7115</v>
      </c>
      <c r="B499" s="16" t="s">
        <v>7493</v>
      </c>
      <c r="C499" s="4" t="s">
        <v>8797</v>
      </c>
      <c r="D499" s="4" t="s">
        <v>8973</v>
      </c>
      <c r="E499" s="12" t="s">
        <v>406</v>
      </c>
      <c r="F499" s="75" t="s">
        <v>7780</v>
      </c>
      <c r="G499" s="3">
        <v>8</v>
      </c>
      <c r="H499" s="3" t="s">
        <v>404</v>
      </c>
      <c r="I499" s="68" t="s">
        <v>7795</v>
      </c>
      <c r="J499" s="72">
        <v>1.4</v>
      </c>
      <c r="L499" s="9">
        <v>79.900000000000006</v>
      </c>
      <c r="M499" s="3">
        <v>79.900000000000006</v>
      </c>
      <c r="N499" s="66" t="s">
        <v>8054</v>
      </c>
      <c r="O499" s="5" t="s">
        <v>8533</v>
      </c>
      <c r="P499" s="49">
        <f t="shared" si="29"/>
        <v>1.520900862680735</v>
      </c>
      <c r="Q499" s="1">
        <f t="shared" si="30"/>
        <v>1.5618536204665343</v>
      </c>
      <c r="R499" s="1">
        <f t="shared" si="32"/>
        <v>1.5521256570075022</v>
      </c>
      <c r="S499" s="10">
        <f t="shared" si="31"/>
        <v>1.5413772415736346</v>
      </c>
      <c r="T499" s="45" cm="1">
        <f t="array" ref="T499">SUMPRODUCT(P499:S499 * P$3:S$3) / SUM(P$3:S$3)</f>
        <v>1.546181056085445</v>
      </c>
    </row>
    <row r="500" spans="1:20" ht="16.5" customHeight="1" x14ac:dyDescent="0.25">
      <c r="A500" s="5" t="s">
        <v>7082</v>
      </c>
      <c r="B500" s="16" t="s">
        <v>7445</v>
      </c>
      <c r="C500" s="4" t="s">
        <v>8797</v>
      </c>
      <c r="D500" s="4" t="s">
        <v>8973</v>
      </c>
      <c r="E500" s="12" t="s">
        <v>406</v>
      </c>
      <c r="F500" s="75" t="s">
        <v>7780</v>
      </c>
      <c r="G500" s="3">
        <v>8</v>
      </c>
      <c r="H500" s="3" t="s">
        <v>404</v>
      </c>
      <c r="I500" s="68" t="s">
        <v>7794</v>
      </c>
      <c r="J500" s="72">
        <v>1.35</v>
      </c>
      <c r="K500" s="14" t="s">
        <v>7796</v>
      </c>
      <c r="L500" s="9">
        <v>50.9</v>
      </c>
      <c r="M500" s="3">
        <v>169.71</v>
      </c>
      <c r="N500" s="66" t="s">
        <v>8006</v>
      </c>
      <c r="O500" s="5" t="s">
        <v>8494</v>
      </c>
      <c r="P500" s="49">
        <f t="shared" si="29"/>
        <v>1.5158892459159863</v>
      </c>
      <c r="Q500" s="1">
        <f t="shared" si="30"/>
        <v>1.5602822038836832</v>
      </c>
      <c r="R500" s="1">
        <f t="shared" si="32"/>
        <v>1.5505542404246508</v>
      </c>
      <c r="S500" s="10">
        <f t="shared" si="31"/>
        <v>1.5380857248998345</v>
      </c>
      <c r="T500" s="45" cm="1">
        <f t="array" ref="T500">SUMPRODUCT(P500:S500 * P$3:S$3) / SUM(P$3:S$3)</f>
        <v>1.5434188009780907</v>
      </c>
    </row>
    <row r="501" spans="1:20" ht="16.5" customHeight="1" x14ac:dyDescent="0.25">
      <c r="A501" s="5" t="s">
        <v>7001</v>
      </c>
      <c r="B501" s="16" t="s">
        <v>7276</v>
      </c>
      <c r="C501" s="4" t="s">
        <v>8798</v>
      </c>
      <c r="D501" s="4" t="s">
        <v>8973</v>
      </c>
      <c r="E501" s="12" t="s">
        <v>406</v>
      </c>
      <c r="F501" s="75" t="s">
        <v>7780</v>
      </c>
      <c r="G501" s="3">
        <v>8</v>
      </c>
      <c r="H501" s="3" t="s">
        <v>404</v>
      </c>
      <c r="I501" s="68" t="s">
        <v>7792</v>
      </c>
      <c r="J501" s="72">
        <v>1.35</v>
      </c>
      <c r="K501" s="14" t="s">
        <v>5476</v>
      </c>
      <c r="L501" s="9">
        <v>73.13</v>
      </c>
      <c r="M501" s="3">
        <v>100.06</v>
      </c>
      <c r="N501" s="66" t="s">
        <v>7837</v>
      </c>
      <c r="O501" s="5" t="s">
        <v>8354</v>
      </c>
      <c r="P501" s="49">
        <f t="shared" si="29"/>
        <v>1.5095945616969542</v>
      </c>
      <c r="Q501" s="1">
        <f t="shared" si="30"/>
        <v>1.5571348617741672</v>
      </c>
      <c r="R501" s="1">
        <f t="shared" si="32"/>
        <v>1.547406898315135</v>
      </c>
      <c r="S501" s="10">
        <f t="shared" si="31"/>
        <v>1.5333647117355607</v>
      </c>
      <c r="T501" s="45" cm="1">
        <f t="array" ref="T501">SUMPRODUCT(P501:S501 * P$3:S$3) / SUM(P$3:S$3)</f>
        <v>1.5391819942922038</v>
      </c>
    </row>
    <row r="502" spans="1:20" ht="16.5" customHeight="1" x14ac:dyDescent="0.25">
      <c r="A502" s="5" t="s">
        <v>7001</v>
      </c>
      <c r="B502" s="16" t="s">
        <v>7313</v>
      </c>
      <c r="C502" s="4" t="s">
        <v>8798</v>
      </c>
      <c r="D502" s="4" t="s">
        <v>8973</v>
      </c>
      <c r="E502" s="12" t="s">
        <v>406</v>
      </c>
      <c r="F502" s="75" t="s">
        <v>7780</v>
      </c>
      <c r="G502" s="3">
        <v>8</v>
      </c>
      <c r="H502" s="3" t="s">
        <v>404</v>
      </c>
      <c r="I502" s="68" t="s">
        <v>7792</v>
      </c>
      <c r="J502" s="72">
        <v>1.35</v>
      </c>
      <c r="L502" s="9">
        <v>57.03</v>
      </c>
      <c r="M502" s="3">
        <v>97</v>
      </c>
      <c r="N502" s="66" t="s">
        <v>7874</v>
      </c>
      <c r="O502" s="5" t="s">
        <v>8383</v>
      </c>
      <c r="P502" s="49">
        <f t="shared" si="29"/>
        <v>1.5095945616969542</v>
      </c>
      <c r="Q502" s="1">
        <f t="shared" si="30"/>
        <v>1.5571348617741672</v>
      </c>
      <c r="R502" s="1">
        <f t="shared" si="32"/>
        <v>1.547406898315135</v>
      </c>
      <c r="S502" s="10">
        <f t="shared" si="31"/>
        <v>1.5333647117355607</v>
      </c>
      <c r="T502" s="45" cm="1">
        <f t="array" ref="T502">SUMPRODUCT(P502:S502 * P$3:S$3) / SUM(P$3:S$3)</f>
        <v>1.5391819942922038</v>
      </c>
    </row>
    <row r="503" spans="1:20" ht="16.5" customHeight="1" x14ac:dyDescent="0.25">
      <c r="A503" s="5" t="s">
        <v>7111</v>
      </c>
      <c r="B503" s="16" t="s">
        <v>7485</v>
      </c>
      <c r="C503" s="4" t="s">
        <v>8797</v>
      </c>
      <c r="D503" s="4" t="s">
        <v>8974</v>
      </c>
      <c r="E503" s="12" t="s">
        <v>406</v>
      </c>
      <c r="F503" s="75" t="s">
        <v>7780</v>
      </c>
      <c r="G503" s="3">
        <v>8</v>
      </c>
      <c r="H503" s="3" t="s">
        <v>419</v>
      </c>
      <c r="I503" s="68" t="s">
        <v>7794</v>
      </c>
      <c r="J503" s="72">
        <v>1.35</v>
      </c>
      <c r="L503" s="9">
        <v>76.900000000000006</v>
      </c>
      <c r="M503" s="3">
        <v>111.9</v>
      </c>
      <c r="N503" s="66" t="s">
        <v>8046</v>
      </c>
      <c r="O503" s="5" t="s">
        <v>8526</v>
      </c>
      <c r="P503" s="49">
        <f t="shared" si="29"/>
        <v>1.5719913081761088</v>
      </c>
      <c r="Q503" s="1">
        <f t="shared" si="30"/>
        <v>1.6010838297488166</v>
      </c>
      <c r="R503" s="1">
        <f t="shared" si="32"/>
        <v>1.5863947824846214</v>
      </c>
      <c r="S503" s="10">
        <f t="shared" si="31"/>
        <v>1.5865375689624628</v>
      </c>
      <c r="T503" s="45" cm="1">
        <f t="array" ref="T503">SUMPRODUCT(P503:S503 * P$3:S$3) / SUM(P$3:S$3)</f>
        <v>1.5887534880868492</v>
      </c>
    </row>
    <row r="504" spans="1:20" ht="16.5" customHeight="1" x14ac:dyDescent="0.25">
      <c r="A504" s="5" t="s">
        <v>7021</v>
      </c>
      <c r="B504" s="16" t="s">
        <v>7319</v>
      </c>
      <c r="C504" s="4" t="s">
        <v>8798</v>
      </c>
      <c r="D504" s="4" t="s">
        <v>8975</v>
      </c>
      <c r="E504" s="12" t="s">
        <v>406</v>
      </c>
      <c r="F504" s="75" t="s">
        <v>7780</v>
      </c>
      <c r="G504" s="3">
        <v>16</v>
      </c>
      <c r="H504" s="3" t="s">
        <v>6736</v>
      </c>
      <c r="I504" s="68" t="s">
        <v>7792</v>
      </c>
      <c r="J504" s="72">
        <v>1.35</v>
      </c>
      <c r="L504" s="9">
        <v>47.99</v>
      </c>
      <c r="M504" s="3">
        <v>78</v>
      </c>
      <c r="N504" s="66" t="s">
        <v>7880</v>
      </c>
      <c r="O504" s="5" t="s">
        <v>8388</v>
      </c>
      <c r="P504" s="49">
        <f t="shared" si="29"/>
        <v>1.7860685124228617</v>
      </c>
      <c r="Q504" s="1">
        <f t="shared" si="30"/>
        <v>2.0440753998612458</v>
      </c>
      <c r="R504" s="1">
        <f t="shared" si="32"/>
        <v>2.0875535297464611</v>
      </c>
      <c r="S504" s="10">
        <f t="shared" si="31"/>
        <v>1.9150719561420539</v>
      </c>
      <c r="T504" s="45" cm="1">
        <f t="array" ref="T504">SUMPRODUCT(P504:S504 * P$3:S$3) / SUM(P$3:S$3)</f>
        <v>1.9614542664995307</v>
      </c>
    </row>
    <row r="505" spans="1:20" ht="16.5" customHeight="1" x14ac:dyDescent="0.25">
      <c r="A505" s="5" t="s">
        <v>7242</v>
      </c>
      <c r="B505" s="16" t="s">
        <v>7759</v>
      </c>
      <c r="C505" s="4" t="s">
        <v>8796</v>
      </c>
      <c r="D505" s="4" t="s">
        <v>8976</v>
      </c>
      <c r="E505" s="12" t="s">
        <v>406</v>
      </c>
      <c r="F505" s="75" t="s">
        <v>7780</v>
      </c>
      <c r="G505" s="3">
        <v>16</v>
      </c>
      <c r="H505" s="3" t="s">
        <v>404</v>
      </c>
      <c r="I505" s="68" t="s">
        <v>7794</v>
      </c>
      <c r="J505" s="72">
        <v>1.35</v>
      </c>
      <c r="K505" s="14" t="s">
        <v>7804</v>
      </c>
      <c r="L505" s="9">
        <v>184.21</v>
      </c>
      <c r="M505" s="3">
        <v>307.95999999999998</v>
      </c>
      <c r="N505" s="66" t="s">
        <v>8320</v>
      </c>
      <c r="O505" s="5" t="s">
        <v>8760</v>
      </c>
      <c r="P505" s="49">
        <f t="shared" si="29"/>
        <v>1.8202425545659815</v>
      </c>
      <c r="Q505" s="1">
        <f t="shared" si="30"/>
        <v>2.0675377183003416</v>
      </c>
      <c r="R505" s="1">
        <f t="shared" si="32"/>
        <v>2.1085353062829757</v>
      </c>
      <c r="S505" s="10">
        <f t="shared" si="31"/>
        <v>1.9438901364331618</v>
      </c>
      <c r="T505" s="45" cm="1">
        <f t="array" ref="T505">SUMPRODUCT(P505:S505 * P$3:S$3) / SUM(P$3:S$3)</f>
        <v>1.9882428674665451</v>
      </c>
    </row>
    <row r="506" spans="1:20" ht="16.5" customHeight="1" x14ac:dyDescent="0.25">
      <c r="A506" s="5" t="s">
        <v>7242</v>
      </c>
      <c r="B506" s="16" t="s">
        <v>7760</v>
      </c>
      <c r="C506" s="4" t="s">
        <v>8796</v>
      </c>
      <c r="D506" s="4" t="s">
        <v>8976</v>
      </c>
      <c r="E506" s="12" t="s">
        <v>406</v>
      </c>
      <c r="F506" s="75" t="s">
        <v>7780</v>
      </c>
      <c r="G506" s="3">
        <v>16</v>
      </c>
      <c r="H506" s="3" t="s">
        <v>404</v>
      </c>
      <c r="I506" s="68" t="s">
        <v>7794</v>
      </c>
      <c r="J506" s="72">
        <v>1.35</v>
      </c>
      <c r="K506" s="14" t="s">
        <v>7804</v>
      </c>
      <c r="L506" s="9">
        <v>149.58000000000001</v>
      </c>
      <c r="M506" s="3">
        <v>167.02</v>
      </c>
      <c r="N506" s="66" t="s">
        <v>8321</v>
      </c>
      <c r="O506" s="5" t="s">
        <v>8760</v>
      </c>
      <c r="P506" s="49">
        <f t="shared" si="29"/>
        <v>1.8202425545659815</v>
      </c>
      <c r="Q506" s="1">
        <f t="shared" si="30"/>
        <v>2.0675377183003416</v>
      </c>
      <c r="R506" s="1">
        <f t="shared" si="32"/>
        <v>2.1085353062829757</v>
      </c>
      <c r="S506" s="10">
        <f t="shared" si="31"/>
        <v>1.9438901364331618</v>
      </c>
      <c r="T506" s="45" cm="1">
        <f t="array" ref="T506">SUMPRODUCT(P506:S506 * P$3:S$3) / SUM(P$3:S$3)</f>
        <v>1.9882428674665451</v>
      </c>
    </row>
    <row r="507" spans="1:20" ht="16.5" customHeight="1" x14ac:dyDescent="0.25">
      <c r="A507" s="5" t="s">
        <v>7194</v>
      </c>
      <c r="B507" s="16" t="s">
        <v>7637</v>
      </c>
      <c r="C507" s="4" t="s">
        <v>8796</v>
      </c>
      <c r="D507" s="4" t="s">
        <v>8976</v>
      </c>
      <c r="E507" s="12" t="s">
        <v>406</v>
      </c>
      <c r="F507" s="75" t="s">
        <v>7780</v>
      </c>
      <c r="G507" s="3">
        <v>16</v>
      </c>
      <c r="H507" s="3" t="s">
        <v>404</v>
      </c>
      <c r="I507" s="68" t="s">
        <v>7794</v>
      </c>
      <c r="J507" s="72">
        <v>1.35</v>
      </c>
      <c r="K507" s="14" t="s">
        <v>6175</v>
      </c>
      <c r="L507" s="9">
        <v>284.99</v>
      </c>
      <c r="M507" s="3">
        <v>299.38</v>
      </c>
      <c r="N507" s="66" t="s">
        <v>8198</v>
      </c>
      <c r="O507" s="5" t="s">
        <v>8656</v>
      </c>
      <c r="P507" s="49">
        <f t="shared" si="29"/>
        <v>1.8202425545659815</v>
      </c>
      <c r="Q507" s="1">
        <f t="shared" si="30"/>
        <v>2.0675377183003416</v>
      </c>
      <c r="R507" s="1">
        <f t="shared" si="32"/>
        <v>2.1085353062829757</v>
      </c>
      <c r="S507" s="10">
        <f t="shared" si="31"/>
        <v>1.9438901364331618</v>
      </c>
      <c r="T507" s="45" cm="1">
        <f t="array" ref="T507">SUMPRODUCT(P507:S507 * P$3:S$3) / SUM(P$3:S$3)</f>
        <v>1.9882428674665451</v>
      </c>
    </row>
    <row r="508" spans="1:20" ht="16.5" customHeight="1" x14ac:dyDescent="0.25">
      <c r="A508" s="5" t="s">
        <v>7194</v>
      </c>
      <c r="B508" s="16" t="s">
        <v>7684</v>
      </c>
      <c r="C508" s="4" t="s">
        <v>8796</v>
      </c>
      <c r="D508" s="4" t="s">
        <v>8976</v>
      </c>
      <c r="E508" s="12" t="s">
        <v>406</v>
      </c>
      <c r="F508" s="75" t="s">
        <v>7780</v>
      </c>
      <c r="G508" s="3">
        <v>16</v>
      </c>
      <c r="H508" s="3" t="s">
        <v>404</v>
      </c>
      <c r="I508" s="68" t="s">
        <v>7792</v>
      </c>
      <c r="J508" s="72">
        <v>1.35</v>
      </c>
      <c r="L508" s="9">
        <v>95.9</v>
      </c>
      <c r="M508" s="3">
        <v>206.47</v>
      </c>
      <c r="N508" s="66" t="s">
        <v>8245</v>
      </c>
      <c r="O508" s="5" t="s">
        <v>8695</v>
      </c>
      <c r="P508" s="49">
        <f t="shared" si="29"/>
        <v>1.8139478703469494</v>
      </c>
      <c r="Q508" s="1">
        <f t="shared" si="30"/>
        <v>2.064390376190826</v>
      </c>
      <c r="R508" s="1">
        <f t="shared" si="32"/>
        <v>2.1053879641734596</v>
      </c>
      <c r="S508" s="10">
        <f t="shared" si="31"/>
        <v>1.9391691232688877</v>
      </c>
      <c r="T508" s="45" cm="1">
        <f t="array" ref="T508">SUMPRODUCT(P508:S508 * P$3:S$3) / SUM(P$3:S$3)</f>
        <v>1.9840060607806582</v>
      </c>
    </row>
    <row r="509" spans="1:20" ht="16.5" customHeight="1" x14ac:dyDescent="0.25">
      <c r="A509" s="5" t="s">
        <v>7112</v>
      </c>
      <c r="B509" s="16" t="s">
        <v>7486</v>
      </c>
      <c r="C509" s="4" t="s">
        <v>8797</v>
      </c>
      <c r="D509" s="4" t="s">
        <v>8976</v>
      </c>
      <c r="E509" s="12" t="s">
        <v>406</v>
      </c>
      <c r="F509" s="75" t="s">
        <v>7780</v>
      </c>
      <c r="G509" s="3">
        <v>16</v>
      </c>
      <c r="H509" s="3" t="s">
        <v>404</v>
      </c>
      <c r="I509" s="68" t="s">
        <v>7794</v>
      </c>
      <c r="J509" s="72">
        <v>1.4</v>
      </c>
      <c r="L509" s="9">
        <v>66.900000000000006</v>
      </c>
      <c r="M509" s="3">
        <v>193.8</v>
      </c>
      <c r="N509" s="66" t="s">
        <v>8047</v>
      </c>
      <c r="O509" s="5" t="s">
        <v>8526</v>
      </c>
      <c r="P509" s="49">
        <f t="shared" si="29"/>
        <v>1.818373770966935</v>
      </c>
      <c r="Q509" s="1">
        <f t="shared" si="30"/>
        <v>2.0656689347012955</v>
      </c>
      <c r="R509" s="1">
        <f t="shared" si="32"/>
        <v>2.1066665226839292</v>
      </c>
      <c r="S509" s="10">
        <f t="shared" si="31"/>
        <v>1.9420213528341155</v>
      </c>
      <c r="T509" s="45" cm="1">
        <f t="array" ref="T509">SUMPRODUCT(P509:S509 * P$3:S$3) / SUM(P$3:S$3)</f>
        <v>1.986374083867499</v>
      </c>
    </row>
    <row r="510" spans="1:20" ht="16.5" customHeight="1" x14ac:dyDescent="0.25">
      <c r="A510" s="5" t="s">
        <v>7078</v>
      </c>
      <c r="B510" s="16" t="s">
        <v>7435</v>
      </c>
      <c r="C510" s="4" t="s">
        <v>8797</v>
      </c>
      <c r="D510" s="4" t="s">
        <v>8976</v>
      </c>
      <c r="E510" s="12" t="s">
        <v>406</v>
      </c>
      <c r="F510" s="75" t="s">
        <v>7780</v>
      </c>
      <c r="G510" s="3">
        <v>16</v>
      </c>
      <c r="H510" s="3" t="s">
        <v>404</v>
      </c>
      <c r="I510" s="68" t="s">
        <v>7794</v>
      </c>
      <c r="J510" s="72">
        <v>1.4</v>
      </c>
      <c r="K510" s="14" t="s">
        <v>450</v>
      </c>
      <c r="L510" s="9">
        <v>81.98</v>
      </c>
      <c r="M510" s="3">
        <v>210.76</v>
      </c>
      <c r="N510" s="66" t="s">
        <v>7996</v>
      </c>
      <c r="O510" s="5" t="s">
        <v>8488</v>
      </c>
      <c r="P510" s="49">
        <f t="shared" si="29"/>
        <v>1.818373770966935</v>
      </c>
      <c r="Q510" s="1">
        <f t="shared" si="30"/>
        <v>2.0656689347012955</v>
      </c>
      <c r="R510" s="1">
        <f t="shared" si="32"/>
        <v>2.1066665226839292</v>
      </c>
      <c r="S510" s="10">
        <f t="shared" si="31"/>
        <v>1.9420213528341155</v>
      </c>
      <c r="T510" s="45" cm="1">
        <f t="array" ref="T510">SUMPRODUCT(P510:S510 * P$3:S$3) / SUM(P$3:S$3)</f>
        <v>1.986374083867499</v>
      </c>
    </row>
    <row r="511" spans="1:20" ht="16.5" customHeight="1" x14ac:dyDescent="0.25">
      <c r="A511" s="5" t="s">
        <v>7090</v>
      </c>
      <c r="B511" s="16" t="s">
        <v>7458</v>
      </c>
      <c r="C511" s="4" t="s">
        <v>8797</v>
      </c>
      <c r="D511" s="4" t="s">
        <v>8976</v>
      </c>
      <c r="E511" s="12" t="s">
        <v>406</v>
      </c>
      <c r="F511" s="75" t="s">
        <v>7780</v>
      </c>
      <c r="G511" s="3">
        <v>16</v>
      </c>
      <c r="H511" s="3" t="s">
        <v>404</v>
      </c>
      <c r="I511" s="68" t="s">
        <v>7794</v>
      </c>
      <c r="J511" s="72">
        <v>1.4</v>
      </c>
      <c r="K511" s="14" t="s">
        <v>7797</v>
      </c>
      <c r="L511" s="9">
        <v>84.9</v>
      </c>
      <c r="M511" s="3">
        <v>174</v>
      </c>
      <c r="N511" s="66" t="s">
        <v>8019</v>
      </c>
      <c r="O511" s="5" t="s">
        <v>8504</v>
      </c>
      <c r="P511" s="49">
        <f t="shared" si="29"/>
        <v>1.818373770966935</v>
      </c>
      <c r="Q511" s="1">
        <f t="shared" si="30"/>
        <v>2.0656689347012955</v>
      </c>
      <c r="R511" s="1">
        <f t="shared" si="32"/>
        <v>2.1066665226839292</v>
      </c>
      <c r="S511" s="10">
        <f t="shared" si="31"/>
        <v>1.9420213528341155</v>
      </c>
      <c r="T511" s="45" cm="1">
        <f t="array" ref="T511">SUMPRODUCT(P511:S511 * P$3:S$3) / SUM(P$3:S$3)</f>
        <v>1.986374083867499</v>
      </c>
    </row>
    <row r="512" spans="1:20" ht="16.5" customHeight="1" x14ac:dyDescent="0.25">
      <c r="A512" s="5" t="s">
        <v>7017</v>
      </c>
      <c r="B512" s="16" t="s">
        <v>7303</v>
      </c>
      <c r="C512" s="4" t="s">
        <v>8798</v>
      </c>
      <c r="D512" s="4" t="s">
        <v>8976</v>
      </c>
      <c r="E512" s="12" t="s">
        <v>406</v>
      </c>
      <c r="F512" s="75" t="s">
        <v>7780</v>
      </c>
      <c r="G512" s="3">
        <v>16</v>
      </c>
      <c r="H512" s="3" t="s">
        <v>404</v>
      </c>
      <c r="I512" s="68" t="s">
        <v>7792</v>
      </c>
      <c r="J512" s="72">
        <v>1.35</v>
      </c>
      <c r="L512" s="9">
        <v>94.4</v>
      </c>
      <c r="M512" s="3">
        <v>146</v>
      </c>
      <c r="N512" s="66" t="s">
        <v>7864</v>
      </c>
      <c r="O512" s="5" t="s">
        <v>8375</v>
      </c>
      <c r="P512" s="49">
        <f t="shared" si="29"/>
        <v>1.8139478703469494</v>
      </c>
      <c r="Q512" s="1">
        <f t="shared" si="30"/>
        <v>2.064390376190826</v>
      </c>
      <c r="R512" s="1">
        <f t="shared" si="32"/>
        <v>2.1053879641734596</v>
      </c>
      <c r="S512" s="10">
        <f t="shared" si="31"/>
        <v>1.9391691232688877</v>
      </c>
      <c r="T512" s="45" cm="1">
        <f t="array" ref="T512">SUMPRODUCT(P512:S512 * P$3:S$3) / SUM(P$3:S$3)</f>
        <v>1.9840060607806582</v>
      </c>
    </row>
    <row r="513" spans="1:20" ht="16.5" customHeight="1" x14ac:dyDescent="0.25">
      <c r="A513" s="5" t="s">
        <v>7199</v>
      </c>
      <c r="B513" s="16" t="s">
        <v>7673</v>
      </c>
      <c r="C513" s="4" t="s">
        <v>8796</v>
      </c>
      <c r="D513" s="4" t="s">
        <v>8977</v>
      </c>
      <c r="E513" s="12" t="s">
        <v>406</v>
      </c>
      <c r="F513" s="75" t="s">
        <v>7780</v>
      </c>
      <c r="G513" s="3">
        <v>16</v>
      </c>
      <c r="H513" s="3" t="s">
        <v>419</v>
      </c>
      <c r="I513" s="68" t="s">
        <v>7794</v>
      </c>
      <c r="J513" s="72">
        <v>1.35</v>
      </c>
      <c r="L513" s="9">
        <v>224.72</v>
      </c>
      <c r="M513" s="3">
        <v>234.6</v>
      </c>
      <c r="N513" s="66" t="s">
        <v>8234</v>
      </c>
      <c r="O513" s="5" t="s">
        <v>8688</v>
      </c>
      <c r="P513" s="49">
        <f t="shared" si="29"/>
        <v>1.876344616826104</v>
      </c>
      <c r="Q513" s="1">
        <f t="shared" si="30"/>
        <v>2.1083393441654752</v>
      </c>
      <c r="R513" s="1">
        <f t="shared" si="32"/>
        <v>2.1443758483429458</v>
      </c>
      <c r="S513" s="10">
        <f t="shared" si="31"/>
        <v>1.9923419804957896</v>
      </c>
      <c r="T513" s="45" cm="1">
        <f t="array" ref="T513">SUMPRODUCT(P513:S513 * P$3:S$3) / SUM(P$3:S$3)</f>
        <v>2.0335775545753041</v>
      </c>
    </row>
    <row r="514" spans="1:20" ht="16.5" customHeight="1" x14ac:dyDescent="0.25">
      <c r="A514" s="5" t="s">
        <v>7061</v>
      </c>
      <c r="B514" s="16" t="s">
        <v>7413</v>
      </c>
      <c r="C514" s="4" t="s">
        <v>8797</v>
      </c>
      <c r="D514" s="4" t="s">
        <v>8978</v>
      </c>
      <c r="E514" s="12" t="s">
        <v>406</v>
      </c>
      <c r="F514" s="75" t="s">
        <v>7780</v>
      </c>
      <c r="G514" s="3">
        <v>32</v>
      </c>
      <c r="H514" s="3" t="s">
        <v>404</v>
      </c>
      <c r="I514" s="68" t="s">
        <v>7794</v>
      </c>
      <c r="J514" s="72">
        <v>1.4</v>
      </c>
      <c r="K514" s="14" t="s">
        <v>7796</v>
      </c>
      <c r="L514" s="9">
        <v>201.13</v>
      </c>
      <c r="M514" s="3">
        <v>353.04</v>
      </c>
      <c r="N514" s="66" t="s">
        <v>7974</v>
      </c>
      <c r="O514" s="5" t="s">
        <v>8466</v>
      </c>
      <c r="P514" s="49">
        <f t="shared" si="29"/>
        <v>2.3127971795467501</v>
      </c>
      <c r="Q514" s="1">
        <f t="shared" si="30"/>
        <v>2.8897079490009872</v>
      </c>
      <c r="R514" s="1">
        <f t="shared" si="32"/>
        <v>3.0131094384135899</v>
      </c>
      <c r="S514" s="10">
        <f t="shared" si="31"/>
        <v>2.6012525642738686</v>
      </c>
      <c r="T514" s="45" cm="1">
        <f t="array" ref="T514">SUMPRODUCT(P514:S514 * P$3:S$3) / SUM(P$3:S$3)</f>
        <v>2.7089929117918441</v>
      </c>
    </row>
    <row r="515" spans="1:20" ht="16.5" customHeight="1" x14ac:dyDescent="0.25">
      <c r="A515" s="5" t="s">
        <v>7061</v>
      </c>
      <c r="B515" s="16" t="s">
        <v>7426</v>
      </c>
      <c r="C515" s="4" t="s">
        <v>8797</v>
      </c>
      <c r="D515" s="4" t="s">
        <v>8978</v>
      </c>
      <c r="E515" s="12" t="s">
        <v>406</v>
      </c>
      <c r="F515" s="75" t="s">
        <v>7780</v>
      </c>
      <c r="G515" s="3">
        <v>32</v>
      </c>
      <c r="H515" s="3" t="s">
        <v>404</v>
      </c>
      <c r="I515" s="68" t="s">
        <v>7794</v>
      </c>
      <c r="J515" s="72">
        <v>1.4</v>
      </c>
      <c r="K515" s="14" t="s">
        <v>7796</v>
      </c>
      <c r="L515" s="9">
        <v>187.97</v>
      </c>
      <c r="M515" s="3">
        <v>277</v>
      </c>
      <c r="N515" s="66" t="s">
        <v>7987</v>
      </c>
      <c r="O515" s="5" t="s">
        <v>8479</v>
      </c>
      <c r="P515" s="49">
        <f t="shared" si="29"/>
        <v>2.3127971795467501</v>
      </c>
      <c r="Q515" s="1">
        <f t="shared" si="30"/>
        <v>2.8897079490009872</v>
      </c>
      <c r="R515" s="1">
        <f t="shared" si="32"/>
        <v>3.0131094384135899</v>
      </c>
      <c r="S515" s="10">
        <f t="shared" si="31"/>
        <v>2.6012525642738686</v>
      </c>
      <c r="T515" s="45" cm="1">
        <f t="array" ref="T515">SUMPRODUCT(P515:S515 * P$3:S$3) / SUM(P$3:S$3)</f>
        <v>2.7089929117918441</v>
      </c>
    </row>
    <row r="516" spans="1:20" ht="16.5" customHeight="1" x14ac:dyDescent="0.25">
      <c r="A516" s="5" t="s">
        <v>7061</v>
      </c>
      <c r="B516" s="16" t="s">
        <v>7428</v>
      </c>
      <c r="C516" s="4" t="s">
        <v>8797</v>
      </c>
      <c r="D516" s="4" t="s">
        <v>8978</v>
      </c>
      <c r="E516" s="12" t="s">
        <v>406</v>
      </c>
      <c r="F516" s="75" t="s">
        <v>7780</v>
      </c>
      <c r="G516" s="3">
        <v>32</v>
      </c>
      <c r="H516" s="3" t="s">
        <v>404</v>
      </c>
      <c r="I516" s="68" t="s">
        <v>7794</v>
      </c>
      <c r="J516" s="72">
        <v>1.4</v>
      </c>
      <c r="K516" s="14" t="s">
        <v>7796</v>
      </c>
      <c r="L516" s="9">
        <v>190.42</v>
      </c>
      <c r="M516" s="3">
        <v>281</v>
      </c>
      <c r="N516" s="66" t="s">
        <v>7989</v>
      </c>
      <c r="O516" s="5" t="s">
        <v>8481</v>
      </c>
      <c r="P516" s="49">
        <f t="shared" si="29"/>
        <v>2.3127971795467501</v>
      </c>
      <c r="Q516" s="1">
        <f t="shared" si="30"/>
        <v>2.8897079490009872</v>
      </c>
      <c r="R516" s="1">
        <f t="shared" si="32"/>
        <v>3.0131094384135899</v>
      </c>
      <c r="S516" s="10">
        <f t="shared" si="31"/>
        <v>2.6012525642738686</v>
      </c>
      <c r="T516" s="45" cm="1">
        <f t="array" ref="T516">SUMPRODUCT(P516:S516 * P$3:S$3) / SUM(P$3:S$3)</f>
        <v>2.7089929117918441</v>
      </c>
    </row>
    <row r="517" spans="1:20" ht="16.5" customHeight="1" x14ac:dyDescent="0.25">
      <c r="A517" s="5" t="s">
        <v>7068</v>
      </c>
      <c r="B517" s="16" t="s">
        <v>7420</v>
      </c>
      <c r="C517" s="4" t="s">
        <v>8797</v>
      </c>
      <c r="D517" s="4" t="s">
        <v>8979</v>
      </c>
      <c r="E517" s="12" t="s">
        <v>406</v>
      </c>
      <c r="F517" s="75" t="s">
        <v>7780</v>
      </c>
      <c r="G517" s="3">
        <v>32</v>
      </c>
      <c r="H517" s="3" t="s">
        <v>419</v>
      </c>
      <c r="I517" s="68" t="s">
        <v>7794</v>
      </c>
      <c r="J517" s="72">
        <v>1.4</v>
      </c>
      <c r="K517" s="14" t="s">
        <v>7796</v>
      </c>
      <c r="L517" s="9">
        <v>391.99</v>
      </c>
      <c r="M517" s="3">
        <v>545.87</v>
      </c>
      <c r="N517" s="66" t="s">
        <v>7981</v>
      </c>
      <c r="O517" s="5" t="s">
        <v>8473</v>
      </c>
      <c r="P517" s="49">
        <f t="shared" si="29"/>
        <v>2.3687973081560156</v>
      </c>
      <c r="Q517" s="1">
        <f t="shared" si="30"/>
        <v>2.9304076412152638</v>
      </c>
      <c r="R517" s="1">
        <f t="shared" si="32"/>
        <v>3.0488480468227035</v>
      </c>
      <c r="S517" s="10">
        <f t="shared" si="31"/>
        <v>2.6496024746856395</v>
      </c>
      <c r="T517" s="45" cm="1">
        <f t="array" ref="T517">SUMPRODUCT(P517:S517 * P$3:S$3) / SUM(P$3:S$3)</f>
        <v>2.7542256652497459</v>
      </c>
    </row>
    <row r="518" spans="1:20" ht="16.5" customHeight="1" x14ac:dyDescent="0.25">
      <c r="A518" s="5" t="s">
        <v>7058</v>
      </c>
      <c r="B518" s="16" t="s">
        <v>7410</v>
      </c>
      <c r="C518" s="4" t="s">
        <v>8797</v>
      </c>
      <c r="D518" s="4" t="s">
        <v>8980</v>
      </c>
      <c r="E518" s="12" t="s">
        <v>406</v>
      </c>
      <c r="F518" s="75" t="s">
        <v>7785</v>
      </c>
      <c r="G518" s="3">
        <v>8</v>
      </c>
      <c r="H518" s="3" t="s">
        <v>419</v>
      </c>
      <c r="I518" s="68" t="s">
        <v>7792</v>
      </c>
      <c r="J518" s="72">
        <v>1.4</v>
      </c>
      <c r="L518" s="9">
        <v>444.99</v>
      </c>
      <c r="M518" s="3">
        <v>586.89</v>
      </c>
      <c r="N518" s="66" t="s">
        <v>7971</v>
      </c>
      <c r="O518" s="5" t="s">
        <v>8463</v>
      </c>
      <c r="P518" s="49">
        <f t="shared" si="29"/>
        <v>1.5837261418775399</v>
      </c>
      <c r="Q518" s="1">
        <f t="shared" si="30"/>
        <v>1.6110517833701592</v>
      </c>
      <c r="R518" s="1">
        <f t="shared" si="32"/>
        <v>1.5938197884081746</v>
      </c>
      <c r="S518" s="10">
        <f t="shared" si="31"/>
        <v>1.5973889626238496</v>
      </c>
      <c r="T518" s="45" cm="1">
        <f t="array" ref="T518">SUMPRODUCT(P518:S518 * P$3:S$3) / SUM(P$3:S$3)</f>
        <v>1.5989418313208703</v>
      </c>
    </row>
    <row r="519" spans="1:20" ht="16.5" customHeight="1" x14ac:dyDescent="0.25">
      <c r="A519" s="5" t="s">
        <v>7000</v>
      </c>
      <c r="B519" s="16" t="s">
        <v>7275</v>
      </c>
      <c r="C519" s="4" t="s">
        <v>8798</v>
      </c>
      <c r="D519" s="4" t="s">
        <v>8981</v>
      </c>
      <c r="E519" s="12" t="s">
        <v>406</v>
      </c>
      <c r="F519" s="75" t="s">
        <v>7779</v>
      </c>
      <c r="G519" s="3">
        <v>8</v>
      </c>
      <c r="H519" s="3" t="s">
        <v>404</v>
      </c>
      <c r="I519" s="68" t="s">
        <v>7792</v>
      </c>
      <c r="J519" s="72">
        <v>1.35</v>
      </c>
      <c r="K519" s="14" t="s">
        <v>5476</v>
      </c>
      <c r="L519" s="9">
        <v>81.02</v>
      </c>
      <c r="M519" s="3">
        <v>111.37</v>
      </c>
      <c r="N519" s="66" t="s">
        <v>7836</v>
      </c>
      <c r="O519" s="5" t="s">
        <v>8353</v>
      </c>
      <c r="P519" s="49">
        <f t="shared" si="29"/>
        <v>1.5480534326402968</v>
      </c>
      <c r="Q519" s="1">
        <f t="shared" si="30"/>
        <v>1.5859790149816742</v>
      </c>
      <c r="R519" s="1">
        <f t="shared" si="32"/>
        <v>1.5714436926547242</v>
      </c>
      <c r="S519" s="10">
        <f t="shared" si="31"/>
        <v>1.5670162238109855</v>
      </c>
      <c r="T519" s="45" cm="1">
        <f t="array" ref="T519">SUMPRODUCT(P519:S519 * P$3:S$3) / SUM(P$3:S$3)</f>
        <v>1.5706147253516667</v>
      </c>
    </row>
    <row r="520" spans="1:20" ht="16.5" customHeight="1" x14ac:dyDescent="0.25">
      <c r="A520" s="5" t="s">
        <v>7000</v>
      </c>
      <c r="B520" s="16" t="s">
        <v>7312</v>
      </c>
      <c r="C520" s="4" t="s">
        <v>8798</v>
      </c>
      <c r="D520" s="4" t="s">
        <v>8981</v>
      </c>
      <c r="E520" s="12" t="s">
        <v>406</v>
      </c>
      <c r="F520" s="75" t="s">
        <v>7779</v>
      </c>
      <c r="G520" s="3">
        <v>8</v>
      </c>
      <c r="H520" s="3" t="s">
        <v>404</v>
      </c>
      <c r="I520" s="68" t="s">
        <v>7792</v>
      </c>
      <c r="J520" s="72">
        <v>1.4</v>
      </c>
      <c r="L520" s="9">
        <v>74.150000000000006</v>
      </c>
      <c r="M520" s="3">
        <v>100.92</v>
      </c>
      <c r="N520" s="66" t="s">
        <v>7873</v>
      </c>
      <c r="O520" s="5" t="s">
        <v>8382</v>
      </c>
      <c r="P520" s="49">
        <f t="shared" si="29"/>
        <v>1.5461846490412503</v>
      </c>
      <c r="Q520" s="1">
        <f t="shared" si="30"/>
        <v>1.5841102313826276</v>
      </c>
      <c r="R520" s="1">
        <f t="shared" si="32"/>
        <v>1.5695749090556776</v>
      </c>
      <c r="S520" s="10">
        <f t="shared" si="31"/>
        <v>1.5651474402119394</v>
      </c>
      <c r="T520" s="45" cm="1">
        <f t="array" ref="T520">SUMPRODUCT(P520:S520 * P$3:S$3) / SUM(P$3:S$3)</f>
        <v>1.5687459417526204</v>
      </c>
    </row>
    <row r="521" spans="1:20" ht="16.5" customHeight="1" x14ac:dyDescent="0.25">
      <c r="A521" s="5" t="s">
        <v>7193</v>
      </c>
      <c r="B521" s="16" t="s">
        <v>7636</v>
      </c>
      <c r="C521" s="4" t="s">
        <v>8796</v>
      </c>
      <c r="D521" s="4" t="s">
        <v>8982</v>
      </c>
      <c r="E521" s="12" t="s">
        <v>406</v>
      </c>
      <c r="F521" s="75" t="s">
        <v>7779</v>
      </c>
      <c r="G521" s="3">
        <v>8</v>
      </c>
      <c r="H521" s="3" t="s">
        <v>419</v>
      </c>
      <c r="I521" s="68" t="s">
        <v>7792</v>
      </c>
      <c r="J521" s="72">
        <v>1.4</v>
      </c>
      <c r="K521" s="14" t="s">
        <v>6175</v>
      </c>
      <c r="L521" s="9">
        <v>276.83999999999997</v>
      </c>
      <c r="M521" s="3">
        <v>633.27</v>
      </c>
      <c r="N521" s="66" t="s">
        <v>8197</v>
      </c>
      <c r="O521" s="5" t="s">
        <v>8655</v>
      </c>
      <c r="P521" s="49">
        <f t="shared" si="29"/>
        <v>1.6039391878354783</v>
      </c>
      <c r="Q521" s="1">
        <f t="shared" si="30"/>
        <v>1.6262115678386129</v>
      </c>
      <c r="R521" s="1">
        <f t="shared" si="32"/>
        <v>1.6064529421318863</v>
      </c>
      <c r="S521" s="10">
        <f t="shared" si="31"/>
        <v>1.6150753778370457</v>
      </c>
      <c r="T521" s="45" cm="1">
        <f t="array" ref="T521">SUMPRODUCT(P521:S521 * P$3:S$3) / SUM(P$3:S$3)</f>
        <v>1.6154621092672623</v>
      </c>
    </row>
    <row r="522" spans="1:20" ht="16.5" customHeight="1" x14ac:dyDescent="0.25">
      <c r="A522" s="5" t="s">
        <v>7110</v>
      </c>
      <c r="B522" s="16" t="s">
        <v>7484</v>
      </c>
      <c r="C522" s="4" t="s">
        <v>8797</v>
      </c>
      <c r="D522" s="4" t="s">
        <v>8983</v>
      </c>
      <c r="E522" s="12" t="s">
        <v>406</v>
      </c>
      <c r="F522" s="75" t="s">
        <v>7779</v>
      </c>
      <c r="G522" s="3">
        <v>16</v>
      </c>
      <c r="H522" s="3" t="s">
        <v>404</v>
      </c>
      <c r="I522" s="68" t="s">
        <v>7792</v>
      </c>
      <c r="J522" s="72">
        <v>1.5</v>
      </c>
      <c r="L522" s="9">
        <v>74.95</v>
      </c>
      <c r="M522" s="3">
        <v>102.9</v>
      </c>
      <c r="N522" s="66" t="s">
        <v>8045</v>
      </c>
      <c r="O522" s="5" t="s">
        <v>8525</v>
      </c>
      <c r="P522" s="49">
        <f t="shared" ref="P522:P585" si="33">(((F522/F$9)^F$7 * F$2 + (I522/I$9)^I$7 * I$2 + (J522/J$9)^J$7 * J$2) * (1+M$3*(MIN(H522,M$2)-1)+M$4*(H522-MIN(H522,M$2))) + (G522/G$9)^G$7 * G$2)  * P$9</f>
        <v>1.8470847377262558</v>
      </c>
      <c r="Q522" s="1">
        <f t="shared" ref="Q522:Q585" si="34">(((F522/F$9)^F$7 * F$3 + (I522/I$9)^I$7 * I$3 + (J522/J$9)^J$7 * J$3) * (1+M$3*(MIN(H522,M$2)-1)+M$4*(H522-MIN(H522,M$2))) + (G522/G$9)^G$7 * G$3)  * P$9</f>
        <v>2.0879125258342963</v>
      </c>
      <c r="R522" s="1">
        <f t="shared" si="32"/>
        <v>2.1241027549490124</v>
      </c>
      <c r="S522" s="10">
        <f t="shared" ref="S522:S585" si="35">(((F522/F$9)^F$7 * F$5 + (I522/I$9)^I$7 * I$5 + (J522/J$9)^J$7 * J$5) * (1+M$3*(MIN(H522,M$2)-1)+M$4*(H522-MIN(H522,M$2))) + (G522/G$9)^G$7 * G$5)  * P$9</f>
        <v>1.9674986317802765</v>
      </c>
      <c r="T522" s="45" cm="1">
        <f t="array" ref="T522">SUMPRODUCT(P522:S522 * P$3:S$3) / SUM(P$3:S$3)</f>
        <v>2.0101167882760844</v>
      </c>
    </row>
    <row r="523" spans="1:20" ht="16.5" customHeight="1" x14ac:dyDescent="0.25">
      <c r="A523" s="5" t="s">
        <v>7063</v>
      </c>
      <c r="B523" s="16" t="s">
        <v>7415</v>
      </c>
      <c r="C523" s="4" t="s">
        <v>8797</v>
      </c>
      <c r="D523" s="4" t="s">
        <v>8983</v>
      </c>
      <c r="E523" s="12" t="s">
        <v>406</v>
      </c>
      <c r="F523" s="75" t="s">
        <v>7779</v>
      </c>
      <c r="G523" s="3">
        <v>16</v>
      </c>
      <c r="H523" s="3" t="s">
        <v>404</v>
      </c>
      <c r="I523" s="68" t="s">
        <v>7792</v>
      </c>
      <c r="J523" s="72">
        <v>1.5</v>
      </c>
      <c r="K523" s="14" t="s">
        <v>7796</v>
      </c>
      <c r="L523" s="9">
        <v>110.9</v>
      </c>
      <c r="M523" s="3">
        <v>162.02000000000001</v>
      </c>
      <c r="N523" s="66" t="s">
        <v>7976</v>
      </c>
      <c r="O523" s="5" t="s">
        <v>8468</v>
      </c>
      <c r="P523" s="49">
        <f t="shared" si="33"/>
        <v>1.8470847377262558</v>
      </c>
      <c r="Q523" s="1">
        <f t="shared" si="34"/>
        <v>2.0879125258342963</v>
      </c>
      <c r="R523" s="1">
        <f t="shared" si="32"/>
        <v>2.1241027549490124</v>
      </c>
      <c r="S523" s="10">
        <f t="shared" si="35"/>
        <v>1.9674986317802765</v>
      </c>
      <c r="T523" s="45" cm="1">
        <f t="array" ref="T523">SUMPRODUCT(P523:S523 * P$3:S$3) / SUM(P$3:S$3)</f>
        <v>2.0101167882760844</v>
      </c>
    </row>
    <row r="524" spans="1:20" ht="16.5" customHeight="1" x14ac:dyDescent="0.25">
      <c r="A524" s="5" t="s">
        <v>7016</v>
      </c>
      <c r="B524" s="16" t="s">
        <v>7302</v>
      </c>
      <c r="C524" s="4" t="s">
        <v>8798</v>
      </c>
      <c r="D524" s="4" t="s">
        <v>8983</v>
      </c>
      <c r="E524" s="12" t="s">
        <v>406</v>
      </c>
      <c r="F524" s="75" t="s">
        <v>7779</v>
      </c>
      <c r="G524" s="3">
        <v>16</v>
      </c>
      <c r="H524" s="3" t="s">
        <v>404</v>
      </c>
      <c r="I524" s="68" t="s">
        <v>7792</v>
      </c>
      <c r="J524" s="72">
        <v>1.4</v>
      </c>
      <c r="L524" s="9">
        <v>123.85</v>
      </c>
      <c r="M524" s="3">
        <v>158.46</v>
      </c>
      <c r="N524" s="66" t="s">
        <v>7863</v>
      </c>
      <c r="O524" s="5" t="s">
        <v>8374</v>
      </c>
      <c r="P524" s="49">
        <f t="shared" si="33"/>
        <v>1.8505379576912455</v>
      </c>
      <c r="Q524" s="1">
        <f t="shared" si="34"/>
        <v>2.0913657457992865</v>
      </c>
      <c r="R524" s="1">
        <f t="shared" si="32"/>
        <v>2.1275559749140021</v>
      </c>
      <c r="S524" s="10">
        <f t="shared" si="35"/>
        <v>1.9709518517452662</v>
      </c>
      <c r="T524" s="45" cm="1">
        <f t="array" ref="T524">SUMPRODUCT(P524:S524 * P$3:S$3) / SUM(P$3:S$3)</f>
        <v>2.013570008241075</v>
      </c>
    </row>
    <row r="525" spans="1:20" ht="16.5" customHeight="1" x14ac:dyDescent="0.25">
      <c r="A525" s="5" t="s">
        <v>7074</v>
      </c>
      <c r="B525" s="16" t="s">
        <v>7430</v>
      </c>
      <c r="C525" s="4" t="s">
        <v>8797</v>
      </c>
      <c r="D525" s="4" t="s">
        <v>8984</v>
      </c>
      <c r="E525" s="12" t="s">
        <v>406</v>
      </c>
      <c r="F525" s="75" t="s">
        <v>7779</v>
      </c>
      <c r="G525" s="3">
        <v>32</v>
      </c>
      <c r="H525" s="3" t="s">
        <v>404</v>
      </c>
      <c r="I525" s="68" t="s">
        <v>7792</v>
      </c>
      <c r="J525" s="72">
        <v>1.5</v>
      </c>
      <c r="K525" s="14" t="s">
        <v>7796</v>
      </c>
      <c r="L525" s="9">
        <v>171.9</v>
      </c>
      <c r="M525" s="3">
        <v>235.33</v>
      </c>
      <c r="N525" s="66" t="s">
        <v>7991</v>
      </c>
      <c r="O525" s="5" t="s">
        <v>8483</v>
      </c>
      <c r="P525" s="49">
        <f t="shared" si="33"/>
        <v>2.3415081463060705</v>
      </c>
      <c r="Q525" s="1">
        <f t="shared" si="34"/>
        <v>2.9119515401339884</v>
      </c>
      <c r="R525" s="1">
        <f t="shared" si="32"/>
        <v>3.0305456706786735</v>
      </c>
      <c r="S525" s="10">
        <f t="shared" si="35"/>
        <v>2.6267298432200294</v>
      </c>
      <c r="T525" s="45" cm="1">
        <f t="array" ref="T525">SUMPRODUCT(P525:S525 * P$3:S$3) / SUM(P$3:S$3)</f>
        <v>2.7327356162004297</v>
      </c>
    </row>
    <row r="526" spans="1:20" ht="16.5" customHeight="1" x14ac:dyDescent="0.25">
      <c r="A526" s="5" t="s">
        <v>7072</v>
      </c>
      <c r="B526" s="16" t="s">
        <v>7425</v>
      </c>
      <c r="C526" s="4" t="s">
        <v>8797</v>
      </c>
      <c r="D526" s="4" t="s">
        <v>8984</v>
      </c>
      <c r="E526" s="12" t="s">
        <v>406</v>
      </c>
      <c r="F526" s="75" t="s">
        <v>7779</v>
      </c>
      <c r="G526" s="3">
        <v>32</v>
      </c>
      <c r="H526" s="3" t="s">
        <v>404</v>
      </c>
      <c r="I526" s="68" t="s">
        <v>7792</v>
      </c>
      <c r="J526" s="72">
        <v>1.5</v>
      </c>
      <c r="K526" s="14" t="s">
        <v>7796</v>
      </c>
      <c r="L526" s="9">
        <v>228.1</v>
      </c>
      <c r="M526" s="3">
        <v>337</v>
      </c>
      <c r="N526" s="66" t="s">
        <v>7986</v>
      </c>
      <c r="O526" s="5" t="s">
        <v>8478</v>
      </c>
      <c r="P526" s="49">
        <f t="shared" si="33"/>
        <v>2.3415081463060705</v>
      </c>
      <c r="Q526" s="1">
        <f t="shared" si="34"/>
        <v>2.9119515401339884</v>
      </c>
      <c r="R526" s="1">
        <f t="shared" si="32"/>
        <v>3.0305456706786735</v>
      </c>
      <c r="S526" s="10">
        <f t="shared" si="35"/>
        <v>2.6267298432200294</v>
      </c>
      <c r="T526" s="45" cm="1">
        <f t="array" ref="T526">SUMPRODUCT(P526:S526 * P$3:S$3) / SUM(P$3:S$3)</f>
        <v>2.7327356162004297</v>
      </c>
    </row>
    <row r="527" spans="1:20" ht="16.5" customHeight="1" x14ac:dyDescent="0.25">
      <c r="A527" s="5" t="s">
        <v>7109</v>
      </c>
      <c r="B527" s="16" t="s">
        <v>7483</v>
      </c>
      <c r="C527" s="4" t="s">
        <v>8797</v>
      </c>
      <c r="D527" s="4" t="s">
        <v>8985</v>
      </c>
      <c r="E527" s="12" t="s">
        <v>406</v>
      </c>
      <c r="F527" s="75" t="s">
        <v>7786</v>
      </c>
      <c r="G527" s="3">
        <v>16</v>
      </c>
      <c r="H527" s="3" t="s">
        <v>404</v>
      </c>
      <c r="I527" s="68" t="s">
        <v>7792</v>
      </c>
      <c r="J527" s="72">
        <v>1.5</v>
      </c>
      <c r="L527" s="9">
        <v>80.900000000000006</v>
      </c>
      <c r="M527" s="3">
        <v>179</v>
      </c>
      <c r="N527" s="66" t="s">
        <v>8044</v>
      </c>
      <c r="O527" s="5" t="s">
        <v>8524</v>
      </c>
      <c r="P527" s="49">
        <f t="shared" si="33"/>
        <v>1.8662758962807509</v>
      </c>
      <c r="Q527" s="1">
        <f t="shared" si="34"/>
        <v>2.102305894750168</v>
      </c>
      <c r="R527" s="1">
        <f t="shared" si="32"/>
        <v>2.1360972290455718</v>
      </c>
      <c r="S527" s="10">
        <f t="shared" si="35"/>
        <v>1.9842908955154597</v>
      </c>
      <c r="T527" s="45" cm="1">
        <f t="array" ref="T527">SUMPRODUCT(P527:S527 * P$3:S$3) / SUM(P$3:S$3)</f>
        <v>2.0258018697869704</v>
      </c>
    </row>
    <row r="528" spans="1:20" ht="16.5" customHeight="1" x14ac:dyDescent="0.25">
      <c r="A528" s="5" t="s">
        <v>7077</v>
      </c>
      <c r="B528" s="16" t="s">
        <v>7434</v>
      </c>
      <c r="C528" s="4" t="s">
        <v>8797</v>
      </c>
      <c r="D528" s="4" t="s">
        <v>8985</v>
      </c>
      <c r="E528" s="12" t="s">
        <v>406</v>
      </c>
      <c r="F528" s="75" t="s">
        <v>7786</v>
      </c>
      <c r="G528" s="3">
        <v>16</v>
      </c>
      <c r="H528" s="3" t="s">
        <v>404</v>
      </c>
      <c r="I528" s="68" t="s">
        <v>7792</v>
      </c>
      <c r="J528" s="72">
        <v>1.5</v>
      </c>
      <c r="K528" s="14" t="s">
        <v>7796</v>
      </c>
      <c r="L528" s="9">
        <v>93</v>
      </c>
      <c r="M528" s="3">
        <v>148.55000000000001</v>
      </c>
      <c r="N528" s="66" t="s">
        <v>7995</v>
      </c>
      <c r="O528" s="5" t="s">
        <v>8487</v>
      </c>
      <c r="P528" s="49">
        <f t="shared" si="33"/>
        <v>1.8662758962807509</v>
      </c>
      <c r="Q528" s="1">
        <f t="shared" si="34"/>
        <v>2.102305894750168</v>
      </c>
      <c r="R528" s="1">
        <f t="shared" ref="R528:R591" si="36">(((F528/F$9)^F$7 * F$4 + (I528/I$9)^I$7 * I$4 + (J528/J$9)^J$7 * J$4) * (1+M$3*(MIN(H528,M$2)-1)+M$4*(H528-MIN(H528,M$2))) + (G528/G$9)^G$7 * G$4)  * P$9</f>
        <v>2.1360972290455718</v>
      </c>
      <c r="S528" s="10">
        <f t="shared" si="35"/>
        <v>1.9842908955154597</v>
      </c>
      <c r="T528" s="45" cm="1">
        <f t="array" ref="T528">SUMPRODUCT(P528:S528 * P$3:S$3) / SUM(P$3:S$3)</f>
        <v>2.0258018697869704</v>
      </c>
    </row>
    <row r="529" spans="1:20" ht="16.5" customHeight="1" x14ac:dyDescent="0.25">
      <c r="A529" s="5" t="s">
        <v>7070</v>
      </c>
      <c r="B529" s="16" t="s">
        <v>7422</v>
      </c>
      <c r="C529" s="4" t="s">
        <v>8797</v>
      </c>
      <c r="D529" s="4" t="s">
        <v>8985</v>
      </c>
      <c r="E529" s="12" t="s">
        <v>406</v>
      </c>
      <c r="F529" s="75" t="s">
        <v>7786</v>
      </c>
      <c r="G529" s="3">
        <v>16</v>
      </c>
      <c r="H529" s="3" t="s">
        <v>404</v>
      </c>
      <c r="I529" s="68" t="s">
        <v>7792</v>
      </c>
      <c r="J529" s="72">
        <v>1.5</v>
      </c>
      <c r="K529" s="14" t="s">
        <v>7796</v>
      </c>
      <c r="L529" s="9">
        <v>114.9</v>
      </c>
      <c r="M529" s="3">
        <v>114.9</v>
      </c>
      <c r="N529" s="66" t="s">
        <v>7983</v>
      </c>
      <c r="O529" s="5" t="s">
        <v>8475</v>
      </c>
      <c r="P529" s="49">
        <f t="shared" si="33"/>
        <v>1.8662758962807509</v>
      </c>
      <c r="Q529" s="1">
        <f t="shared" si="34"/>
        <v>2.102305894750168</v>
      </c>
      <c r="R529" s="1">
        <f t="shared" si="36"/>
        <v>2.1360972290455718</v>
      </c>
      <c r="S529" s="10">
        <f t="shared" si="35"/>
        <v>1.9842908955154597</v>
      </c>
      <c r="T529" s="45" cm="1">
        <f t="array" ref="T529">SUMPRODUCT(P529:S529 * P$3:S$3) / SUM(P$3:S$3)</f>
        <v>2.0258018697869704</v>
      </c>
    </row>
    <row r="530" spans="1:20" ht="16.5" customHeight="1" x14ac:dyDescent="0.25">
      <c r="A530" s="5" t="s">
        <v>7073</v>
      </c>
      <c r="B530" s="16" t="s">
        <v>7429</v>
      </c>
      <c r="C530" s="4" t="s">
        <v>8797</v>
      </c>
      <c r="D530" s="4" t="s">
        <v>8986</v>
      </c>
      <c r="E530" s="12" t="s">
        <v>406</v>
      </c>
      <c r="F530" s="75" t="s">
        <v>7786</v>
      </c>
      <c r="G530" s="3">
        <v>32</v>
      </c>
      <c r="H530" s="3" t="s">
        <v>404</v>
      </c>
      <c r="I530" s="68" t="s">
        <v>7792</v>
      </c>
      <c r="J530" s="72">
        <v>1.5</v>
      </c>
      <c r="K530" s="14" t="s">
        <v>7796</v>
      </c>
      <c r="L530" s="9">
        <v>178.87</v>
      </c>
      <c r="M530" s="3">
        <v>276</v>
      </c>
      <c r="N530" s="66" t="s">
        <v>7990</v>
      </c>
      <c r="O530" s="5" t="s">
        <v>8482</v>
      </c>
      <c r="P530" s="49">
        <f t="shared" si="33"/>
        <v>2.360699304860566</v>
      </c>
      <c r="Q530" s="1">
        <f t="shared" si="34"/>
        <v>2.9263449090498597</v>
      </c>
      <c r="R530" s="1">
        <f t="shared" si="36"/>
        <v>3.0425401447752329</v>
      </c>
      <c r="S530" s="10">
        <f t="shared" si="35"/>
        <v>2.6435221069552126</v>
      </c>
      <c r="T530" s="45" cm="1">
        <f t="array" ref="T530">SUMPRODUCT(P530:S530 * P$3:S$3) / SUM(P$3:S$3)</f>
        <v>2.7484206977113153</v>
      </c>
    </row>
    <row r="531" spans="1:20" ht="16.5" customHeight="1" x14ac:dyDescent="0.25">
      <c r="A531" s="5" t="s">
        <v>7060</v>
      </c>
      <c r="B531" s="16" t="s">
        <v>7412</v>
      </c>
      <c r="C531" s="4" t="s">
        <v>8797</v>
      </c>
      <c r="D531" s="4" t="s">
        <v>8986</v>
      </c>
      <c r="E531" s="12" t="s">
        <v>406</v>
      </c>
      <c r="F531" s="75" t="s">
        <v>7786</v>
      </c>
      <c r="G531" s="3">
        <v>32</v>
      </c>
      <c r="H531" s="3" t="s">
        <v>404</v>
      </c>
      <c r="I531" s="68" t="s">
        <v>7792</v>
      </c>
      <c r="J531" s="72">
        <v>1.5</v>
      </c>
      <c r="K531" s="14" t="s">
        <v>7796</v>
      </c>
      <c r="L531" s="9">
        <v>201.9</v>
      </c>
      <c r="M531" s="3">
        <v>251.71</v>
      </c>
      <c r="N531" s="66" t="s">
        <v>7973</v>
      </c>
      <c r="O531" s="5" t="s">
        <v>8465</v>
      </c>
      <c r="P531" s="49">
        <f t="shared" si="33"/>
        <v>2.360699304860566</v>
      </c>
      <c r="Q531" s="1">
        <f t="shared" si="34"/>
        <v>2.9263449090498597</v>
      </c>
      <c r="R531" s="1">
        <f t="shared" si="36"/>
        <v>3.0425401447752329</v>
      </c>
      <c r="S531" s="10">
        <f t="shared" si="35"/>
        <v>2.6435221069552126</v>
      </c>
      <c r="T531" s="45" cm="1">
        <f t="array" ref="T531">SUMPRODUCT(P531:S531 * P$3:S$3) / SUM(P$3:S$3)</f>
        <v>2.7484206977113153</v>
      </c>
    </row>
    <row r="532" spans="1:20" ht="16.5" customHeight="1" x14ac:dyDescent="0.25">
      <c r="A532" s="5" t="s">
        <v>7114</v>
      </c>
      <c r="B532" s="16" t="s">
        <v>7491</v>
      </c>
      <c r="C532" s="4" t="s">
        <v>8797</v>
      </c>
      <c r="D532" s="4" t="s">
        <v>8987</v>
      </c>
      <c r="E532" s="12" t="s">
        <v>406</v>
      </c>
      <c r="F532" s="75" t="s">
        <v>7778</v>
      </c>
      <c r="G532" s="3">
        <v>8</v>
      </c>
      <c r="H532" s="3" t="s">
        <v>404</v>
      </c>
      <c r="I532" s="68" t="s">
        <v>7792</v>
      </c>
      <c r="J532" s="72">
        <v>1.5</v>
      </c>
      <c r="L532" s="9">
        <v>66.900000000000006</v>
      </c>
      <c r="M532" s="3">
        <v>91.9</v>
      </c>
      <c r="N532" s="66" t="s">
        <v>8052</v>
      </c>
      <c r="O532" s="5" t="s">
        <v>8531</v>
      </c>
      <c r="P532" s="49">
        <f t="shared" si="33"/>
        <v>1.5903505709599703</v>
      </c>
      <c r="Q532" s="1">
        <f t="shared" si="34"/>
        <v>1.6163713678304199</v>
      </c>
      <c r="R532" s="1">
        <f t="shared" si="36"/>
        <v>1.5958836527680063</v>
      </c>
      <c r="S532" s="10">
        <f t="shared" si="35"/>
        <v>1.6033609693951949</v>
      </c>
      <c r="T532" s="45" cm="1">
        <f t="array" ref="T532">SUMPRODUCT(P532:S532 * P$3:S$3) / SUM(P$3:S$3)</f>
        <v>1.6042122127502776</v>
      </c>
    </row>
    <row r="533" spans="1:20" ht="16.5" customHeight="1" x14ac:dyDescent="0.25">
      <c r="A533" s="5" t="s">
        <v>7071</v>
      </c>
      <c r="B533" s="16" t="s">
        <v>7424</v>
      </c>
      <c r="C533" s="4" t="s">
        <v>8797</v>
      </c>
      <c r="D533" s="4" t="s">
        <v>8987</v>
      </c>
      <c r="E533" s="12" t="s">
        <v>406</v>
      </c>
      <c r="F533" s="75" t="s">
        <v>7778</v>
      </c>
      <c r="G533" s="3">
        <v>8</v>
      </c>
      <c r="H533" s="3" t="s">
        <v>404</v>
      </c>
      <c r="I533" s="68" t="s">
        <v>7794</v>
      </c>
      <c r="J533" s="72">
        <v>1.5</v>
      </c>
      <c r="K533" s="14" t="s">
        <v>7796</v>
      </c>
      <c r="L533" s="9">
        <v>195</v>
      </c>
      <c r="M533" s="3">
        <v>492.98</v>
      </c>
      <c r="N533" s="66" t="s">
        <v>7985</v>
      </c>
      <c r="O533" s="5" t="s">
        <v>8477</v>
      </c>
      <c r="P533" s="49">
        <f t="shared" si="33"/>
        <v>1.596645255179002</v>
      </c>
      <c r="Q533" s="1">
        <f t="shared" si="34"/>
        <v>1.619518709939936</v>
      </c>
      <c r="R533" s="1">
        <f t="shared" si="36"/>
        <v>1.5990309948775221</v>
      </c>
      <c r="S533" s="10">
        <f t="shared" si="35"/>
        <v>1.6080819825594688</v>
      </c>
      <c r="T533" s="45" cm="1">
        <f t="array" ref="T533">SUMPRODUCT(P533:S533 * P$3:S$3) / SUM(P$3:S$3)</f>
        <v>1.6084490194361645</v>
      </c>
    </row>
    <row r="534" spans="1:20" ht="16.5" customHeight="1" x14ac:dyDescent="0.25">
      <c r="A534" s="5" t="s">
        <v>6999</v>
      </c>
      <c r="B534" s="16" t="s">
        <v>7273</v>
      </c>
      <c r="C534" s="4" t="s">
        <v>8798</v>
      </c>
      <c r="D534" s="4" t="s">
        <v>8987</v>
      </c>
      <c r="E534" s="12" t="s">
        <v>406</v>
      </c>
      <c r="F534" s="75" t="s">
        <v>7778</v>
      </c>
      <c r="G534" s="3">
        <v>8</v>
      </c>
      <c r="H534" s="3" t="s">
        <v>404</v>
      </c>
      <c r="I534" s="68" t="s">
        <v>7792</v>
      </c>
      <c r="J534" s="72">
        <v>1.35</v>
      </c>
      <c r="K534" s="14" t="s">
        <v>5476</v>
      </c>
      <c r="L534" s="9">
        <v>196.3</v>
      </c>
      <c r="M534" s="3">
        <v>197.95</v>
      </c>
      <c r="N534" s="66" t="s">
        <v>7834</v>
      </c>
      <c r="O534" s="5" t="s">
        <v>8352</v>
      </c>
      <c r="P534" s="49">
        <f t="shared" si="33"/>
        <v>1.5956725745240061</v>
      </c>
      <c r="Q534" s="1">
        <f t="shared" si="34"/>
        <v>1.6216933713944561</v>
      </c>
      <c r="R534" s="1">
        <f t="shared" si="36"/>
        <v>1.6012056563320425</v>
      </c>
      <c r="S534" s="10">
        <f t="shared" si="35"/>
        <v>1.6086829729592313</v>
      </c>
      <c r="T534" s="45" cm="1">
        <f t="array" ref="T534">SUMPRODUCT(P534:S534 * P$3:S$3) / SUM(P$3:S$3)</f>
        <v>1.6095342163143136</v>
      </c>
    </row>
    <row r="535" spans="1:20" ht="16.5" customHeight="1" x14ac:dyDescent="0.25">
      <c r="A535" s="5" t="s">
        <v>6999</v>
      </c>
      <c r="B535" s="16" t="s">
        <v>7274</v>
      </c>
      <c r="C535" s="4" t="s">
        <v>8798</v>
      </c>
      <c r="D535" s="4" t="s">
        <v>8987</v>
      </c>
      <c r="E535" s="12" t="s">
        <v>406</v>
      </c>
      <c r="F535" s="75" t="s">
        <v>7778</v>
      </c>
      <c r="G535" s="3">
        <v>8</v>
      </c>
      <c r="H535" s="3" t="s">
        <v>404</v>
      </c>
      <c r="I535" s="68" t="s">
        <v>7792</v>
      </c>
      <c r="J535" s="72">
        <v>1.35</v>
      </c>
      <c r="K535" s="14" t="s">
        <v>5476</v>
      </c>
      <c r="L535" s="9">
        <v>106.18</v>
      </c>
      <c r="M535" s="3">
        <v>136.63</v>
      </c>
      <c r="N535" s="66" t="s">
        <v>7835</v>
      </c>
      <c r="O535" s="5" t="s">
        <v>8352</v>
      </c>
      <c r="P535" s="49">
        <f t="shared" si="33"/>
        <v>1.5956725745240061</v>
      </c>
      <c r="Q535" s="1">
        <f t="shared" si="34"/>
        <v>1.6216933713944561</v>
      </c>
      <c r="R535" s="1">
        <f t="shared" si="36"/>
        <v>1.6012056563320425</v>
      </c>
      <c r="S535" s="10">
        <f t="shared" si="35"/>
        <v>1.6086829729592313</v>
      </c>
      <c r="T535" s="45" cm="1">
        <f t="array" ref="T535">SUMPRODUCT(P535:S535 * P$3:S$3) / SUM(P$3:S$3)</f>
        <v>1.6095342163143136</v>
      </c>
    </row>
    <row r="536" spans="1:20" ht="16.5" customHeight="1" x14ac:dyDescent="0.25">
      <c r="A536" s="5" t="s">
        <v>6999</v>
      </c>
      <c r="B536" s="16" t="s">
        <v>7311</v>
      </c>
      <c r="C536" s="4" t="s">
        <v>8798</v>
      </c>
      <c r="D536" s="4" t="s">
        <v>8987</v>
      </c>
      <c r="E536" s="12" t="s">
        <v>406</v>
      </c>
      <c r="F536" s="75" t="s">
        <v>7778</v>
      </c>
      <c r="G536" s="3">
        <v>8</v>
      </c>
      <c r="H536" s="3" t="s">
        <v>404</v>
      </c>
      <c r="I536" s="68" t="s">
        <v>7792</v>
      </c>
      <c r="J536" s="72">
        <v>1.5</v>
      </c>
      <c r="L536" s="9">
        <v>93.22</v>
      </c>
      <c r="M536" s="3">
        <v>127.06</v>
      </c>
      <c r="N536" s="66" t="s">
        <v>7872</v>
      </c>
      <c r="O536" s="5" t="s">
        <v>8381</v>
      </c>
      <c r="P536" s="49">
        <f t="shared" si="33"/>
        <v>1.5903505709599703</v>
      </c>
      <c r="Q536" s="1">
        <f t="shared" si="34"/>
        <v>1.6163713678304199</v>
      </c>
      <c r="R536" s="1">
        <f t="shared" si="36"/>
        <v>1.5958836527680063</v>
      </c>
      <c r="S536" s="10">
        <f t="shared" si="35"/>
        <v>1.6033609693951949</v>
      </c>
      <c r="T536" s="45" cm="1">
        <f t="array" ref="T536">SUMPRODUCT(P536:S536 * P$3:S$3) / SUM(P$3:S$3)</f>
        <v>1.6042122127502776</v>
      </c>
    </row>
    <row r="537" spans="1:20" ht="16.5" customHeight="1" x14ac:dyDescent="0.25">
      <c r="A537" s="5" t="s">
        <v>7015</v>
      </c>
      <c r="B537" s="16" t="s">
        <v>7301</v>
      </c>
      <c r="C537" s="4" t="s">
        <v>8798</v>
      </c>
      <c r="D537" s="4" t="s">
        <v>8988</v>
      </c>
      <c r="E537" s="12" t="s">
        <v>406</v>
      </c>
      <c r="F537" s="75" t="s">
        <v>7778</v>
      </c>
      <c r="G537" s="3">
        <v>16</v>
      </c>
      <c r="H537" s="3" t="s">
        <v>404</v>
      </c>
      <c r="I537" s="68" t="s">
        <v>7792</v>
      </c>
      <c r="J537" s="72">
        <v>1.5</v>
      </c>
      <c r="L537" s="9">
        <v>152.08000000000001</v>
      </c>
      <c r="M537" s="3">
        <v>188.86</v>
      </c>
      <c r="N537" s="66" t="s">
        <v>7862</v>
      </c>
      <c r="O537" s="5" t="s">
        <v>8373</v>
      </c>
      <c r="P537" s="49">
        <f t="shared" si="33"/>
        <v>1.8947038796099656</v>
      </c>
      <c r="Q537" s="1">
        <f t="shared" si="34"/>
        <v>2.1236268822470787</v>
      </c>
      <c r="R537" s="1">
        <f t="shared" si="36"/>
        <v>2.1538647186263309</v>
      </c>
      <c r="S537" s="10">
        <f t="shared" si="35"/>
        <v>2.0091653809285219</v>
      </c>
      <c r="T537" s="45" cm="1">
        <f t="array" ref="T537">SUMPRODUCT(P537:S537 * P$3:S$3) / SUM(P$3:S$3)</f>
        <v>2.0490362792387322</v>
      </c>
    </row>
    <row r="538" spans="1:20" ht="16.5" customHeight="1" x14ac:dyDescent="0.25">
      <c r="A538" s="5" t="s">
        <v>7020</v>
      </c>
      <c r="B538" s="16" t="s">
        <v>7310</v>
      </c>
      <c r="C538" s="4" t="s">
        <v>8798</v>
      </c>
      <c r="D538" s="4" t="s">
        <v>8989</v>
      </c>
      <c r="E538" s="12" t="s">
        <v>406</v>
      </c>
      <c r="F538" s="75" t="s">
        <v>6729</v>
      </c>
      <c r="G538" s="3">
        <v>8</v>
      </c>
      <c r="H538" s="3" t="s">
        <v>404</v>
      </c>
      <c r="I538" s="68" t="s">
        <v>7792</v>
      </c>
      <c r="J538" s="72">
        <v>1.5</v>
      </c>
      <c r="L538" s="9">
        <v>105.02</v>
      </c>
      <c r="M538" s="3">
        <v>174.9</v>
      </c>
      <c r="N538" s="66" t="s">
        <v>7871</v>
      </c>
      <c r="O538" s="5" t="s">
        <v>8380</v>
      </c>
      <c r="P538" s="49">
        <f t="shared" si="33"/>
        <v>1.6185323411090704</v>
      </c>
      <c r="Q538" s="1">
        <f t="shared" si="34"/>
        <v>1.6375076954422449</v>
      </c>
      <c r="R538" s="1">
        <f t="shared" si="36"/>
        <v>1.6134972591111938</v>
      </c>
      <c r="S538" s="10">
        <f t="shared" si="35"/>
        <v>1.6280200182756577</v>
      </c>
      <c r="T538" s="45" cm="1">
        <f t="array" ref="T538">SUMPRODUCT(P538:S538 * P$3:S$3) / SUM(P$3:S$3)</f>
        <v>1.6272453902759845</v>
      </c>
    </row>
    <row r="539" spans="1:20" ht="16.5" customHeight="1" x14ac:dyDescent="0.25">
      <c r="A539" s="5" t="s">
        <v>7019</v>
      </c>
      <c r="B539" s="16" t="s">
        <v>7309</v>
      </c>
      <c r="C539" s="4" t="s">
        <v>8798</v>
      </c>
      <c r="D539" s="4" t="s">
        <v>8990</v>
      </c>
      <c r="E539" s="12" t="s">
        <v>406</v>
      </c>
      <c r="F539" s="75" t="s">
        <v>7783</v>
      </c>
      <c r="G539" s="3">
        <v>8</v>
      </c>
      <c r="H539" s="3" t="s">
        <v>404</v>
      </c>
      <c r="I539" s="68" t="s">
        <v>7792</v>
      </c>
      <c r="J539" s="72">
        <v>1.55</v>
      </c>
      <c r="L539" s="9">
        <v>829.73</v>
      </c>
      <c r="M539" s="3">
        <v>1122.3699999999999</v>
      </c>
      <c r="N539" s="66" t="s">
        <v>7870</v>
      </c>
      <c r="O539" s="5" t="s">
        <v>8379</v>
      </c>
      <c r="P539" s="49">
        <f t="shared" si="33"/>
        <v>1.6448802697146245</v>
      </c>
      <c r="Q539" s="1">
        <f t="shared" si="34"/>
        <v>1.6568686681224363</v>
      </c>
      <c r="R539" s="1">
        <f t="shared" si="36"/>
        <v>1.6293647538287037</v>
      </c>
      <c r="S539" s="10">
        <f t="shared" si="35"/>
        <v>1.6508744689185302</v>
      </c>
      <c r="T539" s="45" cm="1">
        <f t="array" ref="T539">SUMPRODUCT(P539:S539 * P$3:S$3) / SUM(P$3:S$3)</f>
        <v>1.6484874664745424</v>
      </c>
    </row>
    <row r="540" spans="1:20" ht="16.5" customHeight="1" x14ac:dyDescent="0.25">
      <c r="A540" s="5" t="s">
        <v>7018</v>
      </c>
      <c r="B540" s="16" t="s">
        <v>7308</v>
      </c>
      <c r="C540" s="4" t="s">
        <v>8798</v>
      </c>
      <c r="D540" s="4" t="s">
        <v>8991</v>
      </c>
      <c r="E540" s="12" t="s">
        <v>406</v>
      </c>
      <c r="F540" s="75" t="s">
        <v>7782</v>
      </c>
      <c r="G540" s="3">
        <v>8</v>
      </c>
      <c r="H540" s="3" t="s">
        <v>404</v>
      </c>
      <c r="I540" s="68" t="s">
        <v>396</v>
      </c>
      <c r="J540" s="72">
        <v>1.6</v>
      </c>
      <c r="L540" s="9">
        <v>134.83000000000001</v>
      </c>
      <c r="M540" s="3">
        <v>212.96</v>
      </c>
      <c r="N540" s="66" t="s">
        <v>7869</v>
      </c>
      <c r="O540" s="5" t="s">
        <v>8378</v>
      </c>
      <c r="P540" s="49">
        <f t="shared" si="33"/>
        <v>1.6836140551000267</v>
      </c>
      <c r="Q540" s="1">
        <f t="shared" si="34"/>
        <v>1.686984408175366</v>
      </c>
      <c r="R540" s="1">
        <f t="shared" si="36"/>
        <v>1.6537249948270678</v>
      </c>
      <c r="S540" s="10">
        <f t="shared" si="35"/>
        <v>1.6852992316376965</v>
      </c>
      <c r="T540" s="45" cm="1">
        <f t="array" ref="T540">SUMPRODUCT(P540:S540 * P$3:S$3) / SUM(P$3:S$3)</f>
        <v>1.6807009146726257</v>
      </c>
    </row>
    <row r="541" spans="1:20" ht="16.5" customHeight="1" x14ac:dyDescent="0.25">
      <c r="A541" s="5" t="s">
        <v>6803</v>
      </c>
      <c r="B541" s="20" t="s">
        <v>4843</v>
      </c>
      <c r="C541" s="4" t="s">
        <v>8798</v>
      </c>
      <c r="D541" s="4" t="s">
        <v>8992</v>
      </c>
      <c r="E541" s="12" t="s">
        <v>407</v>
      </c>
      <c r="F541" s="75" t="s">
        <v>6729</v>
      </c>
      <c r="G541" s="3">
        <v>8</v>
      </c>
      <c r="H541" s="3" t="s">
        <v>6736</v>
      </c>
      <c r="I541" s="13" t="s">
        <v>6738</v>
      </c>
      <c r="J541" s="72">
        <v>1.1000000000000001</v>
      </c>
      <c r="L541" s="9">
        <v>29.9</v>
      </c>
      <c r="M541" s="3">
        <v>29.9</v>
      </c>
      <c r="N541" s="17" t="s">
        <v>4844</v>
      </c>
      <c r="O541" s="18" t="s">
        <v>4842</v>
      </c>
      <c r="P541" s="49">
        <f t="shared" si="33"/>
        <v>1.5405517585186121</v>
      </c>
      <c r="Q541" s="1">
        <f t="shared" si="34"/>
        <v>1.5994627084237991</v>
      </c>
      <c r="R541" s="1">
        <f t="shared" si="36"/>
        <v>1.5783223359827483</v>
      </c>
      <c r="S541" s="10">
        <f t="shared" si="35"/>
        <v>1.5700072334712056</v>
      </c>
      <c r="T541" s="45" cm="1">
        <f t="array" ref="T541">SUMPRODUCT(P541:S541 * P$3:S$3) / SUM(P$3:S$3)</f>
        <v>1.5758180915426112</v>
      </c>
    </row>
    <row r="542" spans="1:20" ht="16.5" customHeight="1" x14ac:dyDescent="0.25">
      <c r="A542" s="5" t="s">
        <v>6804</v>
      </c>
      <c r="B542" s="20" t="s">
        <v>5095</v>
      </c>
      <c r="C542" s="4" t="s">
        <v>8798</v>
      </c>
      <c r="D542" s="4" t="s">
        <v>8993</v>
      </c>
      <c r="E542" s="12" t="s">
        <v>407</v>
      </c>
      <c r="F542" s="75" t="s">
        <v>6729</v>
      </c>
      <c r="G542" s="3">
        <v>32</v>
      </c>
      <c r="H542" s="3" t="s">
        <v>6736</v>
      </c>
      <c r="I542" s="13" t="s">
        <v>6738</v>
      </c>
      <c r="J542" s="72">
        <v>1.1000000000000001</v>
      </c>
      <c r="K542" s="14" t="s">
        <v>4847</v>
      </c>
      <c r="L542" s="9">
        <v>139.9</v>
      </c>
      <c r="M542" s="3">
        <v>139.9</v>
      </c>
      <c r="N542" s="17" t="s">
        <v>5096</v>
      </c>
      <c r="O542" s="18" t="s">
        <v>5094</v>
      </c>
      <c r="P542" s="49">
        <f t="shared" si="33"/>
        <v>2.3393284757484221</v>
      </c>
      <c r="Q542" s="1">
        <f t="shared" si="34"/>
        <v>2.9307572371401496</v>
      </c>
      <c r="R542" s="1">
        <f t="shared" si="36"/>
        <v>3.0427463175707334</v>
      </c>
      <c r="S542" s="10">
        <f t="shared" si="35"/>
        <v>2.6350428564442856</v>
      </c>
      <c r="T542" s="45" cm="1">
        <f t="array" ref="T542">SUMPRODUCT(P542:S542 * P$3:S$3) / SUM(P$3:S$3)</f>
        <v>2.7432609859554109</v>
      </c>
    </row>
    <row r="543" spans="1:20" ht="16.5" customHeight="1" x14ac:dyDescent="0.25">
      <c r="A543" s="5" t="s">
        <v>6922</v>
      </c>
      <c r="B543" s="20" t="s">
        <v>6162</v>
      </c>
      <c r="C543" s="4" t="s">
        <v>8796</v>
      </c>
      <c r="D543" s="4" t="s">
        <v>8994</v>
      </c>
      <c r="E543" s="12" t="s">
        <v>407</v>
      </c>
      <c r="F543" s="75" t="s">
        <v>6729</v>
      </c>
      <c r="G543" s="3">
        <v>32</v>
      </c>
      <c r="H543" s="3" t="s">
        <v>404</v>
      </c>
      <c r="I543" s="13" t="s">
        <v>6740</v>
      </c>
      <c r="J543" s="72">
        <v>1.1000000000000001</v>
      </c>
      <c r="L543" s="9">
        <v>84.8</v>
      </c>
      <c r="M543" s="3">
        <v>141</v>
      </c>
      <c r="N543" s="17" t="s">
        <v>6163</v>
      </c>
      <c r="O543" s="18" t="s">
        <v>6161</v>
      </c>
      <c r="P543" s="49">
        <f t="shared" si="33"/>
        <v>2.3650401826284719</v>
      </c>
      <c r="Q543" s="1">
        <f t="shared" si="34"/>
        <v>2.9509199172637759</v>
      </c>
      <c r="R543" s="1">
        <f t="shared" si="36"/>
        <v>3.0600389338043597</v>
      </c>
      <c r="S543" s="10">
        <f t="shared" si="35"/>
        <v>2.6579800499461235</v>
      </c>
      <c r="T543" s="45" cm="1">
        <f t="array" ref="T543">SUMPRODUCT(P543:S543 * P$3:S$3) / SUM(P$3:S$3)</f>
        <v>2.7649029347424139</v>
      </c>
    </row>
    <row r="544" spans="1:20" ht="16.5" customHeight="1" x14ac:dyDescent="0.25">
      <c r="A544" s="5" t="s">
        <v>6912</v>
      </c>
      <c r="B544" s="20" t="s">
        <v>6081</v>
      </c>
      <c r="C544" s="4" t="s">
        <v>8796</v>
      </c>
      <c r="D544" s="4" t="s">
        <v>8995</v>
      </c>
      <c r="E544" s="12" t="s">
        <v>407</v>
      </c>
      <c r="F544" s="75" t="s">
        <v>6729</v>
      </c>
      <c r="G544" s="3">
        <v>64</v>
      </c>
      <c r="H544" s="3" t="s">
        <v>404</v>
      </c>
      <c r="I544" s="13" t="s">
        <v>6740</v>
      </c>
      <c r="J544" s="72">
        <v>1.1000000000000001</v>
      </c>
      <c r="L544" s="9">
        <v>161.99</v>
      </c>
      <c r="M544" s="3">
        <v>209.53</v>
      </c>
      <c r="N544" s="17" t="s">
        <v>6082</v>
      </c>
      <c r="O544" s="18" t="s">
        <v>6080</v>
      </c>
      <c r="P544" s="49">
        <f t="shared" si="33"/>
        <v>3.1682333794956179</v>
      </c>
      <c r="Q544" s="1">
        <f t="shared" si="34"/>
        <v>4.2895752453756861</v>
      </c>
      <c r="R544" s="1">
        <f t="shared" si="36"/>
        <v>4.5325597947274616</v>
      </c>
      <c r="S544" s="10">
        <f t="shared" si="35"/>
        <v>3.728904312435652</v>
      </c>
      <c r="T544" s="45" cm="1">
        <f t="array" ref="T544">SUMPRODUCT(P544:S544 * P$3:S$3) / SUM(P$3:S$3)</f>
        <v>3.9388006840097822</v>
      </c>
    </row>
    <row r="545" spans="1:20" ht="16.5" customHeight="1" x14ac:dyDescent="0.25">
      <c r="A545" s="5" t="s">
        <v>6802</v>
      </c>
      <c r="B545" s="20" t="s">
        <v>4837</v>
      </c>
      <c r="C545" s="4" t="s">
        <v>8798</v>
      </c>
      <c r="D545" s="4" t="s">
        <v>8996</v>
      </c>
      <c r="E545" s="12" t="s">
        <v>407</v>
      </c>
      <c r="F545" s="75" t="s">
        <v>410</v>
      </c>
      <c r="G545" s="3">
        <v>8</v>
      </c>
      <c r="H545" s="3" t="s">
        <v>6736</v>
      </c>
      <c r="I545" s="13" t="s">
        <v>6740</v>
      </c>
      <c r="J545" s="72">
        <v>1.25</v>
      </c>
      <c r="L545" s="9">
        <v>26.82</v>
      </c>
      <c r="M545" s="3">
        <v>49.92</v>
      </c>
      <c r="N545" s="17" t="s">
        <v>4838</v>
      </c>
      <c r="O545" s="18" t="s">
        <v>4836</v>
      </c>
      <c r="P545" s="49">
        <f t="shared" si="33"/>
        <v>1.5840734378529961</v>
      </c>
      <c r="Q545" s="1">
        <f t="shared" si="34"/>
        <v>1.6313023360413625</v>
      </c>
      <c r="R545" s="1">
        <f t="shared" si="36"/>
        <v>1.6033926460920167</v>
      </c>
      <c r="S545" s="10">
        <f t="shared" si="35"/>
        <v>1.6076878869471796</v>
      </c>
      <c r="T545" s="45" cm="1">
        <f t="array" ref="T545">SUMPRODUCT(P545:S545 * P$3:S$3) / SUM(P$3:S$3)</f>
        <v>1.6106600728301059</v>
      </c>
    </row>
    <row r="546" spans="1:20" ht="16.5" customHeight="1" x14ac:dyDescent="0.25">
      <c r="A546" s="5" t="s">
        <v>6802</v>
      </c>
      <c r="B546" s="20" t="s">
        <v>4840</v>
      </c>
      <c r="C546" s="4" t="s">
        <v>8798</v>
      </c>
      <c r="D546" s="4" t="s">
        <v>8996</v>
      </c>
      <c r="E546" s="12" t="s">
        <v>407</v>
      </c>
      <c r="F546" s="75" t="s">
        <v>410</v>
      </c>
      <c r="G546" s="3">
        <v>8</v>
      </c>
      <c r="H546" s="3" t="s">
        <v>6736</v>
      </c>
      <c r="I546" s="13" t="s">
        <v>6739</v>
      </c>
      <c r="J546" s="72">
        <v>1.25</v>
      </c>
      <c r="L546" s="9">
        <v>27.48</v>
      </c>
      <c r="M546" s="3">
        <v>46.26</v>
      </c>
      <c r="N546" s="17" t="s">
        <v>4841</v>
      </c>
      <c r="O546" s="18" t="s">
        <v>4839</v>
      </c>
      <c r="P546" s="49">
        <f t="shared" si="33"/>
        <v>1.5918262851872758</v>
      </c>
      <c r="Q546" s="1">
        <f t="shared" si="34"/>
        <v>1.6351787597085026</v>
      </c>
      <c r="R546" s="1">
        <f t="shared" si="36"/>
        <v>1.6072690697591563</v>
      </c>
      <c r="S546" s="10">
        <f t="shared" si="35"/>
        <v>1.6135025224478892</v>
      </c>
      <c r="T546" s="45" cm="1">
        <f t="array" ref="T546">SUMPRODUCT(P546:S546 * P$3:S$3) / SUM(P$3:S$3)</f>
        <v>1.6158783354589477</v>
      </c>
    </row>
    <row r="547" spans="1:20" ht="16.5" customHeight="1" x14ac:dyDescent="0.25">
      <c r="A547" s="5" t="s">
        <v>6802</v>
      </c>
      <c r="B547" s="20" t="s">
        <v>5150</v>
      </c>
      <c r="C547" s="4" t="s">
        <v>8798</v>
      </c>
      <c r="D547" s="4" t="s">
        <v>8996</v>
      </c>
      <c r="E547" s="12" t="s">
        <v>407</v>
      </c>
      <c r="F547" s="75" t="s">
        <v>410</v>
      </c>
      <c r="G547" s="3">
        <v>8</v>
      </c>
      <c r="H547" s="3" t="s">
        <v>6736</v>
      </c>
      <c r="I547" s="13" t="s">
        <v>6740</v>
      </c>
      <c r="J547" s="72">
        <v>1.25</v>
      </c>
      <c r="K547" s="14" t="s">
        <v>4847</v>
      </c>
      <c r="L547" s="9">
        <v>36.89</v>
      </c>
      <c r="M547" s="3">
        <v>60.5</v>
      </c>
      <c r="N547" s="17" t="s">
        <v>5151</v>
      </c>
      <c r="O547" s="18" t="s">
        <v>5149</v>
      </c>
      <c r="P547" s="49">
        <f t="shared" si="33"/>
        <v>1.5840734378529961</v>
      </c>
      <c r="Q547" s="1">
        <f t="shared" si="34"/>
        <v>1.6313023360413625</v>
      </c>
      <c r="R547" s="1">
        <f t="shared" si="36"/>
        <v>1.6033926460920167</v>
      </c>
      <c r="S547" s="10">
        <f t="shared" si="35"/>
        <v>1.6076878869471796</v>
      </c>
      <c r="T547" s="45" cm="1">
        <f t="array" ref="T547">SUMPRODUCT(P547:S547 * P$3:S$3) / SUM(P$3:S$3)</f>
        <v>1.6106600728301059</v>
      </c>
    </row>
    <row r="548" spans="1:20" ht="16.5" customHeight="1" x14ac:dyDescent="0.25">
      <c r="A548" s="5" t="s">
        <v>6802</v>
      </c>
      <c r="B548" s="20" t="s">
        <v>5153</v>
      </c>
      <c r="C548" s="4" t="s">
        <v>8798</v>
      </c>
      <c r="D548" s="4" t="s">
        <v>8996</v>
      </c>
      <c r="E548" s="12" t="s">
        <v>407</v>
      </c>
      <c r="F548" s="75" t="s">
        <v>410</v>
      </c>
      <c r="G548" s="3">
        <v>8</v>
      </c>
      <c r="H548" s="3" t="s">
        <v>6736</v>
      </c>
      <c r="I548" s="13" t="s">
        <v>6739</v>
      </c>
      <c r="J548" s="72">
        <v>1.25</v>
      </c>
      <c r="K548" s="14" t="s">
        <v>4847</v>
      </c>
      <c r="L548" s="9">
        <v>33.29</v>
      </c>
      <c r="M548" s="3">
        <v>50.18</v>
      </c>
      <c r="N548" s="17" t="s">
        <v>5154</v>
      </c>
      <c r="O548" s="18" t="s">
        <v>5152</v>
      </c>
      <c r="P548" s="49">
        <f t="shared" si="33"/>
        <v>1.5918262851872758</v>
      </c>
      <c r="Q548" s="1">
        <f t="shared" si="34"/>
        <v>1.6351787597085026</v>
      </c>
      <c r="R548" s="1">
        <f t="shared" si="36"/>
        <v>1.6072690697591563</v>
      </c>
      <c r="S548" s="10">
        <f t="shared" si="35"/>
        <v>1.6135025224478892</v>
      </c>
      <c r="T548" s="45" cm="1">
        <f t="array" ref="T548">SUMPRODUCT(P548:S548 * P$3:S$3) / SUM(P$3:S$3)</f>
        <v>1.6158783354589477</v>
      </c>
    </row>
    <row r="549" spans="1:20" ht="16.5" customHeight="1" x14ac:dyDescent="0.25">
      <c r="A549" s="5" t="s">
        <v>6925</v>
      </c>
      <c r="B549" s="20" t="s">
        <v>6171</v>
      </c>
      <c r="C549" s="4" t="s">
        <v>8796</v>
      </c>
      <c r="D549" s="4" t="s">
        <v>8997</v>
      </c>
      <c r="E549" s="12" t="s">
        <v>407</v>
      </c>
      <c r="F549" s="75" t="s">
        <v>410</v>
      </c>
      <c r="G549" s="3">
        <v>16</v>
      </c>
      <c r="H549" s="3" t="s">
        <v>6736</v>
      </c>
      <c r="I549" s="13" t="s">
        <v>6740</v>
      </c>
      <c r="J549" s="72">
        <v>1.25</v>
      </c>
      <c r="L549" s="9">
        <v>51.04</v>
      </c>
      <c r="M549" s="3">
        <v>74.900000000000006</v>
      </c>
      <c r="N549" s="17" t="s">
        <v>6172</v>
      </c>
      <c r="O549" s="18" t="s">
        <v>6170</v>
      </c>
      <c r="P549" s="49">
        <f t="shared" si="33"/>
        <v>1.8884267465029914</v>
      </c>
      <c r="Q549" s="1">
        <f t="shared" si="34"/>
        <v>2.1385578504580214</v>
      </c>
      <c r="R549" s="1">
        <f t="shared" si="36"/>
        <v>2.1613737119503411</v>
      </c>
      <c r="S549" s="10">
        <f t="shared" si="35"/>
        <v>2.0134922984805064</v>
      </c>
      <c r="T549" s="45" cm="1">
        <f t="array" ref="T549">SUMPRODUCT(P549:S549 * P$3:S$3) / SUM(P$3:S$3)</f>
        <v>2.0554841393185601</v>
      </c>
    </row>
    <row r="550" spans="1:20" ht="16.5" customHeight="1" x14ac:dyDescent="0.25">
      <c r="A550" s="5" t="s">
        <v>6925</v>
      </c>
      <c r="B550" s="20" t="s">
        <v>6393</v>
      </c>
      <c r="C550" s="4" t="s">
        <v>8796</v>
      </c>
      <c r="D550" s="4" t="s">
        <v>8997</v>
      </c>
      <c r="E550" s="12" t="s">
        <v>407</v>
      </c>
      <c r="F550" s="75" t="s">
        <v>410</v>
      </c>
      <c r="G550" s="3">
        <v>16</v>
      </c>
      <c r="H550" s="3" t="s">
        <v>6736</v>
      </c>
      <c r="I550" s="13" t="s">
        <v>6740</v>
      </c>
      <c r="J550" s="72">
        <v>1.25</v>
      </c>
      <c r="K550" s="14" t="s">
        <v>6175</v>
      </c>
      <c r="L550" s="9">
        <v>55.72</v>
      </c>
      <c r="M550" s="3">
        <v>81.900000000000006</v>
      </c>
      <c r="N550" s="17" t="s">
        <v>6394</v>
      </c>
      <c r="O550" s="18" t="s">
        <v>6392</v>
      </c>
      <c r="P550" s="49">
        <f t="shared" si="33"/>
        <v>1.8884267465029914</v>
      </c>
      <c r="Q550" s="1">
        <f t="shared" si="34"/>
        <v>2.1385578504580214</v>
      </c>
      <c r="R550" s="1">
        <f t="shared" si="36"/>
        <v>2.1613737119503411</v>
      </c>
      <c r="S550" s="10">
        <f t="shared" si="35"/>
        <v>2.0134922984805064</v>
      </c>
      <c r="T550" s="45" cm="1">
        <f t="array" ref="T550">SUMPRODUCT(P550:S550 * P$3:S$3) / SUM(P$3:S$3)</f>
        <v>2.0554841393185601</v>
      </c>
    </row>
    <row r="551" spans="1:20" ht="16.5" customHeight="1" x14ac:dyDescent="0.25">
      <c r="A551" s="5" t="s">
        <v>6925</v>
      </c>
      <c r="B551" s="20" t="s">
        <v>6457</v>
      </c>
      <c r="C551" s="4" t="s">
        <v>8796</v>
      </c>
      <c r="D551" s="4" t="s">
        <v>8997</v>
      </c>
      <c r="E551" s="12" t="s">
        <v>407</v>
      </c>
      <c r="F551" s="75" t="s">
        <v>410</v>
      </c>
      <c r="G551" s="3">
        <v>16</v>
      </c>
      <c r="H551" s="3" t="s">
        <v>6736</v>
      </c>
      <c r="I551" s="13" t="s">
        <v>6740</v>
      </c>
      <c r="J551" s="72">
        <v>1.25</v>
      </c>
      <c r="K551" s="14" t="s">
        <v>6175</v>
      </c>
      <c r="L551" s="9">
        <v>56.4</v>
      </c>
      <c r="M551" s="3">
        <v>81.900000000000006</v>
      </c>
      <c r="N551" s="17" t="s">
        <v>6458</v>
      </c>
      <c r="O551" s="18" t="s">
        <v>6456</v>
      </c>
      <c r="P551" s="49">
        <f t="shared" si="33"/>
        <v>1.8884267465029914</v>
      </c>
      <c r="Q551" s="1">
        <f t="shared" si="34"/>
        <v>2.1385578504580214</v>
      </c>
      <c r="R551" s="1">
        <f t="shared" si="36"/>
        <v>2.1613737119503411</v>
      </c>
      <c r="S551" s="10">
        <f t="shared" si="35"/>
        <v>2.0134922984805064</v>
      </c>
      <c r="T551" s="45" cm="1">
        <f t="array" ref="T551">SUMPRODUCT(P551:S551 * P$3:S$3) / SUM(P$3:S$3)</f>
        <v>2.0554841393185601</v>
      </c>
    </row>
    <row r="552" spans="1:20" ht="16.5" customHeight="1" x14ac:dyDescent="0.25">
      <c r="A552" s="5" t="s">
        <v>6925</v>
      </c>
      <c r="B552" s="20" t="s">
        <v>6526</v>
      </c>
      <c r="C552" s="4" t="s">
        <v>8796</v>
      </c>
      <c r="D552" s="4" t="s">
        <v>8997</v>
      </c>
      <c r="E552" s="12" t="s">
        <v>407</v>
      </c>
      <c r="F552" s="75" t="s">
        <v>410</v>
      </c>
      <c r="G552" s="3">
        <v>16</v>
      </c>
      <c r="H552" s="3" t="s">
        <v>6736</v>
      </c>
      <c r="I552" s="13" t="s">
        <v>6740</v>
      </c>
      <c r="J552" s="72">
        <v>1.25</v>
      </c>
      <c r="L552" s="9">
        <v>49.8</v>
      </c>
      <c r="M552" s="3">
        <v>72.56</v>
      </c>
      <c r="N552" s="17" t="s">
        <v>6527</v>
      </c>
      <c r="O552" s="18" t="s">
        <v>6525</v>
      </c>
      <c r="P552" s="49">
        <f t="shared" si="33"/>
        <v>1.8884267465029914</v>
      </c>
      <c r="Q552" s="1">
        <f t="shared" si="34"/>
        <v>2.1385578504580214</v>
      </c>
      <c r="R552" s="1">
        <f t="shared" si="36"/>
        <v>2.1613737119503411</v>
      </c>
      <c r="S552" s="10">
        <f t="shared" si="35"/>
        <v>2.0134922984805064</v>
      </c>
      <c r="T552" s="45" cm="1">
        <f t="array" ref="T552">SUMPRODUCT(P552:S552 * P$3:S$3) / SUM(P$3:S$3)</f>
        <v>2.0554841393185601</v>
      </c>
    </row>
    <row r="553" spans="1:20" ht="16.5" customHeight="1" x14ac:dyDescent="0.25">
      <c r="A553" s="5" t="s">
        <v>6794</v>
      </c>
      <c r="B553" s="20" t="s">
        <v>4656</v>
      </c>
      <c r="C553" s="4" t="s">
        <v>8798</v>
      </c>
      <c r="D553" s="4" t="s">
        <v>8997</v>
      </c>
      <c r="E553" s="12" t="s">
        <v>407</v>
      </c>
      <c r="F553" s="75" t="s">
        <v>410</v>
      </c>
      <c r="G553" s="3">
        <v>16</v>
      </c>
      <c r="H553" s="3" t="s">
        <v>6736</v>
      </c>
      <c r="I553" s="13" t="s">
        <v>6740</v>
      </c>
      <c r="J553" s="72">
        <v>1.25</v>
      </c>
      <c r="L553" s="9">
        <v>47.99</v>
      </c>
      <c r="M553" s="3">
        <v>84.95</v>
      </c>
      <c r="N553" s="17" t="s">
        <v>4657</v>
      </c>
      <c r="O553" s="18" t="s">
        <v>4655</v>
      </c>
      <c r="P553" s="49">
        <f t="shared" si="33"/>
        <v>1.8884267465029914</v>
      </c>
      <c r="Q553" s="1">
        <f t="shared" si="34"/>
        <v>2.1385578504580214</v>
      </c>
      <c r="R553" s="1">
        <f t="shared" si="36"/>
        <v>2.1613737119503411</v>
      </c>
      <c r="S553" s="10">
        <f t="shared" si="35"/>
        <v>2.0134922984805064</v>
      </c>
      <c r="T553" s="45" cm="1">
        <f t="array" ref="T553">SUMPRODUCT(P553:S553 * P$3:S$3) / SUM(P$3:S$3)</f>
        <v>2.0554841393185601</v>
      </c>
    </row>
    <row r="554" spans="1:20" ht="16.5" customHeight="1" x14ac:dyDescent="0.25">
      <c r="A554" s="5" t="s">
        <v>6794</v>
      </c>
      <c r="B554" s="20" t="s">
        <v>4659</v>
      </c>
      <c r="C554" s="4" t="s">
        <v>8798</v>
      </c>
      <c r="D554" s="4" t="s">
        <v>8997</v>
      </c>
      <c r="E554" s="12" t="s">
        <v>407</v>
      </c>
      <c r="F554" s="75" t="s">
        <v>410</v>
      </c>
      <c r="G554" s="3">
        <v>16</v>
      </c>
      <c r="H554" s="3" t="s">
        <v>6736</v>
      </c>
      <c r="I554" s="13" t="s">
        <v>6739</v>
      </c>
      <c r="J554" s="72">
        <v>1.25</v>
      </c>
      <c r="L554" s="9">
        <v>46.95</v>
      </c>
      <c r="M554" s="3">
        <v>100</v>
      </c>
      <c r="N554" s="17" t="s">
        <v>4660</v>
      </c>
      <c r="O554" s="18" t="s">
        <v>4658</v>
      </c>
      <c r="P554" s="49">
        <f t="shared" si="33"/>
        <v>1.896179593837271</v>
      </c>
      <c r="Q554" s="1">
        <f t="shared" si="34"/>
        <v>2.1424342741251614</v>
      </c>
      <c r="R554" s="1">
        <f t="shared" si="36"/>
        <v>2.1652501356174807</v>
      </c>
      <c r="S554" s="10">
        <f t="shared" si="35"/>
        <v>2.0193069339812162</v>
      </c>
      <c r="T554" s="45" cm="1">
        <f t="array" ref="T554">SUMPRODUCT(P554:S554 * P$3:S$3) / SUM(P$3:S$3)</f>
        <v>2.0607024019474021</v>
      </c>
    </row>
    <row r="555" spans="1:20" ht="16.5" customHeight="1" x14ac:dyDescent="0.25">
      <c r="A555" s="5" t="s">
        <v>6794</v>
      </c>
      <c r="B555" s="20" t="s">
        <v>4814</v>
      </c>
      <c r="C555" s="4" t="s">
        <v>8798</v>
      </c>
      <c r="D555" s="4" t="s">
        <v>8997</v>
      </c>
      <c r="E555" s="12" t="s">
        <v>407</v>
      </c>
      <c r="F555" s="75" t="s">
        <v>410</v>
      </c>
      <c r="G555" s="3">
        <v>16</v>
      </c>
      <c r="H555" s="3" t="s">
        <v>6736</v>
      </c>
      <c r="I555" s="13" t="s">
        <v>6740</v>
      </c>
      <c r="J555" s="72">
        <v>1.25</v>
      </c>
      <c r="L555" s="9">
        <v>43.9</v>
      </c>
      <c r="M555" s="3">
        <v>88</v>
      </c>
      <c r="N555" s="17" t="s">
        <v>4815</v>
      </c>
      <c r="O555" s="18" t="s">
        <v>4813</v>
      </c>
      <c r="P555" s="49">
        <f t="shared" si="33"/>
        <v>1.8884267465029914</v>
      </c>
      <c r="Q555" s="1">
        <f t="shared" si="34"/>
        <v>2.1385578504580214</v>
      </c>
      <c r="R555" s="1">
        <f t="shared" si="36"/>
        <v>2.1613737119503411</v>
      </c>
      <c r="S555" s="10">
        <f t="shared" si="35"/>
        <v>2.0134922984805064</v>
      </c>
      <c r="T555" s="45" cm="1">
        <f t="array" ref="T555">SUMPRODUCT(P555:S555 * P$3:S$3) / SUM(P$3:S$3)</f>
        <v>2.0554841393185601</v>
      </c>
    </row>
    <row r="556" spans="1:20" ht="16.5" customHeight="1" x14ac:dyDescent="0.25">
      <c r="A556" s="5" t="s">
        <v>6794</v>
      </c>
      <c r="B556" s="20" t="s">
        <v>4817</v>
      </c>
      <c r="C556" s="4" t="s">
        <v>8798</v>
      </c>
      <c r="D556" s="4" t="s">
        <v>8997</v>
      </c>
      <c r="E556" s="12" t="s">
        <v>407</v>
      </c>
      <c r="F556" s="75" t="s">
        <v>410</v>
      </c>
      <c r="G556" s="3">
        <v>16</v>
      </c>
      <c r="H556" s="3" t="s">
        <v>6736</v>
      </c>
      <c r="I556" s="13" t="s">
        <v>6739</v>
      </c>
      <c r="J556" s="72">
        <v>1.25</v>
      </c>
      <c r="L556" s="9">
        <v>47.9</v>
      </c>
      <c r="M556" s="3">
        <v>78.989999999999995</v>
      </c>
      <c r="N556" s="17" t="s">
        <v>4818</v>
      </c>
      <c r="O556" s="18" t="s">
        <v>4816</v>
      </c>
      <c r="P556" s="49">
        <f t="shared" si="33"/>
        <v>1.896179593837271</v>
      </c>
      <c r="Q556" s="1">
        <f t="shared" si="34"/>
        <v>2.1424342741251614</v>
      </c>
      <c r="R556" s="1">
        <f t="shared" si="36"/>
        <v>2.1652501356174807</v>
      </c>
      <c r="S556" s="10">
        <f t="shared" si="35"/>
        <v>2.0193069339812162</v>
      </c>
      <c r="T556" s="45" cm="1">
        <f t="array" ref="T556">SUMPRODUCT(P556:S556 * P$3:S$3) / SUM(P$3:S$3)</f>
        <v>2.0607024019474021</v>
      </c>
    </row>
    <row r="557" spans="1:20" ht="16.5" customHeight="1" x14ac:dyDescent="0.25">
      <c r="A557" s="5" t="s">
        <v>6794</v>
      </c>
      <c r="B557" s="20" t="s">
        <v>4970</v>
      </c>
      <c r="C557" s="4" t="s">
        <v>8798</v>
      </c>
      <c r="D557" s="4" t="s">
        <v>8997</v>
      </c>
      <c r="E557" s="12" t="s">
        <v>407</v>
      </c>
      <c r="F557" s="75" t="s">
        <v>410</v>
      </c>
      <c r="G557" s="3">
        <v>16</v>
      </c>
      <c r="H557" s="3" t="s">
        <v>6736</v>
      </c>
      <c r="I557" s="13" t="s">
        <v>6740</v>
      </c>
      <c r="J557" s="72">
        <v>1.25</v>
      </c>
      <c r="K557" s="14" t="s">
        <v>4847</v>
      </c>
      <c r="L557" s="9">
        <v>53.9</v>
      </c>
      <c r="M557" s="3">
        <v>88.49</v>
      </c>
      <c r="N557" s="17" t="s">
        <v>4971</v>
      </c>
      <c r="O557" s="18" t="s">
        <v>4969</v>
      </c>
      <c r="P557" s="49">
        <f t="shared" si="33"/>
        <v>1.8884267465029914</v>
      </c>
      <c r="Q557" s="1">
        <f t="shared" si="34"/>
        <v>2.1385578504580214</v>
      </c>
      <c r="R557" s="1">
        <f t="shared" si="36"/>
        <v>2.1613737119503411</v>
      </c>
      <c r="S557" s="10">
        <f t="shared" si="35"/>
        <v>2.0134922984805064</v>
      </c>
      <c r="T557" s="45" cm="1">
        <f t="array" ref="T557">SUMPRODUCT(P557:S557 * P$3:S$3) / SUM(P$3:S$3)</f>
        <v>2.0554841393185601</v>
      </c>
    </row>
    <row r="558" spans="1:20" ht="16.5" customHeight="1" x14ac:dyDescent="0.25">
      <c r="A558" s="5" t="s">
        <v>6794</v>
      </c>
      <c r="B558" s="20" t="s">
        <v>4973</v>
      </c>
      <c r="C558" s="4" t="s">
        <v>8798</v>
      </c>
      <c r="D558" s="4" t="s">
        <v>8997</v>
      </c>
      <c r="E558" s="12" t="s">
        <v>407</v>
      </c>
      <c r="F558" s="75" t="s">
        <v>410</v>
      </c>
      <c r="G558" s="3">
        <v>16</v>
      </c>
      <c r="H558" s="3" t="s">
        <v>6736</v>
      </c>
      <c r="I558" s="13" t="s">
        <v>6739</v>
      </c>
      <c r="J558" s="72">
        <v>1.25</v>
      </c>
      <c r="K558" s="14" t="s">
        <v>4847</v>
      </c>
      <c r="L558" s="9">
        <v>52.68</v>
      </c>
      <c r="M558" s="3">
        <v>88.49</v>
      </c>
      <c r="N558" s="17" t="s">
        <v>4974</v>
      </c>
      <c r="O558" s="18" t="s">
        <v>4972</v>
      </c>
      <c r="P558" s="49">
        <f t="shared" si="33"/>
        <v>1.896179593837271</v>
      </c>
      <c r="Q558" s="1">
        <f t="shared" si="34"/>
        <v>2.1424342741251614</v>
      </c>
      <c r="R558" s="1">
        <f t="shared" si="36"/>
        <v>2.1652501356174807</v>
      </c>
      <c r="S558" s="10">
        <f t="shared" si="35"/>
        <v>2.0193069339812162</v>
      </c>
      <c r="T558" s="45" cm="1">
        <f t="array" ref="T558">SUMPRODUCT(P558:S558 * P$3:S$3) / SUM(P$3:S$3)</f>
        <v>2.0607024019474021</v>
      </c>
    </row>
    <row r="559" spans="1:20" ht="16.5" customHeight="1" x14ac:dyDescent="0.25">
      <c r="A559" s="5" t="s">
        <v>6794</v>
      </c>
      <c r="B559" s="20" t="s">
        <v>5127</v>
      </c>
      <c r="C559" s="4" t="s">
        <v>8798</v>
      </c>
      <c r="D559" s="4" t="s">
        <v>8997</v>
      </c>
      <c r="E559" s="12" t="s">
        <v>407</v>
      </c>
      <c r="F559" s="75" t="s">
        <v>410</v>
      </c>
      <c r="G559" s="3">
        <v>16</v>
      </c>
      <c r="H559" s="3" t="s">
        <v>6736</v>
      </c>
      <c r="I559" s="13" t="s">
        <v>6740</v>
      </c>
      <c r="J559" s="72">
        <v>1.25</v>
      </c>
      <c r="K559" s="14" t="s">
        <v>4847</v>
      </c>
      <c r="L559" s="9">
        <v>53.9</v>
      </c>
      <c r="M559" s="3">
        <v>99</v>
      </c>
      <c r="N559" s="17" t="s">
        <v>5128</v>
      </c>
      <c r="O559" s="18" t="s">
        <v>5126</v>
      </c>
      <c r="P559" s="49">
        <f t="shared" si="33"/>
        <v>1.8884267465029914</v>
      </c>
      <c r="Q559" s="1">
        <f t="shared" si="34"/>
        <v>2.1385578504580214</v>
      </c>
      <c r="R559" s="1">
        <f t="shared" si="36"/>
        <v>2.1613737119503411</v>
      </c>
      <c r="S559" s="10">
        <f t="shared" si="35"/>
        <v>2.0134922984805064</v>
      </c>
      <c r="T559" s="45" cm="1">
        <f t="array" ref="T559">SUMPRODUCT(P559:S559 * P$3:S$3) / SUM(P$3:S$3)</f>
        <v>2.0554841393185601</v>
      </c>
    </row>
    <row r="560" spans="1:20" ht="16.5" customHeight="1" x14ac:dyDescent="0.25">
      <c r="A560" s="5" t="s">
        <v>6794</v>
      </c>
      <c r="B560" s="20" t="s">
        <v>5130</v>
      </c>
      <c r="C560" s="4" t="s">
        <v>8798</v>
      </c>
      <c r="D560" s="4" t="s">
        <v>8997</v>
      </c>
      <c r="E560" s="12" t="s">
        <v>407</v>
      </c>
      <c r="F560" s="75" t="s">
        <v>410</v>
      </c>
      <c r="G560" s="3">
        <v>16</v>
      </c>
      <c r="H560" s="3" t="s">
        <v>6736</v>
      </c>
      <c r="I560" s="13" t="s">
        <v>6739</v>
      </c>
      <c r="J560" s="72">
        <v>1.25</v>
      </c>
      <c r="K560" s="14" t="s">
        <v>4847</v>
      </c>
      <c r="L560" s="9">
        <v>50.34</v>
      </c>
      <c r="M560" s="3">
        <v>97</v>
      </c>
      <c r="N560" s="17" t="s">
        <v>5131</v>
      </c>
      <c r="O560" s="18" t="s">
        <v>5129</v>
      </c>
      <c r="P560" s="49">
        <f t="shared" si="33"/>
        <v>1.896179593837271</v>
      </c>
      <c r="Q560" s="1">
        <f t="shared" si="34"/>
        <v>2.1424342741251614</v>
      </c>
      <c r="R560" s="1">
        <f t="shared" si="36"/>
        <v>2.1652501356174807</v>
      </c>
      <c r="S560" s="10">
        <f t="shared" si="35"/>
        <v>2.0193069339812162</v>
      </c>
      <c r="T560" s="45" cm="1">
        <f t="array" ref="T560">SUMPRODUCT(P560:S560 * P$3:S$3) / SUM(P$3:S$3)</f>
        <v>2.0607024019474021</v>
      </c>
    </row>
    <row r="561" spans="1:20" ht="16.5" customHeight="1" x14ac:dyDescent="0.25">
      <c r="A561" s="5" t="s">
        <v>6923</v>
      </c>
      <c r="B561" s="20" t="s">
        <v>6165</v>
      </c>
      <c r="C561" s="4" t="s">
        <v>8796</v>
      </c>
      <c r="D561" s="4" t="s">
        <v>8998</v>
      </c>
      <c r="E561" s="12" t="s">
        <v>407</v>
      </c>
      <c r="F561" s="75" t="s">
        <v>410</v>
      </c>
      <c r="G561" s="3">
        <v>16</v>
      </c>
      <c r="H561" s="3" t="s">
        <v>404</v>
      </c>
      <c r="I561" s="13" t="s">
        <v>6740</v>
      </c>
      <c r="J561" s="72">
        <v>1.25</v>
      </c>
      <c r="L561" s="9">
        <v>62.9</v>
      </c>
      <c r="M561" s="3">
        <v>94.39</v>
      </c>
      <c r="N561" s="17" t="s">
        <v>6166</v>
      </c>
      <c r="O561" s="18" t="s">
        <v>6164</v>
      </c>
      <c r="P561" s="49">
        <f t="shared" si="33"/>
        <v>1.9191759614573631</v>
      </c>
      <c r="Q561" s="1">
        <f t="shared" si="34"/>
        <v>2.1615218674585388</v>
      </c>
      <c r="R561" s="1">
        <f t="shared" si="36"/>
        <v>2.1812778711120275</v>
      </c>
      <c r="S561" s="10">
        <f t="shared" si="35"/>
        <v>2.040348914457951</v>
      </c>
      <c r="T561" s="45" cm="1">
        <f t="array" ref="T561">SUMPRODUCT(P561:S561 * P$3:S$3) / SUM(P$3:S$3)</f>
        <v>2.0806722851740531</v>
      </c>
    </row>
    <row r="562" spans="1:20" ht="16.5" customHeight="1" x14ac:dyDescent="0.25">
      <c r="A562" s="5" t="s">
        <v>6923</v>
      </c>
      <c r="B562" s="20" t="s">
        <v>6387</v>
      </c>
      <c r="C562" s="4" t="s">
        <v>8796</v>
      </c>
      <c r="D562" s="4" t="s">
        <v>8998</v>
      </c>
      <c r="E562" s="12" t="s">
        <v>407</v>
      </c>
      <c r="F562" s="75" t="s">
        <v>410</v>
      </c>
      <c r="G562" s="3">
        <v>16</v>
      </c>
      <c r="H562" s="3" t="s">
        <v>404</v>
      </c>
      <c r="I562" s="13" t="s">
        <v>6740</v>
      </c>
      <c r="J562" s="72">
        <v>1.25</v>
      </c>
      <c r="K562" s="14" t="s">
        <v>6175</v>
      </c>
      <c r="L562" s="9">
        <v>73.3</v>
      </c>
      <c r="M562" s="3">
        <v>110.99</v>
      </c>
      <c r="N562" s="17" t="s">
        <v>6388</v>
      </c>
      <c r="O562" s="18" t="s">
        <v>6386</v>
      </c>
      <c r="P562" s="49">
        <f t="shared" si="33"/>
        <v>1.9191759614573631</v>
      </c>
      <c r="Q562" s="1">
        <f t="shared" si="34"/>
        <v>2.1615218674585388</v>
      </c>
      <c r="R562" s="1">
        <f t="shared" si="36"/>
        <v>2.1812778711120275</v>
      </c>
      <c r="S562" s="10">
        <f t="shared" si="35"/>
        <v>2.040348914457951</v>
      </c>
      <c r="T562" s="45" cm="1">
        <f t="array" ref="T562">SUMPRODUCT(P562:S562 * P$3:S$3) / SUM(P$3:S$3)</f>
        <v>2.0806722851740531</v>
      </c>
    </row>
    <row r="563" spans="1:20" ht="16.5" customHeight="1" x14ac:dyDescent="0.25">
      <c r="A563" s="5" t="s">
        <v>6923</v>
      </c>
      <c r="B563" s="20" t="s">
        <v>6514</v>
      </c>
      <c r="C563" s="4" t="s">
        <v>8796</v>
      </c>
      <c r="D563" s="4" t="s">
        <v>8998</v>
      </c>
      <c r="E563" s="12" t="s">
        <v>407</v>
      </c>
      <c r="F563" s="75" t="s">
        <v>410</v>
      </c>
      <c r="G563" s="3">
        <v>16</v>
      </c>
      <c r="H563" s="3" t="s">
        <v>404</v>
      </c>
      <c r="I563" s="13" t="s">
        <v>6740</v>
      </c>
      <c r="J563" s="72">
        <v>1.25</v>
      </c>
      <c r="L563" s="9">
        <v>67.849999999999994</v>
      </c>
      <c r="M563" s="3">
        <v>101.18</v>
      </c>
      <c r="N563" s="17" t="s">
        <v>6515</v>
      </c>
      <c r="O563" s="18" t="s">
        <v>6513</v>
      </c>
      <c r="P563" s="49">
        <f t="shared" si="33"/>
        <v>1.9191759614573631</v>
      </c>
      <c r="Q563" s="1">
        <f t="shared" si="34"/>
        <v>2.1615218674585388</v>
      </c>
      <c r="R563" s="1">
        <f t="shared" si="36"/>
        <v>2.1812778711120275</v>
      </c>
      <c r="S563" s="10">
        <f t="shared" si="35"/>
        <v>2.040348914457951</v>
      </c>
      <c r="T563" s="45" cm="1">
        <f t="array" ref="T563">SUMPRODUCT(P563:S563 * P$3:S$3) / SUM(P$3:S$3)</f>
        <v>2.0806722851740531</v>
      </c>
    </row>
    <row r="564" spans="1:20" ht="16.5" customHeight="1" x14ac:dyDescent="0.25">
      <c r="A564" s="5" t="s">
        <v>6799</v>
      </c>
      <c r="B564" s="20" t="s">
        <v>4750</v>
      </c>
      <c r="C564" s="4" t="s">
        <v>8798</v>
      </c>
      <c r="D564" s="4" t="s">
        <v>8998</v>
      </c>
      <c r="E564" s="12" t="s">
        <v>407</v>
      </c>
      <c r="F564" s="75" t="s">
        <v>410</v>
      </c>
      <c r="G564" s="3">
        <v>16</v>
      </c>
      <c r="H564" s="3" t="s">
        <v>404</v>
      </c>
      <c r="I564" s="13" t="s">
        <v>6740</v>
      </c>
      <c r="J564" s="72">
        <v>1.25</v>
      </c>
      <c r="L564" s="9">
        <v>49.09</v>
      </c>
      <c r="M564" s="3">
        <v>105</v>
      </c>
      <c r="N564" s="17" t="s">
        <v>4751</v>
      </c>
      <c r="O564" s="18" t="s">
        <v>4749</v>
      </c>
      <c r="P564" s="49">
        <f t="shared" si="33"/>
        <v>1.9191759614573631</v>
      </c>
      <c r="Q564" s="1">
        <f t="shared" si="34"/>
        <v>2.1615218674585388</v>
      </c>
      <c r="R564" s="1">
        <f t="shared" si="36"/>
        <v>2.1812778711120275</v>
      </c>
      <c r="S564" s="10">
        <f t="shared" si="35"/>
        <v>2.040348914457951</v>
      </c>
      <c r="T564" s="45" cm="1">
        <f t="array" ref="T564">SUMPRODUCT(P564:S564 * P$3:S$3) / SUM(P$3:S$3)</f>
        <v>2.0806722851740531</v>
      </c>
    </row>
    <row r="565" spans="1:20" ht="16.5" customHeight="1" x14ac:dyDescent="0.25">
      <c r="A565" s="5" t="s">
        <v>6799</v>
      </c>
      <c r="B565" s="20" t="s">
        <v>4753</v>
      </c>
      <c r="C565" s="4" t="s">
        <v>8798</v>
      </c>
      <c r="D565" s="4" t="s">
        <v>8998</v>
      </c>
      <c r="E565" s="12" t="s">
        <v>407</v>
      </c>
      <c r="F565" s="75" t="s">
        <v>410</v>
      </c>
      <c r="G565" s="3">
        <v>16</v>
      </c>
      <c r="H565" s="3" t="s">
        <v>404</v>
      </c>
      <c r="I565" s="13" t="s">
        <v>6739</v>
      </c>
      <c r="J565" s="72">
        <v>1.25</v>
      </c>
      <c r="L565" s="9">
        <v>52.75</v>
      </c>
      <c r="M565" s="3">
        <v>88.49</v>
      </c>
      <c r="N565" s="17" t="s">
        <v>4754</v>
      </c>
      <c r="O565" s="18" t="s">
        <v>4752</v>
      </c>
      <c r="P565" s="49">
        <f t="shared" si="33"/>
        <v>1.927146178343071</v>
      </c>
      <c r="Q565" s="1">
        <f t="shared" si="34"/>
        <v>2.1655069759013932</v>
      </c>
      <c r="R565" s="1">
        <f t="shared" si="36"/>
        <v>2.1852629795548815</v>
      </c>
      <c r="S565" s="10">
        <f t="shared" si="35"/>
        <v>2.0463265771222323</v>
      </c>
      <c r="T565" s="45" cm="1">
        <f t="array" ref="T565">SUMPRODUCT(P565:S565 * P$3:S$3) / SUM(P$3:S$3)</f>
        <v>2.0860368542317413</v>
      </c>
    </row>
    <row r="566" spans="1:20" ht="16.5" customHeight="1" x14ac:dyDescent="0.25">
      <c r="A566" s="5" t="s">
        <v>6799</v>
      </c>
      <c r="B566" s="20" t="s">
        <v>5066</v>
      </c>
      <c r="C566" s="4" t="s">
        <v>8798</v>
      </c>
      <c r="D566" s="4" t="s">
        <v>8998</v>
      </c>
      <c r="E566" s="12" t="s">
        <v>407</v>
      </c>
      <c r="F566" s="75" t="s">
        <v>410</v>
      </c>
      <c r="G566" s="3">
        <v>16</v>
      </c>
      <c r="H566" s="3" t="s">
        <v>404</v>
      </c>
      <c r="I566" s="13" t="s">
        <v>6740</v>
      </c>
      <c r="J566" s="72">
        <v>1.25</v>
      </c>
      <c r="K566" s="14" t="s">
        <v>4847</v>
      </c>
      <c r="L566" s="9">
        <v>66.03</v>
      </c>
      <c r="M566" s="3">
        <v>104</v>
      </c>
      <c r="N566" s="17" t="s">
        <v>5067</v>
      </c>
      <c r="O566" s="18" t="s">
        <v>5065</v>
      </c>
      <c r="P566" s="49">
        <f t="shared" si="33"/>
        <v>1.9191759614573631</v>
      </c>
      <c r="Q566" s="1">
        <f t="shared" si="34"/>
        <v>2.1615218674585388</v>
      </c>
      <c r="R566" s="1">
        <f t="shared" si="36"/>
        <v>2.1812778711120275</v>
      </c>
      <c r="S566" s="10">
        <f t="shared" si="35"/>
        <v>2.040348914457951</v>
      </c>
      <c r="T566" s="45" cm="1">
        <f t="array" ref="T566">SUMPRODUCT(P566:S566 * P$3:S$3) / SUM(P$3:S$3)</f>
        <v>2.0806722851740531</v>
      </c>
    </row>
    <row r="567" spans="1:20" ht="16.5" customHeight="1" x14ac:dyDescent="0.25">
      <c r="A567" s="5" t="s">
        <v>6799</v>
      </c>
      <c r="B567" s="20" t="s">
        <v>5069</v>
      </c>
      <c r="C567" s="4" t="s">
        <v>8798</v>
      </c>
      <c r="D567" s="4" t="s">
        <v>8998</v>
      </c>
      <c r="E567" s="12" t="s">
        <v>407</v>
      </c>
      <c r="F567" s="75" t="s">
        <v>410</v>
      </c>
      <c r="G567" s="3">
        <v>16</v>
      </c>
      <c r="H567" s="3" t="s">
        <v>404</v>
      </c>
      <c r="I567" s="13" t="s">
        <v>6739</v>
      </c>
      <c r="J567" s="72">
        <v>1.25</v>
      </c>
      <c r="K567" s="14" t="s">
        <v>4847</v>
      </c>
      <c r="L567" s="9">
        <v>64.42</v>
      </c>
      <c r="M567" s="3">
        <v>109.9</v>
      </c>
      <c r="N567" s="17" t="s">
        <v>5070</v>
      </c>
      <c r="O567" s="18" t="s">
        <v>5068</v>
      </c>
      <c r="P567" s="49">
        <f t="shared" si="33"/>
        <v>1.927146178343071</v>
      </c>
      <c r="Q567" s="1">
        <f t="shared" si="34"/>
        <v>2.1655069759013932</v>
      </c>
      <c r="R567" s="1">
        <f t="shared" si="36"/>
        <v>2.1852629795548815</v>
      </c>
      <c r="S567" s="10">
        <f t="shared" si="35"/>
        <v>2.0463265771222323</v>
      </c>
      <c r="T567" s="45" cm="1">
        <f t="array" ref="T567">SUMPRODUCT(P567:S567 * P$3:S$3) / SUM(P$3:S$3)</f>
        <v>2.0860368542317413</v>
      </c>
    </row>
    <row r="568" spans="1:20" ht="16.5" customHeight="1" x14ac:dyDescent="0.25">
      <c r="A568" s="5" t="s">
        <v>6929</v>
      </c>
      <c r="B568" s="20" t="s">
        <v>6520</v>
      </c>
      <c r="C568" s="4" t="s">
        <v>8796</v>
      </c>
      <c r="D568" s="4" t="s">
        <v>8999</v>
      </c>
      <c r="E568" s="12" t="s">
        <v>407</v>
      </c>
      <c r="F568" s="75" t="s">
        <v>410</v>
      </c>
      <c r="G568" s="3">
        <v>32</v>
      </c>
      <c r="H568" s="3" t="s">
        <v>6736</v>
      </c>
      <c r="I568" s="13" t="s">
        <v>6740</v>
      </c>
      <c r="J568" s="72">
        <v>1.25</v>
      </c>
      <c r="L568" s="9">
        <v>91.02</v>
      </c>
      <c r="M568" s="3">
        <v>158.75</v>
      </c>
      <c r="N568" s="17" t="s">
        <v>6521</v>
      </c>
      <c r="O568" s="18" t="s">
        <v>6519</v>
      </c>
      <c r="P568" s="49">
        <f t="shared" si="33"/>
        <v>2.3828501550828065</v>
      </c>
      <c r="Q568" s="1">
        <f t="shared" si="34"/>
        <v>2.962596864757713</v>
      </c>
      <c r="R568" s="1">
        <f t="shared" si="36"/>
        <v>3.0678166276800019</v>
      </c>
      <c r="S568" s="10">
        <f t="shared" si="35"/>
        <v>2.6727235099202598</v>
      </c>
      <c r="T568" s="45" cm="1">
        <f t="array" ref="T568">SUMPRODUCT(P568:S568 * P$3:S$3) / SUM(P$3:S$3)</f>
        <v>2.7781029672429054</v>
      </c>
    </row>
    <row r="569" spans="1:20" ht="16.5" customHeight="1" x14ac:dyDescent="0.25">
      <c r="A569" s="5" t="s">
        <v>6789</v>
      </c>
      <c r="B569" s="20" t="s">
        <v>4626</v>
      </c>
      <c r="C569" s="4" t="s">
        <v>8798</v>
      </c>
      <c r="D569" s="4" t="s">
        <v>8999</v>
      </c>
      <c r="E569" s="12" t="s">
        <v>407</v>
      </c>
      <c r="F569" s="75" t="s">
        <v>410</v>
      </c>
      <c r="G569" s="3">
        <v>32</v>
      </c>
      <c r="H569" s="3" t="s">
        <v>6736</v>
      </c>
      <c r="I569" s="13" t="s">
        <v>6740</v>
      </c>
      <c r="J569" s="72">
        <v>1.25</v>
      </c>
      <c r="L569" s="9">
        <v>88.9</v>
      </c>
      <c r="M569" s="3">
        <v>137.9</v>
      </c>
      <c r="N569" s="17" t="s">
        <v>4627</v>
      </c>
      <c r="O569" s="18" t="s">
        <v>4625</v>
      </c>
      <c r="P569" s="49">
        <f t="shared" si="33"/>
        <v>2.3828501550828065</v>
      </c>
      <c r="Q569" s="1">
        <f t="shared" si="34"/>
        <v>2.962596864757713</v>
      </c>
      <c r="R569" s="1">
        <f t="shared" si="36"/>
        <v>3.0678166276800019</v>
      </c>
      <c r="S569" s="10">
        <f t="shared" si="35"/>
        <v>2.6727235099202598</v>
      </c>
      <c r="T569" s="45" cm="1">
        <f t="array" ref="T569">SUMPRODUCT(P569:S569 * P$3:S$3) / SUM(P$3:S$3)</f>
        <v>2.7781029672429054</v>
      </c>
    </row>
    <row r="570" spans="1:20" ht="16.5" customHeight="1" x14ac:dyDescent="0.25">
      <c r="A570" s="5" t="s">
        <v>6789</v>
      </c>
      <c r="B570" s="20" t="s">
        <v>4629</v>
      </c>
      <c r="C570" s="4" t="s">
        <v>8798</v>
      </c>
      <c r="D570" s="4" t="s">
        <v>8999</v>
      </c>
      <c r="E570" s="12" t="s">
        <v>407</v>
      </c>
      <c r="F570" s="75" t="s">
        <v>410</v>
      </c>
      <c r="G570" s="3">
        <v>32</v>
      </c>
      <c r="H570" s="3" t="s">
        <v>6736</v>
      </c>
      <c r="I570" s="13" t="s">
        <v>6739</v>
      </c>
      <c r="J570" s="72">
        <v>1.25</v>
      </c>
      <c r="L570" s="9">
        <v>86.14</v>
      </c>
      <c r="M570" s="3">
        <v>149.9</v>
      </c>
      <c r="N570" s="17" t="s">
        <v>4630</v>
      </c>
      <c r="O570" s="18" t="s">
        <v>4628</v>
      </c>
      <c r="P570" s="49">
        <f t="shared" si="33"/>
        <v>2.3906030024170861</v>
      </c>
      <c r="Q570" s="1">
        <f t="shared" si="34"/>
        <v>2.9664732884248526</v>
      </c>
      <c r="R570" s="1">
        <f t="shared" si="36"/>
        <v>3.0716930513471419</v>
      </c>
      <c r="S570" s="10">
        <f t="shared" si="35"/>
        <v>2.6785381454209691</v>
      </c>
      <c r="T570" s="45" cm="1">
        <f t="array" ref="T570">SUMPRODUCT(P570:S570 * P$3:S$3) / SUM(P$3:S$3)</f>
        <v>2.7833212298717473</v>
      </c>
    </row>
    <row r="571" spans="1:20" ht="16.5" customHeight="1" x14ac:dyDescent="0.25">
      <c r="A571" s="5" t="s">
        <v>6789</v>
      </c>
      <c r="B571" s="20" t="s">
        <v>4778</v>
      </c>
      <c r="C571" s="4" t="s">
        <v>8798</v>
      </c>
      <c r="D571" s="4" t="s">
        <v>8999</v>
      </c>
      <c r="E571" s="12" t="s">
        <v>407</v>
      </c>
      <c r="F571" s="75" t="s">
        <v>410</v>
      </c>
      <c r="G571" s="3">
        <v>32</v>
      </c>
      <c r="H571" s="3" t="s">
        <v>6736</v>
      </c>
      <c r="I571" s="13" t="s">
        <v>6740</v>
      </c>
      <c r="J571" s="72">
        <v>1.25</v>
      </c>
      <c r="L571" s="9">
        <v>82.94</v>
      </c>
      <c r="M571" s="3">
        <v>144.9</v>
      </c>
      <c r="N571" s="17" t="s">
        <v>4779</v>
      </c>
      <c r="O571" s="18" t="s">
        <v>4777</v>
      </c>
      <c r="P571" s="49">
        <f t="shared" si="33"/>
        <v>2.3828501550828065</v>
      </c>
      <c r="Q571" s="1">
        <f t="shared" si="34"/>
        <v>2.962596864757713</v>
      </c>
      <c r="R571" s="1">
        <f t="shared" si="36"/>
        <v>3.0678166276800019</v>
      </c>
      <c r="S571" s="10">
        <f t="shared" si="35"/>
        <v>2.6727235099202598</v>
      </c>
      <c r="T571" s="45" cm="1">
        <f t="array" ref="T571">SUMPRODUCT(P571:S571 * P$3:S$3) / SUM(P$3:S$3)</f>
        <v>2.7781029672429054</v>
      </c>
    </row>
    <row r="572" spans="1:20" ht="16.5" customHeight="1" x14ac:dyDescent="0.25">
      <c r="A572" s="5" t="s">
        <v>6789</v>
      </c>
      <c r="B572" s="20" t="s">
        <v>4781</v>
      </c>
      <c r="C572" s="4" t="s">
        <v>8798</v>
      </c>
      <c r="D572" s="4" t="s">
        <v>8999</v>
      </c>
      <c r="E572" s="12" t="s">
        <v>407</v>
      </c>
      <c r="F572" s="75" t="s">
        <v>410</v>
      </c>
      <c r="G572" s="3">
        <v>32</v>
      </c>
      <c r="H572" s="3" t="s">
        <v>6736</v>
      </c>
      <c r="I572" s="13" t="s">
        <v>6739</v>
      </c>
      <c r="J572" s="72">
        <v>1.25</v>
      </c>
      <c r="L572" s="9">
        <v>82.88</v>
      </c>
      <c r="M572" s="3">
        <v>2832.49</v>
      </c>
      <c r="N572" s="17" t="s">
        <v>4782</v>
      </c>
      <c r="O572" s="18" t="s">
        <v>4780</v>
      </c>
      <c r="P572" s="49">
        <f t="shared" si="33"/>
        <v>2.3906030024170861</v>
      </c>
      <c r="Q572" s="1">
        <f t="shared" si="34"/>
        <v>2.9664732884248526</v>
      </c>
      <c r="R572" s="1">
        <f t="shared" si="36"/>
        <v>3.0716930513471419</v>
      </c>
      <c r="S572" s="10">
        <f t="shared" si="35"/>
        <v>2.6785381454209691</v>
      </c>
      <c r="T572" s="45" cm="1">
        <f t="array" ref="T572">SUMPRODUCT(P572:S572 * P$3:S$3) / SUM(P$3:S$3)</f>
        <v>2.7833212298717473</v>
      </c>
    </row>
    <row r="573" spans="1:20" ht="16.5" customHeight="1" x14ac:dyDescent="0.25">
      <c r="A573" s="5" t="s">
        <v>6789</v>
      </c>
      <c r="B573" s="20" t="s">
        <v>4937</v>
      </c>
      <c r="C573" s="4" t="s">
        <v>8798</v>
      </c>
      <c r="D573" s="4" t="s">
        <v>8999</v>
      </c>
      <c r="E573" s="12" t="s">
        <v>407</v>
      </c>
      <c r="F573" s="75" t="s">
        <v>410</v>
      </c>
      <c r="G573" s="3">
        <v>32</v>
      </c>
      <c r="H573" s="3" t="s">
        <v>6736</v>
      </c>
      <c r="I573" s="13" t="s">
        <v>6740</v>
      </c>
      <c r="J573" s="72">
        <v>1.25</v>
      </c>
      <c r="K573" s="14" t="s">
        <v>4847</v>
      </c>
      <c r="L573" s="9">
        <v>94.89</v>
      </c>
      <c r="M573" s="3">
        <v>146.19999999999999</v>
      </c>
      <c r="N573" s="17" t="s">
        <v>4938</v>
      </c>
      <c r="O573" s="18" t="s">
        <v>4936</v>
      </c>
      <c r="P573" s="49">
        <f t="shared" si="33"/>
        <v>2.3828501550828065</v>
      </c>
      <c r="Q573" s="1">
        <f t="shared" si="34"/>
        <v>2.962596864757713</v>
      </c>
      <c r="R573" s="1">
        <f t="shared" si="36"/>
        <v>3.0678166276800019</v>
      </c>
      <c r="S573" s="10">
        <f t="shared" si="35"/>
        <v>2.6727235099202598</v>
      </c>
      <c r="T573" s="45" cm="1">
        <f t="array" ref="T573">SUMPRODUCT(P573:S573 * P$3:S$3) / SUM(P$3:S$3)</f>
        <v>2.7781029672429054</v>
      </c>
    </row>
    <row r="574" spans="1:20" ht="16.5" customHeight="1" x14ac:dyDescent="0.25">
      <c r="A574" s="5" t="s">
        <v>6789</v>
      </c>
      <c r="B574" s="20" t="s">
        <v>4940</v>
      </c>
      <c r="C574" s="4" t="s">
        <v>8798</v>
      </c>
      <c r="D574" s="4" t="s">
        <v>8999</v>
      </c>
      <c r="E574" s="12" t="s">
        <v>407</v>
      </c>
      <c r="F574" s="75" t="s">
        <v>410</v>
      </c>
      <c r="G574" s="3">
        <v>32</v>
      </c>
      <c r="H574" s="3" t="s">
        <v>6736</v>
      </c>
      <c r="I574" s="13" t="s">
        <v>6739</v>
      </c>
      <c r="J574" s="72">
        <v>1.25</v>
      </c>
      <c r="K574" s="14" t="s">
        <v>4847</v>
      </c>
      <c r="L574" s="9">
        <v>92.6</v>
      </c>
      <c r="M574" s="3">
        <v>114.81</v>
      </c>
      <c r="N574" s="17" t="s">
        <v>4941</v>
      </c>
      <c r="O574" s="18" t="s">
        <v>4939</v>
      </c>
      <c r="P574" s="49">
        <f t="shared" si="33"/>
        <v>2.3906030024170861</v>
      </c>
      <c r="Q574" s="1">
        <f t="shared" si="34"/>
        <v>2.9664732884248526</v>
      </c>
      <c r="R574" s="1">
        <f t="shared" si="36"/>
        <v>3.0716930513471419</v>
      </c>
      <c r="S574" s="10">
        <f t="shared" si="35"/>
        <v>2.6785381454209691</v>
      </c>
      <c r="T574" s="45" cm="1">
        <f t="array" ref="T574">SUMPRODUCT(P574:S574 * P$3:S$3) / SUM(P$3:S$3)</f>
        <v>2.7833212298717473</v>
      </c>
    </row>
    <row r="575" spans="1:20" ht="16.5" customHeight="1" x14ac:dyDescent="0.25">
      <c r="A575" s="5" t="s">
        <v>6789</v>
      </c>
      <c r="B575" s="20" t="s">
        <v>5089</v>
      </c>
      <c r="C575" s="4" t="s">
        <v>8798</v>
      </c>
      <c r="D575" s="4" t="s">
        <v>8999</v>
      </c>
      <c r="E575" s="12" t="s">
        <v>407</v>
      </c>
      <c r="F575" s="75" t="s">
        <v>410</v>
      </c>
      <c r="G575" s="3">
        <v>32</v>
      </c>
      <c r="H575" s="3" t="s">
        <v>6736</v>
      </c>
      <c r="I575" s="13" t="s">
        <v>6740</v>
      </c>
      <c r="J575" s="72">
        <v>1.25</v>
      </c>
      <c r="K575" s="14" t="s">
        <v>4847</v>
      </c>
      <c r="L575" s="9">
        <v>90.4</v>
      </c>
      <c r="M575" s="3">
        <v>159.9</v>
      </c>
      <c r="N575" s="17" t="s">
        <v>5090</v>
      </c>
      <c r="O575" s="18" t="s">
        <v>5088</v>
      </c>
      <c r="P575" s="49">
        <f t="shared" si="33"/>
        <v>2.3828501550828065</v>
      </c>
      <c r="Q575" s="1">
        <f t="shared" si="34"/>
        <v>2.962596864757713</v>
      </c>
      <c r="R575" s="1">
        <f t="shared" si="36"/>
        <v>3.0678166276800019</v>
      </c>
      <c r="S575" s="10">
        <f t="shared" si="35"/>
        <v>2.6727235099202598</v>
      </c>
      <c r="T575" s="45" cm="1">
        <f t="array" ref="T575">SUMPRODUCT(P575:S575 * P$3:S$3) / SUM(P$3:S$3)</f>
        <v>2.7781029672429054</v>
      </c>
    </row>
    <row r="576" spans="1:20" ht="16.5" customHeight="1" x14ac:dyDescent="0.25">
      <c r="A576" s="5" t="s">
        <v>6789</v>
      </c>
      <c r="B576" s="20" t="s">
        <v>5092</v>
      </c>
      <c r="C576" s="4" t="s">
        <v>8798</v>
      </c>
      <c r="D576" s="4" t="s">
        <v>8999</v>
      </c>
      <c r="E576" s="12" t="s">
        <v>407</v>
      </c>
      <c r="F576" s="75" t="s">
        <v>410</v>
      </c>
      <c r="G576" s="3">
        <v>32</v>
      </c>
      <c r="H576" s="3" t="s">
        <v>6736</v>
      </c>
      <c r="I576" s="13" t="s">
        <v>6739</v>
      </c>
      <c r="J576" s="72">
        <v>1.25</v>
      </c>
      <c r="K576" s="14" t="s">
        <v>4847</v>
      </c>
      <c r="L576" s="9">
        <v>94.9</v>
      </c>
      <c r="M576" s="3">
        <v>173.99</v>
      </c>
      <c r="N576" s="17" t="s">
        <v>5093</v>
      </c>
      <c r="O576" s="18" t="s">
        <v>5091</v>
      </c>
      <c r="P576" s="49">
        <f t="shared" si="33"/>
        <v>2.3906030024170861</v>
      </c>
      <c r="Q576" s="1">
        <f t="shared" si="34"/>
        <v>2.9664732884248526</v>
      </c>
      <c r="R576" s="1">
        <f t="shared" si="36"/>
        <v>3.0716930513471419</v>
      </c>
      <c r="S576" s="10">
        <f t="shared" si="35"/>
        <v>2.6785381454209691</v>
      </c>
      <c r="T576" s="45" cm="1">
        <f t="array" ref="T576">SUMPRODUCT(P576:S576 * P$3:S$3) / SUM(P$3:S$3)</f>
        <v>2.7833212298717473</v>
      </c>
    </row>
    <row r="577" spans="1:20" ht="16.5" customHeight="1" x14ac:dyDescent="0.25">
      <c r="A577" s="5" t="s">
        <v>6951</v>
      </c>
      <c r="B577" s="20" t="s">
        <v>6642</v>
      </c>
      <c r="C577" s="4" t="s">
        <v>8796</v>
      </c>
      <c r="D577" s="4" t="s">
        <v>9000</v>
      </c>
      <c r="E577" s="12" t="s">
        <v>407</v>
      </c>
      <c r="F577" s="75" t="s">
        <v>410</v>
      </c>
      <c r="G577" s="3">
        <v>32</v>
      </c>
      <c r="H577" s="3" t="s">
        <v>404</v>
      </c>
      <c r="I577" s="13" t="s">
        <v>6740</v>
      </c>
      <c r="J577" s="72">
        <v>1.25</v>
      </c>
      <c r="K577" s="14" t="s">
        <v>6633</v>
      </c>
      <c r="L577" s="9">
        <v>131.38999999999999</v>
      </c>
      <c r="M577" s="3">
        <v>168.61</v>
      </c>
      <c r="N577" s="17" t="s">
        <v>6643</v>
      </c>
      <c r="O577" s="18" t="s">
        <v>6641</v>
      </c>
      <c r="P577" s="49">
        <f t="shared" si="33"/>
        <v>2.4135993700371783</v>
      </c>
      <c r="Q577" s="1">
        <f t="shared" si="34"/>
        <v>2.9855608817582304</v>
      </c>
      <c r="R577" s="1">
        <f t="shared" si="36"/>
        <v>3.0877207868416887</v>
      </c>
      <c r="S577" s="10">
        <f t="shared" si="35"/>
        <v>2.6995801258977044</v>
      </c>
      <c r="T577" s="45" cm="1">
        <f t="array" ref="T577">SUMPRODUCT(P577:S577 * P$3:S$3) / SUM(P$3:S$3)</f>
        <v>2.8032911130983984</v>
      </c>
    </row>
    <row r="578" spans="1:20" ht="16.5" customHeight="1" x14ac:dyDescent="0.25">
      <c r="A578" s="5" t="s">
        <v>6951</v>
      </c>
      <c r="B578" s="20" t="s">
        <v>6702</v>
      </c>
      <c r="C578" s="4" t="s">
        <v>8796</v>
      </c>
      <c r="D578" s="4" t="s">
        <v>9000</v>
      </c>
      <c r="E578" s="12" t="s">
        <v>407</v>
      </c>
      <c r="F578" s="75" t="s">
        <v>410</v>
      </c>
      <c r="G578" s="3">
        <v>32</v>
      </c>
      <c r="H578" s="3" t="s">
        <v>404</v>
      </c>
      <c r="I578" s="13" t="s">
        <v>6740</v>
      </c>
      <c r="J578" s="72">
        <v>1.25</v>
      </c>
      <c r="K578" s="14" t="s">
        <v>6633</v>
      </c>
      <c r="L578" s="9">
        <v>109</v>
      </c>
      <c r="M578" s="3">
        <v>168.61</v>
      </c>
      <c r="N578" s="17" t="s">
        <v>6703</v>
      </c>
      <c r="O578" s="18" t="s">
        <v>6701</v>
      </c>
      <c r="P578" s="49">
        <f t="shared" si="33"/>
        <v>2.4135993700371783</v>
      </c>
      <c r="Q578" s="1">
        <f t="shared" si="34"/>
        <v>2.9855608817582304</v>
      </c>
      <c r="R578" s="1">
        <f t="shared" si="36"/>
        <v>3.0877207868416887</v>
      </c>
      <c r="S578" s="10">
        <f t="shared" si="35"/>
        <v>2.6995801258977044</v>
      </c>
      <c r="T578" s="45" cm="1">
        <f t="array" ref="T578">SUMPRODUCT(P578:S578 * P$3:S$3) / SUM(P$3:S$3)</f>
        <v>2.8032911130983984</v>
      </c>
    </row>
    <row r="579" spans="1:20" ht="16.5" customHeight="1" x14ac:dyDescent="0.25">
      <c r="A579" s="5" t="s">
        <v>6951</v>
      </c>
      <c r="B579" s="20" t="s">
        <v>6720</v>
      </c>
      <c r="C579" s="4" t="s">
        <v>8796</v>
      </c>
      <c r="D579" s="4" t="s">
        <v>9000</v>
      </c>
      <c r="E579" s="12" t="s">
        <v>407</v>
      </c>
      <c r="F579" s="75" t="s">
        <v>410</v>
      </c>
      <c r="G579" s="3">
        <v>32</v>
      </c>
      <c r="H579" s="3" t="s">
        <v>404</v>
      </c>
      <c r="I579" s="13" t="s">
        <v>6740</v>
      </c>
      <c r="J579" s="72">
        <v>1.25</v>
      </c>
      <c r="K579" s="14" t="s">
        <v>6633</v>
      </c>
      <c r="L579" s="9">
        <v>129.9</v>
      </c>
      <c r="M579" s="3">
        <v>158.1</v>
      </c>
      <c r="N579" s="17" t="s">
        <v>6721</v>
      </c>
      <c r="O579" s="18" t="s">
        <v>6719</v>
      </c>
      <c r="P579" s="49">
        <f t="shared" si="33"/>
        <v>2.4135993700371783</v>
      </c>
      <c r="Q579" s="1">
        <f t="shared" si="34"/>
        <v>2.9855608817582304</v>
      </c>
      <c r="R579" s="1">
        <f t="shared" si="36"/>
        <v>3.0877207868416887</v>
      </c>
      <c r="S579" s="10">
        <f t="shared" si="35"/>
        <v>2.6995801258977044</v>
      </c>
      <c r="T579" s="45" cm="1">
        <f t="array" ref="T579">SUMPRODUCT(P579:S579 * P$3:S$3) / SUM(P$3:S$3)</f>
        <v>2.8032911130983984</v>
      </c>
    </row>
    <row r="580" spans="1:20" ht="16.5" customHeight="1" x14ac:dyDescent="0.25">
      <c r="A580" s="5" t="s">
        <v>6887</v>
      </c>
      <c r="B580" s="20" t="s">
        <v>5995</v>
      </c>
      <c r="C580" s="4" t="s">
        <v>8796</v>
      </c>
      <c r="D580" s="4" t="s">
        <v>9000</v>
      </c>
      <c r="E580" s="12" t="s">
        <v>407</v>
      </c>
      <c r="F580" s="75" t="s">
        <v>410</v>
      </c>
      <c r="G580" s="3">
        <v>32</v>
      </c>
      <c r="H580" s="3" t="s">
        <v>404</v>
      </c>
      <c r="I580" s="13" t="s">
        <v>6740</v>
      </c>
      <c r="J580" s="72">
        <v>1.25</v>
      </c>
      <c r="L580" s="9">
        <v>93.9</v>
      </c>
      <c r="M580" s="3">
        <v>124.76</v>
      </c>
      <c r="N580" s="17" t="s">
        <v>5996</v>
      </c>
      <c r="O580" s="18" t="s">
        <v>5994</v>
      </c>
      <c r="P580" s="49">
        <f t="shared" si="33"/>
        <v>2.4135993700371783</v>
      </c>
      <c r="Q580" s="1">
        <f t="shared" si="34"/>
        <v>2.9855608817582304</v>
      </c>
      <c r="R580" s="1">
        <f t="shared" si="36"/>
        <v>3.0877207868416887</v>
      </c>
      <c r="S580" s="10">
        <f t="shared" si="35"/>
        <v>2.6995801258977044</v>
      </c>
      <c r="T580" s="45" cm="1">
        <f t="array" ref="T580">SUMPRODUCT(P580:S580 * P$3:S$3) / SUM(P$3:S$3)</f>
        <v>2.8032911130983984</v>
      </c>
    </row>
    <row r="581" spans="1:20" ht="16.5" customHeight="1" x14ac:dyDescent="0.25">
      <c r="A581" s="5" t="s">
        <v>6887</v>
      </c>
      <c r="B581" s="20" t="s">
        <v>6159</v>
      </c>
      <c r="C581" s="4" t="s">
        <v>8796</v>
      </c>
      <c r="D581" s="4" t="s">
        <v>9000</v>
      </c>
      <c r="E581" s="12" t="s">
        <v>407</v>
      </c>
      <c r="F581" s="75" t="s">
        <v>410</v>
      </c>
      <c r="G581" s="3">
        <v>32</v>
      </c>
      <c r="H581" s="3" t="s">
        <v>404</v>
      </c>
      <c r="I581" s="13" t="s">
        <v>6740</v>
      </c>
      <c r="J581" s="72">
        <v>1.25</v>
      </c>
      <c r="L581" s="9">
        <v>84.81</v>
      </c>
      <c r="M581" s="3">
        <v>152</v>
      </c>
      <c r="N581" s="17" t="s">
        <v>6160</v>
      </c>
      <c r="O581" s="18" t="s">
        <v>6158</v>
      </c>
      <c r="P581" s="49">
        <f t="shared" si="33"/>
        <v>2.4135993700371783</v>
      </c>
      <c r="Q581" s="1">
        <f t="shared" si="34"/>
        <v>2.9855608817582304</v>
      </c>
      <c r="R581" s="1">
        <f t="shared" si="36"/>
        <v>3.0877207868416887</v>
      </c>
      <c r="S581" s="10">
        <f t="shared" si="35"/>
        <v>2.6995801258977044</v>
      </c>
      <c r="T581" s="45" cm="1">
        <f t="array" ref="T581">SUMPRODUCT(P581:S581 * P$3:S$3) / SUM(P$3:S$3)</f>
        <v>2.8032911130983984</v>
      </c>
    </row>
    <row r="582" spans="1:20" ht="16.5" customHeight="1" x14ac:dyDescent="0.25">
      <c r="A582" s="5" t="s">
        <v>6887</v>
      </c>
      <c r="B582" s="20" t="s">
        <v>6223</v>
      </c>
      <c r="C582" s="4" t="s">
        <v>8796</v>
      </c>
      <c r="D582" s="4" t="s">
        <v>9000</v>
      </c>
      <c r="E582" s="12" t="s">
        <v>407</v>
      </c>
      <c r="F582" s="75" t="s">
        <v>410</v>
      </c>
      <c r="G582" s="3">
        <v>32</v>
      </c>
      <c r="H582" s="3" t="s">
        <v>404</v>
      </c>
      <c r="I582" s="13" t="s">
        <v>6740</v>
      </c>
      <c r="J582" s="72">
        <v>1.25</v>
      </c>
      <c r="K582" s="14" t="s">
        <v>6175</v>
      </c>
      <c r="L582" s="9">
        <v>101.1</v>
      </c>
      <c r="M582" s="3">
        <v>168</v>
      </c>
      <c r="N582" s="17" t="s">
        <v>6224</v>
      </c>
      <c r="O582" s="18" t="s">
        <v>6222</v>
      </c>
      <c r="P582" s="49">
        <f t="shared" si="33"/>
        <v>2.4135993700371783</v>
      </c>
      <c r="Q582" s="1">
        <f t="shared" si="34"/>
        <v>2.9855608817582304</v>
      </c>
      <c r="R582" s="1">
        <f t="shared" si="36"/>
        <v>3.0877207868416887</v>
      </c>
      <c r="S582" s="10">
        <f t="shared" si="35"/>
        <v>2.6995801258977044</v>
      </c>
      <c r="T582" s="45" cm="1">
        <f t="array" ref="T582">SUMPRODUCT(P582:S582 * P$3:S$3) / SUM(P$3:S$3)</f>
        <v>2.8032911130983984</v>
      </c>
    </row>
    <row r="583" spans="1:20" ht="16.5" customHeight="1" x14ac:dyDescent="0.25">
      <c r="A583" s="5" t="s">
        <v>6887</v>
      </c>
      <c r="B583" s="20" t="s">
        <v>6384</v>
      </c>
      <c r="C583" s="4" t="s">
        <v>8796</v>
      </c>
      <c r="D583" s="4" t="s">
        <v>9000</v>
      </c>
      <c r="E583" s="12" t="s">
        <v>407</v>
      </c>
      <c r="F583" s="75" t="s">
        <v>410</v>
      </c>
      <c r="G583" s="3">
        <v>32</v>
      </c>
      <c r="H583" s="3" t="s">
        <v>404</v>
      </c>
      <c r="I583" s="13" t="s">
        <v>6740</v>
      </c>
      <c r="J583" s="72">
        <v>1.25</v>
      </c>
      <c r="K583" s="14" t="s">
        <v>6175</v>
      </c>
      <c r="L583" s="9">
        <v>102.9</v>
      </c>
      <c r="M583" s="3">
        <v>209</v>
      </c>
      <c r="N583" s="17" t="s">
        <v>6385</v>
      </c>
      <c r="O583" s="18" t="s">
        <v>6383</v>
      </c>
      <c r="P583" s="49">
        <f t="shared" si="33"/>
        <v>2.4135993700371783</v>
      </c>
      <c r="Q583" s="1">
        <f t="shared" si="34"/>
        <v>2.9855608817582304</v>
      </c>
      <c r="R583" s="1">
        <f t="shared" si="36"/>
        <v>3.0877207868416887</v>
      </c>
      <c r="S583" s="10">
        <f t="shared" si="35"/>
        <v>2.6995801258977044</v>
      </c>
      <c r="T583" s="45" cm="1">
        <f t="array" ref="T583">SUMPRODUCT(P583:S583 * P$3:S$3) / SUM(P$3:S$3)</f>
        <v>2.8032911130983984</v>
      </c>
    </row>
    <row r="584" spans="1:20" ht="16.5" customHeight="1" x14ac:dyDescent="0.25">
      <c r="A584" s="5" t="s">
        <v>6887</v>
      </c>
      <c r="B584" s="20" t="s">
        <v>6452</v>
      </c>
      <c r="C584" s="4" t="s">
        <v>8796</v>
      </c>
      <c r="D584" s="4" t="s">
        <v>9000</v>
      </c>
      <c r="E584" s="12" t="s">
        <v>407</v>
      </c>
      <c r="F584" s="75" t="s">
        <v>410</v>
      </c>
      <c r="G584" s="3">
        <v>32</v>
      </c>
      <c r="H584" s="3" t="s">
        <v>404</v>
      </c>
      <c r="I584" s="13" t="s">
        <v>6740</v>
      </c>
      <c r="J584" s="72">
        <v>1.25</v>
      </c>
      <c r="K584" s="14" t="s">
        <v>6175</v>
      </c>
      <c r="L584" s="9">
        <v>106.29</v>
      </c>
      <c r="M584" s="3">
        <v>143.26</v>
      </c>
      <c r="N584" s="17" t="s">
        <v>6453</v>
      </c>
      <c r="O584" s="18" t="s">
        <v>6451</v>
      </c>
      <c r="P584" s="49">
        <f t="shared" si="33"/>
        <v>2.4135993700371783</v>
      </c>
      <c r="Q584" s="1">
        <f t="shared" si="34"/>
        <v>2.9855608817582304</v>
      </c>
      <c r="R584" s="1">
        <f t="shared" si="36"/>
        <v>3.0877207868416887</v>
      </c>
      <c r="S584" s="10">
        <f t="shared" si="35"/>
        <v>2.6995801258977044</v>
      </c>
      <c r="T584" s="45" cm="1">
        <f t="array" ref="T584">SUMPRODUCT(P584:S584 * P$3:S$3) / SUM(P$3:S$3)</f>
        <v>2.8032911130983984</v>
      </c>
    </row>
    <row r="585" spans="1:20" ht="16.5" customHeight="1" x14ac:dyDescent="0.25">
      <c r="A585" s="5" t="s">
        <v>6887</v>
      </c>
      <c r="B585" s="20" t="s">
        <v>6454</v>
      </c>
      <c r="C585" s="4" t="s">
        <v>8796</v>
      </c>
      <c r="D585" s="4" t="s">
        <v>9000</v>
      </c>
      <c r="E585" s="12" t="s">
        <v>407</v>
      </c>
      <c r="F585" s="75" t="s">
        <v>410</v>
      </c>
      <c r="G585" s="3">
        <v>32</v>
      </c>
      <c r="H585" s="3" t="s">
        <v>404</v>
      </c>
      <c r="I585" s="13" t="s">
        <v>6740</v>
      </c>
      <c r="J585" s="72">
        <v>1.25</v>
      </c>
      <c r="K585" s="14" t="s">
        <v>6175</v>
      </c>
      <c r="L585" s="9">
        <v>130.06</v>
      </c>
      <c r="M585" s="3">
        <v>140.05000000000001</v>
      </c>
      <c r="N585" s="17" t="s">
        <v>6455</v>
      </c>
      <c r="O585" s="18" t="s">
        <v>6451</v>
      </c>
      <c r="P585" s="49">
        <f t="shared" si="33"/>
        <v>2.4135993700371783</v>
      </c>
      <c r="Q585" s="1">
        <f t="shared" si="34"/>
        <v>2.9855608817582304</v>
      </c>
      <c r="R585" s="1">
        <f t="shared" si="36"/>
        <v>3.0877207868416887</v>
      </c>
      <c r="S585" s="10">
        <f t="shared" si="35"/>
        <v>2.6995801258977044</v>
      </c>
      <c r="T585" s="45" cm="1">
        <f t="array" ref="T585">SUMPRODUCT(P585:S585 * P$3:S$3) / SUM(P$3:S$3)</f>
        <v>2.8032911130983984</v>
      </c>
    </row>
    <row r="586" spans="1:20" ht="16.5" customHeight="1" x14ac:dyDescent="0.25">
      <c r="A586" s="5" t="s">
        <v>6887</v>
      </c>
      <c r="B586" s="20" t="s">
        <v>6511</v>
      </c>
      <c r="C586" s="4" t="s">
        <v>8796</v>
      </c>
      <c r="D586" s="4" t="s">
        <v>9000</v>
      </c>
      <c r="E586" s="12" t="s">
        <v>407</v>
      </c>
      <c r="F586" s="75" t="s">
        <v>410</v>
      </c>
      <c r="G586" s="3">
        <v>32</v>
      </c>
      <c r="H586" s="3" t="s">
        <v>404</v>
      </c>
      <c r="I586" s="13" t="s">
        <v>6740</v>
      </c>
      <c r="J586" s="72">
        <v>1.25</v>
      </c>
      <c r="L586" s="9">
        <v>93.9</v>
      </c>
      <c r="M586" s="3">
        <v>150</v>
      </c>
      <c r="N586" s="17" t="s">
        <v>6512</v>
      </c>
      <c r="O586" s="18" t="s">
        <v>6510</v>
      </c>
      <c r="P586" s="49">
        <f t="shared" ref="P586:P649" si="37">(((F586/F$9)^F$7 * F$2 + (I586/I$9)^I$7 * I$2 + (J586/J$9)^J$7 * J$2) * (1+M$3*(MIN(H586,M$2)-1)+M$4*(H586-MIN(H586,M$2))) + (G586/G$9)^G$7 * G$2)  * P$9</f>
        <v>2.4135993700371783</v>
      </c>
      <c r="Q586" s="1">
        <f t="shared" ref="Q586:Q649" si="38">(((F586/F$9)^F$7 * F$3 + (I586/I$9)^I$7 * I$3 + (J586/J$9)^J$7 * J$3) * (1+M$3*(MIN(H586,M$2)-1)+M$4*(H586-MIN(H586,M$2))) + (G586/G$9)^G$7 * G$3)  * P$9</f>
        <v>2.9855608817582304</v>
      </c>
      <c r="R586" s="1">
        <f t="shared" si="36"/>
        <v>3.0877207868416887</v>
      </c>
      <c r="S586" s="10">
        <f t="shared" ref="S586:S649" si="39">(((F586/F$9)^F$7 * F$5 + (I586/I$9)^I$7 * I$5 + (J586/J$9)^J$7 * J$5) * (1+M$3*(MIN(H586,M$2)-1)+M$4*(H586-MIN(H586,M$2))) + (G586/G$9)^G$7 * G$5)  * P$9</f>
        <v>2.6995801258977044</v>
      </c>
      <c r="T586" s="45" cm="1">
        <f t="array" ref="T586">SUMPRODUCT(P586:S586 * P$3:S$3) / SUM(P$3:S$3)</f>
        <v>2.8032911130983984</v>
      </c>
    </row>
    <row r="587" spans="1:20" ht="16.5" customHeight="1" x14ac:dyDescent="0.25">
      <c r="A587" s="5" t="s">
        <v>6876</v>
      </c>
      <c r="B587" s="20" t="s">
        <v>5948</v>
      </c>
      <c r="C587" s="4" t="s">
        <v>8797</v>
      </c>
      <c r="D587" s="4" t="s">
        <v>9000</v>
      </c>
      <c r="E587" s="12" t="s">
        <v>407</v>
      </c>
      <c r="F587" s="75" t="s">
        <v>410</v>
      </c>
      <c r="G587" s="3">
        <v>32</v>
      </c>
      <c r="H587" s="3" t="s">
        <v>404</v>
      </c>
      <c r="I587" s="13" t="s">
        <v>6739</v>
      </c>
      <c r="J587" s="72">
        <v>1.2</v>
      </c>
      <c r="L587" s="9">
        <v>86.87</v>
      </c>
      <c r="M587" s="3">
        <v>193</v>
      </c>
      <c r="N587" s="17" t="s">
        <v>5949</v>
      </c>
      <c r="O587" s="18" t="s">
        <v>5947</v>
      </c>
      <c r="P587" s="49">
        <f t="shared" si="37"/>
        <v>2.4237920382404265</v>
      </c>
      <c r="Q587" s="1">
        <f t="shared" si="38"/>
        <v>2.9917684415186248</v>
      </c>
      <c r="R587" s="1">
        <f t="shared" si="36"/>
        <v>3.093928346602083</v>
      </c>
      <c r="S587" s="10">
        <f t="shared" si="39"/>
        <v>2.7077802398795257</v>
      </c>
      <c r="T587" s="45" cm="1">
        <f t="array" ref="T587">SUMPRODUCT(P587:S587 * P$3:S$3) / SUM(P$3:S$3)</f>
        <v>2.8108781334736266</v>
      </c>
    </row>
    <row r="588" spans="1:20" ht="16.5" customHeight="1" x14ac:dyDescent="0.25">
      <c r="A588" s="5" t="s">
        <v>6860</v>
      </c>
      <c r="B588" s="20" t="s">
        <v>5770</v>
      </c>
      <c r="C588" s="4" t="s">
        <v>8797</v>
      </c>
      <c r="D588" s="4" t="s">
        <v>9000</v>
      </c>
      <c r="E588" s="12" t="s">
        <v>407</v>
      </c>
      <c r="F588" s="75" t="s">
        <v>410</v>
      </c>
      <c r="G588" s="3">
        <v>32</v>
      </c>
      <c r="H588" s="3" t="s">
        <v>404</v>
      </c>
      <c r="I588" s="13" t="s">
        <v>6740</v>
      </c>
      <c r="J588" s="72">
        <v>1.1000000000000001</v>
      </c>
      <c r="K588" s="14" t="s">
        <v>5196</v>
      </c>
      <c r="L588" s="9">
        <v>90.3</v>
      </c>
      <c r="M588" s="3">
        <v>141.16999999999999</v>
      </c>
      <c r="N588" s="17" t="s">
        <v>5771</v>
      </c>
      <c r="O588" s="18" t="s">
        <v>5769</v>
      </c>
      <c r="P588" s="49">
        <f t="shared" si="37"/>
        <v>2.4207130742854792</v>
      </c>
      <c r="Q588" s="1">
        <f t="shared" si="38"/>
        <v>2.9926745860065314</v>
      </c>
      <c r="R588" s="1">
        <f t="shared" si="36"/>
        <v>3.0948344910899896</v>
      </c>
      <c r="S588" s="10">
        <f t="shared" si="39"/>
        <v>2.7066938301460048</v>
      </c>
      <c r="T588" s="45" cm="1">
        <f t="array" ref="T588">SUMPRODUCT(P588:S588 * P$3:S$3) / SUM(P$3:S$3)</f>
        <v>2.8104048173466989</v>
      </c>
    </row>
    <row r="589" spans="1:20" ht="16.5" customHeight="1" x14ac:dyDescent="0.25">
      <c r="A589" s="5" t="s">
        <v>6860</v>
      </c>
      <c r="B589" s="20" t="s">
        <v>5829</v>
      </c>
      <c r="C589" s="4" t="s">
        <v>8797</v>
      </c>
      <c r="D589" s="4" t="s">
        <v>9000</v>
      </c>
      <c r="E589" s="12" t="s">
        <v>407</v>
      </c>
      <c r="F589" s="75" t="s">
        <v>410</v>
      </c>
      <c r="G589" s="3">
        <v>32</v>
      </c>
      <c r="H589" s="3" t="s">
        <v>404</v>
      </c>
      <c r="I589" s="13" t="s">
        <v>6740</v>
      </c>
      <c r="J589" s="72">
        <v>1.1000000000000001</v>
      </c>
      <c r="K589" s="14" t="s">
        <v>5196</v>
      </c>
      <c r="L589" s="9">
        <v>92.79</v>
      </c>
      <c r="M589" s="3">
        <v>127.46</v>
      </c>
      <c r="N589" s="17" t="s">
        <v>5830</v>
      </c>
      <c r="O589" s="18" t="s">
        <v>5828</v>
      </c>
      <c r="P589" s="49">
        <f t="shared" si="37"/>
        <v>2.4207130742854792</v>
      </c>
      <c r="Q589" s="1">
        <f t="shared" si="38"/>
        <v>2.9926745860065314</v>
      </c>
      <c r="R589" s="1">
        <f t="shared" si="36"/>
        <v>3.0948344910899896</v>
      </c>
      <c r="S589" s="10">
        <f t="shared" si="39"/>
        <v>2.7066938301460048</v>
      </c>
      <c r="T589" s="45" cm="1">
        <f t="array" ref="T589">SUMPRODUCT(P589:S589 * P$3:S$3) / SUM(P$3:S$3)</f>
        <v>2.8104048173466989</v>
      </c>
    </row>
    <row r="590" spans="1:20" ht="16.5" customHeight="1" x14ac:dyDescent="0.25">
      <c r="A590" s="5" t="s">
        <v>6848</v>
      </c>
      <c r="B590" s="20" t="s">
        <v>5711</v>
      </c>
      <c r="C590" s="4" t="s">
        <v>8797</v>
      </c>
      <c r="D590" s="4" t="s">
        <v>9000</v>
      </c>
      <c r="E590" s="12" t="s">
        <v>407</v>
      </c>
      <c r="F590" s="75" t="s">
        <v>410</v>
      </c>
      <c r="G590" s="3">
        <v>32</v>
      </c>
      <c r="H590" s="3" t="s">
        <v>404</v>
      </c>
      <c r="I590" s="13" t="s">
        <v>6739</v>
      </c>
      <c r="J590" s="72">
        <v>1.2</v>
      </c>
      <c r="L590" s="9">
        <v>84.9</v>
      </c>
      <c r="M590" s="3">
        <v>190.25</v>
      </c>
      <c r="N590" s="17" t="s">
        <v>5712</v>
      </c>
      <c r="O590" s="18" t="s">
        <v>5710</v>
      </c>
      <c r="P590" s="49">
        <f t="shared" si="37"/>
        <v>2.4237920382404265</v>
      </c>
      <c r="Q590" s="1">
        <f t="shared" si="38"/>
        <v>2.9917684415186248</v>
      </c>
      <c r="R590" s="1">
        <f t="shared" si="36"/>
        <v>3.093928346602083</v>
      </c>
      <c r="S590" s="10">
        <f t="shared" si="39"/>
        <v>2.7077802398795257</v>
      </c>
      <c r="T590" s="45" cm="1">
        <f t="array" ref="T590">SUMPRODUCT(P590:S590 * P$3:S$3) / SUM(P$3:S$3)</f>
        <v>2.8108781334736266</v>
      </c>
    </row>
    <row r="591" spans="1:20" ht="16.5" customHeight="1" x14ac:dyDescent="0.25">
      <c r="A591" s="5" t="s">
        <v>6823</v>
      </c>
      <c r="B591" s="20" t="s">
        <v>5337</v>
      </c>
      <c r="C591" s="4" t="s">
        <v>8797</v>
      </c>
      <c r="D591" s="4" t="s">
        <v>9000</v>
      </c>
      <c r="E591" s="12" t="s">
        <v>407</v>
      </c>
      <c r="F591" s="75" t="s">
        <v>410</v>
      </c>
      <c r="G591" s="3">
        <v>32</v>
      </c>
      <c r="H591" s="3" t="s">
        <v>404</v>
      </c>
      <c r="I591" s="13" t="s">
        <v>6739</v>
      </c>
      <c r="J591" s="72">
        <v>1.2</v>
      </c>
      <c r="K591" s="14" t="s">
        <v>5196</v>
      </c>
      <c r="L591" s="9">
        <v>96.9</v>
      </c>
      <c r="M591" s="3">
        <v>441.9</v>
      </c>
      <c r="N591" s="17" t="s">
        <v>5338</v>
      </c>
      <c r="O591" s="18" t="s">
        <v>5336</v>
      </c>
      <c r="P591" s="49">
        <f t="shared" si="37"/>
        <v>2.4237920382404265</v>
      </c>
      <c r="Q591" s="1">
        <f t="shared" si="38"/>
        <v>2.9917684415186248</v>
      </c>
      <c r="R591" s="1">
        <f t="shared" si="36"/>
        <v>3.093928346602083</v>
      </c>
      <c r="S591" s="10">
        <f t="shared" si="39"/>
        <v>2.7077802398795257</v>
      </c>
      <c r="T591" s="45" cm="1">
        <f t="array" ref="T591">SUMPRODUCT(P591:S591 * P$3:S$3) / SUM(P$3:S$3)</f>
        <v>2.8108781334736266</v>
      </c>
    </row>
    <row r="592" spans="1:20" ht="16.5" customHeight="1" x14ac:dyDescent="0.25">
      <c r="A592" s="5" t="s">
        <v>6823</v>
      </c>
      <c r="B592" s="20" t="s">
        <v>5451</v>
      </c>
      <c r="C592" s="4" t="s">
        <v>8797</v>
      </c>
      <c r="D592" s="4" t="s">
        <v>9000</v>
      </c>
      <c r="E592" s="12" t="s">
        <v>407</v>
      </c>
      <c r="F592" s="75" t="s">
        <v>410</v>
      </c>
      <c r="G592" s="3">
        <v>32</v>
      </c>
      <c r="H592" s="3" t="s">
        <v>404</v>
      </c>
      <c r="I592" s="13" t="s">
        <v>6739</v>
      </c>
      <c r="J592" s="72">
        <v>1.2</v>
      </c>
      <c r="K592" s="14" t="s">
        <v>5196</v>
      </c>
      <c r="L592" s="9">
        <v>96.9</v>
      </c>
      <c r="M592" s="3">
        <v>205</v>
      </c>
      <c r="N592" s="17" t="s">
        <v>5452</v>
      </c>
      <c r="O592" s="18" t="s">
        <v>5450</v>
      </c>
      <c r="P592" s="49">
        <f t="shared" si="37"/>
        <v>2.4237920382404265</v>
      </c>
      <c r="Q592" s="1">
        <f t="shared" si="38"/>
        <v>2.9917684415186248</v>
      </c>
      <c r="R592" s="1">
        <f t="shared" ref="R592:R655" si="40">(((F592/F$9)^F$7 * F$4 + (I592/I$9)^I$7 * I$4 + (J592/J$9)^J$7 * J$4) * (1+M$3*(MIN(H592,M$2)-1)+M$4*(H592-MIN(H592,M$2))) + (G592/G$9)^G$7 * G$4)  * P$9</f>
        <v>3.093928346602083</v>
      </c>
      <c r="S592" s="10">
        <f t="shared" si="39"/>
        <v>2.7077802398795257</v>
      </c>
      <c r="T592" s="45" cm="1">
        <f t="array" ref="T592">SUMPRODUCT(P592:S592 * P$3:S$3) / SUM(P$3:S$3)</f>
        <v>2.8108781334736266</v>
      </c>
    </row>
    <row r="593" spans="1:20" ht="16.5" customHeight="1" x14ac:dyDescent="0.25">
      <c r="A593" s="5" t="s">
        <v>6785</v>
      </c>
      <c r="B593" s="20" t="s">
        <v>4607</v>
      </c>
      <c r="C593" s="4" t="s">
        <v>8798</v>
      </c>
      <c r="D593" s="4" t="s">
        <v>9000</v>
      </c>
      <c r="E593" s="12" t="s">
        <v>407</v>
      </c>
      <c r="F593" s="75" t="s">
        <v>410</v>
      </c>
      <c r="G593" s="3">
        <v>32</v>
      </c>
      <c r="H593" s="3" t="s">
        <v>404</v>
      </c>
      <c r="I593" s="13" t="s">
        <v>6739</v>
      </c>
      <c r="J593" s="72">
        <v>1.25</v>
      </c>
      <c r="L593" s="9">
        <v>91.69</v>
      </c>
      <c r="M593" s="3">
        <v>159.9</v>
      </c>
      <c r="N593" s="17" t="s">
        <v>4608</v>
      </c>
      <c r="O593" s="18" t="s">
        <v>4606</v>
      </c>
      <c r="P593" s="49">
        <f t="shared" si="37"/>
        <v>2.4215695869228862</v>
      </c>
      <c r="Q593" s="1">
        <f t="shared" si="38"/>
        <v>2.9895459902010844</v>
      </c>
      <c r="R593" s="1">
        <f t="shared" si="40"/>
        <v>3.0917058952845426</v>
      </c>
      <c r="S593" s="10">
        <f t="shared" si="39"/>
        <v>2.7055577885619853</v>
      </c>
      <c r="T593" s="45" cm="1">
        <f t="array" ref="T593">SUMPRODUCT(P593:S593 * P$3:S$3) / SUM(P$3:S$3)</f>
        <v>2.8086556821560862</v>
      </c>
    </row>
    <row r="594" spans="1:20" ht="16.5" customHeight="1" x14ac:dyDescent="0.25">
      <c r="A594" s="5" t="s">
        <v>6785</v>
      </c>
      <c r="B594" s="20" t="s">
        <v>4727</v>
      </c>
      <c r="C594" s="4" t="s">
        <v>8798</v>
      </c>
      <c r="D594" s="4" t="s">
        <v>9000</v>
      </c>
      <c r="E594" s="12" t="s">
        <v>407</v>
      </c>
      <c r="F594" s="75" t="s">
        <v>410</v>
      </c>
      <c r="G594" s="3">
        <v>32</v>
      </c>
      <c r="H594" s="3" t="s">
        <v>404</v>
      </c>
      <c r="I594" s="13" t="s">
        <v>6740</v>
      </c>
      <c r="J594" s="72">
        <v>1.25</v>
      </c>
      <c r="L594" s="9">
        <v>85.5</v>
      </c>
      <c r="M594" s="3">
        <v>153.18</v>
      </c>
      <c r="N594" s="17" t="s">
        <v>4728</v>
      </c>
      <c r="O594" s="18" t="s">
        <v>4726</v>
      </c>
      <c r="P594" s="49">
        <f t="shared" si="37"/>
        <v>2.4135993700371783</v>
      </c>
      <c r="Q594" s="1">
        <f t="shared" si="38"/>
        <v>2.9855608817582304</v>
      </c>
      <c r="R594" s="1">
        <f t="shared" si="40"/>
        <v>3.0877207868416887</v>
      </c>
      <c r="S594" s="10">
        <f t="shared" si="39"/>
        <v>2.6995801258977044</v>
      </c>
      <c r="T594" s="45" cm="1">
        <f t="array" ref="T594">SUMPRODUCT(P594:S594 * P$3:S$3) / SUM(P$3:S$3)</f>
        <v>2.8032911130983984</v>
      </c>
    </row>
    <row r="595" spans="1:20" ht="16.5" customHeight="1" x14ac:dyDescent="0.25">
      <c r="A595" s="5" t="s">
        <v>6785</v>
      </c>
      <c r="B595" s="20" t="s">
        <v>4730</v>
      </c>
      <c r="C595" s="4" t="s">
        <v>8798</v>
      </c>
      <c r="D595" s="4" t="s">
        <v>9000</v>
      </c>
      <c r="E595" s="12" t="s">
        <v>407</v>
      </c>
      <c r="F595" s="75" t="s">
        <v>410</v>
      </c>
      <c r="G595" s="3">
        <v>32</v>
      </c>
      <c r="H595" s="3" t="s">
        <v>404</v>
      </c>
      <c r="I595" s="13" t="s">
        <v>6739</v>
      </c>
      <c r="J595" s="72">
        <v>1.25</v>
      </c>
      <c r="L595" s="9">
        <v>89.88</v>
      </c>
      <c r="M595" s="3">
        <v>226.12</v>
      </c>
      <c r="N595" s="17" t="s">
        <v>4731</v>
      </c>
      <c r="O595" s="18" t="s">
        <v>4729</v>
      </c>
      <c r="P595" s="49">
        <f t="shared" si="37"/>
        <v>2.4215695869228862</v>
      </c>
      <c r="Q595" s="1">
        <f t="shared" si="38"/>
        <v>2.9895459902010844</v>
      </c>
      <c r="R595" s="1">
        <f t="shared" si="40"/>
        <v>3.0917058952845426</v>
      </c>
      <c r="S595" s="10">
        <f t="shared" si="39"/>
        <v>2.7055577885619853</v>
      </c>
      <c r="T595" s="45" cm="1">
        <f t="array" ref="T595">SUMPRODUCT(P595:S595 * P$3:S$3) / SUM(P$3:S$3)</f>
        <v>2.8086556821560862</v>
      </c>
    </row>
    <row r="596" spans="1:20" ht="16.5" customHeight="1" x14ac:dyDescent="0.25">
      <c r="A596" s="5" t="s">
        <v>6785</v>
      </c>
      <c r="B596" s="20" t="s">
        <v>4909</v>
      </c>
      <c r="C596" s="4" t="s">
        <v>8798</v>
      </c>
      <c r="D596" s="4" t="s">
        <v>9000</v>
      </c>
      <c r="E596" s="12" t="s">
        <v>407</v>
      </c>
      <c r="F596" s="75" t="s">
        <v>410</v>
      </c>
      <c r="G596" s="3">
        <v>32</v>
      </c>
      <c r="H596" s="3" t="s">
        <v>404</v>
      </c>
      <c r="I596" s="13" t="s">
        <v>6740</v>
      </c>
      <c r="J596" s="72">
        <v>1.25</v>
      </c>
      <c r="K596" s="14" t="s">
        <v>4847</v>
      </c>
      <c r="L596" s="9">
        <v>104.3</v>
      </c>
      <c r="M596" s="3">
        <v>204.68</v>
      </c>
      <c r="N596" s="17" t="s">
        <v>4910</v>
      </c>
      <c r="O596" s="18" t="s">
        <v>4908</v>
      </c>
      <c r="P596" s="49">
        <f t="shared" si="37"/>
        <v>2.4135993700371783</v>
      </c>
      <c r="Q596" s="1">
        <f t="shared" si="38"/>
        <v>2.9855608817582304</v>
      </c>
      <c r="R596" s="1">
        <f t="shared" si="40"/>
        <v>3.0877207868416887</v>
      </c>
      <c r="S596" s="10">
        <f t="shared" si="39"/>
        <v>2.6995801258977044</v>
      </c>
      <c r="T596" s="45" cm="1">
        <f t="array" ref="T596">SUMPRODUCT(P596:S596 * P$3:S$3) / SUM(P$3:S$3)</f>
        <v>2.8032911130983984</v>
      </c>
    </row>
    <row r="597" spans="1:20" ht="16.5" customHeight="1" x14ac:dyDescent="0.25">
      <c r="A597" s="5" t="s">
        <v>6785</v>
      </c>
      <c r="B597" s="20" t="s">
        <v>4912</v>
      </c>
      <c r="C597" s="4" t="s">
        <v>8798</v>
      </c>
      <c r="D597" s="4" t="s">
        <v>9000</v>
      </c>
      <c r="E597" s="12" t="s">
        <v>407</v>
      </c>
      <c r="F597" s="75" t="s">
        <v>410</v>
      </c>
      <c r="G597" s="3">
        <v>32</v>
      </c>
      <c r="H597" s="3" t="s">
        <v>404</v>
      </c>
      <c r="I597" s="13" t="s">
        <v>6739</v>
      </c>
      <c r="J597" s="72">
        <v>1.25</v>
      </c>
      <c r="K597" s="14" t="s">
        <v>4847</v>
      </c>
      <c r="L597" s="9">
        <v>102.71</v>
      </c>
      <c r="M597" s="3">
        <v>174.9</v>
      </c>
      <c r="N597" s="17" t="s">
        <v>4913</v>
      </c>
      <c r="O597" s="18" t="s">
        <v>4911</v>
      </c>
      <c r="P597" s="49">
        <f t="shared" si="37"/>
        <v>2.4215695869228862</v>
      </c>
      <c r="Q597" s="1">
        <f t="shared" si="38"/>
        <v>2.9895459902010844</v>
      </c>
      <c r="R597" s="1">
        <f t="shared" si="40"/>
        <v>3.0917058952845426</v>
      </c>
      <c r="S597" s="10">
        <f t="shared" si="39"/>
        <v>2.7055577885619853</v>
      </c>
      <c r="T597" s="45" cm="1">
        <f t="array" ref="T597">SUMPRODUCT(P597:S597 * P$3:S$3) / SUM(P$3:S$3)</f>
        <v>2.8086556821560862</v>
      </c>
    </row>
    <row r="598" spans="1:20" ht="16.5" customHeight="1" x14ac:dyDescent="0.25">
      <c r="A598" s="5" t="s">
        <v>6785</v>
      </c>
      <c r="B598" s="20" t="s">
        <v>5046</v>
      </c>
      <c r="C598" s="4" t="s">
        <v>8798</v>
      </c>
      <c r="D598" s="4" t="s">
        <v>9000</v>
      </c>
      <c r="E598" s="12" t="s">
        <v>407</v>
      </c>
      <c r="F598" s="75" t="s">
        <v>410</v>
      </c>
      <c r="G598" s="3">
        <v>32</v>
      </c>
      <c r="H598" s="3" t="s">
        <v>404</v>
      </c>
      <c r="I598" s="13" t="s">
        <v>6740</v>
      </c>
      <c r="J598" s="72">
        <v>1.25</v>
      </c>
      <c r="K598" s="14" t="s">
        <v>4847</v>
      </c>
      <c r="L598" s="9">
        <v>102.81</v>
      </c>
      <c r="M598" s="3">
        <v>186</v>
      </c>
      <c r="N598" s="17" t="s">
        <v>5047</v>
      </c>
      <c r="O598" s="18" t="s">
        <v>5045</v>
      </c>
      <c r="P598" s="49">
        <f t="shared" si="37"/>
        <v>2.4135993700371783</v>
      </c>
      <c r="Q598" s="1">
        <f t="shared" si="38"/>
        <v>2.9855608817582304</v>
      </c>
      <c r="R598" s="1">
        <f t="shared" si="40"/>
        <v>3.0877207868416887</v>
      </c>
      <c r="S598" s="10">
        <f t="shared" si="39"/>
        <v>2.6995801258977044</v>
      </c>
      <c r="T598" s="45" cm="1">
        <f t="array" ref="T598">SUMPRODUCT(P598:S598 * P$3:S$3) / SUM(P$3:S$3)</f>
        <v>2.8032911130983984</v>
      </c>
    </row>
    <row r="599" spans="1:20" ht="16.5" customHeight="1" x14ac:dyDescent="0.25">
      <c r="A599" s="5" t="s">
        <v>6785</v>
      </c>
      <c r="B599" s="20" t="s">
        <v>5049</v>
      </c>
      <c r="C599" s="4" t="s">
        <v>8798</v>
      </c>
      <c r="D599" s="4" t="s">
        <v>9000</v>
      </c>
      <c r="E599" s="12" t="s">
        <v>407</v>
      </c>
      <c r="F599" s="75" t="s">
        <v>410</v>
      </c>
      <c r="G599" s="3">
        <v>32</v>
      </c>
      <c r="H599" s="3" t="s">
        <v>404</v>
      </c>
      <c r="I599" s="13" t="s">
        <v>6739</v>
      </c>
      <c r="J599" s="72">
        <v>1.25</v>
      </c>
      <c r="K599" s="14" t="s">
        <v>4847</v>
      </c>
      <c r="L599" s="9">
        <v>95.72</v>
      </c>
      <c r="M599" s="3">
        <v>179.9</v>
      </c>
      <c r="N599" s="17" t="s">
        <v>5050</v>
      </c>
      <c r="O599" s="18" t="s">
        <v>5048</v>
      </c>
      <c r="P599" s="49">
        <f t="shared" si="37"/>
        <v>2.4215695869228862</v>
      </c>
      <c r="Q599" s="1">
        <f t="shared" si="38"/>
        <v>2.9895459902010844</v>
      </c>
      <c r="R599" s="1">
        <f t="shared" si="40"/>
        <v>3.0917058952845426</v>
      </c>
      <c r="S599" s="10">
        <f t="shared" si="39"/>
        <v>2.7055577885619853</v>
      </c>
      <c r="T599" s="45" cm="1">
        <f t="array" ref="T599">SUMPRODUCT(P599:S599 * P$3:S$3) / SUM(P$3:S$3)</f>
        <v>2.8086556821560862</v>
      </c>
    </row>
    <row r="600" spans="1:20" ht="16.5" customHeight="1" x14ac:dyDescent="0.25">
      <c r="A600" s="5" t="s">
        <v>6916</v>
      </c>
      <c r="B600" s="20" t="s">
        <v>6099</v>
      </c>
      <c r="C600" s="4" t="s">
        <v>8796</v>
      </c>
      <c r="D600" s="4" t="s">
        <v>9001</v>
      </c>
      <c r="E600" s="12" t="s">
        <v>407</v>
      </c>
      <c r="F600" s="75" t="s">
        <v>410</v>
      </c>
      <c r="G600" s="3">
        <v>48</v>
      </c>
      <c r="H600" s="3" t="s">
        <v>404</v>
      </c>
      <c r="I600" s="13" t="s">
        <v>6738</v>
      </c>
      <c r="J600" s="72">
        <v>1.25</v>
      </c>
      <c r="L600" s="9">
        <v>140.04</v>
      </c>
      <c r="M600" s="3">
        <v>238.04</v>
      </c>
      <c r="N600" s="17" t="s">
        <v>6100</v>
      </c>
      <c r="O600" s="18" t="s">
        <v>6098</v>
      </c>
      <c r="P600" s="49">
        <f t="shared" si="37"/>
        <v>2.8395254993227974</v>
      </c>
      <c r="Q600" s="1">
        <f t="shared" si="38"/>
        <v>3.6909842774809212</v>
      </c>
      <c r="R600" s="1">
        <f t="shared" si="40"/>
        <v>3.8634956584329339</v>
      </c>
      <c r="S600" s="10">
        <f t="shared" si="39"/>
        <v>3.2652548884018597</v>
      </c>
      <c r="T600" s="45" cm="1">
        <f t="array" ref="T600">SUMPRODUCT(P600:S600 * P$3:S$3) / SUM(P$3:S$3)</f>
        <v>3.4227887590341886</v>
      </c>
    </row>
    <row r="601" spans="1:20" ht="16.5" customHeight="1" x14ac:dyDescent="0.25">
      <c r="A601" s="5" t="s">
        <v>6916</v>
      </c>
      <c r="B601" s="20" t="s">
        <v>6330</v>
      </c>
      <c r="C601" s="4" t="s">
        <v>8796</v>
      </c>
      <c r="D601" s="4" t="s">
        <v>9001</v>
      </c>
      <c r="E601" s="12" t="s">
        <v>407</v>
      </c>
      <c r="F601" s="75" t="s">
        <v>410</v>
      </c>
      <c r="G601" s="3">
        <v>48</v>
      </c>
      <c r="H601" s="3" t="s">
        <v>404</v>
      </c>
      <c r="I601" s="13" t="s">
        <v>6738</v>
      </c>
      <c r="J601" s="72">
        <v>1.25</v>
      </c>
      <c r="K601" s="14" t="s">
        <v>6175</v>
      </c>
      <c r="L601" s="9">
        <v>144.9</v>
      </c>
      <c r="M601" s="3">
        <v>249.95</v>
      </c>
      <c r="N601" s="17" t="s">
        <v>6331</v>
      </c>
      <c r="O601" s="18" t="s">
        <v>6329</v>
      </c>
      <c r="P601" s="49">
        <f t="shared" si="37"/>
        <v>2.8395254993227974</v>
      </c>
      <c r="Q601" s="1">
        <f t="shared" si="38"/>
        <v>3.6909842774809212</v>
      </c>
      <c r="R601" s="1">
        <f t="shared" si="40"/>
        <v>3.8634956584329339</v>
      </c>
      <c r="S601" s="10">
        <f t="shared" si="39"/>
        <v>3.2652548884018597</v>
      </c>
      <c r="T601" s="45" cm="1">
        <f t="array" ref="T601">SUMPRODUCT(P601:S601 * P$3:S$3) / SUM(P$3:S$3)</f>
        <v>3.4227887590341886</v>
      </c>
    </row>
    <row r="602" spans="1:20" ht="16.5" customHeight="1" x14ac:dyDescent="0.25">
      <c r="A602" s="5" t="s">
        <v>6874</v>
      </c>
      <c r="B602" s="20" t="s">
        <v>5916</v>
      </c>
      <c r="C602" s="4" t="s">
        <v>8797</v>
      </c>
      <c r="D602" s="4" t="s">
        <v>9001</v>
      </c>
      <c r="E602" s="12" t="s">
        <v>407</v>
      </c>
      <c r="F602" s="75" t="s">
        <v>410</v>
      </c>
      <c r="G602" s="3">
        <v>48</v>
      </c>
      <c r="H602" s="3" t="s">
        <v>404</v>
      </c>
      <c r="I602" s="13" t="s">
        <v>6740</v>
      </c>
      <c r="J602" s="72">
        <v>1.1000000000000001</v>
      </c>
      <c r="L602" s="9">
        <v>103.89</v>
      </c>
      <c r="M602" s="3">
        <v>135.35</v>
      </c>
      <c r="N602" s="17" t="s">
        <v>5917</v>
      </c>
      <c r="O602" s="18" t="s">
        <v>5915</v>
      </c>
      <c r="P602" s="49">
        <f t="shared" si="37"/>
        <v>2.8428219294968056</v>
      </c>
      <c r="Q602" s="1">
        <f t="shared" si="38"/>
        <v>3.6961893446920757</v>
      </c>
      <c r="R602" s="1">
        <f t="shared" si="40"/>
        <v>3.8687007256440884</v>
      </c>
      <c r="S602" s="10">
        <f t="shared" si="39"/>
        <v>3.2695056370944409</v>
      </c>
      <c r="T602" s="45" cm="1">
        <f t="array" ref="T602">SUMPRODUCT(P602:S602 * P$3:S$3) / SUM(P$3:S$3)</f>
        <v>3.4273331441940229</v>
      </c>
    </row>
    <row r="603" spans="1:20" ht="16.5" customHeight="1" x14ac:dyDescent="0.25">
      <c r="A603" s="5" t="s">
        <v>6856</v>
      </c>
      <c r="B603" s="20" t="s">
        <v>5740</v>
      </c>
      <c r="C603" s="4" t="s">
        <v>8797</v>
      </c>
      <c r="D603" s="4" t="s">
        <v>9001</v>
      </c>
      <c r="E603" s="12" t="s">
        <v>407</v>
      </c>
      <c r="F603" s="75" t="s">
        <v>410</v>
      </c>
      <c r="G603" s="3">
        <v>48</v>
      </c>
      <c r="H603" s="3" t="s">
        <v>404</v>
      </c>
      <c r="I603" s="13" t="s">
        <v>6740</v>
      </c>
      <c r="J603" s="72">
        <v>1.1000000000000001</v>
      </c>
      <c r="K603" s="14" t="s">
        <v>5196</v>
      </c>
      <c r="L603" s="9">
        <v>106.1</v>
      </c>
      <c r="M603" s="3">
        <v>154.91</v>
      </c>
      <c r="N603" s="17" t="s">
        <v>5741</v>
      </c>
      <c r="O603" s="18" t="s">
        <v>5739</v>
      </c>
      <c r="P603" s="49">
        <f t="shared" si="37"/>
        <v>2.8428219294968056</v>
      </c>
      <c r="Q603" s="1">
        <f t="shared" si="38"/>
        <v>3.6961893446920757</v>
      </c>
      <c r="R603" s="1">
        <f t="shared" si="40"/>
        <v>3.8687007256440884</v>
      </c>
      <c r="S603" s="10">
        <f t="shared" si="39"/>
        <v>3.2695056370944409</v>
      </c>
      <c r="T603" s="45" cm="1">
        <f t="array" ref="T603">SUMPRODUCT(P603:S603 * P$3:S$3) / SUM(P$3:S$3)</f>
        <v>3.4273331441940229</v>
      </c>
    </row>
    <row r="604" spans="1:20" ht="16.5" customHeight="1" x14ac:dyDescent="0.25">
      <c r="A604" s="5" t="s">
        <v>6949</v>
      </c>
      <c r="B604" s="20" t="s">
        <v>6636</v>
      </c>
      <c r="C604" s="4" t="s">
        <v>8796</v>
      </c>
      <c r="D604" s="4" t="s">
        <v>9002</v>
      </c>
      <c r="E604" s="12" t="s">
        <v>407</v>
      </c>
      <c r="F604" s="75" t="s">
        <v>410</v>
      </c>
      <c r="G604" s="3">
        <v>64</v>
      </c>
      <c r="H604" s="3" t="s">
        <v>404</v>
      </c>
      <c r="I604" s="13" t="s">
        <v>6740</v>
      </c>
      <c r="J604" s="72">
        <v>1.25</v>
      </c>
      <c r="K604" s="14" t="s">
        <v>6633</v>
      </c>
      <c r="L604" s="9">
        <v>203.9</v>
      </c>
      <c r="M604" s="3">
        <v>277.72000000000003</v>
      </c>
      <c r="N604" s="17" t="s">
        <v>6637</v>
      </c>
      <c r="O604" s="18" t="s">
        <v>6635</v>
      </c>
      <c r="P604" s="49">
        <f t="shared" si="37"/>
        <v>3.2167925669043242</v>
      </c>
      <c r="Q604" s="1">
        <f t="shared" si="38"/>
        <v>4.3242162098701407</v>
      </c>
      <c r="R604" s="1">
        <f t="shared" si="40"/>
        <v>4.5602416477647907</v>
      </c>
      <c r="S604" s="10">
        <f t="shared" si="39"/>
        <v>3.7705043883872329</v>
      </c>
      <c r="T604" s="45" cm="1">
        <f t="array" ref="T604">SUMPRODUCT(P604:S604 * P$3:S$3) / SUM(P$3:S$3)</f>
        <v>3.9771888623657654</v>
      </c>
    </row>
    <row r="605" spans="1:20" ht="16.5" customHeight="1" x14ac:dyDescent="0.25">
      <c r="A605" s="5" t="s">
        <v>6949</v>
      </c>
      <c r="B605" s="20" t="s">
        <v>6672</v>
      </c>
      <c r="C605" s="4" t="s">
        <v>8796</v>
      </c>
      <c r="D605" s="4" t="s">
        <v>9002</v>
      </c>
      <c r="E605" s="12" t="s">
        <v>407</v>
      </c>
      <c r="F605" s="75" t="s">
        <v>410</v>
      </c>
      <c r="G605" s="3">
        <v>64</v>
      </c>
      <c r="H605" s="3" t="s">
        <v>404</v>
      </c>
      <c r="I605" s="13" t="s">
        <v>6740</v>
      </c>
      <c r="J605" s="72">
        <v>1.25</v>
      </c>
      <c r="K605" s="14" t="s">
        <v>6633</v>
      </c>
      <c r="L605" s="9">
        <v>204.14</v>
      </c>
      <c r="M605" s="3">
        <v>293</v>
      </c>
      <c r="N605" s="17" t="s">
        <v>6673</v>
      </c>
      <c r="O605" s="18" t="s">
        <v>6671</v>
      </c>
      <c r="P605" s="49">
        <f t="shared" si="37"/>
        <v>3.2167925669043242</v>
      </c>
      <c r="Q605" s="1">
        <f t="shared" si="38"/>
        <v>4.3242162098701407</v>
      </c>
      <c r="R605" s="1">
        <f t="shared" si="40"/>
        <v>4.5602416477647907</v>
      </c>
      <c r="S605" s="10">
        <f t="shared" si="39"/>
        <v>3.7705043883872329</v>
      </c>
      <c r="T605" s="45" cm="1">
        <f t="array" ref="T605">SUMPRODUCT(P605:S605 * P$3:S$3) / SUM(P$3:S$3)</f>
        <v>3.9771888623657654</v>
      </c>
    </row>
    <row r="606" spans="1:20" ht="16.5" customHeight="1" x14ac:dyDescent="0.25">
      <c r="A606" s="5" t="s">
        <v>6882</v>
      </c>
      <c r="B606" s="20" t="s">
        <v>5969</v>
      </c>
      <c r="C606" s="4" t="s">
        <v>8796</v>
      </c>
      <c r="D606" s="4" t="s">
        <v>9002</v>
      </c>
      <c r="E606" s="12" t="s">
        <v>407</v>
      </c>
      <c r="F606" s="75" t="s">
        <v>410</v>
      </c>
      <c r="G606" s="3">
        <v>64</v>
      </c>
      <c r="H606" s="3" t="s">
        <v>404</v>
      </c>
      <c r="I606" s="13" t="s">
        <v>6740</v>
      </c>
      <c r="J606" s="72">
        <v>1.25</v>
      </c>
      <c r="L606" s="9">
        <v>164.82</v>
      </c>
      <c r="M606" s="3">
        <v>192.81</v>
      </c>
      <c r="N606" s="17" t="s">
        <v>5970</v>
      </c>
      <c r="O606" s="18" t="s">
        <v>5968</v>
      </c>
      <c r="P606" s="49">
        <f t="shared" si="37"/>
        <v>3.2167925669043242</v>
      </c>
      <c r="Q606" s="1">
        <f t="shared" si="38"/>
        <v>4.3242162098701407</v>
      </c>
      <c r="R606" s="1">
        <f t="shared" si="40"/>
        <v>4.5602416477647907</v>
      </c>
      <c r="S606" s="10">
        <f t="shared" si="39"/>
        <v>3.7705043883872329</v>
      </c>
      <c r="T606" s="45" cm="1">
        <f t="array" ref="T606">SUMPRODUCT(P606:S606 * P$3:S$3) / SUM(P$3:S$3)</f>
        <v>3.9771888623657654</v>
      </c>
    </row>
    <row r="607" spans="1:20" ht="16.5" customHeight="1" x14ac:dyDescent="0.25">
      <c r="A607" s="5" t="s">
        <v>6882</v>
      </c>
      <c r="B607" s="20" t="s">
        <v>6078</v>
      </c>
      <c r="C607" s="4" t="s">
        <v>8796</v>
      </c>
      <c r="D607" s="4" t="s">
        <v>9002</v>
      </c>
      <c r="E607" s="12" t="s">
        <v>407</v>
      </c>
      <c r="F607" s="75" t="s">
        <v>410</v>
      </c>
      <c r="G607" s="3">
        <v>64</v>
      </c>
      <c r="H607" s="3" t="s">
        <v>404</v>
      </c>
      <c r="I607" s="13" t="s">
        <v>6740</v>
      </c>
      <c r="J607" s="72">
        <v>1.25</v>
      </c>
      <c r="L607" s="9">
        <v>163.07</v>
      </c>
      <c r="M607" s="3">
        <v>233</v>
      </c>
      <c r="N607" s="17" t="s">
        <v>6079</v>
      </c>
      <c r="O607" s="18" t="s">
        <v>6077</v>
      </c>
      <c r="P607" s="49">
        <f t="shared" si="37"/>
        <v>3.2167925669043242</v>
      </c>
      <c r="Q607" s="1">
        <f t="shared" si="38"/>
        <v>4.3242162098701407</v>
      </c>
      <c r="R607" s="1">
        <f t="shared" si="40"/>
        <v>4.5602416477647907</v>
      </c>
      <c r="S607" s="10">
        <f t="shared" si="39"/>
        <v>3.7705043883872329</v>
      </c>
      <c r="T607" s="45" cm="1">
        <f t="array" ref="T607">SUMPRODUCT(P607:S607 * P$3:S$3) / SUM(P$3:S$3)</f>
        <v>3.9771888623657654</v>
      </c>
    </row>
    <row r="608" spans="1:20" ht="16.5" customHeight="1" x14ac:dyDescent="0.25">
      <c r="A608" s="5" t="s">
        <v>6882</v>
      </c>
      <c r="B608" s="20" t="s">
        <v>6189</v>
      </c>
      <c r="C608" s="4" t="s">
        <v>8796</v>
      </c>
      <c r="D608" s="4" t="s">
        <v>9002</v>
      </c>
      <c r="E608" s="12" t="s">
        <v>407</v>
      </c>
      <c r="F608" s="75" t="s">
        <v>410</v>
      </c>
      <c r="G608" s="3">
        <v>64</v>
      </c>
      <c r="H608" s="3" t="s">
        <v>404</v>
      </c>
      <c r="I608" s="13" t="s">
        <v>6740</v>
      </c>
      <c r="J608" s="72">
        <v>1.25</v>
      </c>
      <c r="K608" s="14" t="s">
        <v>6175</v>
      </c>
      <c r="L608" s="9">
        <v>178.62</v>
      </c>
      <c r="M608" s="3">
        <v>199.6</v>
      </c>
      <c r="N608" s="17" t="s">
        <v>6190</v>
      </c>
      <c r="O608" s="18" t="s">
        <v>6188</v>
      </c>
      <c r="P608" s="49">
        <f t="shared" si="37"/>
        <v>3.2167925669043242</v>
      </c>
      <c r="Q608" s="1">
        <f t="shared" si="38"/>
        <v>4.3242162098701407</v>
      </c>
      <c r="R608" s="1">
        <f t="shared" si="40"/>
        <v>4.5602416477647907</v>
      </c>
      <c r="S608" s="10">
        <f t="shared" si="39"/>
        <v>3.7705043883872329</v>
      </c>
      <c r="T608" s="45" cm="1">
        <f t="array" ref="T608">SUMPRODUCT(P608:S608 * P$3:S$3) / SUM(P$3:S$3)</f>
        <v>3.9771888623657654</v>
      </c>
    </row>
    <row r="609" spans="1:20" ht="16.5" customHeight="1" x14ac:dyDescent="0.25">
      <c r="A609" s="5" t="s">
        <v>6882</v>
      </c>
      <c r="B609" s="20" t="s">
        <v>6306</v>
      </c>
      <c r="C609" s="4" t="s">
        <v>8796</v>
      </c>
      <c r="D609" s="4" t="s">
        <v>9002</v>
      </c>
      <c r="E609" s="12" t="s">
        <v>407</v>
      </c>
      <c r="F609" s="75" t="s">
        <v>410</v>
      </c>
      <c r="G609" s="3">
        <v>64</v>
      </c>
      <c r="H609" s="3" t="s">
        <v>404</v>
      </c>
      <c r="I609" s="13" t="s">
        <v>6740</v>
      </c>
      <c r="J609" s="72">
        <v>1.25</v>
      </c>
      <c r="K609" s="14" t="s">
        <v>6175</v>
      </c>
      <c r="L609" s="9">
        <v>174.85</v>
      </c>
      <c r="M609" s="3">
        <v>229.9</v>
      </c>
      <c r="N609" s="17" t="s">
        <v>6307</v>
      </c>
      <c r="O609" s="18" t="s">
        <v>6305</v>
      </c>
      <c r="P609" s="49">
        <f t="shared" si="37"/>
        <v>3.2167925669043242</v>
      </c>
      <c r="Q609" s="1">
        <f t="shared" si="38"/>
        <v>4.3242162098701407</v>
      </c>
      <c r="R609" s="1">
        <f t="shared" si="40"/>
        <v>4.5602416477647907</v>
      </c>
      <c r="S609" s="10">
        <f t="shared" si="39"/>
        <v>3.7705043883872329</v>
      </c>
      <c r="T609" s="45" cm="1">
        <f t="array" ref="T609">SUMPRODUCT(P609:S609 * P$3:S$3) / SUM(P$3:S$3)</f>
        <v>3.9771888623657654</v>
      </c>
    </row>
    <row r="610" spans="1:20" ht="16.5" customHeight="1" x14ac:dyDescent="0.25">
      <c r="A610" s="5" t="s">
        <v>6882</v>
      </c>
      <c r="B610" s="20" t="s">
        <v>6415</v>
      </c>
      <c r="C610" s="4" t="s">
        <v>8796</v>
      </c>
      <c r="D610" s="4" t="s">
        <v>9002</v>
      </c>
      <c r="E610" s="12" t="s">
        <v>407</v>
      </c>
      <c r="F610" s="75" t="s">
        <v>410</v>
      </c>
      <c r="G610" s="3">
        <v>64</v>
      </c>
      <c r="H610" s="3" t="s">
        <v>404</v>
      </c>
      <c r="I610" s="13" t="s">
        <v>6740</v>
      </c>
      <c r="J610" s="72">
        <v>1.25</v>
      </c>
      <c r="K610" s="14" t="s">
        <v>6175</v>
      </c>
      <c r="L610" s="9">
        <v>176.9</v>
      </c>
      <c r="M610" s="3">
        <v>219.9</v>
      </c>
      <c r="N610" s="17" t="s">
        <v>6416</v>
      </c>
      <c r="O610" s="18" t="s">
        <v>6414</v>
      </c>
      <c r="P610" s="49">
        <f t="shared" si="37"/>
        <v>3.2167925669043242</v>
      </c>
      <c r="Q610" s="1">
        <f t="shared" si="38"/>
        <v>4.3242162098701407</v>
      </c>
      <c r="R610" s="1">
        <f t="shared" si="40"/>
        <v>4.5602416477647907</v>
      </c>
      <c r="S610" s="10">
        <f t="shared" si="39"/>
        <v>3.7705043883872329</v>
      </c>
      <c r="T610" s="45" cm="1">
        <f t="array" ref="T610">SUMPRODUCT(P610:S610 * P$3:S$3) / SUM(P$3:S$3)</f>
        <v>3.9771888623657654</v>
      </c>
    </row>
    <row r="611" spans="1:20" ht="16.5" customHeight="1" x14ac:dyDescent="0.25">
      <c r="A611" s="5" t="s">
        <v>6882</v>
      </c>
      <c r="B611" s="20" t="s">
        <v>6478</v>
      </c>
      <c r="C611" s="4" t="s">
        <v>8796</v>
      </c>
      <c r="D611" s="4" t="s">
        <v>9002</v>
      </c>
      <c r="E611" s="12" t="s">
        <v>407</v>
      </c>
      <c r="F611" s="75" t="s">
        <v>410</v>
      </c>
      <c r="G611" s="3">
        <v>64</v>
      </c>
      <c r="H611" s="3" t="s">
        <v>404</v>
      </c>
      <c r="I611" s="13" t="s">
        <v>6740</v>
      </c>
      <c r="J611" s="72">
        <v>1.25</v>
      </c>
      <c r="L611" s="9">
        <v>159.52000000000001</v>
      </c>
      <c r="M611" s="3">
        <v>186.95</v>
      </c>
      <c r="N611" s="17" t="s">
        <v>6479</v>
      </c>
      <c r="O611" s="18" t="s">
        <v>6477</v>
      </c>
      <c r="P611" s="49">
        <f t="shared" si="37"/>
        <v>3.2167925669043242</v>
      </c>
      <c r="Q611" s="1">
        <f t="shared" si="38"/>
        <v>4.3242162098701407</v>
      </c>
      <c r="R611" s="1">
        <f t="shared" si="40"/>
        <v>4.5602416477647907</v>
      </c>
      <c r="S611" s="10">
        <f t="shared" si="39"/>
        <v>3.7705043883872329</v>
      </c>
      <c r="T611" s="45" cm="1">
        <f t="array" ref="T611">SUMPRODUCT(P611:S611 * P$3:S$3) / SUM(P$3:S$3)</f>
        <v>3.9771888623657654</v>
      </c>
    </row>
    <row r="612" spans="1:20" ht="16.5" customHeight="1" x14ac:dyDescent="0.25">
      <c r="A612" s="5" t="s">
        <v>6854</v>
      </c>
      <c r="B612" s="20" t="s">
        <v>5734</v>
      </c>
      <c r="C612" s="4" t="s">
        <v>8797</v>
      </c>
      <c r="D612" s="4" t="s">
        <v>9002</v>
      </c>
      <c r="E612" s="12" t="s">
        <v>407</v>
      </c>
      <c r="F612" s="75" t="s">
        <v>410</v>
      </c>
      <c r="G612" s="3">
        <v>64</v>
      </c>
      <c r="H612" s="3" t="s">
        <v>404</v>
      </c>
      <c r="I612" s="13" t="s">
        <v>6740</v>
      </c>
      <c r="J612" s="72">
        <v>1.1000000000000001</v>
      </c>
      <c r="K612" s="14" t="s">
        <v>5196</v>
      </c>
      <c r="L612" s="9">
        <v>164.63</v>
      </c>
      <c r="M612" s="3">
        <v>206</v>
      </c>
      <c r="N612" s="17" t="s">
        <v>5735</v>
      </c>
      <c r="O612" s="18" t="s">
        <v>5733</v>
      </c>
      <c r="P612" s="49">
        <f t="shared" si="37"/>
        <v>3.2239062711526252</v>
      </c>
      <c r="Q612" s="1">
        <f t="shared" si="38"/>
        <v>4.3313299141184416</v>
      </c>
      <c r="R612" s="1">
        <f t="shared" si="40"/>
        <v>4.5673553520130907</v>
      </c>
      <c r="S612" s="10">
        <f t="shared" si="39"/>
        <v>3.7776180926355334</v>
      </c>
      <c r="T612" s="45" cm="1">
        <f t="array" ref="T612">SUMPRODUCT(P612:S612 * P$3:S$3) / SUM(P$3:S$3)</f>
        <v>3.9843025666140663</v>
      </c>
    </row>
    <row r="613" spans="1:20" ht="16.5" customHeight="1" x14ac:dyDescent="0.25">
      <c r="A613" s="5" t="s">
        <v>6854</v>
      </c>
      <c r="B613" s="20" t="s">
        <v>5799</v>
      </c>
      <c r="C613" s="4" t="s">
        <v>8797</v>
      </c>
      <c r="D613" s="4" t="s">
        <v>9002</v>
      </c>
      <c r="E613" s="12" t="s">
        <v>407</v>
      </c>
      <c r="F613" s="75" t="s">
        <v>410</v>
      </c>
      <c r="G613" s="3">
        <v>64</v>
      </c>
      <c r="H613" s="3" t="s">
        <v>404</v>
      </c>
      <c r="I613" s="13" t="s">
        <v>6740</v>
      </c>
      <c r="J613" s="72">
        <v>1.1000000000000001</v>
      </c>
      <c r="K613" s="14" t="s">
        <v>5196</v>
      </c>
      <c r="L613" s="9">
        <v>164.63</v>
      </c>
      <c r="M613" s="3">
        <v>207</v>
      </c>
      <c r="N613" s="17" t="s">
        <v>5800</v>
      </c>
      <c r="O613" s="18" t="s">
        <v>5798</v>
      </c>
      <c r="P613" s="49">
        <f t="shared" si="37"/>
        <v>3.2239062711526252</v>
      </c>
      <c r="Q613" s="1">
        <f t="shared" si="38"/>
        <v>4.3313299141184416</v>
      </c>
      <c r="R613" s="1">
        <f t="shared" si="40"/>
        <v>4.5673553520130907</v>
      </c>
      <c r="S613" s="10">
        <f t="shared" si="39"/>
        <v>3.7776180926355334</v>
      </c>
      <c r="T613" s="45" cm="1">
        <f t="array" ref="T613">SUMPRODUCT(P613:S613 * P$3:S$3) / SUM(P$3:S$3)</f>
        <v>3.9843025666140663</v>
      </c>
    </row>
    <row r="614" spans="1:20" ht="16.5" customHeight="1" x14ac:dyDescent="0.25">
      <c r="A614" s="5" t="s">
        <v>6834</v>
      </c>
      <c r="B614" s="20" t="s">
        <v>5587</v>
      </c>
      <c r="C614" s="4" t="s">
        <v>8797</v>
      </c>
      <c r="D614" s="4" t="s">
        <v>9002</v>
      </c>
      <c r="E614" s="12" t="s">
        <v>407</v>
      </c>
      <c r="F614" s="75" t="s">
        <v>410</v>
      </c>
      <c r="G614" s="3">
        <v>64</v>
      </c>
      <c r="H614" s="3" t="s">
        <v>404</v>
      </c>
      <c r="I614" s="13" t="s">
        <v>6739</v>
      </c>
      <c r="J614" s="72">
        <v>1.25</v>
      </c>
      <c r="L614" s="9">
        <v>159.9</v>
      </c>
      <c r="M614" s="3">
        <v>203.65</v>
      </c>
      <c r="N614" s="17" t="s">
        <v>5588</v>
      </c>
      <c r="O614" s="18" t="s">
        <v>5586</v>
      </c>
      <c r="P614" s="49">
        <f t="shared" si="37"/>
        <v>3.2247627837900321</v>
      </c>
      <c r="Q614" s="1">
        <f t="shared" si="38"/>
        <v>4.3282013183129946</v>
      </c>
      <c r="R614" s="1">
        <f t="shared" si="40"/>
        <v>4.5642267562076437</v>
      </c>
      <c r="S614" s="10">
        <f t="shared" si="39"/>
        <v>3.7764820510515138</v>
      </c>
      <c r="T614" s="45" cm="1">
        <f t="array" ref="T614">SUMPRODUCT(P614:S614 * P$3:S$3) / SUM(P$3:S$3)</f>
        <v>3.9825534314234541</v>
      </c>
    </row>
    <row r="615" spans="1:20" ht="16.5" customHeight="1" x14ac:dyDescent="0.25">
      <c r="A615" s="5" t="s">
        <v>6834</v>
      </c>
      <c r="B615" s="20" t="s">
        <v>5654</v>
      </c>
      <c r="C615" s="4" t="s">
        <v>8797</v>
      </c>
      <c r="D615" s="4" t="s">
        <v>9002</v>
      </c>
      <c r="E615" s="12" t="s">
        <v>407</v>
      </c>
      <c r="F615" s="75" t="s">
        <v>410</v>
      </c>
      <c r="G615" s="3">
        <v>64</v>
      </c>
      <c r="H615" s="3" t="s">
        <v>404</v>
      </c>
      <c r="I615" s="13" t="s">
        <v>6740</v>
      </c>
      <c r="J615" s="72">
        <v>1.1000000000000001</v>
      </c>
      <c r="L615" s="9">
        <v>162.79</v>
      </c>
      <c r="M615" s="3">
        <v>215.02</v>
      </c>
      <c r="N615" s="17" t="s">
        <v>5655</v>
      </c>
      <c r="O615" s="18" t="s">
        <v>5653</v>
      </c>
      <c r="P615" s="49">
        <f t="shared" si="37"/>
        <v>3.2239062711526252</v>
      </c>
      <c r="Q615" s="1">
        <f t="shared" si="38"/>
        <v>4.3313299141184416</v>
      </c>
      <c r="R615" s="1">
        <f t="shared" si="40"/>
        <v>4.5673553520130907</v>
      </c>
      <c r="S615" s="10">
        <f t="shared" si="39"/>
        <v>3.7776180926355334</v>
      </c>
      <c r="T615" s="45" cm="1">
        <f t="array" ref="T615">SUMPRODUCT(P615:S615 * P$3:S$3) / SUM(P$3:S$3)</f>
        <v>3.9843025666140663</v>
      </c>
    </row>
    <row r="616" spans="1:20" ht="16.5" customHeight="1" x14ac:dyDescent="0.25">
      <c r="A616" s="5" t="s">
        <v>6834</v>
      </c>
      <c r="B616" s="20" t="s">
        <v>5657</v>
      </c>
      <c r="C616" s="4" t="s">
        <v>8797</v>
      </c>
      <c r="D616" s="4" t="s">
        <v>9002</v>
      </c>
      <c r="E616" s="12" t="s">
        <v>407</v>
      </c>
      <c r="F616" s="75" t="s">
        <v>410</v>
      </c>
      <c r="G616" s="3">
        <v>64</v>
      </c>
      <c r="H616" s="3" t="s">
        <v>404</v>
      </c>
      <c r="I616" s="13" t="s">
        <v>6739</v>
      </c>
      <c r="J616" s="72">
        <v>1.25</v>
      </c>
      <c r="L616" s="9">
        <v>146.9</v>
      </c>
      <c r="M616" s="3">
        <v>241</v>
      </c>
      <c r="N616" s="17" t="s">
        <v>5658</v>
      </c>
      <c r="O616" s="18" t="s">
        <v>5656</v>
      </c>
      <c r="P616" s="49">
        <f t="shared" si="37"/>
        <v>3.2247627837900321</v>
      </c>
      <c r="Q616" s="1">
        <f t="shared" si="38"/>
        <v>4.3282013183129946</v>
      </c>
      <c r="R616" s="1">
        <f t="shared" si="40"/>
        <v>4.5642267562076437</v>
      </c>
      <c r="S616" s="10">
        <f t="shared" si="39"/>
        <v>3.7764820510515138</v>
      </c>
      <c r="T616" s="45" cm="1">
        <f t="array" ref="T616">SUMPRODUCT(P616:S616 * P$3:S$3) / SUM(P$3:S$3)</f>
        <v>3.9825534314234541</v>
      </c>
    </row>
    <row r="617" spans="1:20" ht="16.5" customHeight="1" x14ac:dyDescent="0.25">
      <c r="A617" s="5" t="s">
        <v>6780</v>
      </c>
      <c r="B617" s="20" t="s">
        <v>4577</v>
      </c>
      <c r="C617" s="4" t="s">
        <v>8798</v>
      </c>
      <c r="D617" s="4" t="s">
        <v>9002</v>
      </c>
      <c r="E617" s="12" t="s">
        <v>407</v>
      </c>
      <c r="F617" s="75" t="s">
        <v>410</v>
      </c>
      <c r="G617" s="3">
        <v>64</v>
      </c>
      <c r="H617" s="3" t="s">
        <v>404</v>
      </c>
      <c r="I617" s="13" t="s">
        <v>6740</v>
      </c>
      <c r="J617" s="72">
        <v>1.25</v>
      </c>
      <c r="L617" s="9">
        <v>167.3</v>
      </c>
      <c r="M617" s="3">
        <v>352.64</v>
      </c>
      <c r="N617" s="17" t="s">
        <v>4578</v>
      </c>
      <c r="O617" s="18" t="s">
        <v>4576</v>
      </c>
      <c r="P617" s="49">
        <f t="shared" si="37"/>
        <v>3.2167925669043242</v>
      </c>
      <c r="Q617" s="1">
        <f t="shared" si="38"/>
        <v>4.3242162098701407</v>
      </c>
      <c r="R617" s="1">
        <f t="shared" si="40"/>
        <v>4.5602416477647907</v>
      </c>
      <c r="S617" s="10">
        <f t="shared" si="39"/>
        <v>3.7705043883872329</v>
      </c>
      <c r="T617" s="45" cm="1">
        <f t="array" ref="T617">SUMPRODUCT(P617:S617 * P$3:S$3) / SUM(P$3:S$3)</f>
        <v>3.9771888623657654</v>
      </c>
    </row>
    <row r="618" spans="1:20" ht="16.5" customHeight="1" x14ac:dyDescent="0.25">
      <c r="A618" s="5" t="s">
        <v>6780</v>
      </c>
      <c r="B618" s="20" t="s">
        <v>4580</v>
      </c>
      <c r="C618" s="4" t="s">
        <v>8798</v>
      </c>
      <c r="D618" s="4" t="s">
        <v>9002</v>
      </c>
      <c r="E618" s="12" t="s">
        <v>407</v>
      </c>
      <c r="F618" s="75" t="s">
        <v>410</v>
      </c>
      <c r="G618" s="3">
        <v>64</v>
      </c>
      <c r="H618" s="3" t="s">
        <v>404</v>
      </c>
      <c r="I618" s="13" t="s">
        <v>6739</v>
      </c>
      <c r="J618" s="72">
        <v>1.25</v>
      </c>
      <c r="L618" s="9">
        <v>167.3</v>
      </c>
      <c r="M618" s="3">
        <v>249</v>
      </c>
      <c r="N618" s="17" t="s">
        <v>4581</v>
      </c>
      <c r="O618" s="18" t="s">
        <v>4579</v>
      </c>
      <c r="P618" s="49">
        <f t="shared" si="37"/>
        <v>3.2247627837900321</v>
      </c>
      <c r="Q618" s="1">
        <f t="shared" si="38"/>
        <v>4.3282013183129946</v>
      </c>
      <c r="R618" s="1">
        <f t="shared" si="40"/>
        <v>4.5642267562076437</v>
      </c>
      <c r="S618" s="10">
        <f t="shared" si="39"/>
        <v>3.7764820510515138</v>
      </c>
      <c r="T618" s="45" cm="1">
        <f t="array" ref="T618">SUMPRODUCT(P618:S618 * P$3:S$3) / SUM(P$3:S$3)</f>
        <v>3.9825534314234541</v>
      </c>
    </row>
    <row r="619" spans="1:20" ht="16.5" customHeight="1" x14ac:dyDescent="0.25">
      <c r="A619" s="5" t="s">
        <v>6780</v>
      </c>
      <c r="B619" s="20" t="s">
        <v>4694</v>
      </c>
      <c r="C619" s="4" t="s">
        <v>8798</v>
      </c>
      <c r="D619" s="4" t="s">
        <v>9002</v>
      </c>
      <c r="E619" s="12" t="s">
        <v>407</v>
      </c>
      <c r="F619" s="75" t="s">
        <v>410</v>
      </c>
      <c r="G619" s="3">
        <v>64</v>
      </c>
      <c r="H619" s="3" t="s">
        <v>404</v>
      </c>
      <c r="I619" s="13" t="s">
        <v>6740</v>
      </c>
      <c r="J619" s="72">
        <v>1.25</v>
      </c>
      <c r="L619" s="9">
        <v>160.47999999999999</v>
      </c>
      <c r="M619" s="3">
        <v>244</v>
      </c>
      <c r="N619" s="17" t="s">
        <v>4695</v>
      </c>
      <c r="O619" s="18" t="s">
        <v>4691</v>
      </c>
      <c r="P619" s="49">
        <f t="shared" si="37"/>
        <v>3.2167925669043242</v>
      </c>
      <c r="Q619" s="1">
        <f t="shared" si="38"/>
        <v>4.3242162098701407</v>
      </c>
      <c r="R619" s="1">
        <f t="shared" si="40"/>
        <v>4.5602416477647907</v>
      </c>
      <c r="S619" s="10">
        <f t="shared" si="39"/>
        <v>3.7705043883872329</v>
      </c>
      <c r="T619" s="45" cm="1">
        <f t="array" ref="T619">SUMPRODUCT(P619:S619 * P$3:S$3) / SUM(P$3:S$3)</f>
        <v>3.9771888623657654</v>
      </c>
    </row>
    <row r="620" spans="1:20" ht="16.5" customHeight="1" x14ac:dyDescent="0.25">
      <c r="A620" s="5" t="s">
        <v>6780</v>
      </c>
      <c r="B620" s="20" t="s">
        <v>4697</v>
      </c>
      <c r="C620" s="4" t="s">
        <v>8798</v>
      </c>
      <c r="D620" s="4" t="s">
        <v>9002</v>
      </c>
      <c r="E620" s="12" t="s">
        <v>407</v>
      </c>
      <c r="F620" s="75" t="s">
        <v>410</v>
      </c>
      <c r="G620" s="3">
        <v>64</v>
      </c>
      <c r="H620" s="3" t="s">
        <v>404</v>
      </c>
      <c r="I620" s="13" t="s">
        <v>6739</v>
      </c>
      <c r="J620" s="72">
        <v>1.25</v>
      </c>
      <c r="L620" s="9">
        <v>166.59</v>
      </c>
      <c r="M620" s="3">
        <v>238.77</v>
      </c>
      <c r="N620" s="17" t="s">
        <v>4698</v>
      </c>
      <c r="O620" s="18" t="s">
        <v>4696</v>
      </c>
      <c r="P620" s="49">
        <f t="shared" si="37"/>
        <v>3.2247627837900321</v>
      </c>
      <c r="Q620" s="1">
        <f t="shared" si="38"/>
        <v>4.3282013183129946</v>
      </c>
      <c r="R620" s="1">
        <f t="shared" si="40"/>
        <v>4.5642267562076437</v>
      </c>
      <c r="S620" s="10">
        <f t="shared" si="39"/>
        <v>3.7764820510515138</v>
      </c>
      <c r="T620" s="45" cm="1">
        <f t="array" ref="T620">SUMPRODUCT(P620:S620 * P$3:S$3) / SUM(P$3:S$3)</f>
        <v>3.9825534314234541</v>
      </c>
    </row>
    <row r="621" spans="1:20" ht="16.5" customHeight="1" x14ac:dyDescent="0.25">
      <c r="A621" s="5" t="s">
        <v>6780</v>
      </c>
      <c r="B621" s="20" t="s">
        <v>4876</v>
      </c>
      <c r="C621" s="4" t="s">
        <v>8798</v>
      </c>
      <c r="D621" s="4" t="s">
        <v>9002</v>
      </c>
      <c r="E621" s="12" t="s">
        <v>407</v>
      </c>
      <c r="F621" s="75" t="s">
        <v>410</v>
      </c>
      <c r="G621" s="3">
        <v>64</v>
      </c>
      <c r="H621" s="3" t="s">
        <v>404</v>
      </c>
      <c r="I621" s="13" t="s">
        <v>6740</v>
      </c>
      <c r="J621" s="72">
        <v>1.25</v>
      </c>
      <c r="K621" s="14" t="s">
        <v>4847</v>
      </c>
      <c r="L621" s="9">
        <v>187.31</v>
      </c>
      <c r="M621" s="3">
        <v>317.89999999999998</v>
      </c>
      <c r="N621" s="17" t="s">
        <v>4877</v>
      </c>
      <c r="O621" s="18" t="s">
        <v>4873</v>
      </c>
      <c r="P621" s="49">
        <f t="shared" si="37"/>
        <v>3.2167925669043242</v>
      </c>
      <c r="Q621" s="1">
        <f t="shared" si="38"/>
        <v>4.3242162098701407</v>
      </c>
      <c r="R621" s="1">
        <f t="shared" si="40"/>
        <v>4.5602416477647907</v>
      </c>
      <c r="S621" s="10">
        <f t="shared" si="39"/>
        <v>3.7705043883872329</v>
      </c>
      <c r="T621" s="45" cm="1">
        <f t="array" ref="T621">SUMPRODUCT(P621:S621 * P$3:S$3) / SUM(P$3:S$3)</f>
        <v>3.9771888623657654</v>
      </c>
    </row>
    <row r="622" spans="1:20" ht="16.5" customHeight="1" x14ac:dyDescent="0.25">
      <c r="A622" s="5" t="s">
        <v>6780</v>
      </c>
      <c r="B622" s="20" t="s">
        <v>4879</v>
      </c>
      <c r="C622" s="4" t="s">
        <v>8798</v>
      </c>
      <c r="D622" s="4" t="s">
        <v>9002</v>
      </c>
      <c r="E622" s="12" t="s">
        <v>407</v>
      </c>
      <c r="F622" s="75" t="s">
        <v>410</v>
      </c>
      <c r="G622" s="3">
        <v>64</v>
      </c>
      <c r="H622" s="3" t="s">
        <v>404</v>
      </c>
      <c r="I622" s="13" t="s">
        <v>6739</v>
      </c>
      <c r="J622" s="72">
        <v>1.25</v>
      </c>
      <c r="K622" s="14" t="s">
        <v>4847</v>
      </c>
      <c r="L622" s="9">
        <v>177.2</v>
      </c>
      <c r="M622" s="3">
        <v>224.51</v>
      </c>
      <c r="N622" s="17" t="s">
        <v>4880</v>
      </c>
      <c r="O622" s="18" t="s">
        <v>4878</v>
      </c>
      <c r="P622" s="49">
        <f t="shared" si="37"/>
        <v>3.2247627837900321</v>
      </c>
      <c r="Q622" s="1">
        <f t="shared" si="38"/>
        <v>4.3282013183129946</v>
      </c>
      <c r="R622" s="1">
        <f t="shared" si="40"/>
        <v>4.5642267562076437</v>
      </c>
      <c r="S622" s="10">
        <f t="shared" si="39"/>
        <v>3.7764820510515138</v>
      </c>
      <c r="T622" s="45" cm="1">
        <f t="array" ref="T622">SUMPRODUCT(P622:S622 * P$3:S$3) / SUM(P$3:S$3)</f>
        <v>3.9825534314234541</v>
      </c>
    </row>
    <row r="623" spans="1:20" ht="16.5" customHeight="1" x14ac:dyDescent="0.25">
      <c r="A623" s="5" t="s">
        <v>6780</v>
      </c>
      <c r="B623" s="20" t="s">
        <v>5010</v>
      </c>
      <c r="C623" s="4" t="s">
        <v>8798</v>
      </c>
      <c r="D623" s="4" t="s">
        <v>9002</v>
      </c>
      <c r="E623" s="12" t="s">
        <v>407</v>
      </c>
      <c r="F623" s="75" t="s">
        <v>410</v>
      </c>
      <c r="G623" s="3">
        <v>64</v>
      </c>
      <c r="H623" s="3" t="s">
        <v>404</v>
      </c>
      <c r="I623" s="13" t="s">
        <v>6740</v>
      </c>
      <c r="J623" s="72">
        <v>1.25</v>
      </c>
      <c r="K623" s="14" t="s">
        <v>4847</v>
      </c>
      <c r="L623" s="9">
        <v>177.2</v>
      </c>
      <c r="M623" s="3">
        <v>242.8</v>
      </c>
      <c r="N623" s="17" t="s">
        <v>5011</v>
      </c>
      <c r="O623" s="18" t="s">
        <v>5007</v>
      </c>
      <c r="P623" s="49">
        <f t="shared" si="37"/>
        <v>3.2167925669043242</v>
      </c>
      <c r="Q623" s="1">
        <f t="shared" si="38"/>
        <v>4.3242162098701407</v>
      </c>
      <c r="R623" s="1">
        <f t="shared" si="40"/>
        <v>4.5602416477647907</v>
      </c>
      <c r="S623" s="10">
        <f t="shared" si="39"/>
        <v>3.7705043883872329</v>
      </c>
      <c r="T623" s="45" cm="1">
        <f t="array" ref="T623">SUMPRODUCT(P623:S623 * P$3:S$3) / SUM(P$3:S$3)</f>
        <v>3.9771888623657654</v>
      </c>
    </row>
    <row r="624" spans="1:20" ht="16.5" customHeight="1" x14ac:dyDescent="0.25">
      <c r="A624" s="5" t="s">
        <v>6780</v>
      </c>
      <c r="B624" s="20" t="s">
        <v>5013</v>
      </c>
      <c r="C624" s="4" t="s">
        <v>8798</v>
      </c>
      <c r="D624" s="4" t="s">
        <v>9002</v>
      </c>
      <c r="E624" s="12" t="s">
        <v>407</v>
      </c>
      <c r="F624" s="75" t="s">
        <v>410</v>
      </c>
      <c r="G624" s="3">
        <v>64</v>
      </c>
      <c r="H624" s="3" t="s">
        <v>404</v>
      </c>
      <c r="I624" s="13" t="s">
        <v>6739</v>
      </c>
      <c r="J624" s="72">
        <v>1.25</v>
      </c>
      <c r="K624" s="14" t="s">
        <v>4847</v>
      </c>
      <c r="L624" s="9">
        <v>177.2</v>
      </c>
      <c r="M624" s="3">
        <v>255.18</v>
      </c>
      <c r="N624" s="17" t="s">
        <v>5014</v>
      </c>
      <c r="O624" s="18" t="s">
        <v>5012</v>
      </c>
      <c r="P624" s="49">
        <f t="shared" si="37"/>
        <v>3.2247627837900321</v>
      </c>
      <c r="Q624" s="1">
        <f t="shared" si="38"/>
        <v>4.3282013183129946</v>
      </c>
      <c r="R624" s="1">
        <f t="shared" si="40"/>
        <v>4.5642267562076437</v>
      </c>
      <c r="S624" s="10">
        <f t="shared" si="39"/>
        <v>3.7764820510515138</v>
      </c>
      <c r="T624" s="45" cm="1">
        <f t="array" ref="T624">SUMPRODUCT(P624:S624 * P$3:S$3) / SUM(P$3:S$3)</f>
        <v>3.9825534314234541</v>
      </c>
    </row>
    <row r="625" spans="1:20" ht="16.5" customHeight="1" x14ac:dyDescent="0.25">
      <c r="A625" s="5" t="s">
        <v>6796</v>
      </c>
      <c r="B625" s="20" t="s">
        <v>4692</v>
      </c>
      <c r="C625" s="4" t="s">
        <v>8798</v>
      </c>
      <c r="D625" s="4" t="s">
        <v>9003</v>
      </c>
      <c r="E625" s="12" t="s">
        <v>407</v>
      </c>
      <c r="F625" s="75" t="s">
        <v>410</v>
      </c>
      <c r="G625" s="3">
        <v>64</v>
      </c>
      <c r="H625" s="3" t="s">
        <v>419</v>
      </c>
      <c r="I625" s="13" t="s">
        <v>6740</v>
      </c>
      <c r="J625" s="72">
        <v>1.25</v>
      </c>
      <c r="L625" s="9">
        <v>179.88</v>
      </c>
      <c r="M625" s="3">
        <v>239.05</v>
      </c>
      <c r="N625" s="17" t="s">
        <v>4693</v>
      </c>
      <c r="O625" s="18" t="s">
        <v>4691</v>
      </c>
      <c r="P625" s="49">
        <f t="shared" si="37"/>
        <v>3.2782909968130673</v>
      </c>
      <c r="Q625" s="1">
        <f t="shared" si="38"/>
        <v>4.3701442438711764</v>
      </c>
      <c r="R625" s="1">
        <f t="shared" si="40"/>
        <v>4.6000499660881635</v>
      </c>
      <c r="S625" s="10">
        <f t="shared" si="39"/>
        <v>3.8242176203421221</v>
      </c>
      <c r="T625" s="45" cm="1">
        <f t="array" ref="T625">SUMPRODUCT(P625:S625 * P$3:S$3) / SUM(P$3:S$3)</f>
        <v>4.0275651540767523</v>
      </c>
    </row>
    <row r="626" spans="1:20" ht="16.5" customHeight="1" x14ac:dyDescent="0.25">
      <c r="A626" s="5" t="s">
        <v>6796</v>
      </c>
      <c r="B626" s="20" t="s">
        <v>4874</v>
      </c>
      <c r="C626" s="4" t="s">
        <v>8798</v>
      </c>
      <c r="D626" s="4" t="s">
        <v>9003</v>
      </c>
      <c r="E626" s="12" t="s">
        <v>407</v>
      </c>
      <c r="F626" s="75" t="s">
        <v>410</v>
      </c>
      <c r="G626" s="3">
        <v>64</v>
      </c>
      <c r="H626" s="3" t="s">
        <v>419</v>
      </c>
      <c r="I626" s="13" t="s">
        <v>6740</v>
      </c>
      <c r="J626" s="72">
        <v>1.25</v>
      </c>
      <c r="K626" s="14" t="s">
        <v>4847</v>
      </c>
      <c r="L626" s="9">
        <v>199.7</v>
      </c>
      <c r="M626" s="3">
        <v>294.44</v>
      </c>
      <c r="N626" s="17" t="s">
        <v>4875</v>
      </c>
      <c r="O626" s="18" t="s">
        <v>4873</v>
      </c>
      <c r="P626" s="49">
        <f t="shared" si="37"/>
        <v>3.2782909968130673</v>
      </c>
      <c r="Q626" s="1">
        <f t="shared" si="38"/>
        <v>4.3701442438711764</v>
      </c>
      <c r="R626" s="1">
        <f t="shared" si="40"/>
        <v>4.6000499660881635</v>
      </c>
      <c r="S626" s="10">
        <f t="shared" si="39"/>
        <v>3.8242176203421221</v>
      </c>
      <c r="T626" s="45" cm="1">
        <f t="array" ref="T626">SUMPRODUCT(P626:S626 * P$3:S$3) / SUM(P$3:S$3)</f>
        <v>4.0275651540767523</v>
      </c>
    </row>
    <row r="627" spans="1:20" ht="16.5" customHeight="1" x14ac:dyDescent="0.25">
      <c r="A627" s="5" t="s">
        <v>6796</v>
      </c>
      <c r="B627" s="20" t="s">
        <v>5008</v>
      </c>
      <c r="C627" s="4" t="s">
        <v>8798</v>
      </c>
      <c r="D627" s="4" t="s">
        <v>9003</v>
      </c>
      <c r="E627" s="12" t="s">
        <v>407</v>
      </c>
      <c r="F627" s="75" t="s">
        <v>410</v>
      </c>
      <c r="G627" s="3">
        <v>64</v>
      </c>
      <c r="H627" s="3" t="s">
        <v>419</v>
      </c>
      <c r="I627" s="13" t="s">
        <v>6740</v>
      </c>
      <c r="J627" s="72">
        <v>1.25</v>
      </c>
      <c r="K627" s="14" t="s">
        <v>4847</v>
      </c>
      <c r="L627" s="9">
        <v>202.88</v>
      </c>
      <c r="M627" s="3">
        <v>294.44</v>
      </c>
      <c r="N627" s="17" t="s">
        <v>5009</v>
      </c>
      <c r="O627" s="18" t="s">
        <v>5007</v>
      </c>
      <c r="P627" s="49">
        <f t="shared" si="37"/>
        <v>3.2782909968130673</v>
      </c>
      <c r="Q627" s="1">
        <f t="shared" si="38"/>
        <v>4.3701442438711764</v>
      </c>
      <c r="R627" s="1">
        <f t="shared" si="40"/>
        <v>4.6000499660881635</v>
      </c>
      <c r="S627" s="10">
        <f t="shared" si="39"/>
        <v>3.8242176203421221</v>
      </c>
      <c r="T627" s="45" cm="1">
        <f t="array" ref="T627">SUMPRODUCT(P627:S627 * P$3:S$3) / SUM(P$3:S$3)</f>
        <v>4.0275651540767523</v>
      </c>
    </row>
    <row r="628" spans="1:20" ht="16.5" customHeight="1" x14ac:dyDescent="0.25">
      <c r="A628" s="5" t="s">
        <v>6902</v>
      </c>
      <c r="B628" s="20" t="s">
        <v>6037</v>
      </c>
      <c r="C628" s="4" t="s">
        <v>8796</v>
      </c>
      <c r="D628" s="4" t="s">
        <v>9004</v>
      </c>
      <c r="E628" s="12" t="s">
        <v>407</v>
      </c>
      <c r="F628" s="75" t="s">
        <v>410</v>
      </c>
      <c r="G628" s="3">
        <v>96</v>
      </c>
      <c r="H628" s="3" t="s">
        <v>404</v>
      </c>
      <c r="I628" s="13" t="s">
        <v>6738</v>
      </c>
      <c r="J628" s="72">
        <v>1.25</v>
      </c>
      <c r="L628" s="9">
        <v>265.99</v>
      </c>
      <c r="M628" s="3">
        <v>500.14</v>
      </c>
      <c r="N628" s="17" t="s">
        <v>6038</v>
      </c>
      <c r="O628" s="18" t="s">
        <v>6036</v>
      </c>
      <c r="P628" s="49">
        <f t="shared" si="37"/>
        <v>3.906327699315792</v>
      </c>
      <c r="Q628" s="1">
        <f t="shared" si="38"/>
        <v>5.4689879441359119</v>
      </c>
      <c r="R628" s="1">
        <f t="shared" si="40"/>
        <v>5.8192996917534243</v>
      </c>
      <c r="S628" s="10">
        <f t="shared" si="39"/>
        <v>4.6876578217258524</v>
      </c>
      <c r="T628" s="45" cm="1">
        <f t="array" ref="T628">SUMPRODUCT(P628:S628 * P$3:S$3) / SUM(P$3:S$3)</f>
        <v>4.9819612051777957</v>
      </c>
    </row>
    <row r="629" spans="1:20" ht="16.5" customHeight="1" x14ac:dyDescent="0.25">
      <c r="A629" s="5" t="s">
        <v>6902</v>
      </c>
      <c r="B629" s="20" t="s">
        <v>6268</v>
      </c>
      <c r="C629" s="4" t="s">
        <v>8796</v>
      </c>
      <c r="D629" s="4" t="s">
        <v>9004</v>
      </c>
      <c r="E629" s="12" t="s">
        <v>407</v>
      </c>
      <c r="F629" s="75" t="s">
        <v>410</v>
      </c>
      <c r="G629" s="3">
        <v>96</v>
      </c>
      <c r="H629" s="3" t="s">
        <v>404</v>
      </c>
      <c r="I629" s="13" t="s">
        <v>6738</v>
      </c>
      <c r="J629" s="72">
        <v>1.25</v>
      </c>
      <c r="K629" s="14" t="s">
        <v>6175</v>
      </c>
      <c r="L629" s="9">
        <v>281.14999999999998</v>
      </c>
      <c r="M629" s="3">
        <v>432</v>
      </c>
      <c r="N629" s="17" t="s">
        <v>6269</v>
      </c>
      <c r="O629" s="18" t="s">
        <v>6267</v>
      </c>
      <c r="P629" s="49">
        <f t="shared" si="37"/>
        <v>3.906327699315792</v>
      </c>
      <c r="Q629" s="1">
        <f t="shared" si="38"/>
        <v>5.4689879441359119</v>
      </c>
      <c r="R629" s="1">
        <f t="shared" si="40"/>
        <v>5.8192996917534243</v>
      </c>
      <c r="S629" s="10">
        <f t="shared" si="39"/>
        <v>4.6876578217258524</v>
      </c>
      <c r="T629" s="45" cm="1">
        <f t="array" ref="T629">SUMPRODUCT(P629:S629 * P$3:S$3) / SUM(P$3:S$3)</f>
        <v>4.9819612051777957</v>
      </c>
    </row>
    <row r="630" spans="1:20" ht="16.5" customHeight="1" x14ac:dyDescent="0.25">
      <c r="A630" s="5" t="s">
        <v>6861</v>
      </c>
      <c r="B630" s="20" t="s">
        <v>5782</v>
      </c>
      <c r="C630" s="4" t="s">
        <v>8797</v>
      </c>
      <c r="D630" s="4" t="s">
        <v>9004</v>
      </c>
      <c r="E630" s="12" t="s">
        <v>407</v>
      </c>
      <c r="F630" s="75" t="s">
        <v>410</v>
      </c>
      <c r="G630" s="3">
        <v>96</v>
      </c>
      <c r="H630" s="3" t="s">
        <v>404</v>
      </c>
      <c r="I630" s="13" t="s">
        <v>6740</v>
      </c>
      <c r="J630" s="72">
        <v>1.1000000000000001</v>
      </c>
      <c r="K630" s="14" t="s">
        <v>5196</v>
      </c>
      <c r="L630" s="9">
        <v>183.5</v>
      </c>
      <c r="M630" s="3">
        <v>271</v>
      </c>
      <c r="N630" s="17" t="s">
        <v>5783</v>
      </c>
      <c r="O630" s="18" t="s">
        <v>5781</v>
      </c>
      <c r="P630" s="49">
        <f t="shared" si="37"/>
        <v>3.9096241294898002</v>
      </c>
      <c r="Q630" s="1">
        <f t="shared" si="38"/>
        <v>5.474193011347066</v>
      </c>
      <c r="R630" s="1">
        <f t="shared" si="40"/>
        <v>5.8245047589645784</v>
      </c>
      <c r="S630" s="10">
        <f t="shared" si="39"/>
        <v>4.6919085704184331</v>
      </c>
      <c r="T630" s="45" cm="1">
        <f t="array" ref="T630">SUMPRODUCT(P630:S630 * P$3:S$3) / SUM(P$3:S$3)</f>
        <v>4.9865055903376296</v>
      </c>
    </row>
    <row r="631" spans="1:20" ht="16.5" customHeight="1" x14ac:dyDescent="0.25">
      <c r="A631" s="5" t="s">
        <v>6775</v>
      </c>
      <c r="B631" s="20" t="s">
        <v>4553</v>
      </c>
      <c r="C631" s="4" t="s">
        <v>8798</v>
      </c>
      <c r="D631" s="4" t="s">
        <v>9005</v>
      </c>
      <c r="E631" s="12" t="s">
        <v>407</v>
      </c>
      <c r="F631" s="75" t="s">
        <v>410</v>
      </c>
      <c r="G631" s="3">
        <v>128</v>
      </c>
      <c r="H631" s="3" t="s">
        <v>419</v>
      </c>
      <c r="I631" s="13" t="s">
        <v>6740</v>
      </c>
      <c r="J631" s="72">
        <v>1.25</v>
      </c>
      <c r="L631" s="9">
        <v>355</v>
      </c>
      <c r="M631" s="3">
        <v>537.9</v>
      </c>
      <c r="N631" s="17" t="s">
        <v>4554</v>
      </c>
      <c r="O631" s="18" t="s">
        <v>4552</v>
      </c>
      <c r="P631" s="49">
        <f t="shared" si="37"/>
        <v>4.5830821945977975</v>
      </c>
      <c r="Q631" s="1">
        <f t="shared" si="38"/>
        <v>6.5447962401790596</v>
      </c>
      <c r="R631" s="1">
        <f t="shared" si="40"/>
        <v>6.9921671620268357</v>
      </c>
      <c r="S631" s="10">
        <f t="shared" si="39"/>
        <v>5.5639392173884286</v>
      </c>
      <c r="T631" s="45" cm="1">
        <f t="array" ref="T631">SUMPRODUCT(P631:S631 * P$3:S$3) / SUM(P$3:S$3)</f>
        <v>5.9345676739159723</v>
      </c>
    </row>
    <row r="632" spans="1:20" ht="16.5" customHeight="1" x14ac:dyDescent="0.25">
      <c r="A632" s="5" t="s">
        <v>6775</v>
      </c>
      <c r="B632" s="20" t="s">
        <v>4665</v>
      </c>
      <c r="C632" s="4" t="s">
        <v>8798</v>
      </c>
      <c r="D632" s="4" t="s">
        <v>9005</v>
      </c>
      <c r="E632" s="12" t="s">
        <v>407</v>
      </c>
      <c r="F632" s="75" t="s">
        <v>410</v>
      </c>
      <c r="G632" s="3">
        <v>128</v>
      </c>
      <c r="H632" s="3" t="s">
        <v>419</v>
      </c>
      <c r="I632" s="13" t="s">
        <v>6740</v>
      </c>
      <c r="J632" s="72">
        <v>1.25</v>
      </c>
      <c r="L632" s="9">
        <v>326.69</v>
      </c>
      <c r="M632" s="3">
        <v>454</v>
      </c>
      <c r="N632" s="17" t="s">
        <v>4666</v>
      </c>
      <c r="O632" s="18" t="s">
        <v>4664</v>
      </c>
      <c r="P632" s="49">
        <f t="shared" si="37"/>
        <v>4.5830821945977975</v>
      </c>
      <c r="Q632" s="1">
        <f t="shared" si="38"/>
        <v>6.5447962401790596</v>
      </c>
      <c r="R632" s="1">
        <f t="shared" si="40"/>
        <v>6.9921671620268357</v>
      </c>
      <c r="S632" s="10">
        <f t="shared" si="39"/>
        <v>5.5639392173884286</v>
      </c>
      <c r="T632" s="45" cm="1">
        <f t="array" ref="T632">SUMPRODUCT(P632:S632 * P$3:S$3) / SUM(P$3:S$3)</f>
        <v>5.9345676739159723</v>
      </c>
    </row>
    <row r="633" spans="1:20" ht="16.5" customHeight="1" x14ac:dyDescent="0.25">
      <c r="A633" s="5" t="s">
        <v>6775</v>
      </c>
      <c r="B633" s="20" t="s">
        <v>4979</v>
      </c>
      <c r="C633" s="4" t="s">
        <v>8798</v>
      </c>
      <c r="D633" s="4" t="s">
        <v>9005</v>
      </c>
      <c r="E633" s="12" t="s">
        <v>407</v>
      </c>
      <c r="F633" s="75" t="s">
        <v>410</v>
      </c>
      <c r="G633" s="3">
        <v>128</v>
      </c>
      <c r="H633" s="3" t="s">
        <v>419</v>
      </c>
      <c r="I633" s="13" t="s">
        <v>6740</v>
      </c>
      <c r="J633" s="72">
        <v>1.25</v>
      </c>
      <c r="K633" s="14" t="s">
        <v>4847</v>
      </c>
      <c r="L633" s="9">
        <v>346.49</v>
      </c>
      <c r="M633" s="3">
        <v>511</v>
      </c>
      <c r="N633" s="17" t="s">
        <v>4980</v>
      </c>
      <c r="O633" s="18" t="s">
        <v>4978</v>
      </c>
      <c r="P633" s="49">
        <f t="shared" si="37"/>
        <v>4.5830821945977975</v>
      </c>
      <c r="Q633" s="1">
        <f t="shared" si="38"/>
        <v>6.5447962401790596</v>
      </c>
      <c r="R633" s="1">
        <f t="shared" si="40"/>
        <v>6.9921671620268357</v>
      </c>
      <c r="S633" s="10">
        <f t="shared" si="39"/>
        <v>5.5639392173884286</v>
      </c>
      <c r="T633" s="45" cm="1">
        <f t="array" ref="T633">SUMPRODUCT(P633:S633 * P$3:S$3) / SUM(P$3:S$3)</f>
        <v>5.9345676739159723</v>
      </c>
    </row>
    <row r="634" spans="1:20" ht="16.5" customHeight="1" x14ac:dyDescent="0.25">
      <c r="A634" s="5" t="s">
        <v>6891</v>
      </c>
      <c r="B634" s="20" t="s">
        <v>6007</v>
      </c>
      <c r="C634" s="4" t="s">
        <v>8796</v>
      </c>
      <c r="D634" s="4" t="s">
        <v>9006</v>
      </c>
      <c r="E634" s="12" t="s">
        <v>407</v>
      </c>
      <c r="F634" s="75" t="s">
        <v>410</v>
      </c>
      <c r="G634" s="3">
        <v>192</v>
      </c>
      <c r="H634" s="3" t="s">
        <v>419</v>
      </c>
      <c r="I634" s="13" t="s">
        <v>6738</v>
      </c>
      <c r="J634" s="72">
        <v>1.25</v>
      </c>
      <c r="L634" s="9">
        <v>646.19000000000005</v>
      </c>
      <c r="M634" s="3">
        <v>917</v>
      </c>
      <c r="N634" s="17" t="s">
        <v>6008</v>
      </c>
      <c r="O634" s="18" t="s">
        <v>6006</v>
      </c>
      <c r="P634" s="49">
        <f t="shared" si="37"/>
        <v>5.701059630938869</v>
      </c>
      <c r="Q634" s="1">
        <f t="shared" si="38"/>
        <v>8.4033955635530795</v>
      </c>
      <c r="R634" s="1">
        <f t="shared" si="40"/>
        <v>9.036425143287067</v>
      </c>
      <c r="S634" s="10">
        <f t="shared" si="39"/>
        <v>7.0522275972459747</v>
      </c>
      <c r="T634" s="45" cm="1">
        <f t="array" ref="T634">SUMPRODUCT(P634:S634 * P$3:S$3) / SUM(P$3:S$3)</f>
        <v>7.5653607529918503</v>
      </c>
    </row>
    <row r="635" spans="1:20" ht="16.5" customHeight="1" x14ac:dyDescent="0.25">
      <c r="A635" s="5" t="s">
        <v>6891</v>
      </c>
      <c r="B635" s="20" t="s">
        <v>6235</v>
      </c>
      <c r="C635" s="4" t="s">
        <v>8796</v>
      </c>
      <c r="D635" s="4" t="s">
        <v>9006</v>
      </c>
      <c r="E635" s="12" t="s">
        <v>407</v>
      </c>
      <c r="F635" s="75" t="s">
        <v>410</v>
      </c>
      <c r="G635" s="3">
        <v>192</v>
      </c>
      <c r="H635" s="3" t="s">
        <v>419</v>
      </c>
      <c r="I635" s="13" t="s">
        <v>6738</v>
      </c>
      <c r="J635" s="72">
        <v>1.25</v>
      </c>
      <c r="K635" s="14" t="s">
        <v>6175</v>
      </c>
      <c r="L635" s="9">
        <v>660.26</v>
      </c>
      <c r="M635" s="3">
        <v>894.74</v>
      </c>
      <c r="N635" s="17" t="s">
        <v>6236</v>
      </c>
      <c r="O635" s="18" t="s">
        <v>6234</v>
      </c>
      <c r="P635" s="49">
        <f t="shared" si="37"/>
        <v>5.701059630938869</v>
      </c>
      <c r="Q635" s="1">
        <f t="shared" si="38"/>
        <v>8.4033955635530795</v>
      </c>
      <c r="R635" s="1">
        <f t="shared" si="40"/>
        <v>9.036425143287067</v>
      </c>
      <c r="S635" s="10">
        <f t="shared" si="39"/>
        <v>7.0522275972459747</v>
      </c>
      <c r="T635" s="45" cm="1">
        <f t="array" ref="T635">SUMPRODUCT(P635:S635 * P$3:S$3) / SUM(P$3:S$3)</f>
        <v>7.5653607529918503</v>
      </c>
    </row>
    <row r="636" spans="1:20" ht="16.5" customHeight="1" x14ac:dyDescent="0.25">
      <c r="A636" s="5" t="s">
        <v>6801</v>
      </c>
      <c r="B636" s="20" t="s">
        <v>4831</v>
      </c>
      <c r="C636" s="4" t="s">
        <v>8798</v>
      </c>
      <c r="D636" s="4" t="s">
        <v>9007</v>
      </c>
      <c r="E636" s="12" t="s">
        <v>407</v>
      </c>
      <c r="F636" s="75" t="s">
        <v>411</v>
      </c>
      <c r="G636" s="3">
        <v>8</v>
      </c>
      <c r="H636" s="3" t="s">
        <v>6736</v>
      </c>
      <c r="I636" s="13" t="s">
        <v>6740</v>
      </c>
      <c r="J636" s="72">
        <v>1.25</v>
      </c>
      <c r="L636" s="9">
        <v>27.22</v>
      </c>
      <c r="M636" s="3">
        <v>45.69</v>
      </c>
      <c r="N636" s="17" t="s">
        <v>4832</v>
      </c>
      <c r="O636" s="18" t="s">
        <v>4830</v>
      </c>
      <c r="P636" s="49">
        <f t="shared" si="37"/>
        <v>1.6374003149484979</v>
      </c>
      <c r="Q636" s="1">
        <f t="shared" si="38"/>
        <v>1.6712974938629892</v>
      </c>
      <c r="R636" s="1">
        <f t="shared" si="40"/>
        <v>1.6367219442767049</v>
      </c>
      <c r="S636" s="10">
        <f t="shared" si="39"/>
        <v>1.6543489044057436</v>
      </c>
      <c r="T636" s="45" cm="1">
        <f t="array" ref="T636">SUMPRODUCT(P636:S636 * P$3:S$3) / SUM(P$3:S$3)</f>
        <v>1.6542445396870062</v>
      </c>
    </row>
    <row r="637" spans="1:20" ht="16.5" customHeight="1" x14ac:dyDescent="0.25">
      <c r="A637" s="5" t="s">
        <v>6801</v>
      </c>
      <c r="B637" s="20" t="s">
        <v>4834</v>
      </c>
      <c r="C637" s="4" t="s">
        <v>8798</v>
      </c>
      <c r="D637" s="4" t="s">
        <v>9007</v>
      </c>
      <c r="E637" s="12" t="s">
        <v>407</v>
      </c>
      <c r="F637" s="75" t="s">
        <v>411</v>
      </c>
      <c r="G637" s="3">
        <v>8</v>
      </c>
      <c r="H637" s="3" t="s">
        <v>6736</v>
      </c>
      <c r="I637" s="13" t="s">
        <v>6739</v>
      </c>
      <c r="J637" s="72">
        <v>1.25</v>
      </c>
      <c r="L637" s="9">
        <v>27.79</v>
      </c>
      <c r="M637" s="3">
        <v>46.68</v>
      </c>
      <c r="N637" s="17" t="s">
        <v>4835</v>
      </c>
      <c r="O637" s="18" t="s">
        <v>4833</v>
      </c>
      <c r="P637" s="49">
        <f t="shared" si="37"/>
        <v>1.6451531622827775</v>
      </c>
      <c r="Q637" s="1">
        <f t="shared" si="38"/>
        <v>1.6751739175301288</v>
      </c>
      <c r="R637" s="1">
        <f t="shared" si="40"/>
        <v>1.6405983679438449</v>
      </c>
      <c r="S637" s="10">
        <f t="shared" si="39"/>
        <v>1.6601635399064532</v>
      </c>
      <c r="T637" s="45" cm="1">
        <f t="array" ref="T637">SUMPRODUCT(P637:S637 * P$3:S$3) / SUM(P$3:S$3)</f>
        <v>1.6594628023158484</v>
      </c>
    </row>
    <row r="638" spans="1:20" ht="16.5" customHeight="1" x14ac:dyDescent="0.25">
      <c r="A638" s="5" t="s">
        <v>6801</v>
      </c>
      <c r="B638" s="20" t="s">
        <v>5144</v>
      </c>
      <c r="C638" s="4" t="s">
        <v>8798</v>
      </c>
      <c r="D638" s="4" t="s">
        <v>9007</v>
      </c>
      <c r="E638" s="12" t="s">
        <v>407</v>
      </c>
      <c r="F638" s="75" t="s">
        <v>411</v>
      </c>
      <c r="G638" s="3">
        <v>8</v>
      </c>
      <c r="H638" s="3" t="s">
        <v>6736</v>
      </c>
      <c r="I638" s="13" t="s">
        <v>6740</v>
      </c>
      <c r="J638" s="72">
        <v>1.25</v>
      </c>
      <c r="K638" s="14" t="s">
        <v>4847</v>
      </c>
      <c r="L638" s="9">
        <v>38.46</v>
      </c>
      <c r="M638" s="3">
        <v>82.44</v>
      </c>
      <c r="N638" s="17" t="s">
        <v>5145</v>
      </c>
      <c r="O638" s="18" t="s">
        <v>5143</v>
      </c>
      <c r="P638" s="49">
        <f t="shared" si="37"/>
        <v>1.6374003149484979</v>
      </c>
      <c r="Q638" s="1">
        <f t="shared" si="38"/>
        <v>1.6712974938629892</v>
      </c>
      <c r="R638" s="1">
        <f t="shared" si="40"/>
        <v>1.6367219442767049</v>
      </c>
      <c r="S638" s="10">
        <f t="shared" si="39"/>
        <v>1.6543489044057436</v>
      </c>
      <c r="T638" s="45" cm="1">
        <f t="array" ref="T638">SUMPRODUCT(P638:S638 * P$3:S$3) / SUM(P$3:S$3)</f>
        <v>1.6542445396870062</v>
      </c>
    </row>
    <row r="639" spans="1:20" ht="16.5" customHeight="1" x14ac:dyDescent="0.25">
      <c r="A639" s="5" t="s">
        <v>6801</v>
      </c>
      <c r="B639" s="20" t="s">
        <v>5147</v>
      </c>
      <c r="C639" s="4" t="s">
        <v>8798</v>
      </c>
      <c r="D639" s="4" t="s">
        <v>9007</v>
      </c>
      <c r="E639" s="12" t="s">
        <v>407</v>
      </c>
      <c r="F639" s="75" t="s">
        <v>411</v>
      </c>
      <c r="G639" s="3">
        <v>8</v>
      </c>
      <c r="H639" s="3" t="s">
        <v>6736</v>
      </c>
      <c r="I639" s="13" t="s">
        <v>6739</v>
      </c>
      <c r="J639" s="72">
        <v>1.25</v>
      </c>
      <c r="K639" s="14" t="s">
        <v>4847</v>
      </c>
      <c r="L639" s="9">
        <v>33.49</v>
      </c>
      <c r="M639" s="3">
        <v>51.11</v>
      </c>
      <c r="N639" s="17" t="s">
        <v>5148</v>
      </c>
      <c r="O639" s="18" t="s">
        <v>5146</v>
      </c>
      <c r="P639" s="49">
        <f t="shared" si="37"/>
        <v>1.6451531622827775</v>
      </c>
      <c r="Q639" s="1">
        <f t="shared" si="38"/>
        <v>1.6751739175301288</v>
      </c>
      <c r="R639" s="1">
        <f t="shared" si="40"/>
        <v>1.6405983679438449</v>
      </c>
      <c r="S639" s="10">
        <f t="shared" si="39"/>
        <v>1.6601635399064532</v>
      </c>
      <c r="T639" s="45" cm="1">
        <f t="array" ref="T639">SUMPRODUCT(P639:S639 * P$3:S$3) / SUM(P$3:S$3)</f>
        <v>1.6594628023158484</v>
      </c>
    </row>
    <row r="640" spans="1:20" ht="16.5" customHeight="1" x14ac:dyDescent="0.25">
      <c r="A640" s="5" t="s">
        <v>6928</v>
      </c>
      <c r="B640" s="20" t="s">
        <v>6390</v>
      </c>
      <c r="C640" s="4" t="s">
        <v>8796</v>
      </c>
      <c r="D640" s="4" t="s">
        <v>9008</v>
      </c>
      <c r="E640" s="12" t="s">
        <v>407</v>
      </c>
      <c r="F640" s="75" t="s">
        <v>411</v>
      </c>
      <c r="G640" s="3">
        <v>16</v>
      </c>
      <c r="H640" s="3" t="s">
        <v>6736</v>
      </c>
      <c r="I640" s="13" t="s">
        <v>6740</v>
      </c>
      <c r="J640" s="72">
        <v>1.25</v>
      </c>
      <c r="K640" s="14" t="s">
        <v>6175</v>
      </c>
      <c r="L640" s="9">
        <v>60.94</v>
      </c>
      <c r="M640" s="3">
        <v>88.9</v>
      </c>
      <c r="N640" s="17" t="s">
        <v>6391</v>
      </c>
      <c r="O640" s="18" t="s">
        <v>6389</v>
      </c>
      <c r="P640" s="49">
        <f t="shared" si="37"/>
        <v>1.9417536235984931</v>
      </c>
      <c r="Q640" s="1">
        <f t="shared" si="38"/>
        <v>2.178553008279648</v>
      </c>
      <c r="R640" s="1">
        <f t="shared" si="40"/>
        <v>2.1947030101350293</v>
      </c>
      <c r="S640" s="10">
        <f t="shared" si="39"/>
        <v>2.0601533159390706</v>
      </c>
      <c r="T640" s="45" cm="1">
        <f t="array" ref="T640">SUMPRODUCT(P640:S640 * P$3:S$3) / SUM(P$3:S$3)</f>
        <v>2.0990686061754609</v>
      </c>
    </row>
    <row r="641" spans="1:20" ht="16.5" customHeight="1" x14ac:dyDescent="0.25">
      <c r="A641" s="5" t="s">
        <v>6928</v>
      </c>
      <c r="B641" s="20" t="s">
        <v>6523</v>
      </c>
      <c r="C641" s="4" t="s">
        <v>8796</v>
      </c>
      <c r="D641" s="4" t="s">
        <v>9008</v>
      </c>
      <c r="E641" s="12" t="s">
        <v>407</v>
      </c>
      <c r="F641" s="75" t="s">
        <v>411</v>
      </c>
      <c r="G641" s="3">
        <v>16</v>
      </c>
      <c r="H641" s="3" t="s">
        <v>6736</v>
      </c>
      <c r="I641" s="13" t="s">
        <v>6740</v>
      </c>
      <c r="J641" s="72">
        <v>1.25</v>
      </c>
      <c r="L641" s="9">
        <v>62.43</v>
      </c>
      <c r="M641" s="3">
        <v>243.61</v>
      </c>
      <c r="N641" s="17" t="s">
        <v>6524</v>
      </c>
      <c r="O641" s="18" t="s">
        <v>6522</v>
      </c>
      <c r="P641" s="49">
        <f t="shared" si="37"/>
        <v>1.9417536235984931</v>
      </c>
      <c r="Q641" s="1">
        <f t="shared" si="38"/>
        <v>2.178553008279648</v>
      </c>
      <c r="R641" s="1">
        <f t="shared" si="40"/>
        <v>2.1947030101350293</v>
      </c>
      <c r="S641" s="10">
        <f t="shared" si="39"/>
        <v>2.0601533159390706</v>
      </c>
      <c r="T641" s="45" cm="1">
        <f t="array" ref="T641">SUMPRODUCT(P641:S641 * P$3:S$3) / SUM(P$3:S$3)</f>
        <v>2.0990686061754609</v>
      </c>
    </row>
    <row r="642" spans="1:20" ht="16.5" customHeight="1" x14ac:dyDescent="0.25">
      <c r="A642" s="5" t="s">
        <v>6879</v>
      </c>
      <c r="B642" s="20" t="s">
        <v>5957</v>
      </c>
      <c r="C642" s="4" t="s">
        <v>8797</v>
      </c>
      <c r="D642" s="4" t="s">
        <v>9008</v>
      </c>
      <c r="E642" s="12" t="s">
        <v>407</v>
      </c>
      <c r="F642" s="75" t="s">
        <v>411</v>
      </c>
      <c r="G642" s="3">
        <v>16</v>
      </c>
      <c r="H642" s="3" t="s">
        <v>6736</v>
      </c>
      <c r="I642" s="13" t="s">
        <v>6739</v>
      </c>
      <c r="J642" s="72">
        <v>1.2</v>
      </c>
      <c r="L642" s="9">
        <v>45.97</v>
      </c>
      <c r="M642" s="3">
        <v>65.900000000000006</v>
      </c>
      <c r="N642" s="17" t="s">
        <v>5958</v>
      </c>
      <c r="O642" s="18" t="s">
        <v>5956</v>
      </c>
      <c r="P642" s="49">
        <f t="shared" si="37"/>
        <v>1.951668309941653</v>
      </c>
      <c r="Q642" s="1">
        <f t="shared" si="38"/>
        <v>2.1845912709556674</v>
      </c>
      <c r="R642" s="1">
        <f t="shared" si="40"/>
        <v>2.2007412728110491</v>
      </c>
      <c r="S642" s="10">
        <f t="shared" si="39"/>
        <v>2.0681297904486602</v>
      </c>
      <c r="T642" s="45" cm="1">
        <f t="array" ref="T642">SUMPRODUCT(P642:S642 * P$3:S$3) / SUM(P$3:S$3)</f>
        <v>2.1064487078131831</v>
      </c>
    </row>
    <row r="643" spans="1:20" ht="16.5" customHeight="1" x14ac:dyDescent="0.25">
      <c r="A643" s="5" t="s">
        <v>6793</v>
      </c>
      <c r="B643" s="20" t="s">
        <v>4650</v>
      </c>
      <c r="C643" s="4" t="s">
        <v>8798</v>
      </c>
      <c r="D643" s="4" t="s">
        <v>9008</v>
      </c>
      <c r="E643" s="12" t="s">
        <v>407</v>
      </c>
      <c r="F643" s="75" t="s">
        <v>411</v>
      </c>
      <c r="G643" s="3">
        <v>16</v>
      </c>
      <c r="H643" s="3" t="s">
        <v>6736</v>
      </c>
      <c r="I643" s="13" t="s">
        <v>6740</v>
      </c>
      <c r="J643" s="72">
        <v>1.25</v>
      </c>
      <c r="L643" s="9">
        <v>48.49</v>
      </c>
      <c r="M643" s="3">
        <v>80.2</v>
      </c>
      <c r="N643" s="17" t="s">
        <v>4651</v>
      </c>
      <c r="O643" s="18" t="s">
        <v>4649</v>
      </c>
      <c r="P643" s="49">
        <f t="shared" si="37"/>
        <v>1.9417536235984931</v>
      </c>
      <c r="Q643" s="1">
        <f t="shared" si="38"/>
        <v>2.178553008279648</v>
      </c>
      <c r="R643" s="1">
        <f t="shared" si="40"/>
        <v>2.1947030101350293</v>
      </c>
      <c r="S643" s="10">
        <f t="shared" si="39"/>
        <v>2.0601533159390706</v>
      </c>
      <c r="T643" s="45" cm="1">
        <f t="array" ref="T643">SUMPRODUCT(P643:S643 * P$3:S$3) / SUM(P$3:S$3)</f>
        <v>2.0990686061754609</v>
      </c>
    </row>
    <row r="644" spans="1:20" ht="16.5" customHeight="1" x14ac:dyDescent="0.25">
      <c r="A644" s="5" t="s">
        <v>6793</v>
      </c>
      <c r="B644" s="20" t="s">
        <v>4653</v>
      </c>
      <c r="C644" s="4" t="s">
        <v>8798</v>
      </c>
      <c r="D644" s="4" t="s">
        <v>9008</v>
      </c>
      <c r="E644" s="12" t="s">
        <v>407</v>
      </c>
      <c r="F644" s="75" t="s">
        <v>411</v>
      </c>
      <c r="G644" s="3">
        <v>16</v>
      </c>
      <c r="H644" s="3" t="s">
        <v>6736</v>
      </c>
      <c r="I644" s="13" t="s">
        <v>6739</v>
      </c>
      <c r="J644" s="72">
        <v>1.25</v>
      </c>
      <c r="L644" s="9">
        <v>47.9</v>
      </c>
      <c r="M644" s="3">
        <v>70.05</v>
      </c>
      <c r="N644" s="17" t="s">
        <v>4654</v>
      </c>
      <c r="O644" s="18" t="s">
        <v>4652</v>
      </c>
      <c r="P644" s="49">
        <f t="shared" si="37"/>
        <v>1.9495064709327727</v>
      </c>
      <c r="Q644" s="1">
        <f t="shared" si="38"/>
        <v>2.1824294319467876</v>
      </c>
      <c r="R644" s="1">
        <f t="shared" si="40"/>
        <v>2.1985794338021694</v>
      </c>
      <c r="S644" s="10">
        <f t="shared" si="39"/>
        <v>2.06596795143978</v>
      </c>
      <c r="T644" s="45" cm="1">
        <f t="array" ref="T644">SUMPRODUCT(P644:S644 * P$3:S$3) / SUM(P$3:S$3)</f>
        <v>2.1042868688043024</v>
      </c>
    </row>
    <row r="645" spans="1:20" ht="16.5" customHeight="1" x14ac:dyDescent="0.25">
      <c r="A645" s="5" t="s">
        <v>6793</v>
      </c>
      <c r="B645" s="20" t="s">
        <v>4808</v>
      </c>
      <c r="C645" s="4" t="s">
        <v>8798</v>
      </c>
      <c r="D645" s="4" t="s">
        <v>9008</v>
      </c>
      <c r="E645" s="12" t="s">
        <v>407</v>
      </c>
      <c r="F645" s="75" t="s">
        <v>411</v>
      </c>
      <c r="G645" s="3">
        <v>16</v>
      </c>
      <c r="H645" s="3" t="s">
        <v>6736</v>
      </c>
      <c r="I645" s="13" t="s">
        <v>6740</v>
      </c>
      <c r="J645" s="72">
        <v>1.25</v>
      </c>
      <c r="L645" s="9">
        <v>45.8</v>
      </c>
      <c r="M645" s="3">
        <v>96</v>
      </c>
      <c r="N645" s="17" t="s">
        <v>4809</v>
      </c>
      <c r="O645" s="18" t="s">
        <v>4807</v>
      </c>
      <c r="P645" s="49">
        <f t="shared" si="37"/>
        <v>1.9417536235984931</v>
      </c>
      <c r="Q645" s="1">
        <f t="shared" si="38"/>
        <v>2.178553008279648</v>
      </c>
      <c r="R645" s="1">
        <f t="shared" si="40"/>
        <v>2.1947030101350293</v>
      </c>
      <c r="S645" s="10">
        <f t="shared" si="39"/>
        <v>2.0601533159390706</v>
      </c>
      <c r="T645" s="45" cm="1">
        <f t="array" ref="T645">SUMPRODUCT(P645:S645 * P$3:S$3) / SUM(P$3:S$3)</f>
        <v>2.0990686061754609</v>
      </c>
    </row>
    <row r="646" spans="1:20" ht="16.5" customHeight="1" x14ac:dyDescent="0.25">
      <c r="A646" s="5" t="s">
        <v>6793</v>
      </c>
      <c r="B646" s="20" t="s">
        <v>4811</v>
      </c>
      <c r="C646" s="4" t="s">
        <v>8798</v>
      </c>
      <c r="D646" s="4" t="s">
        <v>9008</v>
      </c>
      <c r="E646" s="12" t="s">
        <v>407</v>
      </c>
      <c r="F646" s="75" t="s">
        <v>411</v>
      </c>
      <c r="G646" s="3">
        <v>16</v>
      </c>
      <c r="H646" s="3" t="s">
        <v>6736</v>
      </c>
      <c r="I646" s="13" t="s">
        <v>6739</v>
      </c>
      <c r="J646" s="72">
        <v>1.25</v>
      </c>
      <c r="L646" s="9">
        <v>46.52</v>
      </c>
      <c r="M646" s="3">
        <v>130.81</v>
      </c>
      <c r="N646" s="17" t="s">
        <v>4812</v>
      </c>
      <c r="O646" s="18" t="s">
        <v>4810</v>
      </c>
      <c r="P646" s="49">
        <f t="shared" si="37"/>
        <v>1.9495064709327727</v>
      </c>
      <c r="Q646" s="1">
        <f t="shared" si="38"/>
        <v>2.1824294319467876</v>
      </c>
      <c r="R646" s="1">
        <f t="shared" si="40"/>
        <v>2.1985794338021694</v>
      </c>
      <c r="S646" s="10">
        <f t="shared" si="39"/>
        <v>2.06596795143978</v>
      </c>
      <c r="T646" s="45" cm="1">
        <f t="array" ref="T646">SUMPRODUCT(P646:S646 * P$3:S$3) / SUM(P$3:S$3)</f>
        <v>2.1042868688043024</v>
      </c>
    </row>
    <row r="647" spans="1:20" ht="16.5" customHeight="1" x14ac:dyDescent="0.25">
      <c r="A647" s="5" t="s">
        <v>6793</v>
      </c>
      <c r="B647" s="20" t="s">
        <v>4964</v>
      </c>
      <c r="C647" s="4" t="s">
        <v>8798</v>
      </c>
      <c r="D647" s="4" t="s">
        <v>9008</v>
      </c>
      <c r="E647" s="12" t="s">
        <v>407</v>
      </c>
      <c r="F647" s="75" t="s">
        <v>411</v>
      </c>
      <c r="G647" s="3">
        <v>16</v>
      </c>
      <c r="H647" s="3" t="s">
        <v>6736</v>
      </c>
      <c r="I647" s="13" t="s">
        <v>6740</v>
      </c>
      <c r="J647" s="72">
        <v>1.25</v>
      </c>
      <c r="K647" s="14" t="s">
        <v>4847</v>
      </c>
      <c r="L647" s="9">
        <v>54.9</v>
      </c>
      <c r="M647" s="3">
        <v>92.28</v>
      </c>
      <c r="N647" s="17" t="s">
        <v>4965</v>
      </c>
      <c r="O647" s="18" t="s">
        <v>4963</v>
      </c>
      <c r="P647" s="49">
        <f t="shared" si="37"/>
        <v>1.9417536235984931</v>
      </c>
      <c r="Q647" s="1">
        <f t="shared" si="38"/>
        <v>2.178553008279648</v>
      </c>
      <c r="R647" s="1">
        <f t="shared" si="40"/>
        <v>2.1947030101350293</v>
      </c>
      <c r="S647" s="10">
        <f t="shared" si="39"/>
        <v>2.0601533159390706</v>
      </c>
      <c r="T647" s="45" cm="1">
        <f t="array" ref="T647">SUMPRODUCT(P647:S647 * P$3:S$3) / SUM(P$3:S$3)</f>
        <v>2.0990686061754609</v>
      </c>
    </row>
    <row r="648" spans="1:20" ht="16.5" customHeight="1" x14ac:dyDescent="0.25">
      <c r="A648" s="5" t="s">
        <v>6793</v>
      </c>
      <c r="B648" s="20" t="s">
        <v>4967</v>
      </c>
      <c r="C648" s="4" t="s">
        <v>8798</v>
      </c>
      <c r="D648" s="4" t="s">
        <v>9008</v>
      </c>
      <c r="E648" s="12" t="s">
        <v>407</v>
      </c>
      <c r="F648" s="75" t="s">
        <v>411</v>
      </c>
      <c r="G648" s="3">
        <v>16</v>
      </c>
      <c r="H648" s="3" t="s">
        <v>6736</v>
      </c>
      <c r="I648" s="13" t="s">
        <v>6739</v>
      </c>
      <c r="J648" s="72">
        <v>1.25</v>
      </c>
      <c r="K648" s="14" t="s">
        <v>4847</v>
      </c>
      <c r="L648" s="9">
        <v>54.9</v>
      </c>
      <c r="M648" s="3">
        <v>82.48</v>
      </c>
      <c r="N648" s="17" t="s">
        <v>4968</v>
      </c>
      <c r="O648" s="18" t="s">
        <v>4966</v>
      </c>
      <c r="P648" s="49">
        <f t="shared" si="37"/>
        <v>1.9495064709327727</v>
      </c>
      <c r="Q648" s="1">
        <f t="shared" si="38"/>
        <v>2.1824294319467876</v>
      </c>
      <c r="R648" s="1">
        <f t="shared" si="40"/>
        <v>2.1985794338021694</v>
      </c>
      <c r="S648" s="10">
        <f t="shared" si="39"/>
        <v>2.06596795143978</v>
      </c>
      <c r="T648" s="45" cm="1">
        <f t="array" ref="T648">SUMPRODUCT(P648:S648 * P$3:S$3) / SUM(P$3:S$3)</f>
        <v>2.1042868688043024</v>
      </c>
    </row>
    <row r="649" spans="1:20" ht="16.5" customHeight="1" x14ac:dyDescent="0.25">
      <c r="A649" s="5" t="s">
        <v>6793</v>
      </c>
      <c r="B649" s="20" t="s">
        <v>5121</v>
      </c>
      <c r="C649" s="4" t="s">
        <v>8798</v>
      </c>
      <c r="D649" s="4" t="s">
        <v>9008</v>
      </c>
      <c r="E649" s="12" t="s">
        <v>407</v>
      </c>
      <c r="F649" s="75" t="s">
        <v>411</v>
      </c>
      <c r="G649" s="3">
        <v>16</v>
      </c>
      <c r="H649" s="3" t="s">
        <v>6736</v>
      </c>
      <c r="I649" s="13" t="s">
        <v>6740</v>
      </c>
      <c r="J649" s="72">
        <v>1.25</v>
      </c>
      <c r="K649" s="14" t="s">
        <v>4847</v>
      </c>
      <c r="L649" s="9">
        <v>53.9</v>
      </c>
      <c r="M649" s="3">
        <v>78.37</v>
      </c>
      <c r="N649" s="17" t="s">
        <v>5122</v>
      </c>
      <c r="O649" s="18" t="s">
        <v>5120</v>
      </c>
      <c r="P649" s="49">
        <f t="shared" si="37"/>
        <v>1.9417536235984931</v>
      </c>
      <c r="Q649" s="1">
        <f t="shared" si="38"/>
        <v>2.178553008279648</v>
      </c>
      <c r="R649" s="1">
        <f t="shared" si="40"/>
        <v>2.1947030101350293</v>
      </c>
      <c r="S649" s="10">
        <f t="shared" si="39"/>
        <v>2.0601533159390706</v>
      </c>
      <c r="T649" s="45" cm="1">
        <f t="array" ref="T649">SUMPRODUCT(P649:S649 * P$3:S$3) / SUM(P$3:S$3)</f>
        <v>2.0990686061754609</v>
      </c>
    </row>
    <row r="650" spans="1:20" ht="16.5" customHeight="1" x14ac:dyDescent="0.25">
      <c r="A650" s="5" t="s">
        <v>6793</v>
      </c>
      <c r="B650" s="20" t="s">
        <v>5124</v>
      </c>
      <c r="C650" s="4" t="s">
        <v>8798</v>
      </c>
      <c r="D650" s="4" t="s">
        <v>9008</v>
      </c>
      <c r="E650" s="12" t="s">
        <v>407</v>
      </c>
      <c r="F650" s="75" t="s">
        <v>411</v>
      </c>
      <c r="G650" s="3">
        <v>16</v>
      </c>
      <c r="H650" s="3" t="s">
        <v>6736</v>
      </c>
      <c r="I650" s="13" t="s">
        <v>6739</v>
      </c>
      <c r="J650" s="72">
        <v>1.25</v>
      </c>
      <c r="K650" s="14" t="s">
        <v>4847</v>
      </c>
      <c r="L650" s="9">
        <v>53.84</v>
      </c>
      <c r="M650" s="3">
        <v>102</v>
      </c>
      <c r="N650" s="17" t="s">
        <v>5125</v>
      </c>
      <c r="O650" s="18" t="s">
        <v>5123</v>
      </c>
      <c r="P650" s="49">
        <f t="shared" ref="P650:P713" si="41">(((F650/F$9)^F$7 * F$2 + (I650/I$9)^I$7 * I$2 + (J650/J$9)^J$7 * J$2) * (1+M$3*(MIN(H650,M$2)-1)+M$4*(H650-MIN(H650,M$2))) + (G650/G$9)^G$7 * G$2)  * P$9</f>
        <v>1.9495064709327727</v>
      </c>
      <c r="Q650" s="1">
        <f t="shared" ref="Q650:Q713" si="42">(((F650/F$9)^F$7 * F$3 + (I650/I$9)^I$7 * I$3 + (J650/J$9)^J$7 * J$3) * (1+M$3*(MIN(H650,M$2)-1)+M$4*(H650-MIN(H650,M$2))) + (G650/G$9)^G$7 * G$3)  * P$9</f>
        <v>2.1824294319467876</v>
      </c>
      <c r="R650" s="1">
        <f t="shared" si="40"/>
        <v>2.1985794338021694</v>
      </c>
      <c r="S650" s="10">
        <f t="shared" ref="S650:S713" si="43">(((F650/F$9)^F$7 * F$5 + (I650/I$9)^I$7 * I$5 + (J650/J$9)^J$7 * J$5) * (1+M$3*(MIN(H650,M$2)-1)+M$4*(H650-MIN(H650,M$2))) + (G650/G$9)^G$7 * G$5)  * P$9</f>
        <v>2.06596795143978</v>
      </c>
      <c r="T650" s="45" cm="1">
        <f t="array" ref="T650">SUMPRODUCT(P650:S650 * P$3:S$3) / SUM(P$3:S$3)</f>
        <v>2.1042868688043024</v>
      </c>
    </row>
    <row r="651" spans="1:20" ht="16.5" customHeight="1" x14ac:dyDescent="0.25">
      <c r="A651" s="5" t="s">
        <v>6798</v>
      </c>
      <c r="B651" s="20" t="s">
        <v>4744</v>
      </c>
      <c r="C651" s="4" t="s">
        <v>8798</v>
      </c>
      <c r="D651" s="4" t="s">
        <v>9009</v>
      </c>
      <c r="E651" s="12" t="s">
        <v>407</v>
      </c>
      <c r="F651" s="75" t="s">
        <v>411</v>
      </c>
      <c r="G651" s="3">
        <v>16</v>
      </c>
      <c r="H651" s="3" t="s">
        <v>404</v>
      </c>
      <c r="I651" s="13" t="s">
        <v>6740</v>
      </c>
      <c r="J651" s="72">
        <v>1.25</v>
      </c>
      <c r="L651" s="9">
        <v>51.78</v>
      </c>
      <c r="M651" s="3">
        <v>122.4</v>
      </c>
      <c r="N651" s="17" t="s">
        <v>4745</v>
      </c>
      <c r="O651" s="18" t="s">
        <v>4743</v>
      </c>
      <c r="P651" s="49">
        <f t="shared" si="41"/>
        <v>1.9739979846396545</v>
      </c>
      <c r="Q651" s="1">
        <f t="shared" si="42"/>
        <v>2.2026383848452578</v>
      </c>
      <c r="R651" s="1">
        <f t="shared" si="40"/>
        <v>2.2155416356009598</v>
      </c>
      <c r="S651" s="10">
        <f t="shared" si="43"/>
        <v>2.0883181847424561</v>
      </c>
      <c r="T651" s="45" cm="1">
        <f t="array" ref="T651">SUMPRODUCT(P651:S651 * P$3:S$3) / SUM(P$3:S$3)</f>
        <v>2.125478746428811</v>
      </c>
    </row>
    <row r="652" spans="1:20" ht="16.5" customHeight="1" x14ac:dyDescent="0.25">
      <c r="A652" s="5" t="s">
        <v>6798</v>
      </c>
      <c r="B652" s="20" t="s">
        <v>4747</v>
      </c>
      <c r="C652" s="4" t="s">
        <v>8798</v>
      </c>
      <c r="D652" s="4" t="s">
        <v>9009</v>
      </c>
      <c r="E652" s="12" t="s">
        <v>407</v>
      </c>
      <c r="F652" s="75" t="s">
        <v>411</v>
      </c>
      <c r="G652" s="3">
        <v>16</v>
      </c>
      <c r="H652" s="3" t="s">
        <v>404</v>
      </c>
      <c r="I652" s="13" t="s">
        <v>6739</v>
      </c>
      <c r="J652" s="72">
        <v>1.25</v>
      </c>
      <c r="L652" s="9">
        <v>49.63</v>
      </c>
      <c r="M652" s="3">
        <v>86.99</v>
      </c>
      <c r="N652" s="17" t="s">
        <v>4748</v>
      </c>
      <c r="O652" s="18" t="s">
        <v>4746</v>
      </c>
      <c r="P652" s="49">
        <f t="shared" si="41"/>
        <v>1.9819682015253628</v>
      </c>
      <c r="Q652" s="1">
        <f t="shared" si="42"/>
        <v>2.2066234932881117</v>
      </c>
      <c r="R652" s="1">
        <f t="shared" si="40"/>
        <v>2.2195267440438138</v>
      </c>
      <c r="S652" s="10">
        <f t="shared" si="43"/>
        <v>2.0942958474067375</v>
      </c>
      <c r="T652" s="45" cm="1">
        <f t="array" ref="T652">SUMPRODUCT(P652:S652 * P$3:S$3) / SUM(P$3:S$3)</f>
        <v>2.1308433154864987</v>
      </c>
    </row>
    <row r="653" spans="1:20" ht="16.5" customHeight="1" x14ac:dyDescent="0.25">
      <c r="A653" s="5" t="s">
        <v>6798</v>
      </c>
      <c r="B653" s="20" t="s">
        <v>5060</v>
      </c>
      <c r="C653" s="4" t="s">
        <v>8798</v>
      </c>
      <c r="D653" s="4" t="s">
        <v>9009</v>
      </c>
      <c r="E653" s="12" t="s">
        <v>407</v>
      </c>
      <c r="F653" s="75" t="s">
        <v>411</v>
      </c>
      <c r="G653" s="3">
        <v>16</v>
      </c>
      <c r="H653" s="3" t="s">
        <v>404</v>
      </c>
      <c r="I653" s="13" t="s">
        <v>6740</v>
      </c>
      <c r="J653" s="72">
        <v>1.25</v>
      </c>
      <c r="K653" s="14" t="s">
        <v>4847</v>
      </c>
      <c r="L653" s="9">
        <v>60.64</v>
      </c>
      <c r="M653" s="3">
        <v>109.9</v>
      </c>
      <c r="N653" s="17" t="s">
        <v>5061</v>
      </c>
      <c r="O653" s="18" t="s">
        <v>5059</v>
      </c>
      <c r="P653" s="49">
        <f t="shared" si="41"/>
        <v>1.9739979846396545</v>
      </c>
      <c r="Q653" s="1">
        <f t="shared" si="42"/>
        <v>2.2026383848452578</v>
      </c>
      <c r="R653" s="1">
        <f t="shared" si="40"/>
        <v>2.2155416356009598</v>
      </c>
      <c r="S653" s="10">
        <f t="shared" si="43"/>
        <v>2.0883181847424561</v>
      </c>
      <c r="T653" s="45" cm="1">
        <f t="array" ref="T653">SUMPRODUCT(P653:S653 * P$3:S$3) / SUM(P$3:S$3)</f>
        <v>2.125478746428811</v>
      </c>
    </row>
    <row r="654" spans="1:20" ht="16.5" customHeight="1" x14ac:dyDescent="0.25">
      <c r="A654" s="5" t="s">
        <v>6798</v>
      </c>
      <c r="B654" s="20" t="s">
        <v>5063</v>
      </c>
      <c r="C654" s="4" t="s">
        <v>8798</v>
      </c>
      <c r="D654" s="4" t="s">
        <v>9009</v>
      </c>
      <c r="E654" s="12" t="s">
        <v>407</v>
      </c>
      <c r="F654" s="75" t="s">
        <v>411</v>
      </c>
      <c r="G654" s="3">
        <v>16</v>
      </c>
      <c r="H654" s="3" t="s">
        <v>404</v>
      </c>
      <c r="I654" s="13" t="s">
        <v>6739</v>
      </c>
      <c r="J654" s="72">
        <v>1.25</v>
      </c>
      <c r="K654" s="14" t="s">
        <v>4847</v>
      </c>
      <c r="L654" s="9">
        <v>62.59</v>
      </c>
      <c r="M654" s="3">
        <v>109.9</v>
      </c>
      <c r="N654" s="17" t="s">
        <v>5064</v>
      </c>
      <c r="O654" s="18" t="s">
        <v>5062</v>
      </c>
      <c r="P654" s="49">
        <f t="shared" si="41"/>
        <v>1.9819682015253628</v>
      </c>
      <c r="Q654" s="1">
        <f t="shared" si="42"/>
        <v>2.2066234932881117</v>
      </c>
      <c r="R654" s="1">
        <f t="shared" si="40"/>
        <v>2.2195267440438138</v>
      </c>
      <c r="S654" s="10">
        <f t="shared" si="43"/>
        <v>2.0942958474067375</v>
      </c>
      <c r="T654" s="45" cm="1">
        <f t="array" ref="T654">SUMPRODUCT(P654:S654 * P$3:S$3) / SUM(P$3:S$3)</f>
        <v>2.1308433154864987</v>
      </c>
    </row>
    <row r="655" spans="1:20" ht="16.5" customHeight="1" x14ac:dyDescent="0.25">
      <c r="A655" s="5" t="s">
        <v>6924</v>
      </c>
      <c r="B655" s="20" t="s">
        <v>6168</v>
      </c>
      <c r="C655" s="4" t="s">
        <v>8796</v>
      </c>
      <c r="D655" s="4" t="s">
        <v>9010</v>
      </c>
      <c r="E655" s="12" t="s">
        <v>407</v>
      </c>
      <c r="F655" s="75" t="s">
        <v>411</v>
      </c>
      <c r="G655" s="3">
        <v>32</v>
      </c>
      <c r="H655" s="3" t="s">
        <v>6736</v>
      </c>
      <c r="I655" s="13" t="s">
        <v>6740</v>
      </c>
      <c r="J655" s="72">
        <v>1.25</v>
      </c>
      <c r="L655" s="9">
        <v>100.98</v>
      </c>
      <c r="M655" s="3">
        <v>124.77</v>
      </c>
      <c r="N655" s="17" t="s">
        <v>6169</v>
      </c>
      <c r="O655" s="18" t="s">
        <v>6167</v>
      </c>
      <c r="P655" s="49">
        <f t="shared" si="41"/>
        <v>2.4361770321783078</v>
      </c>
      <c r="Q655" s="1">
        <f t="shared" si="42"/>
        <v>3.0025920225793392</v>
      </c>
      <c r="R655" s="1">
        <f t="shared" si="40"/>
        <v>3.1011459258646905</v>
      </c>
      <c r="S655" s="10">
        <f t="shared" si="43"/>
        <v>2.719384527378824</v>
      </c>
      <c r="T655" s="45" cm="1">
        <f t="array" ref="T655">SUMPRODUCT(P655:S655 * P$3:S$3) / SUM(P$3:S$3)</f>
        <v>2.8216874340998057</v>
      </c>
    </row>
    <row r="656" spans="1:20" ht="16.5" customHeight="1" x14ac:dyDescent="0.25">
      <c r="A656" s="5" t="s">
        <v>6924</v>
      </c>
      <c r="B656" s="20" t="s">
        <v>6517</v>
      </c>
      <c r="C656" s="4" t="s">
        <v>8796</v>
      </c>
      <c r="D656" s="4" t="s">
        <v>9010</v>
      </c>
      <c r="E656" s="12" t="s">
        <v>407</v>
      </c>
      <c r="F656" s="75" t="s">
        <v>411</v>
      </c>
      <c r="G656" s="3">
        <v>32</v>
      </c>
      <c r="H656" s="3" t="s">
        <v>6736</v>
      </c>
      <c r="I656" s="13" t="s">
        <v>6740</v>
      </c>
      <c r="J656" s="72">
        <v>1.25</v>
      </c>
      <c r="L656" s="9">
        <v>96.76</v>
      </c>
      <c r="M656" s="3">
        <v>119.48</v>
      </c>
      <c r="N656" s="17" t="s">
        <v>6518</v>
      </c>
      <c r="O656" s="18" t="s">
        <v>6516</v>
      </c>
      <c r="P656" s="49">
        <f t="shared" si="41"/>
        <v>2.4361770321783078</v>
      </c>
      <c r="Q656" s="1">
        <f t="shared" si="42"/>
        <v>3.0025920225793392</v>
      </c>
      <c r="R656" s="1">
        <f t="shared" ref="R656:R719" si="44">(((F656/F$9)^F$7 * F$4 + (I656/I$9)^I$7 * I$4 + (J656/J$9)^J$7 * J$4) * (1+M$3*(MIN(H656,M$2)-1)+M$4*(H656-MIN(H656,M$2))) + (G656/G$9)^G$7 * G$4)  * P$9</f>
        <v>3.1011459258646905</v>
      </c>
      <c r="S656" s="10">
        <f t="shared" si="43"/>
        <v>2.719384527378824</v>
      </c>
      <c r="T656" s="45" cm="1">
        <f t="array" ref="T656">SUMPRODUCT(P656:S656 * P$3:S$3) / SUM(P$3:S$3)</f>
        <v>2.8216874340998057</v>
      </c>
    </row>
    <row r="657" spans="1:20" ht="16.5" customHeight="1" x14ac:dyDescent="0.25">
      <c r="A657" s="5" t="s">
        <v>6878</v>
      </c>
      <c r="B657" s="20" t="s">
        <v>5954</v>
      </c>
      <c r="C657" s="4" t="s">
        <v>8797</v>
      </c>
      <c r="D657" s="4" t="s">
        <v>9010</v>
      </c>
      <c r="E657" s="12" t="s">
        <v>407</v>
      </c>
      <c r="F657" s="75" t="s">
        <v>411</v>
      </c>
      <c r="G657" s="3">
        <v>32</v>
      </c>
      <c r="H657" s="3" t="s">
        <v>6736</v>
      </c>
      <c r="I657" s="13" t="s">
        <v>6739</v>
      </c>
      <c r="J657" s="72">
        <v>1.25</v>
      </c>
      <c r="L657" s="9">
        <v>79.099999999999994</v>
      </c>
      <c r="M657" s="3">
        <v>109.9</v>
      </c>
      <c r="N657" s="17" t="s">
        <v>5955</v>
      </c>
      <c r="O657" s="18" t="s">
        <v>5953</v>
      </c>
      <c r="P657" s="49">
        <f t="shared" si="41"/>
        <v>2.4439298795125879</v>
      </c>
      <c r="Q657" s="1">
        <f t="shared" si="42"/>
        <v>3.0064684462464792</v>
      </c>
      <c r="R657" s="1">
        <f t="shared" si="44"/>
        <v>3.1050223495318301</v>
      </c>
      <c r="S657" s="10">
        <f t="shared" si="43"/>
        <v>2.7251991628795333</v>
      </c>
      <c r="T657" s="45" cm="1">
        <f t="array" ref="T657">SUMPRODUCT(P657:S657 * P$3:S$3) / SUM(P$3:S$3)</f>
        <v>2.8269056967286477</v>
      </c>
    </row>
    <row r="658" spans="1:20" ht="16.5" customHeight="1" x14ac:dyDescent="0.25">
      <c r="A658" s="5" t="s">
        <v>6788</v>
      </c>
      <c r="B658" s="20" t="s">
        <v>4620</v>
      </c>
      <c r="C658" s="4" t="s">
        <v>8798</v>
      </c>
      <c r="D658" s="4" t="s">
        <v>9010</v>
      </c>
      <c r="E658" s="12" t="s">
        <v>407</v>
      </c>
      <c r="F658" s="75" t="s">
        <v>411</v>
      </c>
      <c r="G658" s="3">
        <v>32</v>
      </c>
      <c r="H658" s="3" t="s">
        <v>6736</v>
      </c>
      <c r="I658" s="13" t="s">
        <v>6740</v>
      </c>
      <c r="J658" s="72">
        <v>1.25</v>
      </c>
      <c r="L658" s="9">
        <v>89.02</v>
      </c>
      <c r="M658" s="3">
        <v>149.9</v>
      </c>
      <c r="N658" s="17" t="s">
        <v>4621</v>
      </c>
      <c r="O658" s="18" t="s">
        <v>4619</v>
      </c>
      <c r="P658" s="49">
        <f t="shared" si="41"/>
        <v>2.4361770321783078</v>
      </c>
      <c r="Q658" s="1">
        <f t="shared" si="42"/>
        <v>3.0025920225793392</v>
      </c>
      <c r="R658" s="1">
        <f t="shared" si="44"/>
        <v>3.1011459258646905</v>
      </c>
      <c r="S658" s="10">
        <f t="shared" si="43"/>
        <v>2.719384527378824</v>
      </c>
      <c r="T658" s="45" cm="1">
        <f t="array" ref="T658">SUMPRODUCT(P658:S658 * P$3:S$3) / SUM(P$3:S$3)</f>
        <v>2.8216874340998057</v>
      </c>
    </row>
    <row r="659" spans="1:20" ht="16.5" customHeight="1" x14ac:dyDescent="0.25">
      <c r="A659" s="5" t="s">
        <v>6788</v>
      </c>
      <c r="B659" s="20" t="s">
        <v>4623</v>
      </c>
      <c r="C659" s="4" t="s">
        <v>8798</v>
      </c>
      <c r="D659" s="4" t="s">
        <v>9010</v>
      </c>
      <c r="E659" s="12" t="s">
        <v>407</v>
      </c>
      <c r="F659" s="75" t="s">
        <v>411</v>
      </c>
      <c r="G659" s="3">
        <v>32</v>
      </c>
      <c r="H659" s="3" t="s">
        <v>6736</v>
      </c>
      <c r="I659" s="13" t="s">
        <v>6739</v>
      </c>
      <c r="J659" s="72">
        <v>1.25</v>
      </c>
      <c r="L659" s="9">
        <v>88.15</v>
      </c>
      <c r="M659" s="3">
        <v>149.9</v>
      </c>
      <c r="N659" s="17" t="s">
        <v>4624</v>
      </c>
      <c r="O659" s="18" t="s">
        <v>4622</v>
      </c>
      <c r="P659" s="49">
        <f t="shared" si="41"/>
        <v>2.4439298795125879</v>
      </c>
      <c r="Q659" s="1">
        <f t="shared" si="42"/>
        <v>3.0064684462464792</v>
      </c>
      <c r="R659" s="1">
        <f t="shared" si="44"/>
        <v>3.1050223495318301</v>
      </c>
      <c r="S659" s="10">
        <f t="shared" si="43"/>
        <v>2.7251991628795333</v>
      </c>
      <c r="T659" s="45" cm="1">
        <f t="array" ref="T659">SUMPRODUCT(P659:S659 * P$3:S$3) / SUM(P$3:S$3)</f>
        <v>2.8269056967286477</v>
      </c>
    </row>
    <row r="660" spans="1:20" ht="16.5" customHeight="1" x14ac:dyDescent="0.25">
      <c r="A660" s="5" t="s">
        <v>6788</v>
      </c>
      <c r="B660" s="20" t="s">
        <v>4772</v>
      </c>
      <c r="C660" s="4" t="s">
        <v>8798</v>
      </c>
      <c r="D660" s="4" t="s">
        <v>9010</v>
      </c>
      <c r="E660" s="12" t="s">
        <v>407</v>
      </c>
      <c r="F660" s="75" t="s">
        <v>411</v>
      </c>
      <c r="G660" s="3">
        <v>32</v>
      </c>
      <c r="H660" s="3" t="s">
        <v>6736</v>
      </c>
      <c r="I660" s="13" t="s">
        <v>6740</v>
      </c>
      <c r="J660" s="72">
        <v>1.25</v>
      </c>
      <c r="L660" s="9">
        <v>83.73</v>
      </c>
      <c r="M660" s="3">
        <v>144.9</v>
      </c>
      <c r="N660" s="17" t="s">
        <v>4773</v>
      </c>
      <c r="O660" s="18" t="s">
        <v>4771</v>
      </c>
      <c r="P660" s="49">
        <f t="shared" si="41"/>
        <v>2.4361770321783078</v>
      </c>
      <c r="Q660" s="1">
        <f t="shared" si="42"/>
        <v>3.0025920225793392</v>
      </c>
      <c r="R660" s="1">
        <f t="shared" si="44"/>
        <v>3.1011459258646905</v>
      </c>
      <c r="S660" s="10">
        <f t="shared" si="43"/>
        <v>2.719384527378824</v>
      </c>
      <c r="T660" s="45" cm="1">
        <f t="array" ref="T660">SUMPRODUCT(P660:S660 * P$3:S$3) / SUM(P$3:S$3)</f>
        <v>2.8216874340998057</v>
      </c>
    </row>
    <row r="661" spans="1:20" ht="16.5" customHeight="1" x14ac:dyDescent="0.25">
      <c r="A661" s="5" t="s">
        <v>6788</v>
      </c>
      <c r="B661" s="20" t="s">
        <v>4775</v>
      </c>
      <c r="C661" s="4" t="s">
        <v>8798</v>
      </c>
      <c r="D661" s="4" t="s">
        <v>9010</v>
      </c>
      <c r="E661" s="12" t="s">
        <v>407</v>
      </c>
      <c r="F661" s="75" t="s">
        <v>411</v>
      </c>
      <c r="G661" s="3">
        <v>32</v>
      </c>
      <c r="H661" s="3" t="s">
        <v>6736</v>
      </c>
      <c r="I661" s="13" t="s">
        <v>6739</v>
      </c>
      <c r="J661" s="72">
        <v>1.25</v>
      </c>
      <c r="L661" s="9">
        <v>87.16</v>
      </c>
      <c r="M661" s="3">
        <v>149.9</v>
      </c>
      <c r="N661" s="17" t="s">
        <v>4776</v>
      </c>
      <c r="O661" s="18" t="s">
        <v>4774</v>
      </c>
      <c r="P661" s="49">
        <f t="shared" si="41"/>
        <v>2.4439298795125879</v>
      </c>
      <c r="Q661" s="1">
        <f t="shared" si="42"/>
        <v>3.0064684462464792</v>
      </c>
      <c r="R661" s="1">
        <f t="shared" si="44"/>
        <v>3.1050223495318301</v>
      </c>
      <c r="S661" s="10">
        <f t="shared" si="43"/>
        <v>2.7251991628795333</v>
      </c>
      <c r="T661" s="45" cm="1">
        <f t="array" ref="T661">SUMPRODUCT(P661:S661 * P$3:S$3) / SUM(P$3:S$3)</f>
        <v>2.8269056967286477</v>
      </c>
    </row>
    <row r="662" spans="1:20" ht="16.5" customHeight="1" x14ac:dyDescent="0.25">
      <c r="A662" s="5" t="s">
        <v>6788</v>
      </c>
      <c r="B662" s="20" t="s">
        <v>4931</v>
      </c>
      <c r="C662" s="4" t="s">
        <v>8798</v>
      </c>
      <c r="D662" s="4" t="s">
        <v>9010</v>
      </c>
      <c r="E662" s="12" t="s">
        <v>407</v>
      </c>
      <c r="F662" s="75" t="s">
        <v>411</v>
      </c>
      <c r="G662" s="3">
        <v>32</v>
      </c>
      <c r="H662" s="3" t="s">
        <v>6736</v>
      </c>
      <c r="I662" s="13" t="s">
        <v>6740</v>
      </c>
      <c r="J662" s="72">
        <v>1.25</v>
      </c>
      <c r="K662" s="14" t="s">
        <v>4847</v>
      </c>
      <c r="L662" s="9">
        <v>94.9</v>
      </c>
      <c r="M662" s="3">
        <v>111.12</v>
      </c>
      <c r="N662" s="17" t="s">
        <v>4932</v>
      </c>
      <c r="O662" s="18" t="s">
        <v>4930</v>
      </c>
      <c r="P662" s="49">
        <f t="shared" si="41"/>
        <v>2.4361770321783078</v>
      </c>
      <c r="Q662" s="1">
        <f t="shared" si="42"/>
        <v>3.0025920225793392</v>
      </c>
      <c r="R662" s="1">
        <f t="shared" si="44"/>
        <v>3.1011459258646905</v>
      </c>
      <c r="S662" s="10">
        <f t="shared" si="43"/>
        <v>2.719384527378824</v>
      </c>
      <c r="T662" s="45" cm="1">
        <f t="array" ref="T662">SUMPRODUCT(P662:S662 * P$3:S$3) / SUM(P$3:S$3)</f>
        <v>2.8216874340998057</v>
      </c>
    </row>
    <row r="663" spans="1:20" ht="16.5" customHeight="1" x14ac:dyDescent="0.25">
      <c r="A663" s="5" t="s">
        <v>6788</v>
      </c>
      <c r="B663" s="20" t="s">
        <v>4934</v>
      </c>
      <c r="C663" s="4" t="s">
        <v>8798</v>
      </c>
      <c r="D663" s="4" t="s">
        <v>9010</v>
      </c>
      <c r="E663" s="12" t="s">
        <v>407</v>
      </c>
      <c r="F663" s="75" t="s">
        <v>411</v>
      </c>
      <c r="G663" s="3">
        <v>32</v>
      </c>
      <c r="H663" s="3" t="s">
        <v>6736</v>
      </c>
      <c r="I663" s="13" t="s">
        <v>6739</v>
      </c>
      <c r="J663" s="72">
        <v>1.25</v>
      </c>
      <c r="K663" s="14" t="s">
        <v>4847</v>
      </c>
      <c r="L663" s="9">
        <v>93.5</v>
      </c>
      <c r="M663" s="3">
        <v>130.61000000000001</v>
      </c>
      <c r="N663" s="17" t="s">
        <v>4935</v>
      </c>
      <c r="O663" s="18" t="s">
        <v>4933</v>
      </c>
      <c r="P663" s="49">
        <f t="shared" si="41"/>
        <v>2.4439298795125879</v>
      </c>
      <c r="Q663" s="1">
        <f t="shared" si="42"/>
        <v>3.0064684462464792</v>
      </c>
      <c r="R663" s="1">
        <f t="shared" si="44"/>
        <v>3.1050223495318301</v>
      </c>
      <c r="S663" s="10">
        <f t="shared" si="43"/>
        <v>2.7251991628795333</v>
      </c>
      <c r="T663" s="45" cm="1">
        <f t="array" ref="T663">SUMPRODUCT(P663:S663 * P$3:S$3) / SUM(P$3:S$3)</f>
        <v>2.8269056967286477</v>
      </c>
    </row>
    <row r="664" spans="1:20" ht="16.5" customHeight="1" x14ac:dyDescent="0.25">
      <c r="A664" s="5" t="s">
        <v>6788</v>
      </c>
      <c r="B664" s="20" t="s">
        <v>5083</v>
      </c>
      <c r="C664" s="4" t="s">
        <v>8798</v>
      </c>
      <c r="D664" s="4" t="s">
        <v>9010</v>
      </c>
      <c r="E664" s="12" t="s">
        <v>407</v>
      </c>
      <c r="F664" s="75" t="s">
        <v>411</v>
      </c>
      <c r="G664" s="3">
        <v>32</v>
      </c>
      <c r="H664" s="3" t="s">
        <v>6736</v>
      </c>
      <c r="I664" s="13" t="s">
        <v>6740</v>
      </c>
      <c r="J664" s="72">
        <v>1.25</v>
      </c>
      <c r="K664" s="14" t="s">
        <v>4847</v>
      </c>
      <c r="L664" s="9">
        <v>88.99</v>
      </c>
      <c r="M664" s="3">
        <v>154.9</v>
      </c>
      <c r="N664" s="17" t="s">
        <v>5084</v>
      </c>
      <c r="O664" s="18" t="s">
        <v>5082</v>
      </c>
      <c r="P664" s="49">
        <f t="shared" si="41"/>
        <v>2.4361770321783078</v>
      </c>
      <c r="Q664" s="1">
        <f t="shared" si="42"/>
        <v>3.0025920225793392</v>
      </c>
      <c r="R664" s="1">
        <f t="shared" si="44"/>
        <v>3.1011459258646905</v>
      </c>
      <c r="S664" s="10">
        <f t="shared" si="43"/>
        <v>2.719384527378824</v>
      </c>
      <c r="T664" s="45" cm="1">
        <f t="array" ref="T664">SUMPRODUCT(P664:S664 * P$3:S$3) / SUM(P$3:S$3)</f>
        <v>2.8216874340998057</v>
      </c>
    </row>
    <row r="665" spans="1:20" ht="16.5" customHeight="1" x14ac:dyDescent="0.25">
      <c r="A665" s="5" t="s">
        <v>6788</v>
      </c>
      <c r="B665" s="20" t="s">
        <v>5086</v>
      </c>
      <c r="C665" s="4" t="s">
        <v>8798</v>
      </c>
      <c r="D665" s="4" t="s">
        <v>9010</v>
      </c>
      <c r="E665" s="12" t="s">
        <v>407</v>
      </c>
      <c r="F665" s="75" t="s">
        <v>411</v>
      </c>
      <c r="G665" s="3">
        <v>32</v>
      </c>
      <c r="H665" s="3" t="s">
        <v>6736</v>
      </c>
      <c r="I665" s="13" t="s">
        <v>6739</v>
      </c>
      <c r="J665" s="72">
        <v>1.25</v>
      </c>
      <c r="K665" s="14" t="s">
        <v>4847</v>
      </c>
      <c r="L665" s="9">
        <v>93.8</v>
      </c>
      <c r="M665" s="3">
        <v>125.33</v>
      </c>
      <c r="N665" s="17" t="s">
        <v>5087</v>
      </c>
      <c r="O665" s="18" t="s">
        <v>5085</v>
      </c>
      <c r="P665" s="49">
        <f t="shared" si="41"/>
        <v>2.4439298795125879</v>
      </c>
      <c r="Q665" s="1">
        <f t="shared" si="42"/>
        <v>3.0064684462464792</v>
      </c>
      <c r="R665" s="1">
        <f t="shared" si="44"/>
        <v>3.1050223495318301</v>
      </c>
      <c r="S665" s="10">
        <f t="shared" si="43"/>
        <v>2.7251991628795333</v>
      </c>
      <c r="T665" s="45" cm="1">
        <f t="array" ref="T665">SUMPRODUCT(P665:S665 * P$3:S$3) / SUM(P$3:S$3)</f>
        <v>2.8269056967286477</v>
      </c>
    </row>
    <row r="666" spans="1:20" ht="16.5" customHeight="1" x14ac:dyDescent="0.25">
      <c r="A666" s="5" t="s">
        <v>6963</v>
      </c>
      <c r="B666" s="20" t="s">
        <v>6699</v>
      </c>
      <c r="C666" s="4" t="s">
        <v>8796</v>
      </c>
      <c r="D666" s="4" t="s">
        <v>9011</v>
      </c>
      <c r="E666" s="12" t="s">
        <v>407</v>
      </c>
      <c r="F666" s="75" t="s">
        <v>411</v>
      </c>
      <c r="G666" s="3">
        <v>32</v>
      </c>
      <c r="H666" s="3" t="s">
        <v>404</v>
      </c>
      <c r="I666" s="13" t="s">
        <v>6739</v>
      </c>
      <c r="J666" s="72">
        <v>1.25</v>
      </c>
      <c r="K666" s="14" t="s">
        <v>6633</v>
      </c>
      <c r="L666" s="9">
        <v>249.3</v>
      </c>
      <c r="M666" s="3">
        <v>504.9</v>
      </c>
      <c r="N666" s="17" t="s">
        <v>6700</v>
      </c>
      <c r="O666" s="18" t="s">
        <v>6698</v>
      </c>
      <c r="P666" s="49">
        <f t="shared" si="41"/>
        <v>2.4763916101051775</v>
      </c>
      <c r="Q666" s="1">
        <f t="shared" si="42"/>
        <v>3.0306625075878033</v>
      </c>
      <c r="R666" s="1">
        <f t="shared" si="44"/>
        <v>3.125969659773475</v>
      </c>
      <c r="S666" s="10">
        <f t="shared" si="43"/>
        <v>2.7535270588464904</v>
      </c>
      <c r="T666" s="45" cm="1">
        <f t="array" ref="T666">SUMPRODUCT(P666:S666 * P$3:S$3) / SUM(P$3:S$3)</f>
        <v>2.853462143410844</v>
      </c>
    </row>
    <row r="667" spans="1:20" ht="16.5" customHeight="1" x14ac:dyDescent="0.25">
      <c r="A667" s="5" t="s">
        <v>6963</v>
      </c>
      <c r="B667" s="20" t="s">
        <v>6717</v>
      </c>
      <c r="C667" s="4" t="s">
        <v>8796</v>
      </c>
      <c r="D667" s="4" t="s">
        <v>9011</v>
      </c>
      <c r="E667" s="12" t="s">
        <v>407</v>
      </c>
      <c r="F667" s="75" t="s">
        <v>411</v>
      </c>
      <c r="G667" s="3">
        <v>32</v>
      </c>
      <c r="H667" s="3" t="s">
        <v>404</v>
      </c>
      <c r="I667" s="13" t="s">
        <v>6739</v>
      </c>
      <c r="J667" s="72">
        <v>1.25</v>
      </c>
      <c r="K667" s="14" t="s">
        <v>6633</v>
      </c>
      <c r="L667" s="9">
        <v>117.46</v>
      </c>
      <c r="M667" s="3">
        <v>224</v>
      </c>
      <c r="N667" s="17" t="s">
        <v>6718</v>
      </c>
      <c r="O667" s="18" t="s">
        <v>6716</v>
      </c>
      <c r="P667" s="49">
        <f t="shared" si="41"/>
        <v>2.4763916101051775</v>
      </c>
      <c r="Q667" s="1">
        <f t="shared" si="42"/>
        <v>3.0306625075878033</v>
      </c>
      <c r="R667" s="1">
        <f t="shared" si="44"/>
        <v>3.125969659773475</v>
      </c>
      <c r="S667" s="10">
        <f t="shared" si="43"/>
        <v>2.7535270588464904</v>
      </c>
      <c r="T667" s="45" cm="1">
        <f t="array" ref="T667">SUMPRODUCT(P667:S667 * P$3:S$3) / SUM(P$3:S$3)</f>
        <v>2.853462143410844</v>
      </c>
    </row>
    <row r="668" spans="1:20" ht="16.5" customHeight="1" x14ac:dyDescent="0.25">
      <c r="A668" s="5" t="s">
        <v>6886</v>
      </c>
      <c r="B668" s="20" t="s">
        <v>5989</v>
      </c>
      <c r="C668" s="4" t="s">
        <v>8796</v>
      </c>
      <c r="D668" s="4" t="s">
        <v>9011</v>
      </c>
      <c r="E668" s="12" t="s">
        <v>407</v>
      </c>
      <c r="F668" s="75" t="s">
        <v>411</v>
      </c>
      <c r="G668" s="3">
        <v>32</v>
      </c>
      <c r="H668" s="3" t="s">
        <v>404</v>
      </c>
      <c r="I668" s="13" t="s">
        <v>6740</v>
      </c>
      <c r="J668" s="72">
        <v>1.25</v>
      </c>
      <c r="L668" s="9">
        <v>105.72</v>
      </c>
      <c r="M668" s="3">
        <v>130.34</v>
      </c>
      <c r="N668" s="17" t="s">
        <v>5990</v>
      </c>
      <c r="O668" s="18" t="s">
        <v>5988</v>
      </c>
      <c r="P668" s="49">
        <f t="shared" si="41"/>
        <v>2.4684213932194696</v>
      </c>
      <c r="Q668" s="1">
        <f t="shared" si="42"/>
        <v>3.0266773991449494</v>
      </c>
      <c r="R668" s="1">
        <f t="shared" si="44"/>
        <v>3.1219845513306206</v>
      </c>
      <c r="S668" s="10">
        <f t="shared" si="43"/>
        <v>2.7475493961822095</v>
      </c>
      <c r="T668" s="45" cm="1">
        <f t="array" ref="T668">SUMPRODUCT(P668:S668 * P$3:S$3) / SUM(P$3:S$3)</f>
        <v>2.8480975743531562</v>
      </c>
    </row>
    <row r="669" spans="1:20" ht="16.5" customHeight="1" x14ac:dyDescent="0.25">
      <c r="A669" s="5" t="s">
        <v>6886</v>
      </c>
      <c r="B669" s="20" t="s">
        <v>5992</v>
      </c>
      <c r="C669" s="4" t="s">
        <v>8796</v>
      </c>
      <c r="D669" s="4" t="s">
        <v>9011</v>
      </c>
      <c r="E669" s="12" t="s">
        <v>407</v>
      </c>
      <c r="F669" s="75" t="s">
        <v>411</v>
      </c>
      <c r="G669" s="3">
        <v>32</v>
      </c>
      <c r="H669" s="3" t="s">
        <v>404</v>
      </c>
      <c r="I669" s="13" t="s">
        <v>6739</v>
      </c>
      <c r="J669" s="72">
        <v>1.25</v>
      </c>
      <c r="L669" s="9">
        <v>130.9</v>
      </c>
      <c r="M669" s="3">
        <v>164.59</v>
      </c>
      <c r="N669" s="17" t="s">
        <v>5993</v>
      </c>
      <c r="O669" s="18" t="s">
        <v>5991</v>
      </c>
      <c r="P669" s="49">
        <f t="shared" si="41"/>
        <v>2.4763916101051775</v>
      </c>
      <c r="Q669" s="1">
        <f t="shared" si="42"/>
        <v>3.0306625075878033</v>
      </c>
      <c r="R669" s="1">
        <f t="shared" si="44"/>
        <v>3.125969659773475</v>
      </c>
      <c r="S669" s="10">
        <f t="shared" si="43"/>
        <v>2.7535270588464904</v>
      </c>
      <c r="T669" s="45" cm="1">
        <f t="array" ref="T669">SUMPRODUCT(P669:S669 * P$3:S$3) / SUM(P$3:S$3)</f>
        <v>2.853462143410844</v>
      </c>
    </row>
    <row r="670" spans="1:20" ht="16.5" customHeight="1" x14ac:dyDescent="0.25">
      <c r="A670" s="5" t="s">
        <v>6886</v>
      </c>
      <c r="B670" s="20" t="s">
        <v>6153</v>
      </c>
      <c r="C670" s="4" t="s">
        <v>8796</v>
      </c>
      <c r="D670" s="4" t="s">
        <v>9011</v>
      </c>
      <c r="E670" s="12" t="s">
        <v>407</v>
      </c>
      <c r="F670" s="75" t="s">
        <v>411</v>
      </c>
      <c r="G670" s="3">
        <v>32</v>
      </c>
      <c r="H670" s="3" t="s">
        <v>404</v>
      </c>
      <c r="I670" s="13" t="s">
        <v>6740</v>
      </c>
      <c r="J670" s="72">
        <v>1.25</v>
      </c>
      <c r="L670" s="9">
        <v>100.9</v>
      </c>
      <c r="M670" s="3">
        <v>129.99</v>
      </c>
      <c r="N670" s="17" t="s">
        <v>6154</v>
      </c>
      <c r="O670" s="18" t="s">
        <v>6152</v>
      </c>
      <c r="P670" s="49">
        <f t="shared" si="41"/>
        <v>2.4684213932194696</v>
      </c>
      <c r="Q670" s="1">
        <f t="shared" si="42"/>
        <v>3.0266773991449494</v>
      </c>
      <c r="R670" s="1">
        <f t="shared" si="44"/>
        <v>3.1219845513306206</v>
      </c>
      <c r="S670" s="10">
        <f t="shared" si="43"/>
        <v>2.7475493961822095</v>
      </c>
      <c r="T670" s="45" cm="1">
        <f t="array" ref="T670">SUMPRODUCT(P670:S670 * P$3:S$3) / SUM(P$3:S$3)</f>
        <v>2.8480975743531562</v>
      </c>
    </row>
    <row r="671" spans="1:20" ht="16.5" customHeight="1" x14ac:dyDescent="0.25">
      <c r="A671" s="5" t="s">
        <v>6886</v>
      </c>
      <c r="B671" s="20" t="s">
        <v>6156</v>
      </c>
      <c r="C671" s="4" t="s">
        <v>8796</v>
      </c>
      <c r="D671" s="4" t="s">
        <v>9011</v>
      </c>
      <c r="E671" s="12" t="s">
        <v>407</v>
      </c>
      <c r="F671" s="75" t="s">
        <v>411</v>
      </c>
      <c r="G671" s="3">
        <v>32</v>
      </c>
      <c r="H671" s="3" t="s">
        <v>404</v>
      </c>
      <c r="I671" s="13" t="s">
        <v>6739</v>
      </c>
      <c r="J671" s="72">
        <v>1.25</v>
      </c>
      <c r="L671" s="9">
        <v>104.9</v>
      </c>
      <c r="M671" s="3">
        <v>230.23</v>
      </c>
      <c r="N671" s="17" t="s">
        <v>6157</v>
      </c>
      <c r="O671" s="18" t="s">
        <v>6155</v>
      </c>
      <c r="P671" s="49">
        <f t="shared" si="41"/>
        <v>2.4763916101051775</v>
      </c>
      <c r="Q671" s="1">
        <f t="shared" si="42"/>
        <v>3.0306625075878033</v>
      </c>
      <c r="R671" s="1">
        <f t="shared" si="44"/>
        <v>3.125969659773475</v>
      </c>
      <c r="S671" s="10">
        <f t="shared" si="43"/>
        <v>2.7535270588464904</v>
      </c>
      <c r="T671" s="45" cm="1">
        <f t="array" ref="T671">SUMPRODUCT(P671:S671 * P$3:S$3) / SUM(P$3:S$3)</f>
        <v>2.853462143410844</v>
      </c>
    </row>
    <row r="672" spans="1:20" ht="16.5" customHeight="1" x14ac:dyDescent="0.25">
      <c r="A672" s="5" t="s">
        <v>6886</v>
      </c>
      <c r="B672" s="20" t="s">
        <v>6220</v>
      </c>
      <c r="C672" s="4" t="s">
        <v>8796</v>
      </c>
      <c r="D672" s="4" t="s">
        <v>9011</v>
      </c>
      <c r="E672" s="12" t="s">
        <v>407</v>
      </c>
      <c r="F672" s="75" t="s">
        <v>411</v>
      </c>
      <c r="G672" s="3">
        <v>32</v>
      </c>
      <c r="H672" s="3" t="s">
        <v>404</v>
      </c>
      <c r="I672" s="13" t="s">
        <v>6740</v>
      </c>
      <c r="J672" s="72">
        <v>1.25</v>
      </c>
      <c r="K672" s="14" t="s">
        <v>6175</v>
      </c>
      <c r="L672" s="9">
        <v>114.9</v>
      </c>
      <c r="M672" s="3">
        <v>138.25</v>
      </c>
      <c r="N672" s="17" t="s">
        <v>6221</v>
      </c>
      <c r="O672" s="18" t="s">
        <v>6219</v>
      </c>
      <c r="P672" s="49">
        <f t="shared" si="41"/>
        <v>2.4684213932194696</v>
      </c>
      <c r="Q672" s="1">
        <f t="shared" si="42"/>
        <v>3.0266773991449494</v>
      </c>
      <c r="R672" s="1">
        <f t="shared" si="44"/>
        <v>3.1219845513306206</v>
      </c>
      <c r="S672" s="10">
        <f t="shared" si="43"/>
        <v>2.7475493961822095</v>
      </c>
      <c r="T672" s="45" cm="1">
        <f t="array" ref="T672">SUMPRODUCT(P672:S672 * P$3:S$3) / SUM(P$3:S$3)</f>
        <v>2.8480975743531562</v>
      </c>
    </row>
    <row r="673" spans="1:20" ht="16.5" customHeight="1" x14ac:dyDescent="0.25">
      <c r="A673" s="5" t="s">
        <v>6886</v>
      </c>
      <c r="B673" s="20" t="s">
        <v>6378</v>
      </c>
      <c r="C673" s="4" t="s">
        <v>8796</v>
      </c>
      <c r="D673" s="4" t="s">
        <v>9011</v>
      </c>
      <c r="E673" s="12" t="s">
        <v>407</v>
      </c>
      <c r="F673" s="75" t="s">
        <v>411</v>
      </c>
      <c r="G673" s="3">
        <v>32</v>
      </c>
      <c r="H673" s="3" t="s">
        <v>404</v>
      </c>
      <c r="I673" s="13" t="s">
        <v>6740</v>
      </c>
      <c r="J673" s="72">
        <v>1.25</v>
      </c>
      <c r="K673" s="14" t="s">
        <v>6175</v>
      </c>
      <c r="L673" s="9">
        <v>116.52</v>
      </c>
      <c r="M673" s="3">
        <v>143.97</v>
      </c>
      <c r="N673" s="17" t="s">
        <v>6379</v>
      </c>
      <c r="O673" s="18" t="s">
        <v>6377</v>
      </c>
      <c r="P673" s="49">
        <f t="shared" si="41"/>
        <v>2.4684213932194696</v>
      </c>
      <c r="Q673" s="1">
        <f t="shared" si="42"/>
        <v>3.0266773991449494</v>
      </c>
      <c r="R673" s="1">
        <f t="shared" si="44"/>
        <v>3.1219845513306206</v>
      </c>
      <c r="S673" s="10">
        <f t="shared" si="43"/>
        <v>2.7475493961822095</v>
      </c>
      <c r="T673" s="45" cm="1">
        <f t="array" ref="T673">SUMPRODUCT(P673:S673 * P$3:S$3) / SUM(P$3:S$3)</f>
        <v>2.8480975743531562</v>
      </c>
    </row>
    <row r="674" spans="1:20" ht="16.5" customHeight="1" x14ac:dyDescent="0.25">
      <c r="A674" s="5" t="s">
        <v>6886</v>
      </c>
      <c r="B674" s="20" t="s">
        <v>6381</v>
      </c>
      <c r="C674" s="4" t="s">
        <v>8796</v>
      </c>
      <c r="D674" s="4" t="s">
        <v>9011</v>
      </c>
      <c r="E674" s="12" t="s">
        <v>407</v>
      </c>
      <c r="F674" s="75" t="s">
        <v>411</v>
      </c>
      <c r="G674" s="3">
        <v>32</v>
      </c>
      <c r="H674" s="3" t="s">
        <v>404</v>
      </c>
      <c r="I674" s="13" t="s">
        <v>6739</v>
      </c>
      <c r="J674" s="72">
        <v>1.25</v>
      </c>
      <c r="K674" s="14" t="s">
        <v>6175</v>
      </c>
      <c r="L674" s="9">
        <v>135.66</v>
      </c>
      <c r="M674" s="3">
        <v>186.35</v>
      </c>
      <c r="N674" s="17" t="s">
        <v>6382</v>
      </c>
      <c r="O674" s="18" t="s">
        <v>6380</v>
      </c>
      <c r="P674" s="49">
        <f t="shared" si="41"/>
        <v>2.4763916101051775</v>
      </c>
      <c r="Q674" s="1">
        <f t="shared" si="42"/>
        <v>3.0306625075878033</v>
      </c>
      <c r="R674" s="1">
        <f t="shared" si="44"/>
        <v>3.125969659773475</v>
      </c>
      <c r="S674" s="10">
        <f t="shared" si="43"/>
        <v>2.7535270588464904</v>
      </c>
      <c r="T674" s="45" cm="1">
        <f t="array" ref="T674">SUMPRODUCT(P674:S674 * P$3:S$3) / SUM(P$3:S$3)</f>
        <v>2.853462143410844</v>
      </c>
    </row>
    <row r="675" spans="1:20" ht="16.5" customHeight="1" x14ac:dyDescent="0.25">
      <c r="A675" s="5" t="s">
        <v>6886</v>
      </c>
      <c r="B675" s="20" t="s">
        <v>6444</v>
      </c>
      <c r="C675" s="4" t="s">
        <v>8796</v>
      </c>
      <c r="D675" s="4" t="s">
        <v>9011</v>
      </c>
      <c r="E675" s="12" t="s">
        <v>407</v>
      </c>
      <c r="F675" s="75" t="s">
        <v>411</v>
      </c>
      <c r="G675" s="3">
        <v>32</v>
      </c>
      <c r="H675" s="3" t="s">
        <v>404</v>
      </c>
      <c r="I675" s="13" t="s">
        <v>6740</v>
      </c>
      <c r="J675" s="72">
        <v>1.25</v>
      </c>
      <c r="K675" s="14" t="s">
        <v>6175</v>
      </c>
      <c r="L675" s="9">
        <v>114.9</v>
      </c>
      <c r="M675" s="3">
        <v>147.81</v>
      </c>
      <c r="N675" s="17" t="s">
        <v>6445</v>
      </c>
      <c r="O675" s="18" t="s">
        <v>6443</v>
      </c>
      <c r="P675" s="49">
        <f t="shared" si="41"/>
        <v>2.4684213932194696</v>
      </c>
      <c r="Q675" s="1">
        <f t="shared" si="42"/>
        <v>3.0266773991449494</v>
      </c>
      <c r="R675" s="1">
        <f t="shared" si="44"/>
        <v>3.1219845513306206</v>
      </c>
      <c r="S675" s="10">
        <f t="shared" si="43"/>
        <v>2.7475493961822095</v>
      </c>
      <c r="T675" s="45" cm="1">
        <f t="array" ref="T675">SUMPRODUCT(P675:S675 * P$3:S$3) / SUM(P$3:S$3)</f>
        <v>2.8480975743531562</v>
      </c>
    </row>
    <row r="676" spans="1:20" ht="16.5" customHeight="1" x14ac:dyDescent="0.25">
      <c r="A676" s="5" t="s">
        <v>6886</v>
      </c>
      <c r="B676" s="20" t="s">
        <v>6447</v>
      </c>
      <c r="C676" s="4" t="s">
        <v>8796</v>
      </c>
      <c r="D676" s="4" t="s">
        <v>9011</v>
      </c>
      <c r="E676" s="12" t="s">
        <v>407</v>
      </c>
      <c r="F676" s="75" t="s">
        <v>411</v>
      </c>
      <c r="G676" s="3">
        <v>32</v>
      </c>
      <c r="H676" s="3" t="s">
        <v>404</v>
      </c>
      <c r="I676" s="13" t="s">
        <v>6739</v>
      </c>
      <c r="J676" s="72">
        <v>1.25</v>
      </c>
      <c r="K676" s="14" t="s">
        <v>6175</v>
      </c>
      <c r="L676" s="9">
        <v>121.16</v>
      </c>
      <c r="M676" s="3">
        <v>156.26</v>
      </c>
      <c r="N676" s="17" t="s">
        <v>6448</v>
      </c>
      <c r="O676" s="18" t="s">
        <v>6446</v>
      </c>
      <c r="P676" s="49">
        <f t="shared" si="41"/>
        <v>2.4763916101051775</v>
      </c>
      <c r="Q676" s="1">
        <f t="shared" si="42"/>
        <v>3.0306625075878033</v>
      </c>
      <c r="R676" s="1">
        <f t="shared" si="44"/>
        <v>3.125969659773475</v>
      </c>
      <c r="S676" s="10">
        <f t="shared" si="43"/>
        <v>2.7535270588464904</v>
      </c>
      <c r="T676" s="45" cm="1">
        <f t="array" ref="T676">SUMPRODUCT(P676:S676 * P$3:S$3) / SUM(P$3:S$3)</f>
        <v>2.853462143410844</v>
      </c>
    </row>
    <row r="677" spans="1:20" ht="16.5" customHeight="1" x14ac:dyDescent="0.25">
      <c r="A677" s="5" t="s">
        <v>6886</v>
      </c>
      <c r="B677" s="20" t="s">
        <v>6449</v>
      </c>
      <c r="C677" s="4" t="s">
        <v>8796</v>
      </c>
      <c r="D677" s="4" t="s">
        <v>9011</v>
      </c>
      <c r="E677" s="12" t="s">
        <v>407</v>
      </c>
      <c r="F677" s="75" t="s">
        <v>411</v>
      </c>
      <c r="G677" s="3">
        <v>32</v>
      </c>
      <c r="H677" s="3" t="s">
        <v>404</v>
      </c>
      <c r="I677" s="13" t="s">
        <v>6739</v>
      </c>
      <c r="J677" s="72">
        <v>1.25</v>
      </c>
      <c r="K677" s="14" t="s">
        <v>6175</v>
      </c>
      <c r="L677" s="9">
        <v>156.35</v>
      </c>
      <c r="M677" s="3">
        <v>195.43</v>
      </c>
      <c r="N677" s="17" t="s">
        <v>6450</v>
      </c>
      <c r="O677" s="18" t="s">
        <v>6446</v>
      </c>
      <c r="P677" s="49">
        <f t="shared" si="41"/>
        <v>2.4763916101051775</v>
      </c>
      <c r="Q677" s="1">
        <f t="shared" si="42"/>
        <v>3.0306625075878033</v>
      </c>
      <c r="R677" s="1">
        <f t="shared" si="44"/>
        <v>3.125969659773475</v>
      </c>
      <c r="S677" s="10">
        <f t="shared" si="43"/>
        <v>2.7535270588464904</v>
      </c>
      <c r="T677" s="45" cm="1">
        <f t="array" ref="T677">SUMPRODUCT(P677:S677 * P$3:S$3) / SUM(P$3:S$3)</f>
        <v>2.853462143410844</v>
      </c>
    </row>
    <row r="678" spans="1:20" ht="16.5" customHeight="1" x14ac:dyDescent="0.25">
      <c r="A678" s="5" t="s">
        <v>6886</v>
      </c>
      <c r="B678" s="20" t="s">
        <v>6505</v>
      </c>
      <c r="C678" s="4" t="s">
        <v>8796</v>
      </c>
      <c r="D678" s="4" t="s">
        <v>9011</v>
      </c>
      <c r="E678" s="12" t="s">
        <v>407</v>
      </c>
      <c r="F678" s="75" t="s">
        <v>411</v>
      </c>
      <c r="G678" s="3">
        <v>32</v>
      </c>
      <c r="H678" s="3" t="s">
        <v>404</v>
      </c>
      <c r="I678" s="13" t="s">
        <v>6740</v>
      </c>
      <c r="J678" s="72">
        <v>1.25</v>
      </c>
      <c r="L678" s="9">
        <v>94.77</v>
      </c>
      <c r="M678" s="3">
        <v>123.23</v>
      </c>
      <c r="N678" s="17" t="s">
        <v>6506</v>
      </c>
      <c r="O678" s="18" t="s">
        <v>6504</v>
      </c>
      <c r="P678" s="49">
        <f t="shared" si="41"/>
        <v>2.4684213932194696</v>
      </c>
      <c r="Q678" s="1">
        <f t="shared" si="42"/>
        <v>3.0266773991449494</v>
      </c>
      <c r="R678" s="1">
        <f t="shared" si="44"/>
        <v>3.1219845513306206</v>
      </c>
      <c r="S678" s="10">
        <f t="shared" si="43"/>
        <v>2.7475493961822095</v>
      </c>
      <c r="T678" s="45" cm="1">
        <f t="array" ref="T678">SUMPRODUCT(P678:S678 * P$3:S$3) / SUM(P$3:S$3)</f>
        <v>2.8480975743531562</v>
      </c>
    </row>
    <row r="679" spans="1:20" ht="16.5" customHeight="1" x14ac:dyDescent="0.25">
      <c r="A679" s="5" t="s">
        <v>6886</v>
      </c>
      <c r="B679" s="20" t="s">
        <v>6508</v>
      </c>
      <c r="C679" s="4" t="s">
        <v>8796</v>
      </c>
      <c r="D679" s="4" t="s">
        <v>9011</v>
      </c>
      <c r="E679" s="12" t="s">
        <v>407</v>
      </c>
      <c r="F679" s="75" t="s">
        <v>411</v>
      </c>
      <c r="G679" s="3">
        <v>32</v>
      </c>
      <c r="H679" s="3" t="s">
        <v>404</v>
      </c>
      <c r="I679" s="13" t="s">
        <v>6739</v>
      </c>
      <c r="J679" s="72">
        <v>1.25</v>
      </c>
      <c r="L679" s="9">
        <v>109.05</v>
      </c>
      <c r="M679" s="3">
        <v>261.86</v>
      </c>
      <c r="N679" s="17" t="s">
        <v>6509</v>
      </c>
      <c r="O679" s="18" t="s">
        <v>6507</v>
      </c>
      <c r="P679" s="49">
        <f t="shared" si="41"/>
        <v>2.4763916101051775</v>
      </c>
      <c r="Q679" s="1">
        <f t="shared" si="42"/>
        <v>3.0306625075878033</v>
      </c>
      <c r="R679" s="1">
        <f t="shared" si="44"/>
        <v>3.125969659773475</v>
      </c>
      <c r="S679" s="10">
        <f t="shared" si="43"/>
        <v>2.7535270588464904</v>
      </c>
      <c r="T679" s="45" cm="1">
        <f t="array" ref="T679">SUMPRODUCT(P679:S679 * P$3:S$3) / SUM(P$3:S$3)</f>
        <v>2.853462143410844</v>
      </c>
    </row>
    <row r="680" spans="1:20" ht="16.5" customHeight="1" x14ac:dyDescent="0.25">
      <c r="A680" s="5" t="s">
        <v>6877</v>
      </c>
      <c r="B680" s="20" t="s">
        <v>5951</v>
      </c>
      <c r="C680" s="4" t="s">
        <v>8797</v>
      </c>
      <c r="D680" s="4" t="s">
        <v>9011</v>
      </c>
      <c r="E680" s="12" t="s">
        <v>407</v>
      </c>
      <c r="F680" s="75" t="s">
        <v>411</v>
      </c>
      <c r="G680" s="3">
        <v>32</v>
      </c>
      <c r="H680" s="3" t="s">
        <v>404</v>
      </c>
      <c r="I680" s="13" t="s">
        <v>6739</v>
      </c>
      <c r="J680" s="72">
        <v>1.2</v>
      </c>
      <c r="L680" s="9">
        <v>87.51</v>
      </c>
      <c r="M680" s="3">
        <v>107.91</v>
      </c>
      <c r="N680" s="17" t="s">
        <v>5952</v>
      </c>
      <c r="O680" s="18" t="s">
        <v>5950</v>
      </c>
      <c r="P680" s="49">
        <f t="shared" si="41"/>
        <v>2.4786140614227179</v>
      </c>
      <c r="Q680" s="1">
        <f t="shared" si="42"/>
        <v>3.0328849589053433</v>
      </c>
      <c r="R680" s="1">
        <f t="shared" si="44"/>
        <v>3.1281921110910149</v>
      </c>
      <c r="S680" s="10">
        <f t="shared" si="43"/>
        <v>2.7557495101640308</v>
      </c>
      <c r="T680" s="45" cm="1">
        <f t="array" ref="T680">SUMPRODUCT(P680:S680 * P$3:S$3) / SUM(P$3:S$3)</f>
        <v>2.8556845947283844</v>
      </c>
    </row>
    <row r="681" spans="1:20" ht="16.5" customHeight="1" x14ac:dyDescent="0.25">
      <c r="A681" s="5" t="s">
        <v>6875</v>
      </c>
      <c r="B681" s="20" t="s">
        <v>5942</v>
      </c>
      <c r="C681" s="4" t="s">
        <v>8797</v>
      </c>
      <c r="D681" s="4" t="s">
        <v>9011</v>
      </c>
      <c r="E681" s="12" t="s">
        <v>407</v>
      </c>
      <c r="F681" s="75" t="s">
        <v>411</v>
      </c>
      <c r="G681" s="3">
        <v>32</v>
      </c>
      <c r="H681" s="3" t="s">
        <v>404</v>
      </c>
      <c r="I681" s="13" t="s">
        <v>6739</v>
      </c>
      <c r="J681" s="72">
        <v>1.2</v>
      </c>
      <c r="L681" s="9">
        <v>88.9</v>
      </c>
      <c r="M681" s="3">
        <v>198</v>
      </c>
      <c r="N681" s="17" t="s">
        <v>5943</v>
      </c>
      <c r="O681" s="18" t="s">
        <v>5941</v>
      </c>
      <c r="P681" s="49">
        <f t="shared" si="41"/>
        <v>2.4786140614227179</v>
      </c>
      <c r="Q681" s="1">
        <f t="shared" si="42"/>
        <v>3.0328849589053433</v>
      </c>
      <c r="R681" s="1">
        <f t="shared" si="44"/>
        <v>3.1281921110910149</v>
      </c>
      <c r="S681" s="10">
        <f t="shared" si="43"/>
        <v>2.7557495101640308</v>
      </c>
      <c r="T681" s="45" cm="1">
        <f t="array" ref="T681">SUMPRODUCT(P681:S681 * P$3:S$3) / SUM(P$3:S$3)</f>
        <v>2.8556845947283844</v>
      </c>
    </row>
    <row r="682" spans="1:20" ht="16.5" customHeight="1" x14ac:dyDescent="0.25">
      <c r="A682" s="5" t="s">
        <v>6875</v>
      </c>
      <c r="B682" s="20" t="s">
        <v>5945</v>
      </c>
      <c r="C682" s="4" t="s">
        <v>8797</v>
      </c>
      <c r="D682" s="4" t="s">
        <v>9011</v>
      </c>
      <c r="E682" s="12" t="s">
        <v>407</v>
      </c>
      <c r="F682" s="75" t="s">
        <v>411</v>
      </c>
      <c r="G682" s="3">
        <v>32</v>
      </c>
      <c r="H682" s="3" t="s">
        <v>404</v>
      </c>
      <c r="I682" s="13" t="s">
        <v>6741</v>
      </c>
      <c r="J682" s="72">
        <v>1.25</v>
      </c>
      <c r="L682" s="9">
        <v>108.6</v>
      </c>
      <c r="M682" s="3">
        <v>185</v>
      </c>
      <c r="N682" s="17" t="s">
        <v>5946</v>
      </c>
      <c r="O682" s="18" t="s">
        <v>5944</v>
      </c>
      <c r="P682" s="49">
        <f t="shared" si="41"/>
        <v>2.4914318964837276</v>
      </c>
      <c r="Q682" s="1">
        <f t="shared" si="42"/>
        <v>3.0381826507770784</v>
      </c>
      <c r="R682" s="1">
        <f t="shared" si="44"/>
        <v>3.1334898029627496</v>
      </c>
      <c r="S682" s="10">
        <f t="shared" si="43"/>
        <v>2.764807273630403</v>
      </c>
      <c r="T682" s="45" cm="1">
        <f t="array" ref="T682">SUMPRODUCT(P682:S682 * P$3:S$3) / SUM(P$3:S$3)</f>
        <v>2.8635854130887139</v>
      </c>
    </row>
    <row r="683" spans="1:20" ht="16.5" customHeight="1" x14ac:dyDescent="0.25">
      <c r="A683" s="5" t="s">
        <v>6859</v>
      </c>
      <c r="B683" s="20" t="s">
        <v>5764</v>
      </c>
      <c r="C683" s="4" t="s">
        <v>8797</v>
      </c>
      <c r="D683" s="4" t="s">
        <v>9011</v>
      </c>
      <c r="E683" s="12" t="s">
        <v>407</v>
      </c>
      <c r="F683" s="75" t="s">
        <v>411</v>
      </c>
      <c r="G683" s="3">
        <v>32</v>
      </c>
      <c r="H683" s="3" t="s">
        <v>404</v>
      </c>
      <c r="I683" s="13" t="s">
        <v>6746</v>
      </c>
      <c r="J683" s="72">
        <v>1.1000000000000001</v>
      </c>
      <c r="K683" s="14" t="s">
        <v>5196</v>
      </c>
      <c r="L683" s="9">
        <v>96.2</v>
      </c>
      <c r="M683" s="3">
        <v>106.89</v>
      </c>
      <c r="N683" s="17" t="s">
        <v>5765</v>
      </c>
      <c r="O683" s="18" t="s">
        <v>5763</v>
      </c>
      <c r="P683" s="49">
        <f t="shared" si="41"/>
        <v>2.4657108451332972</v>
      </c>
      <c r="Q683" s="1">
        <f t="shared" si="42"/>
        <v>3.0288789772260136</v>
      </c>
      <c r="R683" s="1">
        <f t="shared" si="44"/>
        <v>3.1241861294116853</v>
      </c>
      <c r="S683" s="10">
        <f t="shared" si="43"/>
        <v>2.7472949111796554</v>
      </c>
      <c r="T683" s="45" cm="1">
        <f t="array" ref="T683">SUMPRODUCT(P683:S683 * P$3:S$3) / SUM(P$3:S$3)</f>
        <v>2.8485988010686381</v>
      </c>
    </row>
    <row r="684" spans="1:20" ht="16.5" customHeight="1" x14ac:dyDescent="0.25">
      <c r="A684" s="5" t="s">
        <v>6859</v>
      </c>
      <c r="B684" s="20" t="s">
        <v>5767</v>
      </c>
      <c r="C684" s="4" t="s">
        <v>8797</v>
      </c>
      <c r="D684" s="4" t="s">
        <v>9011</v>
      </c>
      <c r="E684" s="12" t="s">
        <v>407</v>
      </c>
      <c r="F684" s="75" t="s">
        <v>411</v>
      </c>
      <c r="G684" s="3">
        <v>32</v>
      </c>
      <c r="H684" s="3" t="s">
        <v>404</v>
      </c>
      <c r="I684" s="13" t="s">
        <v>6741</v>
      </c>
      <c r="J684" s="72">
        <v>1.25</v>
      </c>
      <c r="K684" s="14" t="s">
        <v>5196</v>
      </c>
      <c r="L684" s="9">
        <v>118.91</v>
      </c>
      <c r="M684" s="3">
        <v>148.41</v>
      </c>
      <c r="N684" s="17" t="s">
        <v>5768</v>
      </c>
      <c r="O684" s="18" t="s">
        <v>5766</v>
      </c>
      <c r="P684" s="49">
        <f t="shared" si="41"/>
        <v>2.4914318964837276</v>
      </c>
      <c r="Q684" s="1">
        <f t="shared" si="42"/>
        <v>3.0381826507770784</v>
      </c>
      <c r="R684" s="1">
        <f t="shared" si="44"/>
        <v>3.1334898029627496</v>
      </c>
      <c r="S684" s="10">
        <f t="shared" si="43"/>
        <v>2.764807273630403</v>
      </c>
      <c r="T684" s="45" cm="1">
        <f t="array" ref="T684">SUMPRODUCT(P684:S684 * P$3:S$3) / SUM(P$3:S$3)</f>
        <v>2.8635854130887139</v>
      </c>
    </row>
    <row r="685" spans="1:20" ht="16.5" customHeight="1" x14ac:dyDescent="0.25">
      <c r="A685" s="5" t="s">
        <v>6859</v>
      </c>
      <c r="B685" s="20" t="s">
        <v>5823</v>
      </c>
      <c r="C685" s="4" t="s">
        <v>8797</v>
      </c>
      <c r="D685" s="4" t="s">
        <v>9011</v>
      </c>
      <c r="E685" s="12" t="s">
        <v>407</v>
      </c>
      <c r="F685" s="75" t="s">
        <v>411</v>
      </c>
      <c r="G685" s="3">
        <v>32</v>
      </c>
      <c r="H685" s="3" t="s">
        <v>404</v>
      </c>
      <c r="I685" s="13" t="s">
        <v>6746</v>
      </c>
      <c r="J685" s="72">
        <v>1.1000000000000001</v>
      </c>
      <c r="K685" s="14" t="s">
        <v>5196</v>
      </c>
      <c r="L685" s="9">
        <v>96.2</v>
      </c>
      <c r="M685" s="3">
        <v>106.89</v>
      </c>
      <c r="N685" s="17" t="s">
        <v>5824</v>
      </c>
      <c r="O685" s="18" t="s">
        <v>5822</v>
      </c>
      <c r="P685" s="49">
        <f t="shared" si="41"/>
        <v>2.4657108451332972</v>
      </c>
      <c r="Q685" s="1">
        <f t="shared" si="42"/>
        <v>3.0288789772260136</v>
      </c>
      <c r="R685" s="1">
        <f t="shared" si="44"/>
        <v>3.1241861294116853</v>
      </c>
      <c r="S685" s="10">
        <f t="shared" si="43"/>
        <v>2.7472949111796554</v>
      </c>
      <c r="T685" s="45" cm="1">
        <f t="array" ref="T685">SUMPRODUCT(P685:S685 * P$3:S$3) / SUM(P$3:S$3)</f>
        <v>2.8485988010686381</v>
      </c>
    </row>
    <row r="686" spans="1:20" ht="16.5" customHeight="1" x14ac:dyDescent="0.25">
      <c r="A686" s="5" t="s">
        <v>6859</v>
      </c>
      <c r="B686" s="20" t="s">
        <v>5826</v>
      </c>
      <c r="C686" s="4" t="s">
        <v>8797</v>
      </c>
      <c r="D686" s="4" t="s">
        <v>9011</v>
      </c>
      <c r="E686" s="12" t="s">
        <v>407</v>
      </c>
      <c r="F686" s="75" t="s">
        <v>411</v>
      </c>
      <c r="G686" s="3">
        <v>32</v>
      </c>
      <c r="H686" s="3" t="s">
        <v>404</v>
      </c>
      <c r="I686" s="13" t="s">
        <v>6741</v>
      </c>
      <c r="J686" s="72">
        <v>1.25</v>
      </c>
      <c r="K686" s="14" t="s">
        <v>5196</v>
      </c>
      <c r="L686" s="9">
        <v>118.91</v>
      </c>
      <c r="M686" s="3">
        <v>144.99</v>
      </c>
      <c r="N686" s="17" t="s">
        <v>5827</v>
      </c>
      <c r="O686" s="18" t="s">
        <v>5825</v>
      </c>
      <c r="P686" s="49">
        <f t="shared" si="41"/>
        <v>2.4914318964837276</v>
      </c>
      <c r="Q686" s="1">
        <f t="shared" si="42"/>
        <v>3.0381826507770784</v>
      </c>
      <c r="R686" s="1">
        <f t="shared" si="44"/>
        <v>3.1334898029627496</v>
      </c>
      <c r="S686" s="10">
        <f t="shared" si="43"/>
        <v>2.764807273630403</v>
      </c>
      <c r="T686" s="45" cm="1">
        <f t="array" ref="T686">SUMPRODUCT(P686:S686 * P$3:S$3) / SUM(P$3:S$3)</f>
        <v>2.8635854130887139</v>
      </c>
    </row>
    <row r="687" spans="1:20" ht="16.5" customHeight="1" x14ac:dyDescent="0.25">
      <c r="A687" s="5" t="s">
        <v>6838</v>
      </c>
      <c r="B687" s="20" t="s">
        <v>5610</v>
      </c>
      <c r="C687" s="4" t="s">
        <v>8797</v>
      </c>
      <c r="D687" s="4" t="s">
        <v>9011</v>
      </c>
      <c r="E687" s="12" t="s">
        <v>407</v>
      </c>
      <c r="F687" s="75" t="s">
        <v>411</v>
      </c>
      <c r="G687" s="3">
        <v>32</v>
      </c>
      <c r="H687" s="3" t="s">
        <v>404</v>
      </c>
      <c r="I687" s="13" t="s">
        <v>6746</v>
      </c>
      <c r="J687" s="72">
        <v>1.1000000000000001</v>
      </c>
      <c r="L687" s="9">
        <v>88.63</v>
      </c>
      <c r="M687" s="3">
        <v>115.32</v>
      </c>
      <c r="N687" s="17" t="s">
        <v>5611</v>
      </c>
      <c r="O687" s="18" t="s">
        <v>5609</v>
      </c>
      <c r="P687" s="49">
        <f t="shared" si="41"/>
        <v>2.4657108451332972</v>
      </c>
      <c r="Q687" s="1">
        <f t="shared" si="42"/>
        <v>3.0288789772260136</v>
      </c>
      <c r="R687" s="1">
        <f t="shared" si="44"/>
        <v>3.1241861294116853</v>
      </c>
      <c r="S687" s="10">
        <f t="shared" si="43"/>
        <v>2.7472949111796554</v>
      </c>
      <c r="T687" s="45" cm="1">
        <f t="array" ref="T687">SUMPRODUCT(P687:S687 * P$3:S$3) / SUM(P$3:S$3)</f>
        <v>2.8485988010686381</v>
      </c>
    </row>
    <row r="688" spans="1:20" ht="16.5" customHeight="1" x14ac:dyDescent="0.25">
      <c r="A688" s="5" t="s">
        <v>6838</v>
      </c>
      <c r="B688" s="20" t="s">
        <v>5613</v>
      </c>
      <c r="C688" s="4" t="s">
        <v>8797</v>
      </c>
      <c r="D688" s="4" t="s">
        <v>9011</v>
      </c>
      <c r="E688" s="12" t="s">
        <v>407</v>
      </c>
      <c r="F688" s="75" t="s">
        <v>411</v>
      </c>
      <c r="G688" s="3">
        <v>32</v>
      </c>
      <c r="H688" s="3" t="s">
        <v>404</v>
      </c>
      <c r="I688" s="13" t="s">
        <v>6740</v>
      </c>
      <c r="J688" s="72">
        <v>1.2</v>
      </c>
      <c r="L688" s="9">
        <v>87.9</v>
      </c>
      <c r="M688" s="3">
        <v>246.53</v>
      </c>
      <c r="N688" s="17" t="s">
        <v>5614</v>
      </c>
      <c r="O688" s="18" t="s">
        <v>5612</v>
      </c>
      <c r="P688" s="49">
        <f t="shared" si="41"/>
        <v>2.47064384453701</v>
      </c>
      <c r="Q688" s="1">
        <f t="shared" si="42"/>
        <v>3.0288998504624893</v>
      </c>
      <c r="R688" s="1">
        <f t="shared" si="44"/>
        <v>3.124207002648161</v>
      </c>
      <c r="S688" s="10">
        <f t="shared" si="43"/>
        <v>2.7497718474997495</v>
      </c>
      <c r="T688" s="45" cm="1">
        <f t="array" ref="T688">SUMPRODUCT(P688:S688 * P$3:S$3) / SUM(P$3:S$3)</f>
        <v>2.8503200256706958</v>
      </c>
    </row>
    <row r="689" spans="1:20" ht="16.5" customHeight="1" x14ac:dyDescent="0.25">
      <c r="A689" s="5" t="s">
        <v>6838</v>
      </c>
      <c r="B689" s="20" t="s">
        <v>5616</v>
      </c>
      <c r="C689" s="4" t="s">
        <v>8797</v>
      </c>
      <c r="D689" s="4" t="s">
        <v>9011</v>
      </c>
      <c r="E689" s="12" t="s">
        <v>407</v>
      </c>
      <c r="F689" s="75" t="s">
        <v>411</v>
      </c>
      <c r="G689" s="3">
        <v>32</v>
      </c>
      <c r="H689" s="3" t="s">
        <v>404</v>
      </c>
      <c r="I689" s="13" t="s">
        <v>6741</v>
      </c>
      <c r="J689" s="72">
        <v>1.25</v>
      </c>
      <c r="L689" s="9">
        <v>108.6</v>
      </c>
      <c r="M689" s="3">
        <v>842.9</v>
      </c>
      <c r="N689" s="17" t="s">
        <v>5617</v>
      </c>
      <c r="O689" s="18" t="s">
        <v>5615</v>
      </c>
      <c r="P689" s="49">
        <f t="shared" si="41"/>
        <v>2.4914318964837276</v>
      </c>
      <c r="Q689" s="1">
        <f t="shared" si="42"/>
        <v>3.0381826507770784</v>
      </c>
      <c r="R689" s="1">
        <f t="shared" si="44"/>
        <v>3.1334898029627496</v>
      </c>
      <c r="S689" s="10">
        <f t="shared" si="43"/>
        <v>2.764807273630403</v>
      </c>
      <c r="T689" s="45" cm="1">
        <f t="array" ref="T689">SUMPRODUCT(P689:S689 * P$3:S$3) / SUM(P$3:S$3)</f>
        <v>2.8635854130887139</v>
      </c>
    </row>
    <row r="690" spans="1:20" ht="16.5" customHeight="1" x14ac:dyDescent="0.25">
      <c r="A690" s="5" t="s">
        <v>6838</v>
      </c>
      <c r="B690" s="20" t="s">
        <v>5619</v>
      </c>
      <c r="C690" s="4" t="s">
        <v>8797</v>
      </c>
      <c r="D690" s="4" t="s">
        <v>9011</v>
      </c>
      <c r="E690" s="12" t="s">
        <v>407</v>
      </c>
      <c r="F690" s="75" t="s">
        <v>411</v>
      </c>
      <c r="G690" s="3">
        <v>32</v>
      </c>
      <c r="H690" s="3" t="s">
        <v>404</v>
      </c>
      <c r="I690" s="13" t="s">
        <v>6743</v>
      </c>
      <c r="J690" s="72">
        <v>1.35</v>
      </c>
      <c r="L690" s="9">
        <v>109.82</v>
      </c>
      <c r="M690" s="3">
        <v>153.69</v>
      </c>
      <c r="N690" s="17" t="s">
        <v>5620</v>
      </c>
      <c r="O690" s="18" t="s">
        <v>5618</v>
      </c>
      <c r="P690" s="49">
        <f t="shared" si="41"/>
        <v>2.4934978559213121</v>
      </c>
      <c r="Q690" s="1">
        <f t="shared" si="42"/>
        <v>3.0371813534416541</v>
      </c>
      <c r="R690" s="1">
        <f t="shared" si="44"/>
        <v>3.1324885056273257</v>
      </c>
      <c r="S690" s="10">
        <f t="shared" si="43"/>
        <v>2.7653396046814831</v>
      </c>
      <c r="T690" s="45" cm="1">
        <f t="array" ref="T690">SUMPRODUCT(P690:S690 * P$3:S$3) / SUM(P$3:S$3)</f>
        <v>2.8636458584824078</v>
      </c>
    </row>
    <row r="691" spans="1:20" ht="16.5" customHeight="1" x14ac:dyDescent="0.25">
      <c r="A691" s="5" t="s">
        <v>6838</v>
      </c>
      <c r="B691" s="20" t="s">
        <v>5699</v>
      </c>
      <c r="C691" s="4" t="s">
        <v>8797</v>
      </c>
      <c r="D691" s="4" t="s">
        <v>9011</v>
      </c>
      <c r="E691" s="12" t="s">
        <v>407</v>
      </c>
      <c r="F691" s="75" t="s">
        <v>411</v>
      </c>
      <c r="G691" s="3">
        <v>32</v>
      </c>
      <c r="H691" s="3" t="s">
        <v>404</v>
      </c>
      <c r="I691" s="13" t="s">
        <v>6746</v>
      </c>
      <c r="J691" s="72">
        <v>1.1000000000000001</v>
      </c>
      <c r="L691" s="9">
        <v>88.63</v>
      </c>
      <c r="M691" s="3">
        <v>115.73</v>
      </c>
      <c r="N691" s="17" t="s">
        <v>5700</v>
      </c>
      <c r="O691" s="18" t="s">
        <v>5698</v>
      </c>
      <c r="P691" s="49">
        <f t="shared" si="41"/>
        <v>2.4657108451332972</v>
      </c>
      <c r="Q691" s="1">
        <f t="shared" si="42"/>
        <v>3.0288789772260136</v>
      </c>
      <c r="R691" s="1">
        <f t="shared" si="44"/>
        <v>3.1241861294116853</v>
      </c>
      <c r="S691" s="10">
        <f t="shared" si="43"/>
        <v>2.7472949111796554</v>
      </c>
      <c r="T691" s="45" cm="1">
        <f t="array" ref="T691">SUMPRODUCT(P691:S691 * P$3:S$3) / SUM(P$3:S$3)</f>
        <v>2.8485988010686381</v>
      </c>
    </row>
    <row r="692" spans="1:20" ht="16.5" customHeight="1" x14ac:dyDescent="0.25">
      <c r="A692" s="5" t="s">
        <v>6838</v>
      </c>
      <c r="B692" s="20" t="s">
        <v>5702</v>
      </c>
      <c r="C692" s="4" t="s">
        <v>8797</v>
      </c>
      <c r="D692" s="4" t="s">
        <v>9011</v>
      </c>
      <c r="E692" s="12" t="s">
        <v>407</v>
      </c>
      <c r="F692" s="75" t="s">
        <v>411</v>
      </c>
      <c r="G692" s="3">
        <v>32</v>
      </c>
      <c r="H692" s="3" t="s">
        <v>404</v>
      </c>
      <c r="I692" s="13" t="s">
        <v>6740</v>
      </c>
      <c r="J692" s="72">
        <v>1.2</v>
      </c>
      <c r="L692" s="9">
        <v>85.9</v>
      </c>
      <c r="M692" s="3">
        <v>188</v>
      </c>
      <c r="N692" s="17" t="s">
        <v>5703</v>
      </c>
      <c r="O692" s="18" t="s">
        <v>5701</v>
      </c>
      <c r="P692" s="49">
        <f t="shared" si="41"/>
        <v>2.47064384453701</v>
      </c>
      <c r="Q692" s="1">
        <f t="shared" si="42"/>
        <v>3.0288998504624893</v>
      </c>
      <c r="R692" s="1">
        <f t="shared" si="44"/>
        <v>3.124207002648161</v>
      </c>
      <c r="S692" s="10">
        <f t="shared" si="43"/>
        <v>2.7497718474997495</v>
      </c>
      <c r="T692" s="45" cm="1">
        <f t="array" ref="T692">SUMPRODUCT(P692:S692 * P$3:S$3) / SUM(P$3:S$3)</f>
        <v>2.8503200256706958</v>
      </c>
    </row>
    <row r="693" spans="1:20" ht="16.5" customHeight="1" x14ac:dyDescent="0.25">
      <c r="A693" s="5" t="s">
        <v>6838</v>
      </c>
      <c r="B693" s="20" t="s">
        <v>5705</v>
      </c>
      <c r="C693" s="4" t="s">
        <v>8797</v>
      </c>
      <c r="D693" s="4" t="s">
        <v>9011</v>
      </c>
      <c r="E693" s="12" t="s">
        <v>407</v>
      </c>
      <c r="F693" s="75" t="s">
        <v>411</v>
      </c>
      <c r="G693" s="3">
        <v>32</v>
      </c>
      <c r="H693" s="3" t="s">
        <v>404</v>
      </c>
      <c r="I693" s="13" t="s">
        <v>6739</v>
      </c>
      <c r="J693" s="72">
        <v>1.2</v>
      </c>
      <c r="L693" s="9">
        <v>89.9</v>
      </c>
      <c r="M693" s="3">
        <v>184</v>
      </c>
      <c r="N693" s="17" t="s">
        <v>5706</v>
      </c>
      <c r="O693" s="18" t="s">
        <v>5704</v>
      </c>
      <c r="P693" s="49">
        <f t="shared" si="41"/>
        <v>2.4786140614227179</v>
      </c>
      <c r="Q693" s="1">
        <f t="shared" si="42"/>
        <v>3.0328849589053433</v>
      </c>
      <c r="R693" s="1">
        <f t="shared" si="44"/>
        <v>3.1281921110910149</v>
      </c>
      <c r="S693" s="10">
        <f t="shared" si="43"/>
        <v>2.7557495101640308</v>
      </c>
      <c r="T693" s="45" cm="1">
        <f t="array" ref="T693">SUMPRODUCT(P693:S693 * P$3:S$3) / SUM(P$3:S$3)</f>
        <v>2.8556845947283844</v>
      </c>
    </row>
    <row r="694" spans="1:20" ht="16.5" customHeight="1" x14ac:dyDescent="0.25">
      <c r="A694" s="5" t="s">
        <v>6838</v>
      </c>
      <c r="B694" s="20" t="s">
        <v>5708</v>
      </c>
      <c r="C694" s="4" t="s">
        <v>8797</v>
      </c>
      <c r="D694" s="4" t="s">
        <v>9011</v>
      </c>
      <c r="E694" s="12" t="s">
        <v>407</v>
      </c>
      <c r="F694" s="75" t="s">
        <v>411</v>
      </c>
      <c r="G694" s="3">
        <v>32</v>
      </c>
      <c r="H694" s="3" t="s">
        <v>404</v>
      </c>
      <c r="I694" s="13" t="s">
        <v>6743</v>
      </c>
      <c r="J694" s="72">
        <v>1.35</v>
      </c>
      <c r="L694" s="9">
        <v>109.83</v>
      </c>
      <c r="M694" s="3">
        <v>212</v>
      </c>
      <c r="N694" s="17" t="s">
        <v>5709</v>
      </c>
      <c r="O694" s="18" t="s">
        <v>5707</v>
      </c>
      <c r="P694" s="49">
        <f t="shared" si="41"/>
        <v>2.4934978559213121</v>
      </c>
      <c r="Q694" s="1">
        <f t="shared" si="42"/>
        <v>3.0371813534416541</v>
      </c>
      <c r="R694" s="1">
        <f t="shared" si="44"/>
        <v>3.1324885056273257</v>
      </c>
      <c r="S694" s="10">
        <f t="shared" si="43"/>
        <v>2.7653396046814831</v>
      </c>
      <c r="T694" s="45" cm="1">
        <f t="array" ref="T694">SUMPRODUCT(P694:S694 * P$3:S$3) / SUM(P$3:S$3)</f>
        <v>2.8636458584824078</v>
      </c>
    </row>
    <row r="695" spans="1:20" ht="16.5" customHeight="1" x14ac:dyDescent="0.25">
      <c r="A695" s="5" t="s">
        <v>6808</v>
      </c>
      <c r="B695" s="20" t="s">
        <v>5168</v>
      </c>
      <c r="C695" s="4" t="s">
        <v>8797</v>
      </c>
      <c r="D695" s="4" t="s">
        <v>9011</v>
      </c>
      <c r="E695" s="12" t="s">
        <v>407</v>
      </c>
      <c r="F695" s="75" t="s">
        <v>411</v>
      </c>
      <c r="G695" s="3">
        <v>32</v>
      </c>
      <c r="H695" s="3" t="s">
        <v>404</v>
      </c>
      <c r="I695" s="13" t="s">
        <v>6739</v>
      </c>
      <c r="J695" s="72">
        <v>1.2</v>
      </c>
      <c r="L695" s="9">
        <v>110.69</v>
      </c>
      <c r="M695" s="3">
        <v>138.38</v>
      </c>
      <c r="N695" s="17" t="s">
        <v>5169</v>
      </c>
      <c r="O695" s="18" t="s">
        <v>5167</v>
      </c>
      <c r="P695" s="49">
        <f t="shared" si="41"/>
        <v>2.4786140614227179</v>
      </c>
      <c r="Q695" s="1">
        <f t="shared" si="42"/>
        <v>3.0328849589053433</v>
      </c>
      <c r="R695" s="1">
        <f t="shared" si="44"/>
        <v>3.1281921110910149</v>
      </c>
      <c r="S695" s="10">
        <f t="shared" si="43"/>
        <v>2.7557495101640308</v>
      </c>
      <c r="T695" s="45" cm="1">
        <f t="array" ref="T695">SUMPRODUCT(P695:S695 * P$3:S$3) / SUM(P$3:S$3)</f>
        <v>2.8556845947283844</v>
      </c>
    </row>
    <row r="696" spans="1:20" ht="16.5" customHeight="1" x14ac:dyDescent="0.25">
      <c r="A696" s="5" t="s">
        <v>6808</v>
      </c>
      <c r="B696" s="20" t="s">
        <v>5171</v>
      </c>
      <c r="C696" s="4" t="s">
        <v>8797</v>
      </c>
      <c r="D696" s="4" t="s">
        <v>9011</v>
      </c>
      <c r="E696" s="12" t="s">
        <v>407</v>
      </c>
      <c r="F696" s="75" t="s">
        <v>411</v>
      </c>
      <c r="G696" s="3">
        <v>32</v>
      </c>
      <c r="H696" s="3" t="s">
        <v>404</v>
      </c>
      <c r="I696" s="13" t="s">
        <v>6739</v>
      </c>
      <c r="J696" s="72">
        <v>1.2</v>
      </c>
      <c r="L696" s="9">
        <v>109</v>
      </c>
      <c r="M696" s="3">
        <v>720</v>
      </c>
      <c r="N696" s="17" t="s">
        <v>5172</v>
      </c>
      <c r="O696" s="18" t="s">
        <v>5170</v>
      </c>
      <c r="P696" s="49">
        <f t="shared" si="41"/>
        <v>2.4786140614227179</v>
      </c>
      <c r="Q696" s="1">
        <f t="shared" si="42"/>
        <v>3.0328849589053433</v>
      </c>
      <c r="R696" s="1">
        <f t="shared" si="44"/>
        <v>3.1281921110910149</v>
      </c>
      <c r="S696" s="10">
        <f t="shared" si="43"/>
        <v>2.7557495101640308</v>
      </c>
      <c r="T696" s="45" cm="1">
        <f t="array" ref="T696">SUMPRODUCT(P696:S696 * P$3:S$3) / SUM(P$3:S$3)</f>
        <v>2.8556845947283844</v>
      </c>
    </row>
    <row r="697" spans="1:20" ht="16.5" customHeight="1" x14ac:dyDescent="0.25">
      <c r="A697" s="5" t="s">
        <v>6808</v>
      </c>
      <c r="B697" s="20" t="s">
        <v>5328</v>
      </c>
      <c r="C697" s="4" t="s">
        <v>8797</v>
      </c>
      <c r="D697" s="4" t="s">
        <v>9011</v>
      </c>
      <c r="E697" s="12" t="s">
        <v>407</v>
      </c>
      <c r="F697" s="75" t="s">
        <v>411</v>
      </c>
      <c r="G697" s="3">
        <v>32</v>
      </c>
      <c r="H697" s="3" t="s">
        <v>404</v>
      </c>
      <c r="I697" s="13" t="s">
        <v>6739</v>
      </c>
      <c r="J697" s="72">
        <v>1.2</v>
      </c>
      <c r="K697" s="14" t="s">
        <v>5196</v>
      </c>
      <c r="L697" s="9">
        <v>105.26</v>
      </c>
      <c r="M697" s="3">
        <v>160</v>
      </c>
      <c r="N697" s="17" t="s">
        <v>5329</v>
      </c>
      <c r="O697" s="18" t="s">
        <v>5327</v>
      </c>
      <c r="P697" s="49">
        <f t="shared" si="41"/>
        <v>2.4786140614227179</v>
      </c>
      <c r="Q697" s="1">
        <f t="shared" si="42"/>
        <v>3.0328849589053433</v>
      </c>
      <c r="R697" s="1">
        <f t="shared" si="44"/>
        <v>3.1281921110910149</v>
      </c>
      <c r="S697" s="10">
        <f t="shared" si="43"/>
        <v>2.7557495101640308</v>
      </c>
      <c r="T697" s="45" cm="1">
        <f t="array" ref="T697">SUMPRODUCT(P697:S697 * P$3:S$3) / SUM(P$3:S$3)</f>
        <v>2.8556845947283844</v>
      </c>
    </row>
    <row r="698" spans="1:20" ht="16.5" customHeight="1" x14ac:dyDescent="0.25">
      <c r="A698" s="5" t="s">
        <v>6808</v>
      </c>
      <c r="B698" s="20" t="s">
        <v>5331</v>
      </c>
      <c r="C698" s="4" t="s">
        <v>8797</v>
      </c>
      <c r="D698" s="4" t="s">
        <v>9011</v>
      </c>
      <c r="E698" s="12" t="s">
        <v>407</v>
      </c>
      <c r="F698" s="75" t="s">
        <v>411</v>
      </c>
      <c r="G698" s="3">
        <v>32</v>
      </c>
      <c r="H698" s="3" t="s">
        <v>404</v>
      </c>
      <c r="I698" s="13" t="s">
        <v>6739</v>
      </c>
      <c r="J698" s="72">
        <v>1.2</v>
      </c>
      <c r="K698" s="14" t="s">
        <v>5196</v>
      </c>
      <c r="L698" s="9">
        <v>109</v>
      </c>
      <c r="M698" s="3">
        <v>109</v>
      </c>
      <c r="N698" s="17" t="s">
        <v>5332</v>
      </c>
      <c r="O698" s="18" t="s">
        <v>5330</v>
      </c>
      <c r="P698" s="49">
        <f t="shared" si="41"/>
        <v>2.4786140614227179</v>
      </c>
      <c r="Q698" s="1">
        <f t="shared" si="42"/>
        <v>3.0328849589053433</v>
      </c>
      <c r="R698" s="1">
        <f t="shared" si="44"/>
        <v>3.1281921110910149</v>
      </c>
      <c r="S698" s="10">
        <f t="shared" si="43"/>
        <v>2.7557495101640308</v>
      </c>
      <c r="T698" s="45" cm="1">
        <f t="array" ref="T698">SUMPRODUCT(P698:S698 * P$3:S$3) / SUM(P$3:S$3)</f>
        <v>2.8556845947283844</v>
      </c>
    </row>
    <row r="699" spans="1:20" ht="16.5" customHeight="1" x14ac:dyDescent="0.25">
      <c r="A699" s="5" t="s">
        <v>6808</v>
      </c>
      <c r="B699" s="20" t="s">
        <v>5334</v>
      </c>
      <c r="C699" s="4" t="s">
        <v>8797</v>
      </c>
      <c r="D699" s="4" t="s">
        <v>9011</v>
      </c>
      <c r="E699" s="12" t="s">
        <v>407</v>
      </c>
      <c r="F699" s="75" t="s">
        <v>411</v>
      </c>
      <c r="G699" s="3">
        <v>32</v>
      </c>
      <c r="H699" s="3" t="s">
        <v>404</v>
      </c>
      <c r="I699" s="13" t="s">
        <v>6743</v>
      </c>
      <c r="J699" s="72">
        <v>1.35</v>
      </c>
      <c r="K699" s="14" t="s">
        <v>5196</v>
      </c>
      <c r="L699" s="9">
        <v>122.05</v>
      </c>
      <c r="M699" s="3">
        <v>255.69</v>
      </c>
      <c r="N699" s="17" t="s">
        <v>5335</v>
      </c>
      <c r="O699" s="18" t="s">
        <v>5333</v>
      </c>
      <c r="P699" s="49">
        <f t="shared" si="41"/>
        <v>2.4934978559213121</v>
      </c>
      <c r="Q699" s="1">
        <f t="shared" si="42"/>
        <v>3.0371813534416541</v>
      </c>
      <c r="R699" s="1">
        <f t="shared" si="44"/>
        <v>3.1324885056273257</v>
      </c>
      <c r="S699" s="10">
        <f t="shared" si="43"/>
        <v>2.7653396046814831</v>
      </c>
      <c r="T699" s="45" cm="1">
        <f t="array" ref="T699">SUMPRODUCT(P699:S699 * P$3:S$3) / SUM(P$3:S$3)</f>
        <v>2.8636458584824078</v>
      </c>
    </row>
    <row r="700" spans="1:20" ht="16.5" customHeight="1" x14ac:dyDescent="0.25">
      <c r="A700" s="5" t="s">
        <v>6808</v>
      </c>
      <c r="B700" s="20" t="s">
        <v>5439</v>
      </c>
      <c r="C700" s="4" t="s">
        <v>8797</v>
      </c>
      <c r="D700" s="4" t="s">
        <v>9011</v>
      </c>
      <c r="E700" s="12" t="s">
        <v>407</v>
      </c>
      <c r="F700" s="75" t="s">
        <v>411</v>
      </c>
      <c r="G700" s="3">
        <v>32</v>
      </c>
      <c r="H700" s="3" t="s">
        <v>404</v>
      </c>
      <c r="I700" s="13" t="s">
        <v>6740</v>
      </c>
      <c r="J700" s="72">
        <v>1.2</v>
      </c>
      <c r="K700" s="14" t="s">
        <v>5196</v>
      </c>
      <c r="L700" s="9">
        <v>100.6</v>
      </c>
      <c r="M700" s="3">
        <v>153</v>
      </c>
      <c r="N700" s="17" t="s">
        <v>5440</v>
      </c>
      <c r="O700" s="18" t="s">
        <v>5438</v>
      </c>
      <c r="P700" s="49">
        <f t="shared" si="41"/>
        <v>2.47064384453701</v>
      </c>
      <c r="Q700" s="1">
        <f t="shared" si="42"/>
        <v>3.0288998504624893</v>
      </c>
      <c r="R700" s="1">
        <f t="shared" si="44"/>
        <v>3.124207002648161</v>
      </c>
      <c r="S700" s="10">
        <f t="shared" si="43"/>
        <v>2.7497718474997495</v>
      </c>
      <c r="T700" s="45" cm="1">
        <f t="array" ref="T700">SUMPRODUCT(P700:S700 * P$3:S$3) / SUM(P$3:S$3)</f>
        <v>2.8503200256706958</v>
      </c>
    </row>
    <row r="701" spans="1:20" ht="16.5" customHeight="1" x14ac:dyDescent="0.25">
      <c r="A701" s="5" t="s">
        <v>6808</v>
      </c>
      <c r="B701" s="20" t="s">
        <v>5442</v>
      </c>
      <c r="C701" s="4" t="s">
        <v>8797</v>
      </c>
      <c r="D701" s="4" t="s">
        <v>9011</v>
      </c>
      <c r="E701" s="12" t="s">
        <v>407</v>
      </c>
      <c r="F701" s="75" t="s">
        <v>411</v>
      </c>
      <c r="G701" s="3">
        <v>32</v>
      </c>
      <c r="H701" s="3" t="s">
        <v>404</v>
      </c>
      <c r="I701" s="13" t="s">
        <v>6739</v>
      </c>
      <c r="J701" s="72">
        <v>1.2</v>
      </c>
      <c r="K701" s="14" t="s">
        <v>5196</v>
      </c>
      <c r="L701" s="9">
        <v>103.9</v>
      </c>
      <c r="M701" s="3">
        <v>145.08000000000001</v>
      </c>
      <c r="N701" s="17" t="s">
        <v>5443</v>
      </c>
      <c r="O701" s="18" t="s">
        <v>5441</v>
      </c>
      <c r="P701" s="49">
        <f t="shared" si="41"/>
        <v>2.4786140614227179</v>
      </c>
      <c r="Q701" s="1">
        <f t="shared" si="42"/>
        <v>3.0328849589053433</v>
      </c>
      <c r="R701" s="1">
        <f t="shared" si="44"/>
        <v>3.1281921110910149</v>
      </c>
      <c r="S701" s="10">
        <f t="shared" si="43"/>
        <v>2.7557495101640308</v>
      </c>
      <c r="T701" s="45" cm="1">
        <f t="array" ref="T701">SUMPRODUCT(P701:S701 * P$3:S$3) / SUM(P$3:S$3)</f>
        <v>2.8556845947283844</v>
      </c>
    </row>
    <row r="702" spans="1:20" ht="16.5" customHeight="1" x14ac:dyDescent="0.25">
      <c r="A702" s="5" t="s">
        <v>6808</v>
      </c>
      <c r="B702" s="20" t="s">
        <v>5445</v>
      </c>
      <c r="C702" s="4" t="s">
        <v>8797</v>
      </c>
      <c r="D702" s="4" t="s">
        <v>9011</v>
      </c>
      <c r="E702" s="12" t="s">
        <v>407</v>
      </c>
      <c r="F702" s="75" t="s">
        <v>411</v>
      </c>
      <c r="G702" s="3">
        <v>32</v>
      </c>
      <c r="H702" s="3" t="s">
        <v>404</v>
      </c>
      <c r="I702" s="13" t="s">
        <v>6739</v>
      </c>
      <c r="J702" s="72">
        <v>1.2</v>
      </c>
      <c r="K702" s="14" t="s">
        <v>5196</v>
      </c>
      <c r="L702" s="9">
        <v>155.91999999999999</v>
      </c>
      <c r="M702" s="3">
        <v>505.14</v>
      </c>
      <c r="N702" s="17" t="s">
        <v>5446</v>
      </c>
      <c r="O702" s="18" t="s">
        <v>5444</v>
      </c>
      <c r="P702" s="49">
        <f t="shared" si="41"/>
        <v>2.4786140614227179</v>
      </c>
      <c r="Q702" s="1">
        <f t="shared" si="42"/>
        <v>3.0328849589053433</v>
      </c>
      <c r="R702" s="1">
        <f t="shared" si="44"/>
        <v>3.1281921110910149</v>
      </c>
      <c r="S702" s="10">
        <f t="shared" si="43"/>
        <v>2.7557495101640308</v>
      </c>
      <c r="T702" s="45" cm="1">
        <f t="array" ref="T702">SUMPRODUCT(P702:S702 * P$3:S$3) / SUM(P$3:S$3)</f>
        <v>2.8556845947283844</v>
      </c>
    </row>
    <row r="703" spans="1:20" ht="16.5" customHeight="1" x14ac:dyDescent="0.25">
      <c r="A703" s="5" t="s">
        <v>6808</v>
      </c>
      <c r="B703" s="20" t="s">
        <v>5448</v>
      </c>
      <c r="C703" s="4" t="s">
        <v>8797</v>
      </c>
      <c r="D703" s="4" t="s">
        <v>9011</v>
      </c>
      <c r="E703" s="12" t="s">
        <v>407</v>
      </c>
      <c r="F703" s="75" t="s">
        <v>411</v>
      </c>
      <c r="G703" s="3">
        <v>32</v>
      </c>
      <c r="H703" s="3" t="s">
        <v>404</v>
      </c>
      <c r="I703" s="13" t="s">
        <v>6741</v>
      </c>
      <c r="J703" s="72">
        <v>1.25</v>
      </c>
      <c r="K703" s="14" t="s">
        <v>5196</v>
      </c>
      <c r="L703" s="9">
        <v>120.83</v>
      </c>
      <c r="M703" s="3">
        <v>245.99</v>
      </c>
      <c r="N703" s="17" t="s">
        <v>5449</v>
      </c>
      <c r="O703" s="18" t="s">
        <v>5447</v>
      </c>
      <c r="P703" s="49">
        <f t="shared" si="41"/>
        <v>2.4914318964837276</v>
      </c>
      <c r="Q703" s="1">
        <f t="shared" si="42"/>
        <v>3.0381826507770784</v>
      </c>
      <c r="R703" s="1">
        <f t="shared" si="44"/>
        <v>3.1334898029627496</v>
      </c>
      <c r="S703" s="10">
        <f t="shared" si="43"/>
        <v>2.764807273630403</v>
      </c>
      <c r="T703" s="45" cm="1">
        <f t="array" ref="T703">SUMPRODUCT(P703:S703 * P$3:S$3) / SUM(P$3:S$3)</f>
        <v>2.8635854130887139</v>
      </c>
    </row>
    <row r="704" spans="1:20" ht="16.5" customHeight="1" x14ac:dyDescent="0.25">
      <c r="A704" s="5" t="s">
        <v>6808</v>
      </c>
      <c r="B704" s="20" t="s">
        <v>5469</v>
      </c>
      <c r="C704" s="4" t="s">
        <v>8797</v>
      </c>
      <c r="D704" s="4" t="s">
        <v>9011</v>
      </c>
      <c r="E704" s="12" t="s">
        <v>407</v>
      </c>
      <c r="F704" s="75" t="s">
        <v>411</v>
      </c>
      <c r="G704" s="3">
        <v>32</v>
      </c>
      <c r="H704" s="3" t="s">
        <v>404</v>
      </c>
      <c r="I704" s="13" t="s">
        <v>6741</v>
      </c>
      <c r="J704" s="72">
        <v>1.25</v>
      </c>
      <c r="L704" s="9">
        <v>120.83</v>
      </c>
      <c r="M704" s="3">
        <v>424.5</v>
      </c>
      <c r="N704" s="17" t="s">
        <v>5470</v>
      </c>
      <c r="O704" s="18" t="s">
        <v>5468</v>
      </c>
      <c r="P704" s="49">
        <f t="shared" si="41"/>
        <v>2.4914318964837276</v>
      </c>
      <c r="Q704" s="1">
        <f t="shared" si="42"/>
        <v>3.0381826507770784</v>
      </c>
      <c r="R704" s="1">
        <f t="shared" si="44"/>
        <v>3.1334898029627496</v>
      </c>
      <c r="S704" s="10">
        <f t="shared" si="43"/>
        <v>2.764807273630403</v>
      </c>
      <c r="T704" s="45" cm="1">
        <f t="array" ref="T704">SUMPRODUCT(P704:S704 * P$3:S$3) / SUM(P$3:S$3)</f>
        <v>2.8635854130887139</v>
      </c>
    </row>
    <row r="705" spans="1:20" ht="16.5" customHeight="1" x14ac:dyDescent="0.25">
      <c r="A705" s="5" t="s">
        <v>6808</v>
      </c>
      <c r="B705" s="20" t="s">
        <v>5472</v>
      </c>
      <c r="C705" s="4" t="s">
        <v>8797</v>
      </c>
      <c r="D705" s="4" t="s">
        <v>9011</v>
      </c>
      <c r="E705" s="12" t="s">
        <v>407</v>
      </c>
      <c r="F705" s="75" t="s">
        <v>411</v>
      </c>
      <c r="G705" s="3">
        <v>32</v>
      </c>
      <c r="H705" s="3" t="s">
        <v>404</v>
      </c>
      <c r="I705" s="13" t="s">
        <v>6743</v>
      </c>
      <c r="J705" s="72">
        <v>1.35</v>
      </c>
      <c r="L705" s="9">
        <v>121.12</v>
      </c>
      <c r="M705" s="3">
        <v>150.49</v>
      </c>
      <c r="N705" s="17" t="s">
        <v>5473</v>
      </c>
      <c r="O705" s="18" t="s">
        <v>5471</v>
      </c>
      <c r="P705" s="49">
        <f t="shared" si="41"/>
        <v>2.4934978559213121</v>
      </c>
      <c r="Q705" s="1">
        <f t="shared" si="42"/>
        <v>3.0371813534416541</v>
      </c>
      <c r="R705" s="1">
        <f t="shared" si="44"/>
        <v>3.1324885056273257</v>
      </c>
      <c r="S705" s="10">
        <f t="shared" si="43"/>
        <v>2.7653396046814831</v>
      </c>
      <c r="T705" s="45" cm="1">
        <f t="array" ref="T705">SUMPRODUCT(P705:S705 * P$3:S$3) / SUM(P$3:S$3)</f>
        <v>2.8636458584824078</v>
      </c>
    </row>
    <row r="706" spans="1:20" ht="16.5" customHeight="1" x14ac:dyDescent="0.25">
      <c r="A706" s="5" t="s">
        <v>6808</v>
      </c>
      <c r="B706" s="20" t="s">
        <v>5548</v>
      </c>
      <c r="C706" s="4" t="s">
        <v>8797</v>
      </c>
      <c r="D706" s="4" t="s">
        <v>9011</v>
      </c>
      <c r="E706" s="12" t="s">
        <v>407</v>
      </c>
      <c r="F706" s="75" t="s">
        <v>411</v>
      </c>
      <c r="G706" s="3">
        <v>32</v>
      </c>
      <c r="H706" s="3" t="s">
        <v>404</v>
      </c>
      <c r="I706" s="13" t="s">
        <v>6741</v>
      </c>
      <c r="J706" s="72">
        <v>1.25</v>
      </c>
      <c r="K706" s="14" t="s">
        <v>5476</v>
      </c>
      <c r="L706" s="9">
        <v>126.52</v>
      </c>
      <c r="M706" s="3">
        <v>177.95</v>
      </c>
      <c r="N706" s="17" t="s">
        <v>5549</v>
      </c>
      <c r="O706" s="18" t="s">
        <v>5547</v>
      </c>
      <c r="P706" s="49">
        <f t="shared" si="41"/>
        <v>2.4914318964837276</v>
      </c>
      <c r="Q706" s="1">
        <f t="shared" si="42"/>
        <v>3.0381826507770784</v>
      </c>
      <c r="R706" s="1">
        <f t="shared" si="44"/>
        <v>3.1334898029627496</v>
      </c>
      <c r="S706" s="10">
        <f t="shared" si="43"/>
        <v>2.764807273630403</v>
      </c>
      <c r="T706" s="45" cm="1">
        <f t="array" ref="T706">SUMPRODUCT(P706:S706 * P$3:S$3) / SUM(P$3:S$3)</f>
        <v>2.8635854130887139</v>
      </c>
    </row>
    <row r="707" spans="1:20" ht="16.5" customHeight="1" x14ac:dyDescent="0.25">
      <c r="A707" s="5" t="s">
        <v>6808</v>
      </c>
      <c r="B707" s="20" t="s">
        <v>5551</v>
      </c>
      <c r="C707" s="4" t="s">
        <v>8797</v>
      </c>
      <c r="D707" s="4" t="s">
        <v>9011</v>
      </c>
      <c r="E707" s="12" t="s">
        <v>407</v>
      </c>
      <c r="F707" s="75" t="s">
        <v>411</v>
      </c>
      <c r="G707" s="3">
        <v>32</v>
      </c>
      <c r="H707" s="3" t="s">
        <v>404</v>
      </c>
      <c r="I707" s="13" t="s">
        <v>6743</v>
      </c>
      <c r="J707" s="72">
        <v>1.35</v>
      </c>
      <c r="K707" s="14" t="s">
        <v>5476</v>
      </c>
      <c r="L707" s="9">
        <v>125.78</v>
      </c>
      <c r="M707" s="3">
        <v>270</v>
      </c>
      <c r="N707" s="17" t="s">
        <v>5552</v>
      </c>
      <c r="O707" s="18" t="s">
        <v>5550</v>
      </c>
      <c r="P707" s="49">
        <f t="shared" si="41"/>
        <v>2.4934978559213121</v>
      </c>
      <c r="Q707" s="1">
        <f t="shared" si="42"/>
        <v>3.0371813534416541</v>
      </c>
      <c r="R707" s="1">
        <f t="shared" si="44"/>
        <v>3.1324885056273257</v>
      </c>
      <c r="S707" s="10">
        <f t="shared" si="43"/>
        <v>2.7653396046814831</v>
      </c>
      <c r="T707" s="45" cm="1">
        <f t="array" ref="T707">SUMPRODUCT(P707:S707 * P$3:S$3) / SUM(P$3:S$3)</f>
        <v>2.8636458584824078</v>
      </c>
    </row>
    <row r="708" spans="1:20" ht="16.5" customHeight="1" x14ac:dyDescent="0.25">
      <c r="A708" s="5" t="s">
        <v>6784</v>
      </c>
      <c r="B708" s="20" t="s">
        <v>4601</v>
      </c>
      <c r="C708" s="4" t="s">
        <v>8798</v>
      </c>
      <c r="D708" s="4" t="s">
        <v>9011</v>
      </c>
      <c r="E708" s="12" t="s">
        <v>407</v>
      </c>
      <c r="F708" s="75" t="s">
        <v>411</v>
      </c>
      <c r="G708" s="3">
        <v>32</v>
      </c>
      <c r="H708" s="3" t="s">
        <v>404</v>
      </c>
      <c r="I708" s="13" t="s">
        <v>6740</v>
      </c>
      <c r="J708" s="72">
        <v>1.25</v>
      </c>
      <c r="L708" s="9">
        <v>96.9</v>
      </c>
      <c r="M708" s="3">
        <v>149.78</v>
      </c>
      <c r="N708" s="17" t="s">
        <v>4602</v>
      </c>
      <c r="O708" s="18" t="s">
        <v>4600</v>
      </c>
      <c r="P708" s="49">
        <f t="shared" si="41"/>
        <v>2.4684213932194696</v>
      </c>
      <c r="Q708" s="1">
        <f t="shared" si="42"/>
        <v>3.0266773991449494</v>
      </c>
      <c r="R708" s="1">
        <f t="shared" si="44"/>
        <v>3.1219845513306206</v>
      </c>
      <c r="S708" s="10">
        <f t="shared" si="43"/>
        <v>2.7475493961822095</v>
      </c>
      <c r="T708" s="45" cm="1">
        <f t="array" ref="T708">SUMPRODUCT(P708:S708 * P$3:S$3) / SUM(P$3:S$3)</f>
        <v>2.8480975743531562</v>
      </c>
    </row>
    <row r="709" spans="1:20" ht="16.5" customHeight="1" x14ac:dyDescent="0.25">
      <c r="A709" s="5" t="s">
        <v>6784</v>
      </c>
      <c r="B709" s="20" t="s">
        <v>4604</v>
      </c>
      <c r="C709" s="4" t="s">
        <v>8798</v>
      </c>
      <c r="D709" s="4" t="s">
        <v>9011</v>
      </c>
      <c r="E709" s="12" t="s">
        <v>407</v>
      </c>
      <c r="F709" s="75" t="s">
        <v>411</v>
      </c>
      <c r="G709" s="3">
        <v>32</v>
      </c>
      <c r="H709" s="3" t="s">
        <v>404</v>
      </c>
      <c r="I709" s="13" t="s">
        <v>6739</v>
      </c>
      <c r="J709" s="72">
        <v>1.25</v>
      </c>
      <c r="L709" s="9">
        <v>91.4</v>
      </c>
      <c r="M709" s="3">
        <v>128.04</v>
      </c>
      <c r="N709" s="17" t="s">
        <v>4605</v>
      </c>
      <c r="O709" s="18" t="s">
        <v>4603</v>
      </c>
      <c r="P709" s="49">
        <f t="shared" si="41"/>
        <v>2.4763916101051775</v>
      </c>
      <c r="Q709" s="1">
        <f t="shared" si="42"/>
        <v>3.0306625075878033</v>
      </c>
      <c r="R709" s="1">
        <f t="shared" si="44"/>
        <v>3.125969659773475</v>
      </c>
      <c r="S709" s="10">
        <f t="shared" si="43"/>
        <v>2.7535270588464904</v>
      </c>
      <c r="T709" s="45" cm="1">
        <f t="array" ref="T709">SUMPRODUCT(P709:S709 * P$3:S$3) / SUM(P$3:S$3)</f>
        <v>2.853462143410844</v>
      </c>
    </row>
    <row r="710" spans="1:20" ht="16.5" customHeight="1" x14ac:dyDescent="0.25">
      <c r="A710" s="5" t="s">
        <v>6784</v>
      </c>
      <c r="B710" s="20" t="s">
        <v>4721</v>
      </c>
      <c r="C710" s="4" t="s">
        <v>8798</v>
      </c>
      <c r="D710" s="4" t="s">
        <v>9011</v>
      </c>
      <c r="E710" s="12" t="s">
        <v>407</v>
      </c>
      <c r="F710" s="75" t="s">
        <v>411</v>
      </c>
      <c r="G710" s="3">
        <v>32</v>
      </c>
      <c r="H710" s="3" t="s">
        <v>404</v>
      </c>
      <c r="I710" s="13" t="s">
        <v>6740</v>
      </c>
      <c r="J710" s="72">
        <v>1.25</v>
      </c>
      <c r="L710" s="9">
        <v>84.81</v>
      </c>
      <c r="M710" s="3">
        <v>345.26</v>
      </c>
      <c r="N710" s="17" t="s">
        <v>4722</v>
      </c>
      <c r="O710" s="18" t="s">
        <v>4720</v>
      </c>
      <c r="P710" s="49">
        <f t="shared" si="41"/>
        <v>2.4684213932194696</v>
      </c>
      <c r="Q710" s="1">
        <f t="shared" si="42"/>
        <v>3.0266773991449494</v>
      </c>
      <c r="R710" s="1">
        <f t="shared" si="44"/>
        <v>3.1219845513306206</v>
      </c>
      <c r="S710" s="10">
        <f t="shared" si="43"/>
        <v>2.7475493961822095</v>
      </c>
      <c r="T710" s="45" cm="1">
        <f t="array" ref="T710">SUMPRODUCT(P710:S710 * P$3:S$3) / SUM(P$3:S$3)</f>
        <v>2.8480975743531562</v>
      </c>
    </row>
    <row r="711" spans="1:20" ht="16.5" customHeight="1" x14ac:dyDescent="0.25">
      <c r="A711" s="5" t="s">
        <v>6784</v>
      </c>
      <c r="B711" s="20" t="s">
        <v>4724</v>
      </c>
      <c r="C711" s="4" t="s">
        <v>8798</v>
      </c>
      <c r="D711" s="4" t="s">
        <v>9011</v>
      </c>
      <c r="E711" s="12" t="s">
        <v>407</v>
      </c>
      <c r="F711" s="75" t="s">
        <v>411</v>
      </c>
      <c r="G711" s="3">
        <v>32</v>
      </c>
      <c r="H711" s="3" t="s">
        <v>404</v>
      </c>
      <c r="I711" s="13" t="s">
        <v>6739</v>
      </c>
      <c r="J711" s="72">
        <v>1.25</v>
      </c>
      <c r="L711" s="9">
        <v>86.5</v>
      </c>
      <c r="M711" s="3">
        <v>228</v>
      </c>
      <c r="N711" s="17" t="s">
        <v>4725</v>
      </c>
      <c r="O711" s="18" t="s">
        <v>4723</v>
      </c>
      <c r="P711" s="49">
        <f t="shared" si="41"/>
        <v>2.4763916101051775</v>
      </c>
      <c r="Q711" s="1">
        <f t="shared" si="42"/>
        <v>3.0306625075878033</v>
      </c>
      <c r="R711" s="1">
        <f t="shared" si="44"/>
        <v>3.125969659773475</v>
      </c>
      <c r="S711" s="10">
        <f t="shared" si="43"/>
        <v>2.7535270588464904</v>
      </c>
      <c r="T711" s="45" cm="1">
        <f t="array" ref="T711">SUMPRODUCT(P711:S711 * P$3:S$3) / SUM(P$3:S$3)</f>
        <v>2.853462143410844</v>
      </c>
    </row>
    <row r="712" spans="1:20" ht="16.5" customHeight="1" x14ac:dyDescent="0.25">
      <c r="A712" s="5" t="s">
        <v>6784</v>
      </c>
      <c r="B712" s="20" t="s">
        <v>4903</v>
      </c>
      <c r="C712" s="4" t="s">
        <v>8798</v>
      </c>
      <c r="D712" s="4" t="s">
        <v>9011</v>
      </c>
      <c r="E712" s="12" t="s">
        <v>407</v>
      </c>
      <c r="F712" s="75" t="s">
        <v>411</v>
      </c>
      <c r="G712" s="3">
        <v>32</v>
      </c>
      <c r="H712" s="3" t="s">
        <v>404</v>
      </c>
      <c r="I712" s="13" t="s">
        <v>6740</v>
      </c>
      <c r="J712" s="72">
        <v>1.25</v>
      </c>
      <c r="K712" s="14" t="s">
        <v>4847</v>
      </c>
      <c r="L712" s="9">
        <v>108.73</v>
      </c>
      <c r="M712" s="3">
        <v>167.5</v>
      </c>
      <c r="N712" s="17" t="s">
        <v>4904</v>
      </c>
      <c r="O712" s="18" t="s">
        <v>4902</v>
      </c>
      <c r="P712" s="49">
        <f t="shared" si="41"/>
        <v>2.4684213932194696</v>
      </c>
      <c r="Q712" s="1">
        <f t="shared" si="42"/>
        <v>3.0266773991449494</v>
      </c>
      <c r="R712" s="1">
        <f t="shared" si="44"/>
        <v>3.1219845513306206</v>
      </c>
      <c r="S712" s="10">
        <f t="shared" si="43"/>
        <v>2.7475493961822095</v>
      </c>
      <c r="T712" s="45" cm="1">
        <f t="array" ref="T712">SUMPRODUCT(P712:S712 * P$3:S$3) / SUM(P$3:S$3)</f>
        <v>2.8480975743531562</v>
      </c>
    </row>
    <row r="713" spans="1:20" ht="16.5" customHeight="1" x14ac:dyDescent="0.25">
      <c r="A713" s="5" t="s">
        <v>6784</v>
      </c>
      <c r="B713" s="20" t="s">
        <v>4906</v>
      </c>
      <c r="C713" s="4" t="s">
        <v>8798</v>
      </c>
      <c r="D713" s="4" t="s">
        <v>9011</v>
      </c>
      <c r="E713" s="12" t="s">
        <v>407</v>
      </c>
      <c r="F713" s="75" t="s">
        <v>411</v>
      </c>
      <c r="G713" s="3">
        <v>32</v>
      </c>
      <c r="H713" s="3" t="s">
        <v>404</v>
      </c>
      <c r="I713" s="13" t="s">
        <v>6739</v>
      </c>
      <c r="J713" s="72">
        <v>1.25</v>
      </c>
      <c r="K713" s="14" t="s">
        <v>4847</v>
      </c>
      <c r="L713" s="9">
        <v>103.74</v>
      </c>
      <c r="M713" s="3">
        <v>146.19</v>
      </c>
      <c r="N713" s="17" t="s">
        <v>4907</v>
      </c>
      <c r="O713" s="18" t="s">
        <v>4905</v>
      </c>
      <c r="P713" s="49">
        <f t="shared" si="41"/>
        <v>2.4763916101051775</v>
      </c>
      <c r="Q713" s="1">
        <f t="shared" si="42"/>
        <v>3.0306625075878033</v>
      </c>
      <c r="R713" s="1">
        <f t="shared" si="44"/>
        <v>3.125969659773475</v>
      </c>
      <c r="S713" s="10">
        <f t="shared" si="43"/>
        <v>2.7535270588464904</v>
      </c>
      <c r="T713" s="45" cm="1">
        <f t="array" ref="T713">SUMPRODUCT(P713:S713 * P$3:S$3) / SUM(P$3:S$3)</f>
        <v>2.853462143410844</v>
      </c>
    </row>
    <row r="714" spans="1:20" ht="16.5" customHeight="1" x14ac:dyDescent="0.25">
      <c r="A714" s="5" t="s">
        <v>6784</v>
      </c>
      <c r="B714" s="20" t="s">
        <v>5040</v>
      </c>
      <c r="C714" s="4" t="s">
        <v>8798</v>
      </c>
      <c r="D714" s="4" t="s">
        <v>9011</v>
      </c>
      <c r="E714" s="12" t="s">
        <v>407</v>
      </c>
      <c r="F714" s="75" t="s">
        <v>411</v>
      </c>
      <c r="G714" s="3">
        <v>32</v>
      </c>
      <c r="H714" s="3" t="s">
        <v>404</v>
      </c>
      <c r="I714" s="13" t="s">
        <v>6740</v>
      </c>
      <c r="J714" s="72">
        <v>1.25</v>
      </c>
      <c r="K714" s="14" t="s">
        <v>4847</v>
      </c>
      <c r="L714" s="9">
        <v>100.84</v>
      </c>
      <c r="M714" s="3">
        <v>184</v>
      </c>
      <c r="N714" s="17" t="s">
        <v>5041</v>
      </c>
      <c r="O714" s="18" t="s">
        <v>5039</v>
      </c>
      <c r="P714" s="49">
        <f t="shared" ref="P714:P777" si="45">(((F714/F$9)^F$7 * F$2 + (I714/I$9)^I$7 * I$2 + (J714/J$9)^J$7 * J$2) * (1+M$3*(MIN(H714,M$2)-1)+M$4*(H714-MIN(H714,M$2))) + (G714/G$9)^G$7 * G$2)  * P$9</f>
        <v>2.4684213932194696</v>
      </c>
      <c r="Q714" s="1">
        <f t="shared" ref="Q714:Q777" si="46">(((F714/F$9)^F$7 * F$3 + (I714/I$9)^I$7 * I$3 + (J714/J$9)^J$7 * J$3) * (1+M$3*(MIN(H714,M$2)-1)+M$4*(H714-MIN(H714,M$2))) + (G714/G$9)^G$7 * G$3)  * P$9</f>
        <v>3.0266773991449494</v>
      </c>
      <c r="R714" s="1">
        <f t="shared" si="44"/>
        <v>3.1219845513306206</v>
      </c>
      <c r="S714" s="10">
        <f t="shared" ref="S714:S777" si="47">(((F714/F$9)^F$7 * F$5 + (I714/I$9)^I$7 * I$5 + (J714/J$9)^J$7 * J$5) * (1+M$3*(MIN(H714,M$2)-1)+M$4*(H714-MIN(H714,M$2))) + (G714/G$9)^G$7 * G$5)  * P$9</f>
        <v>2.7475493961822095</v>
      </c>
      <c r="T714" s="45" cm="1">
        <f t="array" ref="T714">SUMPRODUCT(P714:S714 * P$3:S$3) / SUM(P$3:S$3)</f>
        <v>2.8480975743531562</v>
      </c>
    </row>
    <row r="715" spans="1:20" ht="16.5" customHeight="1" x14ac:dyDescent="0.25">
      <c r="A715" s="5" t="s">
        <v>6784</v>
      </c>
      <c r="B715" s="20" t="s">
        <v>5043</v>
      </c>
      <c r="C715" s="4" t="s">
        <v>8798</v>
      </c>
      <c r="D715" s="4" t="s">
        <v>9011</v>
      </c>
      <c r="E715" s="12" t="s">
        <v>407</v>
      </c>
      <c r="F715" s="75" t="s">
        <v>411</v>
      </c>
      <c r="G715" s="3">
        <v>32</v>
      </c>
      <c r="H715" s="3" t="s">
        <v>404</v>
      </c>
      <c r="I715" s="13" t="s">
        <v>6739</v>
      </c>
      <c r="J715" s="72">
        <v>1.25</v>
      </c>
      <c r="K715" s="14" t="s">
        <v>4847</v>
      </c>
      <c r="L715" s="9">
        <v>100.84</v>
      </c>
      <c r="M715" s="3">
        <v>174.9</v>
      </c>
      <c r="N715" s="17" t="s">
        <v>5044</v>
      </c>
      <c r="O715" s="18" t="s">
        <v>5042</v>
      </c>
      <c r="P715" s="49">
        <f t="shared" si="45"/>
        <v>2.4763916101051775</v>
      </c>
      <c r="Q715" s="1">
        <f t="shared" si="46"/>
        <v>3.0306625075878033</v>
      </c>
      <c r="R715" s="1">
        <f t="shared" si="44"/>
        <v>3.125969659773475</v>
      </c>
      <c r="S715" s="10">
        <f t="shared" si="47"/>
        <v>2.7535270588464904</v>
      </c>
      <c r="T715" s="45" cm="1">
        <f t="array" ref="T715">SUMPRODUCT(P715:S715 * P$3:S$3) / SUM(P$3:S$3)</f>
        <v>2.853462143410844</v>
      </c>
    </row>
    <row r="716" spans="1:20" ht="16.5" customHeight="1" x14ac:dyDescent="0.25">
      <c r="A716" s="5" t="s">
        <v>6915</v>
      </c>
      <c r="B716" s="20" t="s">
        <v>6096</v>
      </c>
      <c r="C716" s="4" t="s">
        <v>8796</v>
      </c>
      <c r="D716" s="4" t="s">
        <v>9012</v>
      </c>
      <c r="E716" s="12" t="s">
        <v>407</v>
      </c>
      <c r="F716" s="75" t="s">
        <v>411</v>
      </c>
      <c r="G716" s="3">
        <v>48</v>
      </c>
      <c r="H716" s="3" t="s">
        <v>404</v>
      </c>
      <c r="I716" s="13" t="s">
        <v>6740</v>
      </c>
      <c r="J716" s="72">
        <v>1.25</v>
      </c>
      <c r="L716" s="9">
        <v>143.9</v>
      </c>
      <c r="M716" s="3">
        <v>227</v>
      </c>
      <c r="N716" s="17" t="s">
        <v>6097</v>
      </c>
      <c r="O716" s="18" t="s">
        <v>6095</v>
      </c>
      <c r="P716" s="49">
        <f t="shared" si="45"/>
        <v>2.890530248430796</v>
      </c>
      <c r="Q716" s="1">
        <f t="shared" si="46"/>
        <v>3.7301921578304937</v>
      </c>
      <c r="R716" s="1">
        <f t="shared" si="44"/>
        <v>3.8958507858847193</v>
      </c>
      <c r="S716" s="10">
        <f t="shared" si="47"/>
        <v>3.3103612031306451</v>
      </c>
      <c r="T716" s="45" cm="1">
        <f t="array" ref="T716">SUMPRODUCT(P716:S716 * P$3:S$3) / SUM(P$3:S$3)</f>
        <v>3.4650259012004789</v>
      </c>
    </row>
    <row r="717" spans="1:20" ht="16.5" customHeight="1" x14ac:dyDescent="0.25">
      <c r="A717" s="5" t="s">
        <v>6915</v>
      </c>
      <c r="B717" s="20" t="s">
        <v>6327</v>
      </c>
      <c r="C717" s="4" t="s">
        <v>8796</v>
      </c>
      <c r="D717" s="4" t="s">
        <v>9012</v>
      </c>
      <c r="E717" s="12" t="s">
        <v>407</v>
      </c>
      <c r="F717" s="75" t="s">
        <v>411</v>
      </c>
      <c r="G717" s="3">
        <v>48</v>
      </c>
      <c r="H717" s="3" t="s">
        <v>404</v>
      </c>
      <c r="I717" s="13" t="s">
        <v>6740</v>
      </c>
      <c r="J717" s="72">
        <v>1.25</v>
      </c>
      <c r="K717" s="14" t="s">
        <v>6175</v>
      </c>
      <c r="L717" s="9">
        <v>151.71</v>
      </c>
      <c r="M717" s="3">
        <v>198.1</v>
      </c>
      <c r="N717" s="17" t="s">
        <v>6328</v>
      </c>
      <c r="O717" s="18" t="s">
        <v>6326</v>
      </c>
      <c r="P717" s="49">
        <f t="shared" si="45"/>
        <v>2.890530248430796</v>
      </c>
      <c r="Q717" s="1">
        <f t="shared" si="46"/>
        <v>3.7301921578304937</v>
      </c>
      <c r="R717" s="1">
        <f t="shared" si="44"/>
        <v>3.8958507858847193</v>
      </c>
      <c r="S717" s="10">
        <f t="shared" si="47"/>
        <v>3.3103612031306451</v>
      </c>
      <c r="T717" s="45" cm="1">
        <f t="array" ref="T717">SUMPRODUCT(P717:S717 * P$3:S$3) / SUM(P$3:S$3)</f>
        <v>3.4650259012004789</v>
      </c>
    </row>
    <row r="718" spans="1:20" ht="16.5" customHeight="1" x14ac:dyDescent="0.25">
      <c r="A718" s="5" t="s">
        <v>6873</v>
      </c>
      <c r="B718" s="20" t="s">
        <v>5913</v>
      </c>
      <c r="C718" s="4" t="s">
        <v>8797</v>
      </c>
      <c r="D718" s="4" t="s">
        <v>9012</v>
      </c>
      <c r="E718" s="12" t="s">
        <v>407</v>
      </c>
      <c r="F718" s="75" t="s">
        <v>411</v>
      </c>
      <c r="G718" s="3">
        <v>48</v>
      </c>
      <c r="H718" s="3" t="s">
        <v>404</v>
      </c>
      <c r="I718" s="13" t="s">
        <v>6740</v>
      </c>
      <c r="J718" s="72">
        <v>1.25</v>
      </c>
      <c r="L718" s="9">
        <v>150.22</v>
      </c>
      <c r="M718" s="3">
        <v>232.77</v>
      </c>
      <c r="N718" s="17" t="s">
        <v>5914</v>
      </c>
      <c r="O718" s="18" t="s">
        <v>5912</v>
      </c>
      <c r="P718" s="49">
        <f t="shared" si="45"/>
        <v>2.890530248430796</v>
      </c>
      <c r="Q718" s="1">
        <f t="shared" si="46"/>
        <v>3.7301921578304937</v>
      </c>
      <c r="R718" s="1">
        <f t="shared" si="44"/>
        <v>3.8958507858847193</v>
      </c>
      <c r="S718" s="10">
        <f t="shared" si="47"/>
        <v>3.3103612031306451</v>
      </c>
      <c r="T718" s="45" cm="1">
        <f t="array" ref="T718">SUMPRODUCT(P718:S718 * P$3:S$3) / SUM(P$3:S$3)</f>
        <v>3.4650259012004789</v>
      </c>
    </row>
    <row r="719" spans="1:20" ht="16.5" customHeight="1" x14ac:dyDescent="0.25">
      <c r="A719" s="5" t="s">
        <v>6845</v>
      </c>
      <c r="B719" s="20" t="s">
        <v>5669</v>
      </c>
      <c r="C719" s="4" t="s">
        <v>8797</v>
      </c>
      <c r="D719" s="4" t="s">
        <v>9012</v>
      </c>
      <c r="E719" s="12" t="s">
        <v>407</v>
      </c>
      <c r="F719" s="75" t="s">
        <v>411</v>
      </c>
      <c r="G719" s="3">
        <v>48</v>
      </c>
      <c r="H719" s="3" t="s">
        <v>404</v>
      </c>
      <c r="I719" s="13" t="s">
        <v>6740</v>
      </c>
      <c r="J719" s="72">
        <v>1.25</v>
      </c>
      <c r="L719" s="9">
        <v>128.9</v>
      </c>
      <c r="M719" s="3">
        <v>187.96</v>
      </c>
      <c r="N719" s="17" t="s">
        <v>5670</v>
      </c>
      <c r="O719" s="18" t="s">
        <v>5668</v>
      </c>
      <c r="P719" s="49">
        <f t="shared" si="45"/>
        <v>2.890530248430796</v>
      </c>
      <c r="Q719" s="1">
        <f t="shared" si="46"/>
        <v>3.7301921578304937</v>
      </c>
      <c r="R719" s="1">
        <f t="shared" si="44"/>
        <v>3.8958507858847193</v>
      </c>
      <c r="S719" s="10">
        <f t="shared" si="47"/>
        <v>3.3103612031306451</v>
      </c>
      <c r="T719" s="45" cm="1">
        <f t="array" ref="T719">SUMPRODUCT(P719:S719 * P$3:S$3) / SUM(P$3:S$3)</f>
        <v>3.4650259012004789</v>
      </c>
    </row>
    <row r="720" spans="1:20" ht="16.5" customHeight="1" x14ac:dyDescent="0.25">
      <c r="A720" s="5" t="s">
        <v>6830</v>
      </c>
      <c r="B720" s="20" t="s">
        <v>5394</v>
      </c>
      <c r="C720" s="4" t="s">
        <v>8797</v>
      </c>
      <c r="D720" s="4" t="s">
        <v>9012</v>
      </c>
      <c r="E720" s="12" t="s">
        <v>407</v>
      </c>
      <c r="F720" s="75" t="s">
        <v>411</v>
      </c>
      <c r="G720" s="3">
        <v>48</v>
      </c>
      <c r="H720" s="3" t="s">
        <v>404</v>
      </c>
      <c r="I720" s="13" t="s">
        <v>6740</v>
      </c>
      <c r="J720" s="72">
        <v>1.25</v>
      </c>
      <c r="K720" s="14" t="s">
        <v>5196</v>
      </c>
      <c r="L720" s="9">
        <v>159.54</v>
      </c>
      <c r="M720" s="3">
        <v>218.8</v>
      </c>
      <c r="N720" s="17" t="s">
        <v>5395</v>
      </c>
      <c r="O720" s="18" t="s">
        <v>5393</v>
      </c>
      <c r="P720" s="49">
        <f t="shared" si="45"/>
        <v>2.890530248430796</v>
      </c>
      <c r="Q720" s="1">
        <f t="shared" si="46"/>
        <v>3.7301921578304937</v>
      </c>
      <c r="R720" s="1">
        <f t="shared" ref="R720:R783" si="48">(((F720/F$9)^F$7 * F$4 + (I720/I$9)^I$7 * I$4 + (J720/J$9)^J$7 * J$4) * (1+M$3*(MIN(H720,M$2)-1)+M$4*(H720-MIN(H720,M$2))) + (G720/G$9)^G$7 * G$4)  * P$9</f>
        <v>3.8958507858847193</v>
      </c>
      <c r="S720" s="10">
        <f t="shared" si="47"/>
        <v>3.3103612031306451</v>
      </c>
      <c r="T720" s="45" cm="1">
        <f t="array" ref="T720">SUMPRODUCT(P720:S720 * P$3:S$3) / SUM(P$3:S$3)</f>
        <v>3.4650259012004789</v>
      </c>
    </row>
    <row r="721" spans="1:20" ht="16.5" customHeight="1" x14ac:dyDescent="0.25">
      <c r="A721" s="5" t="s">
        <v>6948</v>
      </c>
      <c r="B721" s="20" t="s">
        <v>6632</v>
      </c>
      <c r="C721" s="4" t="s">
        <v>8796</v>
      </c>
      <c r="D721" s="4" t="s">
        <v>9013</v>
      </c>
      <c r="E721" s="12" t="s">
        <v>407</v>
      </c>
      <c r="F721" s="75" t="s">
        <v>411</v>
      </c>
      <c r="G721" s="3">
        <v>64</v>
      </c>
      <c r="H721" s="3" t="s">
        <v>404</v>
      </c>
      <c r="I721" s="13" t="s">
        <v>6740</v>
      </c>
      <c r="J721" s="72">
        <v>1.25</v>
      </c>
      <c r="K721" s="14" t="s">
        <v>6633</v>
      </c>
      <c r="L721" s="9">
        <v>214</v>
      </c>
      <c r="M721" s="3">
        <v>274.33</v>
      </c>
      <c r="N721" s="17" t="s">
        <v>6634</v>
      </c>
      <c r="O721" s="18" t="s">
        <v>6631</v>
      </c>
      <c r="P721" s="49">
        <f t="shared" si="45"/>
        <v>3.2716145900866156</v>
      </c>
      <c r="Q721" s="1">
        <f t="shared" si="46"/>
        <v>4.3653327272568596</v>
      </c>
      <c r="R721" s="1">
        <f t="shared" si="48"/>
        <v>4.5945054122537226</v>
      </c>
      <c r="S721" s="10">
        <f t="shared" si="47"/>
        <v>3.818473658671738</v>
      </c>
      <c r="T721" s="45" cm="1">
        <f t="array" ref="T721">SUMPRODUCT(P721:S721 * P$3:S$3) / SUM(P$3:S$3)</f>
        <v>4.0219953236205228</v>
      </c>
    </row>
    <row r="722" spans="1:20" ht="16.5" customHeight="1" x14ac:dyDescent="0.25">
      <c r="A722" s="5" t="s">
        <v>6948</v>
      </c>
      <c r="B722" s="20" t="s">
        <v>6667</v>
      </c>
      <c r="C722" s="4" t="s">
        <v>8796</v>
      </c>
      <c r="D722" s="4" t="s">
        <v>9013</v>
      </c>
      <c r="E722" s="12" t="s">
        <v>407</v>
      </c>
      <c r="F722" s="75" t="s">
        <v>411</v>
      </c>
      <c r="G722" s="3">
        <v>64</v>
      </c>
      <c r="H722" s="3" t="s">
        <v>404</v>
      </c>
      <c r="I722" s="13" t="s">
        <v>6740</v>
      </c>
      <c r="J722" s="72">
        <v>1.25</v>
      </c>
      <c r="K722" s="14" t="s">
        <v>6633</v>
      </c>
      <c r="L722" s="9">
        <v>222.51</v>
      </c>
      <c r="M722" s="3">
        <v>321</v>
      </c>
      <c r="N722" s="17" t="s">
        <v>6668</v>
      </c>
      <c r="O722" s="18" t="s">
        <v>6666</v>
      </c>
      <c r="P722" s="49">
        <f t="shared" si="45"/>
        <v>3.2716145900866156</v>
      </c>
      <c r="Q722" s="1">
        <f t="shared" si="46"/>
        <v>4.3653327272568596</v>
      </c>
      <c r="R722" s="1">
        <f t="shared" si="48"/>
        <v>4.5945054122537226</v>
      </c>
      <c r="S722" s="10">
        <f t="shared" si="47"/>
        <v>3.818473658671738</v>
      </c>
      <c r="T722" s="45" cm="1">
        <f t="array" ref="T722">SUMPRODUCT(P722:S722 * P$3:S$3) / SUM(P$3:S$3)</f>
        <v>4.0219953236205228</v>
      </c>
    </row>
    <row r="723" spans="1:20" ht="16.5" customHeight="1" x14ac:dyDescent="0.25">
      <c r="A723" s="5" t="s">
        <v>6948</v>
      </c>
      <c r="B723" s="20" t="s">
        <v>6669</v>
      </c>
      <c r="C723" s="4" t="s">
        <v>8796</v>
      </c>
      <c r="D723" s="4" t="s">
        <v>9013</v>
      </c>
      <c r="E723" s="12" t="s">
        <v>407</v>
      </c>
      <c r="F723" s="75" t="s">
        <v>411</v>
      </c>
      <c r="G723" s="3">
        <v>64</v>
      </c>
      <c r="H723" s="3" t="s">
        <v>404</v>
      </c>
      <c r="I723" s="13" t="s">
        <v>6740</v>
      </c>
      <c r="J723" s="72">
        <v>1.25</v>
      </c>
      <c r="K723" s="14" t="s">
        <v>6633</v>
      </c>
      <c r="L723" s="9">
        <v>223.9</v>
      </c>
      <c r="M723" s="3">
        <v>268.89999999999998</v>
      </c>
      <c r="N723" s="17" t="s">
        <v>6670</v>
      </c>
      <c r="O723" s="18" t="s">
        <v>6666</v>
      </c>
      <c r="P723" s="49">
        <f t="shared" si="45"/>
        <v>3.2716145900866156</v>
      </c>
      <c r="Q723" s="1">
        <f t="shared" si="46"/>
        <v>4.3653327272568596</v>
      </c>
      <c r="R723" s="1">
        <f t="shared" si="48"/>
        <v>4.5945054122537226</v>
      </c>
      <c r="S723" s="10">
        <f t="shared" si="47"/>
        <v>3.818473658671738</v>
      </c>
      <c r="T723" s="45" cm="1">
        <f t="array" ref="T723">SUMPRODUCT(P723:S723 * P$3:S$3) / SUM(P$3:S$3)</f>
        <v>4.0219953236205228</v>
      </c>
    </row>
    <row r="724" spans="1:20" ht="16.5" customHeight="1" x14ac:dyDescent="0.25">
      <c r="A724" s="5" t="s">
        <v>6948</v>
      </c>
      <c r="B724" s="20" t="s">
        <v>6708</v>
      </c>
      <c r="C724" s="4" t="s">
        <v>8796</v>
      </c>
      <c r="D724" s="4" t="s">
        <v>9013</v>
      </c>
      <c r="E724" s="12" t="s">
        <v>407</v>
      </c>
      <c r="F724" s="75" t="s">
        <v>411</v>
      </c>
      <c r="G724" s="3">
        <v>64</v>
      </c>
      <c r="H724" s="3" t="s">
        <v>404</v>
      </c>
      <c r="I724" s="13" t="s">
        <v>6740</v>
      </c>
      <c r="J724" s="72">
        <v>1.25</v>
      </c>
      <c r="K724" s="14" t="s">
        <v>6633</v>
      </c>
      <c r="L724" s="9">
        <v>225.33</v>
      </c>
      <c r="M724" s="3">
        <v>258.38</v>
      </c>
      <c r="N724" s="17" t="s">
        <v>6709</v>
      </c>
      <c r="O724" s="18" t="s">
        <v>6707</v>
      </c>
      <c r="P724" s="49">
        <f t="shared" si="45"/>
        <v>3.2716145900866156</v>
      </c>
      <c r="Q724" s="1">
        <f t="shared" si="46"/>
        <v>4.3653327272568596</v>
      </c>
      <c r="R724" s="1">
        <f t="shared" si="48"/>
        <v>4.5945054122537226</v>
      </c>
      <c r="S724" s="10">
        <f t="shared" si="47"/>
        <v>3.818473658671738</v>
      </c>
      <c r="T724" s="45" cm="1">
        <f t="array" ref="T724">SUMPRODUCT(P724:S724 * P$3:S$3) / SUM(P$3:S$3)</f>
        <v>4.0219953236205228</v>
      </c>
    </row>
    <row r="725" spans="1:20" ht="16.5" customHeight="1" x14ac:dyDescent="0.25">
      <c r="A725" s="5" t="s">
        <v>6881</v>
      </c>
      <c r="B725" s="20" t="s">
        <v>5966</v>
      </c>
      <c r="C725" s="4" t="s">
        <v>8796</v>
      </c>
      <c r="D725" s="4" t="s">
        <v>9013</v>
      </c>
      <c r="E725" s="12" t="s">
        <v>407</v>
      </c>
      <c r="F725" s="75" t="s">
        <v>411</v>
      </c>
      <c r="G725" s="3">
        <v>64</v>
      </c>
      <c r="H725" s="3" t="s">
        <v>404</v>
      </c>
      <c r="I725" s="13" t="s">
        <v>6740</v>
      </c>
      <c r="J725" s="72">
        <v>1.25</v>
      </c>
      <c r="L725" s="9">
        <v>185.03</v>
      </c>
      <c r="M725" s="3">
        <v>208.88</v>
      </c>
      <c r="N725" s="17" t="s">
        <v>5967</v>
      </c>
      <c r="O725" s="18" t="s">
        <v>5965</v>
      </c>
      <c r="P725" s="49">
        <f t="shared" si="45"/>
        <v>3.2716145900866156</v>
      </c>
      <c r="Q725" s="1">
        <f t="shared" si="46"/>
        <v>4.3653327272568596</v>
      </c>
      <c r="R725" s="1">
        <f t="shared" si="48"/>
        <v>4.5945054122537226</v>
      </c>
      <c r="S725" s="10">
        <f t="shared" si="47"/>
        <v>3.818473658671738</v>
      </c>
      <c r="T725" s="45" cm="1">
        <f t="array" ref="T725">SUMPRODUCT(P725:S725 * P$3:S$3) / SUM(P$3:S$3)</f>
        <v>4.0219953236205228</v>
      </c>
    </row>
    <row r="726" spans="1:20" ht="16.5" customHeight="1" x14ac:dyDescent="0.25">
      <c r="A726" s="5" t="s">
        <v>6881</v>
      </c>
      <c r="B726" s="20" t="s">
        <v>6070</v>
      </c>
      <c r="C726" s="4" t="s">
        <v>8796</v>
      </c>
      <c r="D726" s="4" t="s">
        <v>9013</v>
      </c>
      <c r="E726" s="12" t="s">
        <v>407</v>
      </c>
      <c r="F726" s="75" t="s">
        <v>411</v>
      </c>
      <c r="G726" s="3">
        <v>64</v>
      </c>
      <c r="H726" s="3" t="s">
        <v>404</v>
      </c>
      <c r="I726" s="13" t="s">
        <v>6740</v>
      </c>
      <c r="J726" s="72">
        <v>1.25</v>
      </c>
      <c r="L726" s="9">
        <v>183.43</v>
      </c>
      <c r="M726" s="3">
        <v>239.89</v>
      </c>
      <c r="N726" s="17" t="s">
        <v>6071</v>
      </c>
      <c r="O726" s="18" t="s">
        <v>6069</v>
      </c>
      <c r="P726" s="49">
        <f t="shared" si="45"/>
        <v>3.2716145900866156</v>
      </c>
      <c r="Q726" s="1">
        <f t="shared" si="46"/>
        <v>4.3653327272568596</v>
      </c>
      <c r="R726" s="1">
        <f t="shared" si="48"/>
        <v>4.5945054122537226</v>
      </c>
      <c r="S726" s="10">
        <f t="shared" si="47"/>
        <v>3.818473658671738</v>
      </c>
      <c r="T726" s="45" cm="1">
        <f t="array" ref="T726">SUMPRODUCT(P726:S726 * P$3:S$3) / SUM(P$3:S$3)</f>
        <v>4.0219953236205228</v>
      </c>
    </row>
    <row r="727" spans="1:20" ht="16.5" customHeight="1" x14ac:dyDescent="0.25">
      <c r="A727" s="5" t="s">
        <v>6881</v>
      </c>
      <c r="B727" s="20" t="s">
        <v>6075</v>
      </c>
      <c r="C727" s="4" t="s">
        <v>8796</v>
      </c>
      <c r="D727" s="4" t="s">
        <v>9013</v>
      </c>
      <c r="E727" s="12" t="s">
        <v>407</v>
      </c>
      <c r="F727" s="75" t="s">
        <v>411</v>
      </c>
      <c r="G727" s="3">
        <v>64</v>
      </c>
      <c r="H727" s="3" t="s">
        <v>404</v>
      </c>
      <c r="I727" s="13" t="s">
        <v>6739</v>
      </c>
      <c r="J727" s="72">
        <v>1.25</v>
      </c>
      <c r="L727" s="9">
        <v>204.18</v>
      </c>
      <c r="M727" s="3">
        <v>205.88</v>
      </c>
      <c r="N727" s="17" t="s">
        <v>6076</v>
      </c>
      <c r="O727" s="18" t="s">
        <v>6072</v>
      </c>
      <c r="P727" s="49">
        <f t="shared" si="45"/>
        <v>3.2795848069723235</v>
      </c>
      <c r="Q727" s="1">
        <f t="shared" si="46"/>
        <v>4.3693178356997135</v>
      </c>
      <c r="R727" s="1">
        <f t="shared" si="48"/>
        <v>4.5984905206965765</v>
      </c>
      <c r="S727" s="10">
        <f t="shared" si="47"/>
        <v>3.8244513213360189</v>
      </c>
      <c r="T727" s="45" cm="1">
        <f t="array" ref="T727">SUMPRODUCT(P727:S727 * P$3:S$3) / SUM(P$3:S$3)</f>
        <v>4.027359892678211</v>
      </c>
    </row>
    <row r="728" spans="1:20" ht="16.5" customHeight="1" x14ac:dyDescent="0.25">
      <c r="A728" s="5" t="s">
        <v>6881</v>
      </c>
      <c r="B728" s="20" t="s">
        <v>6186</v>
      </c>
      <c r="C728" s="4" t="s">
        <v>8796</v>
      </c>
      <c r="D728" s="4" t="s">
        <v>9013</v>
      </c>
      <c r="E728" s="12" t="s">
        <v>407</v>
      </c>
      <c r="F728" s="75" t="s">
        <v>411</v>
      </c>
      <c r="G728" s="3">
        <v>64</v>
      </c>
      <c r="H728" s="3" t="s">
        <v>404</v>
      </c>
      <c r="I728" s="13" t="s">
        <v>6740</v>
      </c>
      <c r="J728" s="72">
        <v>1.25</v>
      </c>
      <c r="K728" s="14" t="s">
        <v>6175</v>
      </c>
      <c r="L728" s="9">
        <v>201</v>
      </c>
      <c r="M728" s="3">
        <v>233.32</v>
      </c>
      <c r="N728" s="17" t="s">
        <v>6187</v>
      </c>
      <c r="O728" s="18" t="s">
        <v>6185</v>
      </c>
      <c r="P728" s="49">
        <f t="shared" si="45"/>
        <v>3.2716145900866156</v>
      </c>
      <c r="Q728" s="1">
        <f t="shared" si="46"/>
        <v>4.3653327272568596</v>
      </c>
      <c r="R728" s="1">
        <f t="shared" si="48"/>
        <v>4.5945054122537226</v>
      </c>
      <c r="S728" s="10">
        <f t="shared" si="47"/>
        <v>3.818473658671738</v>
      </c>
      <c r="T728" s="45" cm="1">
        <f t="array" ref="T728">SUMPRODUCT(P728:S728 * P$3:S$3) / SUM(P$3:S$3)</f>
        <v>4.0219953236205228</v>
      </c>
    </row>
    <row r="729" spans="1:20" ht="16.5" customHeight="1" x14ac:dyDescent="0.25">
      <c r="A729" s="5" t="s">
        <v>6881</v>
      </c>
      <c r="B729" s="20" t="s">
        <v>6298</v>
      </c>
      <c r="C729" s="4" t="s">
        <v>8796</v>
      </c>
      <c r="D729" s="4" t="s">
        <v>9013</v>
      </c>
      <c r="E729" s="12" t="s">
        <v>407</v>
      </c>
      <c r="F729" s="75" t="s">
        <v>411</v>
      </c>
      <c r="G729" s="3">
        <v>64</v>
      </c>
      <c r="H729" s="3" t="s">
        <v>404</v>
      </c>
      <c r="I729" s="13" t="s">
        <v>6740</v>
      </c>
      <c r="J729" s="72">
        <v>1.25</v>
      </c>
      <c r="K729" s="14" t="s">
        <v>6175</v>
      </c>
      <c r="L729" s="9">
        <v>197.9</v>
      </c>
      <c r="M729" s="3">
        <v>252.77</v>
      </c>
      <c r="N729" s="17" t="s">
        <v>6299</v>
      </c>
      <c r="O729" s="18" t="s">
        <v>6297</v>
      </c>
      <c r="P729" s="49">
        <f t="shared" si="45"/>
        <v>3.2716145900866156</v>
      </c>
      <c r="Q729" s="1">
        <f t="shared" si="46"/>
        <v>4.3653327272568596</v>
      </c>
      <c r="R729" s="1">
        <f t="shared" si="48"/>
        <v>4.5945054122537226</v>
      </c>
      <c r="S729" s="10">
        <f t="shared" si="47"/>
        <v>3.818473658671738</v>
      </c>
      <c r="T729" s="45" cm="1">
        <f t="array" ref="T729">SUMPRODUCT(P729:S729 * P$3:S$3) / SUM(P$3:S$3)</f>
        <v>4.0219953236205228</v>
      </c>
    </row>
    <row r="730" spans="1:20" ht="16.5" customHeight="1" x14ac:dyDescent="0.25">
      <c r="A730" s="5" t="s">
        <v>6881</v>
      </c>
      <c r="B730" s="20" t="s">
        <v>6303</v>
      </c>
      <c r="C730" s="4" t="s">
        <v>8796</v>
      </c>
      <c r="D730" s="4" t="s">
        <v>9013</v>
      </c>
      <c r="E730" s="12" t="s">
        <v>407</v>
      </c>
      <c r="F730" s="75" t="s">
        <v>411</v>
      </c>
      <c r="G730" s="3">
        <v>64</v>
      </c>
      <c r="H730" s="3" t="s">
        <v>404</v>
      </c>
      <c r="I730" s="13" t="s">
        <v>6739</v>
      </c>
      <c r="J730" s="72">
        <v>1.25</v>
      </c>
      <c r="K730" s="14" t="s">
        <v>6175</v>
      </c>
      <c r="L730" s="9">
        <v>277</v>
      </c>
      <c r="M730" s="3">
        <v>369</v>
      </c>
      <c r="N730" s="17" t="s">
        <v>6304</v>
      </c>
      <c r="O730" s="18" t="s">
        <v>6300</v>
      </c>
      <c r="P730" s="49">
        <f t="shared" si="45"/>
        <v>3.2795848069723235</v>
      </c>
      <c r="Q730" s="1">
        <f t="shared" si="46"/>
        <v>4.3693178356997135</v>
      </c>
      <c r="R730" s="1">
        <f t="shared" si="48"/>
        <v>4.5984905206965765</v>
      </c>
      <c r="S730" s="10">
        <f t="shared" si="47"/>
        <v>3.8244513213360189</v>
      </c>
      <c r="T730" s="45" cm="1">
        <f t="array" ref="T730">SUMPRODUCT(P730:S730 * P$3:S$3) / SUM(P$3:S$3)</f>
        <v>4.027359892678211</v>
      </c>
    </row>
    <row r="731" spans="1:20" ht="16.5" customHeight="1" x14ac:dyDescent="0.25">
      <c r="A731" s="5" t="s">
        <v>6881</v>
      </c>
      <c r="B731" s="20" t="s">
        <v>6405</v>
      </c>
      <c r="C731" s="4" t="s">
        <v>8796</v>
      </c>
      <c r="D731" s="4" t="s">
        <v>9013</v>
      </c>
      <c r="E731" s="12" t="s">
        <v>407</v>
      </c>
      <c r="F731" s="75" t="s">
        <v>411</v>
      </c>
      <c r="G731" s="3">
        <v>64</v>
      </c>
      <c r="H731" s="3" t="s">
        <v>404</v>
      </c>
      <c r="I731" s="13" t="s">
        <v>6740</v>
      </c>
      <c r="J731" s="72">
        <v>1.25</v>
      </c>
      <c r="K731" s="14" t="s">
        <v>6175</v>
      </c>
      <c r="L731" s="9">
        <v>198.89</v>
      </c>
      <c r="M731" s="3">
        <v>244.15</v>
      </c>
      <c r="N731" s="17" t="s">
        <v>6406</v>
      </c>
      <c r="O731" s="18" t="s">
        <v>6404</v>
      </c>
      <c r="P731" s="49">
        <f t="shared" si="45"/>
        <v>3.2716145900866156</v>
      </c>
      <c r="Q731" s="1">
        <f t="shared" si="46"/>
        <v>4.3653327272568596</v>
      </c>
      <c r="R731" s="1">
        <f t="shared" si="48"/>
        <v>4.5945054122537226</v>
      </c>
      <c r="S731" s="10">
        <f t="shared" si="47"/>
        <v>3.818473658671738</v>
      </c>
      <c r="T731" s="45" cm="1">
        <f t="array" ref="T731">SUMPRODUCT(P731:S731 * P$3:S$3) / SUM(P$3:S$3)</f>
        <v>4.0219953236205228</v>
      </c>
    </row>
    <row r="732" spans="1:20" ht="16.5" customHeight="1" x14ac:dyDescent="0.25">
      <c r="A732" s="5" t="s">
        <v>6881</v>
      </c>
      <c r="B732" s="20" t="s">
        <v>6407</v>
      </c>
      <c r="C732" s="4" t="s">
        <v>8796</v>
      </c>
      <c r="D732" s="4" t="s">
        <v>9013</v>
      </c>
      <c r="E732" s="12" t="s">
        <v>407</v>
      </c>
      <c r="F732" s="75" t="s">
        <v>411</v>
      </c>
      <c r="G732" s="3">
        <v>64</v>
      </c>
      <c r="H732" s="3" t="s">
        <v>404</v>
      </c>
      <c r="I732" s="13" t="s">
        <v>6740</v>
      </c>
      <c r="J732" s="72">
        <v>1.25</v>
      </c>
      <c r="K732" s="14" t="s">
        <v>6175</v>
      </c>
      <c r="L732" s="9">
        <v>250.91</v>
      </c>
      <c r="M732" s="3">
        <v>412.2</v>
      </c>
      <c r="N732" s="17" t="s">
        <v>6408</v>
      </c>
      <c r="O732" s="18" t="s">
        <v>6404</v>
      </c>
      <c r="P732" s="49">
        <f t="shared" si="45"/>
        <v>3.2716145900866156</v>
      </c>
      <c r="Q732" s="1">
        <f t="shared" si="46"/>
        <v>4.3653327272568596</v>
      </c>
      <c r="R732" s="1">
        <f t="shared" si="48"/>
        <v>4.5945054122537226</v>
      </c>
      <c r="S732" s="10">
        <f t="shared" si="47"/>
        <v>3.818473658671738</v>
      </c>
      <c r="T732" s="45" cm="1">
        <f t="array" ref="T732">SUMPRODUCT(P732:S732 * P$3:S$3) / SUM(P$3:S$3)</f>
        <v>4.0219953236205228</v>
      </c>
    </row>
    <row r="733" spans="1:20" ht="16.5" customHeight="1" x14ac:dyDescent="0.25">
      <c r="A733" s="5" t="s">
        <v>6881</v>
      </c>
      <c r="B733" s="20" t="s">
        <v>6412</v>
      </c>
      <c r="C733" s="4" t="s">
        <v>8796</v>
      </c>
      <c r="D733" s="4" t="s">
        <v>9013</v>
      </c>
      <c r="E733" s="12" t="s">
        <v>407</v>
      </c>
      <c r="F733" s="75" t="s">
        <v>411</v>
      </c>
      <c r="G733" s="3">
        <v>64</v>
      </c>
      <c r="H733" s="3" t="s">
        <v>404</v>
      </c>
      <c r="I733" s="13" t="s">
        <v>6739</v>
      </c>
      <c r="J733" s="72">
        <v>1.25</v>
      </c>
      <c r="K733" s="14" t="s">
        <v>6175</v>
      </c>
      <c r="L733" s="9">
        <v>222.53</v>
      </c>
      <c r="M733" s="3">
        <v>264.39</v>
      </c>
      <c r="N733" s="17" t="s">
        <v>6413</v>
      </c>
      <c r="O733" s="18" t="s">
        <v>6409</v>
      </c>
      <c r="P733" s="49">
        <f t="shared" si="45"/>
        <v>3.2795848069723235</v>
      </c>
      <c r="Q733" s="1">
        <f t="shared" si="46"/>
        <v>4.3693178356997135</v>
      </c>
      <c r="R733" s="1">
        <f t="shared" si="48"/>
        <v>4.5984905206965765</v>
      </c>
      <c r="S733" s="10">
        <f t="shared" si="47"/>
        <v>3.8244513213360189</v>
      </c>
      <c r="T733" s="45" cm="1">
        <f t="array" ref="T733">SUMPRODUCT(P733:S733 * P$3:S$3) / SUM(P$3:S$3)</f>
        <v>4.027359892678211</v>
      </c>
    </row>
    <row r="734" spans="1:20" ht="16.5" customHeight="1" x14ac:dyDescent="0.25">
      <c r="A734" s="5" t="s">
        <v>6881</v>
      </c>
      <c r="B734" s="20" t="s">
        <v>6472</v>
      </c>
      <c r="C734" s="4" t="s">
        <v>8796</v>
      </c>
      <c r="D734" s="4" t="s">
        <v>9013</v>
      </c>
      <c r="E734" s="12" t="s">
        <v>407</v>
      </c>
      <c r="F734" s="75" t="s">
        <v>411</v>
      </c>
      <c r="G734" s="3">
        <v>64</v>
      </c>
      <c r="H734" s="3" t="s">
        <v>404</v>
      </c>
      <c r="I734" s="13" t="s">
        <v>6740</v>
      </c>
      <c r="J734" s="72">
        <v>1.25</v>
      </c>
      <c r="L734" s="9">
        <v>184.9</v>
      </c>
      <c r="M734" s="3">
        <v>357</v>
      </c>
      <c r="N734" s="17" t="s">
        <v>6473</v>
      </c>
      <c r="O734" s="18" t="s">
        <v>6471</v>
      </c>
      <c r="P734" s="49">
        <f t="shared" si="45"/>
        <v>3.2716145900866156</v>
      </c>
      <c r="Q734" s="1">
        <f t="shared" si="46"/>
        <v>4.3653327272568596</v>
      </c>
      <c r="R734" s="1">
        <f t="shared" si="48"/>
        <v>4.5945054122537226</v>
      </c>
      <c r="S734" s="10">
        <f t="shared" si="47"/>
        <v>3.818473658671738</v>
      </c>
      <c r="T734" s="45" cm="1">
        <f t="array" ref="T734">SUMPRODUCT(P734:S734 * P$3:S$3) / SUM(P$3:S$3)</f>
        <v>4.0219953236205228</v>
      </c>
    </row>
    <row r="735" spans="1:20" ht="16.5" customHeight="1" x14ac:dyDescent="0.25">
      <c r="A735" s="5" t="s">
        <v>6871</v>
      </c>
      <c r="B735" s="20" t="s">
        <v>5904</v>
      </c>
      <c r="C735" s="4" t="s">
        <v>8797</v>
      </c>
      <c r="D735" s="4" t="s">
        <v>9013</v>
      </c>
      <c r="E735" s="12" t="s">
        <v>407</v>
      </c>
      <c r="F735" s="75" t="s">
        <v>411</v>
      </c>
      <c r="G735" s="3">
        <v>64</v>
      </c>
      <c r="H735" s="3" t="s">
        <v>404</v>
      </c>
      <c r="I735" s="13" t="s">
        <v>6746</v>
      </c>
      <c r="J735" s="72">
        <v>1.1000000000000001</v>
      </c>
      <c r="L735" s="9">
        <v>180.8</v>
      </c>
      <c r="M735" s="3">
        <v>258.20999999999998</v>
      </c>
      <c r="N735" s="17" t="s">
        <v>5905</v>
      </c>
      <c r="O735" s="18" t="s">
        <v>5903</v>
      </c>
      <c r="P735" s="49">
        <f t="shared" si="45"/>
        <v>3.2689040420004432</v>
      </c>
      <c r="Q735" s="1">
        <f t="shared" si="46"/>
        <v>4.3675343053379239</v>
      </c>
      <c r="R735" s="1">
        <f t="shared" si="48"/>
        <v>4.5967069903347868</v>
      </c>
      <c r="S735" s="10">
        <f t="shared" si="47"/>
        <v>3.818219173669184</v>
      </c>
      <c r="T735" s="45" cm="1">
        <f t="array" ref="T735">SUMPRODUCT(P735:S735 * P$3:S$3) / SUM(P$3:S$3)</f>
        <v>4.0224965503360055</v>
      </c>
    </row>
    <row r="736" spans="1:20" ht="16.5" customHeight="1" x14ac:dyDescent="0.25">
      <c r="A736" s="5" t="s">
        <v>6871</v>
      </c>
      <c r="B736" s="20" t="s">
        <v>5907</v>
      </c>
      <c r="C736" s="4" t="s">
        <v>8797</v>
      </c>
      <c r="D736" s="4" t="s">
        <v>9013</v>
      </c>
      <c r="E736" s="12" t="s">
        <v>407</v>
      </c>
      <c r="F736" s="75" t="s">
        <v>411</v>
      </c>
      <c r="G736" s="3">
        <v>64</v>
      </c>
      <c r="H736" s="3" t="s">
        <v>404</v>
      </c>
      <c r="I736" s="13" t="s">
        <v>6739</v>
      </c>
      <c r="J736" s="72">
        <v>1.25</v>
      </c>
      <c r="L736" s="9">
        <v>160.9</v>
      </c>
      <c r="M736" s="3">
        <v>246.47</v>
      </c>
      <c r="N736" s="17" t="s">
        <v>5908</v>
      </c>
      <c r="O736" s="18" t="s">
        <v>5906</v>
      </c>
      <c r="P736" s="49">
        <f t="shared" si="45"/>
        <v>3.2795848069723235</v>
      </c>
      <c r="Q736" s="1">
        <f t="shared" si="46"/>
        <v>4.3693178356997135</v>
      </c>
      <c r="R736" s="1">
        <f t="shared" si="48"/>
        <v>4.5984905206965765</v>
      </c>
      <c r="S736" s="10">
        <f t="shared" si="47"/>
        <v>3.8244513213360189</v>
      </c>
      <c r="T736" s="45" cm="1">
        <f t="array" ref="T736">SUMPRODUCT(P736:S736 * P$3:S$3) / SUM(P$3:S$3)</f>
        <v>4.027359892678211</v>
      </c>
    </row>
    <row r="737" spans="1:20" ht="16.5" customHeight="1" x14ac:dyDescent="0.25">
      <c r="A737" s="5" t="s">
        <v>6853</v>
      </c>
      <c r="B737" s="20" t="s">
        <v>5731</v>
      </c>
      <c r="C737" s="4" t="s">
        <v>8797</v>
      </c>
      <c r="D737" s="4" t="s">
        <v>9013</v>
      </c>
      <c r="E737" s="12" t="s">
        <v>407</v>
      </c>
      <c r="F737" s="75" t="s">
        <v>411</v>
      </c>
      <c r="G737" s="3">
        <v>64</v>
      </c>
      <c r="H737" s="3" t="s">
        <v>404</v>
      </c>
      <c r="I737" s="13" t="s">
        <v>6741</v>
      </c>
      <c r="J737" s="72">
        <v>1.25</v>
      </c>
      <c r="K737" s="14" t="s">
        <v>5196</v>
      </c>
      <c r="L737" s="9">
        <v>220.77</v>
      </c>
      <c r="M737" s="3">
        <v>256.5</v>
      </c>
      <c r="N737" s="17" t="s">
        <v>5732</v>
      </c>
      <c r="O737" s="18" t="s">
        <v>5730</v>
      </c>
      <c r="P737" s="49">
        <f t="shared" si="45"/>
        <v>3.2946250933508736</v>
      </c>
      <c r="Q737" s="1">
        <f t="shared" si="46"/>
        <v>4.3768379788889886</v>
      </c>
      <c r="R737" s="1">
        <f t="shared" si="48"/>
        <v>4.6060106638858516</v>
      </c>
      <c r="S737" s="10">
        <f t="shared" si="47"/>
        <v>3.8357315361199316</v>
      </c>
      <c r="T737" s="45" cm="1">
        <f t="array" ref="T737">SUMPRODUCT(P737:S737 * P$3:S$3) / SUM(P$3:S$3)</f>
        <v>4.0374831623560814</v>
      </c>
    </row>
    <row r="738" spans="1:20" ht="16.5" customHeight="1" x14ac:dyDescent="0.25">
      <c r="A738" s="5" t="s">
        <v>6853</v>
      </c>
      <c r="B738" s="20" t="s">
        <v>5796</v>
      </c>
      <c r="C738" s="4" t="s">
        <v>8797</v>
      </c>
      <c r="D738" s="4" t="s">
        <v>9013</v>
      </c>
      <c r="E738" s="12" t="s">
        <v>407</v>
      </c>
      <c r="F738" s="75" t="s">
        <v>411</v>
      </c>
      <c r="G738" s="3">
        <v>64</v>
      </c>
      <c r="H738" s="3" t="s">
        <v>404</v>
      </c>
      <c r="I738" s="13" t="s">
        <v>6741</v>
      </c>
      <c r="J738" s="72">
        <v>1.25</v>
      </c>
      <c r="K738" s="14" t="s">
        <v>5196</v>
      </c>
      <c r="L738" s="9">
        <v>220.77</v>
      </c>
      <c r="M738" s="3">
        <v>259.25</v>
      </c>
      <c r="N738" s="17" t="s">
        <v>5797</v>
      </c>
      <c r="O738" s="18" t="s">
        <v>5795</v>
      </c>
      <c r="P738" s="49">
        <f t="shared" si="45"/>
        <v>3.2946250933508736</v>
      </c>
      <c r="Q738" s="1">
        <f t="shared" si="46"/>
        <v>4.3768379788889886</v>
      </c>
      <c r="R738" s="1">
        <f t="shared" si="48"/>
        <v>4.6060106638858516</v>
      </c>
      <c r="S738" s="10">
        <f t="shared" si="47"/>
        <v>3.8357315361199316</v>
      </c>
      <c r="T738" s="45" cm="1">
        <f t="array" ref="T738">SUMPRODUCT(P738:S738 * P$3:S$3) / SUM(P$3:S$3)</f>
        <v>4.0374831623560814</v>
      </c>
    </row>
    <row r="739" spans="1:20" ht="16.5" customHeight="1" x14ac:dyDescent="0.25">
      <c r="A739" s="5" t="s">
        <v>6833</v>
      </c>
      <c r="B739" s="20" t="s">
        <v>5578</v>
      </c>
      <c r="C739" s="4" t="s">
        <v>8797</v>
      </c>
      <c r="D739" s="4" t="s">
        <v>9013</v>
      </c>
      <c r="E739" s="12" t="s">
        <v>407</v>
      </c>
      <c r="F739" s="75" t="s">
        <v>411</v>
      </c>
      <c r="G739" s="3">
        <v>64</v>
      </c>
      <c r="H739" s="3" t="s">
        <v>404</v>
      </c>
      <c r="I739" s="13" t="s">
        <v>6746</v>
      </c>
      <c r="J739" s="72">
        <v>1.1000000000000001</v>
      </c>
      <c r="L739" s="9">
        <v>154.69999999999999</v>
      </c>
      <c r="M739" s="3">
        <v>193</v>
      </c>
      <c r="N739" s="17" t="s">
        <v>5579</v>
      </c>
      <c r="O739" s="18" t="s">
        <v>5577</v>
      </c>
      <c r="P739" s="49">
        <f t="shared" si="45"/>
        <v>3.2689040420004432</v>
      </c>
      <c r="Q739" s="1">
        <f t="shared" si="46"/>
        <v>4.3675343053379239</v>
      </c>
      <c r="R739" s="1">
        <f t="shared" si="48"/>
        <v>4.5967069903347868</v>
      </c>
      <c r="S739" s="10">
        <f t="shared" si="47"/>
        <v>3.818219173669184</v>
      </c>
      <c r="T739" s="45" cm="1">
        <f t="array" ref="T739">SUMPRODUCT(P739:S739 * P$3:S$3) / SUM(P$3:S$3)</f>
        <v>4.0224965503360055</v>
      </c>
    </row>
    <row r="740" spans="1:20" ht="16.5" customHeight="1" x14ac:dyDescent="0.25">
      <c r="A740" s="5" t="s">
        <v>6833</v>
      </c>
      <c r="B740" s="20" t="s">
        <v>5581</v>
      </c>
      <c r="C740" s="4" t="s">
        <v>8797</v>
      </c>
      <c r="D740" s="4" t="s">
        <v>9013</v>
      </c>
      <c r="E740" s="12" t="s">
        <v>407</v>
      </c>
      <c r="F740" s="75" t="s">
        <v>411</v>
      </c>
      <c r="G740" s="3">
        <v>64</v>
      </c>
      <c r="H740" s="3" t="s">
        <v>404</v>
      </c>
      <c r="I740" s="13" t="s">
        <v>6739</v>
      </c>
      <c r="J740" s="72">
        <v>1.25</v>
      </c>
      <c r="L740" s="9">
        <v>151.9</v>
      </c>
      <c r="M740" s="3">
        <v>338.09</v>
      </c>
      <c r="N740" s="17" t="s">
        <v>5582</v>
      </c>
      <c r="O740" s="18" t="s">
        <v>5580</v>
      </c>
      <c r="P740" s="49">
        <f t="shared" si="45"/>
        <v>3.2795848069723235</v>
      </c>
      <c r="Q740" s="1">
        <f t="shared" si="46"/>
        <v>4.3693178356997135</v>
      </c>
      <c r="R740" s="1">
        <f t="shared" si="48"/>
        <v>4.5984905206965765</v>
      </c>
      <c r="S740" s="10">
        <f t="shared" si="47"/>
        <v>3.8244513213360189</v>
      </c>
      <c r="T740" s="45" cm="1">
        <f t="array" ref="T740">SUMPRODUCT(P740:S740 * P$3:S$3) / SUM(P$3:S$3)</f>
        <v>4.027359892678211</v>
      </c>
    </row>
    <row r="741" spans="1:20" ht="16.5" customHeight="1" x14ac:dyDescent="0.25">
      <c r="A741" s="5" t="s">
        <v>6833</v>
      </c>
      <c r="B741" s="20" t="s">
        <v>5584</v>
      </c>
      <c r="C741" s="4" t="s">
        <v>8797</v>
      </c>
      <c r="D741" s="4" t="s">
        <v>9013</v>
      </c>
      <c r="E741" s="12" t="s">
        <v>407</v>
      </c>
      <c r="F741" s="75" t="s">
        <v>411</v>
      </c>
      <c r="G741" s="3">
        <v>64</v>
      </c>
      <c r="H741" s="3" t="s">
        <v>404</v>
      </c>
      <c r="I741" s="13" t="s">
        <v>6743</v>
      </c>
      <c r="J741" s="72">
        <v>1.35</v>
      </c>
      <c r="L741" s="9">
        <v>201.52</v>
      </c>
      <c r="M741" s="3">
        <v>323.8</v>
      </c>
      <c r="N741" s="17" t="s">
        <v>5585</v>
      </c>
      <c r="O741" s="18" t="s">
        <v>5583</v>
      </c>
      <c r="P741" s="49">
        <f t="shared" si="45"/>
        <v>3.2966910527884581</v>
      </c>
      <c r="Q741" s="1">
        <f t="shared" si="46"/>
        <v>4.3758366815535643</v>
      </c>
      <c r="R741" s="1">
        <f t="shared" si="48"/>
        <v>4.6050093665504273</v>
      </c>
      <c r="S741" s="10">
        <f t="shared" si="47"/>
        <v>3.8362638671710116</v>
      </c>
      <c r="T741" s="45" cm="1">
        <f t="array" ref="T741">SUMPRODUCT(P741:S741 * P$3:S$3) / SUM(P$3:S$3)</f>
        <v>4.0375436077497762</v>
      </c>
    </row>
    <row r="742" spans="1:20" ht="16.5" customHeight="1" x14ac:dyDescent="0.25">
      <c r="A742" s="5" t="s">
        <v>6833</v>
      </c>
      <c r="B742" s="20" t="s">
        <v>5645</v>
      </c>
      <c r="C742" s="4" t="s">
        <v>8797</v>
      </c>
      <c r="D742" s="4" t="s">
        <v>9013</v>
      </c>
      <c r="E742" s="12" t="s">
        <v>407</v>
      </c>
      <c r="F742" s="75" t="s">
        <v>411</v>
      </c>
      <c r="G742" s="3">
        <v>64</v>
      </c>
      <c r="H742" s="3" t="s">
        <v>404</v>
      </c>
      <c r="I742" s="13" t="s">
        <v>6739</v>
      </c>
      <c r="J742" s="72">
        <v>1.25</v>
      </c>
      <c r="L742" s="9">
        <v>161.36000000000001</v>
      </c>
      <c r="M742" s="3">
        <v>319.58999999999997</v>
      </c>
      <c r="N742" s="17" t="s">
        <v>5646</v>
      </c>
      <c r="O742" s="18" t="s">
        <v>5644</v>
      </c>
      <c r="P742" s="49">
        <f t="shared" si="45"/>
        <v>3.2795848069723235</v>
      </c>
      <c r="Q742" s="1">
        <f t="shared" si="46"/>
        <v>4.3693178356997135</v>
      </c>
      <c r="R742" s="1">
        <f t="shared" si="48"/>
        <v>4.5984905206965765</v>
      </c>
      <c r="S742" s="10">
        <f t="shared" si="47"/>
        <v>3.8244513213360189</v>
      </c>
      <c r="T742" s="45" cm="1">
        <f t="array" ref="T742">SUMPRODUCT(P742:S742 * P$3:S$3) / SUM(P$3:S$3)</f>
        <v>4.027359892678211</v>
      </c>
    </row>
    <row r="743" spans="1:20" ht="16.5" customHeight="1" x14ac:dyDescent="0.25">
      <c r="A743" s="5" t="s">
        <v>6833</v>
      </c>
      <c r="B743" s="20" t="s">
        <v>5648</v>
      </c>
      <c r="C743" s="4" t="s">
        <v>8797</v>
      </c>
      <c r="D743" s="4" t="s">
        <v>9013</v>
      </c>
      <c r="E743" s="12" t="s">
        <v>407</v>
      </c>
      <c r="F743" s="75" t="s">
        <v>411</v>
      </c>
      <c r="G743" s="3">
        <v>64</v>
      </c>
      <c r="H743" s="3" t="s">
        <v>404</v>
      </c>
      <c r="I743" s="13" t="s">
        <v>6741</v>
      </c>
      <c r="J743" s="72">
        <v>1.25</v>
      </c>
      <c r="L743" s="9">
        <v>200.3</v>
      </c>
      <c r="M743" s="3">
        <v>249.99</v>
      </c>
      <c r="N743" s="17" t="s">
        <v>5649</v>
      </c>
      <c r="O743" s="18" t="s">
        <v>5647</v>
      </c>
      <c r="P743" s="49">
        <f t="shared" si="45"/>
        <v>3.2946250933508736</v>
      </c>
      <c r="Q743" s="1">
        <f t="shared" si="46"/>
        <v>4.3768379788889886</v>
      </c>
      <c r="R743" s="1">
        <f t="shared" si="48"/>
        <v>4.6060106638858516</v>
      </c>
      <c r="S743" s="10">
        <f t="shared" si="47"/>
        <v>3.8357315361199316</v>
      </c>
      <c r="T743" s="45" cm="1">
        <f t="array" ref="T743">SUMPRODUCT(P743:S743 * P$3:S$3) / SUM(P$3:S$3)</f>
        <v>4.0374831623560814</v>
      </c>
    </row>
    <row r="744" spans="1:20" ht="16.5" customHeight="1" x14ac:dyDescent="0.25">
      <c r="A744" s="5" t="s">
        <v>6833</v>
      </c>
      <c r="B744" s="20" t="s">
        <v>5651</v>
      </c>
      <c r="C744" s="4" t="s">
        <v>8797</v>
      </c>
      <c r="D744" s="4" t="s">
        <v>9013</v>
      </c>
      <c r="E744" s="12" t="s">
        <v>407</v>
      </c>
      <c r="F744" s="75" t="s">
        <v>411</v>
      </c>
      <c r="G744" s="3">
        <v>64</v>
      </c>
      <c r="H744" s="3" t="s">
        <v>404</v>
      </c>
      <c r="I744" s="13" t="s">
        <v>6743</v>
      </c>
      <c r="J744" s="72">
        <v>1.35</v>
      </c>
      <c r="L744" s="9">
        <v>201.52</v>
      </c>
      <c r="M744" s="3">
        <v>390</v>
      </c>
      <c r="N744" s="17" t="s">
        <v>5652</v>
      </c>
      <c r="O744" s="18" t="s">
        <v>5650</v>
      </c>
      <c r="P744" s="49">
        <f t="shared" si="45"/>
        <v>3.2966910527884581</v>
      </c>
      <c r="Q744" s="1">
        <f t="shared" si="46"/>
        <v>4.3758366815535643</v>
      </c>
      <c r="R744" s="1">
        <f t="shared" si="48"/>
        <v>4.6050093665504273</v>
      </c>
      <c r="S744" s="10">
        <f t="shared" si="47"/>
        <v>3.8362638671710116</v>
      </c>
      <c r="T744" s="45" cm="1">
        <f t="array" ref="T744">SUMPRODUCT(P744:S744 * P$3:S$3) / SUM(P$3:S$3)</f>
        <v>4.0375436077497762</v>
      </c>
    </row>
    <row r="745" spans="1:20" ht="16.5" customHeight="1" x14ac:dyDescent="0.25">
      <c r="A745" s="5" t="s">
        <v>6819</v>
      </c>
      <c r="B745" s="20" t="s">
        <v>5289</v>
      </c>
      <c r="C745" s="4" t="s">
        <v>8797</v>
      </c>
      <c r="D745" s="4" t="s">
        <v>9013</v>
      </c>
      <c r="E745" s="12" t="s">
        <v>407</v>
      </c>
      <c r="F745" s="75" t="s">
        <v>411</v>
      </c>
      <c r="G745" s="3">
        <v>64</v>
      </c>
      <c r="H745" s="3" t="s">
        <v>404</v>
      </c>
      <c r="I745" s="13" t="s">
        <v>6743</v>
      </c>
      <c r="J745" s="72">
        <v>1.35</v>
      </c>
      <c r="K745" s="14" t="s">
        <v>5196</v>
      </c>
      <c r="L745" s="9">
        <v>220.4</v>
      </c>
      <c r="M745" s="3">
        <v>339</v>
      </c>
      <c r="N745" s="17" t="s">
        <v>5290</v>
      </c>
      <c r="O745" s="18" t="s">
        <v>5288</v>
      </c>
      <c r="P745" s="49">
        <f t="shared" si="45"/>
        <v>3.2966910527884581</v>
      </c>
      <c r="Q745" s="1">
        <f t="shared" si="46"/>
        <v>4.3758366815535643</v>
      </c>
      <c r="R745" s="1">
        <f t="shared" si="48"/>
        <v>4.6050093665504273</v>
      </c>
      <c r="S745" s="10">
        <f t="shared" si="47"/>
        <v>3.8362638671710116</v>
      </c>
      <c r="T745" s="45" cm="1">
        <f t="array" ref="T745">SUMPRODUCT(P745:S745 * P$3:S$3) / SUM(P$3:S$3)</f>
        <v>4.0375436077497762</v>
      </c>
    </row>
    <row r="746" spans="1:20" ht="16.5" customHeight="1" x14ac:dyDescent="0.25">
      <c r="A746" s="5" t="s">
        <v>6819</v>
      </c>
      <c r="B746" s="20" t="s">
        <v>5364</v>
      </c>
      <c r="C746" s="4" t="s">
        <v>8797</v>
      </c>
      <c r="D746" s="4" t="s">
        <v>9013</v>
      </c>
      <c r="E746" s="12" t="s">
        <v>407</v>
      </c>
      <c r="F746" s="75" t="s">
        <v>411</v>
      </c>
      <c r="G746" s="3">
        <v>64</v>
      </c>
      <c r="H746" s="3" t="s">
        <v>404</v>
      </c>
      <c r="I746" s="13" t="s">
        <v>6741</v>
      </c>
      <c r="J746" s="72">
        <v>1.25</v>
      </c>
      <c r="K746" s="14" t="s">
        <v>5196</v>
      </c>
      <c r="L746" s="9">
        <v>216.19</v>
      </c>
      <c r="M746" s="3">
        <v>397.47</v>
      </c>
      <c r="N746" s="17" t="s">
        <v>5365</v>
      </c>
      <c r="O746" s="18" t="s">
        <v>5363</v>
      </c>
      <c r="P746" s="49">
        <f t="shared" si="45"/>
        <v>3.2946250933508736</v>
      </c>
      <c r="Q746" s="1">
        <f t="shared" si="46"/>
        <v>4.3768379788889886</v>
      </c>
      <c r="R746" s="1">
        <f t="shared" si="48"/>
        <v>4.6060106638858516</v>
      </c>
      <c r="S746" s="10">
        <f t="shared" si="47"/>
        <v>3.8357315361199316</v>
      </c>
      <c r="T746" s="45" cm="1">
        <f t="array" ref="T746">SUMPRODUCT(P746:S746 * P$3:S$3) / SUM(P$3:S$3)</f>
        <v>4.0374831623560814</v>
      </c>
    </row>
    <row r="747" spans="1:20" ht="16.5" customHeight="1" x14ac:dyDescent="0.25">
      <c r="A747" s="5" t="s">
        <v>6819</v>
      </c>
      <c r="B747" s="20" t="s">
        <v>5367</v>
      </c>
      <c r="C747" s="4" t="s">
        <v>8797</v>
      </c>
      <c r="D747" s="4" t="s">
        <v>9013</v>
      </c>
      <c r="E747" s="12" t="s">
        <v>407</v>
      </c>
      <c r="F747" s="75" t="s">
        <v>411</v>
      </c>
      <c r="G747" s="3">
        <v>64</v>
      </c>
      <c r="H747" s="3" t="s">
        <v>404</v>
      </c>
      <c r="I747" s="13" t="s">
        <v>6743</v>
      </c>
      <c r="J747" s="72">
        <v>1.35</v>
      </c>
      <c r="K747" s="14" t="s">
        <v>5196</v>
      </c>
      <c r="L747" s="9">
        <v>220.4</v>
      </c>
      <c r="M747" s="3">
        <v>295.39</v>
      </c>
      <c r="N747" s="17" t="s">
        <v>5368</v>
      </c>
      <c r="O747" s="18" t="s">
        <v>5366</v>
      </c>
      <c r="P747" s="49">
        <f t="shared" si="45"/>
        <v>3.2966910527884581</v>
      </c>
      <c r="Q747" s="1">
        <f t="shared" si="46"/>
        <v>4.3758366815535643</v>
      </c>
      <c r="R747" s="1">
        <f t="shared" si="48"/>
        <v>4.6050093665504273</v>
      </c>
      <c r="S747" s="10">
        <f t="shared" si="47"/>
        <v>3.8362638671710116</v>
      </c>
      <c r="T747" s="45" cm="1">
        <f t="array" ref="T747">SUMPRODUCT(P747:S747 * P$3:S$3) / SUM(P$3:S$3)</f>
        <v>4.0375436077497762</v>
      </c>
    </row>
    <row r="748" spans="1:20" ht="16.5" customHeight="1" x14ac:dyDescent="0.25">
      <c r="A748" s="5" t="s">
        <v>6779</v>
      </c>
      <c r="B748" s="20" t="s">
        <v>4571</v>
      </c>
      <c r="C748" s="4" t="s">
        <v>8798</v>
      </c>
      <c r="D748" s="4" t="s">
        <v>9013</v>
      </c>
      <c r="E748" s="12" t="s">
        <v>407</v>
      </c>
      <c r="F748" s="75" t="s">
        <v>411</v>
      </c>
      <c r="G748" s="3">
        <v>64</v>
      </c>
      <c r="H748" s="3" t="s">
        <v>404</v>
      </c>
      <c r="I748" s="13" t="s">
        <v>6740</v>
      </c>
      <c r="J748" s="72">
        <v>1.25</v>
      </c>
      <c r="L748" s="9">
        <v>174.54</v>
      </c>
      <c r="M748" s="3">
        <v>224.73</v>
      </c>
      <c r="N748" s="17" t="s">
        <v>4572</v>
      </c>
      <c r="O748" s="18" t="s">
        <v>4568</v>
      </c>
      <c r="P748" s="49">
        <f t="shared" si="45"/>
        <v>3.2716145900866156</v>
      </c>
      <c r="Q748" s="1">
        <f t="shared" si="46"/>
        <v>4.3653327272568596</v>
      </c>
      <c r="R748" s="1">
        <f t="shared" si="48"/>
        <v>4.5945054122537226</v>
      </c>
      <c r="S748" s="10">
        <f t="shared" si="47"/>
        <v>3.818473658671738</v>
      </c>
      <c r="T748" s="45" cm="1">
        <f t="array" ref="T748">SUMPRODUCT(P748:S748 * P$3:S$3) / SUM(P$3:S$3)</f>
        <v>4.0219953236205228</v>
      </c>
    </row>
    <row r="749" spans="1:20" ht="16.5" customHeight="1" x14ac:dyDescent="0.25">
      <c r="A749" s="5" t="s">
        <v>6779</v>
      </c>
      <c r="B749" s="20" t="s">
        <v>4574</v>
      </c>
      <c r="C749" s="4" t="s">
        <v>8798</v>
      </c>
      <c r="D749" s="4" t="s">
        <v>9013</v>
      </c>
      <c r="E749" s="12" t="s">
        <v>407</v>
      </c>
      <c r="F749" s="75" t="s">
        <v>411</v>
      </c>
      <c r="G749" s="3">
        <v>64</v>
      </c>
      <c r="H749" s="3" t="s">
        <v>404</v>
      </c>
      <c r="I749" s="13" t="s">
        <v>6739</v>
      </c>
      <c r="J749" s="72">
        <v>1.25</v>
      </c>
      <c r="L749" s="9">
        <v>169.1</v>
      </c>
      <c r="M749" s="3">
        <v>252</v>
      </c>
      <c r="N749" s="17" t="s">
        <v>4575</v>
      </c>
      <c r="O749" s="18" t="s">
        <v>4573</v>
      </c>
      <c r="P749" s="49">
        <f t="shared" si="45"/>
        <v>3.2795848069723235</v>
      </c>
      <c r="Q749" s="1">
        <f t="shared" si="46"/>
        <v>4.3693178356997135</v>
      </c>
      <c r="R749" s="1">
        <f t="shared" si="48"/>
        <v>4.5984905206965765</v>
      </c>
      <c r="S749" s="10">
        <f t="shared" si="47"/>
        <v>3.8244513213360189</v>
      </c>
      <c r="T749" s="45" cm="1">
        <f t="array" ref="T749">SUMPRODUCT(P749:S749 * P$3:S$3) / SUM(P$3:S$3)</f>
        <v>4.027359892678211</v>
      </c>
    </row>
    <row r="750" spans="1:20" ht="16.5" customHeight="1" x14ac:dyDescent="0.25">
      <c r="A750" s="5" t="s">
        <v>6779</v>
      </c>
      <c r="B750" s="20" t="s">
        <v>4686</v>
      </c>
      <c r="C750" s="4" t="s">
        <v>8798</v>
      </c>
      <c r="D750" s="4" t="s">
        <v>9013</v>
      </c>
      <c r="E750" s="12" t="s">
        <v>407</v>
      </c>
      <c r="F750" s="75" t="s">
        <v>411</v>
      </c>
      <c r="G750" s="3">
        <v>64</v>
      </c>
      <c r="H750" s="3" t="s">
        <v>404</v>
      </c>
      <c r="I750" s="13" t="s">
        <v>6740</v>
      </c>
      <c r="J750" s="72">
        <v>1.25</v>
      </c>
      <c r="L750" s="9">
        <v>162.59</v>
      </c>
      <c r="M750" s="3">
        <v>269</v>
      </c>
      <c r="N750" s="17" t="s">
        <v>4687</v>
      </c>
      <c r="O750" s="18" t="s">
        <v>4683</v>
      </c>
      <c r="P750" s="49">
        <f t="shared" si="45"/>
        <v>3.2716145900866156</v>
      </c>
      <c r="Q750" s="1">
        <f t="shared" si="46"/>
        <v>4.3653327272568596</v>
      </c>
      <c r="R750" s="1">
        <f t="shared" si="48"/>
        <v>4.5945054122537226</v>
      </c>
      <c r="S750" s="10">
        <f t="shared" si="47"/>
        <v>3.818473658671738</v>
      </c>
      <c r="T750" s="45" cm="1">
        <f t="array" ref="T750">SUMPRODUCT(P750:S750 * P$3:S$3) / SUM(P$3:S$3)</f>
        <v>4.0219953236205228</v>
      </c>
    </row>
    <row r="751" spans="1:20" ht="16.5" customHeight="1" x14ac:dyDescent="0.25">
      <c r="A751" s="5" t="s">
        <v>6779</v>
      </c>
      <c r="B751" s="20" t="s">
        <v>4689</v>
      </c>
      <c r="C751" s="4" t="s">
        <v>8798</v>
      </c>
      <c r="D751" s="4" t="s">
        <v>9013</v>
      </c>
      <c r="E751" s="12" t="s">
        <v>407</v>
      </c>
      <c r="F751" s="75" t="s">
        <v>411</v>
      </c>
      <c r="G751" s="3">
        <v>64</v>
      </c>
      <c r="H751" s="3" t="s">
        <v>404</v>
      </c>
      <c r="I751" s="13" t="s">
        <v>6739</v>
      </c>
      <c r="J751" s="72">
        <v>1.25</v>
      </c>
      <c r="L751" s="9">
        <v>166.5</v>
      </c>
      <c r="M751" s="3">
        <v>241.51</v>
      </c>
      <c r="N751" s="17" t="s">
        <v>4690</v>
      </c>
      <c r="O751" s="18" t="s">
        <v>4688</v>
      </c>
      <c r="P751" s="49">
        <f t="shared" si="45"/>
        <v>3.2795848069723235</v>
      </c>
      <c r="Q751" s="1">
        <f t="shared" si="46"/>
        <v>4.3693178356997135</v>
      </c>
      <c r="R751" s="1">
        <f t="shared" si="48"/>
        <v>4.5984905206965765</v>
      </c>
      <c r="S751" s="10">
        <f t="shared" si="47"/>
        <v>3.8244513213360189</v>
      </c>
      <c r="T751" s="45" cm="1">
        <f t="array" ref="T751">SUMPRODUCT(P751:S751 * P$3:S$3) / SUM(P$3:S$3)</f>
        <v>4.027359892678211</v>
      </c>
    </row>
    <row r="752" spans="1:20" ht="16.5" customHeight="1" x14ac:dyDescent="0.25">
      <c r="A752" s="5" t="s">
        <v>6779</v>
      </c>
      <c r="B752" s="20" t="s">
        <v>4868</v>
      </c>
      <c r="C752" s="4" t="s">
        <v>8798</v>
      </c>
      <c r="D752" s="4" t="s">
        <v>9013</v>
      </c>
      <c r="E752" s="12" t="s">
        <v>407</v>
      </c>
      <c r="F752" s="75" t="s">
        <v>411</v>
      </c>
      <c r="G752" s="3">
        <v>64</v>
      </c>
      <c r="H752" s="3" t="s">
        <v>404</v>
      </c>
      <c r="I752" s="13" t="s">
        <v>6740</v>
      </c>
      <c r="J752" s="72">
        <v>1.25</v>
      </c>
      <c r="K752" s="14" t="s">
        <v>4847</v>
      </c>
      <c r="L752" s="9">
        <v>190.9</v>
      </c>
      <c r="M752" s="3">
        <v>255.68</v>
      </c>
      <c r="N752" s="17" t="s">
        <v>4869</v>
      </c>
      <c r="O752" s="18" t="s">
        <v>4865</v>
      </c>
      <c r="P752" s="49">
        <f t="shared" si="45"/>
        <v>3.2716145900866156</v>
      </c>
      <c r="Q752" s="1">
        <f t="shared" si="46"/>
        <v>4.3653327272568596</v>
      </c>
      <c r="R752" s="1">
        <f t="shared" si="48"/>
        <v>4.5945054122537226</v>
      </c>
      <c r="S752" s="10">
        <f t="shared" si="47"/>
        <v>3.818473658671738</v>
      </c>
      <c r="T752" s="45" cm="1">
        <f t="array" ref="T752">SUMPRODUCT(P752:S752 * P$3:S$3) / SUM(P$3:S$3)</f>
        <v>4.0219953236205228</v>
      </c>
    </row>
    <row r="753" spans="1:20" ht="16.5" customHeight="1" x14ac:dyDescent="0.25">
      <c r="A753" s="5" t="s">
        <v>6779</v>
      </c>
      <c r="B753" s="20" t="s">
        <v>4871</v>
      </c>
      <c r="C753" s="4" t="s">
        <v>8798</v>
      </c>
      <c r="D753" s="4" t="s">
        <v>9013</v>
      </c>
      <c r="E753" s="12" t="s">
        <v>407</v>
      </c>
      <c r="F753" s="75" t="s">
        <v>411</v>
      </c>
      <c r="G753" s="3">
        <v>64</v>
      </c>
      <c r="H753" s="3" t="s">
        <v>404</v>
      </c>
      <c r="I753" s="13" t="s">
        <v>6739</v>
      </c>
      <c r="J753" s="72">
        <v>1.25</v>
      </c>
      <c r="K753" s="14" t="s">
        <v>4847</v>
      </c>
      <c r="L753" s="9">
        <v>179</v>
      </c>
      <c r="M753" s="3">
        <v>223.89</v>
      </c>
      <c r="N753" s="17" t="s">
        <v>4872</v>
      </c>
      <c r="O753" s="18" t="s">
        <v>4870</v>
      </c>
      <c r="P753" s="49">
        <f t="shared" si="45"/>
        <v>3.2795848069723235</v>
      </c>
      <c r="Q753" s="1">
        <f t="shared" si="46"/>
        <v>4.3693178356997135</v>
      </c>
      <c r="R753" s="1">
        <f t="shared" si="48"/>
        <v>4.5984905206965765</v>
      </c>
      <c r="S753" s="10">
        <f t="shared" si="47"/>
        <v>3.8244513213360189</v>
      </c>
      <c r="T753" s="45" cm="1">
        <f t="array" ref="T753">SUMPRODUCT(P753:S753 * P$3:S$3) / SUM(P$3:S$3)</f>
        <v>4.027359892678211</v>
      </c>
    </row>
    <row r="754" spans="1:20" ht="16.5" customHeight="1" x14ac:dyDescent="0.25">
      <c r="A754" s="5" t="s">
        <v>6779</v>
      </c>
      <c r="B754" s="20" t="s">
        <v>5002</v>
      </c>
      <c r="C754" s="4" t="s">
        <v>8798</v>
      </c>
      <c r="D754" s="4" t="s">
        <v>9013</v>
      </c>
      <c r="E754" s="12" t="s">
        <v>407</v>
      </c>
      <c r="F754" s="75" t="s">
        <v>411</v>
      </c>
      <c r="G754" s="3">
        <v>64</v>
      </c>
      <c r="H754" s="3" t="s">
        <v>404</v>
      </c>
      <c r="I754" s="13" t="s">
        <v>6740</v>
      </c>
      <c r="J754" s="72">
        <v>1.25</v>
      </c>
      <c r="K754" s="14" t="s">
        <v>4847</v>
      </c>
      <c r="L754" s="9">
        <v>177.2</v>
      </c>
      <c r="M754" s="3">
        <v>263</v>
      </c>
      <c r="N754" s="17" t="s">
        <v>5003</v>
      </c>
      <c r="O754" s="18" t="s">
        <v>4999</v>
      </c>
      <c r="P754" s="49">
        <f t="shared" si="45"/>
        <v>3.2716145900866156</v>
      </c>
      <c r="Q754" s="1">
        <f t="shared" si="46"/>
        <v>4.3653327272568596</v>
      </c>
      <c r="R754" s="1">
        <f t="shared" si="48"/>
        <v>4.5945054122537226</v>
      </c>
      <c r="S754" s="10">
        <f t="shared" si="47"/>
        <v>3.818473658671738</v>
      </c>
      <c r="T754" s="45" cm="1">
        <f t="array" ref="T754">SUMPRODUCT(P754:S754 * P$3:S$3) / SUM(P$3:S$3)</f>
        <v>4.0219953236205228</v>
      </c>
    </row>
    <row r="755" spans="1:20" ht="16.5" customHeight="1" x14ac:dyDescent="0.25">
      <c r="A755" s="5" t="s">
        <v>6779</v>
      </c>
      <c r="B755" s="20" t="s">
        <v>5005</v>
      </c>
      <c r="C755" s="4" t="s">
        <v>8798</v>
      </c>
      <c r="D755" s="4" t="s">
        <v>9013</v>
      </c>
      <c r="E755" s="12" t="s">
        <v>407</v>
      </c>
      <c r="F755" s="75" t="s">
        <v>411</v>
      </c>
      <c r="G755" s="3">
        <v>64</v>
      </c>
      <c r="H755" s="3" t="s">
        <v>404</v>
      </c>
      <c r="I755" s="13" t="s">
        <v>6739</v>
      </c>
      <c r="J755" s="72">
        <v>1.25</v>
      </c>
      <c r="K755" s="14" t="s">
        <v>4847</v>
      </c>
      <c r="L755" s="9">
        <v>176.53</v>
      </c>
      <c r="M755" s="3">
        <v>249.57</v>
      </c>
      <c r="N755" s="17" t="s">
        <v>5006</v>
      </c>
      <c r="O755" s="18" t="s">
        <v>5004</v>
      </c>
      <c r="P755" s="49">
        <f t="shared" si="45"/>
        <v>3.2795848069723235</v>
      </c>
      <c r="Q755" s="1">
        <f t="shared" si="46"/>
        <v>4.3693178356997135</v>
      </c>
      <c r="R755" s="1">
        <f t="shared" si="48"/>
        <v>4.5984905206965765</v>
      </c>
      <c r="S755" s="10">
        <f t="shared" si="47"/>
        <v>3.8244513213360189</v>
      </c>
      <c r="T755" s="45" cm="1">
        <f t="array" ref="T755">SUMPRODUCT(P755:S755 * P$3:S$3) / SUM(P$3:S$3)</f>
        <v>4.027359892678211</v>
      </c>
    </row>
    <row r="756" spans="1:20" ht="16.5" customHeight="1" x14ac:dyDescent="0.25">
      <c r="A756" s="5" t="s">
        <v>6911</v>
      </c>
      <c r="B756" s="20" t="s">
        <v>6073</v>
      </c>
      <c r="C756" s="4" t="s">
        <v>8796</v>
      </c>
      <c r="D756" s="4" t="s">
        <v>9014</v>
      </c>
      <c r="E756" s="12" t="s">
        <v>407</v>
      </c>
      <c r="F756" s="75" t="s">
        <v>411</v>
      </c>
      <c r="G756" s="3">
        <v>64</v>
      </c>
      <c r="H756" s="3" t="s">
        <v>419</v>
      </c>
      <c r="I756" s="13" t="s">
        <v>6739</v>
      </c>
      <c r="J756" s="72">
        <v>1.25</v>
      </c>
      <c r="L756" s="9">
        <v>245.7</v>
      </c>
      <c r="M756" s="3">
        <v>280</v>
      </c>
      <c r="N756" s="17" t="s">
        <v>6074</v>
      </c>
      <c r="O756" s="18" t="s">
        <v>6072</v>
      </c>
      <c r="P756" s="49">
        <f t="shared" si="45"/>
        <v>3.3445082681575036</v>
      </c>
      <c r="Q756" s="1">
        <f t="shared" si="46"/>
        <v>4.4177059583823617</v>
      </c>
      <c r="R756" s="1">
        <f t="shared" si="48"/>
        <v>4.6403851411798653</v>
      </c>
      <c r="S756" s="10">
        <f t="shared" si="47"/>
        <v>3.8811071132699331</v>
      </c>
      <c r="T756" s="45" cm="1">
        <f t="array" ref="T756">SUMPRODUCT(P756:S756 * P$3:S$3) / SUM(P$3:S$3)</f>
        <v>4.0804727860426038</v>
      </c>
    </row>
    <row r="757" spans="1:20" ht="16.5" customHeight="1" x14ac:dyDescent="0.25">
      <c r="A757" s="5" t="s">
        <v>6911</v>
      </c>
      <c r="B757" s="20" t="s">
        <v>6301</v>
      </c>
      <c r="C757" s="4" t="s">
        <v>8796</v>
      </c>
      <c r="D757" s="4" t="s">
        <v>9014</v>
      </c>
      <c r="E757" s="12" t="s">
        <v>407</v>
      </c>
      <c r="F757" s="75" t="s">
        <v>411</v>
      </c>
      <c r="G757" s="3">
        <v>64</v>
      </c>
      <c r="H757" s="3" t="s">
        <v>419</v>
      </c>
      <c r="I757" s="13" t="s">
        <v>6739</v>
      </c>
      <c r="J757" s="72">
        <v>1.25</v>
      </c>
      <c r="K757" s="14" t="s">
        <v>6175</v>
      </c>
      <c r="L757" s="9">
        <v>271.43</v>
      </c>
      <c r="M757" s="3">
        <v>334.43</v>
      </c>
      <c r="N757" s="17" t="s">
        <v>6302</v>
      </c>
      <c r="O757" s="18" t="s">
        <v>6300</v>
      </c>
      <c r="P757" s="49">
        <f t="shared" si="45"/>
        <v>3.3445082681575036</v>
      </c>
      <c r="Q757" s="1">
        <f t="shared" si="46"/>
        <v>4.4177059583823617</v>
      </c>
      <c r="R757" s="1">
        <f t="shared" si="48"/>
        <v>4.6403851411798653</v>
      </c>
      <c r="S757" s="10">
        <f t="shared" si="47"/>
        <v>3.8811071132699331</v>
      </c>
      <c r="T757" s="45" cm="1">
        <f t="array" ref="T757">SUMPRODUCT(P757:S757 * P$3:S$3) / SUM(P$3:S$3)</f>
        <v>4.0804727860426038</v>
      </c>
    </row>
    <row r="758" spans="1:20" ht="16.5" customHeight="1" x14ac:dyDescent="0.25">
      <c r="A758" s="5" t="s">
        <v>6911</v>
      </c>
      <c r="B758" s="20" t="s">
        <v>6410</v>
      </c>
      <c r="C758" s="4" t="s">
        <v>8796</v>
      </c>
      <c r="D758" s="4" t="s">
        <v>9014</v>
      </c>
      <c r="E758" s="12" t="s">
        <v>407</v>
      </c>
      <c r="F758" s="75" t="s">
        <v>411</v>
      </c>
      <c r="G758" s="3">
        <v>64</v>
      </c>
      <c r="H758" s="3" t="s">
        <v>419</v>
      </c>
      <c r="I758" s="13" t="s">
        <v>6739</v>
      </c>
      <c r="J758" s="72">
        <v>1.25</v>
      </c>
      <c r="K758" s="14" t="s">
        <v>6175</v>
      </c>
      <c r="L758" s="9">
        <v>247.63</v>
      </c>
      <c r="M758" s="3">
        <v>291.48</v>
      </c>
      <c r="N758" s="17" t="s">
        <v>6411</v>
      </c>
      <c r="O758" s="18" t="s">
        <v>6409</v>
      </c>
      <c r="P758" s="49">
        <f t="shared" si="45"/>
        <v>3.3445082681575036</v>
      </c>
      <c r="Q758" s="1">
        <f t="shared" si="46"/>
        <v>4.4177059583823617</v>
      </c>
      <c r="R758" s="1">
        <f t="shared" si="48"/>
        <v>4.6403851411798653</v>
      </c>
      <c r="S758" s="10">
        <f t="shared" si="47"/>
        <v>3.8811071132699331</v>
      </c>
      <c r="T758" s="45" cm="1">
        <f t="array" ref="T758">SUMPRODUCT(P758:S758 * P$3:S$3) / SUM(P$3:S$3)</f>
        <v>4.0804727860426038</v>
      </c>
    </row>
    <row r="759" spans="1:20" ht="16.5" customHeight="1" x14ac:dyDescent="0.25">
      <c r="A759" s="5" t="s">
        <v>6911</v>
      </c>
      <c r="B759" s="20" t="s">
        <v>6475</v>
      </c>
      <c r="C759" s="4" t="s">
        <v>8796</v>
      </c>
      <c r="D759" s="4" t="s">
        <v>9014</v>
      </c>
      <c r="E759" s="12" t="s">
        <v>407</v>
      </c>
      <c r="F759" s="75" t="s">
        <v>411</v>
      </c>
      <c r="G759" s="3">
        <v>64</v>
      </c>
      <c r="H759" s="3" t="s">
        <v>419</v>
      </c>
      <c r="I759" s="13" t="s">
        <v>6739</v>
      </c>
      <c r="J759" s="72">
        <v>1.25</v>
      </c>
      <c r="L759" s="9">
        <v>223.65</v>
      </c>
      <c r="M759" s="3">
        <v>275.26</v>
      </c>
      <c r="N759" s="17" t="s">
        <v>6476</v>
      </c>
      <c r="O759" s="18" t="s">
        <v>6474</v>
      </c>
      <c r="P759" s="49">
        <f t="shared" si="45"/>
        <v>3.3445082681575036</v>
      </c>
      <c r="Q759" s="1">
        <f t="shared" si="46"/>
        <v>4.4177059583823617</v>
      </c>
      <c r="R759" s="1">
        <f t="shared" si="48"/>
        <v>4.6403851411798653</v>
      </c>
      <c r="S759" s="10">
        <f t="shared" si="47"/>
        <v>3.8811071132699331</v>
      </c>
      <c r="T759" s="45" cm="1">
        <f t="array" ref="T759">SUMPRODUCT(P759:S759 * P$3:S$3) / SUM(P$3:S$3)</f>
        <v>4.0804727860426038</v>
      </c>
    </row>
    <row r="760" spans="1:20" ht="16.5" customHeight="1" x14ac:dyDescent="0.25">
      <c r="A760" s="5" t="s">
        <v>6778</v>
      </c>
      <c r="B760" s="20" t="s">
        <v>4569</v>
      </c>
      <c r="C760" s="4" t="s">
        <v>8798</v>
      </c>
      <c r="D760" s="4" t="s">
        <v>9014</v>
      </c>
      <c r="E760" s="12" t="s">
        <v>407</v>
      </c>
      <c r="F760" s="75" t="s">
        <v>411</v>
      </c>
      <c r="G760" s="3">
        <v>64</v>
      </c>
      <c r="H760" s="3" t="s">
        <v>419</v>
      </c>
      <c r="I760" s="13" t="s">
        <v>6740</v>
      </c>
      <c r="J760" s="72">
        <v>1.25</v>
      </c>
      <c r="L760" s="9">
        <v>193.9</v>
      </c>
      <c r="M760" s="3">
        <v>265.60000000000002</v>
      </c>
      <c r="N760" s="17" t="s">
        <v>4570</v>
      </c>
      <c r="O760" s="18" t="s">
        <v>4568</v>
      </c>
      <c r="P760" s="49">
        <f t="shared" si="45"/>
        <v>3.3361033121689383</v>
      </c>
      <c r="Q760" s="1">
        <f t="shared" si="46"/>
        <v>4.4135034803880799</v>
      </c>
      <c r="R760" s="1">
        <f t="shared" si="48"/>
        <v>4.6361826631855827</v>
      </c>
      <c r="S760" s="10">
        <f t="shared" si="47"/>
        <v>3.8748033962785096</v>
      </c>
      <c r="T760" s="45" cm="1">
        <f t="array" ref="T760">SUMPRODUCT(P760:S760 * P$3:S$3) / SUM(P$3:S$3)</f>
        <v>4.0748156041272239</v>
      </c>
    </row>
    <row r="761" spans="1:20" ht="16.5" customHeight="1" x14ac:dyDescent="0.25">
      <c r="A761" s="5" t="s">
        <v>6778</v>
      </c>
      <c r="B761" s="20" t="s">
        <v>4684</v>
      </c>
      <c r="C761" s="4" t="s">
        <v>8798</v>
      </c>
      <c r="D761" s="4" t="s">
        <v>9014</v>
      </c>
      <c r="E761" s="12" t="s">
        <v>407</v>
      </c>
      <c r="F761" s="75" t="s">
        <v>411</v>
      </c>
      <c r="G761" s="3">
        <v>64</v>
      </c>
      <c r="H761" s="3" t="s">
        <v>419</v>
      </c>
      <c r="I761" s="13" t="s">
        <v>6740</v>
      </c>
      <c r="J761" s="72">
        <v>1.25</v>
      </c>
      <c r="L761" s="9">
        <v>182.88</v>
      </c>
      <c r="M761" s="3">
        <v>266.57</v>
      </c>
      <c r="N761" s="17" t="s">
        <v>4685</v>
      </c>
      <c r="O761" s="18" t="s">
        <v>4683</v>
      </c>
      <c r="P761" s="49">
        <f t="shared" si="45"/>
        <v>3.3361033121689383</v>
      </c>
      <c r="Q761" s="1">
        <f t="shared" si="46"/>
        <v>4.4135034803880799</v>
      </c>
      <c r="R761" s="1">
        <f t="shared" si="48"/>
        <v>4.6361826631855827</v>
      </c>
      <c r="S761" s="10">
        <f t="shared" si="47"/>
        <v>3.8748033962785096</v>
      </c>
      <c r="T761" s="45" cm="1">
        <f t="array" ref="T761">SUMPRODUCT(P761:S761 * P$3:S$3) / SUM(P$3:S$3)</f>
        <v>4.0748156041272239</v>
      </c>
    </row>
    <row r="762" spans="1:20" ht="16.5" customHeight="1" x14ac:dyDescent="0.25">
      <c r="A762" s="5" t="s">
        <v>6778</v>
      </c>
      <c r="B762" s="20" t="s">
        <v>4866</v>
      </c>
      <c r="C762" s="4" t="s">
        <v>8798</v>
      </c>
      <c r="D762" s="4" t="s">
        <v>9014</v>
      </c>
      <c r="E762" s="12" t="s">
        <v>407</v>
      </c>
      <c r="F762" s="75" t="s">
        <v>411</v>
      </c>
      <c r="G762" s="3">
        <v>64</v>
      </c>
      <c r="H762" s="3" t="s">
        <v>419</v>
      </c>
      <c r="I762" s="13" t="s">
        <v>6740</v>
      </c>
      <c r="J762" s="72">
        <v>1.25</v>
      </c>
      <c r="K762" s="14" t="s">
        <v>4847</v>
      </c>
      <c r="L762" s="9">
        <v>163.9</v>
      </c>
      <c r="M762" s="3">
        <v>316.31</v>
      </c>
      <c r="N762" s="17" t="s">
        <v>4867</v>
      </c>
      <c r="O762" s="18" t="s">
        <v>4865</v>
      </c>
      <c r="P762" s="49">
        <f t="shared" si="45"/>
        <v>3.3361033121689383</v>
      </c>
      <c r="Q762" s="1">
        <f t="shared" si="46"/>
        <v>4.4135034803880799</v>
      </c>
      <c r="R762" s="1">
        <f t="shared" si="48"/>
        <v>4.6361826631855827</v>
      </c>
      <c r="S762" s="10">
        <f t="shared" si="47"/>
        <v>3.8748033962785096</v>
      </c>
      <c r="T762" s="45" cm="1">
        <f t="array" ref="T762">SUMPRODUCT(P762:S762 * P$3:S$3) / SUM(P$3:S$3)</f>
        <v>4.0748156041272239</v>
      </c>
    </row>
    <row r="763" spans="1:20" ht="16.5" customHeight="1" x14ac:dyDescent="0.25">
      <c r="A763" s="5" t="s">
        <v>6778</v>
      </c>
      <c r="B763" s="20" t="s">
        <v>5000</v>
      </c>
      <c r="C763" s="4" t="s">
        <v>8798</v>
      </c>
      <c r="D763" s="4" t="s">
        <v>9014</v>
      </c>
      <c r="E763" s="12" t="s">
        <v>407</v>
      </c>
      <c r="F763" s="75" t="s">
        <v>411</v>
      </c>
      <c r="G763" s="3">
        <v>64</v>
      </c>
      <c r="H763" s="3" t="s">
        <v>419</v>
      </c>
      <c r="I763" s="13" t="s">
        <v>6740</v>
      </c>
      <c r="J763" s="72">
        <v>1.25</v>
      </c>
      <c r="K763" s="14" t="s">
        <v>4847</v>
      </c>
      <c r="L763" s="9">
        <v>213.54</v>
      </c>
      <c r="M763" s="3">
        <v>297.93</v>
      </c>
      <c r="N763" s="17" t="s">
        <v>5001</v>
      </c>
      <c r="O763" s="18" t="s">
        <v>4999</v>
      </c>
      <c r="P763" s="49">
        <f t="shared" si="45"/>
        <v>3.3361033121689383</v>
      </c>
      <c r="Q763" s="1">
        <f t="shared" si="46"/>
        <v>4.4135034803880799</v>
      </c>
      <c r="R763" s="1">
        <f t="shared" si="48"/>
        <v>4.6361826631855827</v>
      </c>
      <c r="S763" s="10">
        <f t="shared" si="47"/>
        <v>3.8748033962785096</v>
      </c>
      <c r="T763" s="45" cm="1">
        <f t="array" ref="T763">SUMPRODUCT(P763:S763 * P$3:S$3) / SUM(P$3:S$3)</f>
        <v>4.0748156041272239</v>
      </c>
    </row>
    <row r="764" spans="1:20" ht="16.5" customHeight="1" x14ac:dyDescent="0.25">
      <c r="A764" s="5" t="s">
        <v>6901</v>
      </c>
      <c r="B764" s="20" t="s">
        <v>6034</v>
      </c>
      <c r="C764" s="4" t="s">
        <v>8796</v>
      </c>
      <c r="D764" s="4" t="s">
        <v>9015</v>
      </c>
      <c r="E764" s="12" t="s">
        <v>407</v>
      </c>
      <c r="F764" s="75" t="s">
        <v>411</v>
      </c>
      <c r="G764" s="3">
        <v>96</v>
      </c>
      <c r="H764" s="3" t="s">
        <v>404</v>
      </c>
      <c r="I764" s="13" t="s">
        <v>6740</v>
      </c>
      <c r="J764" s="72">
        <v>1.25</v>
      </c>
      <c r="L764" s="9">
        <v>254.77</v>
      </c>
      <c r="M764" s="3">
        <v>500.14</v>
      </c>
      <c r="N764" s="17" t="s">
        <v>6035</v>
      </c>
      <c r="O764" s="18" t="s">
        <v>6031</v>
      </c>
      <c r="P764" s="49">
        <f t="shared" si="45"/>
        <v>3.9573324484237906</v>
      </c>
      <c r="Q764" s="1">
        <f t="shared" si="46"/>
        <v>5.5081958244854849</v>
      </c>
      <c r="R764" s="1">
        <f t="shared" si="48"/>
        <v>5.8516548192052102</v>
      </c>
      <c r="S764" s="10">
        <f t="shared" si="47"/>
        <v>4.7327641364546373</v>
      </c>
      <c r="T764" s="45" cm="1">
        <f t="array" ref="T764">SUMPRODUCT(P764:S764 * P$3:S$3) / SUM(P$3:S$3)</f>
        <v>5.024198347344087</v>
      </c>
    </row>
    <row r="765" spans="1:20" ht="16.5" customHeight="1" x14ac:dyDescent="0.25">
      <c r="A765" s="5" t="s">
        <v>6901</v>
      </c>
      <c r="B765" s="20" t="s">
        <v>6265</v>
      </c>
      <c r="C765" s="4" t="s">
        <v>8796</v>
      </c>
      <c r="D765" s="4" t="s">
        <v>9015</v>
      </c>
      <c r="E765" s="12" t="s">
        <v>407</v>
      </c>
      <c r="F765" s="75" t="s">
        <v>411</v>
      </c>
      <c r="G765" s="3">
        <v>96</v>
      </c>
      <c r="H765" s="3" t="s">
        <v>404</v>
      </c>
      <c r="I765" s="13" t="s">
        <v>6740</v>
      </c>
      <c r="J765" s="72">
        <v>1.25</v>
      </c>
      <c r="K765" s="14" t="s">
        <v>6175</v>
      </c>
      <c r="L765" s="9">
        <v>288</v>
      </c>
      <c r="M765" s="3">
        <v>433</v>
      </c>
      <c r="N765" s="17" t="s">
        <v>6266</v>
      </c>
      <c r="O765" s="18" t="s">
        <v>6262</v>
      </c>
      <c r="P765" s="49">
        <f t="shared" si="45"/>
        <v>3.9573324484237906</v>
      </c>
      <c r="Q765" s="1">
        <f t="shared" si="46"/>
        <v>5.5081958244854849</v>
      </c>
      <c r="R765" s="1">
        <f t="shared" si="48"/>
        <v>5.8516548192052102</v>
      </c>
      <c r="S765" s="10">
        <f t="shared" si="47"/>
        <v>4.7327641364546373</v>
      </c>
      <c r="T765" s="45" cm="1">
        <f t="array" ref="T765">SUMPRODUCT(P765:S765 * P$3:S$3) / SUM(P$3:S$3)</f>
        <v>5.024198347344087</v>
      </c>
    </row>
    <row r="766" spans="1:20" ht="16.5" customHeight="1" x14ac:dyDescent="0.25">
      <c r="A766" s="5" t="s">
        <v>6870</v>
      </c>
      <c r="B766" s="20" t="s">
        <v>5895</v>
      </c>
      <c r="C766" s="4" t="s">
        <v>8797</v>
      </c>
      <c r="D766" s="4" t="s">
        <v>9015</v>
      </c>
      <c r="E766" s="12" t="s">
        <v>407</v>
      </c>
      <c r="F766" s="75" t="s">
        <v>411</v>
      </c>
      <c r="G766" s="3">
        <v>96</v>
      </c>
      <c r="H766" s="3" t="s">
        <v>404</v>
      </c>
      <c r="I766" s="13" t="s">
        <v>6740</v>
      </c>
      <c r="J766" s="72">
        <v>1.25</v>
      </c>
      <c r="L766" s="9">
        <v>277</v>
      </c>
      <c r="M766" s="3">
        <v>395.09</v>
      </c>
      <c r="N766" s="17" t="s">
        <v>5896</v>
      </c>
      <c r="O766" s="18" t="s">
        <v>5894</v>
      </c>
      <c r="P766" s="49">
        <f t="shared" si="45"/>
        <v>3.9573324484237906</v>
      </c>
      <c r="Q766" s="1">
        <f t="shared" si="46"/>
        <v>5.5081958244854849</v>
      </c>
      <c r="R766" s="1">
        <f t="shared" si="48"/>
        <v>5.8516548192052102</v>
      </c>
      <c r="S766" s="10">
        <f t="shared" si="47"/>
        <v>4.7327641364546373</v>
      </c>
      <c r="T766" s="45" cm="1">
        <f t="array" ref="T766">SUMPRODUCT(P766:S766 * P$3:S$3) / SUM(P$3:S$3)</f>
        <v>5.024198347344087</v>
      </c>
    </row>
    <row r="767" spans="1:20" ht="16.5" customHeight="1" x14ac:dyDescent="0.25">
      <c r="A767" s="5" t="s">
        <v>6851</v>
      </c>
      <c r="B767" s="20" t="s">
        <v>5720</v>
      </c>
      <c r="C767" s="4" t="s">
        <v>8797</v>
      </c>
      <c r="D767" s="4" t="s">
        <v>9015</v>
      </c>
      <c r="E767" s="12" t="s">
        <v>407</v>
      </c>
      <c r="F767" s="75" t="s">
        <v>411</v>
      </c>
      <c r="G767" s="3">
        <v>96</v>
      </c>
      <c r="H767" s="3" t="s">
        <v>404</v>
      </c>
      <c r="I767" s="13" t="s">
        <v>6740</v>
      </c>
      <c r="J767" s="72">
        <v>1.25</v>
      </c>
      <c r="K767" s="14" t="s">
        <v>5196</v>
      </c>
      <c r="L767" s="9">
        <v>261.33999999999997</v>
      </c>
      <c r="M767" s="3">
        <v>312.83</v>
      </c>
      <c r="N767" s="17" t="s">
        <v>5721</v>
      </c>
      <c r="O767" s="18" t="s">
        <v>5719</v>
      </c>
      <c r="P767" s="49">
        <f t="shared" si="45"/>
        <v>3.9573324484237906</v>
      </c>
      <c r="Q767" s="1">
        <f t="shared" si="46"/>
        <v>5.5081958244854849</v>
      </c>
      <c r="R767" s="1">
        <f t="shared" si="48"/>
        <v>5.8516548192052102</v>
      </c>
      <c r="S767" s="10">
        <f t="shared" si="47"/>
        <v>4.7327641364546373</v>
      </c>
      <c r="T767" s="45" cm="1">
        <f t="array" ref="T767">SUMPRODUCT(P767:S767 * P$3:S$3) / SUM(P$3:S$3)</f>
        <v>5.024198347344087</v>
      </c>
    </row>
    <row r="768" spans="1:20" ht="16.5" customHeight="1" x14ac:dyDescent="0.25">
      <c r="A768" s="5" t="s">
        <v>6851</v>
      </c>
      <c r="B768" s="20" t="s">
        <v>5779</v>
      </c>
      <c r="C768" s="4" t="s">
        <v>8797</v>
      </c>
      <c r="D768" s="4" t="s">
        <v>9015</v>
      </c>
      <c r="E768" s="12" t="s">
        <v>407</v>
      </c>
      <c r="F768" s="75" t="s">
        <v>411</v>
      </c>
      <c r="G768" s="3">
        <v>96</v>
      </c>
      <c r="H768" s="3" t="s">
        <v>404</v>
      </c>
      <c r="I768" s="13" t="s">
        <v>6740</v>
      </c>
      <c r="J768" s="72">
        <v>1.25</v>
      </c>
      <c r="K768" s="14" t="s">
        <v>5196</v>
      </c>
      <c r="L768" s="9">
        <v>261.33999999999997</v>
      </c>
      <c r="M768" s="3">
        <v>331.01</v>
      </c>
      <c r="N768" s="17" t="s">
        <v>5780</v>
      </c>
      <c r="O768" s="18" t="s">
        <v>5778</v>
      </c>
      <c r="P768" s="49">
        <f t="shared" si="45"/>
        <v>3.9573324484237906</v>
      </c>
      <c r="Q768" s="1">
        <f t="shared" si="46"/>
        <v>5.5081958244854849</v>
      </c>
      <c r="R768" s="1">
        <f t="shared" si="48"/>
        <v>5.8516548192052102</v>
      </c>
      <c r="S768" s="10">
        <f t="shared" si="47"/>
        <v>4.7327641364546373</v>
      </c>
      <c r="T768" s="45" cm="1">
        <f t="array" ref="T768">SUMPRODUCT(P768:S768 * P$3:S$3) / SUM(P$3:S$3)</f>
        <v>5.024198347344087</v>
      </c>
    </row>
    <row r="769" spans="1:20" ht="16.5" customHeight="1" x14ac:dyDescent="0.25">
      <c r="A769" s="5" t="s">
        <v>6840</v>
      </c>
      <c r="B769" s="20" t="s">
        <v>5625</v>
      </c>
      <c r="C769" s="4" t="s">
        <v>8797</v>
      </c>
      <c r="D769" s="4" t="s">
        <v>9015</v>
      </c>
      <c r="E769" s="12" t="s">
        <v>407</v>
      </c>
      <c r="F769" s="75" t="s">
        <v>411</v>
      </c>
      <c r="G769" s="3">
        <v>96</v>
      </c>
      <c r="H769" s="3" t="s">
        <v>404</v>
      </c>
      <c r="I769" s="13" t="s">
        <v>6740</v>
      </c>
      <c r="J769" s="72">
        <v>1.25</v>
      </c>
      <c r="L769" s="9">
        <v>249.52</v>
      </c>
      <c r="M769" s="3">
        <v>312.63</v>
      </c>
      <c r="N769" s="17" t="s">
        <v>5626</v>
      </c>
      <c r="O769" s="18" t="s">
        <v>5624</v>
      </c>
      <c r="P769" s="49">
        <f t="shared" si="45"/>
        <v>3.9573324484237906</v>
      </c>
      <c r="Q769" s="1">
        <f t="shared" si="46"/>
        <v>5.5081958244854849</v>
      </c>
      <c r="R769" s="1">
        <f t="shared" si="48"/>
        <v>5.8516548192052102</v>
      </c>
      <c r="S769" s="10">
        <f t="shared" si="47"/>
        <v>4.7327641364546373</v>
      </c>
      <c r="T769" s="45" cm="1">
        <f t="array" ref="T769">SUMPRODUCT(P769:S769 * P$3:S$3) / SUM(P$3:S$3)</f>
        <v>5.024198347344087</v>
      </c>
    </row>
    <row r="770" spans="1:20" ht="16.5" customHeight="1" x14ac:dyDescent="0.25">
      <c r="A770" s="5" t="s">
        <v>6825</v>
      </c>
      <c r="B770" s="20" t="s">
        <v>5346</v>
      </c>
      <c r="C770" s="4" t="s">
        <v>8797</v>
      </c>
      <c r="D770" s="4" t="s">
        <v>9015</v>
      </c>
      <c r="E770" s="12" t="s">
        <v>407</v>
      </c>
      <c r="F770" s="75" t="s">
        <v>411</v>
      </c>
      <c r="G770" s="3">
        <v>96</v>
      </c>
      <c r="H770" s="3" t="s">
        <v>404</v>
      </c>
      <c r="I770" s="13" t="s">
        <v>6740</v>
      </c>
      <c r="J770" s="72">
        <v>1.25</v>
      </c>
      <c r="K770" s="14" t="s">
        <v>5196</v>
      </c>
      <c r="L770" s="9">
        <v>254</v>
      </c>
      <c r="M770" s="3">
        <v>335</v>
      </c>
      <c r="N770" s="17" t="s">
        <v>5347</v>
      </c>
      <c r="O770" s="18" t="s">
        <v>5345</v>
      </c>
      <c r="P770" s="49">
        <f t="shared" si="45"/>
        <v>3.9573324484237906</v>
      </c>
      <c r="Q770" s="1">
        <f t="shared" si="46"/>
        <v>5.5081958244854849</v>
      </c>
      <c r="R770" s="1">
        <f t="shared" si="48"/>
        <v>5.8516548192052102</v>
      </c>
      <c r="S770" s="10">
        <f t="shared" si="47"/>
        <v>4.7327641364546373</v>
      </c>
      <c r="T770" s="45" cm="1">
        <f t="array" ref="T770">SUMPRODUCT(P770:S770 * P$3:S$3) / SUM(P$3:S$3)</f>
        <v>5.024198347344087</v>
      </c>
    </row>
    <row r="771" spans="1:20" ht="16.5" customHeight="1" x14ac:dyDescent="0.25">
      <c r="A771" s="5" t="s">
        <v>6825</v>
      </c>
      <c r="B771" s="20" t="s">
        <v>5503</v>
      </c>
      <c r="C771" s="4" t="s">
        <v>8797</v>
      </c>
      <c r="D771" s="4" t="s">
        <v>9015</v>
      </c>
      <c r="E771" s="12" t="s">
        <v>407</v>
      </c>
      <c r="F771" s="75" t="s">
        <v>411</v>
      </c>
      <c r="G771" s="3">
        <v>96</v>
      </c>
      <c r="H771" s="3" t="s">
        <v>404</v>
      </c>
      <c r="I771" s="13" t="s">
        <v>6740</v>
      </c>
      <c r="J771" s="72">
        <v>1.25</v>
      </c>
      <c r="K771" s="14" t="s">
        <v>5476</v>
      </c>
      <c r="L771" s="9">
        <v>287.08999999999997</v>
      </c>
      <c r="M771" s="3">
        <v>364.9</v>
      </c>
      <c r="N771" s="17" t="s">
        <v>5504</v>
      </c>
      <c r="O771" s="18" t="s">
        <v>5502</v>
      </c>
      <c r="P771" s="49">
        <f t="shared" si="45"/>
        <v>3.9573324484237906</v>
      </c>
      <c r="Q771" s="1">
        <f t="shared" si="46"/>
        <v>5.5081958244854849</v>
      </c>
      <c r="R771" s="1">
        <f t="shared" si="48"/>
        <v>5.8516548192052102</v>
      </c>
      <c r="S771" s="10">
        <f t="shared" si="47"/>
        <v>4.7327641364546373</v>
      </c>
      <c r="T771" s="45" cm="1">
        <f t="array" ref="T771">SUMPRODUCT(P771:S771 * P$3:S$3) / SUM(P$3:S$3)</f>
        <v>5.024198347344087</v>
      </c>
    </row>
    <row r="772" spans="1:20" ht="16.5" customHeight="1" x14ac:dyDescent="0.25">
      <c r="A772" s="5" t="s">
        <v>6900</v>
      </c>
      <c r="B772" s="20" t="s">
        <v>6032</v>
      </c>
      <c r="C772" s="4" t="s">
        <v>8796</v>
      </c>
      <c r="D772" s="4" t="s">
        <v>9016</v>
      </c>
      <c r="E772" s="12" t="s">
        <v>407</v>
      </c>
      <c r="F772" s="75" t="s">
        <v>411</v>
      </c>
      <c r="G772" s="3">
        <v>96</v>
      </c>
      <c r="H772" s="3" t="s">
        <v>419</v>
      </c>
      <c r="I772" s="13" t="s">
        <v>6740</v>
      </c>
      <c r="J772" s="72">
        <v>1.25</v>
      </c>
      <c r="L772" s="9">
        <v>302</v>
      </c>
      <c r="M772" s="3">
        <v>352.96</v>
      </c>
      <c r="N772" s="17" t="s">
        <v>6033</v>
      </c>
      <c r="O772" s="18" t="s">
        <v>6031</v>
      </c>
      <c r="P772" s="49">
        <f t="shared" si="45"/>
        <v>4.0218211705061133</v>
      </c>
      <c r="Q772" s="1">
        <f t="shared" si="46"/>
        <v>5.5563665776167044</v>
      </c>
      <c r="R772" s="1">
        <f t="shared" si="48"/>
        <v>5.8933320701370704</v>
      </c>
      <c r="S772" s="10">
        <f t="shared" si="47"/>
        <v>4.7890938740614093</v>
      </c>
      <c r="T772" s="45" cm="1">
        <f t="array" ref="T772">SUMPRODUCT(P772:S772 * P$3:S$3) / SUM(P$3:S$3)</f>
        <v>5.0770186278507863</v>
      </c>
    </row>
    <row r="773" spans="1:20" ht="16.5" customHeight="1" x14ac:dyDescent="0.25">
      <c r="A773" s="5" t="s">
        <v>6900</v>
      </c>
      <c r="B773" s="20" t="s">
        <v>6263</v>
      </c>
      <c r="C773" s="4" t="s">
        <v>8796</v>
      </c>
      <c r="D773" s="4" t="s">
        <v>9016</v>
      </c>
      <c r="E773" s="12" t="s">
        <v>407</v>
      </c>
      <c r="F773" s="75" t="s">
        <v>411</v>
      </c>
      <c r="G773" s="3">
        <v>96</v>
      </c>
      <c r="H773" s="3" t="s">
        <v>419</v>
      </c>
      <c r="I773" s="13" t="s">
        <v>6740</v>
      </c>
      <c r="J773" s="72">
        <v>1.25</v>
      </c>
      <c r="K773" s="14" t="s">
        <v>6175</v>
      </c>
      <c r="L773" s="9">
        <v>307.57</v>
      </c>
      <c r="M773" s="3">
        <v>382.16</v>
      </c>
      <c r="N773" s="17" t="s">
        <v>6264</v>
      </c>
      <c r="O773" s="18" t="s">
        <v>6262</v>
      </c>
      <c r="P773" s="49">
        <f t="shared" si="45"/>
        <v>4.0218211705061133</v>
      </c>
      <c r="Q773" s="1">
        <f t="shared" si="46"/>
        <v>5.5563665776167044</v>
      </c>
      <c r="R773" s="1">
        <f t="shared" si="48"/>
        <v>5.8933320701370704</v>
      </c>
      <c r="S773" s="10">
        <f t="shared" si="47"/>
        <v>4.7890938740614093</v>
      </c>
      <c r="T773" s="45" cm="1">
        <f t="array" ref="T773">SUMPRODUCT(P773:S773 * P$3:S$3) / SUM(P$3:S$3)</f>
        <v>5.0770186278507863</v>
      </c>
    </row>
    <row r="774" spans="1:20" ht="16.5" customHeight="1" x14ac:dyDescent="0.25">
      <c r="A774" s="5" t="s">
        <v>6892</v>
      </c>
      <c r="B774" s="20" t="s">
        <v>6010</v>
      </c>
      <c r="C774" s="4" t="s">
        <v>8796</v>
      </c>
      <c r="D774" s="4" t="s">
        <v>9017</v>
      </c>
      <c r="E774" s="12" t="s">
        <v>407</v>
      </c>
      <c r="F774" s="75" t="s">
        <v>411</v>
      </c>
      <c r="G774" s="3">
        <v>128</v>
      </c>
      <c r="H774" s="3" t="s">
        <v>419</v>
      </c>
      <c r="I774" s="13" t="s">
        <v>6740</v>
      </c>
      <c r="J774" s="72">
        <v>1.25</v>
      </c>
      <c r="L774" s="9">
        <v>411.67</v>
      </c>
      <c r="M774" s="3">
        <v>494.99</v>
      </c>
      <c r="N774" s="17" t="s">
        <v>6011</v>
      </c>
      <c r="O774" s="18" t="s">
        <v>6009</v>
      </c>
      <c r="P774" s="49">
        <f t="shared" si="45"/>
        <v>4.6408945099536689</v>
      </c>
      <c r="Q774" s="1">
        <f t="shared" si="46"/>
        <v>6.5881554766959631</v>
      </c>
      <c r="R774" s="1">
        <f t="shared" si="48"/>
        <v>7.0282998591242549</v>
      </c>
      <c r="S774" s="10">
        <f t="shared" si="47"/>
        <v>5.6145249933248165</v>
      </c>
      <c r="T774" s="45" cm="1">
        <f t="array" ref="T774">SUMPRODUCT(P774:S774 * P$3:S$3) / SUM(P$3:S$3)</f>
        <v>5.9818181239664439</v>
      </c>
    </row>
    <row r="775" spans="1:20" ht="16.5" customHeight="1" x14ac:dyDescent="0.25">
      <c r="A775" s="5" t="s">
        <v>6892</v>
      </c>
      <c r="B775" s="20" t="s">
        <v>6238</v>
      </c>
      <c r="C775" s="4" t="s">
        <v>8796</v>
      </c>
      <c r="D775" s="4" t="s">
        <v>9017</v>
      </c>
      <c r="E775" s="12" t="s">
        <v>407</v>
      </c>
      <c r="F775" s="75" t="s">
        <v>411</v>
      </c>
      <c r="G775" s="3">
        <v>128</v>
      </c>
      <c r="H775" s="3" t="s">
        <v>419</v>
      </c>
      <c r="I775" s="13" t="s">
        <v>6740</v>
      </c>
      <c r="J775" s="72">
        <v>1.25</v>
      </c>
      <c r="K775" s="14" t="s">
        <v>6175</v>
      </c>
      <c r="L775" s="9">
        <v>472.83</v>
      </c>
      <c r="M775" s="3">
        <v>548.97</v>
      </c>
      <c r="N775" s="17" t="s">
        <v>6239</v>
      </c>
      <c r="O775" s="18" t="s">
        <v>6237</v>
      </c>
      <c r="P775" s="49">
        <f t="shared" si="45"/>
        <v>4.6408945099536689</v>
      </c>
      <c r="Q775" s="1">
        <f t="shared" si="46"/>
        <v>6.5881554766959631</v>
      </c>
      <c r="R775" s="1">
        <f t="shared" si="48"/>
        <v>7.0282998591242549</v>
      </c>
      <c r="S775" s="10">
        <f t="shared" si="47"/>
        <v>5.6145249933248165</v>
      </c>
      <c r="T775" s="45" cm="1">
        <f t="array" ref="T775">SUMPRODUCT(P775:S775 * P$3:S$3) / SUM(P$3:S$3)</f>
        <v>5.9818181239664439</v>
      </c>
    </row>
    <row r="776" spans="1:20" ht="16.5" customHeight="1" x14ac:dyDescent="0.25">
      <c r="A776" s="5" t="s">
        <v>6774</v>
      </c>
      <c r="B776" s="20" t="s">
        <v>4550</v>
      </c>
      <c r="C776" s="4" t="s">
        <v>8798</v>
      </c>
      <c r="D776" s="4" t="s">
        <v>9017</v>
      </c>
      <c r="E776" s="12" t="s">
        <v>407</v>
      </c>
      <c r="F776" s="75" t="s">
        <v>411</v>
      </c>
      <c r="G776" s="3">
        <v>128</v>
      </c>
      <c r="H776" s="3" t="s">
        <v>419</v>
      </c>
      <c r="I776" s="13" t="s">
        <v>6740</v>
      </c>
      <c r="J776" s="72">
        <v>1.25</v>
      </c>
      <c r="L776" s="9">
        <v>351.83</v>
      </c>
      <c r="M776" s="3">
        <v>494.62</v>
      </c>
      <c r="N776" s="17" t="s">
        <v>4551</v>
      </c>
      <c r="O776" s="18" t="s">
        <v>4549</v>
      </c>
      <c r="P776" s="49">
        <f t="shared" si="45"/>
        <v>4.6408945099536689</v>
      </c>
      <c r="Q776" s="1">
        <f t="shared" si="46"/>
        <v>6.5881554766959631</v>
      </c>
      <c r="R776" s="1">
        <f t="shared" si="48"/>
        <v>7.0282998591242549</v>
      </c>
      <c r="S776" s="10">
        <f t="shared" si="47"/>
        <v>5.6145249933248165</v>
      </c>
      <c r="T776" s="45" cm="1">
        <f t="array" ref="T776">SUMPRODUCT(P776:S776 * P$3:S$3) / SUM(P$3:S$3)</f>
        <v>5.9818181239664439</v>
      </c>
    </row>
    <row r="777" spans="1:20" ht="16.5" customHeight="1" x14ac:dyDescent="0.25">
      <c r="A777" s="5" t="s">
        <v>6774</v>
      </c>
      <c r="B777" s="20" t="s">
        <v>4662</v>
      </c>
      <c r="C777" s="4" t="s">
        <v>8798</v>
      </c>
      <c r="D777" s="4" t="s">
        <v>9017</v>
      </c>
      <c r="E777" s="12" t="s">
        <v>407</v>
      </c>
      <c r="F777" s="75" t="s">
        <v>411</v>
      </c>
      <c r="G777" s="3">
        <v>128</v>
      </c>
      <c r="H777" s="3" t="s">
        <v>419</v>
      </c>
      <c r="I777" s="13" t="s">
        <v>6740</v>
      </c>
      <c r="J777" s="72">
        <v>1.25</v>
      </c>
      <c r="L777" s="9">
        <v>327.18</v>
      </c>
      <c r="M777" s="3">
        <v>500.7</v>
      </c>
      <c r="N777" s="17" t="s">
        <v>4663</v>
      </c>
      <c r="O777" s="18" t="s">
        <v>4661</v>
      </c>
      <c r="P777" s="49">
        <f t="shared" si="45"/>
        <v>4.6408945099536689</v>
      </c>
      <c r="Q777" s="1">
        <f t="shared" si="46"/>
        <v>6.5881554766959631</v>
      </c>
      <c r="R777" s="1">
        <f t="shared" si="48"/>
        <v>7.0282998591242549</v>
      </c>
      <c r="S777" s="10">
        <f t="shared" si="47"/>
        <v>5.6145249933248165</v>
      </c>
      <c r="T777" s="45" cm="1">
        <f t="array" ref="T777">SUMPRODUCT(P777:S777 * P$3:S$3) / SUM(P$3:S$3)</f>
        <v>5.9818181239664439</v>
      </c>
    </row>
    <row r="778" spans="1:20" ht="16.5" customHeight="1" x14ac:dyDescent="0.25">
      <c r="A778" s="5" t="s">
        <v>6774</v>
      </c>
      <c r="B778" s="20" t="s">
        <v>4846</v>
      </c>
      <c r="C778" s="4" t="s">
        <v>8798</v>
      </c>
      <c r="D778" s="4" t="s">
        <v>9017</v>
      </c>
      <c r="E778" s="12" t="s">
        <v>407</v>
      </c>
      <c r="F778" s="75" t="s">
        <v>411</v>
      </c>
      <c r="G778" s="3">
        <v>128</v>
      </c>
      <c r="H778" s="3" t="s">
        <v>419</v>
      </c>
      <c r="I778" s="13" t="s">
        <v>6740</v>
      </c>
      <c r="J778" s="72">
        <v>1.25</v>
      </c>
      <c r="K778" s="14" t="s">
        <v>4847</v>
      </c>
      <c r="L778" s="9">
        <v>350.99</v>
      </c>
      <c r="M778" s="3">
        <v>478.26</v>
      </c>
      <c r="N778" s="17" t="s">
        <v>4848</v>
      </c>
      <c r="O778" s="18" t="s">
        <v>4845</v>
      </c>
      <c r="P778" s="49">
        <f t="shared" ref="P778:P841" si="49">(((F778/F$9)^F$7 * F$2 + (I778/I$9)^I$7 * I$2 + (J778/J$9)^J$7 * J$2) * (1+M$3*(MIN(H778,M$2)-1)+M$4*(H778-MIN(H778,M$2))) + (G778/G$9)^G$7 * G$2)  * P$9</f>
        <v>4.6408945099536689</v>
      </c>
      <c r="Q778" s="1">
        <f t="shared" ref="Q778:Q841" si="50">(((F778/F$9)^F$7 * F$3 + (I778/I$9)^I$7 * I$3 + (J778/J$9)^J$7 * J$3) * (1+M$3*(MIN(H778,M$2)-1)+M$4*(H778-MIN(H778,M$2))) + (G778/G$9)^G$7 * G$3)  * P$9</f>
        <v>6.5881554766959631</v>
      </c>
      <c r="R778" s="1">
        <f t="shared" si="48"/>
        <v>7.0282998591242549</v>
      </c>
      <c r="S778" s="10">
        <f t="shared" ref="S778:S841" si="51">(((F778/F$9)^F$7 * F$5 + (I778/I$9)^I$7 * I$5 + (J778/J$9)^J$7 * J$5) * (1+M$3*(MIN(H778,M$2)-1)+M$4*(H778-MIN(H778,M$2))) + (G778/G$9)^G$7 * G$5)  * P$9</f>
        <v>5.6145249933248165</v>
      </c>
      <c r="T778" s="45" cm="1">
        <f t="array" ref="T778">SUMPRODUCT(P778:S778 * P$3:S$3) / SUM(P$3:S$3)</f>
        <v>5.9818181239664439</v>
      </c>
    </row>
    <row r="779" spans="1:20" ht="16.5" customHeight="1" x14ac:dyDescent="0.25">
      <c r="A779" s="5" t="s">
        <v>6774</v>
      </c>
      <c r="B779" s="20" t="s">
        <v>4976</v>
      </c>
      <c r="C779" s="4" t="s">
        <v>8798</v>
      </c>
      <c r="D779" s="4" t="s">
        <v>9017</v>
      </c>
      <c r="E779" s="12" t="s">
        <v>407</v>
      </c>
      <c r="F779" s="75" t="s">
        <v>411</v>
      </c>
      <c r="G779" s="3">
        <v>128</v>
      </c>
      <c r="H779" s="3" t="s">
        <v>419</v>
      </c>
      <c r="I779" s="13" t="s">
        <v>6740</v>
      </c>
      <c r="J779" s="72">
        <v>1.25</v>
      </c>
      <c r="K779" s="14" t="s">
        <v>4847</v>
      </c>
      <c r="L779" s="9">
        <v>381</v>
      </c>
      <c r="M779" s="3">
        <v>477.74</v>
      </c>
      <c r="N779" s="17" t="s">
        <v>4977</v>
      </c>
      <c r="O779" s="18" t="s">
        <v>4975</v>
      </c>
      <c r="P779" s="49">
        <f t="shared" si="49"/>
        <v>4.6408945099536689</v>
      </c>
      <c r="Q779" s="1">
        <f t="shared" si="50"/>
        <v>6.5881554766959631</v>
      </c>
      <c r="R779" s="1">
        <f t="shared" si="48"/>
        <v>7.0282998591242549</v>
      </c>
      <c r="S779" s="10">
        <f t="shared" si="51"/>
        <v>5.6145249933248165</v>
      </c>
      <c r="T779" s="45" cm="1">
        <f t="array" ref="T779">SUMPRODUCT(P779:S779 * P$3:S$3) / SUM(P$3:S$3)</f>
        <v>5.9818181239664439</v>
      </c>
    </row>
    <row r="780" spans="1:20" ht="16.5" customHeight="1" x14ac:dyDescent="0.25">
      <c r="A780" s="5" t="s">
        <v>6800</v>
      </c>
      <c r="B780" s="20" t="s">
        <v>4820</v>
      </c>
      <c r="C780" s="4" t="s">
        <v>8798</v>
      </c>
      <c r="D780" s="4" t="s">
        <v>9018</v>
      </c>
      <c r="E780" s="12" t="s">
        <v>407</v>
      </c>
      <c r="F780" s="75" t="s">
        <v>6723</v>
      </c>
      <c r="G780" s="3">
        <v>8</v>
      </c>
      <c r="H780" s="3" t="s">
        <v>6736</v>
      </c>
      <c r="I780" s="13" t="s">
        <v>6740</v>
      </c>
      <c r="J780" s="72">
        <v>1.35</v>
      </c>
      <c r="L780" s="9">
        <v>39.950000000000003</v>
      </c>
      <c r="M780" s="3">
        <v>53.4</v>
      </c>
      <c r="N780" s="17" t="s">
        <v>4821</v>
      </c>
      <c r="O780" s="18" t="s">
        <v>4819</v>
      </c>
      <c r="P780" s="49">
        <f t="shared" si="49"/>
        <v>1.6860124976520483</v>
      </c>
      <c r="Q780" s="1">
        <f t="shared" si="50"/>
        <v>1.7067672325051917</v>
      </c>
      <c r="R780" s="1">
        <f t="shared" si="48"/>
        <v>1.6656204608882343</v>
      </c>
      <c r="S780" s="10">
        <f t="shared" si="51"/>
        <v>1.69638986507862</v>
      </c>
      <c r="T780" s="45" cm="1">
        <f t="array" ref="T780">SUMPRODUCT(P780:S780 * P$3:S$3) / SUM(P$3:S$3)</f>
        <v>1.693252628653418</v>
      </c>
    </row>
    <row r="781" spans="1:20" ht="16.5" customHeight="1" x14ac:dyDescent="0.25">
      <c r="A781" s="5" t="s">
        <v>6800</v>
      </c>
      <c r="B781" s="20" t="s">
        <v>4823</v>
      </c>
      <c r="C781" s="4" t="s">
        <v>8798</v>
      </c>
      <c r="D781" s="4" t="s">
        <v>9018</v>
      </c>
      <c r="E781" s="12" t="s">
        <v>407</v>
      </c>
      <c r="F781" s="75" t="s">
        <v>6723</v>
      </c>
      <c r="G781" s="3">
        <v>8</v>
      </c>
      <c r="H781" s="3" t="s">
        <v>6736</v>
      </c>
      <c r="I781" s="13" t="s">
        <v>6739</v>
      </c>
      <c r="J781" s="72">
        <v>1.35</v>
      </c>
      <c r="L781" s="9">
        <v>32.57</v>
      </c>
      <c r="M781" s="3">
        <v>53.49</v>
      </c>
      <c r="N781" s="17" t="s">
        <v>4824</v>
      </c>
      <c r="O781" s="18" t="s">
        <v>4822</v>
      </c>
      <c r="P781" s="49">
        <f t="shared" si="49"/>
        <v>1.6937653449863279</v>
      </c>
      <c r="Q781" s="1">
        <f t="shared" si="50"/>
        <v>1.7106436561723317</v>
      </c>
      <c r="R781" s="1">
        <f t="shared" si="48"/>
        <v>1.6694968845553739</v>
      </c>
      <c r="S781" s="10">
        <f t="shared" si="51"/>
        <v>1.7022045005793296</v>
      </c>
      <c r="T781" s="45" cm="1">
        <f t="array" ref="T781">SUMPRODUCT(P781:S781 * P$3:S$3) / SUM(P$3:S$3)</f>
        <v>1.6984708912822599</v>
      </c>
    </row>
    <row r="782" spans="1:20" ht="16.5" customHeight="1" x14ac:dyDescent="0.25">
      <c r="A782" s="5" t="s">
        <v>6800</v>
      </c>
      <c r="B782" s="20" t="s">
        <v>4826</v>
      </c>
      <c r="C782" s="4" t="s">
        <v>8798</v>
      </c>
      <c r="D782" s="4" t="s">
        <v>9018</v>
      </c>
      <c r="E782" s="12" t="s">
        <v>407</v>
      </c>
      <c r="F782" s="75" t="s">
        <v>6723</v>
      </c>
      <c r="G782" s="3">
        <v>8</v>
      </c>
      <c r="H782" s="3" t="s">
        <v>6736</v>
      </c>
      <c r="I782" s="13" t="s">
        <v>6741</v>
      </c>
      <c r="J782" s="72">
        <v>1.4</v>
      </c>
      <c r="L782" s="9">
        <v>31.99</v>
      </c>
      <c r="M782" s="3">
        <v>46.16</v>
      </c>
      <c r="N782" s="17" t="s">
        <v>4827</v>
      </c>
      <c r="O782" s="18" t="s">
        <v>4825</v>
      </c>
      <c r="P782" s="49">
        <f t="shared" si="49"/>
        <v>1.7065776249627538</v>
      </c>
      <c r="Q782" s="1">
        <f t="shared" si="50"/>
        <v>1.7161408877737359</v>
      </c>
      <c r="R782" s="1">
        <f t="shared" si="48"/>
        <v>1.6749941161567783</v>
      </c>
      <c r="S782" s="10">
        <f t="shared" si="51"/>
        <v>1.7113592563682449</v>
      </c>
      <c r="T782" s="45" cm="1">
        <f t="array" ref="T782">SUMPRODUCT(P782:S782 * P$3:S$3) / SUM(P$3:S$3)</f>
        <v>1.7065002550134794</v>
      </c>
    </row>
    <row r="783" spans="1:20" ht="16.5" customHeight="1" x14ac:dyDescent="0.25">
      <c r="A783" s="5" t="s">
        <v>6800</v>
      </c>
      <c r="B783" s="20" t="s">
        <v>4828</v>
      </c>
      <c r="C783" s="4" t="s">
        <v>8798</v>
      </c>
      <c r="D783" s="4" t="s">
        <v>9018</v>
      </c>
      <c r="E783" s="12" t="s">
        <v>407</v>
      </c>
      <c r="F783" s="75" t="s">
        <v>6723</v>
      </c>
      <c r="G783" s="3">
        <v>8</v>
      </c>
      <c r="H783" s="3" t="s">
        <v>6736</v>
      </c>
      <c r="I783" s="13" t="s">
        <v>6741</v>
      </c>
      <c r="J783" s="72">
        <v>1.4</v>
      </c>
      <c r="L783" s="9">
        <v>31.99</v>
      </c>
      <c r="M783" s="3">
        <v>54.51</v>
      </c>
      <c r="N783" s="17" t="s">
        <v>4829</v>
      </c>
      <c r="O783" s="18" t="s">
        <v>4825</v>
      </c>
      <c r="P783" s="49">
        <f t="shared" si="49"/>
        <v>1.7065776249627538</v>
      </c>
      <c r="Q783" s="1">
        <f t="shared" si="50"/>
        <v>1.7161408877737359</v>
      </c>
      <c r="R783" s="1">
        <f t="shared" si="48"/>
        <v>1.6749941161567783</v>
      </c>
      <c r="S783" s="10">
        <f t="shared" si="51"/>
        <v>1.7113592563682449</v>
      </c>
      <c r="T783" s="45" cm="1">
        <f t="array" ref="T783">SUMPRODUCT(P783:S783 * P$3:S$3) / SUM(P$3:S$3)</f>
        <v>1.7065002550134794</v>
      </c>
    </row>
    <row r="784" spans="1:20" ht="16.5" customHeight="1" x14ac:dyDescent="0.25">
      <c r="A784" s="5" t="s">
        <v>6800</v>
      </c>
      <c r="B784" s="20" t="s">
        <v>5133</v>
      </c>
      <c r="C784" s="4" t="s">
        <v>8798</v>
      </c>
      <c r="D784" s="4" t="s">
        <v>9018</v>
      </c>
      <c r="E784" s="12" t="s">
        <v>407</v>
      </c>
      <c r="F784" s="75" t="s">
        <v>6723</v>
      </c>
      <c r="G784" s="3">
        <v>8</v>
      </c>
      <c r="H784" s="3" t="s">
        <v>6736</v>
      </c>
      <c r="I784" s="13" t="s">
        <v>6740</v>
      </c>
      <c r="J784" s="72">
        <v>1.35</v>
      </c>
      <c r="K784" s="14" t="s">
        <v>4847</v>
      </c>
      <c r="L784" s="9">
        <v>71.69</v>
      </c>
      <c r="M784" s="3">
        <v>85.77</v>
      </c>
      <c r="N784" s="17" t="s">
        <v>5134</v>
      </c>
      <c r="O784" s="18" t="s">
        <v>5132</v>
      </c>
      <c r="P784" s="49">
        <f t="shared" si="49"/>
        <v>1.6860124976520483</v>
      </c>
      <c r="Q784" s="1">
        <f t="shared" si="50"/>
        <v>1.7067672325051917</v>
      </c>
      <c r="R784" s="1">
        <f t="shared" ref="R784:R847" si="52">(((F784/F$9)^F$7 * F$4 + (I784/I$9)^I$7 * I$4 + (J784/J$9)^J$7 * J$4) * (1+M$3*(MIN(H784,M$2)-1)+M$4*(H784-MIN(H784,M$2))) + (G784/G$9)^G$7 * G$4)  * P$9</f>
        <v>1.6656204608882343</v>
      </c>
      <c r="S784" s="10">
        <f t="shared" si="51"/>
        <v>1.69638986507862</v>
      </c>
      <c r="T784" s="45" cm="1">
        <f t="array" ref="T784">SUMPRODUCT(P784:S784 * P$3:S$3) / SUM(P$3:S$3)</f>
        <v>1.693252628653418</v>
      </c>
    </row>
    <row r="785" spans="1:20" ht="16.5" customHeight="1" x14ac:dyDescent="0.25">
      <c r="A785" s="5" t="s">
        <v>6800</v>
      </c>
      <c r="B785" s="20" t="s">
        <v>5136</v>
      </c>
      <c r="C785" s="4" t="s">
        <v>8798</v>
      </c>
      <c r="D785" s="4" t="s">
        <v>9018</v>
      </c>
      <c r="E785" s="12" t="s">
        <v>407</v>
      </c>
      <c r="F785" s="75" t="s">
        <v>6723</v>
      </c>
      <c r="G785" s="3">
        <v>8</v>
      </c>
      <c r="H785" s="3" t="s">
        <v>6736</v>
      </c>
      <c r="I785" s="13" t="s">
        <v>6739</v>
      </c>
      <c r="J785" s="72">
        <v>1.35</v>
      </c>
      <c r="K785" s="14" t="s">
        <v>4847</v>
      </c>
      <c r="L785" s="9">
        <v>38.29</v>
      </c>
      <c r="M785" s="3">
        <v>60.89</v>
      </c>
      <c r="N785" s="17" t="s">
        <v>5137</v>
      </c>
      <c r="O785" s="18" t="s">
        <v>5135</v>
      </c>
      <c r="P785" s="49">
        <f t="shared" si="49"/>
        <v>1.6937653449863279</v>
      </c>
      <c r="Q785" s="1">
        <f t="shared" si="50"/>
        <v>1.7106436561723317</v>
      </c>
      <c r="R785" s="1">
        <f t="shared" si="52"/>
        <v>1.6694968845553739</v>
      </c>
      <c r="S785" s="10">
        <f t="shared" si="51"/>
        <v>1.7022045005793296</v>
      </c>
      <c r="T785" s="45" cm="1">
        <f t="array" ref="T785">SUMPRODUCT(P785:S785 * P$3:S$3) / SUM(P$3:S$3)</f>
        <v>1.6984708912822599</v>
      </c>
    </row>
    <row r="786" spans="1:20" ht="16.5" customHeight="1" x14ac:dyDescent="0.25">
      <c r="A786" s="5" t="s">
        <v>6800</v>
      </c>
      <c r="B786" s="20" t="s">
        <v>5139</v>
      </c>
      <c r="C786" s="4" t="s">
        <v>8798</v>
      </c>
      <c r="D786" s="4" t="s">
        <v>9018</v>
      </c>
      <c r="E786" s="12" t="s">
        <v>407</v>
      </c>
      <c r="F786" s="75" t="s">
        <v>6723</v>
      </c>
      <c r="G786" s="3">
        <v>8</v>
      </c>
      <c r="H786" s="3" t="s">
        <v>6736</v>
      </c>
      <c r="I786" s="13" t="s">
        <v>6741</v>
      </c>
      <c r="J786" s="72">
        <v>1.4</v>
      </c>
      <c r="K786" s="14" t="s">
        <v>4847</v>
      </c>
      <c r="L786" s="9">
        <v>37.29</v>
      </c>
      <c r="M786" s="3">
        <v>77.680000000000007</v>
      </c>
      <c r="N786" s="17" t="s">
        <v>5140</v>
      </c>
      <c r="O786" s="18" t="s">
        <v>5138</v>
      </c>
      <c r="P786" s="49">
        <f t="shared" si="49"/>
        <v>1.7065776249627538</v>
      </c>
      <c r="Q786" s="1">
        <f t="shared" si="50"/>
        <v>1.7161408877737359</v>
      </c>
      <c r="R786" s="1">
        <f t="shared" si="52"/>
        <v>1.6749941161567783</v>
      </c>
      <c r="S786" s="10">
        <f t="shared" si="51"/>
        <v>1.7113592563682449</v>
      </c>
      <c r="T786" s="45" cm="1">
        <f t="array" ref="T786">SUMPRODUCT(P786:S786 * P$3:S$3) / SUM(P$3:S$3)</f>
        <v>1.7065002550134794</v>
      </c>
    </row>
    <row r="787" spans="1:20" ht="16.5" customHeight="1" x14ac:dyDescent="0.25">
      <c r="A787" s="5" t="s">
        <v>6800</v>
      </c>
      <c r="B787" s="20" t="s">
        <v>5141</v>
      </c>
      <c r="C787" s="4" t="s">
        <v>8798</v>
      </c>
      <c r="D787" s="4" t="s">
        <v>9018</v>
      </c>
      <c r="E787" s="12" t="s">
        <v>407</v>
      </c>
      <c r="F787" s="75" t="s">
        <v>6723</v>
      </c>
      <c r="G787" s="3">
        <v>8</v>
      </c>
      <c r="H787" s="3" t="s">
        <v>6736</v>
      </c>
      <c r="I787" s="13" t="s">
        <v>6741</v>
      </c>
      <c r="J787" s="72">
        <v>1.4</v>
      </c>
      <c r="K787" s="14" t="s">
        <v>4847</v>
      </c>
      <c r="L787" s="9">
        <v>37.29</v>
      </c>
      <c r="M787" s="3">
        <v>62.86</v>
      </c>
      <c r="N787" s="17" t="s">
        <v>5142</v>
      </c>
      <c r="O787" s="18" t="s">
        <v>5138</v>
      </c>
      <c r="P787" s="49">
        <f t="shared" si="49"/>
        <v>1.7065776249627538</v>
      </c>
      <c r="Q787" s="1">
        <f t="shared" si="50"/>
        <v>1.7161408877737359</v>
      </c>
      <c r="R787" s="1">
        <f t="shared" si="52"/>
        <v>1.6749941161567783</v>
      </c>
      <c r="S787" s="10">
        <f t="shared" si="51"/>
        <v>1.7113592563682449</v>
      </c>
      <c r="T787" s="45" cm="1">
        <f t="array" ref="T787">SUMPRODUCT(P787:S787 * P$3:S$3) / SUM(P$3:S$3)</f>
        <v>1.7065002550134794</v>
      </c>
    </row>
    <row r="788" spans="1:20" ht="16.5" customHeight="1" x14ac:dyDescent="0.25">
      <c r="A788" s="5" t="s">
        <v>6792</v>
      </c>
      <c r="B788" s="20" t="s">
        <v>4642</v>
      </c>
      <c r="C788" s="4" t="s">
        <v>8798</v>
      </c>
      <c r="D788" s="4" t="s">
        <v>9019</v>
      </c>
      <c r="E788" s="12" t="s">
        <v>407</v>
      </c>
      <c r="F788" s="75" t="s">
        <v>6723</v>
      </c>
      <c r="G788" s="3">
        <v>16</v>
      </c>
      <c r="H788" s="3" t="s">
        <v>6736</v>
      </c>
      <c r="I788" s="13" t="s">
        <v>6739</v>
      </c>
      <c r="J788" s="72">
        <v>1.35</v>
      </c>
      <c r="L788" s="9">
        <v>57.64</v>
      </c>
      <c r="M788" s="3">
        <v>95.99</v>
      </c>
      <c r="N788" s="17" t="s">
        <v>4643</v>
      </c>
      <c r="O788" s="18" t="s">
        <v>4641</v>
      </c>
      <c r="P788" s="49">
        <f t="shared" si="49"/>
        <v>1.9981186536363231</v>
      </c>
      <c r="Q788" s="1">
        <f t="shared" si="50"/>
        <v>2.2178991705889901</v>
      </c>
      <c r="R788" s="1">
        <f t="shared" si="52"/>
        <v>2.2274779504136983</v>
      </c>
      <c r="S788" s="10">
        <f t="shared" si="51"/>
        <v>2.1080089121126564</v>
      </c>
      <c r="T788" s="45" cm="1">
        <f t="array" ref="T788">SUMPRODUCT(P788:S788 * P$3:S$3) / SUM(P$3:S$3)</f>
        <v>2.1432949577707143</v>
      </c>
    </row>
    <row r="789" spans="1:20" ht="16.5" customHeight="1" x14ac:dyDescent="0.25">
      <c r="A789" s="5" t="s">
        <v>6792</v>
      </c>
      <c r="B789" s="20" t="s">
        <v>4645</v>
      </c>
      <c r="C789" s="4" t="s">
        <v>8798</v>
      </c>
      <c r="D789" s="4" t="s">
        <v>9019</v>
      </c>
      <c r="E789" s="12" t="s">
        <v>407</v>
      </c>
      <c r="F789" s="75" t="s">
        <v>6723</v>
      </c>
      <c r="G789" s="3">
        <v>16</v>
      </c>
      <c r="H789" s="3" t="s">
        <v>6736</v>
      </c>
      <c r="I789" s="13" t="s">
        <v>6741</v>
      </c>
      <c r="J789" s="72">
        <v>1.4</v>
      </c>
      <c r="L789" s="9">
        <v>57.9</v>
      </c>
      <c r="M789" s="3">
        <v>74.36</v>
      </c>
      <c r="N789" s="17" t="s">
        <v>4646</v>
      </c>
      <c r="O789" s="18" t="s">
        <v>4644</v>
      </c>
      <c r="P789" s="49">
        <f t="shared" si="49"/>
        <v>2.010930933612749</v>
      </c>
      <c r="Q789" s="1">
        <f t="shared" si="50"/>
        <v>2.2233964021903945</v>
      </c>
      <c r="R789" s="1">
        <f t="shared" si="52"/>
        <v>2.2329751820151027</v>
      </c>
      <c r="S789" s="10">
        <f t="shared" si="51"/>
        <v>2.117163667901572</v>
      </c>
      <c r="T789" s="45" cm="1">
        <f t="array" ref="T789">SUMPRODUCT(P789:S789 * P$3:S$3) / SUM(P$3:S$3)</f>
        <v>2.1513243215019342</v>
      </c>
    </row>
    <row r="790" spans="1:20" ht="16.5" customHeight="1" x14ac:dyDescent="0.25">
      <c r="A790" s="5" t="s">
        <v>6792</v>
      </c>
      <c r="B790" s="20" t="s">
        <v>4647</v>
      </c>
      <c r="C790" s="4" t="s">
        <v>8798</v>
      </c>
      <c r="D790" s="4" t="s">
        <v>9019</v>
      </c>
      <c r="E790" s="12" t="s">
        <v>407</v>
      </c>
      <c r="F790" s="75" t="s">
        <v>6723</v>
      </c>
      <c r="G790" s="3">
        <v>16</v>
      </c>
      <c r="H790" s="3" t="s">
        <v>6736</v>
      </c>
      <c r="I790" s="13" t="s">
        <v>6741</v>
      </c>
      <c r="J790" s="72">
        <v>1.4</v>
      </c>
      <c r="L790" s="9">
        <v>57.9</v>
      </c>
      <c r="M790" s="3">
        <v>89.3</v>
      </c>
      <c r="N790" s="17" t="s">
        <v>4648</v>
      </c>
      <c r="O790" s="18" t="s">
        <v>4644</v>
      </c>
      <c r="P790" s="49">
        <f t="shared" si="49"/>
        <v>2.010930933612749</v>
      </c>
      <c r="Q790" s="1">
        <f t="shared" si="50"/>
        <v>2.2233964021903945</v>
      </c>
      <c r="R790" s="1">
        <f t="shared" si="52"/>
        <v>2.2329751820151027</v>
      </c>
      <c r="S790" s="10">
        <f t="shared" si="51"/>
        <v>2.117163667901572</v>
      </c>
      <c r="T790" s="45" cm="1">
        <f t="array" ref="T790">SUMPRODUCT(P790:S790 * P$3:S$3) / SUM(P$3:S$3)</f>
        <v>2.1513243215019342</v>
      </c>
    </row>
    <row r="791" spans="1:20" ht="16.5" customHeight="1" x14ac:dyDescent="0.25">
      <c r="A791" s="5" t="s">
        <v>6792</v>
      </c>
      <c r="B791" s="20" t="s">
        <v>4794</v>
      </c>
      <c r="C791" s="4" t="s">
        <v>8798</v>
      </c>
      <c r="D791" s="4" t="s">
        <v>9019</v>
      </c>
      <c r="E791" s="12" t="s">
        <v>407</v>
      </c>
      <c r="F791" s="75" t="s">
        <v>6723</v>
      </c>
      <c r="G791" s="3">
        <v>16</v>
      </c>
      <c r="H791" s="3" t="s">
        <v>6736</v>
      </c>
      <c r="I791" s="13" t="s">
        <v>6740</v>
      </c>
      <c r="J791" s="72">
        <v>1.35</v>
      </c>
      <c r="L791" s="9">
        <v>68.099999999999994</v>
      </c>
      <c r="M791" s="3">
        <v>94.07</v>
      </c>
      <c r="N791" s="17" t="s">
        <v>4795</v>
      </c>
      <c r="O791" s="18" t="s">
        <v>4793</v>
      </c>
      <c r="P791" s="49">
        <f t="shared" si="49"/>
        <v>1.9903658063020435</v>
      </c>
      <c r="Q791" s="1">
        <f t="shared" si="50"/>
        <v>2.2140227469218505</v>
      </c>
      <c r="R791" s="1">
        <f t="shared" si="52"/>
        <v>2.2236015267465588</v>
      </c>
      <c r="S791" s="10">
        <f t="shared" si="51"/>
        <v>2.102194276611947</v>
      </c>
      <c r="T791" s="45" cm="1">
        <f t="array" ref="T791">SUMPRODUCT(P791:S791 * P$3:S$3) / SUM(P$3:S$3)</f>
        <v>2.1380766951418724</v>
      </c>
    </row>
    <row r="792" spans="1:20" ht="16.5" customHeight="1" x14ac:dyDescent="0.25">
      <c r="A792" s="5" t="s">
        <v>6792</v>
      </c>
      <c r="B792" s="20" t="s">
        <v>4797</v>
      </c>
      <c r="C792" s="4" t="s">
        <v>8798</v>
      </c>
      <c r="D792" s="4" t="s">
        <v>9019</v>
      </c>
      <c r="E792" s="12" t="s">
        <v>407</v>
      </c>
      <c r="F792" s="75" t="s">
        <v>6723</v>
      </c>
      <c r="G792" s="3">
        <v>16</v>
      </c>
      <c r="H792" s="3" t="s">
        <v>6736</v>
      </c>
      <c r="I792" s="13" t="s">
        <v>6739</v>
      </c>
      <c r="J792" s="72">
        <v>1.35</v>
      </c>
      <c r="L792" s="9">
        <v>53.9</v>
      </c>
      <c r="M792" s="3">
        <v>93.49</v>
      </c>
      <c r="N792" s="17" t="s">
        <v>4798</v>
      </c>
      <c r="O792" s="18" t="s">
        <v>4796</v>
      </c>
      <c r="P792" s="49">
        <f t="shared" si="49"/>
        <v>1.9981186536363231</v>
      </c>
      <c r="Q792" s="1">
        <f t="shared" si="50"/>
        <v>2.2178991705889901</v>
      </c>
      <c r="R792" s="1">
        <f t="shared" si="52"/>
        <v>2.2274779504136983</v>
      </c>
      <c r="S792" s="10">
        <f t="shared" si="51"/>
        <v>2.1080089121126564</v>
      </c>
      <c r="T792" s="45" cm="1">
        <f t="array" ref="T792">SUMPRODUCT(P792:S792 * P$3:S$3) / SUM(P$3:S$3)</f>
        <v>2.1432949577707143</v>
      </c>
    </row>
    <row r="793" spans="1:20" ht="16.5" customHeight="1" x14ac:dyDescent="0.25">
      <c r="A793" s="5" t="s">
        <v>6792</v>
      </c>
      <c r="B793" s="20" t="s">
        <v>4800</v>
      </c>
      <c r="C793" s="4" t="s">
        <v>8798</v>
      </c>
      <c r="D793" s="4" t="s">
        <v>9019</v>
      </c>
      <c r="E793" s="12" t="s">
        <v>407</v>
      </c>
      <c r="F793" s="75" t="s">
        <v>6723</v>
      </c>
      <c r="G793" s="3">
        <v>16</v>
      </c>
      <c r="H793" s="3" t="s">
        <v>6736</v>
      </c>
      <c r="I793" s="13" t="s">
        <v>6739</v>
      </c>
      <c r="J793" s="72">
        <v>1.35</v>
      </c>
      <c r="L793" s="9">
        <v>69.989999999999995</v>
      </c>
      <c r="M793" s="3">
        <v>113.38</v>
      </c>
      <c r="N793" s="17" t="s">
        <v>4801</v>
      </c>
      <c r="O793" s="18" t="s">
        <v>4799</v>
      </c>
      <c r="P793" s="49">
        <f t="shared" si="49"/>
        <v>1.9981186536363231</v>
      </c>
      <c r="Q793" s="1">
        <f t="shared" si="50"/>
        <v>2.2178991705889901</v>
      </c>
      <c r="R793" s="1">
        <f t="shared" si="52"/>
        <v>2.2274779504136983</v>
      </c>
      <c r="S793" s="10">
        <f t="shared" si="51"/>
        <v>2.1080089121126564</v>
      </c>
      <c r="T793" s="45" cm="1">
        <f t="array" ref="T793">SUMPRODUCT(P793:S793 * P$3:S$3) / SUM(P$3:S$3)</f>
        <v>2.1432949577707143</v>
      </c>
    </row>
    <row r="794" spans="1:20" ht="16.5" customHeight="1" x14ac:dyDescent="0.25">
      <c r="A794" s="5" t="s">
        <v>6792</v>
      </c>
      <c r="B794" s="20" t="s">
        <v>4803</v>
      </c>
      <c r="C794" s="4" t="s">
        <v>8798</v>
      </c>
      <c r="D794" s="4" t="s">
        <v>9019</v>
      </c>
      <c r="E794" s="12" t="s">
        <v>407</v>
      </c>
      <c r="F794" s="75" t="s">
        <v>6723</v>
      </c>
      <c r="G794" s="3">
        <v>16</v>
      </c>
      <c r="H794" s="3" t="s">
        <v>6736</v>
      </c>
      <c r="I794" s="13" t="s">
        <v>6741</v>
      </c>
      <c r="J794" s="72">
        <v>1.4</v>
      </c>
      <c r="L794" s="9">
        <v>56.87</v>
      </c>
      <c r="M794" s="3">
        <v>94.99</v>
      </c>
      <c r="N794" s="17" t="s">
        <v>4804</v>
      </c>
      <c r="O794" s="18" t="s">
        <v>4802</v>
      </c>
      <c r="P794" s="49">
        <f t="shared" si="49"/>
        <v>2.010930933612749</v>
      </c>
      <c r="Q794" s="1">
        <f t="shared" si="50"/>
        <v>2.2233964021903945</v>
      </c>
      <c r="R794" s="1">
        <f t="shared" si="52"/>
        <v>2.2329751820151027</v>
      </c>
      <c r="S794" s="10">
        <f t="shared" si="51"/>
        <v>2.117163667901572</v>
      </c>
      <c r="T794" s="45" cm="1">
        <f t="array" ref="T794">SUMPRODUCT(P794:S794 * P$3:S$3) / SUM(P$3:S$3)</f>
        <v>2.1513243215019342</v>
      </c>
    </row>
    <row r="795" spans="1:20" ht="16.5" customHeight="1" x14ac:dyDescent="0.25">
      <c r="A795" s="5" t="s">
        <v>6792</v>
      </c>
      <c r="B795" s="20" t="s">
        <v>4805</v>
      </c>
      <c r="C795" s="4" t="s">
        <v>8798</v>
      </c>
      <c r="D795" s="4" t="s">
        <v>9019</v>
      </c>
      <c r="E795" s="12" t="s">
        <v>407</v>
      </c>
      <c r="F795" s="75" t="s">
        <v>6723</v>
      </c>
      <c r="G795" s="3">
        <v>16</v>
      </c>
      <c r="H795" s="3" t="s">
        <v>6736</v>
      </c>
      <c r="I795" s="13" t="s">
        <v>6741</v>
      </c>
      <c r="J795" s="72">
        <v>1.4</v>
      </c>
      <c r="L795" s="9">
        <v>57.9</v>
      </c>
      <c r="M795" s="3">
        <v>79.900000000000006</v>
      </c>
      <c r="N795" s="17" t="s">
        <v>4806</v>
      </c>
      <c r="O795" s="18" t="s">
        <v>4802</v>
      </c>
      <c r="P795" s="49">
        <f t="shared" si="49"/>
        <v>2.010930933612749</v>
      </c>
      <c r="Q795" s="1">
        <f t="shared" si="50"/>
        <v>2.2233964021903945</v>
      </c>
      <c r="R795" s="1">
        <f t="shared" si="52"/>
        <v>2.2329751820151027</v>
      </c>
      <c r="S795" s="10">
        <f t="shared" si="51"/>
        <v>2.117163667901572</v>
      </c>
      <c r="T795" s="45" cm="1">
        <f t="array" ref="T795">SUMPRODUCT(P795:S795 * P$3:S$3) / SUM(P$3:S$3)</f>
        <v>2.1513243215019342</v>
      </c>
    </row>
    <row r="796" spans="1:20" ht="16.5" customHeight="1" x14ac:dyDescent="0.25">
      <c r="A796" s="5" t="s">
        <v>6792</v>
      </c>
      <c r="B796" s="20" t="s">
        <v>4953</v>
      </c>
      <c r="C796" s="4" t="s">
        <v>8798</v>
      </c>
      <c r="D796" s="4" t="s">
        <v>9019</v>
      </c>
      <c r="E796" s="12" t="s">
        <v>407</v>
      </c>
      <c r="F796" s="75" t="s">
        <v>6723</v>
      </c>
      <c r="G796" s="3">
        <v>16</v>
      </c>
      <c r="H796" s="3" t="s">
        <v>6736</v>
      </c>
      <c r="I796" s="13" t="s">
        <v>6740</v>
      </c>
      <c r="J796" s="72">
        <v>1.35</v>
      </c>
      <c r="K796" s="14" t="s">
        <v>4847</v>
      </c>
      <c r="L796" s="9">
        <v>83.3</v>
      </c>
      <c r="M796" s="3">
        <v>122.06</v>
      </c>
      <c r="N796" s="17" t="s">
        <v>4954</v>
      </c>
      <c r="O796" s="18" t="s">
        <v>4952</v>
      </c>
      <c r="P796" s="49">
        <f t="shared" si="49"/>
        <v>1.9903658063020435</v>
      </c>
      <c r="Q796" s="1">
        <f t="shared" si="50"/>
        <v>2.2140227469218505</v>
      </c>
      <c r="R796" s="1">
        <f t="shared" si="52"/>
        <v>2.2236015267465588</v>
      </c>
      <c r="S796" s="10">
        <f t="shared" si="51"/>
        <v>2.102194276611947</v>
      </c>
      <c r="T796" s="45" cm="1">
        <f t="array" ref="T796">SUMPRODUCT(P796:S796 * P$3:S$3) / SUM(P$3:S$3)</f>
        <v>2.1380766951418724</v>
      </c>
    </row>
    <row r="797" spans="1:20" ht="16.5" customHeight="1" x14ac:dyDescent="0.25">
      <c r="A797" s="5" t="s">
        <v>6792</v>
      </c>
      <c r="B797" s="20" t="s">
        <v>4956</v>
      </c>
      <c r="C797" s="4" t="s">
        <v>8798</v>
      </c>
      <c r="D797" s="4" t="s">
        <v>9019</v>
      </c>
      <c r="E797" s="12" t="s">
        <v>407</v>
      </c>
      <c r="F797" s="75" t="s">
        <v>6723</v>
      </c>
      <c r="G797" s="3">
        <v>16</v>
      </c>
      <c r="H797" s="3" t="s">
        <v>6736</v>
      </c>
      <c r="I797" s="13" t="s">
        <v>6739</v>
      </c>
      <c r="J797" s="72">
        <v>1.35</v>
      </c>
      <c r="K797" s="14" t="s">
        <v>4847</v>
      </c>
      <c r="L797" s="9">
        <v>62.54</v>
      </c>
      <c r="M797" s="3">
        <v>104.9</v>
      </c>
      <c r="N797" s="17" t="s">
        <v>4957</v>
      </c>
      <c r="O797" s="18" t="s">
        <v>4955</v>
      </c>
      <c r="P797" s="49">
        <f t="shared" si="49"/>
        <v>1.9981186536363231</v>
      </c>
      <c r="Q797" s="1">
        <f t="shared" si="50"/>
        <v>2.2178991705889901</v>
      </c>
      <c r="R797" s="1">
        <f t="shared" si="52"/>
        <v>2.2274779504136983</v>
      </c>
      <c r="S797" s="10">
        <f t="shared" si="51"/>
        <v>2.1080089121126564</v>
      </c>
      <c r="T797" s="45" cm="1">
        <f t="array" ref="T797">SUMPRODUCT(P797:S797 * P$3:S$3) / SUM(P$3:S$3)</f>
        <v>2.1432949577707143</v>
      </c>
    </row>
    <row r="798" spans="1:20" ht="16.5" customHeight="1" x14ac:dyDescent="0.25">
      <c r="A798" s="5" t="s">
        <v>6792</v>
      </c>
      <c r="B798" s="20" t="s">
        <v>4959</v>
      </c>
      <c r="C798" s="4" t="s">
        <v>8798</v>
      </c>
      <c r="D798" s="4" t="s">
        <v>9019</v>
      </c>
      <c r="E798" s="12" t="s">
        <v>407</v>
      </c>
      <c r="F798" s="75" t="s">
        <v>6723</v>
      </c>
      <c r="G798" s="3">
        <v>16</v>
      </c>
      <c r="H798" s="3" t="s">
        <v>6736</v>
      </c>
      <c r="I798" s="13" t="s">
        <v>6741</v>
      </c>
      <c r="J798" s="72">
        <v>1.4</v>
      </c>
      <c r="K798" s="14" t="s">
        <v>4847</v>
      </c>
      <c r="L798" s="9">
        <v>62.9</v>
      </c>
      <c r="M798" s="3">
        <v>104</v>
      </c>
      <c r="N798" s="17" t="s">
        <v>4960</v>
      </c>
      <c r="O798" s="18" t="s">
        <v>4958</v>
      </c>
      <c r="P798" s="49">
        <f t="shared" si="49"/>
        <v>2.010930933612749</v>
      </c>
      <c r="Q798" s="1">
        <f t="shared" si="50"/>
        <v>2.2233964021903945</v>
      </c>
      <c r="R798" s="1">
        <f t="shared" si="52"/>
        <v>2.2329751820151027</v>
      </c>
      <c r="S798" s="10">
        <f t="shared" si="51"/>
        <v>2.117163667901572</v>
      </c>
      <c r="T798" s="45" cm="1">
        <f t="array" ref="T798">SUMPRODUCT(P798:S798 * P$3:S$3) / SUM(P$3:S$3)</f>
        <v>2.1513243215019342</v>
      </c>
    </row>
    <row r="799" spans="1:20" ht="16.5" customHeight="1" x14ac:dyDescent="0.25">
      <c r="A799" s="5" t="s">
        <v>6792</v>
      </c>
      <c r="B799" s="20" t="s">
        <v>4961</v>
      </c>
      <c r="C799" s="4" t="s">
        <v>8798</v>
      </c>
      <c r="D799" s="4" t="s">
        <v>9019</v>
      </c>
      <c r="E799" s="12" t="s">
        <v>407</v>
      </c>
      <c r="F799" s="75" t="s">
        <v>6723</v>
      </c>
      <c r="G799" s="3">
        <v>16</v>
      </c>
      <c r="H799" s="3" t="s">
        <v>6736</v>
      </c>
      <c r="I799" s="13" t="s">
        <v>6741</v>
      </c>
      <c r="J799" s="72">
        <v>1.4</v>
      </c>
      <c r="K799" s="14" t="s">
        <v>4847</v>
      </c>
      <c r="L799" s="9">
        <v>62.9</v>
      </c>
      <c r="M799" s="3">
        <v>104</v>
      </c>
      <c r="N799" s="17" t="s">
        <v>4962</v>
      </c>
      <c r="O799" s="18" t="s">
        <v>4958</v>
      </c>
      <c r="P799" s="49">
        <f t="shared" si="49"/>
        <v>2.010930933612749</v>
      </c>
      <c r="Q799" s="1">
        <f t="shared" si="50"/>
        <v>2.2233964021903945</v>
      </c>
      <c r="R799" s="1">
        <f t="shared" si="52"/>
        <v>2.2329751820151027</v>
      </c>
      <c r="S799" s="10">
        <f t="shared" si="51"/>
        <v>2.117163667901572</v>
      </c>
      <c r="T799" s="45" cm="1">
        <f t="array" ref="T799">SUMPRODUCT(P799:S799 * P$3:S$3) / SUM(P$3:S$3)</f>
        <v>2.1513243215019342</v>
      </c>
    </row>
    <row r="800" spans="1:20" ht="16.5" customHeight="1" x14ac:dyDescent="0.25">
      <c r="A800" s="5" t="s">
        <v>6792</v>
      </c>
      <c r="B800" s="20" t="s">
        <v>5108</v>
      </c>
      <c r="C800" s="4" t="s">
        <v>8798</v>
      </c>
      <c r="D800" s="4" t="s">
        <v>9019</v>
      </c>
      <c r="E800" s="12" t="s">
        <v>407</v>
      </c>
      <c r="F800" s="75" t="s">
        <v>6723</v>
      </c>
      <c r="G800" s="3">
        <v>16</v>
      </c>
      <c r="H800" s="3" t="s">
        <v>6736</v>
      </c>
      <c r="I800" s="13" t="s">
        <v>6739</v>
      </c>
      <c r="J800" s="72">
        <v>1.35</v>
      </c>
      <c r="K800" s="14" t="s">
        <v>4847</v>
      </c>
      <c r="L800" s="9">
        <v>60.78</v>
      </c>
      <c r="M800" s="3">
        <v>104.9</v>
      </c>
      <c r="N800" s="17" t="s">
        <v>5109</v>
      </c>
      <c r="O800" s="18" t="s">
        <v>5107</v>
      </c>
      <c r="P800" s="49">
        <f t="shared" si="49"/>
        <v>1.9981186536363231</v>
      </c>
      <c r="Q800" s="1">
        <f t="shared" si="50"/>
        <v>2.2178991705889901</v>
      </c>
      <c r="R800" s="1">
        <f t="shared" si="52"/>
        <v>2.2274779504136983</v>
      </c>
      <c r="S800" s="10">
        <f t="shared" si="51"/>
        <v>2.1080089121126564</v>
      </c>
      <c r="T800" s="45" cm="1">
        <f t="array" ref="T800">SUMPRODUCT(P800:S800 * P$3:S$3) / SUM(P$3:S$3)</f>
        <v>2.1432949577707143</v>
      </c>
    </row>
    <row r="801" spans="1:20" ht="16.5" customHeight="1" x14ac:dyDescent="0.25">
      <c r="A801" s="5" t="s">
        <v>6792</v>
      </c>
      <c r="B801" s="20" t="s">
        <v>5111</v>
      </c>
      <c r="C801" s="4" t="s">
        <v>8798</v>
      </c>
      <c r="D801" s="4" t="s">
        <v>9019</v>
      </c>
      <c r="E801" s="12" t="s">
        <v>407</v>
      </c>
      <c r="F801" s="75" t="s">
        <v>6723</v>
      </c>
      <c r="G801" s="3">
        <v>16</v>
      </c>
      <c r="H801" s="3" t="s">
        <v>6736</v>
      </c>
      <c r="I801" s="13" t="s">
        <v>6739</v>
      </c>
      <c r="J801" s="72">
        <v>1.35</v>
      </c>
      <c r="K801" s="14" t="s">
        <v>4847</v>
      </c>
      <c r="L801" s="9">
        <v>75</v>
      </c>
      <c r="M801" s="3">
        <v>94.54</v>
      </c>
      <c r="N801" s="17" t="s">
        <v>5112</v>
      </c>
      <c r="O801" s="18" t="s">
        <v>5110</v>
      </c>
      <c r="P801" s="49">
        <f t="shared" si="49"/>
        <v>1.9981186536363231</v>
      </c>
      <c r="Q801" s="1">
        <f t="shared" si="50"/>
        <v>2.2178991705889901</v>
      </c>
      <c r="R801" s="1">
        <f t="shared" si="52"/>
        <v>2.2274779504136983</v>
      </c>
      <c r="S801" s="10">
        <f t="shared" si="51"/>
        <v>2.1080089121126564</v>
      </c>
      <c r="T801" s="45" cm="1">
        <f t="array" ref="T801">SUMPRODUCT(P801:S801 * P$3:S$3) / SUM(P$3:S$3)</f>
        <v>2.1432949577707143</v>
      </c>
    </row>
    <row r="802" spans="1:20" ht="16.5" customHeight="1" x14ac:dyDescent="0.25">
      <c r="A802" s="5" t="s">
        <v>6792</v>
      </c>
      <c r="B802" s="20" t="s">
        <v>5114</v>
      </c>
      <c r="C802" s="4" t="s">
        <v>8798</v>
      </c>
      <c r="D802" s="4" t="s">
        <v>9019</v>
      </c>
      <c r="E802" s="12" t="s">
        <v>407</v>
      </c>
      <c r="F802" s="75" t="s">
        <v>6723</v>
      </c>
      <c r="G802" s="3">
        <v>16</v>
      </c>
      <c r="H802" s="3" t="s">
        <v>6736</v>
      </c>
      <c r="I802" s="13" t="s">
        <v>6741</v>
      </c>
      <c r="J802" s="72">
        <v>1.4</v>
      </c>
      <c r="K802" s="14" t="s">
        <v>4847</v>
      </c>
      <c r="L802" s="9">
        <v>62.9</v>
      </c>
      <c r="M802" s="3">
        <v>94</v>
      </c>
      <c r="N802" s="17" t="s">
        <v>5115</v>
      </c>
      <c r="O802" s="18" t="s">
        <v>5113</v>
      </c>
      <c r="P802" s="49">
        <f t="shared" si="49"/>
        <v>2.010930933612749</v>
      </c>
      <c r="Q802" s="1">
        <f t="shared" si="50"/>
        <v>2.2233964021903945</v>
      </c>
      <c r="R802" s="1">
        <f t="shared" si="52"/>
        <v>2.2329751820151027</v>
      </c>
      <c r="S802" s="10">
        <f t="shared" si="51"/>
        <v>2.117163667901572</v>
      </c>
      <c r="T802" s="45" cm="1">
        <f t="array" ref="T802">SUMPRODUCT(P802:S802 * P$3:S$3) / SUM(P$3:S$3)</f>
        <v>2.1513243215019342</v>
      </c>
    </row>
    <row r="803" spans="1:20" ht="16.5" customHeight="1" x14ac:dyDescent="0.25">
      <c r="A803" s="5" t="s">
        <v>6792</v>
      </c>
      <c r="B803" s="20" t="s">
        <v>5116</v>
      </c>
      <c r="C803" s="4" t="s">
        <v>8798</v>
      </c>
      <c r="D803" s="4" t="s">
        <v>9019</v>
      </c>
      <c r="E803" s="12" t="s">
        <v>407</v>
      </c>
      <c r="F803" s="75" t="s">
        <v>6723</v>
      </c>
      <c r="G803" s="3">
        <v>16</v>
      </c>
      <c r="H803" s="3" t="s">
        <v>6736</v>
      </c>
      <c r="I803" s="13" t="s">
        <v>6741</v>
      </c>
      <c r="J803" s="72">
        <v>1.4</v>
      </c>
      <c r="K803" s="14" t="s">
        <v>4847</v>
      </c>
      <c r="L803" s="9">
        <v>109</v>
      </c>
      <c r="M803" s="3">
        <v>163.69999999999999</v>
      </c>
      <c r="N803" s="17" t="s">
        <v>5117</v>
      </c>
      <c r="O803" s="18" t="s">
        <v>5113</v>
      </c>
      <c r="P803" s="49">
        <f t="shared" si="49"/>
        <v>2.010930933612749</v>
      </c>
      <c r="Q803" s="1">
        <f t="shared" si="50"/>
        <v>2.2233964021903945</v>
      </c>
      <c r="R803" s="1">
        <f t="shared" si="52"/>
        <v>2.2329751820151027</v>
      </c>
      <c r="S803" s="10">
        <f t="shared" si="51"/>
        <v>2.117163667901572</v>
      </c>
      <c r="T803" s="45" cm="1">
        <f t="array" ref="T803">SUMPRODUCT(P803:S803 * P$3:S$3) / SUM(P$3:S$3)</f>
        <v>2.1513243215019342</v>
      </c>
    </row>
    <row r="804" spans="1:20" ht="16.5" customHeight="1" x14ac:dyDescent="0.25">
      <c r="A804" s="5" t="s">
        <v>6792</v>
      </c>
      <c r="B804" s="20" t="s">
        <v>5118</v>
      </c>
      <c r="C804" s="4" t="s">
        <v>8798</v>
      </c>
      <c r="D804" s="4" t="s">
        <v>9019</v>
      </c>
      <c r="E804" s="12" t="s">
        <v>407</v>
      </c>
      <c r="F804" s="75" t="s">
        <v>6723</v>
      </c>
      <c r="G804" s="3">
        <v>16</v>
      </c>
      <c r="H804" s="3" t="s">
        <v>6736</v>
      </c>
      <c r="I804" s="13" t="s">
        <v>6741</v>
      </c>
      <c r="J804" s="72">
        <v>1.4</v>
      </c>
      <c r="K804" s="14" t="s">
        <v>4847</v>
      </c>
      <c r="L804" s="9">
        <v>62.9</v>
      </c>
      <c r="M804" s="3">
        <v>91.84</v>
      </c>
      <c r="N804" s="17" t="s">
        <v>5119</v>
      </c>
      <c r="O804" s="18" t="s">
        <v>5113</v>
      </c>
      <c r="P804" s="49">
        <f t="shared" si="49"/>
        <v>2.010930933612749</v>
      </c>
      <c r="Q804" s="1">
        <f t="shared" si="50"/>
        <v>2.2233964021903945</v>
      </c>
      <c r="R804" s="1">
        <f t="shared" si="52"/>
        <v>2.2329751820151027</v>
      </c>
      <c r="S804" s="10">
        <f t="shared" si="51"/>
        <v>2.117163667901572</v>
      </c>
      <c r="T804" s="45" cm="1">
        <f t="array" ref="T804">SUMPRODUCT(P804:S804 * P$3:S$3) / SUM(P$3:S$3)</f>
        <v>2.1513243215019342</v>
      </c>
    </row>
    <row r="805" spans="1:20" ht="16.5" customHeight="1" x14ac:dyDescent="0.25">
      <c r="A805" s="5" t="s">
        <v>6771</v>
      </c>
      <c r="B805" s="20" t="s">
        <v>4472</v>
      </c>
      <c r="C805" s="4" t="s">
        <v>8798</v>
      </c>
      <c r="D805" s="4" t="s">
        <v>9019</v>
      </c>
      <c r="E805" s="12" t="s">
        <v>407</v>
      </c>
      <c r="F805" s="75" t="s">
        <v>6723</v>
      </c>
      <c r="G805" s="3">
        <v>16</v>
      </c>
      <c r="H805" s="3" t="s">
        <v>6736</v>
      </c>
      <c r="I805" s="13" t="s">
        <v>225</v>
      </c>
      <c r="J805" s="72">
        <v>1.35</v>
      </c>
      <c r="K805" s="14" t="s">
        <v>4436</v>
      </c>
      <c r="L805" s="9">
        <v>83.66</v>
      </c>
      <c r="M805" s="3">
        <v>85.07</v>
      </c>
      <c r="N805" s="17" t="s">
        <v>4473</v>
      </c>
      <c r="O805" s="18" t="s">
        <v>4471</v>
      </c>
      <c r="P805" s="49">
        <f t="shared" si="49"/>
        <v>2.0073860374193306</v>
      </c>
      <c r="Q805" s="1">
        <f t="shared" si="50"/>
        <v>2.2225328624804939</v>
      </c>
      <c r="R805" s="1">
        <f t="shared" si="52"/>
        <v>2.2321116423052021</v>
      </c>
      <c r="S805" s="10">
        <f t="shared" si="51"/>
        <v>2.1149594499499123</v>
      </c>
      <c r="T805" s="45" cm="1">
        <f t="array" ref="T805">SUMPRODUCT(P805:S805 * P$3:S$3) / SUM(P$3:S$3)</f>
        <v>2.1495326199323541</v>
      </c>
    </row>
    <row r="806" spans="1:20" ht="16.5" customHeight="1" x14ac:dyDescent="0.25">
      <c r="A806" s="5" t="s">
        <v>6797</v>
      </c>
      <c r="B806" s="20" t="s">
        <v>4733</v>
      </c>
      <c r="C806" s="4" t="s">
        <v>8798</v>
      </c>
      <c r="D806" s="4" t="s">
        <v>9020</v>
      </c>
      <c r="E806" s="12" t="s">
        <v>407</v>
      </c>
      <c r="F806" s="75" t="s">
        <v>6723</v>
      </c>
      <c r="G806" s="3">
        <v>16</v>
      </c>
      <c r="H806" s="3" t="s">
        <v>404</v>
      </c>
      <c r="I806" s="13" t="s">
        <v>6740</v>
      </c>
      <c r="J806" s="72">
        <v>1.35</v>
      </c>
      <c r="L806" s="9">
        <v>75.77</v>
      </c>
      <c r="M806" s="3">
        <v>95.67</v>
      </c>
      <c r="N806" s="17" t="s">
        <v>4734</v>
      </c>
      <c r="O806" s="18" t="s">
        <v>4732</v>
      </c>
      <c r="P806" s="49">
        <f t="shared" si="49"/>
        <v>2.0239731257367621</v>
      </c>
      <c r="Q806" s="1">
        <f t="shared" si="50"/>
        <v>2.2391026021409801</v>
      </c>
      <c r="R806" s="1">
        <f t="shared" si="52"/>
        <v>2.2452503909959898</v>
      </c>
      <c r="S806" s="10">
        <f t="shared" si="51"/>
        <v>2.1315378639388713</v>
      </c>
      <c r="T806" s="45" cm="1">
        <f t="array" ref="T806">SUMPRODUCT(P806:S806 * P$3:S$3) / SUM(P$3:S$3)</f>
        <v>2.1655805201325986</v>
      </c>
    </row>
    <row r="807" spans="1:20" ht="16.5" customHeight="1" x14ac:dyDescent="0.25">
      <c r="A807" s="5" t="s">
        <v>6797</v>
      </c>
      <c r="B807" s="20" t="s">
        <v>4736</v>
      </c>
      <c r="C807" s="4" t="s">
        <v>8798</v>
      </c>
      <c r="D807" s="4" t="s">
        <v>9020</v>
      </c>
      <c r="E807" s="12" t="s">
        <v>407</v>
      </c>
      <c r="F807" s="75" t="s">
        <v>6723</v>
      </c>
      <c r="G807" s="3">
        <v>16</v>
      </c>
      <c r="H807" s="3" t="s">
        <v>404</v>
      </c>
      <c r="I807" s="13" t="s">
        <v>6739</v>
      </c>
      <c r="J807" s="72">
        <v>1.35</v>
      </c>
      <c r="L807" s="9">
        <v>51.9</v>
      </c>
      <c r="M807" s="3">
        <v>104.9</v>
      </c>
      <c r="N807" s="17" t="s">
        <v>4737</v>
      </c>
      <c r="O807" s="18" t="s">
        <v>4735</v>
      </c>
      <c r="P807" s="49">
        <f t="shared" si="49"/>
        <v>2.0319433426224704</v>
      </c>
      <c r="Q807" s="1">
        <f t="shared" si="50"/>
        <v>2.243087710583834</v>
      </c>
      <c r="R807" s="1">
        <f t="shared" si="52"/>
        <v>2.2492354994388437</v>
      </c>
      <c r="S807" s="10">
        <f t="shared" si="51"/>
        <v>2.1375155266031522</v>
      </c>
      <c r="T807" s="45" cm="1">
        <f t="array" ref="T807">SUMPRODUCT(P807:S807 * P$3:S$3) / SUM(P$3:S$3)</f>
        <v>2.1709450891902864</v>
      </c>
    </row>
    <row r="808" spans="1:20" ht="16.5" customHeight="1" x14ac:dyDescent="0.25">
      <c r="A808" s="5" t="s">
        <v>6797</v>
      </c>
      <c r="B808" s="20" t="s">
        <v>4739</v>
      </c>
      <c r="C808" s="4" t="s">
        <v>8798</v>
      </c>
      <c r="D808" s="4" t="s">
        <v>9020</v>
      </c>
      <c r="E808" s="12" t="s">
        <v>407</v>
      </c>
      <c r="F808" s="75" t="s">
        <v>6723</v>
      </c>
      <c r="G808" s="3">
        <v>16</v>
      </c>
      <c r="H808" s="3" t="s">
        <v>404</v>
      </c>
      <c r="I808" s="13" t="s">
        <v>6741</v>
      </c>
      <c r="J808" s="72">
        <v>1.4</v>
      </c>
      <c r="L808" s="9">
        <v>63.9</v>
      </c>
      <c r="M808" s="3">
        <v>114.9</v>
      </c>
      <c r="N808" s="17" t="s">
        <v>4740</v>
      </c>
      <c r="O808" s="18" t="s">
        <v>4738</v>
      </c>
      <c r="P808" s="49">
        <f t="shared" si="49"/>
        <v>2.0451148454019741</v>
      </c>
      <c r="Q808" s="1">
        <f t="shared" si="50"/>
        <v>2.2487390701740626</v>
      </c>
      <c r="R808" s="1">
        <f t="shared" si="52"/>
        <v>2.2548868590290727</v>
      </c>
      <c r="S808" s="10">
        <f t="shared" si="51"/>
        <v>2.1469269577880183</v>
      </c>
      <c r="T808" s="45" cm="1">
        <f t="array" ref="T808">SUMPRODUCT(P808:S808 * P$3:S$3) / SUM(P$3:S$3)</f>
        <v>2.1791995752691102</v>
      </c>
    </row>
    <row r="809" spans="1:20" ht="16.5" customHeight="1" x14ac:dyDescent="0.25">
      <c r="A809" s="5" t="s">
        <v>6797</v>
      </c>
      <c r="B809" s="20" t="s">
        <v>4741</v>
      </c>
      <c r="C809" s="4" t="s">
        <v>8798</v>
      </c>
      <c r="D809" s="4" t="s">
        <v>9020</v>
      </c>
      <c r="E809" s="12" t="s">
        <v>407</v>
      </c>
      <c r="F809" s="75" t="s">
        <v>6723</v>
      </c>
      <c r="G809" s="3">
        <v>16</v>
      </c>
      <c r="H809" s="3" t="s">
        <v>404</v>
      </c>
      <c r="I809" s="13" t="s">
        <v>6741</v>
      </c>
      <c r="J809" s="72">
        <v>1.4</v>
      </c>
      <c r="L809" s="9">
        <v>61.9</v>
      </c>
      <c r="M809" s="3">
        <v>109.9</v>
      </c>
      <c r="N809" s="17" t="s">
        <v>4742</v>
      </c>
      <c r="O809" s="18" t="s">
        <v>4738</v>
      </c>
      <c r="P809" s="49">
        <f t="shared" si="49"/>
        <v>2.0451148454019741</v>
      </c>
      <c r="Q809" s="1">
        <f t="shared" si="50"/>
        <v>2.2487390701740626</v>
      </c>
      <c r="R809" s="1">
        <f t="shared" si="52"/>
        <v>2.2548868590290727</v>
      </c>
      <c r="S809" s="10">
        <f t="shared" si="51"/>
        <v>2.1469269577880183</v>
      </c>
      <c r="T809" s="45" cm="1">
        <f t="array" ref="T809">SUMPRODUCT(P809:S809 * P$3:S$3) / SUM(P$3:S$3)</f>
        <v>2.1791995752691102</v>
      </c>
    </row>
    <row r="810" spans="1:20" ht="16.5" customHeight="1" x14ac:dyDescent="0.25">
      <c r="A810" s="5" t="s">
        <v>6797</v>
      </c>
      <c r="B810" s="20" t="s">
        <v>5052</v>
      </c>
      <c r="C810" s="4" t="s">
        <v>8798</v>
      </c>
      <c r="D810" s="4" t="s">
        <v>9020</v>
      </c>
      <c r="E810" s="12" t="s">
        <v>407</v>
      </c>
      <c r="F810" s="75" t="s">
        <v>6723</v>
      </c>
      <c r="G810" s="3">
        <v>16</v>
      </c>
      <c r="H810" s="3" t="s">
        <v>404</v>
      </c>
      <c r="I810" s="13" t="s">
        <v>6739</v>
      </c>
      <c r="J810" s="72">
        <v>1.35</v>
      </c>
      <c r="K810" s="14" t="s">
        <v>4847</v>
      </c>
      <c r="L810" s="9">
        <v>71.930000000000007</v>
      </c>
      <c r="M810" s="3">
        <v>124.9</v>
      </c>
      <c r="N810" s="17" t="s">
        <v>5053</v>
      </c>
      <c r="O810" s="18" t="s">
        <v>5051</v>
      </c>
      <c r="P810" s="49">
        <f t="shared" si="49"/>
        <v>2.0319433426224704</v>
      </c>
      <c r="Q810" s="1">
        <f t="shared" si="50"/>
        <v>2.243087710583834</v>
      </c>
      <c r="R810" s="1">
        <f t="shared" si="52"/>
        <v>2.2492354994388437</v>
      </c>
      <c r="S810" s="10">
        <f t="shared" si="51"/>
        <v>2.1375155266031522</v>
      </c>
      <c r="T810" s="45" cm="1">
        <f t="array" ref="T810">SUMPRODUCT(P810:S810 * P$3:S$3) / SUM(P$3:S$3)</f>
        <v>2.1709450891902864</v>
      </c>
    </row>
    <row r="811" spans="1:20" ht="16.5" customHeight="1" x14ac:dyDescent="0.25">
      <c r="A811" s="5" t="s">
        <v>6797</v>
      </c>
      <c r="B811" s="20" t="s">
        <v>5055</v>
      </c>
      <c r="C811" s="4" t="s">
        <v>8798</v>
      </c>
      <c r="D811" s="4" t="s">
        <v>9020</v>
      </c>
      <c r="E811" s="12" t="s">
        <v>407</v>
      </c>
      <c r="F811" s="75" t="s">
        <v>6723</v>
      </c>
      <c r="G811" s="3">
        <v>16</v>
      </c>
      <c r="H811" s="3" t="s">
        <v>404</v>
      </c>
      <c r="I811" s="13" t="s">
        <v>6741</v>
      </c>
      <c r="J811" s="72">
        <v>1.4</v>
      </c>
      <c r="K811" s="14" t="s">
        <v>4847</v>
      </c>
      <c r="L811" s="9">
        <v>71.39</v>
      </c>
      <c r="M811" s="3">
        <v>134.9</v>
      </c>
      <c r="N811" s="17" t="s">
        <v>5056</v>
      </c>
      <c r="O811" s="18" t="s">
        <v>5054</v>
      </c>
      <c r="P811" s="49">
        <f t="shared" si="49"/>
        <v>2.0451148454019741</v>
      </c>
      <c r="Q811" s="1">
        <f t="shared" si="50"/>
        <v>2.2487390701740626</v>
      </c>
      <c r="R811" s="1">
        <f t="shared" si="52"/>
        <v>2.2548868590290727</v>
      </c>
      <c r="S811" s="10">
        <f t="shared" si="51"/>
        <v>2.1469269577880183</v>
      </c>
      <c r="T811" s="45" cm="1">
        <f t="array" ref="T811">SUMPRODUCT(P811:S811 * P$3:S$3) / SUM(P$3:S$3)</f>
        <v>2.1791995752691102</v>
      </c>
    </row>
    <row r="812" spans="1:20" ht="16.5" customHeight="1" x14ac:dyDescent="0.25">
      <c r="A812" s="5" t="s">
        <v>6797</v>
      </c>
      <c r="B812" s="20" t="s">
        <v>5057</v>
      </c>
      <c r="C812" s="4" t="s">
        <v>8798</v>
      </c>
      <c r="D812" s="4" t="s">
        <v>9020</v>
      </c>
      <c r="E812" s="12" t="s">
        <v>407</v>
      </c>
      <c r="F812" s="75" t="s">
        <v>6723</v>
      </c>
      <c r="G812" s="3">
        <v>16</v>
      </c>
      <c r="H812" s="3" t="s">
        <v>404</v>
      </c>
      <c r="I812" s="13" t="s">
        <v>6741</v>
      </c>
      <c r="J812" s="72">
        <v>1.4</v>
      </c>
      <c r="K812" s="14" t="s">
        <v>4847</v>
      </c>
      <c r="L812" s="9">
        <v>74.63</v>
      </c>
      <c r="M812" s="3">
        <v>114.65</v>
      </c>
      <c r="N812" s="17" t="s">
        <v>5058</v>
      </c>
      <c r="O812" s="18" t="s">
        <v>5054</v>
      </c>
      <c r="P812" s="49">
        <f t="shared" si="49"/>
        <v>2.0451148454019741</v>
      </c>
      <c r="Q812" s="1">
        <f t="shared" si="50"/>
        <v>2.2487390701740626</v>
      </c>
      <c r="R812" s="1">
        <f t="shared" si="52"/>
        <v>2.2548868590290727</v>
      </c>
      <c r="S812" s="10">
        <f t="shared" si="51"/>
        <v>2.1469269577880183</v>
      </c>
      <c r="T812" s="45" cm="1">
        <f t="array" ref="T812">SUMPRODUCT(P812:S812 * P$3:S$3) / SUM(P$3:S$3)</f>
        <v>2.1791995752691102</v>
      </c>
    </row>
    <row r="813" spans="1:20" ht="16.5" customHeight="1" x14ac:dyDescent="0.25">
      <c r="A813" s="5" t="s">
        <v>6787</v>
      </c>
      <c r="B813" s="20" t="s">
        <v>4615</v>
      </c>
      <c r="C813" s="4" t="s">
        <v>8798</v>
      </c>
      <c r="D813" s="4" t="s">
        <v>9021</v>
      </c>
      <c r="E813" s="12" t="s">
        <v>407</v>
      </c>
      <c r="F813" s="75" t="s">
        <v>6723</v>
      </c>
      <c r="G813" s="3">
        <v>32</v>
      </c>
      <c r="H813" s="3" t="s">
        <v>6736</v>
      </c>
      <c r="I813" s="13" t="s">
        <v>6741</v>
      </c>
      <c r="J813" s="72">
        <v>1.4</v>
      </c>
      <c r="L813" s="9">
        <v>107.9</v>
      </c>
      <c r="M813" s="3">
        <v>170.62</v>
      </c>
      <c r="N813" s="17" t="s">
        <v>4616</v>
      </c>
      <c r="O813" s="18" t="s">
        <v>4614</v>
      </c>
      <c r="P813" s="49">
        <f t="shared" si="49"/>
        <v>2.5053543421925641</v>
      </c>
      <c r="Q813" s="1">
        <f t="shared" si="50"/>
        <v>3.0474354164900861</v>
      </c>
      <c r="R813" s="1">
        <f t="shared" si="52"/>
        <v>3.1394180977447639</v>
      </c>
      <c r="S813" s="10">
        <f t="shared" si="51"/>
        <v>2.7763948793413249</v>
      </c>
      <c r="T813" s="45" cm="1">
        <f t="array" ref="T813">SUMPRODUCT(P813:S813 * P$3:S$3) / SUM(P$3:S$3)</f>
        <v>2.8739431494262786</v>
      </c>
    </row>
    <row r="814" spans="1:20" ht="16.5" customHeight="1" x14ac:dyDescent="0.25">
      <c r="A814" s="5" t="s">
        <v>6787</v>
      </c>
      <c r="B814" s="20" t="s">
        <v>4617</v>
      </c>
      <c r="C814" s="4" t="s">
        <v>8798</v>
      </c>
      <c r="D814" s="4" t="s">
        <v>9021</v>
      </c>
      <c r="E814" s="12" t="s">
        <v>407</v>
      </c>
      <c r="F814" s="75" t="s">
        <v>6723</v>
      </c>
      <c r="G814" s="3">
        <v>32</v>
      </c>
      <c r="H814" s="3" t="s">
        <v>6736</v>
      </c>
      <c r="I814" s="13" t="s">
        <v>6741</v>
      </c>
      <c r="J814" s="72">
        <v>1.4</v>
      </c>
      <c r="L814" s="9">
        <v>107.9</v>
      </c>
      <c r="M814" s="3">
        <v>176.42</v>
      </c>
      <c r="N814" s="17" t="s">
        <v>4618</v>
      </c>
      <c r="O814" s="18" t="s">
        <v>4614</v>
      </c>
      <c r="P814" s="49">
        <f t="shared" si="49"/>
        <v>2.5053543421925641</v>
      </c>
      <c r="Q814" s="1">
        <f t="shared" si="50"/>
        <v>3.0474354164900861</v>
      </c>
      <c r="R814" s="1">
        <f t="shared" si="52"/>
        <v>3.1394180977447639</v>
      </c>
      <c r="S814" s="10">
        <f t="shared" si="51"/>
        <v>2.7763948793413249</v>
      </c>
      <c r="T814" s="45" cm="1">
        <f t="array" ref="T814">SUMPRODUCT(P814:S814 * P$3:S$3) / SUM(P$3:S$3)</f>
        <v>2.8739431494262786</v>
      </c>
    </row>
    <row r="815" spans="1:20" ht="16.5" customHeight="1" x14ac:dyDescent="0.25">
      <c r="A815" s="5" t="s">
        <v>6787</v>
      </c>
      <c r="B815" s="20" t="s">
        <v>4761</v>
      </c>
      <c r="C815" s="4" t="s">
        <v>8798</v>
      </c>
      <c r="D815" s="4" t="s">
        <v>9021</v>
      </c>
      <c r="E815" s="12" t="s">
        <v>407</v>
      </c>
      <c r="F815" s="75" t="s">
        <v>6723</v>
      </c>
      <c r="G815" s="3">
        <v>32</v>
      </c>
      <c r="H815" s="3" t="s">
        <v>6736</v>
      </c>
      <c r="I815" s="13" t="s">
        <v>6740</v>
      </c>
      <c r="J815" s="72">
        <v>1.35</v>
      </c>
      <c r="L815" s="9">
        <v>122.24</v>
      </c>
      <c r="M815" s="3">
        <v>230.41</v>
      </c>
      <c r="N815" s="17" t="s">
        <v>4762</v>
      </c>
      <c r="O815" s="18" t="s">
        <v>4760</v>
      </c>
      <c r="P815" s="49">
        <f t="shared" si="49"/>
        <v>2.4847892148818582</v>
      </c>
      <c r="Q815" s="1">
        <f t="shared" si="50"/>
        <v>3.0380617612215421</v>
      </c>
      <c r="R815" s="1">
        <f t="shared" si="52"/>
        <v>3.1300444424762199</v>
      </c>
      <c r="S815" s="10">
        <f t="shared" si="51"/>
        <v>2.7614254880517004</v>
      </c>
      <c r="T815" s="45" cm="1">
        <f t="array" ref="T815">SUMPRODUCT(P815:S815 * P$3:S$3) / SUM(P$3:S$3)</f>
        <v>2.8606955230662177</v>
      </c>
    </row>
    <row r="816" spans="1:20" ht="16.5" customHeight="1" x14ac:dyDescent="0.25">
      <c r="A816" s="5" t="s">
        <v>6787</v>
      </c>
      <c r="B816" s="20" t="s">
        <v>4764</v>
      </c>
      <c r="C816" s="4" t="s">
        <v>8798</v>
      </c>
      <c r="D816" s="4" t="s">
        <v>9021</v>
      </c>
      <c r="E816" s="12" t="s">
        <v>407</v>
      </c>
      <c r="F816" s="75" t="s">
        <v>6723</v>
      </c>
      <c r="G816" s="3">
        <v>32</v>
      </c>
      <c r="H816" s="3" t="s">
        <v>6736</v>
      </c>
      <c r="I816" s="13" t="s">
        <v>6739</v>
      </c>
      <c r="J816" s="72">
        <v>1.35</v>
      </c>
      <c r="L816" s="9">
        <v>102.86</v>
      </c>
      <c r="M816" s="3">
        <v>169.9</v>
      </c>
      <c r="N816" s="17" t="s">
        <v>4765</v>
      </c>
      <c r="O816" s="18" t="s">
        <v>4763</v>
      </c>
      <c r="P816" s="49">
        <f t="shared" si="49"/>
        <v>2.4925420622161383</v>
      </c>
      <c r="Q816" s="1">
        <f t="shared" si="50"/>
        <v>3.0419381848886822</v>
      </c>
      <c r="R816" s="1">
        <f t="shared" si="52"/>
        <v>3.1339208661433595</v>
      </c>
      <c r="S816" s="10">
        <f t="shared" si="51"/>
        <v>2.7672401235524098</v>
      </c>
      <c r="T816" s="45" cm="1">
        <f t="array" ref="T816">SUMPRODUCT(P816:S816 * P$3:S$3) / SUM(P$3:S$3)</f>
        <v>2.8659137856950596</v>
      </c>
    </row>
    <row r="817" spans="1:20" ht="16.5" customHeight="1" x14ac:dyDescent="0.25">
      <c r="A817" s="5" t="s">
        <v>6787</v>
      </c>
      <c r="B817" s="20" t="s">
        <v>4767</v>
      </c>
      <c r="C817" s="4" t="s">
        <v>8798</v>
      </c>
      <c r="D817" s="4" t="s">
        <v>9021</v>
      </c>
      <c r="E817" s="12" t="s">
        <v>407</v>
      </c>
      <c r="F817" s="75" t="s">
        <v>6723</v>
      </c>
      <c r="G817" s="3">
        <v>32</v>
      </c>
      <c r="H817" s="3" t="s">
        <v>6736</v>
      </c>
      <c r="I817" s="13" t="s">
        <v>6741</v>
      </c>
      <c r="J817" s="72">
        <v>1.4</v>
      </c>
      <c r="L817" s="9">
        <v>104.44</v>
      </c>
      <c r="M817" s="3">
        <v>179.9</v>
      </c>
      <c r="N817" s="17" t="s">
        <v>4768</v>
      </c>
      <c r="O817" s="18" t="s">
        <v>4766</v>
      </c>
      <c r="P817" s="49">
        <f t="shared" si="49"/>
        <v>2.5053543421925641</v>
      </c>
      <c r="Q817" s="1">
        <f t="shared" si="50"/>
        <v>3.0474354164900861</v>
      </c>
      <c r="R817" s="1">
        <f t="shared" si="52"/>
        <v>3.1394180977447639</v>
      </c>
      <c r="S817" s="10">
        <f t="shared" si="51"/>
        <v>2.7763948793413249</v>
      </c>
      <c r="T817" s="45" cm="1">
        <f t="array" ref="T817">SUMPRODUCT(P817:S817 * P$3:S$3) / SUM(P$3:S$3)</f>
        <v>2.8739431494262786</v>
      </c>
    </row>
    <row r="818" spans="1:20" ht="16.5" customHeight="1" x14ac:dyDescent="0.25">
      <c r="A818" s="5" t="s">
        <v>6787</v>
      </c>
      <c r="B818" s="20" t="s">
        <v>4769</v>
      </c>
      <c r="C818" s="4" t="s">
        <v>8798</v>
      </c>
      <c r="D818" s="4" t="s">
        <v>9021</v>
      </c>
      <c r="E818" s="12" t="s">
        <v>407</v>
      </c>
      <c r="F818" s="75" t="s">
        <v>6723</v>
      </c>
      <c r="G818" s="3">
        <v>32</v>
      </c>
      <c r="H818" s="3" t="s">
        <v>6736</v>
      </c>
      <c r="I818" s="13" t="s">
        <v>6741</v>
      </c>
      <c r="J818" s="72">
        <v>1.4</v>
      </c>
      <c r="L818" s="9">
        <v>107.9</v>
      </c>
      <c r="M818" s="3">
        <v>150.1</v>
      </c>
      <c r="N818" s="17" t="s">
        <v>4770</v>
      </c>
      <c r="O818" s="18" t="s">
        <v>4766</v>
      </c>
      <c r="P818" s="49">
        <f t="shared" si="49"/>
        <v>2.5053543421925641</v>
      </c>
      <c r="Q818" s="1">
        <f t="shared" si="50"/>
        <v>3.0474354164900861</v>
      </c>
      <c r="R818" s="1">
        <f t="shared" si="52"/>
        <v>3.1394180977447639</v>
      </c>
      <c r="S818" s="10">
        <f t="shared" si="51"/>
        <v>2.7763948793413249</v>
      </c>
      <c r="T818" s="45" cm="1">
        <f t="array" ref="T818">SUMPRODUCT(P818:S818 * P$3:S$3) / SUM(P$3:S$3)</f>
        <v>2.8739431494262786</v>
      </c>
    </row>
    <row r="819" spans="1:20" ht="16.5" customHeight="1" x14ac:dyDescent="0.25">
      <c r="A819" s="5" t="s">
        <v>6787</v>
      </c>
      <c r="B819" s="20" t="s">
        <v>4920</v>
      </c>
      <c r="C819" s="4" t="s">
        <v>8798</v>
      </c>
      <c r="D819" s="4" t="s">
        <v>9021</v>
      </c>
      <c r="E819" s="12" t="s">
        <v>407</v>
      </c>
      <c r="F819" s="75" t="s">
        <v>6723</v>
      </c>
      <c r="G819" s="3">
        <v>32</v>
      </c>
      <c r="H819" s="3" t="s">
        <v>6736</v>
      </c>
      <c r="I819" s="13" t="s">
        <v>6740</v>
      </c>
      <c r="J819" s="72">
        <v>1.35</v>
      </c>
      <c r="K819" s="14" t="s">
        <v>4847</v>
      </c>
      <c r="L819" s="9">
        <v>135.69</v>
      </c>
      <c r="M819" s="3">
        <v>193.67</v>
      </c>
      <c r="N819" s="17" t="s">
        <v>4921</v>
      </c>
      <c r="O819" s="18" t="s">
        <v>4919</v>
      </c>
      <c r="P819" s="49">
        <f t="shared" si="49"/>
        <v>2.4847892148818582</v>
      </c>
      <c r="Q819" s="1">
        <f t="shared" si="50"/>
        <v>3.0380617612215421</v>
      </c>
      <c r="R819" s="1">
        <f t="shared" si="52"/>
        <v>3.1300444424762199</v>
      </c>
      <c r="S819" s="10">
        <f t="shared" si="51"/>
        <v>2.7614254880517004</v>
      </c>
      <c r="T819" s="45" cm="1">
        <f t="array" ref="T819">SUMPRODUCT(P819:S819 * P$3:S$3) / SUM(P$3:S$3)</f>
        <v>2.8606955230662177</v>
      </c>
    </row>
    <row r="820" spans="1:20" ht="16.5" customHeight="1" x14ac:dyDescent="0.25">
      <c r="A820" s="5" t="s">
        <v>6787</v>
      </c>
      <c r="B820" s="20" t="s">
        <v>4923</v>
      </c>
      <c r="C820" s="4" t="s">
        <v>8798</v>
      </c>
      <c r="D820" s="4" t="s">
        <v>9021</v>
      </c>
      <c r="E820" s="12" t="s">
        <v>407</v>
      </c>
      <c r="F820" s="75" t="s">
        <v>6723</v>
      </c>
      <c r="G820" s="3">
        <v>32</v>
      </c>
      <c r="H820" s="3" t="s">
        <v>6736</v>
      </c>
      <c r="I820" s="13" t="s">
        <v>6739</v>
      </c>
      <c r="J820" s="72">
        <v>1.35</v>
      </c>
      <c r="K820" s="14" t="s">
        <v>4847</v>
      </c>
      <c r="L820" s="9">
        <v>107.1</v>
      </c>
      <c r="M820" s="3">
        <v>189.9</v>
      </c>
      <c r="N820" s="17" t="s">
        <v>4924</v>
      </c>
      <c r="O820" s="18" t="s">
        <v>4922</v>
      </c>
      <c r="P820" s="49">
        <f t="shared" si="49"/>
        <v>2.4925420622161383</v>
      </c>
      <c r="Q820" s="1">
        <f t="shared" si="50"/>
        <v>3.0419381848886822</v>
      </c>
      <c r="R820" s="1">
        <f t="shared" si="52"/>
        <v>3.1339208661433595</v>
      </c>
      <c r="S820" s="10">
        <f t="shared" si="51"/>
        <v>2.7672401235524098</v>
      </c>
      <c r="T820" s="45" cm="1">
        <f t="array" ref="T820">SUMPRODUCT(P820:S820 * P$3:S$3) / SUM(P$3:S$3)</f>
        <v>2.8659137856950596</v>
      </c>
    </row>
    <row r="821" spans="1:20" ht="16.5" customHeight="1" x14ac:dyDescent="0.25">
      <c r="A821" s="5" t="s">
        <v>6787</v>
      </c>
      <c r="B821" s="20" t="s">
        <v>4926</v>
      </c>
      <c r="C821" s="4" t="s">
        <v>8798</v>
      </c>
      <c r="D821" s="4" t="s">
        <v>9021</v>
      </c>
      <c r="E821" s="12" t="s">
        <v>407</v>
      </c>
      <c r="F821" s="75" t="s">
        <v>6723</v>
      </c>
      <c r="G821" s="3">
        <v>32</v>
      </c>
      <c r="H821" s="3" t="s">
        <v>6736</v>
      </c>
      <c r="I821" s="13" t="s">
        <v>6741</v>
      </c>
      <c r="J821" s="72">
        <v>1.4</v>
      </c>
      <c r="K821" s="14" t="s">
        <v>4847</v>
      </c>
      <c r="L821" s="9">
        <v>113.9</v>
      </c>
      <c r="M821" s="3">
        <v>199.9</v>
      </c>
      <c r="N821" s="17" t="s">
        <v>4927</v>
      </c>
      <c r="O821" s="18" t="s">
        <v>4925</v>
      </c>
      <c r="P821" s="49">
        <f t="shared" si="49"/>
        <v>2.5053543421925641</v>
      </c>
      <c r="Q821" s="1">
        <f t="shared" si="50"/>
        <v>3.0474354164900861</v>
      </c>
      <c r="R821" s="1">
        <f t="shared" si="52"/>
        <v>3.1394180977447639</v>
      </c>
      <c r="S821" s="10">
        <f t="shared" si="51"/>
        <v>2.7763948793413249</v>
      </c>
      <c r="T821" s="45" cm="1">
        <f t="array" ref="T821">SUMPRODUCT(P821:S821 * P$3:S$3) / SUM(P$3:S$3)</f>
        <v>2.8739431494262786</v>
      </c>
    </row>
    <row r="822" spans="1:20" ht="16.5" customHeight="1" x14ac:dyDescent="0.25">
      <c r="A822" s="5" t="s">
        <v>6787</v>
      </c>
      <c r="B822" s="20" t="s">
        <v>4928</v>
      </c>
      <c r="C822" s="4" t="s">
        <v>8798</v>
      </c>
      <c r="D822" s="4" t="s">
        <v>9021</v>
      </c>
      <c r="E822" s="12" t="s">
        <v>407</v>
      </c>
      <c r="F822" s="75" t="s">
        <v>6723</v>
      </c>
      <c r="G822" s="3">
        <v>32</v>
      </c>
      <c r="H822" s="3" t="s">
        <v>6736</v>
      </c>
      <c r="I822" s="13" t="s">
        <v>6741</v>
      </c>
      <c r="J822" s="72">
        <v>1.4</v>
      </c>
      <c r="K822" s="14" t="s">
        <v>4847</v>
      </c>
      <c r="L822" s="9">
        <v>113.9</v>
      </c>
      <c r="M822" s="3">
        <v>181.7</v>
      </c>
      <c r="N822" s="17" t="s">
        <v>4929</v>
      </c>
      <c r="O822" s="18" t="s">
        <v>4925</v>
      </c>
      <c r="P822" s="49">
        <f t="shared" si="49"/>
        <v>2.5053543421925641</v>
      </c>
      <c r="Q822" s="1">
        <f t="shared" si="50"/>
        <v>3.0474354164900861</v>
      </c>
      <c r="R822" s="1">
        <f t="shared" si="52"/>
        <v>3.1394180977447639</v>
      </c>
      <c r="S822" s="10">
        <f t="shared" si="51"/>
        <v>2.7763948793413249</v>
      </c>
      <c r="T822" s="45" cm="1">
        <f t="array" ref="T822">SUMPRODUCT(P822:S822 * P$3:S$3) / SUM(P$3:S$3)</f>
        <v>2.8739431494262786</v>
      </c>
    </row>
    <row r="823" spans="1:20" ht="16.5" customHeight="1" x14ac:dyDescent="0.25">
      <c r="A823" s="5" t="s">
        <v>6787</v>
      </c>
      <c r="B823" s="20" t="s">
        <v>5077</v>
      </c>
      <c r="C823" s="4" t="s">
        <v>8798</v>
      </c>
      <c r="D823" s="4" t="s">
        <v>9021</v>
      </c>
      <c r="E823" s="12" t="s">
        <v>407</v>
      </c>
      <c r="F823" s="75" t="s">
        <v>6723</v>
      </c>
      <c r="G823" s="3">
        <v>32</v>
      </c>
      <c r="H823" s="3" t="s">
        <v>6736</v>
      </c>
      <c r="I823" s="13" t="s">
        <v>6739</v>
      </c>
      <c r="J823" s="72">
        <v>1.35</v>
      </c>
      <c r="K823" s="14" t="s">
        <v>4847</v>
      </c>
      <c r="L823" s="9">
        <v>110.6</v>
      </c>
      <c r="M823" s="3">
        <v>156.30000000000001</v>
      </c>
      <c r="N823" s="17" t="s">
        <v>5078</v>
      </c>
      <c r="O823" s="18" t="s">
        <v>5076</v>
      </c>
      <c r="P823" s="49">
        <f t="shared" si="49"/>
        <v>2.4925420622161383</v>
      </c>
      <c r="Q823" s="1">
        <f t="shared" si="50"/>
        <v>3.0419381848886822</v>
      </c>
      <c r="R823" s="1">
        <f t="shared" si="52"/>
        <v>3.1339208661433595</v>
      </c>
      <c r="S823" s="10">
        <f t="shared" si="51"/>
        <v>2.7672401235524098</v>
      </c>
      <c r="T823" s="45" cm="1">
        <f t="array" ref="T823">SUMPRODUCT(P823:S823 * P$3:S$3) / SUM(P$3:S$3)</f>
        <v>2.8659137856950596</v>
      </c>
    </row>
    <row r="824" spans="1:20" ht="16.5" customHeight="1" x14ac:dyDescent="0.25">
      <c r="A824" s="5" t="s">
        <v>6787</v>
      </c>
      <c r="B824" s="20" t="s">
        <v>5080</v>
      </c>
      <c r="C824" s="4" t="s">
        <v>8798</v>
      </c>
      <c r="D824" s="4" t="s">
        <v>9021</v>
      </c>
      <c r="E824" s="12" t="s">
        <v>407</v>
      </c>
      <c r="F824" s="75" t="s">
        <v>6723</v>
      </c>
      <c r="G824" s="3">
        <v>32</v>
      </c>
      <c r="H824" s="3" t="s">
        <v>6736</v>
      </c>
      <c r="I824" s="13" t="s">
        <v>6741</v>
      </c>
      <c r="J824" s="72">
        <v>1.4</v>
      </c>
      <c r="K824" s="14" t="s">
        <v>4847</v>
      </c>
      <c r="L824" s="9">
        <v>109.7</v>
      </c>
      <c r="M824" s="3">
        <v>189.9</v>
      </c>
      <c r="N824" s="17" t="s">
        <v>5081</v>
      </c>
      <c r="O824" s="18" t="s">
        <v>5079</v>
      </c>
      <c r="P824" s="49">
        <f t="shared" si="49"/>
        <v>2.5053543421925641</v>
      </c>
      <c r="Q824" s="1">
        <f t="shared" si="50"/>
        <v>3.0474354164900861</v>
      </c>
      <c r="R824" s="1">
        <f t="shared" si="52"/>
        <v>3.1394180977447639</v>
      </c>
      <c r="S824" s="10">
        <f t="shared" si="51"/>
        <v>2.7763948793413249</v>
      </c>
      <c r="T824" s="45" cm="1">
        <f t="array" ref="T824">SUMPRODUCT(P824:S824 * P$3:S$3) / SUM(P$3:S$3)</f>
        <v>2.8739431494262786</v>
      </c>
    </row>
    <row r="825" spans="1:20" ht="16.5" customHeight="1" x14ac:dyDescent="0.25">
      <c r="A825" s="5" t="s">
        <v>6772</v>
      </c>
      <c r="B825" s="20" t="s">
        <v>4517</v>
      </c>
      <c r="C825" s="4" t="s">
        <v>8798</v>
      </c>
      <c r="D825" s="4" t="s">
        <v>9021</v>
      </c>
      <c r="E825" s="12" t="s">
        <v>407</v>
      </c>
      <c r="F825" s="75" t="s">
        <v>6723</v>
      </c>
      <c r="G825" s="3">
        <v>32</v>
      </c>
      <c r="H825" s="3" t="s">
        <v>6736</v>
      </c>
      <c r="I825" s="13" t="s">
        <v>225</v>
      </c>
      <c r="J825" s="72">
        <v>1.35</v>
      </c>
      <c r="K825" s="14" t="s">
        <v>4436</v>
      </c>
      <c r="L825" s="9">
        <v>146.49</v>
      </c>
      <c r="M825" s="3">
        <v>146.49</v>
      </c>
      <c r="N825" s="17" t="s">
        <v>4518</v>
      </c>
      <c r="O825" s="18" t="s">
        <v>4516</v>
      </c>
      <c r="P825" s="49">
        <f t="shared" si="49"/>
        <v>2.5018094459991458</v>
      </c>
      <c r="Q825" s="1">
        <f t="shared" si="50"/>
        <v>3.0465718767801855</v>
      </c>
      <c r="R825" s="1">
        <f t="shared" si="52"/>
        <v>3.1385545580348633</v>
      </c>
      <c r="S825" s="10">
        <f t="shared" si="51"/>
        <v>2.7741906613896656</v>
      </c>
      <c r="T825" s="45" cm="1">
        <f t="array" ref="T825">SUMPRODUCT(P825:S825 * P$3:S$3) / SUM(P$3:S$3)</f>
        <v>2.872151447856699</v>
      </c>
    </row>
    <row r="826" spans="1:20" ht="16.5" customHeight="1" x14ac:dyDescent="0.25">
      <c r="A826" s="5" t="s">
        <v>6962</v>
      </c>
      <c r="B826" s="20" t="s">
        <v>6690</v>
      </c>
      <c r="C826" s="4" t="s">
        <v>8796</v>
      </c>
      <c r="D826" s="4" t="s">
        <v>9022</v>
      </c>
      <c r="E826" s="12" t="s">
        <v>407</v>
      </c>
      <c r="F826" s="75" t="s">
        <v>6723</v>
      </c>
      <c r="G826" s="3">
        <v>32</v>
      </c>
      <c r="H826" s="3" t="s">
        <v>404</v>
      </c>
      <c r="I826" s="13" t="s">
        <v>6739</v>
      </c>
      <c r="J826" s="72">
        <v>1.4</v>
      </c>
      <c r="K826" s="14" t="s">
        <v>6633</v>
      </c>
      <c r="L826" s="9">
        <v>140.9</v>
      </c>
      <c r="M826" s="3">
        <v>174.67</v>
      </c>
      <c r="N826" s="17" t="s">
        <v>6691</v>
      </c>
      <c r="O826" s="18" t="s">
        <v>6689</v>
      </c>
      <c r="P826" s="49">
        <f t="shared" si="49"/>
        <v>2.5244979676032391</v>
      </c>
      <c r="Q826" s="1">
        <f t="shared" si="50"/>
        <v>3.0652579412844796</v>
      </c>
      <c r="R826" s="1">
        <f t="shared" si="52"/>
        <v>3.1538096315694584</v>
      </c>
      <c r="S826" s="10">
        <f t="shared" si="51"/>
        <v>2.7948779544438591</v>
      </c>
      <c r="T826" s="45" cm="1">
        <f t="array" ref="T826">SUMPRODUCT(P826:S826 * P$3:S$3) / SUM(P$3:S$3)</f>
        <v>2.8916951335155856</v>
      </c>
    </row>
    <row r="827" spans="1:20" ht="16.5" customHeight="1" x14ac:dyDescent="0.25">
      <c r="A827" s="5" t="s">
        <v>6962</v>
      </c>
      <c r="B827" s="20" t="s">
        <v>6693</v>
      </c>
      <c r="C827" s="4" t="s">
        <v>8796</v>
      </c>
      <c r="D827" s="4" t="s">
        <v>9022</v>
      </c>
      <c r="E827" s="12" t="s">
        <v>407</v>
      </c>
      <c r="F827" s="75" t="s">
        <v>6723</v>
      </c>
      <c r="G827" s="3">
        <v>32</v>
      </c>
      <c r="H827" s="3" t="s">
        <v>404</v>
      </c>
      <c r="I827" s="13" t="s">
        <v>6739</v>
      </c>
      <c r="J827" s="72">
        <v>1.25</v>
      </c>
      <c r="K827" s="14" t="s">
        <v>6633</v>
      </c>
      <c r="L827" s="9">
        <v>160.9</v>
      </c>
      <c r="M827" s="3">
        <v>194.99</v>
      </c>
      <c r="N827" s="17" t="s">
        <v>6694</v>
      </c>
      <c r="O827" s="18" t="s">
        <v>6692</v>
      </c>
      <c r="P827" s="49">
        <f t="shared" si="49"/>
        <v>2.5304353053107183</v>
      </c>
      <c r="Q827" s="1">
        <f t="shared" si="50"/>
        <v>3.0711952789919588</v>
      </c>
      <c r="R827" s="1">
        <f t="shared" si="52"/>
        <v>3.1597469692769375</v>
      </c>
      <c r="S827" s="10">
        <f t="shared" si="51"/>
        <v>2.8008152921513383</v>
      </c>
      <c r="T827" s="45" cm="1">
        <f t="array" ref="T827">SUMPRODUCT(P827:S827 * P$3:S$3) / SUM(P$3:S$3)</f>
        <v>2.8976324712230648</v>
      </c>
    </row>
    <row r="828" spans="1:20" ht="16.5" customHeight="1" x14ac:dyDescent="0.25">
      <c r="A828" s="5" t="s">
        <v>6962</v>
      </c>
      <c r="B828" s="20" t="s">
        <v>6696</v>
      </c>
      <c r="C828" s="4" t="s">
        <v>8796</v>
      </c>
      <c r="D828" s="4" t="s">
        <v>9022</v>
      </c>
      <c r="E828" s="12" t="s">
        <v>407</v>
      </c>
      <c r="F828" s="75" t="s">
        <v>6723</v>
      </c>
      <c r="G828" s="3">
        <v>32</v>
      </c>
      <c r="H828" s="3" t="s">
        <v>404</v>
      </c>
      <c r="I828" s="13" t="s">
        <v>6741</v>
      </c>
      <c r="J828" s="72">
        <v>1.4</v>
      </c>
      <c r="K828" s="14" t="s">
        <v>6633</v>
      </c>
      <c r="L828" s="9">
        <v>159.9</v>
      </c>
      <c r="M828" s="3">
        <v>199.09</v>
      </c>
      <c r="N828" s="17" t="s">
        <v>6697</v>
      </c>
      <c r="O828" s="18" t="s">
        <v>6695</v>
      </c>
      <c r="P828" s="49">
        <f t="shared" si="49"/>
        <v>2.5395382539817888</v>
      </c>
      <c r="Q828" s="1">
        <f t="shared" si="50"/>
        <v>3.0727780844737547</v>
      </c>
      <c r="R828" s="1">
        <f t="shared" si="52"/>
        <v>3.1613297747587334</v>
      </c>
      <c r="S828" s="10">
        <f t="shared" si="51"/>
        <v>2.8061581692277713</v>
      </c>
      <c r="T828" s="45" cm="1">
        <f t="array" ref="T828">SUMPRODUCT(P828:S828 * P$3:S$3) / SUM(P$3:S$3)</f>
        <v>2.9018184031934551</v>
      </c>
    </row>
    <row r="829" spans="1:20" ht="16.5" customHeight="1" x14ac:dyDescent="0.25">
      <c r="A829" s="5" t="s">
        <v>6962</v>
      </c>
      <c r="B829" s="20" t="s">
        <v>6711</v>
      </c>
      <c r="C829" s="4" t="s">
        <v>8796</v>
      </c>
      <c r="D829" s="4" t="s">
        <v>9022</v>
      </c>
      <c r="E829" s="12" t="s">
        <v>407</v>
      </c>
      <c r="F829" s="75" t="s">
        <v>6723</v>
      </c>
      <c r="G829" s="3">
        <v>32</v>
      </c>
      <c r="H829" s="3" t="s">
        <v>404</v>
      </c>
      <c r="I829" s="13" t="s">
        <v>6739</v>
      </c>
      <c r="J829" s="72">
        <v>1.35</v>
      </c>
      <c r="K829" s="14" t="s">
        <v>6633</v>
      </c>
      <c r="L829" s="9">
        <v>170.17</v>
      </c>
      <c r="M829" s="3">
        <v>203.62</v>
      </c>
      <c r="N829" s="17" t="s">
        <v>6712</v>
      </c>
      <c r="O829" s="18" t="s">
        <v>6710</v>
      </c>
      <c r="P829" s="49">
        <f t="shared" si="49"/>
        <v>2.5263667512022856</v>
      </c>
      <c r="Q829" s="1">
        <f t="shared" si="50"/>
        <v>3.0671267248835257</v>
      </c>
      <c r="R829" s="1">
        <f t="shared" si="52"/>
        <v>3.1556784151685049</v>
      </c>
      <c r="S829" s="10">
        <f t="shared" si="51"/>
        <v>2.7967467380429056</v>
      </c>
      <c r="T829" s="45" cm="1">
        <f t="array" ref="T829">SUMPRODUCT(P829:S829 * P$3:S$3) / SUM(P$3:S$3)</f>
        <v>2.8935639171146317</v>
      </c>
    </row>
    <row r="830" spans="1:20" ht="16.5" customHeight="1" x14ac:dyDescent="0.25">
      <c r="A830" s="5" t="s">
        <v>6962</v>
      </c>
      <c r="B830" s="20" t="s">
        <v>6714</v>
      </c>
      <c r="C830" s="4" t="s">
        <v>8796</v>
      </c>
      <c r="D830" s="4" t="s">
        <v>9022</v>
      </c>
      <c r="E830" s="12" t="s">
        <v>407</v>
      </c>
      <c r="F830" s="75" t="s">
        <v>6723</v>
      </c>
      <c r="G830" s="3">
        <v>32</v>
      </c>
      <c r="H830" s="3" t="s">
        <v>404</v>
      </c>
      <c r="I830" s="13" t="s">
        <v>6741</v>
      </c>
      <c r="J830" s="72">
        <v>1.4</v>
      </c>
      <c r="K830" s="14" t="s">
        <v>6633</v>
      </c>
      <c r="L830" s="9">
        <v>159.9</v>
      </c>
      <c r="M830" s="3">
        <v>194.81</v>
      </c>
      <c r="N830" s="17" t="s">
        <v>6715</v>
      </c>
      <c r="O830" s="18" t="s">
        <v>6713</v>
      </c>
      <c r="P830" s="49">
        <f t="shared" si="49"/>
        <v>2.5395382539817888</v>
      </c>
      <c r="Q830" s="1">
        <f t="shared" si="50"/>
        <v>3.0727780844737547</v>
      </c>
      <c r="R830" s="1">
        <f t="shared" si="52"/>
        <v>3.1613297747587334</v>
      </c>
      <c r="S830" s="10">
        <f t="shared" si="51"/>
        <v>2.8061581692277713</v>
      </c>
      <c r="T830" s="45" cm="1">
        <f t="array" ref="T830">SUMPRODUCT(P830:S830 * P$3:S$3) / SUM(P$3:S$3)</f>
        <v>2.9018184031934551</v>
      </c>
    </row>
    <row r="831" spans="1:20" ht="16.5" customHeight="1" x14ac:dyDescent="0.25">
      <c r="A831" s="5" t="s">
        <v>6944</v>
      </c>
      <c r="B831" s="20" t="s">
        <v>6571</v>
      </c>
      <c r="C831" s="4" t="s">
        <v>8796</v>
      </c>
      <c r="D831" s="4" t="s">
        <v>9022</v>
      </c>
      <c r="E831" s="12" t="s">
        <v>407</v>
      </c>
      <c r="F831" s="75" t="s">
        <v>6723</v>
      </c>
      <c r="G831" s="3">
        <v>32</v>
      </c>
      <c r="H831" s="3" t="s">
        <v>404</v>
      </c>
      <c r="I831" s="13" t="s">
        <v>6741</v>
      </c>
      <c r="J831" s="72">
        <v>1.4</v>
      </c>
      <c r="K831" s="14" t="s">
        <v>6530</v>
      </c>
      <c r="L831" s="9">
        <v>175.71</v>
      </c>
      <c r="M831" s="3">
        <v>209.99</v>
      </c>
      <c r="N831" s="17" t="s">
        <v>6572</v>
      </c>
      <c r="O831" s="18" t="s">
        <v>6570</v>
      </c>
      <c r="P831" s="49">
        <f t="shared" si="49"/>
        <v>2.5395382539817888</v>
      </c>
      <c r="Q831" s="1">
        <f t="shared" si="50"/>
        <v>3.0727780844737547</v>
      </c>
      <c r="R831" s="1">
        <f t="shared" si="52"/>
        <v>3.1613297747587334</v>
      </c>
      <c r="S831" s="10">
        <f t="shared" si="51"/>
        <v>2.8061581692277713</v>
      </c>
      <c r="T831" s="45" cm="1">
        <f t="array" ref="T831">SUMPRODUCT(P831:S831 * P$3:S$3) / SUM(P$3:S$3)</f>
        <v>2.9018184031934551</v>
      </c>
    </row>
    <row r="832" spans="1:20" ht="16.5" customHeight="1" x14ac:dyDescent="0.25">
      <c r="A832" s="5" t="s">
        <v>6944</v>
      </c>
      <c r="B832" s="20" t="s">
        <v>6623</v>
      </c>
      <c r="C832" s="4" t="s">
        <v>8796</v>
      </c>
      <c r="D832" s="4" t="s">
        <v>9022</v>
      </c>
      <c r="E832" s="12" t="s">
        <v>407</v>
      </c>
      <c r="F832" s="75" t="s">
        <v>6723</v>
      </c>
      <c r="G832" s="3">
        <v>32</v>
      </c>
      <c r="H832" s="3" t="s">
        <v>404</v>
      </c>
      <c r="I832" s="13" t="s">
        <v>6741</v>
      </c>
      <c r="J832" s="72">
        <v>1.4</v>
      </c>
      <c r="K832" s="14" t="s">
        <v>6530</v>
      </c>
      <c r="L832" s="9">
        <v>175.71</v>
      </c>
      <c r="M832" s="3">
        <v>329</v>
      </c>
      <c r="N832" s="17" t="s">
        <v>6624</v>
      </c>
      <c r="O832" s="18" t="s">
        <v>6622</v>
      </c>
      <c r="P832" s="49">
        <f t="shared" si="49"/>
        <v>2.5395382539817888</v>
      </c>
      <c r="Q832" s="1">
        <f t="shared" si="50"/>
        <v>3.0727780844737547</v>
      </c>
      <c r="R832" s="1">
        <f t="shared" si="52"/>
        <v>3.1613297747587334</v>
      </c>
      <c r="S832" s="10">
        <f t="shared" si="51"/>
        <v>2.8061581692277713</v>
      </c>
      <c r="T832" s="45" cm="1">
        <f t="array" ref="T832">SUMPRODUCT(P832:S832 * P$3:S$3) / SUM(P$3:S$3)</f>
        <v>2.9018184031934551</v>
      </c>
    </row>
    <row r="833" spans="1:20" ht="16.5" customHeight="1" x14ac:dyDescent="0.25">
      <c r="A833" s="5" t="s">
        <v>6944</v>
      </c>
      <c r="B833" s="20" t="s">
        <v>6629</v>
      </c>
      <c r="C833" s="4" t="s">
        <v>8796</v>
      </c>
      <c r="D833" s="4" t="s">
        <v>9022</v>
      </c>
      <c r="E833" s="12" t="s">
        <v>407</v>
      </c>
      <c r="F833" s="75" t="s">
        <v>6723</v>
      </c>
      <c r="G833" s="3">
        <v>32</v>
      </c>
      <c r="H833" s="3" t="s">
        <v>404</v>
      </c>
      <c r="I833" s="13" t="s">
        <v>6741</v>
      </c>
      <c r="J833" s="72">
        <v>1.4</v>
      </c>
      <c r="K833" s="14" t="s">
        <v>6530</v>
      </c>
      <c r="L833" s="9">
        <v>175.72</v>
      </c>
      <c r="M833" s="3">
        <v>208.81</v>
      </c>
      <c r="N833" s="17" t="s">
        <v>6630</v>
      </c>
      <c r="O833" s="18" t="s">
        <v>6628</v>
      </c>
      <c r="P833" s="49">
        <f t="shared" si="49"/>
        <v>2.5395382539817888</v>
      </c>
      <c r="Q833" s="1">
        <f t="shared" si="50"/>
        <v>3.0727780844737547</v>
      </c>
      <c r="R833" s="1">
        <f t="shared" si="52"/>
        <v>3.1613297747587334</v>
      </c>
      <c r="S833" s="10">
        <f t="shared" si="51"/>
        <v>2.8061581692277713</v>
      </c>
      <c r="T833" s="45" cm="1">
        <f t="array" ref="T833">SUMPRODUCT(P833:S833 * P$3:S$3) / SUM(P$3:S$3)</f>
        <v>2.9018184031934551</v>
      </c>
    </row>
    <row r="834" spans="1:20" ht="16.5" customHeight="1" x14ac:dyDescent="0.25">
      <c r="A834" s="5" t="s">
        <v>6885</v>
      </c>
      <c r="B834" s="20" t="s">
        <v>5978</v>
      </c>
      <c r="C834" s="4" t="s">
        <v>8796</v>
      </c>
      <c r="D834" s="4" t="s">
        <v>9022</v>
      </c>
      <c r="E834" s="12" t="s">
        <v>407</v>
      </c>
      <c r="F834" s="75" t="s">
        <v>6723</v>
      </c>
      <c r="G834" s="3">
        <v>32</v>
      </c>
      <c r="H834" s="3" t="s">
        <v>404</v>
      </c>
      <c r="I834" s="13" t="s">
        <v>6739</v>
      </c>
      <c r="J834" s="72">
        <v>1.4</v>
      </c>
      <c r="L834" s="9">
        <v>116.04</v>
      </c>
      <c r="M834" s="3">
        <v>139.75</v>
      </c>
      <c r="N834" s="17" t="s">
        <v>5979</v>
      </c>
      <c r="O834" s="18" t="s">
        <v>5977</v>
      </c>
      <c r="P834" s="49">
        <f t="shared" si="49"/>
        <v>2.5244979676032391</v>
      </c>
      <c r="Q834" s="1">
        <f t="shared" si="50"/>
        <v>3.0652579412844796</v>
      </c>
      <c r="R834" s="1">
        <f t="shared" si="52"/>
        <v>3.1538096315694584</v>
      </c>
      <c r="S834" s="10">
        <f t="shared" si="51"/>
        <v>2.7948779544438591</v>
      </c>
      <c r="T834" s="45" cm="1">
        <f t="array" ref="T834">SUMPRODUCT(P834:S834 * P$3:S$3) / SUM(P$3:S$3)</f>
        <v>2.8916951335155856</v>
      </c>
    </row>
    <row r="835" spans="1:20" ht="16.5" customHeight="1" x14ac:dyDescent="0.25">
      <c r="A835" s="5" t="s">
        <v>6885</v>
      </c>
      <c r="B835" s="20" t="s">
        <v>5980</v>
      </c>
      <c r="C835" s="4" t="s">
        <v>8796</v>
      </c>
      <c r="D835" s="4" t="s">
        <v>9022</v>
      </c>
      <c r="E835" s="12" t="s">
        <v>407</v>
      </c>
      <c r="F835" s="75" t="s">
        <v>6723</v>
      </c>
      <c r="G835" s="3">
        <v>32</v>
      </c>
      <c r="H835" s="3" t="s">
        <v>404</v>
      </c>
      <c r="I835" s="13" t="s">
        <v>6739</v>
      </c>
      <c r="J835" s="72">
        <v>1.4</v>
      </c>
      <c r="L835" s="9">
        <v>114.58</v>
      </c>
      <c r="M835" s="3">
        <v>177.99</v>
      </c>
      <c r="N835" s="17" t="s">
        <v>5981</v>
      </c>
      <c r="O835" s="18" t="s">
        <v>5977</v>
      </c>
      <c r="P835" s="49">
        <f t="shared" si="49"/>
        <v>2.5244979676032391</v>
      </c>
      <c r="Q835" s="1">
        <f t="shared" si="50"/>
        <v>3.0652579412844796</v>
      </c>
      <c r="R835" s="1">
        <f t="shared" si="52"/>
        <v>3.1538096315694584</v>
      </c>
      <c r="S835" s="10">
        <f t="shared" si="51"/>
        <v>2.7948779544438591</v>
      </c>
      <c r="T835" s="45" cm="1">
        <f t="array" ref="T835">SUMPRODUCT(P835:S835 * P$3:S$3) / SUM(P$3:S$3)</f>
        <v>2.8916951335155856</v>
      </c>
    </row>
    <row r="836" spans="1:20" ht="16.5" customHeight="1" x14ac:dyDescent="0.25">
      <c r="A836" s="5" t="s">
        <v>6885</v>
      </c>
      <c r="B836" s="20" t="s">
        <v>5983</v>
      </c>
      <c r="C836" s="4" t="s">
        <v>8796</v>
      </c>
      <c r="D836" s="4" t="s">
        <v>9022</v>
      </c>
      <c r="E836" s="12" t="s">
        <v>407</v>
      </c>
      <c r="F836" s="75" t="s">
        <v>6723</v>
      </c>
      <c r="G836" s="3">
        <v>32</v>
      </c>
      <c r="H836" s="3" t="s">
        <v>404</v>
      </c>
      <c r="I836" s="13" t="s">
        <v>6739</v>
      </c>
      <c r="J836" s="72">
        <v>1.35</v>
      </c>
      <c r="L836" s="9">
        <v>117.9</v>
      </c>
      <c r="M836" s="3">
        <v>131.72</v>
      </c>
      <c r="N836" s="17" t="s">
        <v>5984</v>
      </c>
      <c r="O836" s="18" t="s">
        <v>5982</v>
      </c>
      <c r="P836" s="49">
        <f t="shared" si="49"/>
        <v>2.5263667512022856</v>
      </c>
      <c r="Q836" s="1">
        <f t="shared" si="50"/>
        <v>3.0671267248835257</v>
      </c>
      <c r="R836" s="1">
        <f t="shared" si="52"/>
        <v>3.1556784151685049</v>
      </c>
      <c r="S836" s="10">
        <f t="shared" si="51"/>
        <v>2.7967467380429056</v>
      </c>
      <c r="T836" s="45" cm="1">
        <f t="array" ref="T836">SUMPRODUCT(P836:S836 * P$3:S$3) / SUM(P$3:S$3)</f>
        <v>2.8935639171146317</v>
      </c>
    </row>
    <row r="837" spans="1:20" ht="16.5" customHeight="1" x14ac:dyDescent="0.25">
      <c r="A837" s="5" t="s">
        <v>6885</v>
      </c>
      <c r="B837" s="20" t="s">
        <v>5986</v>
      </c>
      <c r="C837" s="4" t="s">
        <v>8796</v>
      </c>
      <c r="D837" s="4" t="s">
        <v>9022</v>
      </c>
      <c r="E837" s="12" t="s">
        <v>407</v>
      </c>
      <c r="F837" s="75" t="s">
        <v>6723</v>
      </c>
      <c r="G837" s="3">
        <v>32</v>
      </c>
      <c r="H837" s="3" t="s">
        <v>404</v>
      </c>
      <c r="I837" s="13" t="s">
        <v>6741</v>
      </c>
      <c r="J837" s="72">
        <v>1.4</v>
      </c>
      <c r="L837" s="9">
        <v>133.91</v>
      </c>
      <c r="M837" s="3">
        <v>159.38999999999999</v>
      </c>
      <c r="N837" s="17" t="s">
        <v>5987</v>
      </c>
      <c r="O837" s="18" t="s">
        <v>5985</v>
      </c>
      <c r="P837" s="49">
        <f t="shared" si="49"/>
        <v>2.5395382539817888</v>
      </c>
      <c r="Q837" s="1">
        <f t="shared" si="50"/>
        <v>3.0727780844737547</v>
      </c>
      <c r="R837" s="1">
        <f t="shared" si="52"/>
        <v>3.1613297747587334</v>
      </c>
      <c r="S837" s="10">
        <f t="shared" si="51"/>
        <v>2.8061581692277713</v>
      </c>
      <c r="T837" s="45" cm="1">
        <f t="array" ref="T837">SUMPRODUCT(P837:S837 * P$3:S$3) / SUM(P$3:S$3)</f>
        <v>2.9018184031934551</v>
      </c>
    </row>
    <row r="838" spans="1:20" ht="16.5" customHeight="1" x14ac:dyDescent="0.25">
      <c r="A838" s="5" t="s">
        <v>6885</v>
      </c>
      <c r="B838" s="20" t="s">
        <v>6132</v>
      </c>
      <c r="C838" s="4" t="s">
        <v>8796</v>
      </c>
      <c r="D838" s="4" t="s">
        <v>9022</v>
      </c>
      <c r="E838" s="12" t="s">
        <v>407</v>
      </c>
      <c r="F838" s="75" t="s">
        <v>6723</v>
      </c>
      <c r="G838" s="3">
        <v>32</v>
      </c>
      <c r="H838" s="3" t="s">
        <v>404</v>
      </c>
      <c r="I838" s="13" t="s">
        <v>6740</v>
      </c>
      <c r="J838" s="72">
        <v>1.35</v>
      </c>
      <c r="L838" s="9">
        <v>117.9</v>
      </c>
      <c r="M838" s="3">
        <v>173</v>
      </c>
      <c r="N838" s="17" t="s">
        <v>6133</v>
      </c>
      <c r="O838" s="18" t="s">
        <v>6131</v>
      </c>
      <c r="P838" s="49">
        <f t="shared" si="49"/>
        <v>2.5183965343165773</v>
      </c>
      <c r="Q838" s="1">
        <f t="shared" si="50"/>
        <v>3.0631416164406717</v>
      </c>
      <c r="R838" s="1">
        <f t="shared" si="52"/>
        <v>3.151693306725651</v>
      </c>
      <c r="S838" s="10">
        <f t="shared" si="51"/>
        <v>2.7907690753786243</v>
      </c>
      <c r="T838" s="45" cm="1">
        <f t="array" ref="T838">SUMPRODUCT(P838:S838 * P$3:S$3) / SUM(P$3:S$3)</f>
        <v>2.8881993480569434</v>
      </c>
    </row>
    <row r="839" spans="1:20" ht="16.5" customHeight="1" x14ac:dyDescent="0.25">
      <c r="A839" s="5" t="s">
        <v>6885</v>
      </c>
      <c r="B839" s="20" t="s">
        <v>6135</v>
      </c>
      <c r="C839" s="4" t="s">
        <v>8796</v>
      </c>
      <c r="D839" s="4" t="s">
        <v>9022</v>
      </c>
      <c r="E839" s="12" t="s">
        <v>407</v>
      </c>
      <c r="F839" s="75" t="s">
        <v>6723</v>
      </c>
      <c r="G839" s="3">
        <v>32</v>
      </c>
      <c r="H839" s="3" t="s">
        <v>404</v>
      </c>
      <c r="I839" s="13" t="s">
        <v>6738</v>
      </c>
      <c r="J839" s="72">
        <v>1.35</v>
      </c>
      <c r="L839" s="9">
        <v>110.02</v>
      </c>
      <c r="M839" s="3">
        <v>136.62</v>
      </c>
      <c r="N839" s="17" t="s">
        <v>6136</v>
      </c>
      <c r="O839" s="18" t="s">
        <v>6134</v>
      </c>
      <c r="P839" s="49">
        <f t="shared" si="49"/>
        <v>2.5222138083908705</v>
      </c>
      <c r="Q839" s="1">
        <f t="shared" si="50"/>
        <v>3.0650502534778181</v>
      </c>
      <c r="R839" s="1">
        <f t="shared" si="52"/>
        <v>3.1536019437627973</v>
      </c>
      <c r="S839" s="10">
        <f t="shared" si="51"/>
        <v>2.7936320309343445</v>
      </c>
      <c r="T839" s="45" cm="1">
        <f t="array" ref="T839">SUMPRODUCT(P839:S839 * P$3:S$3) / SUM(P$3:S$3)</f>
        <v>2.8907686671454096</v>
      </c>
    </row>
    <row r="840" spans="1:20" ht="16.5" customHeight="1" x14ac:dyDescent="0.25">
      <c r="A840" s="5" t="s">
        <v>6885</v>
      </c>
      <c r="B840" s="20" t="s">
        <v>6138</v>
      </c>
      <c r="C840" s="4" t="s">
        <v>8796</v>
      </c>
      <c r="D840" s="4" t="s">
        <v>9022</v>
      </c>
      <c r="E840" s="12" t="s">
        <v>407</v>
      </c>
      <c r="F840" s="75" t="s">
        <v>6723</v>
      </c>
      <c r="G840" s="3">
        <v>32</v>
      </c>
      <c r="H840" s="3" t="s">
        <v>404</v>
      </c>
      <c r="I840" s="13" t="s">
        <v>6739</v>
      </c>
      <c r="J840" s="72">
        <v>1.4</v>
      </c>
      <c r="L840" s="9">
        <v>107.9</v>
      </c>
      <c r="M840" s="3">
        <v>132.9</v>
      </c>
      <c r="N840" s="17" t="s">
        <v>6139</v>
      </c>
      <c r="O840" s="18" t="s">
        <v>6137</v>
      </c>
      <c r="P840" s="49">
        <f t="shared" si="49"/>
        <v>2.5244979676032391</v>
      </c>
      <c r="Q840" s="1">
        <f t="shared" si="50"/>
        <v>3.0652579412844796</v>
      </c>
      <c r="R840" s="1">
        <f t="shared" si="52"/>
        <v>3.1538096315694584</v>
      </c>
      <c r="S840" s="10">
        <f t="shared" si="51"/>
        <v>2.7948779544438591</v>
      </c>
      <c r="T840" s="45" cm="1">
        <f t="array" ref="T840">SUMPRODUCT(P840:S840 * P$3:S$3) / SUM(P$3:S$3)</f>
        <v>2.8916951335155856</v>
      </c>
    </row>
    <row r="841" spans="1:20" ht="16.5" customHeight="1" x14ac:dyDescent="0.25">
      <c r="A841" s="5" t="s">
        <v>6885</v>
      </c>
      <c r="B841" s="20" t="s">
        <v>6141</v>
      </c>
      <c r="C841" s="4" t="s">
        <v>8796</v>
      </c>
      <c r="D841" s="4" t="s">
        <v>9022</v>
      </c>
      <c r="E841" s="12" t="s">
        <v>407</v>
      </c>
      <c r="F841" s="75" t="s">
        <v>6723</v>
      </c>
      <c r="G841" s="3">
        <v>32</v>
      </c>
      <c r="H841" s="3" t="s">
        <v>404</v>
      </c>
      <c r="I841" s="13" t="s">
        <v>6739</v>
      </c>
      <c r="J841" s="72">
        <v>1.25</v>
      </c>
      <c r="L841" s="9">
        <v>118.68</v>
      </c>
      <c r="M841" s="3">
        <v>180</v>
      </c>
      <c r="N841" s="17" t="s">
        <v>6142</v>
      </c>
      <c r="O841" s="18" t="s">
        <v>6140</v>
      </c>
      <c r="P841" s="49">
        <f t="shared" si="49"/>
        <v>2.5304353053107183</v>
      </c>
      <c r="Q841" s="1">
        <f t="shared" si="50"/>
        <v>3.0711952789919588</v>
      </c>
      <c r="R841" s="1">
        <f t="shared" si="52"/>
        <v>3.1597469692769375</v>
      </c>
      <c r="S841" s="10">
        <f t="shared" si="51"/>
        <v>2.8008152921513383</v>
      </c>
      <c r="T841" s="45" cm="1">
        <f t="array" ref="T841">SUMPRODUCT(P841:S841 * P$3:S$3) / SUM(P$3:S$3)</f>
        <v>2.8976324712230648</v>
      </c>
    </row>
    <row r="842" spans="1:20" ht="16.5" customHeight="1" x14ac:dyDescent="0.25">
      <c r="A842" s="5" t="s">
        <v>6885</v>
      </c>
      <c r="B842" s="20" t="s">
        <v>6144</v>
      </c>
      <c r="C842" s="4" t="s">
        <v>8796</v>
      </c>
      <c r="D842" s="4" t="s">
        <v>9022</v>
      </c>
      <c r="E842" s="12" t="s">
        <v>407</v>
      </c>
      <c r="F842" s="75" t="s">
        <v>6723</v>
      </c>
      <c r="G842" s="3">
        <v>32</v>
      </c>
      <c r="H842" s="3" t="s">
        <v>404</v>
      </c>
      <c r="I842" s="13" t="s">
        <v>6739</v>
      </c>
      <c r="J842" s="72">
        <v>1.35</v>
      </c>
      <c r="L842" s="9">
        <v>128.33000000000001</v>
      </c>
      <c r="M842" s="3">
        <v>229.68</v>
      </c>
      <c r="N842" s="17" t="s">
        <v>6145</v>
      </c>
      <c r="O842" s="18" t="s">
        <v>6143</v>
      </c>
      <c r="P842" s="49">
        <f t="shared" ref="P842:P905" si="53">(((F842/F$9)^F$7 * F$2 + (I842/I$9)^I$7 * I$2 + (J842/J$9)^J$7 * J$2) * (1+M$3*(MIN(H842,M$2)-1)+M$4*(H842-MIN(H842,M$2))) + (G842/G$9)^G$7 * G$2)  * P$9</f>
        <v>2.5263667512022856</v>
      </c>
      <c r="Q842" s="1">
        <f t="shared" ref="Q842:Q905" si="54">(((F842/F$9)^F$7 * F$3 + (I842/I$9)^I$7 * I$3 + (J842/J$9)^J$7 * J$3) * (1+M$3*(MIN(H842,M$2)-1)+M$4*(H842-MIN(H842,M$2))) + (G842/G$9)^G$7 * G$3)  * P$9</f>
        <v>3.0671267248835257</v>
      </c>
      <c r="R842" s="1">
        <f t="shared" si="52"/>
        <v>3.1556784151685049</v>
      </c>
      <c r="S842" s="10">
        <f t="shared" ref="S842:S905" si="55">(((F842/F$9)^F$7 * F$5 + (I842/I$9)^I$7 * I$5 + (J842/J$9)^J$7 * J$5) * (1+M$3*(MIN(H842,M$2)-1)+M$4*(H842-MIN(H842,M$2))) + (G842/G$9)^G$7 * G$5)  * P$9</f>
        <v>2.7967467380429056</v>
      </c>
      <c r="T842" s="45" cm="1">
        <f t="array" ref="T842">SUMPRODUCT(P842:S842 * P$3:S$3) / SUM(P$3:S$3)</f>
        <v>2.8935639171146317</v>
      </c>
    </row>
    <row r="843" spans="1:20" ht="16.5" customHeight="1" x14ac:dyDescent="0.25">
      <c r="A843" s="5" t="s">
        <v>6885</v>
      </c>
      <c r="B843" s="20" t="s">
        <v>6147</v>
      </c>
      <c r="C843" s="4" t="s">
        <v>8796</v>
      </c>
      <c r="D843" s="4" t="s">
        <v>9022</v>
      </c>
      <c r="E843" s="12" t="s">
        <v>407</v>
      </c>
      <c r="F843" s="75" t="s">
        <v>6723</v>
      </c>
      <c r="G843" s="3">
        <v>32</v>
      </c>
      <c r="H843" s="3" t="s">
        <v>404</v>
      </c>
      <c r="I843" s="13" t="s">
        <v>6741</v>
      </c>
      <c r="J843" s="72">
        <v>1.4</v>
      </c>
      <c r="L843" s="9">
        <v>123.89</v>
      </c>
      <c r="M843" s="3">
        <v>153.86000000000001</v>
      </c>
      <c r="N843" s="17" t="s">
        <v>6148</v>
      </c>
      <c r="O843" s="18" t="s">
        <v>6146</v>
      </c>
      <c r="P843" s="49">
        <f t="shared" si="53"/>
        <v>2.5395382539817888</v>
      </c>
      <c r="Q843" s="1">
        <f t="shared" si="54"/>
        <v>3.0727780844737547</v>
      </c>
      <c r="R843" s="1">
        <f t="shared" si="52"/>
        <v>3.1613297747587334</v>
      </c>
      <c r="S843" s="10">
        <f t="shared" si="55"/>
        <v>2.8061581692277713</v>
      </c>
      <c r="T843" s="45" cm="1">
        <f t="array" ref="T843">SUMPRODUCT(P843:S843 * P$3:S$3) / SUM(P$3:S$3)</f>
        <v>2.9018184031934551</v>
      </c>
    </row>
    <row r="844" spans="1:20" ht="16.5" customHeight="1" x14ac:dyDescent="0.25">
      <c r="A844" s="5" t="s">
        <v>6885</v>
      </c>
      <c r="B844" s="20" t="s">
        <v>6150</v>
      </c>
      <c r="C844" s="4" t="s">
        <v>8796</v>
      </c>
      <c r="D844" s="4" t="s">
        <v>9022</v>
      </c>
      <c r="E844" s="12" t="s">
        <v>407</v>
      </c>
      <c r="F844" s="75" t="s">
        <v>6723</v>
      </c>
      <c r="G844" s="3">
        <v>32</v>
      </c>
      <c r="H844" s="3" t="s">
        <v>404</v>
      </c>
      <c r="I844" s="13" t="s">
        <v>6743</v>
      </c>
      <c r="J844" s="72">
        <v>1.4</v>
      </c>
      <c r="L844" s="9">
        <v>141.63</v>
      </c>
      <c r="M844" s="3">
        <v>173.9</v>
      </c>
      <c r="N844" s="17" t="s">
        <v>6151</v>
      </c>
      <c r="O844" s="18" t="s">
        <v>6149</v>
      </c>
      <c r="P844" s="49">
        <f t="shared" si="53"/>
        <v>2.5456727675278064</v>
      </c>
      <c r="Q844" s="1">
        <f t="shared" si="54"/>
        <v>3.075845341246763</v>
      </c>
      <c r="R844" s="1">
        <f t="shared" si="52"/>
        <v>3.1643970315317422</v>
      </c>
      <c r="S844" s="10">
        <f t="shared" si="55"/>
        <v>2.8107590543872849</v>
      </c>
      <c r="T844" s="45" cm="1">
        <f t="array" ref="T844">SUMPRODUCT(P844:S844 * P$3:S$3) / SUM(P$3:S$3)</f>
        <v>2.9059474026955829</v>
      </c>
    </row>
    <row r="845" spans="1:20" ht="16.5" customHeight="1" x14ac:dyDescent="0.25">
      <c r="A845" s="5" t="s">
        <v>6885</v>
      </c>
      <c r="B845" s="20" t="s">
        <v>6201</v>
      </c>
      <c r="C845" s="4" t="s">
        <v>8796</v>
      </c>
      <c r="D845" s="4" t="s">
        <v>9022</v>
      </c>
      <c r="E845" s="12" t="s">
        <v>407</v>
      </c>
      <c r="F845" s="75" t="s">
        <v>6723</v>
      </c>
      <c r="G845" s="3">
        <v>32</v>
      </c>
      <c r="H845" s="3" t="s">
        <v>404</v>
      </c>
      <c r="I845" s="13" t="s">
        <v>6740</v>
      </c>
      <c r="J845" s="72">
        <v>1.35</v>
      </c>
      <c r="K845" s="14" t="s">
        <v>6175</v>
      </c>
      <c r="L845" s="9">
        <v>126.32</v>
      </c>
      <c r="M845" s="3">
        <v>151.15</v>
      </c>
      <c r="N845" s="17" t="s">
        <v>6202</v>
      </c>
      <c r="O845" s="18" t="s">
        <v>6200</v>
      </c>
      <c r="P845" s="49">
        <f t="shared" si="53"/>
        <v>2.5183965343165773</v>
      </c>
      <c r="Q845" s="1">
        <f t="shared" si="54"/>
        <v>3.0631416164406717</v>
      </c>
      <c r="R845" s="1">
        <f t="shared" si="52"/>
        <v>3.151693306725651</v>
      </c>
      <c r="S845" s="10">
        <f t="shared" si="55"/>
        <v>2.7907690753786243</v>
      </c>
      <c r="T845" s="45" cm="1">
        <f t="array" ref="T845">SUMPRODUCT(P845:S845 * P$3:S$3) / SUM(P$3:S$3)</f>
        <v>2.8881993480569434</v>
      </c>
    </row>
    <row r="846" spans="1:20" ht="16.5" customHeight="1" x14ac:dyDescent="0.25">
      <c r="A846" s="5" t="s">
        <v>6885</v>
      </c>
      <c r="B846" s="20" t="s">
        <v>6204</v>
      </c>
      <c r="C846" s="4" t="s">
        <v>8796</v>
      </c>
      <c r="D846" s="4" t="s">
        <v>9022</v>
      </c>
      <c r="E846" s="12" t="s">
        <v>407</v>
      </c>
      <c r="F846" s="75" t="s">
        <v>6723</v>
      </c>
      <c r="G846" s="3">
        <v>32</v>
      </c>
      <c r="H846" s="3" t="s">
        <v>404</v>
      </c>
      <c r="I846" s="13" t="s">
        <v>6739</v>
      </c>
      <c r="J846" s="72">
        <v>1.4</v>
      </c>
      <c r="K846" s="14" t="s">
        <v>6175</v>
      </c>
      <c r="L846" s="9">
        <v>118.47</v>
      </c>
      <c r="M846" s="3">
        <v>141.96</v>
      </c>
      <c r="N846" s="17" t="s">
        <v>6205</v>
      </c>
      <c r="O846" s="18" t="s">
        <v>6203</v>
      </c>
      <c r="P846" s="49">
        <f t="shared" si="53"/>
        <v>2.5244979676032391</v>
      </c>
      <c r="Q846" s="1">
        <f t="shared" si="54"/>
        <v>3.0652579412844796</v>
      </c>
      <c r="R846" s="1">
        <f t="shared" si="52"/>
        <v>3.1538096315694584</v>
      </c>
      <c r="S846" s="10">
        <f t="shared" si="55"/>
        <v>2.7948779544438591</v>
      </c>
      <c r="T846" s="45" cm="1">
        <f t="array" ref="T846">SUMPRODUCT(P846:S846 * P$3:S$3) / SUM(P$3:S$3)</f>
        <v>2.8916951335155856</v>
      </c>
    </row>
    <row r="847" spans="1:20" ht="16.5" customHeight="1" x14ac:dyDescent="0.25">
      <c r="A847" s="5" t="s">
        <v>6885</v>
      </c>
      <c r="B847" s="20" t="s">
        <v>6206</v>
      </c>
      <c r="C847" s="4" t="s">
        <v>8796</v>
      </c>
      <c r="D847" s="4" t="s">
        <v>9022</v>
      </c>
      <c r="E847" s="12" t="s">
        <v>407</v>
      </c>
      <c r="F847" s="75" t="s">
        <v>6723</v>
      </c>
      <c r="G847" s="3">
        <v>32</v>
      </c>
      <c r="H847" s="3" t="s">
        <v>404</v>
      </c>
      <c r="I847" s="13" t="s">
        <v>6739</v>
      </c>
      <c r="J847" s="72">
        <v>1.4</v>
      </c>
      <c r="K847" s="14" t="s">
        <v>6175</v>
      </c>
      <c r="L847" s="9">
        <v>107.27</v>
      </c>
      <c r="M847" s="3">
        <v>149</v>
      </c>
      <c r="N847" s="17" t="s">
        <v>6207</v>
      </c>
      <c r="O847" s="18" t="s">
        <v>6203</v>
      </c>
      <c r="P847" s="49">
        <f t="shared" si="53"/>
        <v>2.5244979676032391</v>
      </c>
      <c r="Q847" s="1">
        <f t="shared" si="54"/>
        <v>3.0652579412844796</v>
      </c>
      <c r="R847" s="1">
        <f t="shared" si="52"/>
        <v>3.1538096315694584</v>
      </c>
      <c r="S847" s="10">
        <f t="shared" si="55"/>
        <v>2.7948779544438591</v>
      </c>
      <c r="T847" s="45" cm="1">
        <f t="array" ref="T847">SUMPRODUCT(P847:S847 * P$3:S$3) / SUM(P$3:S$3)</f>
        <v>2.8916951335155856</v>
      </c>
    </row>
    <row r="848" spans="1:20" ht="16.5" customHeight="1" x14ac:dyDescent="0.25">
      <c r="A848" s="5" t="s">
        <v>6885</v>
      </c>
      <c r="B848" s="20" t="s">
        <v>6209</v>
      </c>
      <c r="C848" s="4" t="s">
        <v>8796</v>
      </c>
      <c r="D848" s="4" t="s">
        <v>9022</v>
      </c>
      <c r="E848" s="12" t="s">
        <v>407</v>
      </c>
      <c r="F848" s="75" t="s">
        <v>6723</v>
      </c>
      <c r="G848" s="3">
        <v>32</v>
      </c>
      <c r="H848" s="3" t="s">
        <v>404</v>
      </c>
      <c r="I848" s="13" t="s">
        <v>6739</v>
      </c>
      <c r="J848" s="72">
        <v>1.3</v>
      </c>
      <c r="K848" s="14" t="s">
        <v>6175</v>
      </c>
      <c r="L848" s="9">
        <v>135.88</v>
      </c>
      <c r="M848" s="3">
        <v>172.46</v>
      </c>
      <c r="N848" s="17" t="s">
        <v>6210</v>
      </c>
      <c r="O848" s="18" t="s">
        <v>6208</v>
      </c>
      <c r="P848" s="49">
        <f t="shared" si="53"/>
        <v>2.5283423381396162</v>
      </c>
      <c r="Q848" s="1">
        <f t="shared" si="54"/>
        <v>3.0691023118208562</v>
      </c>
      <c r="R848" s="1">
        <f t="shared" ref="R848:R911" si="56">(((F848/F$9)^F$7 * F$4 + (I848/I$9)^I$7 * I$4 + (J848/J$9)^J$7 * J$4) * (1+M$3*(MIN(H848,M$2)-1)+M$4*(H848-MIN(H848,M$2))) + (G848/G$9)^G$7 * G$4)  * P$9</f>
        <v>3.1576540021058355</v>
      </c>
      <c r="S848" s="10">
        <f t="shared" si="55"/>
        <v>2.7987223249802362</v>
      </c>
      <c r="T848" s="45" cm="1">
        <f t="array" ref="T848">SUMPRODUCT(P848:S848 * P$3:S$3) / SUM(P$3:S$3)</f>
        <v>2.8955395040519623</v>
      </c>
    </row>
    <row r="849" spans="1:20" ht="16.5" customHeight="1" x14ac:dyDescent="0.25">
      <c r="A849" s="5" t="s">
        <v>6885</v>
      </c>
      <c r="B849" s="20" t="s">
        <v>6212</v>
      </c>
      <c r="C849" s="4" t="s">
        <v>8796</v>
      </c>
      <c r="D849" s="4" t="s">
        <v>9022</v>
      </c>
      <c r="E849" s="12" t="s">
        <v>407</v>
      </c>
      <c r="F849" s="75" t="s">
        <v>6723</v>
      </c>
      <c r="G849" s="3">
        <v>32</v>
      </c>
      <c r="H849" s="3" t="s">
        <v>404</v>
      </c>
      <c r="I849" s="13" t="s">
        <v>6739</v>
      </c>
      <c r="J849" s="72">
        <v>1.35</v>
      </c>
      <c r="K849" s="14" t="s">
        <v>6175</v>
      </c>
      <c r="L849" s="9">
        <v>163.69</v>
      </c>
      <c r="M849" s="3">
        <v>186.11</v>
      </c>
      <c r="N849" s="17" t="s">
        <v>6213</v>
      </c>
      <c r="O849" s="18" t="s">
        <v>6211</v>
      </c>
      <c r="P849" s="49">
        <f t="shared" si="53"/>
        <v>2.5263667512022856</v>
      </c>
      <c r="Q849" s="1">
        <f t="shared" si="54"/>
        <v>3.0671267248835257</v>
      </c>
      <c r="R849" s="1">
        <f t="shared" si="56"/>
        <v>3.1556784151685049</v>
      </c>
      <c r="S849" s="10">
        <f t="shared" si="55"/>
        <v>2.7967467380429056</v>
      </c>
      <c r="T849" s="45" cm="1">
        <f t="array" ref="T849">SUMPRODUCT(P849:S849 * P$3:S$3) / SUM(P$3:S$3)</f>
        <v>2.8935639171146317</v>
      </c>
    </row>
    <row r="850" spans="1:20" ht="16.5" customHeight="1" x14ac:dyDescent="0.25">
      <c r="A850" s="5" t="s">
        <v>6885</v>
      </c>
      <c r="B850" s="20" t="s">
        <v>6215</v>
      </c>
      <c r="C850" s="4" t="s">
        <v>8796</v>
      </c>
      <c r="D850" s="4" t="s">
        <v>9022</v>
      </c>
      <c r="E850" s="12" t="s">
        <v>407</v>
      </c>
      <c r="F850" s="75" t="s">
        <v>6723</v>
      </c>
      <c r="G850" s="3">
        <v>32</v>
      </c>
      <c r="H850" s="3" t="s">
        <v>404</v>
      </c>
      <c r="I850" s="13" t="s">
        <v>6741</v>
      </c>
      <c r="J850" s="72">
        <v>1.4</v>
      </c>
      <c r="K850" s="14" t="s">
        <v>6175</v>
      </c>
      <c r="L850" s="9">
        <v>144.19</v>
      </c>
      <c r="M850" s="3">
        <v>207.99</v>
      </c>
      <c r="N850" s="17" t="s">
        <v>6216</v>
      </c>
      <c r="O850" s="18" t="s">
        <v>6214</v>
      </c>
      <c r="P850" s="49">
        <f t="shared" si="53"/>
        <v>2.5395382539817888</v>
      </c>
      <c r="Q850" s="1">
        <f t="shared" si="54"/>
        <v>3.0727780844737547</v>
      </c>
      <c r="R850" s="1">
        <f t="shared" si="56"/>
        <v>3.1613297747587334</v>
      </c>
      <c r="S850" s="10">
        <f t="shared" si="55"/>
        <v>2.8061581692277713</v>
      </c>
      <c r="T850" s="45" cm="1">
        <f t="array" ref="T850">SUMPRODUCT(P850:S850 * P$3:S$3) / SUM(P$3:S$3)</f>
        <v>2.9018184031934551</v>
      </c>
    </row>
    <row r="851" spans="1:20" ht="16.5" customHeight="1" x14ac:dyDescent="0.25">
      <c r="A851" s="5" t="s">
        <v>6885</v>
      </c>
      <c r="B851" s="20" t="s">
        <v>6217</v>
      </c>
      <c r="C851" s="4" t="s">
        <v>8796</v>
      </c>
      <c r="D851" s="4" t="s">
        <v>9022</v>
      </c>
      <c r="E851" s="12" t="s">
        <v>407</v>
      </c>
      <c r="F851" s="75" t="s">
        <v>6723</v>
      </c>
      <c r="G851" s="3">
        <v>32</v>
      </c>
      <c r="H851" s="3" t="s">
        <v>404</v>
      </c>
      <c r="I851" s="13" t="s">
        <v>6741</v>
      </c>
      <c r="J851" s="72">
        <v>1.4</v>
      </c>
      <c r="K851" s="14" t="s">
        <v>6175</v>
      </c>
      <c r="L851" s="9">
        <v>132.9</v>
      </c>
      <c r="M851" s="3">
        <v>164.99</v>
      </c>
      <c r="N851" s="17" t="s">
        <v>6218</v>
      </c>
      <c r="O851" s="18" t="s">
        <v>6214</v>
      </c>
      <c r="P851" s="49">
        <f t="shared" si="53"/>
        <v>2.5395382539817888</v>
      </c>
      <c r="Q851" s="1">
        <f t="shared" si="54"/>
        <v>3.0727780844737547</v>
      </c>
      <c r="R851" s="1">
        <f t="shared" si="56"/>
        <v>3.1613297747587334</v>
      </c>
      <c r="S851" s="10">
        <f t="shared" si="55"/>
        <v>2.8061581692277713</v>
      </c>
      <c r="T851" s="45" cm="1">
        <f t="array" ref="T851">SUMPRODUCT(P851:S851 * P$3:S$3) / SUM(P$3:S$3)</f>
        <v>2.9018184031934551</v>
      </c>
    </row>
    <row r="852" spans="1:20" ht="16.5" customHeight="1" x14ac:dyDescent="0.25">
      <c r="A852" s="5" t="s">
        <v>6885</v>
      </c>
      <c r="B852" s="20" t="s">
        <v>6360</v>
      </c>
      <c r="C852" s="4" t="s">
        <v>8796</v>
      </c>
      <c r="D852" s="4" t="s">
        <v>9022</v>
      </c>
      <c r="E852" s="12" t="s">
        <v>407</v>
      </c>
      <c r="F852" s="75" t="s">
        <v>6723</v>
      </c>
      <c r="G852" s="3">
        <v>32</v>
      </c>
      <c r="H852" s="3" t="s">
        <v>404</v>
      </c>
      <c r="I852" s="13" t="s">
        <v>6738</v>
      </c>
      <c r="J852" s="72">
        <v>1.35</v>
      </c>
      <c r="K852" s="14" t="s">
        <v>6175</v>
      </c>
      <c r="L852" s="9">
        <v>120.29</v>
      </c>
      <c r="M852" s="3">
        <v>178.72</v>
      </c>
      <c r="N852" s="17" t="s">
        <v>6361</v>
      </c>
      <c r="O852" s="18" t="s">
        <v>6359</v>
      </c>
      <c r="P852" s="49">
        <f t="shared" si="53"/>
        <v>2.5222138083908705</v>
      </c>
      <c r="Q852" s="1">
        <f t="shared" si="54"/>
        <v>3.0650502534778181</v>
      </c>
      <c r="R852" s="1">
        <f t="shared" si="56"/>
        <v>3.1536019437627973</v>
      </c>
      <c r="S852" s="10">
        <f t="shared" si="55"/>
        <v>2.7936320309343445</v>
      </c>
      <c r="T852" s="45" cm="1">
        <f t="array" ref="T852">SUMPRODUCT(P852:S852 * P$3:S$3) / SUM(P$3:S$3)</f>
        <v>2.8907686671454096</v>
      </c>
    </row>
    <row r="853" spans="1:20" ht="16.5" customHeight="1" x14ac:dyDescent="0.25">
      <c r="A853" s="5" t="s">
        <v>6885</v>
      </c>
      <c r="B853" s="20" t="s">
        <v>6363</v>
      </c>
      <c r="C853" s="4" t="s">
        <v>8796</v>
      </c>
      <c r="D853" s="4" t="s">
        <v>9022</v>
      </c>
      <c r="E853" s="12" t="s">
        <v>407</v>
      </c>
      <c r="F853" s="75" t="s">
        <v>6723</v>
      </c>
      <c r="G853" s="3">
        <v>32</v>
      </c>
      <c r="H853" s="3" t="s">
        <v>404</v>
      </c>
      <c r="I853" s="13" t="s">
        <v>6739</v>
      </c>
      <c r="J853" s="72">
        <v>1.4</v>
      </c>
      <c r="K853" s="14" t="s">
        <v>6175</v>
      </c>
      <c r="L853" s="9">
        <v>114.01</v>
      </c>
      <c r="M853" s="3">
        <v>219</v>
      </c>
      <c r="N853" s="17" t="s">
        <v>6364</v>
      </c>
      <c r="O853" s="18" t="s">
        <v>6362</v>
      </c>
      <c r="P853" s="49">
        <f t="shared" si="53"/>
        <v>2.5244979676032391</v>
      </c>
      <c r="Q853" s="1">
        <f t="shared" si="54"/>
        <v>3.0652579412844796</v>
      </c>
      <c r="R853" s="1">
        <f t="shared" si="56"/>
        <v>3.1538096315694584</v>
      </c>
      <c r="S853" s="10">
        <f t="shared" si="55"/>
        <v>2.7948779544438591</v>
      </c>
      <c r="T853" s="45" cm="1">
        <f t="array" ref="T853">SUMPRODUCT(P853:S853 * P$3:S$3) / SUM(P$3:S$3)</f>
        <v>2.8916951335155856</v>
      </c>
    </row>
    <row r="854" spans="1:20" ht="16.5" customHeight="1" x14ac:dyDescent="0.25">
      <c r="A854" s="5" t="s">
        <v>6885</v>
      </c>
      <c r="B854" s="20" t="s">
        <v>6366</v>
      </c>
      <c r="C854" s="4" t="s">
        <v>8796</v>
      </c>
      <c r="D854" s="4" t="s">
        <v>9022</v>
      </c>
      <c r="E854" s="12" t="s">
        <v>407</v>
      </c>
      <c r="F854" s="75" t="s">
        <v>6723</v>
      </c>
      <c r="G854" s="3">
        <v>32</v>
      </c>
      <c r="H854" s="3" t="s">
        <v>404</v>
      </c>
      <c r="I854" s="13" t="s">
        <v>6739</v>
      </c>
      <c r="J854" s="72">
        <v>1.3</v>
      </c>
      <c r="K854" s="14" t="s">
        <v>6175</v>
      </c>
      <c r="L854" s="9">
        <v>136.9</v>
      </c>
      <c r="M854" s="3">
        <v>161.16</v>
      </c>
      <c r="N854" s="17" t="s">
        <v>6367</v>
      </c>
      <c r="O854" s="18" t="s">
        <v>6365</v>
      </c>
      <c r="P854" s="49">
        <f t="shared" si="53"/>
        <v>2.5283423381396162</v>
      </c>
      <c r="Q854" s="1">
        <f t="shared" si="54"/>
        <v>3.0691023118208562</v>
      </c>
      <c r="R854" s="1">
        <f t="shared" si="56"/>
        <v>3.1576540021058355</v>
      </c>
      <c r="S854" s="10">
        <f t="shared" si="55"/>
        <v>2.7987223249802362</v>
      </c>
      <c r="T854" s="45" cm="1">
        <f t="array" ref="T854">SUMPRODUCT(P854:S854 * P$3:S$3) / SUM(P$3:S$3)</f>
        <v>2.8955395040519623</v>
      </c>
    </row>
    <row r="855" spans="1:20" ht="16.5" customHeight="1" x14ac:dyDescent="0.25">
      <c r="A855" s="5" t="s">
        <v>6885</v>
      </c>
      <c r="B855" s="20" t="s">
        <v>6369</v>
      </c>
      <c r="C855" s="4" t="s">
        <v>8796</v>
      </c>
      <c r="D855" s="4" t="s">
        <v>9022</v>
      </c>
      <c r="E855" s="12" t="s">
        <v>407</v>
      </c>
      <c r="F855" s="75" t="s">
        <v>6723</v>
      </c>
      <c r="G855" s="3">
        <v>32</v>
      </c>
      <c r="H855" s="3" t="s">
        <v>404</v>
      </c>
      <c r="I855" s="13" t="s">
        <v>6739</v>
      </c>
      <c r="J855" s="72">
        <v>1.35</v>
      </c>
      <c r="K855" s="14" t="s">
        <v>6175</v>
      </c>
      <c r="L855" s="9">
        <v>133.9</v>
      </c>
      <c r="M855" s="3">
        <v>174.18</v>
      </c>
      <c r="N855" s="17" t="s">
        <v>6370</v>
      </c>
      <c r="O855" s="18" t="s">
        <v>6368</v>
      </c>
      <c r="P855" s="49">
        <f t="shared" si="53"/>
        <v>2.5263667512022856</v>
      </c>
      <c r="Q855" s="1">
        <f t="shared" si="54"/>
        <v>3.0671267248835257</v>
      </c>
      <c r="R855" s="1">
        <f t="shared" si="56"/>
        <v>3.1556784151685049</v>
      </c>
      <c r="S855" s="10">
        <f t="shared" si="55"/>
        <v>2.7967467380429056</v>
      </c>
      <c r="T855" s="45" cm="1">
        <f t="array" ref="T855">SUMPRODUCT(P855:S855 * P$3:S$3) / SUM(P$3:S$3)</f>
        <v>2.8935639171146317</v>
      </c>
    </row>
    <row r="856" spans="1:20" ht="16.5" customHeight="1" x14ac:dyDescent="0.25">
      <c r="A856" s="5" t="s">
        <v>6885</v>
      </c>
      <c r="B856" s="20" t="s">
        <v>6372</v>
      </c>
      <c r="C856" s="4" t="s">
        <v>8796</v>
      </c>
      <c r="D856" s="4" t="s">
        <v>9022</v>
      </c>
      <c r="E856" s="12" t="s">
        <v>407</v>
      </c>
      <c r="F856" s="75" t="s">
        <v>6723</v>
      </c>
      <c r="G856" s="3">
        <v>32</v>
      </c>
      <c r="H856" s="3" t="s">
        <v>404</v>
      </c>
      <c r="I856" s="13" t="s">
        <v>6741</v>
      </c>
      <c r="J856" s="72">
        <v>1.4</v>
      </c>
      <c r="K856" s="14" t="s">
        <v>6175</v>
      </c>
      <c r="L856" s="9">
        <v>137.68</v>
      </c>
      <c r="M856" s="3">
        <v>167.49</v>
      </c>
      <c r="N856" s="17" t="s">
        <v>6373</v>
      </c>
      <c r="O856" s="18" t="s">
        <v>6371</v>
      </c>
      <c r="P856" s="49">
        <f t="shared" si="53"/>
        <v>2.5395382539817888</v>
      </c>
      <c r="Q856" s="1">
        <f t="shared" si="54"/>
        <v>3.0727780844737547</v>
      </c>
      <c r="R856" s="1">
        <f t="shared" si="56"/>
        <v>3.1613297747587334</v>
      </c>
      <c r="S856" s="10">
        <f t="shared" si="55"/>
        <v>2.8061581692277713</v>
      </c>
      <c r="T856" s="45" cm="1">
        <f t="array" ref="T856">SUMPRODUCT(P856:S856 * P$3:S$3) / SUM(P$3:S$3)</f>
        <v>2.9018184031934551</v>
      </c>
    </row>
    <row r="857" spans="1:20" ht="16.5" customHeight="1" x14ac:dyDescent="0.25">
      <c r="A857" s="5" t="s">
        <v>6885</v>
      </c>
      <c r="B857" s="20" t="s">
        <v>6375</v>
      </c>
      <c r="C857" s="4" t="s">
        <v>8796</v>
      </c>
      <c r="D857" s="4" t="s">
        <v>9022</v>
      </c>
      <c r="E857" s="12" t="s">
        <v>407</v>
      </c>
      <c r="F857" s="75" t="s">
        <v>6723</v>
      </c>
      <c r="G857" s="3">
        <v>32</v>
      </c>
      <c r="H857" s="3" t="s">
        <v>404</v>
      </c>
      <c r="I857" s="13" t="s">
        <v>6743</v>
      </c>
      <c r="J857" s="72">
        <v>1.4</v>
      </c>
      <c r="K857" s="14" t="s">
        <v>6175</v>
      </c>
      <c r="L857" s="9">
        <v>162.5</v>
      </c>
      <c r="M857" s="3">
        <v>190.23</v>
      </c>
      <c r="N857" s="17" t="s">
        <v>6376</v>
      </c>
      <c r="O857" s="18" t="s">
        <v>6374</v>
      </c>
      <c r="P857" s="49">
        <f t="shared" si="53"/>
        <v>2.5456727675278064</v>
      </c>
      <c r="Q857" s="1">
        <f t="shared" si="54"/>
        <v>3.075845341246763</v>
      </c>
      <c r="R857" s="1">
        <f t="shared" si="56"/>
        <v>3.1643970315317422</v>
      </c>
      <c r="S857" s="10">
        <f t="shared" si="55"/>
        <v>2.8107590543872849</v>
      </c>
      <c r="T857" s="45" cm="1">
        <f t="array" ref="T857">SUMPRODUCT(P857:S857 * P$3:S$3) / SUM(P$3:S$3)</f>
        <v>2.9059474026955829</v>
      </c>
    </row>
    <row r="858" spans="1:20" ht="16.5" customHeight="1" x14ac:dyDescent="0.25">
      <c r="A858" s="5" t="s">
        <v>6885</v>
      </c>
      <c r="B858" s="20" t="s">
        <v>6430</v>
      </c>
      <c r="C858" s="4" t="s">
        <v>8796</v>
      </c>
      <c r="D858" s="4" t="s">
        <v>9022</v>
      </c>
      <c r="E858" s="12" t="s">
        <v>407</v>
      </c>
      <c r="F858" s="75" t="s">
        <v>6723</v>
      </c>
      <c r="G858" s="3">
        <v>32</v>
      </c>
      <c r="H858" s="3" t="s">
        <v>404</v>
      </c>
      <c r="I858" s="13" t="s">
        <v>6739</v>
      </c>
      <c r="J858" s="72">
        <v>1.4</v>
      </c>
      <c r="K858" s="14" t="s">
        <v>6175</v>
      </c>
      <c r="L858" s="9">
        <v>109.05</v>
      </c>
      <c r="M858" s="3">
        <v>140.88999999999999</v>
      </c>
      <c r="N858" s="17" t="s">
        <v>6431</v>
      </c>
      <c r="O858" s="18" t="s">
        <v>6429</v>
      </c>
      <c r="P858" s="49">
        <f t="shared" si="53"/>
        <v>2.5244979676032391</v>
      </c>
      <c r="Q858" s="1">
        <f t="shared" si="54"/>
        <v>3.0652579412844796</v>
      </c>
      <c r="R858" s="1">
        <f t="shared" si="56"/>
        <v>3.1538096315694584</v>
      </c>
      <c r="S858" s="10">
        <f t="shared" si="55"/>
        <v>2.7948779544438591</v>
      </c>
      <c r="T858" s="45" cm="1">
        <f t="array" ref="T858">SUMPRODUCT(P858:S858 * P$3:S$3) / SUM(P$3:S$3)</f>
        <v>2.8916951335155856</v>
      </c>
    </row>
    <row r="859" spans="1:20" ht="16.5" customHeight="1" x14ac:dyDescent="0.25">
      <c r="A859" s="5" t="s">
        <v>6885</v>
      </c>
      <c r="B859" s="20" t="s">
        <v>6433</v>
      </c>
      <c r="C859" s="4" t="s">
        <v>8796</v>
      </c>
      <c r="D859" s="4" t="s">
        <v>9022</v>
      </c>
      <c r="E859" s="12" t="s">
        <v>407</v>
      </c>
      <c r="F859" s="75" t="s">
        <v>6723</v>
      </c>
      <c r="G859" s="3">
        <v>32</v>
      </c>
      <c r="H859" s="3" t="s">
        <v>404</v>
      </c>
      <c r="I859" s="13" t="s">
        <v>6739</v>
      </c>
      <c r="J859" s="72">
        <v>1.35</v>
      </c>
      <c r="K859" s="14" t="s">
        <v>6175</v>
      </c>
      <c r="L859" s="9">
        <v>122.9</v>
      </c>
      <c r="M859" s="3">
        <v>162.24</v>
      </c>
      <c r="N859" s="17" t="s">
        <v>6434</v>
      </c>
      <c r="O859" s="18" t="s">
        <v>6432</v>
      </c>
      <c r="P859" s="49">
        <f t="shared" si="53"/>
        <v>2.5263667512022856</v>
      </c>
      <c r="Q859" s="1">
        <f t="shared" si="54"/>
        <v>3.0671267248835257</v>
      </c>
      <c r="R859" s="1">
        <f t="shared" si="56"/>
        <v>3.1556784151685049</v>
      </c>
      <c r="S859" s="10">
        <f t="shared" si="55"/>
        <v>2.7967467380429056</v>
      </c>
      <c r="T859" s="45" cm="1">
        <f t="array" ref="T859">SUMPRODUCT(P859:S859 * P$3:S$3) / SUM(P$3:S$3)</f>
        <v>2.8935639171146317</v>
      </c>
    </row>
    <row r="860" spans="1:20" ht="16.5" customHeight="1" x14ac:dyDescent="0.25">
      <c r="A860" s="5" t="s">
        <v>6885</v>
      </c>
      <c r="B860" s="20" t="s">
        <v>6435</v>
      </c>
      <c r="C860" s="4" t="s">
        <v>8796</v>
      </c>
      <c r="D860" s="4" t="s">
        <v>9022</v>
      </c>
      <c r="E860" s="12" t="s">
        <v>407</v>
      </c>
      <c r="F860" s="75" t="s">
        <v>6723</v>
      </c>
      <c r="G860" s="3">
        <v>32</v>
      </c>
      <c r="H860" s="3" t="s">
        <v>404</v>
      </c>
      <c r="I860" s="13" t="s">
        <v>6739</v>
      </c>
      <c r="J860" s="72">
        <v>1.35</v>
      </c>
      <c r="K860" s="14" t="s">
        <v>6175</v>
      </c>
      <c r="L860" s="9">
        <v>169</v>
      </c>
      <c r="M860" s="3">
        <v>286.94</v>
      </c>
      <c r="N860" s="17" t="s">
        <v>6436</v>
      </c>
      <c r="O860" s="18" t="s">
        <v>6432</v>
      </c>
      <c r="P860" s="49">
        <f t="shared" si="53"/>
        <v>2.5263667512022856</v>
      </c>
      <c r="Q860" s="1">
        <f t="shared" si="54"/>
        <v>3.0671267248835257</v>
      </c>
      <c r="R860" s="1">
        <f t="shared" si="56"/>
        <v>3.1556784151685049</v>
      </c>
      <c r="S860" s="10">
        <f t="shared" si="55"/>
        <v>2.7967467380429056</v>
      </c>
      <c r="T860" s="45" cm="1">
        <f t="array" ref="T860">SUMPRODUCT(P860:S860 * P$3:S$3) / SUM(P$3:S$3)</f>
        <v>2.8935639171146317</v>
      </c>
    </row>
    <row r="861" spans="1:20" ht="16.5" customHeight="1" x14ac:dyDescent="0.25">
      <c r="A861" s="5" t="s">
        <v>6885</v>
      </c>
      <c r="B861" s="20" t="s">
        <v>6438</v>
      </c>
      <c r="C861" s="4" t="s">
        <v>8796</v>
      </c>
      <c r="D861" s="4" t="s">
        <v>9022</v>
      </c>
      <c r="E861" s="12" t="s">
        <v>407</v>
      </c>
      <c r="F861" s="75" t="s">
        <v>6723</v>
      </c>
      <c r="G861" s="3">
        <v>32</v>
      </c>
      <c r="H861" s="3" t="s">
        <v>404</v>
      </c>
      <c r="I861" s="13" t="s">
        <v>6741</v>
      </c>
      <c r="J861" s="72">
        <v>1.4</v>
      </c>
      <c r="K861" s="14" t="s">
        <v>6175</v>
      </c>
      <c r="L861" s="9">
        <v>114.98</v>
      </c>
      <c r="M861" s="3">
        <v>204</v>
      </c>
      <c r="N861" s="17" t="s">
        <v>6439</v>
      </c>
      <c r="O861" s="18" t="s">
        <v>6437</v>
      </c>
      <c r="P861" s="49">
        <f t="shared" si="53"/>
        <v>2.5395382539817888</v>
      </c>
      <c r="Q861" s="1">
        <f t="shared" si="54"/>
        <v>3.0727780844737547</v>
      </c>
      <c r="R861" s="1">
        <f t="shared" si="56"/>
        <v>3.1613297747587334</v>
      </c>
      <c r="S861" s="10">
        <f t="shared" si="55"/>
        <v>2.8061581692277713</v>
      </c>
      <c r="T861" s="45" cm="1">
        <f t="array" ref="T861">SUMPRODUCT(P861:S861 * P$3:S$3) / SUM(P$3:S$3)</f>
        <v>2.9018184031934551</v>
      </c>
    </row>
    <row r="862" spans="1:20" ht="16.5" customHeight="1" x14ac:dyDescent="0.25">
      <c r="A862" s="5" t="s">
        <v>6885</v>
      </c>
      <c r="B862" s="20" t="s">
        <v>6441</v>
      </c>
      <c r="C862" s="4" t="s">
        <v>8796</v>
      </c>
      <c r="D862" s="4" t="s">
        <v>9022</v>
      </c>
      <c r="E862" s="12" t="s">
        <v>407</v>
      </c>
      <c r="F862" s="75" t="s">
        <v>6723</v>
      </c>
      <c r="G862" s="3">
        <v>32</v>
      </c>
      <c r="H862" s="3" t="s">
        <v>404</v>
      </c>
      <c r="I862" s="13" t="s">
        <v>6743</v>
      </c>
      <c r="J862" s="72">
        <v>1.4</v>
      </c>
      <c r="K862" s="14" t="s">
        <v>6175</v>
      </c>
      <c r="L862" s="9">
        <v>138.88999999999999</v>
      </c>
      <c r="M862" s="3">
        <v>163.36000000000001</v>
      </c>
      <c r="N862" s="17" t="s">
        <v>6442</v>
      </c>
      <c r="O862" s="18" t="s">
        <v>6440</v>
      </c>
      <c r="P862" s="49">
        <f t="shared" si="53"/>
        <v>2.5456727675278064</v>
      </c>
      <c r="Q862" s="1">
        <f t="shared" si="54"/>
        <v>3.075845341246763</v>
      </c>
      <c r="R862" s="1">
        <f t="shared" si="56"/>
        <v>3.1643970315317422</v>
      </c>
      <c r="S862" s="10">
        <f t="shared" si="55"/>
        <v>2.8107590543872849</v>
      </c>
      <c r="T862" s="45" cm="1">
        <f t="array" ref="T862">SUMPRODUCT(P862:S862 * P$3:S$3) / SUM(P$3:S$3)</f>
        <v>2.9059474026955829</v>
      </c>
    </row>
    <row r="863" spans="1:20" ht="16.5" customHeight="1" x14ac:dyDescent="0.25">
      <c r="A863" s="5" t="s">
        <v>6885</v>
      </c>
      <c r="B863" s="20" t="s">
        <v>6493</v>
      </c>
      <c r="C863" s="4" t="s">
        <v>8796</v>
      </c>
      <c r="D863" s="4" t="s">
        <v>9022</v>
      </c>
      <c r="E863" s="12" t="s">
        <v>407</v>
      </c>
      <c r="F863" s="75" t="s">
        <v>6723</v>
      </c>
      <c r="G863" s="3">
        <v>32</v>
      </c>
      <c r="H863" s="3" t="s">
        <v>404</v>
      </c>
      <c r="I863" s="13" t="s">
        <v>6739</v>
      </c>
      <c r="J863" s="72">
        <v>1.4</v>
      </c>
      <c r="L863" s="9">
        <v>93.89</v>
      </c>
      <c r="M863" s="3">
        <v>139.99</v>
      </c>
      <c r="N863" s="17" t="s">
        <v>6494</v>
      </c>
      <c r="O863" s="18" t="s">
        <v>6492</v>
      </c>
      <c r="P863" s="49">
        <f t="shared" si="53"/>
        <v>2.5244979676032391</v>
      </c>
      <c r="Q863" s="1">
        <f t="shared" si="54"/>
        <v>3.0652579412844796</v>
      </c>
      <c r="R863" s="1">
        <f t="shared" si="56"/>
        <v>3.1538096315694584</v>
      </c>
      <c r="S863" s="10">
        <f t="shared" si="55"/>
        <v>2.7948779544438591</v>
      </c>
      <c r="T863" s="45" cm="1">
        <f t="array" ref="T863">SUMPRODUCT(P863:S863 * P$3:S$3) / SUM(P$3:S$3)</f>
        <v>2.8916951335155856</v>
      </c>
    </row>
    <row r="864" spans="1:20" ht="16.5" customHeight="1" x14ac:dyDescent="0.25">
      <c r="A864" s="5" t="s">
        <v>6885</v>
      </c>
      <c r="B864" s="20" t="s">
        <v>6496</v>
      </c>
      <c r="C864" s="4" t="s">
        <v>8796</v>
      </c>
      <c r="D864" s="4" t="s">
        <v>9022</v>
      </c>
      <c r="E864" s="12" t="s">
        <v>407</v>
      </c>
      <c r="F864" s="75" t="s">
        <v>6723</v>
      </c>
      <c r="G864" s="3">
        <v>32</v>
      </c>
      <c r="H864" s="3" t="s">
        <v>404</v>
      </c>
      <c r="I864" s="13" t="s">
        <v>6739</v>
      </c>
      <c r="J864" s="72">
        <v>1.35</v>
      </c>
      <c r="L864" s="9">
        <v>109.95</v>
      </c>
      <c r="M864" s="3">
        <v>152.55000000000001</v>
      </c>
      <c r="N864" s="17" t="s">
        <v>6497</v>
      </c>
      <c r="O864" s="18" t="s">
        <v>6495</v>
      </c>
      <c r="P864" s="49">
        <f t="shared" si="53"/>
        <v>2.5263667512022856</v>
      </c>
      <c r="Q864" s="1">
        <f t="shared" si="54"/>
        <v>3.0671267248835257</v>
      </c>
      <c r="R864" s="1">
        <f t="shared" si="56"/>
        <v>3.1556784151685049</v>
      </c>
      <c r="S864" s="10">
        <f t="shared" si="55"/>
        <v>2.7967467380429056</v>
      </c>
      <c r="T864" s="45" cm="1">
        <f t="array" ref="T864">SUMPRODUCT(P864:S864 * P$3:S$3) / SUM(P$3:S$3)</f>
        <v>2.8935639171146317</v>
      </c>
    </row>
    <row r="865" spans="1:20" ht="16.5" customHeight="1" x14ac:dyDescent="0.25">
      <c r="A865" s="5" t="s">
        <v>6885</v>
      </c>
      <c r="B865" s="20" t="s">
        <v>6499</v>
      </c>
      <c r="C865" s="4" t="s">
        <v>8796</v>
      </c>
      <c r="D865" s="4" t="s">
        <v>9022</v>
      </c>
      <c r="E865" s="12" t="s">
        <v>407</v>
      </c>
      <c r="F865" s="75" t="s">
        <v>6723</v>
      </c>
      <c r="G865" s="3">
        <v>32</v>
      </c>
      <c r="H865" s="3" t="s">
        <v>404</v>
      </c>
      <c r="I865" s="13" t="s">
        <v>6741</v>
      </c>
      <c r="J865" s="72">
        <v>1.4</v>
      </c>
      <c r="L865" s="9">
        <v>109.05</v>
      </c>
      <c r="M865" s="3">
        <v>159.46</v>
      </c>
      <c r="N865" s="17" t="s">
        <v>6500</v>
      </c>
      <c r="O865" s="18" t="s">
        <v>6498</v>
      </c>
      <c r="P865" s="49">
        <f t="shared" si="53"/>
        <v>2.5395382539817888</v>
      </c>
      <c r="Q865" s="1">
        <f t="shared" si="54"/>
        <v>3.0727780844737547</v>
      </c>
      <c r="R865" s="1">
        <f t="shared" si="56"/>
        <v>3.1613297747587334</v>
      </c>
      <c r="S865" s="10">
        <f t="shared" si="55"/>
        <v>2.8061581692277713</v>
      </c>
      <c r="T865" s="45" cm="1">
        <f t="array" ref="T865">SUMPRODUCT(P865:S865 * P$3:S$3) / SUM(P$3:S$3)</f>
        <v>2.9018184031934551</v>
      </c>
    </row>
    <row r="866" spans="1:20" ht="16.5" customHeight="1" x14ac:dyDescent="0.25">
      <c r="A866" s="5" t="s">
        <v>6885</v>
      </c>
      <c r="B866" s="20" t="s">
        <v>6502</v>
      </c>
      <c r="C866" s="4" t="s">
        <v>8796</v>
      </c>
      <c r="D866" s="4" t="s">
        <v>9022</v>
      </c>
      <c r="E866" s="12" t="s">
        <v>407</v>
      </c>
      <c r="F866" s="75" t="s">
        <v>6723</v>
      </c>
      <c r="G866" s="3">
        <v>32</v>
      </c>
      <c r="H866" s="3" t="s">
        <v>404</v>
      </c>
      <c r="I866" s="13" t="s">
        <v>6743</v>
      </c>
      <c r="J866" s="72">
        <v>1.4</v>
      </c>
      <c r="L866" s="9">
        <v>130.32</v>
      </c>
      <c r="M866" s="3">
        <v>155.35</v>
      </c>
      <c r="N866" s="17" t="s">
        <v>6503</v>
      </c>
      <c r="O866" s="18" t="s">
        <v>6501</v>
      </c>
      <c r="P866" s="49">
        <f t="shared" si="53"/>
        <v>2.5456727675278064</v>
      </c>
      <c r="Q866" s="1">
        <f t="shared" si="54"/>
        <v>3.075845341246763</v>
      </c>
      <c r="R866" s="1">
        <f t="shared" si="56"/>
        <v>3.1643970315317422</v>
      </c>
      <c r="S866" s="10">
        <f t="shared" si="55"/>
        <v>2.8107590543872849</v>
      </c>
      <c r="T866" s="45" cm="1">
        <f t="array" ref="T866">SUMPRODUCT(P866:S866 * P$3:S$3) / SUM(P$3:S$3)</f>
        <v>2.9059474026955829</v>
      </c>
    </row>
    <row r="867" spans="1:20" ht="16.5" customHeight="1" x14ac:dyDescent="0.25">
      <c r="A867" s="5" t="s">
        <v>6869</v>
      </c>
      <c r="B867" s="20" t="s">
        <v>5892</v>
      </c>
      <c r="C867" s="4" t="s">
        <v>8797</v>
      </c>
      <c r="D867" s="4" t="s">
        <v>9022</v>
      </c>
      <c r="E867" s="12" t="s">
        <v>407</v>
      </c>
      <c r="F867" s="75" t="s">
        <v>6723</v>
      </c>
      <c r="G867" s="3">
        <v>32</v>
      </c>
      <c r="H867" s="3" t="s">
        <v>404</v>
      </c>
      <c r="I867" s="13" t="s">
        <v>6743</v>
      </c>
      <c r="J867" s="72">
        <v>1.4</v>
      </c>
      <c r="L867" s="9">
        <v>129.9</v>
      </c>
      <c r="M867" s="3">
        <v>166.55</v>
      </c>
      <c r="N867" s="17" t="s">
        <v>5893</v>
      </c>
      <c r="O867" s="18" t="s">
        <v>5891</v>
      </c>
      <c r="P867" s="49">
        <f t="shared" si="53"/>
        <v>2.5456727675278064</v>
      </c>
      <c r="Q867" s="1">
        <f t="shared" si="54"/>
        <v>3.075845341246763</v>
      </c>
      <c r="R867" s="1">
        <f t="shared" si="56"/>
        <v>3.1643970315317422</v>
      </c>
      <c r="S867" s="10">
        <f t="shared" si="55"/>
        <v>2.8107590543872849</v>
      </c>
      <c r="T867" s="45" cm="1">
        <f t="array" ref="T867">SUMPRODUCT(P867:S867 * P$3:S$3) / SUM(P$3:S$3)</f>
        <v>2.9059474026955829</v>
      </c>
    </row>
    <row r="868" spans="1:20" ht="16.5" customHeight="1" x14ac:dyDescent="0.25">
      <c r="A868" s="5" t="s">
        <v>6869</v>
      </c>
      <c r="B868" s="20" t="s">
        <v>5924</v>
      </c>
      <c r="C868" s="4" t="s">
        <v>8797</v>
      </c>
      <c r="D868" s="4" t="s">
        <v>9022</v>
      </c>
      <c r="E868" s="12" t="s">
        <v>407</v>
      </c>
      <c r="F868" s="75" t="s">
        <v>6723</v>
      </c>
      <c r="G868" s="3">
        <v>32</v>
      </c>
      <c r="H868" s="3" t="s">
        <v>404</v>
      </c>
      <c r="I868" s="13" t="s">
        <v>6739</v>
      </c>
      <c r="J868" s="72">
        <v>1.25</v>
      </c>
      <c r="L868" s="9">
        <v>94.3</v>
      </c>
      <c r="M868" s="3">
        <v>117.56</v>
      </c>
      <c r="N868" s="17" t="s">
        <v>5925</v>
      </c>
      <c r="O868" s="18" t="s">
        <v>5923</v>
      </c>
      <c r="P868" s="49">
        <f t="shared" si="53"/>
        <v>2.5304353053107183</v>
      </c>
      <c r="Q868" s="1">
        <f t="shared" si="54"/>
        <v>3.0711952789919588</v>
      </c>
      <c r="R868" s="1">
        <f t="shared" si="56"/>
        <v>3.1597469692769375</v>
      </c>
      <c r="S868" s="10">
        <f t="shared" si="55"/>
        <v>2.8008152921513383</v>
      </c>
      <c r="T868" s="45" cm="1">
        <f t="array" ref="T868">SUMPRODUCT(P868:S868 * P$3:S$3) / SUM(P$3:S$3)</f>
        <v>2.8976324712230648</v>
      </c>
    </row>
    <row r="869" spans="1:20" ht="16.5" customHeight="1" x14ac:dyDescent="0.25">
      <c r="A869" s="5" t="s">
        <v>6869</v>
      </c>
      <c r="B869" s="20" t="s">
        <v>5927</v>
      </c>
      <c r="C869" s="4" t="s">
        <v>8797</v>
      </c>
      <c r="D869" s="4" t="s">
        <v>9022</v>
      </c>
      <c r="E869" s="12" t="s">
        <v>407</v>
      </c>
      <c r="F869" s="75" t="s">
        <v>6723</v>
      </c>
      <c r="G869" s="3">
        <v>32</v>
      </c>
      <c r="H869" s="3" t="s">
        <v>404</v>
      </c>
      <c r="I869" s="13" t="s">
        <v>6739</v>
      </c>
      <c r="J869" s="72">
        <v>1.35</v>
      </c>
      <c r="L869" s="9">
        <v>91.88</v>
      </c>
      <c r="M869" s="3">
        <v>188</v>
      </c>
      <c r="N869" s="17" t="s">
        <v>5928</v>
      </c>
      <c r="O869" s="18" t="s">
        <v>5926</v>
      </c>
      <c r="P869" s="49">
        <f t="shared" si="53"/>
        <v>2.5263667512022856</v>
      </c>
      <c r="Q869" s="1">
        <f t="shared" si="54"/>
        <v>3.0671267248835257</v>
      </c>
      <c r="R869" s="1">
        <f t="shared" si="56"/>
        <v>3.1556784151685049</v>
      </c>
      <c r="S869" s="10">
        <f t="shared" si="55"/>
        <v>2.7967467380429056</v>
      </c>
      <c r="T869" s="45" cm="1">
        <f t="array" ref="T869">SUMPRODUCT(P869:S869 * P$3:S$3) / SUM(P$3:S$3)</f>
        <v>2.8935639171146317</v>
      </c>
    </row>
    <row r="870" spans="1:20" ht="16.5" customHeight="1" x14ac:dyDescent="0.25">
      <c r="A870" s="5" t="s">
        <v>6869</v>
      </c>
      <c r="B870" s="20" t="s">
        <v>5930</v>
      </c>
      <c r="C870" s="4" t="s">
        <v>8797</v>
      </c>
      <c r="D870" s="4" t="s">
        <v>9022</v>
      </c>
      <c r="E870" s="12" t="s">
        <v>407</v>
      </c>
      <c r="F870" s="75" t="s">
        <v>6723</v>
      </c>
      <c r="G870" s="3">
        <v>32</v>
      </c>
      <c r="H870" s="3" t="s">
        <v>404</v>
      </c>
      <c r="I870" s="13" t="s">
        <v>225</v>
      </c>
      <c r="J870" s="72">
        <v>1.35</v>
      </c>
      <c r="L870" s="9">
        <v>106.66</v>
      </c>
      <c r="M870" s="3">
        <v>149.28</v>
      </c>
      <c r="N870" s="17" t="s">
        <v>5931</v>
      </c>
      <c r="O870" s="18" t="s">
        <v>5929</v>
      </c>
      <c r="P870" s="49">
        <f t="shared" si="53"/>
        <v>2.5358939681754706</v>
      </c>
      <c r="Q870" s="1">
        <f t="shared" si="54"/>
        <v>3.0718903333701184</v>
      </c>
      <c r="R870" s="1">
        <f t="shared" si="56"/>
        <v>3.1604420236550972</v>
      </c>
      <c r="S870" s="10">
        <f t="shared" si="55"/>
        <v>2.8038921507727945</v>
      </c>
      <c r="T870" s="45" cm="1">
        <f t="array" ref="T870">SUMPRODUCT(P870:S870 * P$3:S$3) / SUM(P$3:S$3)</f>
        <v>2.8999764670004291</v>
      </c>
    </row>
    <row r="871" spans="1:20" ht="16.5" customHeight="1" x14ac:dyDescent="0.25">
      <c r="A871" s="5" t="s">
        <v>6869</v>
      </c>
      <c r="B871" s="20" t="s">
        <v>5933</v>
      </c>
      <c r="C871" s="4" t="s">
        <v>8797</v>
      </c>
      <c r="D871" s="4" t="s">
        <v>9022</v>
      </c>
      <c r="E871" s="12" t="s">
        <v>407</v>
      </c>
      <c r="F871" s="75" t="s">
        <v>6723</v>
      </c>
      <c r="G871" s="3">
        <v>32</v>
      </c>
      <c r="H871" s="3" t="s">
        <v>404</v>
      </c>
      <c r="I871" s="13" t="s">
        <v>6741</v>
      </c>
      <c r="J871" s="72">
        <v>1.35</v>
      </c>
      <c r="L871" s="9">
        <v>106.78</v>
      </c>
      <c r="M871" s="3">
        <v>227.82</v>
      </c>
      <c r="N871" s="17" t="s">
        <v>5934</v>
      </c>
      <c r="O871" s="18" t="s">
        <v>5932</v>
      </c>
      <c r="P871" s="49">
        <f t="shared" si="53"/>
        <v>2.5414070375808353</v>
      </c>
      <c r="Q871" s="1">
        <f t="shared" si="54"/>
        <v>3.0746468680728007</v>
      </c>
      <c r="R871" s="1">
        <f t="shared" si="56"/>
        <v>3.16319855835778</v>
      </c>
      <c r="S871" s="10">
        <f t="shared" si="55"/>
        <v>2.8080269528268178</v>
      </c>
      <c r="T871" s="45" cm="1">
        <f t="array" ref="T871">SUMPRODUCT(P871:S871 * P$3:S$3) / SUM(P$3:S$3)</f>
        <v>2.903687186792502</v>
      </c>
    </row>
    <row r="872" spans="1:20" ht="16.5" customHeight="1" x14ac:dyDescent="0.25">
      <c r="A872" s="5" t="s">
        <v>6869</v>
      </c>
      <c r="B872" s="20" t="s">
        <v>5936</v>
      </c>
      <c r="C872" s="4" t="s">
        <v>8797</v>
      </c>
      <c r="D872" s="4" t="s">
        <v>9022</v>
      </c>
      <c r="E872" s="12" t="s">
        <v>407</v>
      </c>
      <c r="F872" s="75" t="s">
        <v>6723</v>
      </c>
      <c r="G872" s="3">
        <v>32</v>
      </c>
      <c r="H872" s="3" t="s">
        <v>404</v>
      </c>
      <c r="I872" s="13" t="s">
        <v>6741</v>
      </c>
      <c r="J872" s="72">
        <v>1.35</v>
      </c>
      <c r="L872" s="9">
        <v>127.39</v>
      </c>
      <c r="M872" s="3">
        <v>149.99</v>
      </c>
      <c r="N872" s="17" t="s">
        <v>5937</v>
      </c>
      <c r="O872" s="18" t="s">
        <v>5935</v>
      </c>
      <c r="P872" s="49">
        <f t="shared" si="53"/>
        <v>2.5414070375808353</v>
      </c>
      <c r="Q872" s="1">
        <f t="shared" si="54"/>
        <v>3.0746468680728007</v>
      </c>
      <c r="R872" s="1">
        <f t="shared" si="56"/>
        <v>3.16319855835778</v>
      </c>
      <c r="S872" s="10">
        <f t="shared" si="55"/>
        <v>2.8080269528268178</v>
      </c>
      <c r="T872" s="45" cm="1">
        <f t="array" ref="T872">SUMPRODUCT(P872:S872 * P$3:S$3) / SUM(P$3:S$3)</f>
        <v>2.903687186792502</v>
      </c>
    </row>
    <row r="873" spans="1:20" ht="16.5" customHeight="1" x14ac:dyDescent="0.25">
      <c r="A873" s="5" t="s">
        <v>6869</v>
      </c>
      <c r="B873" s="20" t="s">
        <v>5939</v>
      </c>
      <c r="C873" s="4" t="s">
        <v>8797</v>
      </c>
      <c r="D873" s="4" t="s">
        <v>9022</v>
      </c>
      <c r="E873" s="12" t="s">
        <v>407</v>
      </c>
      <c r="F873" s="75" t="s">
        <v>6723</v>
      </c>
      <c r="G873" s="3">
        <v>32</v>
      </c>
      <c r="H873" s="3" t="s">
        <v>404</v>
      </c>
      <c r="I873" s="13" t="s">
        <v>6743</v>
      </c>
      <c r="J873" s="72">
        <v>1.4</v>
      </c>
      <c r="L873" s="9">
        <v>129.9</v>
      </c>
      <c r="M873" s="3">
        <v>149.04</v>
      </c>
      <c r="N873" s="17" t="s">
        <v>5940</v>
      </c>
      <c r="O873" s="18" t="s">
        <v>5938</v>
      </c>
      <c r="P873" s="49">
        <f t="shared" si="53"/>
        <v>2.5456727675278064</v>
      </c>
      <c r="Q873" s="1">
        <f t="shared" si="54"/>
        <v>3.075845341246763</v>
      </c>
      <c r="R873" s="1">
        <f t="shared" si="56"/>
        <v>3.1643970315317422</v>
      </c>
      <c r="S873" s="10">
        <f t="shared" si="55"/>
        <v>2.8107590543872849</v>
      </c>
      <c r="T873" s="45" cm="1">
        <f t="array" ref="T873">SUMPRODUCT(P873:S873 * P$3:S$3) / SUM(P$3:S$3)</f>
        <v>2.9059474026955829</v>
      </c>
    </row>
    <row r="874" spans="1:20" ht="16.5" customHeight="1" x14ac:dyDescent="0.25">
      <c r="A874" s="5" t="s">
        <v>6858</v>
      </c>
      <c r="B874" s="20" t="s">
        <v>5749</v>
      </c>
      <c r="C874" s="4" t="s">
        <v>8797</v>
      </c>
      <c r="D874" s="4" t="s">
        <v>9022</v>
      </c>
      <c r="E874" s="12" t="s">
        <v>407</v>
      </c>
      <c r="F874" s="75" t="s">
        <v>6723</v>
      </c>
      <c r="G874" s="3">
        <v>32</v>
      </c>
      <c r="H874" s="3" t="s">
        <v>404</v>
      </c>
      <c r="I874" s="13" t="s">
        <v>6739</v>
      </c>
      <c r="J874" s="72">
        <v>1.25</v>
      </c>
      <c r="K874" s="14" t="s">
        <v>5196</v>
      </c>
      <c r="L874" s="9">
        <v>104.64</v>
      </c>
      <c r="M874" s="3">
        <v>132.71</v>
      </c>
      <c r="N874" s="17" t="s">
        <v>5750</v>
      </c>
      <c r="O874" s="18" t="s">
        <v>5748</v>
      </c>
      <c r="P874" s="49">
        <f t="shared" si="53"/>
        <v>2.5304353053107183</v>
      </c>
      <c r="Q874" s="1">
        <f t="shared" si="54"/>
        <v>3.0711952789919588</v>
      </c>
      <c r="R874" s="1">
        <f t="shared" si="56"/>
        <v>3.1597469692769375</v>
      </c>
      <c r="S874" s="10">
        <f t="shared" si="55"/>
        <v>2.8008152921513383</v>
      </c>
      <c r="T874" s="45" cm="1">
        <f t="array" ref="T874">SUMPRODUCT(P874:S874 * P$3:S$3) / SUM(P$3:S$3)</f>
        <v>2.8976324712230648</v>
      </c>
    </row>
    <row r="875" spans="1:20" ht="16.5" customHeight="1" x14ac:dyDescent="0.25">
      <c r="A875" s="5" t="s">
        <v>6858</v>
      </c>
      <c r="B875" s="20" t="s">
        <v>5752</v>
      </c>
      <c r="C875" s="4" t="s">
        <v>8797</v>
      </c>
      <c r="D875" s="4" t="s">
        <v>9022</v>
      </c>
      <c r="E875" s="12" t="s">
        <v>407</v>
      </c>
      <c r="F875" s="75" t="s">
        <v>6723</v>
      </c>
      <c r="G875" s="3">
        <v>32</v>
      </c>
      <c r="H875" s="3" t="s">
        <v>404</v>
      </c>
      <c r="I875" s="13" t="s">
        <v>6739</v>
      </c>
      <c r="J875" s="72">
        <v>1.35</v>
      </c>
      <c r="K875" s="14" t="s">
        <v>5196</v>
      </c>
      <c r="L875" s="9">
        <v>123.2</v>
      </c>
      <c r="M875" s="3">
        <v>162.77000000000001</v>
      </c>
      <c r="N875" s="17" t="s">
        <v>5753</v>
      </c>
      <c r="O875" s="18" t="s">
        <v>5751</v>
      </c>
      <c r="P875" s="49">
        <f t="shared" si="53"/>
        <v>2.5263667512022856</v>
      </c>
      <c r="Q875" s="1">
        <f t="shared" si="54"/>
        <v>3.0671267248835257</v>
      </c>
      <c r="R875" s="1">
        <f t="shared" si="56"/>
        <v>3.1556784151685049</v>
      </c>
      <c r="S875" s="10">
        <f t="shared" si="55"/>
        <v>2.7967467380429056</v>
      </c>
      <c r="T875" s="45" cm="1">
        <f t="array" ref="T875">SUMPRODUCT(P875:S875 * P$3:S$3) / SUM(P$3:S$3)</f>
        <v>2.8935639171146317</v>
      </c>
    </row>
    <row r="876" spans="1:20" ht="16.5" customHeight="1" x14ac:dyDescent="0.25">
      <c r="A876" s="5" t="s">
        <v>6858</v>
      </c>
      <c r="B876" s="20" t="s">
        <v>5755</v>
      </c>
      <c r="C876" s="4" t="s">
        <v>8797</v>
      </c>
      <c r="D876" s="4" t="s">
        <v>9022</v>
      </c>
      <c r="E876" s="12" t="s">
        <v>407</v>
      </c>
      <c r="F876" s="75" t="s">
        <v>6723</v>
      </c>
      <c r="G876" s="3">
        <v>32</v>
      </c>
      <c r="H876" s="3" t="s">
        <v>404</v>
      </c>
      <c r="I876" s="13" t="s">
        <v>225</v>
      </c>
      <c r="J876" s="72">
        <v>1.35</v>
      </c>
      <c r="K876" s="14" t="s">
        <v>5196</v>
      </c>
      <c r="L876" s="9">
        <v>121.42</v>
      </c>
      <c r="M876" s="3">
        <v>150.93</v>
      </c>
      <c r="N876" s="17" t="s">
        <v>5756</v>
      </c>
      <c r="O876" s="18" t="s">
        <v>5754</v>
      </c>
      <c r="P876" s="49">
        <f t="shared" si="53"/>
        <v>2.5358939681754706</v>
      </c>
      <c r="Q876" s="1">
        <f t="shared" si="54"/>
        <v>3.0718903333701184</v>
      </c>
      <c r="R876" s="1">
        <f t="shared" si="56"/>
        <v>3.1604420236550972</v>
      </c>
      <c r="S876" s="10">
        <f t="shared" si="55"/>
        <v>2.8038921507727945</v>
      </c>
      <c r="T876" s="45" cm="1">
        <f t="array" ref="T876">SUMPRODUCT(P876:S876 * P$3:S$3) / SUM(P$3:S$3)</f>
        <v>2.8999764670004291</v>
      </c>
    </row>
    <row r="877" spans="1:20" ht="16.5" customHeight="1" x14ac:dyDescent="0.25">
      <c r="A877" s="5" t="s">
        <v>6858</v>
      </c>
      <c r="B877" s="20" t="s">
        <v>5758</v>
      </c>
      <c r="C877" s="4" t="s">
        <v>8797</v>
      </c>
      <c r="D877" s="4" t="s">
        <v>9022</v>
      </c>
      <c r="E877" s="12" t="s">
        <v>407</v>
      </c>
      <c r="F877" s="75" t="s">
        <v>6723</v>
      </c>
      <c r="G877" s="3">
        <v>32</v>
      </c>
      <c r="H877" s="3" t="s">
        <v>404</v>
      </c>
      <c r="I877" s="13" t="s">
        <v>6741</v>
      </c>
      <c r="J877" s="72">
        <v>1.35</v>
      </c>
      <c r="K877" s="14" t="s">
        <v>5196</v>
      </c>
      <c r="L877" s="9">
        <v>116.68</v>
      </c>
      <c r="M877" s="3">
        <v>153.34</v>
      </c>
      <c r="N877" s="17" t="s">
        <v>5759</v>
      </c>
      <c r="O877" s="18" t="s">
        <v>5757</v>
      </c>
      <c r="P877" s="49">
        <f t="shared" si="53"/>
        <v>2.5414070375808353</v>
      </c>
      <c r="Q877" s="1">
        <f t="shared" si="54"/>
        <v>3.0746468680728007</v>
      </c>
      <c r="R877" s="1">
        <f t="shared" si="56"/>
        <v>3.16319855835778</v>
      </c>
      <c r="S877" s="10">
        <f t="shared" si="55"/>
        <v>2.8080269528268178</v>
      </c>
      <c r="T877" s="45" cm="1">
        <f t="array" ref="T877">SUMPRODUCT(P877:S877 * P$3:S$3) / SUM(P$3:S$3)</f>
        <v>2.903687186792502</v>
      </c>
    </row>
    <row r="878" spans="1:20" ht="16.5" customHeight="1" x14ac:dyDescent="0.25">
      <c r="A878" s="5" t="s">
        <v>6858</v>
      </c>
      <c r="B878" s="20" t="s">
        <v>5761</v>
      </c>
      <c r="C878" s="4" t="s">
        <v>8797</v>
      </c>
      <c r="D878" s="4" t="s">
        <v>9022</v>
      </c>
      <c r="E878" s="12" t="s">
        <v>407</v>
      </c>
      <c r="F878" s="75" t="s">
        <v>6723</v>
      </c>
      <c r="G878" s="3">
        <v>32</v>
      </c>
      <c r="H878" s="3" t="s">
        <v>404</v>
      </c>
      <c r="I878" s="13" t="s">
        <v>6743</v>
      </c>
      <c r="J878" s="72">
        <v>1.4</v>
      </c>
      <c r="K878" s="14" t="s">
        <v>5196</v>
      </c>
      <c r="L878" s="9">
        <v>140.16999999999999</v>
      </c>
      <c r="M878" s="3">
        <v>166.55</v>
      </c>
      <c r="N878" s="17" t="s">
        <v>5762</v>
      </c>
      <c r="O878" s="18" t="s">
        <v>5760</v>
      </c>
      <c r="P878" s="49">
        <f t="shared" si="53"/>
        <v>2.5456727675278064</v>
      </c>
      <c r="Q878" s="1">
        <f t="shared" si="54"/>
        <v>3.075845341246763</v>
      </c>
      <c r="R878" s="1">
        <f t="shared" si="56"/>
        <v>3.1643970315317422</v>
      </c>
      <c r="S878" s="10">
        <f t="shared" si="55"/>
        <v>2.8107590543872849</v>
      </c>
      <c r="T878" s="45" cm="1">
        <f t="array" ref="T878">SUMPRODUCT(P878:S878 * P$3:S$3) / SUM(P$3:S$3)</f>
        <v>2.9059474026955829</v>
      </c>
    </row>
    <row r="879" spans="1:20" ht="16.5" customHeight="1" x14ac:dyDescent="0.25">
      <c r="A879" s="5" t="s">
        <v>6858</v>
      </c>
      <c r="B879" s="20" t="s">
        <v>5811</v>
      </c>
      <c r="C879" s="4" t="s">
        <v>8797</v>
      </c>
      <c r="D879" s="4" t="s">
        <v>9022</v>
      </c>
      <c r="E879" s="12" t="s">
        <v>407</v>
      </c>
      <c r="F879" s="75" t="s">
        <v>6723</v>
      </c>
      <c r="G879" s="3">
        <v>32</v>
      </c>
      <c r="H879" s="3" t="s">
        <v>404</v>
      </c>
      <c r="I879" s="13" t="s">
        <v>6739</v>
      </c>
      <c r="J879" s="72">
        <v>1.25</v>
      </c>
      <c r="K879" s="14" t="s">
        <v>5196</v>
      </c>
      <c r="L879" s="9">
        <v>103.4</v>
      </c>
      <c r="M879" s="3">
        <v>131.96</v>
      </c>
      <c r="N879" s="17" t="s">
        <v>5812</v>
      </c>
      <c r="O879" s="18" t="s">
        <v>5810</v>
      </c>
      <c r="P879" s="49">
        <f t="shared" si="53"/>
        <v>2.5304353053107183</v>
      </c>
      <c r="Q879" s="1">
        <f t="shared" si="54"/>
        <v>3.0711952789919588</v>
      </c>
      <c r="R879" s="1">
        <f t="shared" si="56"/>
        <v>3.1597469692769375</v>
      </c>
      <c r="S879" s="10">
        <f t="shared" si="55"/>
        <v>2.8008152921513383</v>
      </c>
      <c r="T879" s="45" cm="1">
        <f t="array" ref="T879">SUMPRODUCT(P879:S879 * P$3:S$3) / SUM(P$3:S$3)</f>
        <v>2.8976324712230648</v>
      </c>
    </row>
    <row r="880" spans="1:20" ht="16.5" customHeight="1" x14ac:dyDescent="0.25">
      <c r="A880" s="5" t="s">
        <v>6858</v>
      </c>
      <c r="B880" s="20" t="s">
        <v>5814</v>
      </c>
      <c r="C880" s="4" t="s">
        <v>8797</v>
      </c>
      <c r="D880" s="4" t="s">
        <v>9022</v>
      </c>
      <c r="E880" s="12" t="s">
        <v>407</v>
      </c>
      <c r="F880" s="75" t="s">
        <v>6723</v>
      </c>
      <c r="G880" s="3">
        <v>32</v>
      </c>
      <c r="H880" s="3" t="s">
        <v>404</v>
      </c>
      <c r="I880" s="13" t="s">
        <v>225</v>
      </c>
      <c r="J880" s="72">
        <v>1.35</v>
      </c>
      <c r="K880" s="14" t="s">
        <v>5196</v>
      </c>
      <c r="L880" s="9">
        <v>121.42</v>
      </c>
      <c r="M880" s="3">
        <v>147.69999999999999</v>
      </c>
      <c r="N880" s="17" t="s">
        <v>5815</v>
      </c>
      <c r="O880" s="18" t="s">
        <v>5813</v>
      </c>
      <c r="P880" s="49">
        <f t="shared" si="53"/>
        <v>2.5358939681754706</v>
      </c>
      <c r="Q880" s="1">
        <f t="shared" si="54"/>
        <v>3.0718903333701184</v>
      </c>
      <c r="R880" s="1">
        <f t="shared" si="56"/>
        <v>3.1604420236550972</v>
      </c>
      <c r="S880" s="10">
        <f t="shared" si="55"/>
        <v>2.8038921507727945</v>
      </c>
      <c r="T880" s="45" cm="1">
        <f t="array" ref="T880">SUMPRODUCT(P880:S880 * P$3:S$3) / SUM(P$3:S$3)</f>
        <v>2.8999764670004291</v>
      </c>
    </row>
    <row r="881" spans="1:20" ht="16.5" customHeight="1" x14ac:dyDescent="0.25">
      <c r="A881" s="5" t="s">
        <v>6858</v>
      </c>
      <c r="B881" s="20" t="s">
        <v>5817</v>
      </c>
      <c r="C881" s="4" t="s">
        <v>8797</v>
      </c>
      <c r="D881" s="4" t="s">
        <v>9022</v>
      </c>
      <c r="E881" s="12" t="s">
        <v>407</v>
      </c>
      <c r="F881" s="75" t="s">
        <v>6723</v>
      </c>
      <c r="G881" s="3">
        <v>32</v>
      </c>
      <c r="H881" s="3" t="s">
        <v>404</v>
      </c>
      <c r="I881" s="13" t="s">
        <v>6741</v>
      </c>
      <c r="J881" s="72">
        <v>1.35</v>
      </c>
      <c r="K881" s="14" t="s">
        <v>5196</v>
      </c>
      <c r="L881" s="9">
        <v>118.9</v>
      </c>
      <c r="M881" s="3">
        <v>149</v>
      </c>
      <c r="N881" s="17" t="s">
        <v>5818</v>
      </c>
      <c r="O881" s="18" t="s">
        <v>5816</v>
      </c>
      <c r="P881" s="49">
        <f t="shared" si="53"/>
        <v>2.5414070375808353</v>
      </c>
      <c r="Q881" s="1">
        <f t="shared" si="54"/>
        <v>3.0746468680728007</v>
      </c>
      <c r="R881" s="1">
        <f t="shared" si="56"/>
        <v>3.16319855835778</v>
      </c>
      <c r="S881" s="10">
        <f t="shared" si="55"/>
        <v>2.8080269528268178</v>
      </c>
      <c r="T881" s="45" cm="1">
        <f t="array" ref="T881">SUMPRODUCT(P881:S881 * P$3:S$3) / SUM(P$3:S$3)</f>
        <v>2.903687186792502</v>
      </c>
    </row>
    <row r="882" spans="1:20" ht="16.5" customHeight="1" x14ac:dyDescent="0.25">
      <c r="A882" s="5" t="s">
        <v>6858</v>
      </c>
      <c r="B882" s="20" t="s">
        <v>5820</v>
      </c>
      <c r="C882" s="4" t="s">
        <v>8797</v>
      </c>
      <c r="D882" s="4" t="s">
        <v>9022</v>
      </c>
      <c r="E882" s="12" t="s">
        <v>407</v>
      </c>
      <c r="F882" s="75" t="s">
        <v>6723</v>
      </c>
      <c r="G882" s="3">
        <v>32</v>
      </c>
      <c r="H882" s="3" t="s">
        <v>404</v>
      </c>
      <c r="I882" s="13" t="s">
        <v>6743</v>
      </c>
      <c r="J882" s="72">
        <v>1.4</v>
      </c>
      <c r="K882" s="14" t="s">
        <v>5196</v>
      </c>
      <c r="L882" s="9">
        <v>145.9</v>
      </c>
      <c r="M882" s="3">
        <v>189.02</v>
      </c>
      <c r="N882" s="17" t="s">
        <v>5821</v>
      </c>
      <c r="O882" s="18" t="s">
        <v>5819</v>
      </c>
      <c r="P882" s="49">
        <f t="shared" si="53"/>
        <v>2.5456727675278064</v>
      </c>
      <c r="Q882" s="1">
        <f t="shared" si="54"/>
        <v>3.075845341246763</v>
      </c>
      <c r="R882" s="1">
        <f t="shared" si="56"/>
        <v>3.1643970315317422</v>
      </c>
      <c r="S882" s="10">
        <f t="shared" si="55"/>
        <v>2.8107590543872849</v>
      </c>
      <c r="T882" s="45" cm="1">
        <f t="array" ref="T882">SUMPRODUCT(P882:S882 * P$3:S$3) / SUM(P$3:S$3)</f>
        <v>2.9059474026955829</v>
      </c>
    </row>
    <row r="883" spans="1:20" ht="16.5" customHeight="1" x14ac:dyDescent="0.25">
      <c r="A883" s="5" t="s">
        <v>6865</v>
      </c>
      <c r="B883" s="20" t="s">
        <v>5847</v>
      </c>
      <c r="C883" s="4" t="s">
        <v>8797</v>
      </c>
      <c r="D883" s="4" t="s">
        <v>9022</v>
      </c>
      <c r="E883" s="12" t="s">
        <v>407</v>
      </c>
      <c r="F883" s="75" t="s">
        <v>6723</v>
      </c>
      <c r="G883" s="3">
        <v>32</v>
      </c>
      <c r="H883" s="3" t="s">
        <v>404</v>
      </c>
      <c r="I883" s="13" t="s">
        <v>6739</v>
      </c>
      <c r="J883" s="72">
        <v>1.25</v>
      </c>
      <c r="K883" s="14" t="s">
        <v>5196</v>
      </c>
      <c r="L883" s="9">
        <v>105.43</v>
      </c>
      <c r="M883" s="3">
        <v>139</v>
      </c>
      <c r="N883" s="17" t="s">
        <v>5848</v>
      </c>
      <c r="O883" s="18" t="s">
        <v>5846</v>
      </c>
      <c r="P883" s="49">
        <f t="shared" si="53"/>
        <v>2.5304353053107183</v>
      </c>
      <c r="Q883" s="1">
        <f t="shared" si="54"/>
        <v>3.0711952789919588</v>
      </c>
      <c r="R883" s="1">
        <f t="shared" si="56"/>
        <v>3.1597469692769375</v>
      </c>
      <c r="S883" s="10">
        <f t="shared" si="55"/>
        <v>2.8008152921513383</v>
      </c>
      <c r="T883" s="45" cm="1">
        <f t="array" ref="T883">SUMPRODUCT(P883:S883 * P$3:S$3) / SUM(P$3:S$3)</f>
        <v>2.8976324712230648</v>
      </c>
    </row>
    <row r="884" spans="1:20" ht="16.5" customHeight="1" x14ac:dyDescent="0.25">
      <c r="A884" s="5" t="s">
        <v>6865</v>
      </c>
      <c r="B884" s="20" t="s">
        <v>5850</v>
      </c>
      <c r="C884" s="4" t="s">
        <v>8797</v>
      </c>
      <c r="D884" s="4" t="s">
        <v>9022</v>
      </c>
      <c r="E884" s="12" t="s">
        <v>407</v>
      </c>
      <c r="F884" s="75" t="s">
        <v>6723</v>
      </c>
      <c r="G884" s="3">
        <v>32</v>
      </c>
      <c r="H884" s="3" t="s">
        <v>404</v>
      </c>
      <c r="I884" s="13" t="s">
        <v>6739</v>
      </c>
      <c r="J884" s="72">
        <v>1.35</v>
      </c>
      <c r="K884" s="14" t="s">
        <v>5196</v>
      </c>
      <c r="L884" s="9">
        <v>107.9</v>
      </c>
      <c r="M884" s="3">
        <v>167.26</v>
      </c>
      <c r="N884" s="17" t="s">
        <v>5851</v>
      </c>
      <c r="O884" s="18" t="s">
        <v>5849</v>
      </c>
      <c r="P884" s="49">
        <f t="shared" si="53"/>
        <v>2.5263667512022856</v>
      </c>
      <c r="Q884" s="1">
        <f t="shared" si="54"/>
        <v>3.0671267248835257</v>
      </c>
      <c r="R884" s="1">
        <f t="shared" si="56"/>
        <v>3.1556784151685049</v>
      </c>
      <c r="S884" s="10">
        <f t="shared" si="55"/>
        <v>2.7967467380429056</v>
      </c>
      <c r="T884" s="45" cm="1">
        <f t="array" ref="T884">SUMPRODUCT(P884:S884 * P$3:S$3) / SUM(P$3:S$3)</f>
        <v>2.8935639171146317</v>
      </c>
    </row>
    <row r="885" spans="1:20" ht="16.5" customHeight="1" x14ac:dyDescent="0.25">
      <c r="A885" s="5" t="s">
        <v>6865</v>
      </c>
      <c r="B885" s="20" t="s">
        <v>5853</v>
      </c>
      <c r="C885" s="4" t="s">
        <v>8797</v>
      </c>
      <c r="D885" s="4" t="s">
        <v>9022</v>
      </c>
      <c r="E885" s="12" t="s">
        <v>407</v>
      </c>
      <c r="F885" s="75" t="s">
        <v>6723</v>
      </c>
      <c r="G885" s="3">
        <v>32</v>
      </c>
      <c r="H885" s="3" t="s">
        <v>404</v>
      </c>
      <c r="I885" s="13" t="s">
        <v>6741</v>
      </c>
      <c r="J885" s="72">
        <v>1.35</v>
      </c>
      <c r="K885" s="14" t="s">
        <v>5196</v>
      </c>
      <c r="L885" s="9">
        <v>122.02</v>
      </c>
      <c r="M885" s="3">
        <v>149.87</v>
      </c>
      <c r="N885" s="17" t="s">
        <v>5854</v>
      </c>
      <c r="O885" s="18" t="s">
        <v>5852</v>
      </c>
      <c r="P885" s="49">
        <f t="shared" si="53"/>
        <v>2.5414070375808353</v>
      </c>
      <c r="Q885" s="1">
        <f t="shared" si="54"/>
        <v>3.0746468680728007</v>
      </c>
      <c r="R885" s="1">
        <f t="shared" si="56"/>
        <v>3.16319855835778</v>
      </c>
      <c r="S885" s="10">
        <f t="shared" si="55"/>
        <v>2.8080269528268178</v>
      </c>
      <c r="T885" s="45" cm="1">
        <f t="array" ref="T885">SUMPRODUCT(P885:S885 * P$3:S$3) / SUM(P$3:S$3)</f>
        <v>2.903687186792502</v>
      </c>
    </row>
    <row r="886" spans="1:20" ht="16.5" customHeight="1" x14ac:dyDescent="0.25">
      <c r="A886" s="5" t="s">
        <v>6865</v>
      </c>
      <c r="B886" s="20" t="s">
        <v>5856</v>
      </c>
      <c r="C886" s="4" t="s">
        <v>8797</v>
      </c>
      <c r="D886" s="4" t="s">
        <v>9022</v>
      </c>
      <c r="E886" s="12" t="s">
        <v>407</v>
      </c>
      <c r="F886" s="75" t="s">
        <v>6723</v>
      </c>
      <c r="G886" s="3">
        <v>32</v>
      </c>
      <c r="H886" s="3" t="s">
        <v>404</v>
      </c>
      <c r="I886" s="13" t="s">
        <v>6743</v>
      </c>
      <c r="J886" s="72">
        <v>1.4</v>
      </c>
      <c r="K886" s="14" t="s">
        <v>5196</v>
      </c>
      <c r="L886" s="9">
        <v>149.9</v>
      </c>
      <c r="M886" s="3">
        <v>166.55</v>
      </c>
      <c r="N886" s="17" t="s">
        <v>5857</v>
      </c>
      <c r="O886" s="18" t="s">
        <v>5855</v>
      </c>
      <c r="P886" s="49">
        <f t="shared" si="53"/>
        <v>2.5456727675278064</v>
      </c>
      <c r="Q886" s="1">
        <f t="shared" si="54"/>
        <v>3.075845341246763</v>
      </c>
      <c r="R886" s="1">
        <f t="shared" si="56"/>
        <v>3.1643970315317422</v>
      </c>
      <c r="S886" s="10">
        <f t="shared" si="55"/>
        <v>2.8107590543872849</v>
      </c>
      <c r="T886" s="45" cm="1">
        <f t="array" ref="T886">SUMPRODUCT(P886:S886 * P$3:S$3) / SUM(P$3:S$3)</f>
        <v>2.9059474026955829</v>
      </c>
    </row>
    <row r="887" spans="1:20" ht="16.5" customHeight="1" x14ac:dyDescent="0.25">
      <c r="A887" s="5" t="s">
        <v>6865</v>
      </c>
      <c r="B887" s="20" t="s">
        <v>5874</v>
      </c>
      <c r="C887" s="4" t="s">
        <v>8797</v>
      </c>
      <c r="D887" s="4" t="s">
        <v>9022</v>
      </c>
      <c r="E887" s="12" t="s">
        <v>407</v>
      </c>
      <c r="F887" s="75" t="s">
        <v>6723</v>
      </c>
      <c r="G887" s="3">
        <v>32</v>
      </c>
      <c r="H887" s="3" t="s">
        <v>404</v>
      </c>
      <c r="I887" s="13" t="s">
        <v>6739</v>
      </c>
      <c r="J887" s="72">
        <v>1.25</v>
      </c>
      <c r="K887" s="14" t="s">
        <v>5196</v>
      </c>
      <c r="L887" s="9">
        <v>106.12</v>
      </c>
      <c r="M887" s="3">
        <v>166.25</v>
      </c>
      <c r="N887" s="17" t="s">
        <v>5875</v>
      </c>
      <c r="O887" s="18" t="s">
        <v>5873</v>
      </c>
      <c r="P887" s="49">
        <f t="shared" si="53"/>
        <v>2.5304353053107183</v>
      </c>
      <c r="Q887" s="1">
        <f t="shared" si="54"/>
        <v>3.0711952789919588</v>
      </c>
      <c r="R887" s="1">
        <f t="shared" si="56"/>
        <v>3.1597469692769375</v>
      </c>
      <c r="S887" s="10">
        <f t="shared" si="55"/>
        <v>2.8008152921513383</v>
      </c>
      <c r="T887" s="45" cm="1">
        <f t="array" ref="T887">SUMPRODUCT(P887:S887 * P$3:S$3) / SUM(P$3:S$3)</f>
        <v>2.8976324712230648</v>
      </c>
    </row>
    <row r="888" spans="1:20" ht="16.5" customHeight="1" x14ac:dyDescent="0.25">
      <c r="A888" s="5" t="s">
        <v>6865</v>
      </c>
      <c r="B888" s="20" t="s">
        <v>5877</v>
      </c>
      <c r="C888" s="4" t="s">
        <v>8797</v>
      </c>
      <c r="D888" s="4" t="s">
        <v>9022</v>
      </c>
      <c r="E888" s="12" t="s">
        <v>407</v>
      </c>
      <c r="F888" s="75" t="s">
        <v>6723</v>
      </c>
      <c r="G888" s="3">
        <v>32</v>
      </c>
      <c r="H888" s="3" t="s">
        <v>404</v>
      </c>
      <c r="I888" s="13" t="s">
        <v>6739</v>
      </c>
      <c r="J888" s="72">
        <v>1.35</v>
      </c>
      <c r="K888" s="14" t="s">
        <v>5196</v>
      </c>
      <c r="L888" s="9">
        <v>107.9</v>
      </c>
      <c r="M888" s="3">
        <v>126.1</v>
      </c>
      <c r="N888" s="17" t="s">
        <v>5878</v>
      </c>
      <c r="O888" s="18" t="s">
        <v>5876</v>
      </c>
      <c r="P888" s="49">
        <f t="shared" si="53"/>
        <v>2.5263667512022856</v>
      </c>
      <c r="Q888" s="1">
        <f t="shared" si="54"/>
        <v>3.0671267248835257</v>
      </c>
      <c r="R888" s="1">
        <f t="shared" si="56"/>
        <v>3.1556784151685049</v>
      </c>
      <c r="S888" s="10">
        <f t="shared" si="55"/>
        <v>2.7967467380429056</v>
      </c>
      <c r="T888" s="45" cm="1">
        <f t="array" ref="T888">SUMPRODUCT(P888:S888 * P$3:S$3) / SUM(P$3:S$3)</f>
        <v>2.8935639171146317</v>
      </c>
    </row>
    <row r="889" spans="1:20" ht="16.5" customHeight="1" x14ac:dyDescent="0.25">
      <c r="A889" s="5" t="s">
        <v>6865</v>
      </c>
      <c r="B889" s="20" t="s">
        <v>5880</v>
      </c>
      <c r="C889" s="4" t="s">
        <v>8797</v>
      </c>
      <c r="D889" s="4" t="s">
        <v>9022</v>
      </c>
      <c r="E889" s="12" t="s">
        <v>407</v>
      </c>
      <c r="F889" s="75" t="s">
        <v>6723</v>
      </c>
      <c r="G889" s="3">
        <v>32</v>
      </c>
      <c r="H889" s="3" t="s">
        <v>404</v>
      </c>
      <c r="I889" s="13" t="s">
        <v>6741</v>
      </c>
      <c r="J889" s="72">
        <v>1.35</v>
      </c>
      <c r="K889" s="14" t="s">
        <v>5196</v>
      </c>
      <c r="L889" s="9">
        <v>121.4</v>
      </c>
      <c r="M889" s="3">
        <v>149.87</v>
      </c>
      <c r="N889" s="17" t="s">
        <v>5881</v>
      </c>
      <c r="O889" s="18" t="s">
        <v>5879</v>
      </c>
      <c r="P889" s="49">
        <f t="shared" si="53"/>
        <v>2.5414070375808353</v>
      </c>
      <c r="Q889" s="1">
        <f t="shared" si="54"/>
        <v>3.0746468680728007</v>
      </c>
      <c r="R889" s="1">
        <f t="shared" si="56"/>
        <v>3.16319855835778</v>
      </c>
      <c r="S889" s="10">
        <f t="shared" si="55"/>
        <v>2.8080269528268178</v>
      </c>
      <c r="T889" s="45" cm="1">
        <f t="array" ref="T889">SUMPRODUCT(P889:S889 * P$3:S$3) / SUM(P$3:S$3)</f>
        <v>2.903687186792502</v>
      </c>
    </row>
    <row r="890" spans="1:20" ht="16.5" customHeight="1" x14ac:dyDescent="0.25">
      <c r="A890" s="5" t="s">
        <v>6865</v>
      </c>
      <c r="B890" s="20" t="s">
        <v>5883</v>
      </c>
      <c r="C890" s="4" t="s">
        <v>8797</v>
      </c>
      <c r="D890" s="4" t="s">
        <v>9022</v>
      </c>
      <c r="E890" s="12" t="s">
        <v>407</v>
      </c>
      <c r="F890" s="75" t="s">
        <v>6723</v>
      </c>
      <c r="G890" s="3">
        <v>32</v>
      </c>
      <c r="H890" s="3" t="s">
        <v>404</v>
      </c>
      <c r="I890" s="13" t="s">
        <v>6743</v>
      </c>
      <c r="J890" s="72">
        <v>1.4</v>
      </c>
      <c r="K890" s="14" t="s">
        <v>5196</v>
      </c>
      <c r="L890" s="9">
        <v>142.25</v>
      </c>
      <c r="M890" s="3">
        <v>161.80000000000001</v>
      </c>
      <c r="N890" s="17" t="s">
        <v>5884</v>
      </c>
      <c r="O890" s="18" t="s">
        <v>5882</v>
      </c>
      <c r="P890" s="49">
        <f t="shared" si="53"/>
        <v>2.5456727675278064</v>
      </c>
      <c r="Q890" s="1">
        <f t="shared" si="54"/>
        <v>3.075845341246763</v>
      </c>
      <c r="R890" s="1">
        <f t="shared" si="56"/>
        <v>3.1643970315317422</v>
      </c>
      <c r="S890" s="10">
        <f t="shared" si="55"/>
        <v>2.8107590543872849</v>
      </c>
      <c r="T890" s="45" cm="1">
        <f t="array" ref="T890">SUMPRODUCT(P890:S890 * P$3:S$3) / SUM(P$3:S$3)</f>
        <v>2.9059474026955829</v>
      </c>
    </row>
    <row r="891" spans="1:20" ht="16.5" customHeight="1" x14ac:dyDescent="0.25">
      <c r="A891" s="5" t="s">
        <v>6837</v>
      </c>
      <c r="B891" s="20" t="s">
        <v>5596</v>
      </c>
      <c r="C891" s="4" t="s">
        <v>8797</v>
      </c>
      <c r="D891" s="4" t="s">
        <v>9022</v>
      </c>
      <c r="E891" s="12" t="s">
        <v>407</v>
      </c>
      <c r="F891" s="75" t="s">
        <v>6723</v>
      </c>
      <c r="G891" s="3">
        <v>32</v>
      </c>
      <c r="H891" s="3" t="s">
        <v>404</v>
      </c>
      <c r="I891" s="13" t="s">
        <v>6739</v>
      </c>
      <c r="J891" s="72">
        <v>1.25</v>
      </c>
      <c r="L891" s="9">
        <v>96.2</v>
      </c>
      <c r="M891" s="3">
        <v>129.86000000000001</v>
      </c>
      <c r="N891" s="17" t="s">
        <v>5597</v>
      </c>
      <c r="O891" s="18" t="s">
        <v>5595</v>
      </c>
      <c r="P891" s="49">
        <f t="shared" si="53"/>
        <v>2.5304353053107183</v>
      </c>
      <c r="Q891" s="1">
        <f t="shared" si="54"/>
        <v>3.0711952789919588</v>
      </c>
      <c r="R891" s="1">
        <f t="shared" si="56"/>
        <v>3.1597469692769375</v>
      </c>
      <c r="S891" s="10">
        <f t="shared" si="55"/>
        <v>2.8008152921513383</v>
      </c>
      <c r="T891" s="45" cm="1">
        <f t="array" ref="T891">SUMPRODUCT(P891:S891 * P$3:S$3) / SUM(P$3:S$3)</f>
        <v>2.8976324712230648</v>
      </c>
    </row>
    <row r="892" spans="1:20" ht="16.5" customHeight="1" x14ac:dyDescent="0.25">
      <c r="A892" s="5" t="s">
        <v>6837</v>
      </c>
      <c r="B892" s="20" t="s">
        <v>5598</v>
      </c>
      <c r="C892" s="4" t="s">
        <v>8797</v>
      </c>
      <c r="D892" s="4" t="s">
        <v>9022</v>
      </c>
      <c r="E892" s="12" t="s">
        <v>407</v>
      </c>
      <c r="F892" s="75" t="s">
        <v>6723</v>
      </c>
      <c r="G892" s="3">
        <v>32</v>
      </c>
      <c r="H892" s="3" t="s">
        <v>404</v>
      </c>
      <c r="I892" s="13" t="s">
        <v>6739</v>
      </c>
      <c r="J892" s="72">
        <v>1.35</v>
      </c>
      <c r="L892" s="9">
        <v>116</v>
      </c>
      <c r="M892" s="3">
        <v>143.31</v>
      </c>
      <c r="N892" s="17" t="s">
        <v>5599</v>
      </c>
      <c r="O892" s="18" t="s">
        <v>5595</v>
      </c>
      <c r="P892" s="49">
        <f t="shared" si="53"/>
        <v>2.5263667512022856</v>
      </c>
      <c r="Q892" s="1">
        <f t="shared" si="54"/>
        <v>3.0671267248835257</v>
      </c>
      <c r="R892" s="1">
        <f t="shared" si="56"/>
        <v>3.1556784151685049</v>
      </c>
      <c r="S892" s="10">
        <f t="shared" si="55"/>
        <v>2.7967467380429056</v>
      </c>
      <c r="T892" s="45" cm="1">
        <f t="array" ref="T892">SUMPRODUCT(P892:S892 * P$3:S$3) / SUM(P$3:S$3)</f>
        <v>2.8935639171146317</v>
      </c>
    </row>
    <row r="893" spans="1:20" ht="16.5" customHeight="1" x14ac:dyDescent="0.25">
      <c r="A893" s="5" t="s">
        <v>6837</v>
      </c>
      <c r="B893" s="20" t="s">
        <v>5601</v>
      </c>
      <c r="C893" s="4" t="s">
        <v>8797</v>
      </c>
      <c r="D893" s="4" t="s">
        <v>9022</v>
      </c>
      <c r="E893" s="12" t="s">
        <v>407</v>
      </c>
      <c r="F893" s="75" t="s">
        <v>6723</v>
      </c>
      <c r="G893" s="3">
        <v>32</v>
      </c>
      <c r="H893" s="3" t="s">
        <v>404</v>
      </c>
      <c r="I893" s="13" t="s">
        <v>225</v>
      </c>
      <c r="J893" s="72">
        <v>1.35</v>
      </c>
      <c r="L893" s="9">
        <v>112.4</v>
      </c>
      <c r="M893" s="3">
        <v>146.54</v>
      </c>
      <c r="N893" s="17" t="s">
        <v>5602</v>
      </c>
      <c r="O893" s="18" t="s">
        <v>5600</v>
      </c>
      <c r="P893" s="49">
        <f t="shared" si="53"/>
        <v>2.5358939681754706</v>
      </c>
      <c r="Q893" s="1">
        <f t="shared" si="54"/>
        <v>3.0718903333701184</v>
      </c>
      <c r="R893" s="1">
        <f t="shared" si="56"/>
        <v>3.1604420236550972</v>
      </c>
      <c r="S893" s="10">
        <f t="shared" si="55"/>
        <v>2.8038921507727945</v>
      </c>
      <c r="T893" s="45" cm="1">
        <f t="array" ref="T893">SUMPRODUCT(P893:S893 * P$3:S$3) / SUM(P$3:S$3)</f>
        <v>2.8999764670004291</v>
      </c>
    </row>
    <row r="894" spans="1:20" ht="16.5" customHeight="1" x14ac:dyDescent="0.25">
      <c r="A894" s="5" t="s">
        <v>6837</v>
      </c>
      <c r="B894" s="20" t="s">
        <v>5604</v>
      </c>
      <c r="C894" s="4" t="s">
        <v>8797</v>
      </c>
      <c r="D894" s="4" t="s">
        <v>9022</v>
      </c>
      <c r="E894" s="12" t="s">
        <v>407</v>
      </c>
      <c r="F894" s="75" t="s">
        <v>6723</v>
      </c>
      <c r="G894" s="3">
        <v>32</v>
      </c>
      <c r="H894" s="3" t="s">
        <v>404</v>
      </c>
      <c r="I894" s="13" t="s">
        <v>6741</v>
      </c>
      <c r="J894" s="72">
        <v>1.35</v>
      </c>
      <c r="L894" s="9">
        <v>107.92</v>
      </c>
      <c r="M894" s="3">
        <v>171</v>
      </c>
      <c r="N894" s="17" t="s">
        <v>5605</v>
      </c>
      <c r="O894" s="18" t="s">
        <v>5603</v>
      </c>
      <c r="P894" s="49">
        <f t="shared" si="53"/>
        <v>2.5414070375808353</v>
      </c>
      <c r="Q894" s="1">
        <f t="shared" si="54"/>
        <v>3.0746468680728007</v>
      </c>
      <c r="R894" s="1">
        <f t="shared" si="56"/>
        <v>3.16319855835778</v>
      </c>
      <c r="S894" s="10">
        <f t="shared" si="55"/>
        <v>2.8080269528268178</v>
      </c>
      <c r="T894" s="45" cm="1">
        <f t="array" ref="T894">SUMPRODUCT(P894:S894 * P$3:S$3) / SUM(P$3:S$3)</f>
        <v>2.903687186792502</v>
      </c>
    </row>
    <row r="895" spans="1:20" ht="16.5" customHeight="1" x14ac:dyDescent="0.25">
      <c r="A895" s="5" t="s">
        <v>6837</v>
      </c>
      <c r="B895" s="20" t="s">
        <v>5607</v>
      </c>
      <c r="C895" s="4" t="s">
        <v>8797</v>
      </c>
      <c r="D895" s="4" t="s">
        <v>9022</v>
      </c>
      <c r="E895" s="12" t="s">
        <v>407</v>
      </c>
      <c r="F895" s="75" t="s">
        <v>6723</v>
      </c>
      <c r="G895" s="3">
        <v>32</v>
      </c>
      <c r="H895" s="3" t="s">
        <v>404</v>
      </c>
      <c r="I895" s="13" t="s">
        <v>6743</v>
      </c>
      <c r="J895" s="72">
        <v>1.4</v>
      </c>
      <c r="L895" s="9">
        <v>129.08000000000001</v>
      </c>
      <c r="M895" s="3">
        <v>155.22</v>
      </c>
      <c r="N895" s="17" t="s">
        <v>5608</v>
      </c>
      <c r="O895" s="18" t="s">
        <v>5606</v>
      </c>
      <c r="P895" s="49">
        <f t="shared" si="53"/>
        <v>2.5456727675278064</v>
      </c>
      <c r="Q895" s="1">
        <f t="shared" si="54"/>
        <v>3.075845341246763</v>
      </c>
      <c r="R895" s="1">
        <f t="shared" si="56"/>
        <v>3.1643970315317422</v>
      </c>
      <c r="S895" s="10">
        <f t="shared" si="55"/>
        <v>2.8107590543872849</v>
      </c>
      <c r="T895" s="45" cm="1">
        <f t="array" ref="T895">SUMPRODUCT(P895:S895 * P$3:S$3) / SUM(P$3:S$3)</f>
        <v>2.9059474026955829</v>
      </c>
    </row>
    <row r="896" spans="1:20" ht="16.5" customHeight="1" x14ac:dyDescent="0.25">
      <c r="A896" s="5" t="s">
        <v>6837</v>
      </c>
      <c r="B896" s="20" t="s">
        <v>5681</v>
      </c>
      <c r="C896" s="4" t="s">
        <v>8797</v>
      </c>
      <c r="D896" s="4" t="s">
        <v>9022</v>
      </c>
      <c r="E896" s="12" t="s">
        <v>407</v>
      </c>
      <c r="F896" s="75" t="s">
        <v>6723</v>
      </c>
      <c r="G896" s="3">
        <v>32</v>
      </c>
      <c r="H896" s="3" t="s">
        <v>404</v>
      </c>
      <c r="I896" s="13" t="s">
        <v>6740</v>
      </c>
      <c r="J896" s="72">
        <v>1.35</v>
      </c>
      <c r="L896" s="9">
        <v>92.69</v>
      </c>
      <c r="M896" s="3">
        <v>134.19999999999999</v>
      </c>
      <c r="N896" s="17" t="s">
        <v>5682</v>
      </c>
      <c r="O896" s="18" t="s">
        <v>5680</v>
      </c>
      <c r="P896" s="49">
        <f t="shared" si="53"/>
        <v>2.5183965343165773</v>
      </c>
      <c r="Q896" s="1">
        <f t="shared" si="54"/>
        <v>3.0631416164406717</v>
      </c>
      <c r="R896" s="1">
        <f t="shared" si="56"/>
        <v>3.151693306725651</v>
      </c>
      <c r="S896" s="10">
        <f t="shared" si="55"/>
        <v>2.7907690753786243</v>
      </c>
      <c r="T896" s="45" cm="1">
        <f t="array" ref="T896">SUMPRODUCT(P896:S896 * P$3:S$3) / SUM(P$3:S$3)</f>
        <v>2.8881993480569434</v>
      </c>
    </row>
    <row r="897" spans="1:20" ht="16.5" customHeight="1" x14ac:dyDescent="0.25">
      <c r="A897" s="5" t="s">
        <v>6837</v>
      </c>
      <c r="B897" s="20" t="s">
        <v>5684</v>
      </c>
      <c r="C897" s="4" t="s">
        <v>8797</v>
      </c>
      <c r="D897" s="4" t="s">
        <v>9022</v>
      </c>
      <c r="E897" s="12" t="s">
        <v>407</v>
      </c>
      <c r="F897" s="75" t="s">
        <v>6723</v>
      </c>
      <c r="G897" s="3">
        <v>32</v>
      </c>
      <c r="H897" s="3" t="s">
        <v>404</v>
      </c>
      <c r="I897" s="13" t="s">
        <v>6739</v>
      </c>
      <c r="J897" s="72">
        <v>1.35</v>
      </c>
      <c r="L897" s="9">
        <v>116</v>
      </c>
      <c r="M897" s="3">
        <v>152.13999999999999</v>
      </c>
      <c r="N897" s="17" t="s">
        <v>5685</v>
      </c>
      <c r="O897" s="18" t="s">
        <v>5683</v>
      </c>
      <c r="P897" s="49">
        <f t="shared" si="53"/>
        <v>2.5263667512022856</v>
      </c>
      <c r="Q897" s="1">
        <f t="shared" si="54"/>
        <v>3.0671267248835257</v>
      </c>
      <c r="R897" s="1">
        <f t="shared" si="56"/>
        <v>3.1556784151685049</v>
      </c>
      <c r="S897" s="10">
        <f t="shared" si="55"/>
        <v>2.7967467380429056</v>
      </c>
      <c r="T897" s="45" cm="1">
        <f t="array" ref="T897">SUMPRODUCT(P897:S897 * P$3:S$3) / SUM(P$3:S$3)</f>
        <v>2.8935639171146317</v>
      </c>
    </row>
    <row r="898" spans="1:20" ht="16.5" customHeight="1" x14ac:dyDescent="0.25">
      <c r="A898" s="5" t="s">
        <v>6837</v>
      </c>
      <c r="B898" s="20" t="s">
        <v>5687</v>
      </c>
      <c r="C898" s="4" t="s">
        <v>8797</v>
      </c>
      <c r="D898" s="4" t="s">
        <v>9022</v>
      </c>
      <c r="E898" s="12" t="s">
        <v>407</v>
      </c>
      <c r="F898" s="75" t="s">
        <v>6723</v>
      </c>
      <c r="G898" s="3">
        <v>32</v>
      </c>
      <c r="H898" s="3" t="s">
        <v>404</v>
      </c>
      <c r="I898" s="13" t="s">
        <v>6739</v>
      </c>
      <c r="J898" s="72">
        <v>1.35</v>
      </c>
      <c r="L898" s="9">
        <v>95.9</v>
      </c>
      <c r="M898" s="3">
        <v>155.66999999999999</v>
      </c>
      <c r="N898" s="17" t="s">
        <v>5688</v>
      </c>
      <c r="O898" s="18" t="s">
        <v>5686</v>
      </c>
      <c r="P898" s="49">
        <f t="shared" si="53"/>
        <v>2.5263667512022856</v>
      </c>
      <c r="Q898" s="1">
        <f t="shared" si="54"/>
        <v>3.0671267248835257</v>
      </c>
      <c r="R898" s="1">
        <f t="shared" si="56"/>
        <v>3.1556784151685049</v>
      </c>
      <c r="S898" s="10">
        <f t="shared" si="55"/>
        <v>2.7967467380429056</v>
      </c>
      <c r="T898" s="45" cm="1">
        <f t="array" ref="T898">SUMPRODUCT(P898:S898 * P$3:S$3) / SUM(P$3:S$3)</f>
        <v>2.8935639171146317</v>
      </c>
    </row>
    <row r="899" spans="1:20" ht="16.5" customHeight="1" x14ac:dyDescent="0.25">
      <c r="A899" s="5" t="s">
        <v>6837</v>
      </c>
      <c r="B899" s="20" t="s">
        <v>5690</v>
      </c>
      <c r="C899" s="4" t="s">
        <v>8797</v>
      </c>
      <c r="D899" s="4" t="s">
        <v>9022</v>
      </c>
      <c r="E899" s="12" t="s">
        <v>407</v>
      </c>
      <c r="F899" s="75" t="s">
        <v>6723</v>
      </c>
      <c r="G899" s="3">
        <v>32</v>
      </c>
      <c r="H899" s="3" t="s">
        <v>404</v>
      </c>
      <c r="I899" s="13" t="s">
        <v>225</v>
      </c>
      <c r="J899" s="72">
        <v>1.35</v>
      </c>
      <c r="L899" s="9">
        <v>106.67</v>
      </c>
      <c r="M899" s="3">
        <v>168</v>
      </c>
      <c r="N899" s="17" t="s">
        <v>5691</v>
      </c>
      <c r="O899" s="18" t="s">
        <v>5689</v>
      </c>
      <c r="P899" s="49">
        <f t="shared" si="53"/>
        <v>2.5358939681754706</v>
      </c>
      <c r="Q899" s="1">
        <f t="shared" si="54"/>
        <v>3.0718903333701184</v>
      </c>
      <c r="R899" s="1">
        <f t="shared" si="56"/>
        <v>3.1604420236550972</v>
      </c>
      <c r="S899" s="10">
        <f t="shared" si="55"/>
        <v>2.8038921507727945</v>
      </c>
      <c r="T899" s="45" cm="1">
        <f t="array" ref="T899">SUMPRODUCT(P899:S899 * P$3:S$3) / SUM(P$3:S$3)</f>
        <v>2.8999764670004291</v>
      </c>
    </row>
    <row r="900" spans="1:20" ht="16.5" customHeight="1" x14ac:dyDescent="0.25">
      <c r="A900" s="5" t="s">
        <v>6837</v>
      </c>
      <c r="B900" s="20" t="s">
        <v>5693</v>
      </c>
      <c r="C900" s="4" t="s">
        <v>8797</v>
      </c>
      <c r="D900" s="4" t="s">
        <v>9022</v>
      </c>
      <c r="E900" s="12" t="s">
        <v>407</v>
      </c>
      <c r="F900" s="75" t="s">
        <v>6723</v>
      </c>
      <c r="G900" s="3">
        <v>32</v>
      </c>
      <c r="H900" s="3" t="s">
        <v>404</v>
      </c>
      <c r="I900" s="13" t="s">
        <v>6741</v>
      </c>
      <c r="J900" s="72">
        <v>1.35</v>
      </c>
      <c r="L900" s="9">
        <v>105.92</v>
      </c>
      <c r="M900" s="3">
        <v>168</v>
      </c>
      <c r="N900" s="17" t="s">
        <v>5694</v>
      </c>
      <c r="O900" s="18" t="s">
        <v>5692</v>
      </c>
      <c r="P900" s="49">
        <f t="shared" si="53"/>
        <v>2.5414070375808353</v>
      </c>
      <c r="Q900" s="1">
        <f t="shared" si="54"/>
        <v>3.0746468680728007</v>
      </c>
      <c r="R900" s="1">
        <f t="shared" si="56"/>
        <v>3.16319855835778</v>
      </c>
      <c r="S900" s="10">
        <f t="shared" si="55"/>
        <v>2.8080269528268178</v>
      </c>
      <c r="T900" s="45" cm="1">
        <f t="array" ref="T900">SUMPRODUCT(P900:S900 * P$3:S$3) / SUM(P$3:S$3)</f>
        <v>2.903687186792502</v>
      </c>
    </row>
    <row r="901" spans="1:20" ht="16.5" customHeight="1" x14ac:dyDescent="0.25">
      <c r="A901" s="5" t="s">
        <v>6837</v>
      </c>
      <c r="B901" s="20" t="s">
        <v>5696</v>
      </c>
      <c r="C901" s="4" t="s">
        <v>8797</v>
      </c>
      <c r="D901" s="4" t="s">
        <v>9022</v>
      </c>
      <c r="E901" s="12" t="s">
        <v>407</v>
      </c>
      <c r="F901" s="75" t="s">
        <v>6723</v>
      </c>
      <c r="G901" s="3">
        <v>32</v>
      </c>
      <c r="H901" s="3" t="s">
        <v>404</v>
      </c>
      <c r="I901" s="13" t="s">
        <v>6743</v>
      </c>
      <c r="J901" s="72">
        <v>1.4</v>
      </c>
      <c r="L901" s="9">
        <v>137.9</v>
      </c>
      <c r="M901" s="3">
        <v>167.4</v>
      </c>
      <c r="N901" s="17" t="s">
        <v>5697</v>
      </c>
      <c r="O901" s="18" t="s">
        <v>5695</v>
      </c>
      <c r="P901" s="49">
        <f t="shared" si="53"/>
        <v>2.5456727675278064</v>
      </c>
      <c r="Q901" s="1">
        <f t="shared" si="54"/>
        <v>3.075845341246763</v>
      </c>
      <c r="R901" s="1">
        <f t="shared" si="56"/>
        <v>3.1643970315317422</v>
      </c>
      <c r="S901" s="10">
        <f t="shared" si="55"/>
        <v>2.8107590543872849</v>
      </c>
      <c r="T901" s="45" cm="1">
        <f t="array" ref="T901">SUMPRODUCT(P901:S901 * P$3:S$3) / SUM(P$3:S$3)</f>
        <v>2.9059474026955829</v>
      </c>
    </row>
    <row r="902" spans="1:20" ht="16.5" customHeight="1" x14ac:dyDescent="0.25">
      <c r="A902" s="5" t="s">
        <v>6807</v>
      </c>
      <c r="B902" s="20" t="s">
        <v>5162</v>
      </c>
      <c r="C902" s="4" t="s">
        <v>8797</v>
      </c>
      <c r="D902" s="4" t="s">
        <v>9022</v>
      </c>
      <c r="E902" s="12" t="s">
        <v>407</v>
      </c>
      <c r="F902" s="75" t="s">
        <v>6723</v>
      </c>
      <c r="G902" s="3">
        <v>32</v>
      </c>
      <c r="H902" s="3" t="s">
        <v>404</v>
      </c>
      <c r="I902" s="13" t="s">
        <v>6740</v>
      </c>
      <c r="J902" s="72">
        <v>1.35</v>
      </c>
      <c r="L902" s="9">
        <v>102.9</v>
      </c>
      <c r="M902" s="3">
        <v>153.05000000000001</v>
      </c>
      <c r="N902" s="17" t="s">
        <v>5163</v>
      </c>
      <c r="O902" s="18" t="s">
        <v>5161</v>
      </c>
      <c r="P902" s="49">
        <f t="shared" si="53"/>
        <v>2.5183965343165773</v>
      </c>
      <c r="Q902" s="1">
        <f t="shared" si="54"/>
        <v>3.0631416164406717</v>
      </c>
      <c r="R902" s="1">
        <f t="shared" si="56"/>
        <v>3.151693306725651</v>
      </c>
      <c r="S902" s="10">
        <f t="shared" si="55"/>
        <v>2.7907690753786243</v>
      </c>
      <c r="T902" s="45" cm="1">
        <f t="array" ref="T902">SUMPRODUCT(P902:S902 * P$3:S$3) / SUM(P$3:S$3)</f>
        <v>2.8881993480569434</v>
      </c>
    </row>
    <row r="903" spans="1:20" ht="16.5" customHeight="1" x14ac:dyDescent="0.25">
      <c r="A903" s="5" t="s">
        <v>6807</v>
      </c>
      <c r="B903" s="20" t="s">
        <v>5165</v>
      </c>
      <c r="C903" s="4" t="s">
        <v>8797</v>
      </c>
      <c r="D903" s="4" t="s">
        <v>9022</v>
      </c>
      <c r="E903" s="12" t="s">
        <v>407</v>
      </c>
      <c r="F903" s="75" t="s">
        <v>6723</v>
      </c>
      <c r="G903" s="3">
        <v>32</v>
      </c>
      <c r="H903" s="3" t="s">
        <v>404</v>
      </c>
      <c r="I903" s="13" t="s">
        <v>6741</v>
      </c>
      <c r="J903" s="72">
        <v>1.35</v>
      </c>
      <c r="L903" s="9">
        <v>101.89</v>
      </c>
      <c r="M903" s="3">
        <v>176.92</v>
      </c>
      <c r="N903" s="17" t="s">
        <v>5166</v>
      </c>
      <c r="O903" s="18" t="s">
        <v>5164</v>
      </c>
      <c r="P903" s="49">
        <f t="shared" si="53"/>
        <v>2.5414070375808353</v>
      </c>
      <c r="Q903" s="1">
        <f t="shared" si="54"/>
        <v>3.0746468680728007</v>
      </c>
      <c r="R903" s="1">
        <f t="shared" si="56"/>
        <v>3.16319855835778</v>
      </c>
      <c r="S903" s="10">
        <f t="shared" si="55"/>
        <v>2.8080269528268178</v>
      </c>
      <c r="T903" s="45" cm="1">
        <f t="array" ref="T903">SUMPRODUCT(P903:S903 * P$3:S$3) / SUM(P$3:S$3)</f>
        <v>2.903687186792502</v>
      </c>
    </row>
    <row r="904" spans="1:20" ht="16.5" customHeight="1" x14ac:dyDescent="0.25">
      <c r="A904" s="5" t="s">
        <v>6807</v>
      </c>
      <c r="B904" s="20" t="s">
        <v>5186</v>
      </c>
      <c r="C904" s="4" t="s">
        <v>8797</v>
      </c>
      <c r="D904" s="4" t="s">
        <v>9022</v>
      </c>
      <c r="E904" s="12" t="s">
        <v>407</v>
      </c>
      <c r="F904" s="75" t="s">
        <v>6723</v>
      </c>
      <c r="G904" s="3">
        <v>32</v>
      </c>
      <c r="H904" s="3" t="s">
        <v>404</v>
      </c>
      <c r="I904" s="13" t="s">
        <v>6740</v>
      </c>
      <c r="J904" s="72">
        <v>1.35</v>
      </c>
      <c r="L904" s="9">
        <v>100.9</v>
      </c>
      <c r="M904" s="3">
        <v>205.61</v>
      </c>
      <c r="N904" s="17" t="s">
        <v>5187</v>
      </c>
      <c r="O904" s="18" t="s">
        <v>5185</v>
      </c>
      <c r="P904" s="49">
        <f t="shared" si="53"/>
        <v>2.5183965343165773</v>
      </c>
      <c r="Q904" s="1">
        <f t="shared" si="54"/>
        <v>3.0631416164406717</v>
      </c>
      <c r="R904" s="1">
        <f t="shared" si="56"/>
        <v>3.151693306725651</v>
      </c>
      <c r="S904" s="10">
        <f t="shared" si="55"/>
        <v>2.7907690753786243</v>
      </c>
      <c r="T904" s="45" cm="1">
        <f t="array" ref="T904">SUMPRODUCT(P904:S904 * P$3:S$3) / SUM(P$3:S$3)</f>
        <v>2.8881993480569434</v>
      </c>
    </row>
    <row r="905" spans="1:20" ht="16.5" customHeight="1" x14ac:dyDescent="0.25">
      <c r="A905" s="5" t="s">
        <v>6807</v>
      </c>
      <c r="B905" s="20" t="s">
        <v>5189</v>
      </c>
      <c r="C905" s="4" t="s">
        <v>8797</v>
      </c>
      <c r="D905" s="4" t="s">
        <v>9022</v>
      </c>
      <c r="E905" s="12" t="s">
        <v>407</v>
      </c>
      <c r="F905" s="75" t="s">
        <v>6723</v>
      </c>
      <c r="G905" s="3">
        <v>32</v>
      </c>
      <c r="H905" s="3" t="s">
        <v>404</v>
      </c>
      <c r="I905" s="13" t="s">
        <v>6739</v>
      </c>
      <c r="J905" s="72">
        <v>1.35</v>
      </c>
      <c r="L905" s="9">
        <v>102.9</v>
      </c>
      <c r="M905" s="3">
        <v>203</v>
      </c>
      <c r="N905" s="17" t="s">
        <v>5190</v>
      </c>
      <c r="O905" s="18" t="s">
        <v>5188</v>
      </c>
      <c r="P905" s="49">
        <f t="shared" si="53"/>
        <v>2.5263667512022856</v>
      </c>
      <c r="Q905" s="1">
        <f t="shared" si="54"/>
        <v>3.0671267248835257</v>
      </c>
      <c r="R905" s="1">
        <f t="shared" si="56"/>
        <v>3.1556784151685049</v>
      </c>
      <c r="S905" s="10">
        <f t="shared" si="55"/>
        <v>2.7967467380429056</v>
      </c>
      <c r="T905" s="45" cm="1">
        <f t="array" ref="T905">SUMPRODUCT(P905:S905 * P$3:S$3) / SUM(P$3:S$3)</f>
        <v>2.8935639171146317</v>
      </c>
    </row>
    <row r="906" spans="1:20" ht="16.5" customHeight="1" x14ac:dyDescent="0.25">
      <c r="A906" s="5" t="s">
        <v>6807</v>
      </c>
      <c r="B906" s="20" t="s">
        <v>5192</v>
      </c>
      <c r="C906" s="4" t="s">
        <v>8797</v>
      </c>
      <c r="D906" s="4" t="s">
        <v>9022</v>
      </c>
      <c r="E906" s="12" t="s">
        <v>407</v>
      </c>
      <c r="F906" s="75" t="s">
        <v>6723</v>
      </c>
      <c r="G906" s="3">
        <v>32</v>
      </c>
      <c r="H906" s="3" t="s">
        <v>404</v>
      </c>
      <c r="I906" s="13" t="s">
        <v>6741</v>
      </c>
      <c r="J906" s="72">
        <v>1.35</v>
      </c>
      <c r="L906" s="9">
        <v>123.19</v>
      </c>
      <c r="M906" s="3">
        <v>167.65</v>
      </c>
      <c r="N906" s="17" t="s">
        <v>5193</v>
      </c>
      <c r="O906" s="18" t="s">
        <v>5191</v>
      </c>
      <c r="P906" s="49">
        <f t="shared" ref="P906:P969" si="57">(((F906/F$9)^F$7 * F$2 + (I906/I$9)^I$7 * I$2 + (J906/J$9)^J$7 * J$2) * (1+M$3*(MIN(H906,M$2)-1)+M$4*(H906-MIN(H906,M$2))) + (G906/G$9)^G$7 * G$2)  * P$9</f>
        <v>2.5414070375808353</v>
      </c>
      <c r="Q906" s="1">
        <f t="shared" ref="Q906:Q969" si="58">(((F906/F$9)^F$7 * F$3 + (I906/I$9)^I$7 * I$3 + (J906/J$9)^J$7 * J$3) * (1+M$3*(MIN(H906,M$2)-1)+M$4*(H906-MIN(H906,M$2))) + (G906/G$9)^G$7 * G$3)  * P$9</f>
        <v>3.0746468680728007</v>
      </c>
      <c r="R906" s="1">
        <f t="shared" si="56"/>
        <v>3.16319855835778</v>
      </c>
      <c r="S906" s="10">
        <f t="shared" ref="S906:S969" si="59">(((F906/F$9)^F$7 * F$5 + (I906/I$9)^I$7 * I$5 + (J906/J$9)^J$7 * J$5) * (1+M$3*(MIN(H906,M$2)-1)+M$4*(H906-MIN(H906,M$2))) + (G906/G$9)^G$7 * G$5)  * P$9</f>
        <v>2.8080269528268178</v>
      </c>
      <c r="T906" s="45" cm="1">
        <f t="array" ref="T906">SUMPRODUCT(P906:S906 * P$3:S$3) / SUM(P$3:S$3)</f>
        <v>2.903687186792502</v>
      </c>
    </row>
    <row r="907" spans="1:20" ht="16.5" customHeight="1" x14ac:dyDescent="0.25">
      <c r="A907" s="5" t="s">
        <v>6807</v>
      </c>
      <c r="B907" s="20" t="s">
        <v>5232</v>
      </c>
      <c r="C907" s="4" t="s">
        <v>8797</v>
      </c>
      <c r="D907" s="4" t="s">
        <v>9022</v>
      </c>
      <c r="E907" s="12" t="s">
        <v>407</v>
      </c>
      <c r="F907" s="75" t="s">
        <v>6723</v>
      </c>
      <c r="G907" s="3">
        <v>32</v>
      </c>
      <c r="H907" s="3" t="s">
        <v>404</v>
      </c>
      <c r="I907" s="13" t="s">
        <v>6743</v>
      </c>
      <c r="J907" s="72">
        <v>1.4</v>
      </c>
      <c r="K907" s="14" t="s">
        <v>5196</v>
      </c>
      <c r="L907" s="9">
        <v>164.9</v>
      </c>
      <c r="M907" s="3">
        <v>191.18</v>
      </c>
      <c r="N907" s="17" t="s">
        <v>5233</v>
      </c>
      <c r="O907" s="18" t="s">
        <v>5231</v>
      </c>
      <c r="P907" s="49">
        <f t="shared" si="57"/>
        <v>2.5456727675278064</v>
      </c>
      <c r="Q907" s="1">
        <f t="shared" si="58"/>
        <v>3.075845341246763</v>
      </c>
      <c r="R907" s="1">
        <f t="shared" si="56"/>
        <v>3.1643970315317422</v>
      </c>
      <c r="S907" s="10">
        <f t="shared" si="59"/>
        <v>2.8107590543872849</v>
      </c>
      <c r="T907" s="45" cm="1">
        <f t="array" ref="T907">SUMPRODUCT(P907:S907 * P$3:S$3) / SUM(P$3:S$3)</f>
        <v>2.9059474026955829</v>
      </c>
    </row>
    <row r="908" spans="1:20" ht="16.5" customHeight="1" x14ac:dyDescent="0.25">
      <c r="A908" s="5" t="s">
        <v>6807</v>
      </c>
      <c r="B908" s="20" t="s">
        <v>5241</v>
      </c>
      <c r="C908" s="4" t="s">
        <v>8797</v>
      </c>
      <c r="D908" s="4" t="s">
        <v>9022</v>
      </c>
      <c r="E908" s="12" t="s">
        <v>407</v>
      </c>
      <c r="F908" s="75" t="s">
        <v>6723</v>
      </c>
      <c r="G908" s="3">
        <v>32</v>
      </c>
      <c r="H908" s="3" t="s">
        <v>404</v>
      </c>
      <c r="I908" s="13" t="s">
        <v>6743</v>
      </c>
      <c r="J908" s="72">
        <v>1.4</v>
      </c>
      <c r="K908" s="14" t="s">
        <v>5196</v>
      </c>
      <c r="L908" s="9">
        <v>181.32</v>
      </c>
      <c r="M908" s="3">
        <v>219.99</v>
      </c>
      <c r="N908" s="17" t="s">
        <v>5242</v>
      </c>
      <c r="O908" s="18" t="s">
        <v>5240</v>
      </c>
      <c r="P908" s="49">
        <f t="shared" si="57"/>
        <v>2.5456727675278064</v>
      </c>
      <c r="Q908" s="1">
        <f t="shared" si="58"/>
        <v>3.075845341246763</v>
      </c>
      <c r="R908" s="1">
        <f t="shared" si="56"/>
        <v>3.1643970315317422</v>
      </c>
      <c r="S908" s="10">
        <f t="shared" si="59"/>
        <v>2.8107590543872849</v>
      </c>
      <c r="T908" s="45" cm="1">
        <f t="array" ref="T908">SUMPRODUCT(P908:S908 * P$3:S$3) / SUM(P$3:S$3)</f>
        <v>2.9059474026955829</v>
      </c>
    </row>
    <row r="909" spans="1:20" ht="16.5" customHeight="1" x14ac:dyDescent="0.25">
      <c r="A909" s="5" t="s">
        <v>6807</v>
      </c>
      <c r="B909" s="20" t="s">
        <v>5274</v>
      </c>
      <c r="C909" s="4" t="s">
        <v>8797</v>
      </c>
      <c r="D909" s="4" t="s">
        <v>9022</v>
      </c>
      <c r="E909" s="12" t="s">
        <v>407</v>
      </c>
      <c r="F909" s="75" t="s">
        <v>6723</v>
      </c>
      <c r="G909" s="3">
        <v>32</v>
      </c>
      <c r="H909" s="3" t="s">
        <v>404</v>
      </c>
      <c r="I909" s="13" t="s">
        <v>225</v>
      </c>
      <c r="J909" s="72">
        <v>1.35</v>
      </c>
      <c r="K909" s="14" t="s">
        <v>5196</v>
      </c>
      <c r="L909" s="9">
        <v>125.9</v>
      </c>
      <c r="M909" s="3">
        <v>245.99</v>
      </c>
      <c r="N909" s="17" t="s">
        <v>5275</v>
      </c>
      <c r="O909" s="18" t="s">
        <v>5273</v>
      </c>
      <c r="P909" s="49">
        <f t="shared" si="57"/>
        <v>2.5358939681754706</v>
      </c>
      <c r="Q909" s="1">
        <f t="shared" si="58"/>
        <v>3.0718903333701184</v>
      </c>
      <c r="R909" s="1">
        <f t="shared" si="56"/>
        <v>3.1604420236550972</v>
      </c>
      <c r="S909" s="10">
        <f t="shared" si="59"/>
        <v>2.8038921507727945</v>
      </c>
      <c r="T909" s="45" cm="1">
        <f t="array" ref="T909">SUMPRODUCT(P909:S909 * P$3:S$3) / SUM(P$3:S$3)</f>
        <v>2.8999764670004291</v>
      </c>
    </row>
    <row r="910" spans="1:20" ht="16.5" customHeight="1" x14ac:dyDescent="0.25">
      <c r="A910" s="5" t="s">
        <v>6807</v>
      </c>
      <c r="B910" s="20" t="s">
        <v>5277</v>
      </c>
      <c r="C910" s="4" t="s">
        <v>8797</v>
      </c>
      <c r="D910" s="4" t="s">
        <v>9022</v>
      </c>
      <c r="E910" s="12" t="s">
        <v>407</v>
      </c>
      <c r="F910" s="75" t="s">
        <v>6723</v>
      </c>
      <c r="G910" s="3">
        <v>32</v>
      </c>
      <c r="H910" s="3" t="s">
        <v>404</v>
      </c>
      <c r="I910" s="13" t="s">
        <v>6743</v>
      </c>
      <c r="J910" s="72">
        <v>1.4</v>
      </c>
      <c r="K910" s="14" t="s">
        <v>5196</v>
      </c>
      <c r="L910" s="9">
        <v>146.13999999999999</v>
      </c>
      <c r="M910" s="3">
        <v>166.55</v>
      </c>
      <c r="N910" s="17" t="s">
        <v>5278</v>
      </c>
      <c r="O910" s="18" t="s">
        <v>5276</v>
      </c>
      <c r="P910" s="49">
        <f t="shared" si="57"/>
        <v>2.5456727675278064</v>
      </c>
      <c r="Q910" s="1">
        <f t="shared" si="58"/>
        <v>3.075845341246763</v>
      </c>
      <c r="R910" s="1">
        <f t="shared" si="56"/>
        <v>3.1643970315317422</v>
      </c>
      <c r="S910" s="10">
        <f t="shared" si="59"/>
        <v>2.8107590543872849</v>
      </c>
      <c r="T910" s="45" cm="1">
        <f t="array" ref="T910">SUMPRODUCT(P910:S910 * P$3:S$3) / SUM(P$3:S$3)</f>
        <v>2.9059474026955829</v>
      </c>
    </row>
    <row r="911" spans="1:20" ht="16.5" customHeight="1" x14ac:dyDescent="0.25">
      <c r="A911" s="5" t="s">
        <v>6807</v>
      </c>
      <c r="B911" s="20" t="s">
        <v>5316</v>
      </c>
      <c r="C911" s="4" t="s">
        <v>8797</v>
      </c>
      <c r="D911" s="4" t="s">
        <v>9022</v>
      </c>
      <c r="E911" s="12" t="s">
        <v>407</v>
      </c>
      <c r="F911" s="75" t="s">
        <v>6723</v>
      </c>
      <c r="G911" s="3">
        <v>32</v>
      </c>
      <c r="H911" s="3" t="s">
        <v>404</v>
      </c>
      <c r="I911" s="13" t="s">
        <v>6740</v>
      </c>
      <c r="J911" s="72">
        <v>1.35</v>
      </c>
      <c r="K911" s="14" t="s">
        <v>5196</v>
      </c>
      <c r="L911" s="9">
        <v>100.9</v>
      </c>
      <c r="M911" s="3">
        <v>182</v>
      </c>
      <c r="N911" s="17" t="s">
        <v>5317</v>
      </c>
      <c r="O911" s="18" t="s">
        <v>5315</v>
      </c>
      <c r="P911" s="49">
        <f t="shared" si="57"/>
        <v>2.5183965343165773</v>
      </c>
      <c r="Q911" s="1">
        <f t="shared" si="58"/>
        <v>3.0631416164406717</v>
      </c>
      <c r="R911" s="1">
        <f t="shared" si="56"/>
        <v>3.151693306725651</v>
      </c>
      <c r="S911" s="10">
        <f t="shared" si="59"/>
        <v>2.7907690753786243</v>
      </c>
      <c r="T911" s="45" cm="1">
        <f t="array" ref="T911">SUMPRODUCT(P911:S911 * P$3:S$3) / SUM(P$3:S$3)</f>
        <v>2.8881993480569434</v>
      </c>
    </row>
    <row r="912" spans="1:20" ht="16.5" customHeight="1" x14ac:dyDescent="0.25">
      <c r="A912" s="5" t="s">
        <v>6807</v>
      </c>
      <c r="B912" s="20" t="s">
        <v>5319</v>
      </c>
      <c r="C912" s="4" t="s">
        <v>8797</v>
      </c>
      <c r="D912" s="4" t="s">
        <v>9022</v>
      </c>
      <c r="E912" s="12" t="s">
        <v>407</v>
      </c>
      <c r="F912" s="75" t="s">
        <v>6723</v>
      </c>
      <c r="G912" s="3">
        <v>32</v>
      </c>
      <c r="H912" s="3" t="s">
        <v>404</v>
      </c>
      <c r="I912" s="13" t="s">
        <v>6739</v>
      </c>
      <c r="J912" s="72">
        <v>1.35</v>
      </c>
      <c r="K912" s="14" t="s">
        <v>5196</v>
      </c>
      <c r="L912" s="9">
        <v>105.48</v>
      </c>
      <c r="M912" s="3">
        <v>208.43</v>
      </c>
      <c r="N912" s="17" t="s">
        <v>5320</v>
      </c>
      <c r="O912" s="18" t="s">
        <v>5318</v>
      </c>
      <c r="P912" s="49">
        <f t="shared" si="57"/>
        <v>2.5263667512022856</v>
      </c>
      <c r="Q912" s="1">
        <f t="shared" si="58"/>
        <v>3.0671267248835257</v>
      </c>
      <c r="R912" s="1">
        <f t="shared" ref="R912:R975" si="60">(((F912/F$9)^F$7 * F$4 + (I912/I$9)^I$7 * I$4 + (J912/J$9)^J$7 * J$4) * (1+M$3*(MIN(H912,M$2)-1)+M$4*(H912-MIN(H912,M$2))) + (G912/G$9)^G$7 * G$4)  * P$9</f>
        <v>3.1556784151685049</v>
      </c>
      <c r="S912" s="10">
        <f t="shared" si="59"/>
        <v>2.7967467380429056</v>
      </c>
      <c r="T912" s="45" cm="1">
        <f t="array" ref="T912">SUMPRODUCT(P912:S912 * P$3:S$3) / SUM(P$3:S$3)</f>
        <v>2.8935639171146317</v>
      </c>
    </row>
    <row r="913" spans="1:20" ht="16.5" customHeight="1" x14ac:dyDescent="0.25">
      <c r="A913" s="5" t="s">
        <v>6807</v>
      </c>
      <c r="B913" s="20" t="s">
        <v>5322</v>
      </c>
      <c r="C913" s="4" t="s">
        <v>8797</v>
      </c>
      <c r="D913" s="4" t="s">
        <v>9022</v>
      </c>
      <c r="E913" s="12" t="s">
        <v>407</v>
      </c>
      <c r="F913" s="75" t="s">
        <v>6723</v>
      </c>
      <c r="G913" s="3">
        <v>32</v>
      </c>
      <c r="H913" s="3" t="s">
        <v>404</v>
      </c>
      <c r="I913" s="13" t="s">
        <v>225</v>
      </c>
      <c r="J913" s="72">
        <v>1.35</v>
      </c>
      <c r="K913" s="14" t="s">
        <v>5196</v>
      </c>
      <c r="L913" s="9">
        <v>123.9</v>
      </c>
      <c r="M913" s="3">
        <v>448.36</v>
      </c>
      <c r="N913" s="17" t="s">
        <v>5323</v>
      </c>
      <c r="O913" s="18" t="s">
        <v>5321</v>
      </c>
      <c r="P913" s="49">
        <f t="shared" si="57"/>
        <v>2.5358939681754706</v>
      </c>
      <c r="Q913" s="1">
        <f t="shared" si="58"/>
        <v>3.0718903333701184</v>
      </c>
      <c r="R913" s="1">
        <f t="shared" si="60"/>
        <v>3.1604420236550972</v>
      </c>
      <c r="S913" s="10">
        <f t="shared" si="59"/>
        <v>2.8038921507727945</v>
      </c>
      <c r="T913" s="45" cm="1">
        <f t="array" ref="T913">SUMPRODUCT(P913:S913 * P$3:S$3) / SUM(P$3:S$3)</f>
        <v>2.8999764670004291</v>
      </c>
    </row>
    <row r="914" spans="1:20" ht="16.5" customHeight="1" x14ac:dyDescent="0.25">
      <c r="A914" s="5" t="s">
        <v>6807</v>
      </c>
      <c r="B914" s="20" t="s">
        <v>5325</v>
      </c>
      <c r="C914" s="4" t="s">
        <v>8797</v>
      </c>
      <c r="D914" s="4" t="s">
        <v>9022</v>
      </c>
      <c r="E914" s="12" t="s">
        <v>407</v>
      </c>
      <c r="F914" s="75" t="s">
        <v>6723</v>
      </c>
      <c r="G914" s="3">
        <v>32</v>
      </c>
      <c r="H914" s="3" t="s">
        <v>404</v>
      </c>
      <c r="I914" s="13" t="s">
        <v>6741</v>
      </c>
      <c r="J914" s="72">
        <v>1.35</v>
      </c>
      <c r="K914" s="14" t="s">
        <v>5196</v>
      </c>
      <c r="L914" s="9">
        <v>122.81</v>
      </c>
      <c r="M914" s="3">
        <v>268.39999999999998</v>
      </c>
      <c r="N914" s="17" t="s">
        <v>5326</v>
      </c>
      <c r="O914" s="18" t="s">
        <v>5324</v>
      </c>
      <c r="P914" s="49">
        <f t="shared" si="57"/>
        <v>2.5414070375808353</v>
      </c>
      <c r="Q914" s="1">
        <f t="shared" si="58"/>
        <v>3.0746468680728007</v>
      </c>
      <c r="R914" s="1">
        <f t="shared" si="60"/>
        <v>3.16319855835778</v>
      </c>
      <c r="S914" s="10">
        <f t="shared" si="59"/>
        <v>2.8080269528268178</v>
      </c>
      <c r="T914" s="45" cm="1">
        <f t="array" ref="T914">SUMPRODUCT(P914:S914 * P$3:S$3) / SUM(P$3:S$3)</f>
        <v>2.903687186792502</v>
      </c>
    </row>
    <row r="915" spans="1:20" ht="16.5" customHeight="1" x14ac:dyDescent="0.25">
      <c r="A915" s="5" t="s">
        <v>6807</v>
      </c>
      <c r="B915" s="20" t="s">
        <v>5421</v>
      </c>
      <c r="C915" s="4" t="s">
        <v>8797</v>
      </c>
      <c r="D915" s="4" t="s">
        <v>9022</v>
      </c>
      <c r="E915" s="12" t="s">
        <v>407</v>
      </c>
      <c r="F915" s="75" t="s">
        <v>6723</v>
      </c>
      <c r="G915" s="3">
        <v>32</v>
      </c>
      <c r="H915" s="3" t="s">
        <v>404</v>
      </c>
      <c r="I915" s="13" t="s">
        <v>6740</v>
      </c>
      <c r="J915" s="72">
        <v>1.35</v>
      </c>
      <c r="K915" s="14" t="s">
        <v>5196</v>
      </c>
      <c r="L915" s="9">
        <v>102.9</v>
      </c>
      <c r="M915" s="3">
        <v>156.63999999999999</v>
      </c>
      <c r="N915" s="17" t="s">
        <v>5422</v>
      </c>
      <c r="O915" s="18" t="s">
        <v>5420</v>
      </c>
      <c r="P915" s="49">
        <f t="shared" si="57"/>
        <v>2.5183965343165773</v>
      </c>
      <c r="Q915" s="1">
        <f t="shared" si="58"/>
        <v>3.0631416164406717</v>
      </c>
      <c r="R915" s="1">
        <f t="shared" si="60"/>
        <v>3.151693306725651</v>
      </c>
      <c r="S915" s="10">
        <f t="shared" si="59"/>
        <v>2.7907690753786243</v>
      </c>
      <c r="T915" s="45" cm="1">
        <f t="array" ref="T915">SUMPRODUCT(P915:S915 * P$3:S$3) / SUM(P$3:S$3)</f>
        <v>2.8881993480569434</v>
      </c>
    </row>
    <row r="916" spans="1:20" ht="16.5" customHeight="1" x14ac:dyDescent="0.25">
      <c r="A916" s="5" t="s">
        <v>6807</v>
      </c>
      <c r="B916" s="20" t="s">
        <v>5424</v>
      </c>
      <c r="C916" s="4" t="s">
        <v>8797</v>
      </c>
      <c r="D916" s="4" t="s">
        <v>9022</v>
      </c>
      <c r="E916" s="12" t="s">
        <v>407</v>
      </c>
      <c r="F916" s="75" t="s">
        <v>6723</v>
      </c>
      <c r="G916" s="3">
        <v>32</v>
      </c>
      <c r="H916" s="3" t="s">
        <v>404</v>
      </c>
      <c r="I916" s="13" t="s">
        <v>6739</v>
      </c>
      <c r="J916" s="72">
        <v>1.35</v>
      </c>
      <c r="K916" s="14" t="s">
        <v>5196</v>
      </c>
      <c r="L916" s="9">
        <v>108.9</v>
      </c>
      <c r="M916" s="3">
        <v>176</v>
      </c>
      <c r="N916" s="17" t="s">
        <v>5425</v>
      </c>
      <c r="O916" s="18" t="s">
        <v>5423</v>
      </c>
      <c r="P916" s="49">
        <f t="shared" si="57"/>
        <v>2.5263667512022856</v>
      </c>
      <c r="Q916" s="1">
        <f t="shared" si="58"/>
        <v>3.0671267248835257</v>
      </c>
      <c r="R916" s="1">
        <f t="shared" si="60"/>
        <v>3.1556784151685049</v>
      </c>
      <c r="S916" s="10">
        <f t="shared" si="59"/>
        <v>2.7967467380429056</v>
      </c>
      <c r="T916" s="45" cm="1">
        <f t="array" ref="T916">SUMPRODUCT(P916:S916 * P$3:S$3) / SUM(P$3:S$3)</f>
        <v>2.8935639171146317</v>
      </c>
    </row>
    <row r="917" spans="1:20" ht="16.5" customHeight="1" x14ac:dyDescent="0.25">
      <c r="A917" s="5" t="s">
        <v>6807</v>
      </c>
      <c r="B917" s="20" t="s">
        <v>5427</v>
      </c>
      <c r="C917" s="4" t="s">
        <v>8797</v>
      </c>
      <c r="D917" s="4" t="s">
        <v>9022</v>
      </c>
      <c r="E917" s="12" t="s">
        <v>407</v>
      </c>
      <c r="F917" s="75" t="s">
        <v>6723</v>
      </c>
      <c r="G917" s="3">
        <v>32</v>
      </c>
      <c r="H917" s="3" t="s">
        <v>404</v>
      </c>
      <c r="I917" s="13" t="s">
        <v>225</v>
      </c>
      <c r="J917" s="72">
        <v>1.35</v>
      </c>
      <c r="K917" s="14" t="s">
        <v>5196</v>
      </c>
      <c r="L917" s="9">
        <v>123.27</v>
      </c>
      <c r="M917" s="3">
        <v>245.99</v>
      </c>
      <c r="N917" s="17" t="s">
        <v>5428</v>
      </c>
      <c r="O917" s="18" t="s">
        <v>5426</v>
      </c>
      <c r="P917" s="49">
        <f t="shared" si="57"/>
        <v>2.5358939681754706</v>
      </c>
      <c r="Q917" s="1">
        <f t="shared" si="58"/>
        <v>3.0718903333701184</v>
      </c>
      <c r="R917" s="1">
        <f t="shared" si="60"/>
        <v>3.1604420236550972</v>
      </c>
      <c r="S917" s="10">
        <f t="shared" si="59"/>
        <v>2.8038921507727945</v>
      </c>
      <c r="T917" s="45" cm="1">
        <f t="array" ref="T917">SUMPRODUCT(P917:S917 * P$3:S$3) / SUM(P$3:S$3)</f>
        <v>2.8999764670004291</v>
      </c>
    </row>
    <row r="918" spans="1:20" ht="16.5" customHeight="1" x14ac:dyDescent="0.25">
      <c r="A918" s="5" t="s">
        <v>6807</v>
      </c>
      <c r="B918" s="20" t="s">
        <v>5430</v>
      </c>
      <c r="C918" s="4" t="s">
        <v>8797</v>
      </c>
      <c r="D918" s="4" t="s">
        <v>9022</v>
      </c>
      <c r="E918" s="12" t="s">
        <v>407</v>
      </c>
      <c r="F918" s="75" t="s">
        <v>6723</v>
      </c>
      <c r="G918" s="3">
        <v>32</v>
      </c>
      <c r="H918" s="3" t="s">
        <v>404</v>
      </c>
      <c r="I918" s="13" t="s">
        <v>6741</v>
      </c>
      <c r="J918" s="72">
        <v>1.35</v>
      </c>
      <c r="K918" s="14" t="s">
        <v>5196</v>
      </c>
      <c r="L918" s="9">
        <v>124.45</v>
      </c>
      <c r="M918" s="3">
        <v>240</v>
      </c>
      <c r="N918" s="17" t="s">
        <v>5431</v>
      </c>
      <c r="O918" s="18" t="s">
        <v>5429</v>
      </c>
      <c r="P918" s="49">
        <f t="shared" si="57"/>
        <v>2.5414070375808353</v>
      </c>
      <c r="Q918" s="1">
        <f t="shared" si="58"/>
        <v>3.0746468680728007</v>
      </c>
      <c r="R918" s="1">
        <f t="shared" si="60"/>
        <v>3.16319855835778</v>
      </c>
      <c r="S918" s="10">
        <f t="shared" si="59"/>
        <v>2.8080269528268178</v>
      </c>
      <c r="T918" s="45" cm="1">
        <f t="array" ref="T918">SUMPRODUCT(P918:S918 * P$3:S$3) / SUM(P$3:S$3)</f>
        <v>2.903687186792502</v>
      </c>
    </row>
    <row r="919" spans="1:20" ht="16.5" customHeight="1" x14ac:dyDescent="0.25">
      <c r="A919" s="5" t="s">
        <v>6807</v>
      </c>
      <c r="B919" s="20" t="s">
        <v>5433</v>
      </c>
      <c r="C919" s="4" t="s">
        <v>8797</v>
      </c>
      <c r="D919" s="4" t="s">
        <v>9022</v>
      </c>
      <c r="E919" s="12" t="s">
        <v>407</v>
      </c>
      <c r="F919" s="75" t="s">
        <v>6723</v>
      </c>
      <c r="G919" s="3">
        <v>32</v>
      </c>
      <c r="H919" s="3" t="s">
        <v>404</v>
      </c>
      <c r="I919" s="13" t="s">
        <v>6741</v>
      </c>
      <c r="J919" s="72">
        <v>1.35</v>
      </c>
      <c r="K919" s="14" t="s">
        <v>5196</v>
      </c>
      <c r="L919" s="9">
        <v>126.84</v>
      </c>
      <c r="M919" s="3">
        <v>183.56</v>
      </c>
      <c r="N919" s="17" t="s">
        <v>5434</v>
      </c>
      <c r="O919" s="18" t="s">
        <v>5432</v>
      </c>
      <c r="P919" s="49">
        <f t="shared" si="57"/>
        <v>2.5414070375808353</v>
      </c>
      <c r="Q919" s="1">
        <f t="shared" si="58"/>
        <v>3.0746468680728007</v>
      </c>
      <c r="R919" s="1">
        <f t="shared" si="60"/>
        <v>3.16319855835778</v>
      </c>
      <c r="S919" s="10">
        <f t="shared" si="59"/>
        <v>2.8080269528268178</v>
      </c>
      <c r="T919" s="45" cm="1">
        <f t="array" ref="T919">SUMPRODUCT(P919:S919 * P$3:S$3) / SUM(P$3:S$3)</f>
        <v>2.903687186792502</v>
      </c>
    </row>
    <row r="920" spans="1:20" ht="16.5" customHeight="1" x14ac:dyDescent="0.25">
      <c r="A920" s="5" t="s">
        <v>6807</v>
      </c>
      <c r="B920" s="20" t="s">
        <v>5436</v>
      </c>
      <c r="C920" s="4" t="s">
        <v>8797</v>
      </c>
      <c r="D920" s="4" t="s">
        <v>9022</v>
      </c>
      <c r="E920" s="12" t="s">
        <v>407</v>
      </c>
      <c r="F920" s="75" t="s">
        <v>6723</v>
      </c>
      <c r="G920" s="3">
        <v>32</v>
      </c>
      <c r="H920" s="3" t="s">
        <v>404</v>
      </c>
      <c r="I920" s="13" t="s">
        <v>6743</v>
      </c>
      <c r="J920" s="72">
        <v>1.4</v>
      </c>
      <c r="K920" s="14" t="s">
        <v>5196</v>
      </c>
      <c r="L920" s="9">
        <v>151.9</v>
      </c>
      <c r="M920" s="3">
        <v>196.23</v>
      </c>
      <c r="N920" s="17" t="s">
        <v>5437</v>
      </c>
      <c r="O920" s="18" t="s">
        <v>5435</v>
      </c>
      <c r="P920" s="49">
        <f t="shared" si="57"/>
        <v>2.5456727675278064</v>
      </c>
      <c r="Q920" s="1">
        <f t="shared" si="58"/>
        <v>3.075845341246763</v>
      </c>
      <c r="R920" s="1">
        <f t="shared" si="60"/>
        <v>3.1643970315317422</v>
      </c>
      <c r="S920" s="10">
        <f t="shared" si="59"/>
        <v>2.8107590543872849</v>
      </c>
      <c r="T920" s="45" cm="1">
        <f t="array" ref="T920">SUMPRODUCT(P920:S920 * P$3:S$3) / SUM(P$3:S$3)</f>
        <v>2.9059474026955829</v>
      </c>
    </row>
    <row r="921" spans="1:20" ht="16.5" customHeight="1" x14ac:dyDescent="0.25">
      <c r="A921" s="5" t="s">
        <v>6807</v>
      </c>
      <c r="B921" s="20" t="s">
        <v>5460</v>
      </c>
      <c r="C921" s="4" t="s">
        <v>8797</v>
      </c>
      <c r="D921" s="4" t="s">
        <v>9022</v>
      </c>
      <c r="E921" s="12" t="s">
        <v>407</v>
      </c>
      <c r="F921" s="75" t="s">
        <v>6723</v>
      </c>
      <c r="G921" s="3">
        <v>32</v>
      </c>
      <c r="H921" s="3" t="s">
        <v>404</v>
      </c>
      <c r="I921" s="13" t="s">
        <v>6739</v>
      </c>
      <c r="J921" s="72">
        <v>1.35</v>
      </c>
      <c r="L921" s="9">
        <v>106.93</v>
      </c>
      <c r="M921" s="3">
        <v>158.37</v>
      </c>
      <c r="N921" s="17" t="s">
        <v>5461</v>
      </c>
      <c r="O921" s="18" t="s">
        <v>5459</v>
      </c>
      <c r="P921" s="49">
        <f t="shared" si="57"/>
        <v>2.5263667512022856</v>
      </c>
      <c r="Q921" s="1">
        <f t="shared" si="58"/>
        <v>3.0671267248835257</v>
      </c>
      <c r="R921" s="1">
        <f t="shared" si="60"/>
        <v>3.1556784151685049</v>
      </c>
      <c r="S921" s="10">
        <f t="shared" si="59"/>
        <v>2.7967467380429056</v>
      </c>
      <c r="T921" s="45" cm="1">
        <f t="array" ref="T921">SUMPRODUCT(P921:S921 * P$3:S$3) / SUM(P$3:S$3)</f>
        <v>2.8935639171146317</v>
      </c>
    </row>
    <row r="922" spans="1:20" ht="16.5" customHeight="1" x14ac:dyDescent="0.25">
      <c r="A922" s="5" t="s">
        <v>6807</v>
      </c>
      <c r="B922" s="20" t="s">
        <v>5463</v>
      </c>
      <c r="C922" s="4" t="s">
        <v>8797</v>
      </c>
      <c r="D922" s="4" t="s">
        <v>9022</v>
      </c>
      <c r="E922" s="12" t="s">
        <v>407</v>
      </c>
      <c r="F922" s="75" t="s">
        <v>6723</v>
      </c>
      <c r="G922" s="3">
        <v>32</v>
      </c>
      <c r="H922" s="3" t="s">
        <v>404</v>
      </c>
      <c r="I922" s="13" t="s">
        <v>225</v>
      </c>
      <c r="J922" s="72">
        <v>1.35</v>
      </c>
      <c r="L922" s="9">
        <v>123.41</v>
      </c>
      <c r="M922" s="3">
        <v>174.5</v>
      </c>
      <c r="N922" s="17" t="s">
        <v>5464</v>
      </c>
      <c r="O922" s="18" t="s">
        <v>5462</v>
      </c>
      <c r="P922" s="49">
        <f t="shared" si="57"/>
        <v>2.5358939681754706</v>
      </c>
      <c r="Q922" s="1">
        <f t="shared" si="58"/>
        <v>3.0718903333701184</v>
      </c>
      <c r="R922" s="1">
        <f t="shared" si="60"/>
        <v>3.1604420236550972</v>
      </c>
      <c r="S922" s="10">
        <f t="shared" si="59"/>
        <v>2.8038921507727945</v>
      </c>
      <c r="T922" s="45" cm="1">
        <f t="array" ref="T922">SUMPRODUCT(P922:S922 * P$3:S$3) / SUM(P$3:S$3)</f>
        <v>2.8999764670004291</v>
      </c>
    </row>
    <row r="923" spans="1:20" ht="16.5" customHeight="1" x14ac:dyDescent="0.25">
      <c r="A923" s="5" t="s">
        <v>6807</v>
      </c>
      <c r="B923" s="20" t="s">
        <v>5466</v>
      </c>
      <c r="C923" s="4" t="s">
        <v>8797</v>
      </c>
      <c r="D923" s="4" t="s">
        <v>9022</v>
      </c>
      <c r="E923" s="12" t="s">
        <v>407</v>
      </c>
      <c r="F923" s="75" t="s">
        <v>6723</v>
      </c>
      <c r="G923" s="3">
        <v>32</v>
      </c>
      <c r="H923" s="3" t="s">
        <v>404</v>
      </c>
      <c r="I923" s="13" t="s">
        <v>6741</v>
      </c>
      <c r="J923" s="72">
        <v>1.35</v>
      </c>
      <c r="L923" s="9">
        <v>119.36</v>
      </c>
      <c r="M923" s="3">
        <v>179.95</v>
      </c>
      <c r="N923" s="17" t="s">
        <v>5467</v>
      </c>
      <c r="O923" s="18" t="s">
        <v>5465</v>
      </c>
      <c r="P923" s="49">
        <f t="shared" si="57"/>
        <v>2.5414070375808353</v>
      </c>
      <c r="Q923" s="1">
        <f t="shared" si="58"/>
        <v>3.0746468680728007</v>
      </c>
      <c r="R923" s="1">
        <f t="shared" si="60"/>
        <v>3.16319855835778</v>
      </c>
      <c r="S923" s="10">
        <f t="shared" si="59"/>
        <v>2.8080269528268178</v>
      </c>
      <c r="T923" s="45" cm="1">
        <f t="array" ref="T923">SUMPRODUCT(P923:S923 * P$3:S$3) / SUM(P$3:S$3)</f>
        <v>2.903687186792502</v>
      </c>
    </row>
    <row r="924" spans="1:20" ht="16.5" customHeight="1" x14ac:dyDescent="0.25">
      <c r="A924" s="5" t="s">
        <v>6807</v>
      </c>
      <c r="B924" s="20" t="s">
        <v>5494</v>
      </c>
      <c r="C924" s="4" t="s">
        <v>8797</v>
      </c>
      <c r="D924" s="4" t="s">
        <v>9022</v>
      </c>
      <c r="E924" s="12" t="s">
        <v>407</v>
      </c>
      <c r="F924" s="75" t="s">
        <v>6723</v>
      </c>
      <c r="G924" s="3">
        <v>32</v>
      </c>
      <c r="H924" s="3" t="s">
        <v>404</v>
      </c>
      <c r="I924" s="13" t="s">
        <v>6741</v>
      </c>
      <c r="J924" s="72">
        <v>1.35</v>
      </c>
      <c r="K924" s="14" t="s">
        <v>5476</v>
      </c>
      <c r="L924" s="9">
        <v>147.01</v>
      </c>
      <c r="M924" s="3">
        <v>199.21</v>
      </c>
      <c r="N924" s="17" t="s">
        <v>5495</v>
      </c>
      <c r="O924" s="18" t="s">
        <v>5493</v>
      </c>
      <c r="P924" s="49">
        <f t="shared" si="57"/>
        <v>2.5414070375808353</v>
      </c>
      <c r="Q924" s="1">
        <f t="shared" si="58"/>
        <v>3.0746468680728007</v>
      </c>
      <c r="R924" s="1">
        <f t="shared" si="60"/>
        <v>3.16319855835778</v>
      </c>
      <c r="S924" s="10">
        <f t="shared" si="59"/>
        <v>2.8080269528268178</v>
      </c>
      <c r="T924" s="45" cm="1">
        <f t="array" ref="T924">SUMPRODUCT(P924:S924 * P$3:S$3) / SUM(P$3:S$3)</f>
        <v>2.903687186792502</v>
      </c>
    </row>
    <row r="925" spans="1:20" ht="16.5" customHeight="1" x14ac:dyDescent="0.25">
      <c r="A925" s="5" t="s">
        <v>6807</v>
      </c>
      <c r="B925" s="20" t="s">
        <v>5497</v>
      </c>
      <c r="C925" s="4" t="s">
        <v>8797</v>
      </c>
      <c r="D925" s="4" t="s">
        <v>9022</v>
      </c>
      <c r="E925" s="12" t="s">
        <v>407</v>
      </c>
      <c r="F925" s="75" t="s">
        <v>6723</v>
      </c>
      <c r="G925" s="3">
        <v>32</v>
      </c>
      <c r="H925" s="3" t="s">
        <v>404</v>
      </c>
      <c r="I925" s="13" t="s">
        <v>6743</v>
      </c>
      <c r="J925" s="72">
        <v>1.4</v>
      </c>
      <c r="K925" s="14" t="s">
        <v>5476</v>
      </c>
      <c r="L925" s="9">
        <v>152.30000000000001</v>
      </c>
      <c r="M925" s="3">
        <v>191.22</v>
      </c>
      <c r="N925" s="17" t="s">
        <v>5498</v>
      </c>
      <c r="O925" s="18" t="s">
        <v>5496</v>
      </c>
      <c r="P925" s="49">
        <f t="shared" si="57"/>
        <v>2.5456727675278064</v>
      </c>
      <c r="Q925" s="1">
        <f t="shared" si="58"/>
        <v>3.075845341246763</v>
      </c>
      <c r="R925" s="1">
        <f t="shared" si="60"/>
        <v>3.1643970315317422</v>
      </c>
      <c r="S925" s="10">
        <f t="shared" si="59"/>
        <v>2.8107590543872849</v>
      </c>
      <c r="T925" s="45" cm="1">
        <f t="array" ref="T925">SUMPRODUCT(P925:S925 * P$3:S$3) / SUM(P$3:S$3)</f>
        <v>2.9059474026955829</v>
      </c>
    </row>
    <row r="926" spans="1:20" ht="16.5" customHeight="1" x14ac:dyDescent="0.25">
      <c r="A926" s="5" t="s">
        <v>6807</v>
      </c>
      <c r="B926" s="20" t="s">
        <v>5500</v>
      </c>
      <c r="C926" s="4" t="s">
        <v>8797</v>
      </c>
      <c r="D926" s="4" t="s">
        <v>9022</v>
      </c>
      <c r="E926" s="12" t="s">
        <v>407</v>
      </c>
      <c r="F926" s="75" t="s">
        <v>6723</v>
      </c>
      <c r="G926" s="3">
        <v>32</v>
      </c>
      <c r="H926" s="3" t="s">
        <v>404</v>
      </c>
      <c r="I926" s="13" t="s">
        <v>6744</v>
      </c>
      <c r="J926" s="72">
        <v>1.4</v>
      </c>
      <c r="K926" s="14" t="s">
        <v>5476</v>
      </c>
      <c r="L926" s="9">
        <v>215.9</v>
      </c>
      <c r="M926" s="3">
        <v>238.04</v>
      </c>
      <c r="N926" s="17" t="s">
        <v>5501</v>
      </c>
      <c r="O926" s="18" t="s">
        <v>5499</v>
      </c>
      <c r="P926" s="49">
        <f t="shared" si="57"/>
        <v>2.5525512079350685</v>
      </c>
      <c r="Q926" s="1">
        <f t="shared" si="58"/>
        <v>3.0792845614503941</v>
      </c>
      <c r="R926" s="1">
        <f t="shared" si="60"/>
        <v>3.1678362517353733</v>
      </c>
      <c r="S926" s="10">
        <f t="shared" si="59"/>
        <v>2.8159178846927313</v>
      </c>
      <c r="T926" s="45" cm="1">
        <f t="array" ref="T926">SUMPRODUCT(P926:S926 * P$3:S$3) / SUM(P$3:S$3)</f>
        <v>2.9105771222004702</v>
      </c>
    </row>
    <row r="927" spans="1:20" ht="16.5" customHeight="1" x14ac:dyDescent="0.25">
      <c r="A927" s="5" t="s">
        <v>6807</v>
      </c>
      <c r="B927" s="20" t="s">
        <v>5536</v>
      </c>
      <c r="C927" s="4" t="s">
        <v>8797</v>
      </c>
      <c r="D927" s="4" t="s">
        <v>9022</v>
      </c>
      <c r="E927" s="12" t="s">
        <v>407</v>
      </c>
      <c r="F927" s="75" t="s">
        <v>6723</v>
      </c>
      <c r="G927" s="3">
        <v>32</v>
      </c>
      <c r="H927" s="3" t="s">
        <v>404</v>
      </c>
      <c r="I927" s="13" t="s">
        <v>6739</v>
      </c>
      <c r="J927" s="72">
        <v>1.35</v>
      </c>
      <c r="K927" s="14" t="s">
        <v>5476</v>
      </c>
      <c r="L927" s="9">
        <v>101.77</v>
      </c>
      <c r="M927" s="3">
        <v>160</v>
      </c>
      <c r="N927" s="17" t="s">
        <v>5537</v>
      </c>
      <c r="O927" s="18" t="s">
        <v>5535</v>
      </c>
      <c r="P927" s="49">
        <f t="shared" si="57"/>
        <v>2.5263667512022856</v>
      </c>
      <c r="Q927" s="1">
        <f t="shared" si="58"/>
        <v>3.0671267248835257</v>
      </c>
      <c r="R927" s="1">
        <f t="shared" si="60"/>
        <v>3.1556784151685049</v>
      </c>
      <c r="S927" s="10">
        <f t="shared" si="59"/>
        <v>2.7967467380429056</v>
      </c>
      <c r="T927" s="45" cm="1">
        <f t="array" ref="T927">SUMPRODUCT(P927:S927 * P$3:S$3) / SUM(P$3:S$3)</f>
        <v>2.8935639171146317</v>
      </c>
    </row>
    <row r="928" spans="1:20" ht="16.5" customHeight="1" x14ac:dyDescent="0.25">
      <c r="A928" s="5" t="s">
        <v>6807</v>
      </c>
      <c r="B928" s="20" t="s">
        <v>5539</v>
      </c>
      <c r="C928" s="4" t="s">
        <v>8797</v>
      </c>
      <c r="D928" s="4" t="s">
        <v>9022</v>
      </c>
      <c r="E928" s="12" t="s">
        <v>407</v>
      </c>
      <c r="F928" s="75" t="s">
        <v>6723</v>
      </c>
      <c r="G928" s="3">
        <v>32</v>
      </c>
      <c r="H928" s="3" t="s">
        <v>404</v>
      </c>
      <c r="I928" s="13" t="s">
        <v>225</v>
      </c>
      <c r="J928" s="72">
        <v>1.35</v>
      </c>
      <c r="K928" s="14" t="s">
        <v>5476</v>
      </c>
      <c r="L928" s="9">
        <v>120.59</v>
      </c>
      <c r="M928" s="3">
        <v>183</v>
      </c>
      <c r="N928" s="17" t="s">
        <v>5540</v>
      </c>
      <c r="O928" s="18" t="s">
        <v>5538</v>
      </c>
      <c r="P928" s="49">
        <f t="shared" si="57"/>
        <v>2.5358939681754706</v>
      </c>
      <c r="Q928" s="1">
        <f t="shared" si="58"/>
        <v>3.0718903333701184</v>
      </c>
      <c r="R928" s="1">
        <f t="shared" si="60"/>
        <v>3.1604420236550972</v>
      </c>
      <c r="S928" s="10">
        <f t="shared" si="59"/>
        <v>2.8038921507727945</v>
      </c>
      <c r="T928" s="45" cm="1">
        <f t="array" ref="T928">SUMPRODUCT(P928:S928 * P$3:S$3) / SUM(P$3:S$3)</f>
        <v>2.8999764670004291</v>
      </c>
    </row>
    <row r="929" spans="1:20" ht="16.5" customHeight="1" x14ac:dyDescent="0.25">
      <c r="A929" s="5" t="s">
        <v>6807</v>
      </c>
      <c r="B929" s="20" t="s">
        <v>5542</v>
      </c>
      <c r="C929" s="4" t="s">
        <v>8797</v>
      </c>
      <c r="D929" s="4" t="s">
        <v>9022</v>
      </c>
      <c r="E929" s="12" t="s">
        <v>407</v>
      </c>
      <c r="F929" s="75" t="s">
        <v>6723</v>
      </c>
      <c r="G929" s="3">
        <v>32</v>
      </c>
      <c r="H929" s="3" t="s">
        <v>404</v>
      </c>
      <c r="I929" s="13" t="s">
        <v>6741</v>
      </c>
      <c r="J929" s="72">
        <v>1.35</v>
      </c>
      <c r="K929" s="14" t="s">
        <v>5476</v>
      </c>
      <c r="L929" s="9">
        <v>119.89</v>
      </c>
      <c r="M929" s="3">
        <v>189</v>
      </c>
      <c r="N929" s="17" t="s">
        <v>5543</v>
      </c>
      <c r="O929" s="18" t="s">
        <v>5541</v>
      </c>
      <c r="P929" s="49">
        <f t="shared" si="57"/>
        <v>2.5414070375808353</v>
      </c>
      <c r="Q929" s="1">
        <f t="shared" si="58"/>
        <v>3.0746468680728007</v>
      </c>
      <c r="R929" s="1">
        <f t="shared" si="60"/>
        <v>3.16319855835778</v>
      </c>
      <c r="S929" s="10">
        <f t="shared" si="59"/>
        <v>2.8080269528268178</v>
      </c>
      <c r="T929" s="45" cm="1">
        <f t="array" ref="T929">SUMPRODUCT(P929:S929 * P$3:S$3) / SUM(P$3:S$3)</f>
        <v>2.903687186792502</v>
      </c>
    </row>
    <row r="930" spans="1:20" ht="16.5" customHeight="1" x14ac:dyDescent="0.25">
      <c r="A930" s="5" t="s">
        <v>6807</v>
      </c>
      <c r="B930" s="20" t="s">
        <v>5545</v>
      </c>
      <c r="C930" s="4" t="s">
        <v>8797</v>
      </c>
      <c r="D930" s="4" t="s">
        <v>9022</v>
      </c>
      <c r="E930" s="12" t="s">
        <v>407</v>
      </c>
      <c r="F930" s="75" t="s">
        <v>6723</v>
      </c>
      <c r="G930" s="3">
        <v>32</v>
      </c>
      <c r="H930" s="3" t="s">
        <v>404</v>
      </c>
      <c r="I930" s="13" t="s">
        <v>6744</v>
      </c>
      <c r="J930" s="72">
        <v>1.4</v>
      </c>
      <c r="K930" s="14" t="s">
        <v>5476</v>
      </c>
      <c r="L930" s="9">
        <v>215.9</v>
      </c>
      <c r="M930" s="3">
        <v>238.04</v>
      </c>
      <c r="N930" s="17" t="s">
        <v>5546</v>
      </c>
      <c r="O930" s="18" t="s">
        <v>5544</v>
      </c>
      <c r="P930" s="49">
        <f t="shared" si="57"/>
        <v>2.5525512079350685</v>
      </c>
      <c r="Q930" s="1">
        <f t="shared" si="58"/>
        <v>3.0792845614503941</v>
      </c>
      <c r="R930" s="1">
        <f t="shared" si="60"/>
        <v>3.1678362517353733</v>
      </c>
      <c r="S930" s="10">
        <f t="shared" si="59"/>
        <v>2.8159178846927313</v>
      </c>
      <c r="T930" s="45" cm="1">
        <f t="array" ref="T930">SUMPRODUCT(P930:S930 * P$3:S$3) / SUM(P$3:S$3)</f>
        <v>2.9105771222004702</v>
      </c>
    </row>
    <row r="931" spans="1:20" ht="16.5" customHeight="1" x14ac:dyDescent="0.25">
      <c r="A931" s="5" t="s">
        <v>6783</v>
      </c>
      <c r="B931" s="20" t="s">
        <v>4593</v>
      </c>
      <c r="C931" s="4" t="s">
        <v>8798</v>
      </c>
      <c r="D931" s="4" t="s">
        <v>9022</v>
      </c>
      <c r="E931" s="12" t="s">
        <v>407</v>
      </c>
      <c r="F931" s="75" t="s">
        <v>6723</v>
      </c>
      <c r="G931" s="3">
        <v>32</v>
      </c>
      <c r="H931" s="3" t="s">
        <v>404</v>
      </c>
      <c r="I931" s="13" t="s">
        <v>6739</v>
      </c>
      <c r="J931" s="72">
        <v>1.35</v>
      </c>
      <c r="L931" s="9">
        <v>113.31</v>
      </c>
      <c r="M931" s="3">
        <v>194.9</v>
      </c>
      <c r="N931" s="17" t="s">
        <v>4594</v>
      </c>
      <c r="O931" s="18" t="s">
        <v>4592</v>
      </c>
      <c r="P931" s="49">
        <f t="shared" si="57"/>
        <v>2.5263667512022856</v>
      </c>
      <c r="Q931" s="1">
        <f t="shared" si="58"/>
        <v>3.0671267248835257</v>
      </c>
      <c r="R931" s="1">
        <f t="shared" si="60"/>
        <v>3.1556784151685049</v>
      </c>
      <c r="S931" s="10">
        <f t="shared" si="59"/>
        <v>2.7967467380429056</v>
      </c>
      <c r="T931" s="45" cm="1">
        <f t="array" ref="T931">SUMPRODUCT(P931:S931 * P$3:S$3) / SUM(P$3:S$3)</f>
        <v>2.8935639171146317</v>
      </c>
    </row>
    <row r="932" spans="1:20" ht="16.5" customHeight="1" x14ac:dyDescent="0.25">
      <c r="A932" s="5" t="s">
        <v>6783</v>
      </c>
      <c r="B932" s="20" t="s">
        <v>4596</v>
      </c>
      <c r="C932" s="4" t="s">
        <v>8798</v>
      </c>
      <c r="D932" s="4" t="s">
        <v>9022</v>
      </c>
      <c r="E932" s="12" t="s">
        <v>407</v>
      </c>
      <c r="F932" s="75" t="s">
        <v>6723</v>
      </c>
      <c r="G932" s="3">
        <v>32</v>
      </c>
      <c r="H932" s="3" t="s">
        <v>404</v>
      </c>
      <c r="I932" s="13" t="s">
        <v>6741</v>
      </c>
      <c r="J932" s="72">
        <v>1.4</v>
      </c>
      <c r="L932" s="9">
        <v>110.6</v>
      </c>
      <c r="M932" s="3">
        <v>135.11000000000001</v>
      </c>
      <c r="N932" s="17" t="s">
        <v>4597</v>
      </c>
      <c r="O932" s="18" t="s">
        <v>4595</v>
      </c>
      <c r="P932" s="49">
        <f t="shared" si="57"/>
        <v>2.5395382539817888</v>
      </c>
      <c r="Q932" s="1">
        <f t="shared" si="58"/>
        <v>3.0727780844737547</v>
      </c>
      <c r="R932" s="1">
        <f t="shared" si="60"/>
        <v>3.1613297747587334</v>
      </c>
      <c r="S932" s="10">
        <f t="shared" si="59"/>
        <v>2.8061581692277713</v>
      </c>
      <c r="T932" s="45" cm="1">
        <f t="array" ref="T932">SUMPRODUCT(P932:S932 * P$3:S$3) / SUM(P$3:S$3)</f>
        <v>2.9018184031934551</v>
      </c>
    </row>
    <row r="933" spans="1:20" ht="16.5" customHeight="1" x14ac:dyDescent="0.25">
      <c r="A933" s="5" t="s">
        <v>6783</v>
      </c>
      <c r="B933" s="20" t="s">
        <v>4598</v>
      </c>
      <c r="C933" s="4" t="s">
        <v>8798</v>
      </c>
      <c r="D933" s="4" t="s">
        <v>9022</v>
      </c>
      <c r="E933" s="12" t="s">
        <v>407</v>
      </c>
      <c r="F933" s="75" t="s">
        <v>6723</v>
      </c>
      <c r="G933" s="3">
        <v>32</v>
      </c>
      <c r="H933" s="3" t="s">
        <v>404</v>
      </c>
      <c r="I933" s="13" t="s">
        <v>6741</v>
      </c>
      <c r="J933" s="72">
        <v>1.4</v>
      </c>
      <c r="L933" s="9">
        <v>110.6</v>
      </c>
      <c r="M933" s="3">
        <v>199.9</v>
      </c>
      <c r="N933" s="17" t="s">
        <v>4599</v>
      </c>
      <c r="O933" s="18" t="s">
        <v>4595</v>
      </c>
      <c r="P933" s="49">
        <f t="shared" si="57"/>
        <v>2.5395382539817888</v>
      </c>
      <c r="Q933" s="1">
        <f t="shared" si="58"/>
        <v>3.0727780844737547</v>
      </c>
      <c r="R933" s="1">
        <f t="shared" si="60"/>
        <v>3.1613297747587334</v>
      </c>
      <c r="S933" s="10">
        <f t="shared" si="59"/>
        <v>2.8061581692277713</v>
      </c>
      <c r="T933" s="45" cm="1">
        <f t="array" ref="T933">SUMPRODUCT(P933:S933 * P$3:S$3) / SUM(P$3:S$3)</f>
        <v>2.9018184031934551</v>
      </c>
    </row>
    <row r="934" spans="1:20" ht="16.5" customHeight="1" x14ac:dyDescent="0.25">
      <c r="A934" s="5" t="s">
        <v>6783</v>
      </c>
      <c r="B934" s="20" t="s">
        <v>4710</v>
      </c>
      <c r="C934" s="4" t="s">
        <v>8798</v>
      </c>
      <c r="D934" s="4" t="s">
        <v>9022</v>
      </c>
      <c r="E934" s="12" t="s">
        <v>407</v>
      </c>
      <c r="F934" s="75" t="s">
        <v>6723</v>
      </c>
      <c r="G934" s="3">
        <v>32</v>
      </c>
      <c r="H934" s="3" t="s">
        <v>404</v>
      </c>
      <c r="I934" s="13" t="s">
        <v>6740</v>
      </c>
      <c r="J934" s="72">
        <v>1.35</v>
      </c>
      <c r="L934" s="9">
        <v>149.9</v>
      </c>
      <c r="M934" s="3">
        <v>207.35</v>
      </c>
      <c r="N934" s="17" t="s">
        <v>4711</v>
      </c>
      <c r="O934" s="18" t="s">
        <v>4709</v>
      </c>
      <c r="P934" s="49">
        <f t="shared" si="57"/>
        <v>2.5183965343165773</v>
      </c>
      <c r="Q934" s="1">
        <f t="shared" si="58"/>
        <v>3.0631416164406717</v>
      </c>
      <c r="R934" s="1">
        <f t="shared" si="60"/>
        <v>3.151693306725651</v>
      </c>
      <c r="S934" s="10">
        <f t="shared" si="59"/>
        <v>2.7907690753786243</v>
      </c>
      <c r="T934" s="45" cm="1">
        <f t="array" ref="T934">SUMPRODUCT(P934:S934 * P$3:S$3) / SUM(P$3:S$3)</f>
        <v>2.8881993480569434</v>
      </c>
    </row>
    <row r="935" spans="1:20" ht="16.5" customHeight="1" x14ac:dyDescent="0.25">
      <c r="A935" s="5" t="s">
        <v>6783</v>
      </c>
      <c r="B935" s="20" t="s">
        <v>4713</v>
      </c>
      <c r="C935" s="4" t="s">
        <v>8798</v>
      </c>
      <c r="D935" s="4" t="s">
        <v>9022</v>
      </c>
      <c r="E935" s="12" t="s">
        <v>407</v>
      </c>
      <c r="F935" s="75" t="s">
        <v>6723</v>
      </c>
      <c r="G935" s="3">
        <v>32</v>
      </c>
      <c r="H935" s="3" t="s">
        <v>404</v>
      </c>
      <c r="I935" s="13" t="s">
        <v>6739</v>
      </c>
      <c r="J935" s="72">
        <v>1.35</v>
      </c>
      <c r="L935" s="9">
        <v>99.36</v>
      </c>
      <c r="M935" s="3">
        <v>184.9</v>
      </c>
      <c r="N935" s="17" t="s">
        <v>4714</v>
      </c>
      <c r="O935" s="18" t="s">
        <v>4712</v>
      </c>
      <c r="P935" s="49">
        <f t="shared" si="57"/>
        <v>2.5263667512022856</v>
      </c>
      <c r="Q935" s="1">
        <f t="shared" si="58"/>
        <v>3.0671267248835257</v>
      </c>
      <c r="R935" s="1">
        <f t="shared" si="60"/>
        <v>3.1556784151685049</v>
      </c>
      <c r="S935" s="10">
        <f t="shared" si="59"/>
        <v>2.7967467380429056</v>
      </c>
      <c r="T935" s="45" cm="1">
        <f t="array" ref="T935">SUMPRODUCT(P935:S935 * P$3:S$3) / SUM(P$3:S$3)</f>
        <v>2.8935639171146317</v>
      </c>
    </row>
    <row r="936" spans="1:20" ht="16.5" customHeight="1" x14ac:dyDescent="0.25">
      <c r="A936" s="5" t="s">
        <v>6783</v>
      </c>
      <c r="B936" s="20" t="s">
        <v>4716</v>
      </c>
      <c r="C936" s="4" t="s">
        <v>8798</v>
      </c>
      <c r="D936" s="4" t="s">
        <v>9022</v>
      </c>
      <c r="E936" s="12" t="s">
        <v>407</v>
      </c>
      <c r="F936" s="75" t="s">
        <v>6723</v>
      </c>
      <c r="G936" s="3">
        <v>32</v>
      </c>
      <c r="H936" s="3" t="s">
        <v>404</v>
      </c>
      <c r="I936" s="13" t="s">
        <v>6741</v>
      </c>
      <c r="J936" s="72">
        <v>1.4</v>
      </c>
      <c r="L936" s="9">
        <v>109.89</v>
      </c>
      <c r="M936" s="3">
        <v>194.9</v>
      </c>
      <c r="N936" s="17" t="s">
        <v>4717</v>
      </c>
      <c r="O936" s="18" t="s">
        <v>4715</v>
      </c>
      <c r="P936" s="49">
        <f t="shared" si="57"/>
        <v>2.5395382539817888</v>
      </c>
      <c r="Q936" s="1">
        <f t="shared" si="58"/>
        <v>3.0727780844737547</v>
      </c>
      <c r="R936" s="1">
        <f t="shared" si="60"/>
        <v>3.1613297747587334</v>
      </c>
      <c r="S936" s="10">
        <f t="shared" si="59"/>
        <v>2.8061581692277713</v>
      </c>
      <c r="T936" s="45" cm="1">
        <f t="array" ref="T936">SUMPRODUCT(P936:S936 * P$3:S$3) / SUM(P$3:S$3)</f>
        <v>2.9018184031934551</v>
      </c>
    </row>
    <row r="937" spans="1:20" ht="16.5" customHeight="1" x14ac:dyDescent="0.25">
      <c r="A937" s="5" t="s">
        <v>6783</v>
      </c>
      <c r="B937" s="20" t="s">
        <v>4718</v>
      </c>
      <c r="C937" s="4" t="s">
        <v>8798</v>
      </c>
      <c r="D937" s="4" t="s">
        <v>9022</v>
      </c>
      <c r="E937" s="12" t="s">
        <v>407</v>
      </c>
      <c r="F937" s="75" t="s">
        <v>6723</v>
      </c>
      <c r="G937" s="3">
        <v>32</v>
      </c>
      <c r="H937" s="3" t="s">
        <v>404</v>
      </c>
      <c r="I937" s="13" t="s">
        <v>6741</v>
      </c>
      <c r="J937" s="72">
        <v>1.4</v>
      </c>
      <c r="L937" s="9">
        <v>99.89</v>
      </c>
      <c r="M937" s="3">
        <v>194.9</v>
      </c>
      <c r="N937" s="17" t="s">
        <v>4719</v>
      </c>
      <c r="O937" s="18" t="s">
        <v>4715</v>
      </c>
      <c r="P937" s="49">
        <f t="shared" si="57"/>
        <v>2.5395382539817888</v>
      </c>
      <c r="Q937" s="1">
        <f t="shared" si="58"/>
        <v>3.0727780844737547</v>
      </c>
      <c r="R937" s="1">
        <f t="shared" si="60"/>
        <v>3.1613297747587334</v>
      </c>
      <c r="S937" s="10">
        <f t="shared" si="59"/>
        <v>2.8061581692277713</v>
      </c>
      <c r="T937" s="45" cm="1">
        <f t="array" ref="T937">SUMPRODUCT(P937:S937 * P$3:S$3) / SUM(P$3:S$3)</f>
        <v>2.9018184031934551</v>
      </c>
    </row>
    <row r="938" spans="1:20" ht="16.5" customHeight="1" x14ac:dyDescent="0.25">
      <c r="A938" s="5" t="s">
        <v>6783</v>
      </c>
      <c r="B938" s="20" t="s">
        <v>4892</v>
      </c>
      <c r="C938" s="4" t="s">
        <v>8798</v>
      </c>
      <c r="D938" s="4" t="s">
        <v>9022</v>
      </c>
      <c r="E938" s="12" t="s">
        <v>407</v>
      </c>
      <c r="F938" s="75" t="s">
        <v>6723</v>
      </c>
      <c r="G938" s="3">
        <v>32</v>
      </c>
      <c r="H938" s="3" t="s">
        <v>404</v>
      </c>
      <c r="I938" s="13" t="s">
        <v>6740</v>
      </c>
      <c r="J938" s="72">
        <v>1.35</v>
      </c>
      <c r="K938" s="14" t="s">
        <v>4847</v>
      </c>
      <c r="L938" s="9">
        <v>168.37</v>
      </c>
      <c r="M938" s="3">
        <v>202.25</v>
      </c>
      <c r="N938" s="17" t="s">
        <v>4893</v>
      </c>
      <c r="O938" s="18" t="s">
        <v>4891</v>
      </c>
      <c r="P938" s="49">
        <f t="shared" si="57"/>
        <v>2.5183965343165773</v>
      </c>
      <c r="Q938" s="1">
        <f t="shared" si="58"/>
        <v>3.0631416164406717</v>
      </c>
      <c r="R938" s="1">
        <f t="shared" si="60"/>
        <v>3.151693306725651</v>
      </c>
      <c r="S938" s="10">
        <f t="shared" si="59"/>
        <v>2.7907690753786243</v>
      </c>
      <c r="T938" s="45" cm="1">
        <f t="array" ref="T938">SUMPRODUCT(P938:S938 * P$3:S$3) / SUM(P$3:S$3)</f>
        <v>2.8881993480569434</v>
      </c>
    </row>
    <row r="939" spans="1:20" ht="16.5" customHeight="1" x14ac:dyDescent="0.25">
      <c r="A939" s="5" t="s">
        <v>6783</v>
      </c>
      <c r="B939" s="20" t="s">
        <v>4895</v>
      </c>
      <c r="C939" s="4" t="s">
        <v>8798</v>
      </c>
      <c r="D939" s="4" t="s">
        <v>9022</v>
      </c>
      <c r="E939" s="12" t="s">
        <v>407</v>
      </c>
      <c r="F939" s="75" t="s">
        <v>6723</v>
      </c>
      <c r="G939" s="3">
        <v>32</v>
      </c>
      <c r="H939" s="3" t="s">
        <v>404</v>
      </c>
      <c r="I939" s="13" t="s">
        <v>6739</v>
      </c>
      <c r="J939" s="72">
        <v>1.35</v>
      </c>
      <c r="K939" s="14" t="s">
        <v>4847</v>
      </c>
      <c r="L939" s="9">
        <v>117.69</v>
      </c>
      <c r="M939" s="3">
        <v>204.9</v>
      </c>
      <c r="N939" s="17" t="s">
        <v>4896</v>
      </c>
      <c r="O939" s="18" t="s">
        <v>4894</v>
      </c>
      <c r="P939" s="49">
        <f t="shared" si="57"/>
        <v>2.5263667512022856</v>
      </c>
      <c r="Q939" s="1">
        <f t="shared" si="58"/>
        <v>3.0671267248835257</v>
      </c>
      <c r="R939" s="1">
        <f t="shared" si="60"/>
        <v>3.1556784151685049</v>
      </c>
      <c r="S939" s="10">
        <f t="shared" si="59"/>
        <v>2.7967467380429056</v>
      </c>
      <c r="T939" s="45" cm="1">
        <f t="array" ref="T939">SUMPRODUCT(P939:S939 * P$3:S$3) / SUM(P$3:S$3)</f>
        <v>2.8935639171146317</v>
      </c>
    </row>
    <row r="940" spans="1:20" ht="16.5" customHeight="1" x14ac:dyDescent="0.25">
      <c r="A940" s="5" t="s">
        <v>6783</v>
      </c>
      <c r="B940" s="20" t="s">
        <v>4898</v>
      </c>
      <c r="C940" s="4" t="s">
        <v>8798</v>
      </c>
      <c r="D940" s="4" t="s">
        <v>9022</v>
      </c>
      <c r="E940" s="12" t="s">
        <v>407</v>
      </c>
      <c r="F940" s="75" t="s">
        <v>6723</v>
      </c>
      <c r="G940" s="3">
        <v>32</v>
      </c>
      <c r="H940" s="3" t="s">
        <v>404</v>
      </c>
      <c r="I940" s="13" t="s">
        <v>6741</v>
      </c>
      <c r="J940" s="72">
        <v>1.4</v>
      </c>
      <c r="K940" s="14" t="s">
        <v>4847</v>
      </c>
      <c r="L940" s="9">
        <v>119.87</v>
      </c>
      <c r="M940" s="3">
        <v>189.31</v>
      </c>
      <c r="N940" s="17" t="s">
        <v>4899</v>
      </c>
      <c r="O940" s="18" t="s">
        <v>4897</v>
      </c>
      <c r="P940" s="49">
        <f t="shared" si="57"/>
        <v>2.5395382539817888</v>
      </c>
      <c r="Q940" s="1">
        <f t="shared" si="58"/>
        <v>3.0727780844737547</v>
      </c>
      <c r="R940" s="1">
        <f t="shared" si="60"/>
        <v>3.1613297747587334</v>
      </c>
      <c r="S940" s="10">
        <f t="shared" si="59"/>
        <v>2.8061581692277713</v>
      </c>
      <c r="T940" s="45" cm="1">
        <f t="array" ref="T940">SUMPRODUCT(P940:S940 * P$3:S$3) / SUM(P$3:S$3)</f>
        <v>2.9018184031934551</v>
      </c>
    </row>
    <row r="941" spans="1:20" ht="16.5" customHeight="1" x14ac:dyDescent="0.25">
      <c r="A941" s="5" t="s">
        <v>6783</v>
      </c>
      <c r="B941" s="20" t="s">
        <v>4900</v>
      </c>
      <c r="C941" s="4" t="s">
        <v>8798</v>
      </c>
      <c r="D941" s="4" t="s">
        <v>9022</v>
      </c>
      <c r="E941" s="12" t="s">
        <v>407</v>
      </c>
      <c r="F941" s="75" t="s">
        <v>6723</v>
      </c>
      <c r="G941" s="3">
        <v>32</v>
      </c>
      <c r="H941" s="3" t="s">
        <v>404</v>
      </c>
      <c r="I941" s="13" t="s">
        <v>6741</v>
      </c>
      <c r="J941" s="72">
        <v>1.4</v>
      </c>
      <c r="K941" s="14" t="s">
        <v>4847</v>
      </c>
      <c r="L941" s="9">
        <v>120.5</v>
      </c>
      <c r="M941" s="3">
        <v>181.13</v>
      </c>
      <c r="N941" s="17" t="s">
        <v>4901</v>
      </c>
      <c r="O941" s="18" t="s">
        <v>4897</v>
      </c>
      <c r="P941" s="49">
        <f t="shared" si="57"/>
        <v>2.5395382539817888</v>
      </c>
      <c r="Q941" s="1">
        <f t="shared" si="58"/>
        <v>3.0727780844737547</v>
      </c>
      <c r="R941" s="1">
        <f t="shared" si="60"/>
        <v>3.1613297747587334</v>
      </c>
      <c r="S941" s="10">
        <f t="shared" si="59"/>
        <v>2.8061581692277713</v>
      </c>
      <c r="T941" s="45" cm="1">
        <f t="array" ref="T941">SUMPRODUCT(P941:S941 * P$3:S$3) / SUM(P$3:S$3)</f>
        <v>2.9018184031934551</v>
      </c>
    </row>
    <row r="942" spans="1:20" ht="16.5" customHeight="1" x14ac:dyDescent="0.25">
      <c r="A942" s="5" t="s">
        <v>6783</v>
      </c>
      <c r="B942" s="20" t="s">
        <v>5026</v>
      </c>
      <c r="C942" s="4" t="s">
        <v>8798</v>
      </c>
      <c r="D942" s="4" t="s">
        <v>9022</v>
      </c>
      <c r="E942" s="12" t="s">
        <v>407</v>
      </c>
      <c r="F942" s="75" t="s">
        <v>6723</v>
      </c>
      <c r="G942" s="3">
        <v>32</v>
      </c>
      <c r="H942" s="3" t="s">
        <v>404</v>
      </c>
      <c r="I942" s="13" t="s">
        <v>6740</v>
      </c>
      <c r="J942" s="72">
        <v>1.35</v>
      </c>
      <c r="K942" s="14" t="s">
        <v>4847</v>
      </c>
      <c r="L942" s="9">
        <v>163.56</v>
      </c>
      <c r="M942" s="3">
        <v>290.98</v>
      </c>
      <c r="N942" s="17" t="s">
        <v>5027</v>
      </c>
      <c r="O942" s="18" t="s">
        <v>5025</v>
      </c>
      <c r="P942" s="49">
        <f t="shared" si="57"/>
        <v>2.5183965343165773</v>
      </c>
      <c r="Q942" s="1">
        <f t="shared" si="58"/>
        <v>3.0631416164406717</v>
      </c>
      <c r="R942" s="1">
        <f t="shared" si="60"/>
        <v>3.151693306725651</v>
      </c>
      <c r="S942" s="10">
        <f t="shared" si="59"/>
        <v>2.7907690753786243</v>
      </c>
      <c r="T942" s="45" cm="1">
        <f t="array" ref="T942">SUMPRODUCT(P942:S942 * P$3:S$3) / SUM(P$3:S$3)</f>
        <v>2.8881993480569434</v>
      </c>
    </row>
    <row r="943" spans="1:20" ht="16.5" customHeight="1" x14ac:dyDescent="0.25">
      <c r="A943" s="5" t="s">
        <v>6783</v>
      </c>
      <c r="B943" s="20" t="s">
        <v>5029</v>
      </c>
      <c r="C943" s="4" t="s">
        <v>8798</v>
      </c>
      <c r="D943" s="4" t="s">
        <v>9022</v>
      </c>
      <c r="E943" s="12" t="s">
        <v>407</v>
      </c>
      <c r="F943" s="75" t="s">
        <v>6723</v>
      </c>
      <c r="G943" s="3">
        <v>32</v>
      </c>
      <c r="H943" s="3" t="s">
        <v>404</v>
      </c>
      <c r="I943" s="13" t="s">
        <v>6739</v>
      </c>
      <c r="J943" s="72">
        <v>1.35</v>
      </c>
      <c r="K943" s="14" t="s">
        <v>4847</v>
      </c>
      <c r="L943" s="9">
        <v>118.75</v>
      </c>
      <c r="M943" s="3">
        <v>204.9</v>
      </c>
      <c r="N943" s="17" t="s">
        <v>5030</v>
      </c>
      <c r="O943" s="18" t="s">
        <v>5028</v>
      </c>
      <c r="P943" s="49">
        <f t="shared" si="57"/>
        <v>2.5263667512022856</v>
      </c>
      <c r="Q943" s="1">
        <f t="shared" si="58"/>
        <v>3.0671267248835257</v>
      </c>
      <c r="R943" s="1">
        <f t="shared" si="60"/>
        <v>3.1556784151685049</v>
      </c>
      <c r="S943" s="10">
        <f t="shared" si="59"/>
        <v>2.7967467380429056</v>
      </c>
      <c r="T943" s="45" cm="1">
        <f t="array" ref="T943">SUMPRODUCT(P943:S943 * P$3:S$3) / SUM(P$3:S$3)</f>
        <v>2.8935639171146317</v>
      </c>
    </row>
    <row r="944" spans="1:20" ht="16.5" customHeight="1" x14ac:dyDescent="0.25">
      <c r="A944" s="5" t="s">
        <v>6783</v>
      </c>
      <c r="B944" s="20" t="s">
        <v>5032</v>
      </c>
      <c r="C944" s="4" t="s">
        <v>8798</v>
      </c>
      <c r="D944" s="4" t="s">
        <v>9022</v>
      </c>
      <c r="E944" s="12" t="s">
        <v>407</v>
      </c>
      <c r="F944" s="75" t="s">
        <v>6723</v>
      </c>
      <c r="G944" s="3">
        <v>32</v>
      </c>
      <c r="H944" s="3" t="s">
        <v>404</v>
      </c>
      <c r="I944" s="13" t="s">
        <v>6739</v>
      </c>
      <c r="J944" s="72">
        <v>1.35</v>
      </c>
      <c r="K944" s="14" t="s">
        <v>4847</v>
      </c>
      <c r="L944" s="9">
        <v>131</v>
      </c>
      <c r="M944" s="3">
        <v>178.43</v>
      </c>
      <c r="N944" s="17" t="s">
        <v>5033</v>
      </c>
      <c r="O944" s="18" t="s">
        <v>5031</v>
      </c>
      <c r="P944" s="49">
        <f t="shared" si="57"/>
        <v>2.5263667512022856</v>
      </c>
      <c r="Q944" s="1">
        <f t="shared" si="58"/>
        <v>3.0671267248835257</v>
      </c>
      <c r="R944" s="1">
        <f t="shared" si="60"/>
        <v>3.1556784151685049</v>
      </c>
      <c r="S944" s="10">
        <f t="shared" si="59"/>
        <v>2.7967467380429056</v>
      </c>
      <c r="T944" s="45" cm="1">
        <f t="array" ref="T944">SUMPRODUCT(P944:S944 * P$3:S$3) / SUM(P$3:S$3)</f>
        <v>2.8935639171146317</v>
      </c>
    </row>
    <row r="945" spans="1:20" ht="16.5" customHeight="1" x14ac:dyDescent="0.25">
      <c r="A945" s="5" t="s">
        <v>6783</v>
      </c>
      <c r="B945" s="20" t="s">
        <v>5035</v>
      </c>
      <c r="C945" s="4" t="s">
        <v>8798</v>
      </c>
      <c r="D945" s="4" t="s">
        <v>9022</v>
      </c>
      <c r="E945" s="12" t="s">
        <v>407</v>
      </c>
      <c r="F945" s="75" t="s">
        <v>6723</v>
      </c>
      <c r="G945" s="3">
        <v>32</v>
      </c>
      <c r="H945" s="3" t="s">
        <v>404</v>
      </c>
      <c r="I945" s="13" t="s">
        <v>6741</v>
      </c>
      <c r="J945" s="72">
        <v>1.4</v>
      </c>
      <c r="K945" s="14" t="s">
        <v>4847</v>
      </c>
      <c r="L945" s="9">
        <v>119.27</v>
      </c>
      <c r="M945" s="3">
        <v>167.51</v>
      </c>
      <c r="N945" s="17" t="s">
        <v>5036</v>
      </c>
      <c r="O945" s="18" t="s">
        <v>5034</v>
      </c>
      <c r="P945" s="49">
        <f t="shared" si="57"/>
        <v>2.5395382539817888</v>
      </c>
      <c r="Q945" s="1">
        <f t="shared" si="58"/>
        <v>3.0727780844737547</v>
      </c>
      <c r="R945" s="1">
        <f t="shared" si="60"/>
        <v>3.1613297747587334</v>
      </c>
      <c r="S945" s="10">
        <f t="shared" si="59"/>
        <v>2.8061581692277713</v>
      </c>
      <c r="T945" s="45" cm="1">
        <f t="array" ref="T945">SUMPRODUCT(P945:S945 * P$3:S$3) / SUM(P$3:S$3)</f>
        <v>2.9018184031934551</v>
      </c>
    </row>
    <row r="946" spans="1:20" ht="16.5" customHeight="1" x14ac:dyDescent="0.25">
      <c r="A946" s="5" t="s">
        <v>6783</v>
      </c>
      <c r="B946" s="20" t="s">
        <v>5037</v>
      </c>
      <c r="C946" s="4" t="s">
        <v>8798</v>
      </c>
      <c r="D946" s="4" t="s">
        <v>9022</v>
      </c>
      <c r="E946" s="12" t="s">
        <v>407</v>
      </c>
      <c r="F946" s="75" t="s">
        <v>6723</v>
      </c>
      <c r="G946" s="3">
        <v>32</v>
      </c>
      <c r="H946" s="3" t="s">
        <v>404</v>
      </c>
      <c r="I946" s="13" t="s">
        <v>6741</v>
      </c>
      <c r="J946" s="72">
        <v>1.4</v>
      </c>
      <c r="K946" s="14" t="s">
        <v>4847</v>
      </c>
      <c r="L946" s="9">
        <v>120.34</v>
      </c>
      <c r="M946" s="3">
        <v>165.6</v>
      </c>
      <c r="N946" s="17" t="s">
        <v>5038</v>
      </c>
      <c r="O946" s="18" t="s">
        <v>5034</v>
      </c>
      <c r="P946" s="49">
        <f t="shared" si="57"/>
        <v>2.5395382539817888</v>
      </c>
      <c r="Q946" s="1">
        <f t="shared" si="58"/>
        <v>3.0727780844737547</v>
      </c>
      <c r="R946" s="1">
        <f t="shared" si="60"/>
        <v>3.1613297747587334</v>
      </c>
      <c r="S946" s="10">
        <f t="shared" si="59"/>
        <v>2.8061581692277713</v>
      </c>
      <c r="T946" s="45" cm="1">
        <f t="array" ref="T946">SUMPRODUCT(P946:S946 * P$3:S$3) / SUM(P$3:S$3)</f>
        <v>2.9018184031934551</v>
      </c>
    </row>
    <row r="947" spans="1:20" ht="16.5" customHeight="1" x14ac:dyDescent="0.25">
      <c r="A947" s="5" t="s">
        <v>6765</v>
      </c>
      <c r="B947" s="20" t="s">
        <v>4396</v>
      </c>
      <c r="C947" s="4" t="s">
        <v>8798</v>
      </c>
      <c r="D947" s="4" t="s">
        <v>9022</v>
      </c>
      <c r="E947" s="12" t="s">
        <v>407</v>
      </c>
      <c r="F947" s="75" t="s">
        <v>6723</v>
      </c>
      <c r="G947" s="3">
        <v>32</v>
      </c>
      <c r="H947" s="3" t="s">
        <v>404</v>
      </c>
      <c r="I947" s="13" t="s">
        <v>225</v>
      </c>
      <c r="J947" s="72">
        <v>1.35</v>
      </c>
      <c r="L947" s="9">
        <v>139.83000000000001</v>
      </c>
      <c r="M947" s="3">
        <v>237</v>
      </c>
      <c r="N947" s="17" t="s">
        <v>4397</v>
      </c>
      <c r="O947" s="18" t="s">
        <v>4395</v>
      </c>
      <c r="P947" s="49">
        <f t="shared" si="57"/>
        <v>2.5358939681754706</v>
      </c>
      <c r="Q947" s="1">
        <f t="shared" si="58"/>
        <v>3.0718903333701184</v>
      </c>
      <c r="R947" s="1">
        <f t="shared" si="60"/>
        <v>3.1604420236550972</v>
      </c>
      <c r="S947" s="10">
        <f t="shared" si="59"/>
        <v>2.8038921507727945</v>
      </c>
      <c r="T947" s="45" cm="1">
        <f t="array" ref="T947">SUMPRODUCT(P947:S947 * P$3:S$3) / SUM(P$3:S$3)</f>
        <v>2.8999764670004291</v>
      </c>
    </row>
    <row r="948" spans="1:20" ht="16.5" customHeight="1" x14ac:dyDescent="0.25">
      <c r="A948" s="5" t="s">
        <v>6767</v>
      </c>
      <c r="B948" s="20" t="s">
        <v>4402</v>
      </c>
      <c r="C948" s="4" t="s">
        <v>8798</v>
      </c>
      <c r="D948" s="4" t="s">
        <v>9023</v>
      </c>
      <c r="E948" s="12" t="s">
        <v>407</v>
      </c>
      <c r="F948" s="75" t="s">
        <v>6723</v>
      </c>
      <c r="G948" s="3">
        <v>48</v>
      </c>
      <c r="H948" s="3" t="s">
        <v>6736</v>
      </c>
      <c r="I948" s="13" t="s">
        <v>225</v>
      </c>
      <c r="J948" s="72">
        <v>1.35</v>
      </c>
      <c r="L948" s="9">
        <v>151.94999999999999</v>
      </c>
      <c r="M948" s="3">
        <v>199.43</v>
      </c>
      <c r="N948" s="17" t="s">
        <v>4403</v>
      </c>
      <c r="O948" s="18" t="s">
        <v>4401</v>
      </c>
      <c r="P948" s="49">
        <f t="shared" si="57"/>
        <v>2.9239183012104721</v>
      </c>
      <c r="Q948" s="1">
        <f t="shared" si="58"/>
        <v>3.7500866354657298</v>
      </c>
      <c r="R948" s="1">
        <f t="shared" si="60"/>
        <v>3.912420792588962</v>
      </c>
      <c r="S948" s="10">
        <f t="shared" si="59"/>
        <v>3.3370024683381008</v>
      </c>
      <c r="T948" s="45" cm="1">
        <f t="array" ref="T948">SUMPRODUCT(P948:S948 * P$3:S$3) / SUM(P$3:S$3)</f>
        <v>3.4890797747040221</v>
      </c>
    </row>
    <row r="949" spans="1:20" ht="16.5" customHeight="1" x14ac:dyDescent="0.25">
      <c r="A949" s="5" t="s">
        <v>6767</v>
      </c>
      <c r="B949" s="20" t="s">
        <v>4511</v>
      </c>
      <c r="C949" s="4" t="s">
        <v>8798</v>
      </c>
      <c r="D949" s="4" t="s">
        <v>9023</v>
      </c>
      <c r="E949" s="12" t="s">
        <v>407</v>
      </c>
      <c r="F949" s="75" t="s">
        <v>6723</v>
      </c>
      <c r="G949" s="3">
        <v>48</v>
      </c>
      <c r="H949" s="3" t="s">
        <v>6736</v>
      </c>
      <c r="I949" s="13" t="s">
        <v>225</v>
      </c>
      <c r="J949" s="72">
        <v>1.35</v>
      </c>
      <c r="K949" s="14" t="s">
        <v>4436</v>
      </c>
      <c r="L949" s="9">
        <v>167.9</v>
      </c>
      <c r="M949" s="3">
        <v>217.14</v>
      </c>
      <c r="N949" s="17" t="s">
        <v>4512</v>
      </c>
      <c r="O949" s="18" t="s">
        <v>4510</v>
      </c>
      <c r="P949" s="49">
        <f t="shared" si="57"/>
        <v>2.9239183012104721</v>
      </c>
      <c r="Q949" s="1">
        <f t="shared" si="58"/>
        <v>3.7500866354657298</v>
      </c>
      <c r="R949" s="1">
        <f t="shared" si="60"/>
        <v>3.912420792588962</v>
      </c>
      <c r="S949" s="10">
        <f t="shared" si="59"/>
        <v>3.3370024683381008</v>
      </c>
      <c r="T949" s="45" cm="1">
        <f t="array" ref="T949">SUMPRODUCT(P949:S949 * P$3:S$3) / SUM(P$3:S$3)</f>
        <v>3.4890797747040221</v>
      </c>
    </row>
    <row r="950" spans="1:20" ht="16.5" customHeight="1" x14ac:dyDescent="0.25">
      <c r="A950" s="5" t="s">
        <v>6939</v>
      </c>
      <c r="B950" s="20" t="s">
        <v>6556</v>
      </c>
      <c r="C950" s="4" t="s">
        <v>8796</v>
      </c>
      <c r="D950" s="4" t="s">
        <v>9024</v>
      </c>
      <c r="E950" s="12" t="s">
        <v>407</v>
      </c>
      <c r="F950" s="75" t="s">
        <v>6723</v>
      </c>
      <c r="G950" s="3">
        <v>48</v>
      </c>
      <c r="H950" s="3" t="s">
        <v>404</v>
      </c>
      <c r="I950" s="13" t="s">
        <v>6741</v>
      </c>
      <c r="J950" s="72">
        <v>1.4</v>
      </c>
      <c r="K950" s="14" t="s">
        <v>6530</v>
      </c>
      <c r="L950" s="9">
        <v>240.42</v>
      </c>
      <c r="M950" s="3">
        <v>272.14</v>
      </c>
      <c r="N950" s="17" t="s">
        <v>6557</v>
      </c>
      <c r="O950" s="18" t="s">
        <v>6555</v>
      </c>
      <c r="P950" s="49">
        <f t="shared" si="57"/>
        <v>2.9616471091931156</v>
      </c>
      <c r="Q950" s="1">
        <f t="shared" si="58"/>
        <v>3.7762928431592986</v>
      </c>
      <c r="R950" s="1">
        <f t="shared" si="60"/>
        <v>3.9351960093128322</v>
      </c>
      <c r="S950" s="10">
        <f t="shared" si="59"/>
        <v>3.3689699761762073</v>
      </c>
      <c r="T950" s="45" cm="1">
        <f t="array" ref="T950">SUMPRODUCT(P950:S950 * P$3:S$3) / SUM(P$3:S$3)</f>
        <v>3.5187467300407791</v>
      </c>
    </row>
    <row r="951" spans="1:20" ht="16.5" customHeight="1" x14ac:dyDescent="0.25">
      <c r="A951" s="5" t="s">
        <v>6939</v>
      </c>
      <c r="B951" s="20" t="s">
        <v>6608</v>
      </c>
      <c r="C951" s="4" t="s">
        <v>8796</v>
      </c>
      <c r="D951" s="4" t="s">
        <v>9024</v>
      </c>
      <c r="E951" s="12" t="s">
        <v>407</v>
      </c>
      <c r="F951" s="75" t="s">
        <v>6723</v>
      </c>
      <c r="G951" s="3">
        <v>48</v>
      </c>
      <c r="H951" s="3" t="s">
        <v>404</v>
      </c>
      <c r="I951" s="13" t="s">
        <v>6741</v>
      </c>
      <c r="J951" s="72">
        <v>1.4</v>
      </c>
      <c r="K951" s="14" t="s">
        <v>6530</v>
      </c>
      <c r="L951" s="9">
        <v>239.79</v>
      </c>
      <c r="M951" s="3">
        <v>284.26</v>
      </c>
      <c r="N951" s="17" t="s">
        <v>6609</v>
      </c>
      <c r="O951" s="18" t="s">
        <v>6607</v>
      </c>
      <c r="P951" s="49">
        <f t="shared" si="57"/>
        <v>2.9616471091931156</v>
      </c>
      <c r="Q951" s="1">
        <f t="shared" si="58"/>
        <v>3.7762928431592986</v>
      </c>
      <c r="R951" s="1">
        <f t="shared" si="60"/>
        <v>3.9351960093128322</v>
      </c>
      <c r="S951" s="10">
        <f t="shared" si="59"/>
        <v>3.3689699761762073</v>
      </c>
      <c r="T951" s="45" cm="1">
        <f t="array" ref="T951">SUMPRODUCT(P951:S951 * P$3:S$3) / SUM(P$3:S$3)</f>
        <v>3.5187467300407791</v>
      </c>
    </row>
    <row r="952" spans="1:20" ht="16.5" customHeight="1" x14ac:dyDescent="0.25">
      <c r="A952" s="5" t="s">
        <v>6883</v>
      </c>
      <c r="B952" s="20" t="s">
        <v>5972</v>
      </c>
      <c r="C952" s="4" t="s">
        <v>8796</v>
      </c>
      <c r="D952" s="4" t="s">
        <v>9024</v>
      </c>
      <c r="E952" s="12" t="s">
        <v>407</v>
      </c>
      <c r="F952" s="75" t="s">
        <v>6723</v>
      </c>
      <c r="G952" s="3">
        <v>48</v>
      </c>
      <c r="H952" s="3" t="s">
        <v>404</v>
      </c>
      <c r="I952" s="13" t="s">
        <v>6741</v>
      </c>
      <c r="J952" s="72">
        <v>1.4</v>
      </c>
      <c r="L952" s="9">
        <v>197.5</v>
      </c>
      <c r="M952" s="3">
        <v>240.52</v>
      </c>
      <c r="N952" s="17" t="s">
        <v>5973</v>
      </c>
      <c r="O952" s="18" t="s">
        <v>5971</v>
      </c>
      <c r="P952" s="49">
        <f t="shared" si="57"/>
        <v>2.9616471091931156</v>
      </c>
      <c r="Q952" s="1">
        <f t="shared" si="58"/>
        <v>3.7762928431592986</v>
      </c>
      <c r="R952" s="1">
        <f t="shared" si="60"/>
        <v>3.9351960093128322</v>
      </c>
      <c r="S952" s="10">
        <f t="shared" si="59"/>
        <v>3.3689699761762073</v>
      </c>
      <c r="T952" s="45" cm="1">
        <f t="array" ref="T952">SUMPRODUCT(P952:S952 * P$3:S$3) / SUM(P$3:S$3)</f>
        <v>3.5187467300407791</v>
      </c>
    </row>
    <row r="953" spans="1:20" ht="16.5" customHeight="1" x14ac:dyDescent="0.25">
      <c r="A953" s="5" t="s">
        <v>6883</v>
      </c>
      <c r="B953" s="20" t="s">
        <v>6090</v>
      </c>
      <c r="C953" s="4" t="s">
        <v>8796</v>
      </c>
      <c r="D953" s="4" t="s">
        <v>9024</v>
      </c>
      <c r="E953" s="12" t="s">
        <v>407</v>
      </c>
      <c r="F953" s="75" t="s">
        <v>6723</v>
      </c>
      <c r="G953" s="3">
        <v>48</v>
      </c>
      <c r="H953" s="3" t="s">
        <v>404</v>
      </c>
      <c r="I953" s="13" t="s">
        <v>6739</v>
      </c>
      <c r="J953" s="72">
        <v>1.4</v>
      </c>
      <c r="L953" s="9">
        <v>148.9</v>
      </c>
      <c r="M953" s="3">
        <v>186.03</v>
      </c>
      <c r="N953" s="17" t="s">
        <v>6091</v>
      </c>
      <c r="O953" s="18" t="s">
        <v>6089</v>
      </c>
      <c r="P953" s="49">
        <f t="shared" si="57"/>
        <v>2.9466068228145659</v>
      </c>
      <c r="Q953" s="1">
        <f t="shared" si="58"/>
        <v>3.768772699970024</v>
      </c>
      <c r="R953" s="1">
        <f t="shared" si="60"/>
        <v>3.9276758661235571</v>
      </c>
      <c r="S953" s="10">
        <f t="shared" si="59"/>
        <v>3.3576897613922947</v>
      </c>
      <c r="T953" s="45" cm="1">
        <f t="array" ref="T953">SUMPRODUCT(P953:S953 * P$3:S$3) / SUM(P$3:S$3)</f>
        <v>3.5086234603629092</v>
      </c>
    </row>
    <row r="954" spans="1:20" ht="16.5" customHeight="1" x14ac:dyDescent="0.25">
      <c r="A954" s="5" t="s">
        <v>6883</v>
      </c>
      <c r="B954" s="20" t="s">
        <v>6093</v>
      </c>
      <c r="C954" s="4" t="s">
        <v>8796</v>
      </c>
      <c r="D954" s="4" t="s">
        <v>9024</v>
      </c>
      <c r="E954" s="12" t="s">
        <v>407</v>
      </c>
      <c r="F954" s="75" t="s">
        <v>6723</v>
      </c>
      <c r="G954" s="3">
        <v>48</v>
      </c>
      <c r="H954" s="3" t="s">
        <v>404</v>
      </c>
      <c r="I954" s="13" t="s">
        <v>6741</v>
      </c>
      <c r="J954" s="72">
        <v>1.4</v>
      </c>
      <c r="L954" s="9">
        <v>184.62</v>
      </c>
      <c r="M954" s="3">
        <v>240.23</v>
      </c>
      <c r="N954" s="17" t="s">
        <v>6094</v>
      </c>
      <c r="O954" s="18" t="s">
        <v>6092</v>
      </c>
      <c r="P954" s="49">
        <f t="shared" si="57"/>
        <v>2.9616471091931156</v>
      </c>
      <c r="Q954" s="1">
        <f t="shared" si="58"/>
        <v>3.7762928431592986</v>
      </c>
      <c r="R954" s="1">
        <f t="shared" si="60"/>
        <v>3.9351960093128322</v>
      </c>
      <c r="S954" s="10">
        <f t="shared" si="59"/>
        <v>3.3689699761762073</v>
      </c>
      <c r="T954" s="45" cm="1">
        <f t="array" ref="T954">SUMPRODUCT(P954:S954 * P$3:S$3) / SUM(P$3:S$3)</f>
        <v>3.5187467300407791</v>
      </c>
    </row>
    <row r="955" spans="1:20" ht="16.5" customHeight="1" x14ac:dyDescent="0.25">
      <c r="A955" s="5" t="s">
        <v>6883</v>
      </c>
      <c r="B955" s="20" t="s">
        <v>6321</v>
      </c>
      <c r="C955" s="4" t="s">
        <v>8796</v>
      </c>
      <c r="D955" s="4" t="s">
        <v>9024</v>
      </c>
      <c r="E955" s="12" t="s">
        <v>407</v>
      </c>
      <c r="F955" s="75" t="s">
        <v>6723</v>
      </c>
      <c r="G955" s="3">
        <v>48</v>
      </c>
      <c r="H955" s="3" t="s">
        <v>404</v>
      </c>
      <c r="I955" s="13" t="s">
        <v>6739</v>
      </c>
      <c r="J955" s="72">
        <v>1.4</v>
      </c>
      <c r="K955" s="14" t="s">
        <v>6175</v>
      </c>
      <c r="L955" s="9">
        <v>149.41999999999999</v>
      </c>
      <c r="M955" s="3">
        <v>194.99</v>
      </c>
      <c r="N955" s="17" t="s">
        <v>6322</v>
      </c>
      <c r="O955" s="18" t="s">
        <v>6320</v>
      </c>
      <c r="P955" s="49">
        <f t="shared" si="57"/>
        <v>2.9466068228145659</v>
      </c>
      <c r="Q955" s="1">
        <f t="shared" si="58"/>
        <v>3.768772699970024</v>
      </c>
      <c r="R955" s="1">
        <f t="shared" si="60"/>
        <v>3.9276758661235571</v>
      </c>
      <c r="S955" s="10">
        <f t="shared" si="59"/>
        <v>3.3576897613922947</v>
      </c>
      <c r="T955" s="45" cm="1">
        <f t="array" ref="T955">SUMPRODUCT(P955:S955 * P$3:S$3) / SUM(P$3:S$3)</f>
        <v>3.5086234603629092</v>
      </c>
    </row>
    <row r="956" spans="1:20" ht="16.5" customHeight="1" x14ac:dyDescent="0.25">
      <c r="A956" s="5" t="s">
        <v>6883</v>
      </c>
      <c r="B956" s="20" t="s">
        <v>6324</v>
      </c>
      <c r="C956" s="4" t="s">
        <v>8796</v>
      </c>
      <c r="D956" s="4" t="s">
        <v>9024</v>
      </c>
      <c r="E956" s="12" t="s">
        <v>407</v>
      </c>
      <c r="F956" s="75" t="s">
        <v>6723</v>
      </c>
      <c r="G956" s="3">
        <v>48</v>
      </c>
      <c r="H956" s="3" t="s">
        <v>404</v>
      </c>
      <c r="I956" s="13" t="s">
        <v>6741</v>
      </c>
      <c r="J956" s="72">
        <v>1.4</v>
      </c>
      <c r="K956" s="14" t="s">
        <v>6175</v>
      </c>
      <c r="L956" s="9">
        <v>197.9</v>
      </c>
      <c r="M956" s="3">
        <v>240</v>
      </c>
      <c r="N956" s="17" t="s">
        <v>6325</v>
      </c>
      <c r="O956" s="18" t="s">
        <v>6323</v>
      </c>
      <c r="P956" s="49">
        <f t="shared" si="57"/>
        <v>2.9616471091931156</v>
      </c>
      <c r="Q956" s="1">
        <f t="shared" si="58"/>
        <v>3.7762928431592986</v>
      </c>
      <c r="R956" s="1">
        <f t="shared" si="60"/>
        <v>3.9351960093128322</v>
      </c>
      <c r="S956" s="10">
        <f t="shared" si="59"/>
        <v>3.3689699761762073</v>
      </c>
      <c r="T956" s="45" cm="1">
        <f t="array" ref="T956">SUMPRODUCT(P956:S956 * P$3:S$3) / SUM(P$3:S$3)</f>
        <v>3.5187467300407791</v>
      </c>
    </row>
    <row r="957" spans="1:20" ht="16.5" customHeight="1" x14ac:dyDescent="0.25">
      <c r="A957" s="5" t="s">
        <v>6883</v>
      </c>
      <c r="B957" s="20" t="s">
        <v>6418</v>
      </c>
      <c r="C957" s="4" t="s">
        <v>8796</v>
      </c>
      <c r="D957" s="4" t="s">
        <v>9024</v>
      </c>
      <c r="E957" s="12" t="s">
        <v>407</v>
      </c>
      <c r="F957" s="75" t="s">
        <v>6723</v>
      </c>
      <c r="G957" s="3">
        <v>48</v>
      </c>
      <c r="H957" s="3" t="s">
        <v>404</v>
      </c>
      <c r="I957" s="13" t="s">
        <v>6741</v>
      </c>
      <c r="J957" s="72">
        <v>1.4</v>
      </c>
      <c r="K957" s="14" t="s">
        <v>6175</v>
      </c>
      <c r="L957" s="9">
        <v>213.97</v>
      </c>
      <c r="M957" s="3">
        <v>250.91</v>
      </c>
      <c r="N957" s="17" t="s">
        <v>6419</v>
      </c>
      <c r="O957" s="18" t="s">
        <v>6417</v>
      </c>
      <c r="P957" s="49">
        <f t="shared" si="57"/>
        <v>2.9616471091931156</v>
      </c>
      <c r="Q957" s="1">
        <f t="shared" si="58"/>
        <v>3.7762928431592986</v>
      </c>
      <c r="R957" s="1">
        <f t="shared" si="60"/>
        <v>3.9351960093128322</v>
      </c>
      <c r="S957" s="10">
        <f t="shared" si="59"/>
        <v>3.3689699761762073</v>
      </c>
      <c r="T957" s="45" cm="1">
        <f t="array" ref="T957">SUMPRODUCT(P957:S957 * P$3:S$3) / SUM(P$3:S$3)</f>
        <v>3.5187467300407791</v>
      </c>
    </row>
    <row r="958" spans="1:20" ht="16.5" customHeight="1" x14ac:dyDescent="0.25">
      <c r="A958" s="5" t="s">
        <v>6883</v>
      </c>
      <c r="B958" s="20" t="s">
        <v>6481</v>
      </c>
      <c r="C958" s="4" t="s">
        <v>8796</v>
      </c>
      <c r="D958" s="4" t="s">
        <v>9024</v>
      </c>
      <c r="E958" s="12" t="s">
        <v>407</v>
      </c>
      <c r="F958" s="75" t="s">
        <v>6723</v>
      </c>
      <c r="G958" s="3">
        <v>48</v>
      </c>
      <c r="H958" s="3" t="s">
        <v>404</v>
      </c>
      <c r="I958" s="13" t="s">
        <v>6741</v>
      </c>
      <c r="J958" s="72">
        <v>1.4</v>
      </c>
      <c r="L958" s="9">
        <v>203.11</v>
      </c>
      <c r="M958" s="3">
        <v>229.2</v>
      </c>
      <c r="N958" s="17" t="s">
        <v>6482</v>
      </c>
      <c r="O958" s="18" t="s">
        <v>6480</v>
      </c>
      <c r="P958" s="49">
        <f t="shared" si="57"/>
        <v>2.9616471091931156</v>
      </c>
      <c r="Q958" s="1">
        <f t="shared" si="58"/>
        <v>3.7762928431592986</v>
      </c>
      <c r="R958" s="1">
        <f t="shared" si="60"/>
        <v>3.9351960093128322</v>
      </c>
      <c r="S958" s="10">
        <f t="shared" si="59"/>
        <v>3.3689699761762073</v>
      </c>
      <c r="T958" s="45" cm="1">
        <f t="array" ref="T958">SUMPRODUCT(P958:S958 * P$3:S$3) / SUM(P$3:S$3)</f>
        <v>3.5187467300407791</v>
      </c>
    </row>
    <row r="959" spans="1:20" ht="16.5" customHeight="1" x14ac:dyDescent="0.25">
      <c r="A959" s="5" t="s">
        <v>6872</v>
      </c>
      <c r="B959" s="20" t="s">
        <v>5910</v>
      </c>
      <c r="C959" s="4" t="s">
        <v>8797</v>
      </c>
      <c r="D959" s="4" t="s">
        <v>9024</v>
      </c>
      <c r="E959" s="12" t="s">
        <v>407</v>
      </c>
      <c r="F959" s="75" t="s">
        <v>6723</v>
      </c>
      <c r="G959" s="3">
        <v>48</v>
      </c>
      <c r="H959" s="3" t="s">
        <v>404</v>
      </c>
      <c r="I959" s="13" t="s">
        <v>6740</v>
      </c>
      <c r="J959" s="72">
        <v>1.35</v>
      </c>
      <c r="L959" s="9">
        <v>145.9</v>
      </c>
      <c r="M959" s="3">
        <v>185.41</v>
      </c>
      <c r="N959" s="17" t="s">
        <v>5911</v>
      </c>
      <c r="O959" s="18" t="s">
        <v>5909</v>
      </c>
      <c r="P959" s="49">
        <f t="shared" si="57"/>
        <v>2.9405053895279041</v>
      </c>
      <c r="Q959" s="1">
        <f t="shared" si="58"/>
        <v>3.7666563751262161</v>
      </c>
      <c r="R959" s="1">
        <f t="shared" si="60"/>
        <v>3.9255595412797497</v>
      </c>
      <c r="S959" s="10">
        <f t="shared" si="59"/>
        <v>3.3535808823270603</v>
      </c>
      <c r="T959" s="45" cm="1">
        <f t="array" ref="T959">SUMPRODUCT(P959:S959 * P$3:S$3) / SUM(P$3:S$3)</f>
        <v>3.5051276749042675</v>
      </c>
    </row>
    <row r="960" spans="1:20" ht="16.5" customHeight="1" x14ac:dyDescent="0.25">
      <c r="A960" s="5" t="s">
        <v>6855</v>
      </c>
      <c r="B960" s="20" t="s">
        <v>5737</v>
      </c>
      <c r="C960" s="4" t="s">
        <v>8797</v>
      </c>
      <c r="D960" s="4" t="s">
        <v>9024</v>
      </c>
      <c r="E960" s="12" t="s">
        <v>407</v>
      </c>
      <c r="F960" s="75" t="s">
        <v>6723</v>
      </c>
      <c r="G960" s="3">
        <v>48</v>
      </c>
      <c r="H960" s="3" t="s">
        <v>404</v>
      </c>
      <c r="I960" s="13" t="s">
        <v>6741</v>
      </c>
      <c r="J960" s="72">
        <v>1.35</v>
      </c>
      <c r="K960" s="14" t="s">
        <v>5196</v>
      </c>
      <c r="L960" s="9">
        <v>159.19999999999999</v>
      </c>
      <c r="M960" s="3">
        <v>205.54</v>
      </c>
      <c r="N960" s="17" t="s">
        <v>5738</v>
      </c>
      <c r="O960" s="18" t="s">
        <v>5736</v>
      </c>
      <c r="P960" s="49">
        <f t="shared" si="57"/>
        <v>2.9635158927921621</v>
      </c>
      <c r="Q960" s="1">
        <f t="shared" si="58"/>
        <v>3.7781616267583451</v>
      </c>
      <c r="R960" s="1">
        <f t="shared" si="60"/>
        <v>3.9370647929118787</v>
      </c>
      <c r="S960" s="10">
        <f t="shared" si="59"/>
        <v>3.3708387597752534</v>
      </c>
      <c r="T960" s="45" cm="1">
        <f t="array" ref="T960">SUMPRODUCT(P960:S960 * P$3:S$3) / SUM(P$3:S$3)</f>
        <v>3.5206155136398252</v>
      </c>
    </row>
    <row r="961" spans="1:20" ht="16.5" customHeight="1" x14ac:dyDescent="0.25">
      <c r="A961" s="5" t="s">
        <v>6855</v>
      </c>
      <c r="B961" s="20" t="s">
        <v>5802</v>
      </c>
      <c r="C961" s="4" t="s">
        <v>8797</v>
      </c>
      <c r="D961" s="4" t="s">
        <v>9024</v>
      </c>
      <c r="E961" s="12" t="s">
        <v>407</v>
      </c>
      <c r="F961" s="75" t="s">
        <v>6723</v>
      </c>
      <c r="G961" s="3">
        <v>48</v>
      </c>
      <c r="H961" s="3" t="s">
        <v>404</v>
      </c>
      <c r="I961" s="13" t="s">
        <v>6741</v>
      </c>
      <c r="J961" s="72">
        <v>1.35</v>
      </c>
      <c r="K961" s="14" t="s">
        <v>5196</v>
      </c>
      <c r="L961" s="9">
        <v>159.19999999999999</v>
      </c>
      <c r="M961" s="3">
        <v>202.29</v>
      </c>
      <c r="N961" s="17" t="s">
        <v>5803</v>
      </c>
      <c r="O961" s="18" t="s">
        <v>5801</v>
      </c>
      <c r="P961" s="49">
        <f t="shared" si="57"/>
        <v>2.9635158927921621</v>
      </c>
      <c r="Q961" s="1">
        <f t="shared" si="58"/>
        <v>3.7781616267583451</v>
      </c>
      <c r="R961" s="1">
        <f t="shared" si="60"/>
        <v>3.9370647929118787</v>
      </c>
      <c r="S961" s="10">
        <f t="shared" si="59"/>
        <v>3.3708387597752534</v>
      </c>
      <c r="T961" s="45" cm="1">
        <f t="array" ref="T961">SUMPRODUCT(P961:S961 * P$3:S$3) / SUM(P$3:S$3)</f>
        <v>3.5206155136398252</v>
      </c>
    </row>
    <row r="962" spans="1:20" ht="16.5" customHeight="1" x14ac:dyDescent="0.25">
      <c r="A962" s="5" t="s">
        <v>6866</v>
      </c>
      <c r="B962" s="20" t="s">
        <v>5871</v>
      </c>
      <c r="C962" s="4" t="s">
        <v>8797</v>
      </c>
      <c r="D962" s="4" t="s">
        <v>9024</v>
      </c>
      <c r="E962" s="12" t="s">
        <v>407</v>
      </c>
      <c r="F962" s="75" t="s">
        <v>6723</v>
      </c>
      <c r="G962" s="3">
        <v>48</v>
      </c>
      <c r="H962" s="3" t="s">
        <v>404</v>
      </c>
      <c r="I962" s="13" t="s">
        <v>6741</v>
      </c>
      <c r="J962" s="72">
        <v>1.35</v>
      </c>
      <c r="K962" s="14" t="s">
        <v>5196</v>
      </c>
      <c r="L962" s="9">
        <v>159.19999999999999</v>
      </c>
      <c r="M962" s="3">
        <v>202.29</v>
      </c>
      <c r="N962" s="17" t="s">
        <v>5872</v>
      </c>
      <c r="O962" s="18" t="s">
        <v>5870</v>
      </c>
      <c r="P962" s="49">
        <f t="shared" si="57"/>
        <v>2.9635158927921621</v>
      </c>
      <c r="Q962" s="1">
        <f t="shared" si="58"/>
        <v>3.7781616267583451</v>
      </c>
      <c r="R962" s="1">
        <f t="shared" si="60"/>
        <v>3.9370647929118787</v>
      </c>
      <c r="S962" s="10">
        <f t="shared" si="59"/>
        <v>3.3708387597752534</v>
      </c>
      <c r="T962" s="45" cm="1">
        <f t="array" ref="T962">SUMPRODUCT(P962:S962 * P$3:S$3) / SUM(P$3:S$3)</f>
        <v>3.5206155136398252</v>
      </c>
    </row>
    <row r="963" spans="1:20" ht="16.5" customHeight="1" x14ac:dyDescent="0.25">
      <c r="A963" s="5" t="s">
        <v>6835</v>
      </c>
      <c r="B963" s="20" t="s">
        <v>5590</v>
      </c>
      <c r="C963" s="4" t="s">
        <v>8797</v>
      </c>
      <c r="D963" s="4" t="s">
        <v>9024</v>
      </c>
      <c r="E963" s="12" t="s">
        <v>407</v>
      </c>
      <c r="F963" s="75" t="s">
        <v>6723</v>
      </c>
      <c r="G963" s="3">
        <v>48</v>
      </c>
      <c r="H963" s="3" t="s">
        <v>404</v>
      </c>
      <c r="I963" s="13" t="s">
        <v>6741</v>
      </c>
      <c r="J963" s="72">
        <v>1.35</v>
      </c>
      <c r="L963" s="9">
        <v>151.1</v>
      </c>
      <c r="M963" s="3">
        <v>209.99</v>
      </c>
      <c r="N963" s="17" t="s">
        <v>5591</v>
      </c>
      <c r="O963" s="18" t="s">
        <v>5589</v>
      </c>
      <c r="P963" s="49">
        <f t="shared" si="57"/>
        <v>2.9635158927921621</v>
      </c>
      <c r="Q963" s="1">
        <f t="shared" si="58"/>
        <v>3.7781616267583451</v>
      </c>
      <c r="R963" s="1">
        <f t="shared" si="60"/>
        <v>3.9370647929118787</v>
      </c>
      <c r="S963" s="10">
        <f t="shared" si="59"/>
        <v>3.3708387597752534</v>
      </c>
      <c r="T963" s="45" cm="1">
        <f t="array" ref="T963">SUMPRODUCT(P963:S963 * P$3:S$3) / SUM(P$3:S$3)</f>
        <v>3.5206155136398252</v>
      </c>
    </row>
    <row r="964" spans="1:20" ht="16.5" customHeight="1" x14ac:dyDescent="0.25">
      <c r="A964" s="5" t="s">
        <v>6835</v>
      </c>
      <c r="B964" s="20" t="s">
        <v>5666</v>
      </c>
      <c r="C964" s="4" t="s">
        <v>8797</v>
      </c>
      <c r="D964" s="4" t="s">
        <v>9024</v>
      </c>
      <c r="E964" s="12" t="s">
        <v>407</v>
      </c>
      <c r="F964" s="75" t="s">
        <v>6723</v>
      </c>
      <c r="G964" s="3">
        <v>48</v>
      </c>
      <c r="H964" s="3" t="s">
        <v>404</v>
      </c>
      <c r="I964" s="13" t="s">
        <v>6741</v>
      </c>
      <c r="J964" s="72">
        <v>1.35</v>
      </c>
      <c r="L964" s="9">
        <v>151.1</v>
      </c>
      <c r="M964" s="3">
        <v>193.96</v>
      </c>
      <c r="N964" s="17" t="s">
        <v>5667</v>
      </c>
      <c r="O964" s="18" t="s">
        <v>5665</v>
      </c>
      <c r="P964" s="49">
        <f t="shared" si="57"/>
        <v>2.9635158927921621</v>
      </c>
      <c r="Q964" s="1">
        <f t="shared" si="58"/>
        <v>3.7781616267583451</v>
      </c>
      <c r="R964" s="1">
        <f t="shared" si="60"/>
        <v>3.9370647929118787</v>
      </c>
      <c r="S964" s="10">
        <f t="shared" si="59"/>
        <v>3.3708387597752534</v>
      </c>
      <c r="T964" s="45" cm="1">
        <f t="array" ref="T964">SUMPRODUCT(P964:S964 * P$3:S$3) / SUM(P$3:S$3)</f>
        <v>3.5206155136398252</v>
      </c>
    </row>
    <row r="965" spans="1:20" ht="16.5" customHeight="1" x14ac:dyDescent="0.25">
      <c r="A965" s="5" t="s">
        <v>6829</v>
      </c>
      <c r="B965" s="20" t="s">
        <v>5391</v>
      </c>
      <c r="C965" s="4" t="s">
        <v>8797</v>
      </c>
      <c r="D965" s="4" t="s">
        <v>9024</v>
      </c>
      <c r="E965" s="12" t="s">
        <v>407</v>
      </c>
      <c r="F965" s="75" t="s">
        <v>6723</v>
      </c>
      <c r="G965" s="3">
        <v>48</v>
      </c>
      <c r="H965" s="3" t="s">
        <v>404</v>
      </c>
      <c r="I965" s="13" t="s">
        <v>6740</v>
      </c>
      <c r="J965" s="72">
        <v>1.35</v>
      </c>
      <c r="K965" s="14" t="s">
        <v>5196</v>
      </c>
      <c r="L965" s="9">
        <v>146.28</v>
      </c>
      <c r="M965" s="3">
        <v>189.13</v>
      </c>
      <c r="N965" s="17" t="s">
        <v>5392</v>
      </c>
      <c r="O965" s="18" t="s">
        <v>5390</v>
      </c>
      <c r="P965" s="49">
        <f t="shared" si="57"/>
        <v>2.9405053895279041</v>
      </c>
      <c r="Q965" s="1">
        <f t="shared" si="58"/>
        <v>3.7666563751262161</v>
      </c>
      <c r="R965" s="1">
        <f t="shared" si="60"/>
        <v>3.9255595412797497</v>
      </c>
      <c r="S965" s="10">
        <f t="shared" si="59"/>
        <v>3.3535808823270603</v>
      </c>
      <c r="T965" s="45" cm="1">
        <f t="array" ref="T965">SUMPRODUCT(P965:S965 * P$3:S$3) / SUM(P$3:S$3)</f>
        <v>3.5051276749042675</v>
      </c>
    </row>
    <row r="966" spans="1:20" ht="16.5" customHeight="1" x14ac:dyDescent="0.25">
      <c r="A966" s="5" t="s">
        <v>6829</v>
      </c>
      <c r="B966" s="20" t="s">
        <v>5485</v>
      </c>
      <c r="C966" s="4" t="s">
        <v>8797</v>
      </c>
      <c r="D966" s="4" t="s">
        <v>9024</v>
      </c>
      <c r="E966" s="12" t="s">
        <v>407</v>
      </c>
      <c r="F966" s="75" t="s">
        <v>6723</v>
      </c>
      <c r="G966" s="3">
        <v>48</v>
      </c>
      <c r="H966" s="3" t="s">
        <v>404</v>
      </c>
      <c r="I966" s="13" t="s">
        <v>6743</v>
      </c>
      <c r="J966" s="72">
        <v>1.35</v>
      </c>
      <c r="K966" s="14" t="s">
        <v>5476</v>
      </c>
      <c r="L966" s="9">
        <v>281</v>
      </c>
      <c r="M966" s="3">
        <v>321.43</v>
      </c>
      <c r="N966" s="17" t="s">
        <v>5486</v>
      </c>
      <c r="O966" s="18" t="s">
        <v>5484</v>
      </c>
      <c r="P966" s="49">
        <f t="shared" si="57"/>
        <v>2.9696504063381788</v>
      </c>
      <c r="Q966" s="1">
        <f t="shared" si="58"/>
        <v>3.7812288835313539</v>
      </c>
      <c r="R966" s="1">
        <f t="shared" si="60"/>
        <v>3.9401320496848871</v>
      </c>
      <c r="S966" s="10">
        <f t="shared" si="59"/>
        <v>3.3754396449347666</v>
      </c>
      <c r="T966" s="45" cm="1">
        <f t="array" ref="T966">SUMPRODUCT(P966:S966 * P$3:S$3) / SUM(P$3:S$3)</f>
        <v>3.5247445131419517</v>
      </c>
    </row>
    <row r="967" spans="1:20" ht="16.5" customHeight="1" x14ac:dyDescent="0.25">
      <c r="A967" s="5" t="s">
        <v>6829</v>
      </c>
      <c r="B967" s="20" t="s">
        <v>5518</v>
      </c>
      <c r="C967" s="4" t="s">
        <v>8797</v>
      </c>
      <c r="D967" s="4" t="s">
        <v>9024</v>
      </c>
      <c r="E967" s="12" t="s">
        <v>407</v>
      </c>
      <c r="F967" s="75" t="s">
        <v>6723</v>
      </c>
      <c r="G967" s="3">
        <v>48</v>
      </c>
      <c r="H967" s="3" t="s">
        <v>404</v>
      </c>
      <c r="I967" s="13" t="s">
        <v>6740</v>
      </c>
      <c r="J967" s="72">
        <v>1.35</v>
      </c>
      <c r="K967" s="14" t="s">
        <v>5476</v>
      </c>
      <c r="L967" s="9">
        <v>163.9</v>
      </c>
      <c r="M967" s="3">
        <v>204.99</v>
      </c>
      <c r="N967" s="17" t="s">
        <v>5519</v>
      </c>
      <c r="O967" s="18" t="s">
        <v>5517</v>
      </c>
      <c r="P967" s="49">
        <f t="shared" si="57"/>
        <v>2.9405053895279041</v>
      </c>
      <c r="Q967" s="1">
        <f t="shared" si="58"/>
        <v>3.7666563751262161</v>
      </c>
      <c r="R967" s="1">
        <f t="shared" si="60"/>
        <v>3.9255595412797497</v>
      </c>
      <c r="S967" s="10">
        <f t="shared" si="59"/>
        <v>3.3535808823270603</v>
      </c>
      <c r="T967" s="45" cm="1">
        <f t="array" ref="T967">SUMPRODUCT(P967:S967 * P$3:S$3) / SUM(P$3:S$3)</f>
        <v>3.5051276749042675</v>
      </c>
    </row>
    <row r="968" spans="1:20" ht="16.5" customHeight="1" x14ac:dyDescent="0.25">
      <c r="A968" s="5" t="s">
        <v>6829</v>
      </c>
      <c r="B968" s="20" t="s">
        <v>5521</v>
      </c>
      <c r="C968" s="4" t="s">
        <v>8797</v>
      </c>
      <c r="D968" s="4" t="s">
        <v>9024</v>
      </c>
      <c r="E968" s="12" t="s">
        <v>407</v>
      </c>
      <c r="F968" s="75" t="s">
        <v>6723</v>
      </c>
      <c r="G968" s="3">
        <v>48</v>
      </c>
      <c r="H968" s="3" t="s">
        <v>404</v>
      </c>
      <c r="I968" s="13" t="s">
        <v>6743</v>
      </c>
      <c r="J968" s="72">
        <v>1.35</v>
      </c>
      <c r="K968" s="14" t="s">
        <v>5476</v>
      </c>
      <c r="L968" s="9">
        <v>281</v>
      </c>
      <c r="M968" s="3">
        <v>321.43</v>
      </c>
      <c r="N968" s="17" t="s">
        <v>5522</v>
      </c>
      <c r="O968" s="18" t="s">
        <v>5520</v>
      </c>
      <c r="P968" s="49">
        <f t="shared" si="57"/>
        <v>2.9696504063381788</v>
      </c>
      <c r="Q968" s="1">
        <f t="shared" si="58"/>
        <v>3.7812288835313539</v>
      </c>
      <c r="R968" s="1">
        <f t="shared" si="60"/>
        <v>3.9401320496848871</v>
      </c>
      <c r="S968" s="10">
        <f t="shared" si="59"/>
        <v>3.3754396449347666</v>
      </c>
      <c r="T968" s="45" cm="1">
        <f t="array" ref="T968">SUMPRODUCT(P968:S968 * P$3:S$3) / SUM(P$3:S$3)</f>
        <v>3.5247445131419517</v>
      </c>
    </row>
    <row r="969" spans="1:20" ht="16.5" customHeight="1" x14ac:dyDescent="0.25">
      <c r="A969" s="5" t="s">
        <v>6958</v>
      </c>
      <c r="B969" s="20" t="s">
        <v>6661</v>
      </c>
      <c r="C969" s="4" t="s">
        <v>8796</v>
      </c>
      <c r="D969" s="4" t="s">
        <v>9025</v>
      </c>
      <c r="E969" s="12" t="s">
        <v>407</v>
      </c>
      <c r="F969" s="75" t="s">
        <v>6723</v>
      </c>
      <c r="G969" s="3">
        <v>64</v>
      </c>
      <c r="H969" s="3" t="s">
        <v>404</v>
      </c>
      <c r="I969" s="13" t="s">
        <v>6740</v>
      </c>
      <c r="J969" s="72">
        <v>1.35</v>
      </c>
      <c r="K969" s="14" t="s">
        <v>6633</v>
      </c>
      <c r="L969" s="9">
        <v>239.9</v>
      </c>
      <c r="M969" s="3">
        <v>371</v>
      </c>
      <c r="N969" s="17" t="s">
        <v>6662</v>
      </c>
      <c r="O969" s="18" t="s">
        <v>6660</v>
      </c>
      <c r="P969" s="49">
        <f t="shared" si="57"/>
        <v>3.3215897311837232</v>
      </c>
      <c r="Q969" s="1">
        <f t="shared" si="58"/>
        <v>4.401796944552582</v>
      </c>
      <c r="R969" s="1">
        <f t="shared" si="60"/>
        <v>4.624214167648752</v>
      </c>
      <c r="S969" s="10">
        <f t="shared" si="59"/>
        <v>3.8616933378681528</v>
      </c>
      <c r="T969" s="45" cm="1">
        <f t="array" ref="T969">SUMPRODUCT(P969:S969 * P$3:S$3) / SUM(P$3:S$3)</f>
        <v>4.0620970973243109</v>
      </c>
    </row>
    <row r="970" spans="1:20" ht="16.5" customHeight="1" x14ac:dyDescent="0.25">
      <c r="A970" s="5" t="s">
        <v>6958</v>
      </c>
      <c r="B970" s="20" t="s">
        <v>6664</v>
      </c>
      <c r="C970" s="4" t="s">
        <v>8796</v>
      </c>
      <c r="D970" s="4" t="s">
        <v>9025</v>
      </c>
      <c r="E970" s="12" t="s">
        <v>407</v>
      </c>
      <c r="F970" s="75" t="s">
        <v>6723</v>
      </c>
      <c r="G970" s="3">
        <v>64</v>
      </c>
      <c r="H970" s="3" t="s">
        <v>404</v>
      </c>
      <c r="I970" s="13" t="s">
        <v>6741</v>
      </c>
      <c r="J970" s="72">
        <v>1.4</v>
      </c>
      <c r="K970" s="14" t="s">
        <v>6633</v>
      </c>
      <c r="L970" s="9">
        <v>267</v>
      </c>
      <c r="M970" s="3">
        <v>369.56</v>
      </c>
      <c r="N970" s="17" t="s">
        <v>6665</v>
      </c>
      <c r="O970" s="18" t="s">
        <v>6663</v>
      </c>
      <c r="P970" s="49">
        <f t="shared" ref="P970:P1033" si="61">(((F970/F$9)^F$7 * F$2 + (I970/I$9)^I$7 * I$2 + (J970/J$9)^J$7 * J$2) * (1+M$3*(MIN(H970,M$2)-1)+M$4*(H970-MIN(H970,M$2))) + (G970/G$9)^G$7 * G$2)  * P$9</f>
        <v>3.3427314508489347</v>
      </c>
      <c r="Q970" s="1">
        <f t="shared" ref="Q970:Q1033" si="62">(((F970/F$9)^F$7 * F$3 + (I970/I$9)^I$7 * I$3 + (J970/J$9)^J$7 * J$3) * (1+M$3*(MIN(H970,M$2)-1)+M$4*(H970-MIN(H970,M$2))) + (G970/G$9)^G$7 * G$3)  * P$9</f>
        <v>4.4114334125856649</v>
      </c>
      <c r="R970" s="1">
        <f t="shared" si="60"/>
        <v>4.633850635681835</v>
      </c>
      <c r="S970" s="10">
        <f t="shared" ref="S970:S1033" si="63">(((F970/F$9)^F$7 * F$5 + (I970/I$9)^I$7 * I$5 + (J970/J$9)^J$7 * J$5) * (1+M$3*(MIN(H970,M$2)-1)+M$4*(H970-MIN(H970,M$2))) + (G970/G$9)^G$7 * G$5)  * P$9</f>
        <v>3.8770824317172998</v>
      </c>
      <c r="T970" s="45" cm="1">
        <f t="array" ref="T970">SUMPRODUCT(P970:S970 * P$3:S$3) / SUM(P$3:S$3)</f>
        <v>4.0757161524608234</v>
      </c>
    </row>
    <row r="971" spans="1:20" ht="16.5" customHeight="1" x14ac:dyDescent="0.25">
      <c r="A971" s="5" t="s">
        <v>6958</v>
      </c>
      <c r="B971" s="20" t="s">
        <v>6705</v>
      </c>
      <c r="C971" s="4" t="s">
        <v>8796</v>
      </c>
      <c r="D971" s="4" t="s">
        <v>9025</v>
      </c>
      <c r="E971" s="12" t="s">
        <v>407</v>
      </c>
      <c r="F971" s="75" t="s">
        <v>6723</v>
      </c>
      <c r="G971" s="3">
        <v>64</v>
      </c>
      <c r="H971" s="3" t="s">
        <v>404</v>
      </c>
      <c r="I971" s="13" t="s">
        <v>6741</v>
      </c>
      <c r="J971" s="72">
        <v>1.4</v>
      </c>
      <c r="K971" s="14" t="s">
        <v>6633</v>
      </c>
      <c r="L971" s="9">
        <v>267</v>
      </c>
      <c r="M971" s="3">
        <v>410</v>
      </c>
      <c r="N971" s="17" t="s">
        <v>6706</v>
      </c>
      <c r="O971" s="18" t="s">
        <v>6704</v>
      </c>
      <c r="P971" s="49">
        <f t="shared" si="61"/>
        <v>3.3427314508489347</v>
      </c>
      <c r="Q971" s="1">
        <f t="shared" si="62"/>
        <v>4.4114334125856649</v>
      </c>
      <c r="R971" s="1">
        <f t="shared" si="60"/>
        <v>4.633850635681835</v>
      </c>
      <c r="S971" s="10">
        <f t="shared" si="63"/>
        <v>3.8770824317172998</v>
      </c>
      <c r="T971" s="45" cm="1">
        <f t="array" ref="T971">SUMPRODUCT(P971:S971 * P$3:S$3) / SUM(P$3:S$3)</f>
        <v>4.0757161524608234</v>
      </c>
    </row>
    <row r="972" spans="1:20" ht="16.5" customHeight="1" x14ac:dyDescent="0.25">
      <c r="A972" s="5" t="s">
        <v>6936</v>
      </c>
      <c r="B972" s="20" t="s">
        <v>6547</v>
      </c>
      <c r="C972" s="4" t="s">
        <v>8796</v>
      </c>
      <c r="D972" s="4" t="s">
        <v>9025</v>
      </c>
      <c r="E972" s="12" t="s">
        <v>407</v>
      </c>
      <c r="F972" s="75" t="s">
        <v>6723</v>
      </c>
      <c r="G972" s="3">
        <v>64</v>
      </c>
      <c r="H972" s="3" t="s">
        <v>404</v>
      </c>
      <c r="I972" s="13" t="s">
        <v>6741</v>
      </c>
      <c r="J972" s="72">
        <v>1.4</v>
      </c>
      <c r="K972" s="14" t="s">
        <v>6530</v>
      </c>
      <c r="L972" s="9">
        <v>285.97000000000003</v>
      </c>
      <c r="M972" s="3">
        <v>362.49</v>
      </c>
      <c r="N972" s="17" t="s">
        <v>6548</v>
      </c>
      <c r="O972" s="18" t="s">
        <v>6546</v>
      </c>
      <c r="P972" s="49">
        <f t="shared" si="61"/>
        <v>3.3427314508489347</v>
      </c>
      <c r="Q972" s="1">
        <f t="shared" si="62"/>
        <v>4.4114334125856649</v>
      </c>
      <c r="R972" s="1">
        <f t="shared" si="60"/>
        <v>4.633850635681835</v>
      </c>
      <c r="S972" s="10">
        <f t="shared" si="63"/>
        <v>3.8770824317172998</v>
      </c>
      <c r="T972" s="45" cm="1">
        <f t="array" ref="T972">SUMPRODUCT(P972:S972 * P$3:S$3) / SUM(P$3:S$3)</f>
        <v>4.0757161524608234</v>
      </c>
    </row>
    <row r="973" spans="1:20" ht="16.5" customHeight="1" x14ac:dyDescent="0.25">
      <c r="A973" s="5" t="s">
        <v>6936</v>
      </c>
      <c r="B973" s="20" t="s">
        <v>6599</v>
      </c>
      <c r="C973" s="4" t="s">
        <v>8796</v>
      </c>
      <c r="D973" s="4" t="s">
        <v>9025</v>
      </c>
      <c r="E973" s="12" t="s">
        <v>407</v>
      </c>
      <c r="F973" s="75" t="s">
        <v>6723</v>
      </c>
      <c r="G973" s="3">
        <v>64</v>
      </c>
      <c r="H973" s="3" t="s">
        <v>404</v>
      </c>
      <c r="I973" s="13" t="s">
        <v>6741</v>
      </c>
      <c r="J973" s="72">
        <v>1.4</v>
      </c>
      <c r="K973" s="14" t="s">
        <v>6530</v>
      </c>
      <c r="L973" s="9">
        <v>285.98</v>
      </c>
      <c r="M973" s="3">
        <v>349.58</v>
      </c>
      <c r="N973" s="17" t="s">
        <v>6600</v>
      </c>
      <c r="O973" s="18" t="s">
        <v>6598</v>
      </c>
      <c r="P973" s="49">
        <f t="shared" si="61"/>
        <v>3.3427314508489347</v>
      </c>
      <c r="Q973" s="1">
        <f t="shared" si="62"/>
        <v>4.4114334125856649</v>
      </c>
      <c r="R973" s="1">
        <f t="shared" si="60"/>
        <v>4.633850635681835</v>
      </c>
      <c r="S973" s="10">
        <f t="shared" si="63"/>
        <v>3.8770824317172998</v>
      </c>
      <c r="T973" s="45" cm="1">
        <f t="array" ref="T973">SUMPRODUCT(P973:S973 * P$3:S$3) / SUM(P$3:S$3)</f>
        <v>4.0757161524608234</v>
      </c>
    </row>
    <row r="974" spans="1:20" ht="16.5" customHeight="1" x14ac:dyDescent="0.25">
      <c r="A974" s="5" t="s">
        <v>6936</v>
      </c>
      <c r="B974" s="20" t="s">
        <v>6626</v>
      </c>
      <c r="C974" s="4" t="s">
        <v>8796</v>
      </c>
      <c r="D974" s="4" t="s">
        <v>9025</v>
      </c>
      <c r="E974" s="12" t="s">
        <v>407</v>
      </c>
      <c r="F974" s="75" t="s">
        <v>6723</v>
      </c>
      <c r="G974" s="3">
        <v>64</v>
      </c>
      <c r="H974" s="3" t="s">
        <v>404</v>
      </c>
      <c r="I974" s="13" t="s">
        <v>6741</v>
      </c>
      <c r="J974" s="72">
        <v>1.4</v>
      </c>
      <c r="K974" s="14" t="s">
        <v>6530</v>
      </c>
      <c r="L974" s="9">
        <v>306.42</v>
      </c>
      <c r="M974" s="3">
        <v>420.81</v>
      </c>
      <c r="N974" s="17" t="s">
        <v>6627</v>
      </c>
      <c r="O974" s="18" t="s">
        <v>6625</v>
      </c>
      <c r="P974" s="49">
        <f t="shared" si="61"/>
        <v>3.3427314508489347</v>
      </c>
      <c r="Q974" s="1">
        <f t="shared" si="62"/>
        <v>4.4114334125856649</v>
      </c>
      <c r="R974" s="1">
        <f t="shared" si="60"/>
        <v>4.633850635681835</v>
      </c>
      <c r="S974" s="10">
        <f t="shared" si="63"/>
        <v>3.8770824317172998</v>
      </c>
      <c r="T974" s="45" cm="1">
        <f t="array" ref="T974">SUMPRODUCT(P974:S974 * P$3:S$3) / SUM(P$3:S$3)</f>
        <v>4.0757161524608234</v>
      </c>
    </row>
    <row r="975" spans="1:20" ht="16.5" customHeight="1" x14ac:dyDescent="0.25">
      <c r="A975" s="5" t="s">
        <v>6880</v>
      </c>
      <c r="B975" s="20" t="s">
        <v>5960</v>
      </c>
      <c r="C975" s="4" t="s">
        <v>8796</v>
      </c>
      <c r="D975" s="4" t="s">
        <v>9025</v>
      </c>
      <c r="E975" s="12" t="s">
        <v>407</v>
      </c>
      <c r="F975" s="75" t="s">
        <v>6723</v>
      </c>
      <c r="G975" s="3">
        <v>64</v>
      </c>
      <c r="H975" s="3" t="s">
        <v>404</v>
      </c>
      <c r="I975" s="13" t="s">
        <v>6740</v>
      </c>
      <c r="J975" s="72">
        <v>1.35</v>
      </c>
      <c r="L975" s="9">
        <v>222.35</v>
      </c>
      <c r="M975" s="3">
        <v>236.99</v>
      </c>
      <c r="N975" s="17" t="s">
        <v>5961</v>
      </c>
      <c r="O975" s="18" t="s">
        <v>5959</v>
      </c>
      <c r="P975" s="49">
        <f t="shared" si="61"/>
        <v>3.3215897311837232</v>
      </c>
      <c r="Q975" s="1">
        <f t="shared" si="62"/>
        <v>4.401796944552582</v>
      </c>
      <c r="R975" s="1">
        <f t="shared" si="60"/>
        <v>4.624214167648752</v>
      </c>
      <c r="S975" s="10">
        <f t="shared" si="63"/>
        <v>3.8616933378681528</v>
      </c>
      <c r="T975" s="45" cm="1">
        <f t="array" ref="T975">SUMPRODUCT(P975:S975 * P$3:S$3) / SUM(P$3:S$3)</f>
        <v>4.0620970973243109</v>
      </c>
    </row>
    <row r="976" spans="1:20" ht="16.5" customHeight="1" x14ac:dyDescent="0.25">
      <c r="A976" s="5" t="s">
        <v>6880</v>
      </c>
      <c r="B976" s="20" t="s">
        <v>5963</v>
      </c>
      <c r="C976" s="4" t="s">
        <v>8796</v>
      </c>
      <c r="D976" s="4" t="s">
        <v>9025</v>
      </c>
      <c r="E976" s="12" t="s">
        <v>407</v>
      </c>
      <c r="F976" s="75" t="s">
        <v>6723</v>
      </c>
      <c r="G976" s="3">
        <v>64</v>
      </c>
      <c r="H976" s="3" t="s">
        <v>404</v>
      </c>
      <c r="I976" s="13" t="s">
        <v>6741</v>
      </c>
      <c r="J976" s="72">
        <v>1.4</v>
      </c>
      <c r="L976" s="9">
        <v>243.25</v>
      </c>
      <c r="M976" s="3">
        <v>294.83</v>
      </c>
      <c r="N976" s="17" t="s">
        <v>5964</v>
      </c>
      <c r="O976" s="18" t="s">
        <v>5962</v>
      </c>
      <c r="P976" s="49">
        <f t="shared" si="61"/>
        <v>3.3427314508489347</v>
      </c>
      <c r="Q976" s="1">
        <f t="shared" si="62"/>
        <v>4.4114334125856649</v>
      </c>
      <c r="R976" s="1">
        <f t="shared" ref="R976:R1039" si="64">(((F976/F$9)^F$7 * F$4 + (I976/I$9)^I$7 * I$4 + (J976/J$9)^J$7 * J$4) * (1+M$3*(MIN(H976,M$2)-1)+M$4*(H976-MIN(H976,M$2))) + (G976/G$9)^G$7 * G$4)  * P$9</f>
        <v>4.633850635681835</v>
      </c>
      <c r="S976" s="10">
        <f t="shared" si="63"/>
        <v>3.8770824317172998</v>
      </c>
      <c r="T976" s="45" cm="1">
        <f t="array" ref="T976">SUMPRODUCT(P976:S976 * P$3:S$3) / SUM(P$3:S$3)</f>
        <v>4.0757161524608234</v>
      </c>
    </row>
    <row r="977" spans="1:20" ht="16.5" customHeight="1" x14ac:dyDescent="0.25">
      <c r="A977" s="5" t="s">
        <v>6880</v>
      </c>
      <c r="B977" s="20" t="s">
        <v>6058</v>
      </c>
      <c r="C977" s="4" t="s">
        <v>8796</v>
      </c>
      <c r="D977" s="4" t="s">
        <v>9025</v>
      </c>
      <c r="E977" s="12" t="s">
        <v>407</v>
      </c>
      <c r="F977" s="75" t="s">
        <v>6723</v>
      </c>
      <c r="G977" s="3">
        <v>64</v>
      </c>
      <c r="H977" s="3" t="s">
        <v>404</v>
      </c>
      <c r="I977" s="13" t="s">
        <v>6740</v>
      </c>
      <c r="J977" s="72">
        <v>1.35</v>
      </c>
      <c r="L977" s="9">
        <v>216</v>
      </c>
      <c r="M977" s="3">
        <v>258.77</v>
      </c>
      <c r="N977" s="17" t="s">
        <v>6059</v>
      </c>
      <c r="O977" s="18" t="s">
        <v>6057</v>
      </c>
      <c r="P977" s="49">
        <f t="shared" si="61"/>
        <v>3.3215897311837232</v>
      </c>
      <c r="Q977" s="1">
        <f t="shared" si="62"/>
        <v>4.401796944552582</v>
      </c>
      <c r="R977" s="1">
        <f t="shared" si="64"/>
        <v>4.624214167648752</v>
      </c>
      <c r="S977" s="10">
        <f t="shared" si="63"/>
        <v>3.8616933378681528</v>
      </c>
      <c r="T977" s="45" cm="1">
        <f t="array" ref="T977">SUMPRODUCT(P977:S977 * P$3:S$3) / SUM(P$3:S$3)</f>
        <v>4.0620970973243109</v>
      </c>
    </row>
    <row r="978" spans="1:20" ht="16.5" customHeight="1" x14ac:dyDescent="0.25">
      <c r="A978" s="5" t="s">
        <v>6880</v>
      </c>
      <c r="B978" s="20" t="s">
        <v>6061</v>
      </c>
      <c r="C978" s="4" t="s">
        <v>8796</v>
      </c>
      <c r="D978" s="4" t="s">
        <v>9025</v>
      </c>
      <c r="E978" s="12" t="s">
        <v>407</v>
      </c>
      <c r="F978" s="75" t="s">
        <v>6723</v>
      </c>
      <c r="G978" s="3">
        <v>64</v>
      </c>
      <c r="H978" s="3" t="s">
        <v>404</v>
      </c>
      <c r="I978" s="13" t="s">
        <v>6738</v>
      </c>
      <c r="J978" s="72">
        <v>1.35</v>
      </c>
      <c r="L978" s="9">
        <v>184.59</v>
      </c>
      <c r="M978" s="3">
        <v>244.66</v>
      </c>
      <c r="N978" s="17" t="s">
        <v>6062</v>
      </c>
      <c r="O978" s="18" t="s">
        <v>6060</v>
      </c>
      <c r="P978" s="49">
        <f t="shared" si="61"/>
        <v>3.3254070052580165</v>
      </c>
      <c r="Q978" s="1">
        <f t="shared" si="62"/>
        <v>4.4037055815897288</v>
      </c>
      <c r="R978" s="1">
        <f t="shared" si="64"/>
        <v>4.6261228046858989</v>
      </c>
      <c r="S978" s="10">
        <f t="shared" si="63"/>
        <v>3.8645562934238731</v>
      </c>
      <c r="T978" s="45" cm="1">
        <f t="array" ref="T978">SUMPRODUCT(P978:S978 * P$3:S$3) / SUM(P$3:S$3)</f>
        <v>4.0646664164127779</v>
      </c>
    </row>
    <row r="979" spans="1:20" ht="16.5" customHeight="1" x14ac:dyDescent="0.25">
      <c r="A979" s="5" t="s">
        <v>6880</v>
      </c>
      <c r="B979" s="20" t="s">
        <v>6067</v>
      </c>
      <c r="C979" s="4" t="s">
        <v>8796</v>
      </c>
      <c r="D979" s="4" t="s">
        <v>9025</v>
      </c>
      <c r="E979" s="12" t="s">
        <v>407</v>
      </c>
      <c r="F979" s="75" t="s">
        <v>6723</v>
      </c>
      <c r="G979" s="3">
        <v>64</v>
      </c>
      <c r="H979" s="3" t="s">
        <v>404</v>
      </c>
      <c r="I979" s="13" t="s">
        <v>6741</v>
      </c>
      <c r="J979" s="72">
        <v>1.4</v>
      </c>
      <c r="L979" s="9">
        <v>225.9</v>
      </c>
      <c r="M979" s="3">
        <v>352</v>
      </c>
      <c r="N979" s="17" t="s">
        <v>6068</v>
      </c>
      <c r="O979" s="18" t="s">
        <v>6066</v>
      </c>
      <c r="P979" s="49">
        <f t="shared" si="61"/>
        <v>3.3427314508489347</v>
      </c>
      <c r="Q979" s="1">
        <f t="shared" si="62"/>
        <v>4.4114334125856649</v>
      </c>
      <c r="R979" s="1">
        <f t="shared" si="64"/>
        <v>4.633850635681835</v>
      </c>
      <c r="S979" s="10">
        <f t="shared" si="63"/>
        <v>3.8770824317172998</v>
      </c>
      <c r="T979" s="45" cm="1">
        <f t="array" ref="T979">SUMPRODUCT(P979:S979 * P$3:S$3) / SUM(P$3:S$3)</f>
        <v>4.0757161524608234</v>
      </c>
    </row>
    <row r="980" spans="1:20" ht="16.5" customHeight="1" x14ac:dyDescent="0.25">
      <c r="A980" s="5" t="s">
        <v>6880</v>
      </c>
      <c r="B980" s="20" t="s">
        <v>6178</v>
      </c>
      <c r="C980" s="4" t="s">
        <v>8796</v>
      </c>
      <c r="D980" s="4" t="s">
        <v>9025</v>
      </c>
      <c r="E980" s="12" t="s">
        <v>407</v>
      </c>
      <c r="F980" s="75" t="s">
        <v>6723</v>
      </c>
      <c r="G980" s="3">
        <v>64</v>
      </c>
      <c r="H980" s="3" t="s">
        <v>404</v>
      </c>
      <c r="I980" s="13" t="s">
        <v>6740</v>
      </c>
      <c r="J980" s="72">
        <v>1.35</v>
      </c>
      <c r="K980" s="14" t="s">
        <v>6175</v>
      </c>
      <c r="L980" s="9">
        <v>223.9</v>
      </c>
      <c r="M980" s="3">
        <v>280.51</v>
      </c>
      <c r="N980" s="17" t="s">
        <v>6179</v>
      </c>
      <c r="O980" s="18" t="s">
        <v>6177</v>
      </c>
      <c r="P980" s="49">
        <f t="shared" si="61"/>
        <v>3.3215897311837232</v>
      </c>
      <c r="Q980" s="1">
        <f t="shared" si="62"/>
        <v>4.401796944552582</v>
      </c>
      <c r="R980" s="1">
        <f t="shared" si="64"/>
        <v>4.624214167648752</v>
      </c>
      <c r="S980" s="10">
        <f t="shared" si="63"/>
        <v>3.8616933378681528</v>
      </c>
      <c r="T980" s="45" cm="1">
        <f t="array" ref="T980">SUMPRODUCT(P980:S980 * P$3:S$3) / SUM(P$3:S$3)</f>
        <v>4.0620970973243109</v>
      </c>
    </row>
    <row r="981" spans="1:20" ht="16.5" customHeight="1" x14ac:dyDescent="0.25">
      <c r="A981" s="5" t="s">
        <v>6880</v>
      </c>
      <c r="B981" s="20" t="s">
        <v>6181</v>
      </c>
      <c r="C981" s="4" t="s">
        <v>8796</v>
      </c>
      <c r="D981" s="4" t="s">
        <v>9025</v>
      </c>
      <c r="E981" s="12" t="s">
        <v>407</v>
      </c>
      <c r="F981" s="75" t="s">
        <v>6723</v>
      </c>
      <c r="G981" s="3">
        <v>64</v>
      </c>
      <c r="H981" s="3" t="s">
        <v>404</v>
      </c>
      <c r="I981" s="13" t="s">
        <v>6741</v>
      </c>
      <c r="J981" s="72">
        <v>1.4</v>
      </c>
      <c r="K981" s="14" t="s">
        <v>6175</v>
      </c>
      <c r="L981" s="9">
        <v>254.89</v>
      </c>
      <c r="M981" s="3">
        <v>318.62</v>
      </c>
      <c r="N981" s="17" t="s">
        <v>6182</v>
      </c>
      <c r="O981" s="18" t="s">
        <v>6180</v>
      </c>
      <c r="P981" s="49">
        <f t="shared" si="61"/>
        <v>3.3427314508489347</v>
      </c>
      <c r="Q981" s="1">
        <f t="shared" si="62"/>
        <v>4.4114334125856649</v>
      </c>
      <c r="R981" s="1">
        <f t="shared" si="64"/>
        <v>4.633850635681835</v>
      </c>
      <c r="S981" s="10">
        <f t="shared" si="63"/>
        <v>3.8770824317172998</v>
      </c>
      <c r="T981" s="45" cm="1">
        <f t="array" ref="T981">SUMPRODUCT(P981:S981 * P$3:S$3) / SUM(P$3:S$3)</f>
        <v>4.0757161524608234</v>
      </c>
    </row>
    <row r="982" spans="1:20" ht="16.5" customHeight="1" x14ac:dyDescent="0.25">
      <c r="A982" s="5" t="s">
        <v>6880</v>
      </c>
      <c r="B982" s="20" t="s">
        <v>6183</v>
      </c>
      <c r="C982" s="4" t="s">
        <v>8796</v>
      </c>
      <c r="D982" s="4" t="s">
        <v>9025</v>
      </c>
      <c r="E982" s="12" t="s">
        <v>407</v>
      </c>
      <c r="F982" s="75" t="s">
        <v>6723</v>
      </c>
      <c r="G982" s="3">
        <v>64</v>
      </c>
      <c r="H982" s="3" t="s">
        <v>404</v>
      </c>
      <c r="I982" s="13" t="s">
        <v>6741</v>
      </c>
      <c r="J982" s="72">
        <v>1.4</v>
      </c>
      <c r="K982" s="14" t="s">
        <v>6175</v>
      </c>
      <c r="L982" s="9">
        <v>244</v>
      </c>
      <c r="M982" s="3">
        <v>278.10000000000002</v>
      </c>
      <c r="N982" s="17" t="s">
        <v>6184</v>
      </c>
      <c r="O982" s="18" t="s">
        <v>6180</v>
      </c>
      <c r="P982" s="49">
        <f t="shared" si="61"/>
        <v>3.3427314508489347</v>
      </c>
      <c r="Q982" s="1">
        <f t="shared" si="62"/>
        <v>4.4114334125856649</v>
      </c>
      <c r="R982" s="1">
        <f t="shared" si="64"/>
        <v>4.633850635681835</v>
      </c>
      <c r="S982" s="10">
        <f t="shared" si="63"/>
        <v>3.8770824317172998</v>
      </c>
      <c r="T982" s="45" cm="1">
        <f t="array" ref="T982">SUMPRODUCT(P982:S982 * P$3:S$3) / SUM(P$3:S$3)</f>
        <v>4.0757161524608234</v>
      </c>
    </row>
    <row r="983" spans="1:20" ht="16.5" customHeight="1" x14ac:dyDescent="0.25">
      <c r="A983" s="5" t="s">
        <v>6880</v>
      </c>
      <c r="B983" s="20" t="s">
        <v>6286</v>
      </c>
      <c r="C983" s="4" t="s">
        <v>8796</v>
      </c>
      <c r="D983" s="4" t="s">
        <v>9025</v>
      </c>
      <c r="E983" s="12" t="s">
        <v>407</v>
      </c>
      <c r="F983" s="75" t="s">
        <v>6723</v>
      </c>
      <c r="G983" s="3">
        <v>64</v>
      </c>
      <c r="H983" s="3" t="s">
        <v>404</v>
      </c>
      <c r="I983" s="13" t="s">
        <v>6740</v>
      </c>
      <c r="J983" s="72">
        <v>1.35</v>
      </c>
      <c r="K983" s="14" t="s">
        <v>6175</v>
      </c>
      <c r="L983" s="9">
        <v>217.14</v>
      </c>
      <c r="M983" s="3">
        <v>308.38</v>
      </c>
      <c r="N983" s="17" t="s">
        <v>6287</v>
      </c>
      <c r="O983" s="18" t="s">
        <v>6285</v>
      </c>
      <c r="P983" s="49">
        <f t="shared" si="61"/>
        <v>3.3215897311837232</v>
      </c>
      <c r="Q983" s="1">
        <f t="shared" si="62"/>
        <v>4.401796944552582</v>
      </c>
      <c r="R983" s="1">
        <f t="shared" si="64"/>
        <v>4.624214167648752</v>
      </c>
      <c r="S983" s="10">
        <f t="shared" si="63"/>
        <v>3.8616933378681528</v>
      </c>
      <c r="T983" s="45" cm="1">
        <f t="array" ref="T983">SUMPRODUCT(P983:S983 * P$3:S$3) / SUM(P$3:S$3)</f>
        <v>4.0620970973243109</v>
      </c>
    </row>
    <row r="984" spans="1:20" ht="16.5" customHeight="1" x14ac:dyDescent="0.25">
      <c r="A984" s="5" t="s">
        <v>6880</v>
      </c>
      <c r="B984" s="20" t="s">
        <v>6289</v>
      </c>
      <c r="C984" s="4" t="s">
        <v>8796</v>
      </c>
      <c r="D984" s="4" t="s">
        <v>9025</v>
      </c>
      <c r="E984" s="12" t="s">
        <v>407</v>
      </c>
      <c r="F984" s="75" t="s">
        <v>6723</v>
      </c>
      <c r="G984" s="3">
        <v>64</v>
      </c>
      <c r="H984" s="3" t="s">
        <v>404</v>
      </c>
      <c r="I984" s="13" t="s">
        <v>6738</v>
      </c>
      <c r="J984" s="72">
        <v>1.35</v>
      </c>
      <c r="K984" s="14" t="s">
        <v>6175</v>
      </c>
      <c r="L984" s="9">
        <v>214.63</v>
      </c>
      <c r="M984" s="3">
        <v>290.45999999999998</v>
      </c>
      <c r="N984" s="17" t="s">
        <v>6290</v>
      </c>
      <c r="O984" s="18" t="s">
        <v>6288</v>
      </c>
      <c r="P984" s="49">
        <f t="shared" si="61"/>
        <v>3.3254070052580165</v>
      </c>
      <c r="Q984" s="1">
        <f t="shared" si="62"/>
        <v>4.4037055815897288</v>
      </c>
      <c r="R984" s="1">
        <f t="shared" si="64"/>
        <v>4.6261228046858989</v>
      </c>
      <c r="S984" s="10">
        <f t="shared" si="63"/>
        <v>3.8645562934238731</v>
      </c>
      <c r="T984" s="45" cm="1">
        <f t="array" ref="T984">SUMPRODUCT(P984:S984 * P$3:S$3) / SUM(P$3:S$3)</f>
        <v>4.0646664164127779</v>
      </c>
    </row>
    <row r="985" spans="1:20" ht="16.5" customHeight="1" x14ac:dyDescent="0.25">
      <c r="A985" s="5" t="s">
        <v>6880</v>
      </c>
      <c r="B985" s="20" t="s">
        <v>6295</v>
      </c>
      <c r="C985" s="4" t="s">
        <v>8796</v>
      </c>
      <c r="D985" s="4" t="s">
        <v>9025</v>
      </c>
      <c r="E985" s="12" t="s">
        <v>407</v>
      </c>
      <c r="F985" s="75" t="s">
        <v>6723</v>
      </c>
      <c r="G985" s="3">
        <v>64</v>
      </c>
      <c r="H985" s="3" t="s">
        <v>404</v>
      </c>
      <c r="I985" s="13" t="s">
        <v>6741</v>
      </c>
      <c r="J985" s="72">
        <v>1.4</v>
      </c>
      <c r="K985" s="14" t="s">
        <v>6175</v>
      </c>
      <c r="L985" s="9">
        <v>239.9</v>
      </c>
      <c r="M985" s="3">
        <v>347</v>
      </c>
      <c r="N985" s="17" t="s">
        <v>6296</v>
      </c>
      <c r="O985" s="18" t="s">
        <v>6294</v>
      </c>
      <c r="P985" s="49">
        <f t="shared" si="61"/>
        <v>3.3427314508489347</v>
      </c>
      <c r="Q985" s="1">
        <f t="shared" si="62"/>
        <v>4.4114334125856649</v>
      </c>
      <c r="R985" s="1">
        <f t="shared" si="64"/>
        <v>4.633850635681835</v>
      </c>
      <c r="S985" s="10">
        <f t="shared" si="63"/>
        <v>3.8770824317172998</v>
      </c>
      <c r="T985" s="45" cm="1">
        <f t="array" ref="T985">SUMPRODUCT(P985:S985 * P$3:S$3) / SUM(P$3:S$3)</f>
        <v>4.0757161524608234</v>
      </c>
    </row>
    <row r="986" spans="1:20" ht="16.5" customHeight="1" x14ac:dyDescent="0.25">
      <c r="A986" s="5" t="s">
        <v>6880</v>
      </c>
      <c r="B986" s="20" t="s">
        <v>6396</v>
      </c>
      <c r="C986" s="4" t="s">
        <v>8796</v>
      </c>
      <c r="D986" s="4" t="s">
        <v>9025</v>
      </c>
      <c r="E986" s="12" t="s">
        <v>407</v>
      </c>
      <c r="F986" s="75" t="s">
        <v>6723</v>
      </c>
      <c r="G986" s="3">
        <v>64</v>
      </c>
      <c r="H986" s="3" t="s">
        <v>404</v>
      </c>
      <c r="I986" s="13" t="s">
        <v>6740</v>
      </c>
      <c r="J986" s="72">
        <v>1.35</v>
      </c>
      <c r="K986" s="14" t="s">
        <v>6175</v>
      </c>
      <c r="L986" s="9">
        <v>225.9</v>
      </c>
      <c r="M986" s="3">
        <v>311.18</v>
      </c>
      <c r="N986" s="17" t="s">
        <v>6397</v>
      </c>
      <c r="O986" s="18" t="s">
        <v>6395</v>
      </c>
      <c r="P986" s="49">
        <f t="shared" si="61"/>
        <v>3.3215897311837232</v>
      </c>
      <c r="Q986" s="1">
        <f t="shared" si="62"/>
        <v>4.401796944552582</v>
      </c>
      <c r="R986" s="1">
        <f t="shared" si="64"/>
        <v>4.624214167648752</v>
      </c>
      <c r="S986" s="10">
        <f t="shared" si="63"/>
        <v>3.8616933378681528</v>
      </c>
      <c r="T986" s="45" cm="1">
        <f t="array" ref="T986">SUMPRODUCT(P986:S986 * P$3:S$3) / SUM(P$3:S$3)</f>
        <v>4.0620970973243109</v>
      </c>
    </row>
    <row r="987" spans="1:20" ht="16.5" customHeight="1" x14ac:dyDescent="0.25">
      <c r="A987" s="5" t="s">
        <v>6880</v>
      </c>
      <c r="B987" s="20" t="s">
        <v>6399</v>
      </c>
      <c r="C987" s="4" t="s">
        <v>8796</v>
      </c>
      <c r="D987" s="4" t="s">
        <v>9025</v>
      </c>
      <c r="E987" s="12" t="s">
        <v>407</v>
      </c>
      <c r="F987" s="75" t="s">
        <v>6723</v>
      </c>
      <c r="G987" s="3">
        <v>64</v>
      </c>
      <c r="H987" s="3" t="s">
        <v>404</v>
      </c>
      <c r="I987" s="13" t="s">
        <v>6741</v>
      </c>
      <c r="J987" s="72">
        <v>1.4</v>
      </c>
      <c r="K987" s="14" t="s">
        <v>6175</v>
      </c>
      <c r="L987" s="9">
        <v>229.98</v>
      </c>
      <c r="M987" s="3">
        <v>347</v>
      </c>
      <c r="N987" s="17" t="s">
        <v>6400</v>
      </c>
      <c r="O987" s="18" t="s">
        <v>6398</v>
      </c>
      <c r="P987" s="49">
        <f t="shared" si="61"/>
        <v>3.3427314508489347</v>
      </c>
      <c r="Q987" s="1">
        <f t="shared" si="62"/>
        <v>4.4114334125856649</v>
      </c>
      <c r="R987" s="1">
        <f t="shared" si="64"/>
        <v>4.633850635681835</v>
      </c>
      <c r="S987" s="10">
        <f t="shared" si="63"/>
        <v>3.8770824317172998</v>
      </c>
      <c r="T987" s="45" cm="1">
        <f t="array" ref="T987">SUMPRODUCT(P987:S987 * P$3:S$3) / SUM(P$3:S$3)</f>
        <v>4.0757161524608234</v>
      </c>
    </row>
    <row r="988" spans="1:20" ht="16.5" customHeight="1" x14ac:dyDescent="0.25">
      <c r="A988" s="5" t="s">
        <v>6880</v>
      </c>
      <c r="B988" s="20" t="s">
        <v>6402</v>
      </c>
      <c r="C988" s="4" t="s">
        <v>8796</v>
      </c>
      <c r="D988" s="4" t="s">
        <v>9025</v>
      </c>
      <c r="E988" s="12" t="s">
        <v>407</v>
      </c>
      <c r="F988" s="75" t="s">
        <v>6723</v>
      </c>
      <c r="G988" s="3">
        <v>64</v>
      </c>
      <c r="H988" s="3" t="s">
        <v>404</v>
      </c>
      <c r="I988" s="13" t="s">
        <v>6743</v>
      </c>
      <c r="J988" s="72">
        <v>1.4</v>
      </c>
      <c r="K988" s="14" t="s">
        <v>6175</v>
      </c>
      <c r="L988" s="9">
        <v>272.58</v>
      </c>
      <c r="M988" s="3">
        <v>316.37</v>
      </c>
      <c r="N988" s="17" t="s">
        <v>6403</v>
      </c>
      <c r="O988" s="18" t="s">
        <v>6401</v>
      </c>
      <c r="P988" s="49">
        <f t="shared" si="61"/>
        <v>3.3488659643949523</v>
      </c>
      <c r="Q988" s="1">
        <f t="shared" si="62"/>
        <v>4.4145006693586737</v>
      </c>
      <c r="R988" s="1">
        <f t="shared" si="64"/>
        <v>4.6369178924548438</v>
      </c>
      <c r="S988" s="10">
        <f t="shared" si="63"/>
        <v>3.8816833168768134</v>
      </c>
      <c r="T988" s="45" cm="1">
        <f t="array" ref="T988">SUMPRODUCT(P988:S988 * P$3:S$3) / SUM(P$3:S$3)</f>
        <v>4.0798451519629504</v>
      </c>
    </row>
    <row r="989" spans="1:20" ht="16.5" customHeight="1" x14ac:dyDescent="0.25">
      <c r="A989" s="5" t="s">
        <v>6880</v>
      </c>
      <c r="B989" s="20" t="s">
        <v>6463</v>
      </c>
      <c r="C989" s="4" t="s">
        <v>8796</v>
      </c>
      <c r="D989" s="4" t="s">
        <v>9025</v>
      </c>
      <c r="E989" s="12" t="s">
        <v>407</v>
      </c>
      <c r="F989" s="75" t="s">
        <v>6723</v>
      </c>
      <c r="G989" s="3">
        <v>64</v>
      </c>
      <c r="H989" s="3" t="s">
        <v>404</v>
      </c>
      <c r="I989" s="13" t="s">
        <v>6740</v>
      </c>
      <c r="J989" s="72">
        <v>1.35</v>
      </c>
      <c r="L989" s="9">
        <v>208.9</v>
      </c>
      <c r="M989" s="3">
        <v>254.12</v>
      </c>
      <c r="N989" s="17" t="s">
        <v>6464</v>
      </c>
      <c r="O989" s="18" t="s">
        <v>6462</v>
      </c>
      <c r="P989" s="49">
        <f t="shared" si="61"/>
        <v>3.3215897311837232</v>
      </c>
      <c r="Q989" s="1">
        <f t="shared" si="62"/>
        <v>4.401796944552582</v>
      </c>
      <c r="R989" s="1">
        <f t="shared" si="64"/>
        <v>4.624214167648752</v>
      </c>
      <c r="S989" s="10">
        <f t="shared" si="63"/>
        <v>3.8616933378681528</v>
      </c>
      <c r="T989" s="45" cm="1">
        <f t="array" ref="T989">SUMPRODUCT(P989:S989 * P$3:S$3) / SUM(P$3:S$3)</f>
        <v>4.0620970973243109</v>
      </c>
    </row>
    <row r="990" spans="1:20" ht="16.5" customHeight="1" x14ac:dyDescent="0.25">
      <c r="A990" s="5" t="s">
        <v>6880</v>
      </c>
      <c r="B990" s="20" t="s">
        <v>6469</v>
      </c>
      <c r="C990" s="4" t="s">
        <v>8796</v>
      </c>
      <c r="D990" s="4" t="s">
        <v>9025</v>
      </c>
      <c r="E990" s="12" t="s">
        <v>407</v>
      </c>
      <c r="F990" s="75" t="s">
        <v>6723</v>
      </c>
      <c r="G990" s="3">
        <v>64</v>
      </c>
      <c r="H990" s="3" t="s">
        <v>404</v>
      </c>
      <c r="I990" s="13" t="s">
        <v>6741</v>
      </c>
      <c r="J990" s="72">
        <v>1.4</v>
      </c>
      <c r="L990" s="9">
        <v>214.99</v>
      </c>
      <c r="M990" s="3">
        <v>287.31</v>
      </c>
      <c r="N990" s="17" t="s">
        <v>6470</v>
      </c>
      <c r="O990" s="18" t="s">
        <v>6468</v>
      </c>
      <c r="P990" s="49">
        <f t="shared" si="61"/>
        <v>3.3427314508489347</v>
      </c>
      <c r="Q990" s="1">
        <f t="shared" si="62"/>
        <v>4.4114334125856649</v>
      </c>
      <c r="R990" s="1">
        <f t="shared" si="64"/>
        <v>4.633850635681835</v>
      </c>
      <c r="S990" s="10">
        <f t="shared" si="63"/>
        <v>3.8770824317172998</v>
      </c>
      <c r="T990" s="45" cm="1">
        <f t="array" ref="T990">SUMPRODUCT(P990:S990 * P$3:S$3) / SUM(P$3:S$3)</f>
        <v>4.0757161524608234</v>
      </c>
    </row>
    <row r="991" spans="1:20" ht="16.5" customHeight="1" x14ac:dyDescent="0.25">
      <c r="A991" s="5" t="s">
        <v>6867</v>
      </c>
      <c r="B991" s="20" t="s">
        <v>5886</v>
      </c>
      <c r="C991" s="4" t="s">
        <v>8797</v>
      </c>
      <c r="D991" s="4" t="s">
        <v>9025</v>
      </c>
      <c r="E991" s="12" t="s">
        <v>407</v>
      </c>
      <c r="F991" s="75" t="s">
        <v>6723</v>
      </c>
      <c r="G991" s="3">
        <v>64</v>
      </c>
      <c r="H991" s="3" t="s">
        <v>404</v>
      </c>
      <c r="I991" s="13" t="s">
        <v>6739</v>
      </c>
      <c r="J991" s="72">
        <v>1.35</v>
      </c>
      <c r="L991" s="9">
        <v>176.39</v>
      </c>
      <c r="M991" s="3">
        <v>209.34</v>
      </c>
      <c r="N991" s="17" t="s">
        <v>5887</v>
      </c>
      <c r="O991" s="18" t="s">
        <v>5885</v>
      </c>
      <c r="P991" s="49">
        <f t="shared" si="61"/>
        <v>3.3295599480694316</v>
      </c>
      <c r="Q991" s="1">
        <f t="shared" si="62"/>
        <v>4.4057820529954359</v>
      </c>
      <c r="R991" s="1">
        <f t="shared" si="64"/>
        <v>4.628199276091606</v>
      </c>
      <c r="S991" s="10">
        <f t="shared" si="63"/>
        <v>3.8676710005324342</v>
      </c>
      <c r="T991" s="45" cm="1">
        <f t="array" ref="T991">SUMPRODUCT(P991:S991 * P$3:S$3) / SUM(P$3:S$3)</f>
        <v>4.067461666382</v>
      </c>
    </row>
    <row r="992" spans="1:20" ht="16.5" customHeight="1" x14ac:dyDescent="0.25">
      <c r="A992" s="5" t="s">
        <v>6867</v>
      </c>
      <c r="B992" s="20" t="s">
        <v>5898</v>
      </c>
      <c r="C992" s="4" t="s">
        <v>8797</v>
      </c>
      <c r="D992" s="4" t="s">
        <v>9025</v>
      </c>
      <c r="E992" s="12" t="s">
        <v>407</v>
      </c>
      <c r="F992" s="75" t="s">
        <v>6723</v>
      </c>
      <c r="G992" s="3">
        <v>64</v>
      </c>
      <c r="H992" s="3" t="s">
        <v>404</v>
      </c>
      <c r="I992" s="13" t="s">
        <v>6739</v>
      </c>
      <c r="J992" s="72">
        <v>1.35</v>
      </c>
      <c r="L992" s="9">
        <v>179.9</v>
      </c>
      <c r="M992" s="3">
        <v>208.98</v>
      </c>
      <c r="N992" s="17" t="s">
        <v>5899</v>
      </c>
      <c r="O992" s="18" t="s">
        <v>5897</v>
      </c>
      <c r="P992" s="49">
        <f t="shared" si="61"/>
        <v>3.3295599480694316</v>
      </c>
      <c r="Q992" s="1">
        <f t="shared" si="62"/>
        <v>4.4057820529954359</v>
      </c>
      <c r="R992" s="1">
        <f t="shared" si="64"/>
        <v>4.628199276091606</v>
      </c>
      <c r="S992" s="10">
        <f t="shared" si="63"/>
        <v>3.8676710005324342</v>
      </c>
      <c r="T992" s="45" cm="1">
        <f t="array" ref="T992">SUMPRODUCT(P992:S992 * P$3:S$3) / SUM(P$3:S$3)</f>
        <v>4.067461666382</v>
      </c>
    </row>
    <row r="993" spans="1:20" ht="16.5" customHeight="1" x14ac:dyDescent="0.25">
      <c r="A993" s="5" t="s">
        <v>6867</v>
      </c>
      <c r="B993" s="20" t="s">
        <v>5901</v>
      </c>
      <c r="C993" s="4" t="s">
        <v>8797</v>
      </c>
      <c r="D993" s="4" t="s">
        <v>9025</v>
      </c>
      <c r="E993" s="12" t="s">
        <v>407</v>
      </c>
      <c r="F993" s="75" t="s">
        <v>6723</v>
      </c>
      <c r="G993" s="3">
        <v>64</v>
      </c>
      <c r="H993" s="3" t="s">
        <v>404</v>
      </c>
      <c r="I993" s="13" t="s">
        <v>6741</v>
      </c>
      <c r="J993" s="72">
        <v>1.4</v>
      </c>
      <c r="L993" s="9">
        <v>217.01</v>
      </c>
      <c r="M993" s="3">
        <v>328.93</v>
      </c>
      <c r="N993" s="17" t="s">
        <v>5902</v>
      </c>
      <c r="O993" s="18" t="s">
        <v>5900</v>
      </c>
      <c r="P993" s="49">
        <f t="shared" si="61"/>
        <v>3.3427314508489347</v>
      </c>
      <c r="Q993" s="1">
        <f t="shared" si="62"/>
        <v>4.4114334125856649</v>
      </c>
      <c r="R993" s="1">
        <f t="shared" si="64"/>
        <v>4.633850635681835</v>
      </c>
      <c r="S993" s="10">
        <f t="shared" si="63"/>
        <v>3.8770824317172998</v>
      </c>
      <c r="T993" s="45" cm="1">
        <f t="array" ref="T993">SUMPRODUCT(P993:S993 * P$3:S$3) / SUM(P$3:S$3)</f>
        <v>4.0757161524608234</v>
      </c>
    </row>
    <row r="994" spans="1:20" ht="16.5" customHeight="1" x14ac:dyDescent="0.25">
      <c r="A994" s="5" t="s">
        <v>6852</v>
      </c>
      <c r="B994" s="20" t="s">
        <v>5723</v>
      </c>
      <c r="C994" s="4" t="s">
        <v>8797</v>
      </c>
      <c r="D994" s="4" t="s">
        <v>9025</v>
      </c>
      <c r="E994" s="12" t="s">
        <v>407</v>
      </c>
      <c r="F994" s="75" t="s">
        <v>6723</v>
      </c>
      <c r="G994" s="3">
        <v>64</v>
      </c>
      <c r="H994" s="3" t="s">
        <v>404</v>
      </c>
      <c r="I994" s="13" t="s">
        <v>225</v>
      </c>
      <c r="J994" s="72">
        <v>1.4</v>
      </c>
      <c r="K994" s="14" t="s">
        <v>5196</v>
      </c>
      <c r="L994" s="9">
        <v>212.47</v>
      </c>
      <c r="M994" s="3">
        <v>265</v>
      </c>
      <c r="N994" s="17" t="s">
        <v>5724</v>
      </c>
      <c r="O994" s="18" t="s">
        <v>5722</v>
      </c>
      <c r="P994" s="49">
        <f t="shared" si="61"/>
        <v>3.3372183814435701</v>
      </c>
      <c r="Q994" s="1">
        <f t="shared" si="62"/>
        <v>4.4086768778829821</v>
      </c>
      <c r="R994" s="1">
        <f t="shared" si="64"/>
        <v>4.6310941009791531</v>
      </c>
      <c r="S994" s="10">
        <f t="shared" si="63"/>
        <v>3.8729476296632765</v>
      </c>
      <c r="T994" s="45" cm="1">
        <f t="array" ref="T994">SUMPRODUCT(P994:S994 * P$3:S$3) / SUM(P$3:S$3)</f>
        <v>4.0720054326687505</v>
      </c>
    </row>
    <row r="995" spans="1:20" ht="16.5" customHeight="1" x14ac:dyDescent="0.25">
      <c r="A995" s="5" t="s">
        <v>6852</v>
      </c>
      <c r="B995" s="20" t="s">
        <v>5725</v>
      </c>
      <c r="C995" s="4" t="s">
        <v>8797</v>
      </c>
      <c r="D995" s="4" t="s">
        <v>9025</v>
      </c>
      <c r="E995" s="12" t="s">
        <v>407</v>
      </c>
      <c r="F995" s="75" t="s">
        <v>6723</v>
      </c>
      <c r="G995" s="3">
        <v>64</v>
      </c>
      <c r="H995" s="3" t="s">
        <v>404</v>
      </c>
      <c r="I995" s="13" t="s">
        <v>225</v>
      </c>
      <c r="J995" s="72">
        <v>1.4</v>
      </c>
      <c r="K995" s="14" t="s">
        <v>5196</v>
      </c>
      <c r="L995" s="9">
        <v>244.79</v>
      </c>
      <c r="M995" s="3">
        <v>309.52</v>
      </c>
      <c r="N995" s="17" t="s">
        <v>5726</v>
      </c>
      <c r="O995" s="18" t="s">
        <v>5722</v>
      </c>
      <c r="P995" s="49">
        <f t="shared" si="61"/>
        <v>3.3372183814435701</v>
      </c>
      <c r="Q995" s="1">
        <f t="shared" si="62"/>
        <v>4.4086768778829821</v>
      </c>
      <c r="R995" s="1">
        <f t="shared" si="64"/>
        <v>4.6310941009791531</v>
      </c>
      <c r="S995" s="10">
        <f t="shared" si="63"/>
        <v>3.8729476296632765</v>
      </c>
      <c r="T995" s="45" cm="1">
        <f t="array" ref="T995">SUMPRODUCT(P995:S995 * P$3:S$3) / SUM(P$3:S$3)</f>
        <v>4.0720054326687505</v>
      </c>
    </row>
    <row r="996" spans="1:20" ht="16.5" customHeight="1" x14ac:dyDescent="0.25">
      <c r="A996" s="5" t="s">
        <v>6852</v>
      </c>
      <c r="B996" s="20" t="s">
        <v>5728</v>
      </c>
      <c r="C996" s="4" t="s">
        <v>8797</v>
      </c>
      <c r="D996" s="4" t="s">
        <v>9025</v>
      </c>
      <c r="E996" s="12" t="s">
        <v>407</v>
      </c>
      <c r="F996" s="75" t="s">
        <v>6723</v>
      </c>
      <c r="G996" s="3">
        <v>64</v>
      </c>
      <c r="H996" s="3" t="s">
        <v>404</v>
      </c>
      <c r="I996" s="13" t="s">
        <v>6741</v>
      </c>
      <c r="J996" s="72">
        <v>1.4</v>
      </c>
      <c r="K996" s="14" t="s">
        <v>5196</v>
      </c>
      <c r="L996" s="9">
        <v>229.15</v>
      </c>
      <c r="M996" s="3">
        <v>255.64</v>
      </c>
      <c r="N996" s="17" t="s">
        <v>5729</v>
      </c>
      <c r="O996" s="18" t="s">
        <v>5727</v>
      </c>
      <c r="P996" s="49">
        <f t="shared" si="61"/>
        <v>3.3427314508489347</v>
      </c>
      <c r="Q996" s="1">
        <f t="shared" si="62"/>
        <v>4.4114334125856649</v>
      </c>
      <c r="R996" s="1">
        <f t="shared" si="64"/>
        <v>4.633850635681835</v>
      </c>
      <c r="S996" s="10">
        <f t="shared" si="63"/>
        <v>3.8770824317172998</v>
      </c>
      <c r="T996" s="45" cm="1">
        <f t="array" ref="T996">SUMPRODUCT(P996:S996 * P$3:S$3) / SUM(P$3:S$3)</f>
        <v>4.0757161524608234</v>
      </c>
    </row>
    <row r="997" spans="1:20" ht="16.5" customHeight="1" x14ac:dyDescent="0.25">
      <c r="A997" s="5" t="s">
        <v>6852</v>
      </c>
      <c r="B997" s="20" t="s">
        <v>5788</v>
      </c>
      <c r="C997" s="4" t="s">
        <v>8797</v>
      </c>
      <c r="D997" s="4" t="s">
        <v>9025</v>
      </c>
      <c r="E997" s="12" t="s">
        <v>407</v>
      </c>
      <c r="F997" s="75" t="s">
        <v>6723</v>
      </c>
      <c r="G997" s="3">
        <v>64</v>
      </c>
      <c r="H997" s="3" t="s">
        <v>404</v>
      </c>
      <c r="I997" s="13" t="s">
        <v>225</v>
      </c>
      <c r="J997" s="72">
        <v>1.4</v>
      </c>
      <c r="K997" s="14" t="s">
        <v>5196</v>
      </c>
      <c r="L997" s="9">
        <v>226.05</v>
      </c>
      <c r="M997" s="3">
        <v>264.32</v>
      </c>
      <c r="N997" s="17" t="s">
        <v>5789</v>
      </c>
      <c r="O997" s="18" t="s">
        <v>5787</v>
      </c>
      <c r="P997" s="49">
        <f t="shared" si="61"/>
        <v>3.3372183814435701</v>
      </c>
      <c r="Q997" s="1">
        <f t="shared" si="62"/>
        <v>4.4086768778829821</v>
      </c>
      <c r="R997" s="1">
        <f t="shared" si="64"/>
        <v>4.6310941009791531</v>
      </c>
      <c r="S997" s="10">
        <f t="shared" si="63"/>
        <v>3.8729476296632765</v>
      </c>
      <c r="T997" s="45" cm="1">
        <f t="array" ref="T997">SUMPRODUCT(P997:S997 * P$3:S$3) / SUM(P$3:S$3)</f>
        <v>4.0720054326687505</v>
      </c>
    </row>
    <row r="998" spans="1:20" ht="16.5" customHeight="1" x14ac:dyDescent="0.25">
      <c r="A998" s="5" t="s">
        <v>6852</v>
      </c>
      <c r="B998" s="20" t="s">
        <v>5790</v>
      </c>
      <c r="C998" s="4" t="s">
        <v>8797</v>
      </c>
      <c r="D998" s="4" t="s">
        <v>9025</v>
      </c>
      <c r="E998" s="12" t="s">
        <v>407</v>
      </c>
      <c r="F998" s="75" t="s">
        <v>6723</v>
      </c>
      <c r="G998" s="3">
        <v>64</v>
      </c>
      <c r="H998" s="3" t="s">
        <v>404</v>
      </c>
      <c r="I998" s="13" t="s">
        <v>225</v>
      </c>
      <c r="J998" s="72">
        <v>1.4</v>
      </c>
      <c r="K998" s="14" t="s">
        <v>5196</v>
      </c>
      <c r="L998" s="9">
        <v>244.79</v>
      </c>
      <c r="M998" s="3">
        <v>309.52</v>
      </c>
      <c r="N998" s="17" t="s">
        <v>5791</v>
      </c>
      <c r="O998" s="18" t="s">
        <v>5787</v>
      </c>
      <c r="P998" s="49">
        <f t="shared" si="61"/>
        <v>3.3372183814435701</v>
      </c>
      <c r="Q998" s="1">
        <f t="shared" si="62"/>
        <v>4.4086768778829821</v>
      </c>
      <c r="R998" s="1">
        <f t="shared" si="64"/>
        <v>4.6310941009791531</v>
      </c>
      <c r="S998" s="10">
        <f t="shared" si="63"/>
        <v>3.8729476296632765</v>
      </c>
      <c r="T998" s="45" cm="1">
        <f t="array" ref="T998">SUMPRODUCT(P998:S998 * P$3:S$3) / SUM(P$3:S$3)</f>
        <v>4.0720054326687505</v>
      </c>
    </row>
    <row r="999" spans="1:20" ht="16.5" customHeight="1" x14ac:dyDescent="0.25">
      <c r="A999" s="5" t="s">
        <v>6852</v>
      </c>
      <c r="B999" s="20" t="s">
        <v>5793</v>
      </c>
      <c r="C999" s="4" t="s">
        <v>8797</v>
      </c>
      <c r="D999" s="4" t="s">
        <v>9025</v>
      </c>
      <c r="E999" s="12" t="s">
        <v>407</v>
      </c>
      <c r="F999" s="75" t="s">
        <v>6723</v>
      </c>
      <c r="G999" s="3">
        <v>64</v>
      </c>
      <c r="H999" s="3" t="s">
        <v>404</v>
      </c>
      <c r="I999" s="13" t="s">
        <v>6741</v>
      </c>
      <c r="J999" s="72">
        <v>1.4</v>
      </c>
      <c r="K999" s="14" t="s">
        <v>5196</v>
      </c>
      <c r="L999" s="9">
        <v>227.29</v>
      </c>
      <c r="M999" s="3">
        <v>286.2</v>
      </c>
      <c r="N999" s="17" t="s">
        <v>5794</v>
      </c>
      <c r="O999" s="18" t="s">
        <v>5792</v>
      </c>
      <c r="P999" s="49">
        <f t="shared" si="61"/>
        <v>3.3427314508489347</v>
      </c>
      <c r="Q999" s="1">
        <f t="shared" si="62"/>
        <v>4.4114334125856649</v>
      </c>
      <c r="R999" s="1">
        <f t="shared" si="64"/>
        <v>4.633850635681835</v>
      </c>
      <c r="S999" s="10">
        <f t="shared" si="63"/>
        <v>3.8770824317172998</v>
      </c>
      <c r="T999" s="45" cm="1">
        <f t="array" ref="T999">SUMPRODUCT(P999:S999 * P$3:S$3) / SUM(P$3:S$3)</f>
        <v>4.0757161524608234</v>
      </c>
    </row>
    <row r="1000" spans="1:20" ht="16.5" customHeight="1" x14ac:dyDescent="0.25">
      <c r="A1000" s="5" t="s">
        <v>6863</v>
      </c>
      <c r="B1000" s="20" t="s">
        <v>5832</v>
      </c>
      <c r="C1000" s="4" t="s">
        <v>8797</v>
      </c>
      <c r="D1000" s="4" t="s">
        <v>9025</v>
      </c>
      <c r="E1000" s="12" t="s">
        <v>407</v>
      </c>
      <c r="F1000" s="75" t="s">
        <v>6723</v>
      </c>
      <c r="G1000" s="3">
        <v>64</v>
      </c>
      <c r="H1000" s="3" t="s">
        <v>404</v>
      </c>
      <c r="I1000" s="13" t="s">
        <v>6739</v>
      </c>
      <c r="J1000" s="72">
        <v>1.35</v>
      </c>
      <c r="K1000" s="14" t="s">
        <v>5196</v>
      </c>
      <c r="L1000" s="9">
        <v>197.9</v>
      </c>
      <c r="M1000" s="3">
        <v>226.12</v>
      </c>
      <c r="N1000" s="17" t="s">
        <v>5833</v>
      </c>
      <c r="O1000" s="18" t="s">
        <v>5831</v>
      </c>
      <c r="P1000" s="49">
        <f t="shared" si="61"/>
        <v>3.3295599480694316</v>
      </c>
      <c r="Q1000" s="1">
        <f t="shared" si="62"/>
        <v>4.4057820529954359</v>
      </c>
      <c r="R1000" s="1">
        <f t="shared" si="64"/>
        <v>4.628199276091606</v>
      </c>
      <c r="S1000" s="10">
        <f t="shared" si="63"/>
        <v>3.8676710005324342</v>
      </c>
      <c r="T1000" s="45" cm="1">
        <f t="array" ref="T1000">SUMPRODUCT(P1000:S1000 * P$3:S$3) / SUM(P$3:S$3)</f>
        <v>4.067461666382</v>
      </c>
    </row>
    <row r="1001" spans="1:20" ht="16.5" customHeight="1" x14ac:dyDescent="0.25">
      <c r="A1001" s="5" t="s">
        <v>6863</v>
      </c>
      <c r="B1001" s="20" t="s">
        <v>5835</v>
      </c>
      <c r="C1001" s="4" t="s">
        <v>8797</v>
      </c>
      <c r="D1001" s="4" t="s">
        <v>9025</v>
      </c>
      <c r="E1001" s="12" t="s">
        <v>407</v>
      </c>
      <c r="F1001" s="75" t="s">
        <v>6723</v>
      </c>
      <c r="G1001" s="3">
        <v>64</v>
      </c>
      <c r="H1001" s="3" t="s">
        <v>404</v>
      </c>
      <c r="I1001" s="13" t="s">
        <v>225</v>
      </c>
      <c r="J1001" s="72">
        <v>1.4</v>
      </c>
      <c r="K1001" s="14" t="s">
        <v>5196</v>
      </c>
      <c r="L1001" s="9">
        <v>219.5</v>
      </c>
      <c r="M1001" s="3">
        <v>273.77999999999997</v>
      </c>
      <c r="N1001" s="17" t="s">
        <v>5836</v>
      </c>
      <c r="O1001" s="18" t="s">
        <v>5834</v>
      </c>
      <c r="P1001" s="49">
        <f t="shared" si="61"/>
        <v>3.3372183814435701</v>
      </c>
      <c r="Q1001" s="1">
        <f t="shared" si="62"/>
        <v>4.4086768778829821</v>
      </c>
      <c r="R1001" s="1">
        <f t="shared" si="64"/>
        <v>4.6310941009791531</v>
      </c>
      <c r="S1001" s="10">
        <f t="shared" si="63"/>
        <v>3.8729476296632765</v>
      </c>
      <c r="T1001" s="45" cm="1">
        <f t="array" ref="T1001">SUMPRODUCT(P1001:S1001 * P$3:S$3) / SUM(P$3:S$3)</f>
        <v>4.0720054326687505</v>
      </c>
    </row>
    <row r="1002" spans="1:20" ht="16.5" customHeight="1" x14ac:dyDescent="0.25">
      <c r="A1002" s="5" t="s">
        <v>6863</v>
      </c>
      <c r="B1002" s="20" t="s">
        <v>5838</v>
      </c>
      <c r="C1002" s="4" t="s">
        <v>8797</v>
      </c>
      <c r="D1002" s="4" t="s">
        <v>9025</v>
      </c>
      <c r="E1002" s="12" t="s">
        <v>407</v>
      </c>
      <c r="F1002" s="75" t="s">
        <v>6723</v>
      </c>
      <c r="G1002" s="3">
        <v>64</v>
      </c>
      <c r="H1002" s="3" t="s">
        <v>404</v>
      </c>
      <c r="I1002" s="13" t="s">
        <v>6741</v>
      </c>
      <c r="J1002" s="72">
        <v>1.4</v>
      </c>
      <c r="K1002" s="14" t="s">
        <v>5196</v>
      </c>
      <c r="L1002" s="9">
        <v>220.4</v>
      </c>
      <c r="M1002" s="3">
        <v>273.77999999999997</v>
      </c>
      <c r="N1002" s="17" t="s">
        <v>5839</v>
      </c>
      <c r="O1002" s="18" t="s">
        <v>5837</v>
      </c>
      <c r="P1002" s="49">
        <f t="shared" si="61"/>
        <v>3.3427314508489347</v>
      </c>
      <c r="Q1002" s="1">
        <f t="shared" si="62"/>
        <v>4.4114334125856649</v>
      </c>
      <c r="R1002" s="1">
        <f t="shared" si="64"/>
        <v>4.633850635681835</v>
      </c>
      <c r="S1002" s="10">
        <f t="shared" si="63"/>
        <v>3.8770824317172998</v>
      </c>
      <c r="T1002" s="45" cm="1">
        <f t="array" ref="T1002">SUMPRODUCT(P1002:S1002 * P$3:S$3) / SUM(P$3:S$3)</f>
        <v>4.0757161524608234</v>
      </c>
    </row>
    <row r="1003" spans="1:20" ht="16.5" customHeight="1" x14ac:dyDescent="0.25">
      <c r="A1003" s="5" t="s">
        <v>6863</v>
      </c>
      <c r="B1003" s="20" t="s">
        <v>5841</v>
      </c>
      <c r="C1003" s="4" t="s">
        <v>8797</v>
      </c>
      <c r="D1003" s="4" t="s">
        <v>9025</v>
      </c>
      <c r="E1003" s="12" t="s">
        <v>407</v>
      </c>
      <c r="F1003" s="75" t="s">
        <v>6723</v>
      </c>
      <c r="G1003" s="3">
        <v>64</v>
      </c>
      <c r="H1003" s="3" t="s">
        <v>404</v>
      </c>
      <c r="I1003" s="13" t="s">
        <v>6743</v>
      </c>
      <c r="J1003" s="72">
        <v>1.4</v>
      </c>
      <c r="K1003" s="14" t="s">
        <v>5196</v>
      </c>
      <c r="L1003" s="9">
        <v>264</v>
      </c>
      <c r="M1003" s="3">
        <v>309.52</v>
      </c>
      <c r="N1003" s="17" t="s">
        <v>5842</v>
      </c>
      <c r="O1003" s="18" t="s">
        <v>5840</v>
      </c>
      <c r="P1003" s="49">
        <f t="shared" si="61"/>
        <v>3.3488659643949523</v>
      </c>
      <c r="Q1003" s="1">
        <f t="shared" si="62"/>
        <v>4.4145006693586737</v>
      </c>
      <c r="R1003" s="1">
        <f t="shared" si="64"/>
        <v>4.6369178924548438</v>
      </c>
      <c r="S1003" s="10">
        <f t="shared" si="63"/>
        <v>3.8816833168768134</v>
      </c>
      <c r="T1003" s="45" cm="1">
        <f t="array" ref="T1003">SUMPRODUCT(P1003:S1003 * P$3:S$3) / SUM(P$3:S$3)</f>
        <v>4.0798451519629504</v>
      </c>
    </row>
    <row r="1004" spans="1:20" ht="16.5" customHeight="1" x14ac:dyDescent="0.25">
      <c r="A1004" s="5" t="s">
        <v>6863</v>
      </c>
      <c r="B1004" s="20" t="s">
        <v>5859</v>
      </c>
      <c r="C1004" s="4" t="s">
        <v>8797</v>
      </c>
      <c r="D1004" s="4" t="s">
        <v>9025</v>
      </c>
      <c r="E1004" s="12" t="s">
        <v>407</v>
      </c>
      <c r="F1004" s="75" t="s">
        <v>6723</v>
      </c>
      <c r="G1004" s="3">
        <v>64</v>
      </c>
      <c r="H1004" s="3" t="s">
        <v>404</v>
      </c>
      <c r="I1004" s="13" t="s">
        <v>6739</v>
      </c>
      <c r="J1004" s="72">
        <v>1.35</v>
      </c>
      <c r="K1004" s="14" t="s">
        <v>5196</v>
      </c>
      <c r="L1004" s="9">
        <v>197.9</v>
      </c>
      <c r="M1004" s="3">
        <v>226.12</v>
      </c>
      <c r="N1004" s="17" t="s">
        <v>5860</v>
      </c>
      <c r="O1004" s="18" t="s">
        <v>5858</v>
      </c>
      <c r="P1004" s="49">
        <f t="shared" si="61"/>
        <v>3.3295599480694316</v>
      </c>
      <c r="Q1004" s="1">
        <f t="shared" si="62"/>
        <v>4.4057820529954359</v>
      </c>
      <c r="R1004" s="1">
        <f t="shared" si="64"/>
        <v>4.628199276091606</v>
      </c>
      <c r="S1004" s="10">
        <f t="shared" si="63"/>
        <v>3.8676710005324342</v>
      </c>
      <c r="T1004" s="45" cm="1">
        <f t="array" ref="T1004">SUMPRODUCT(P1004:S1004 * P$3:S$3) / SUM(P$3:S$3)</f>
        <v>4.067461666382</v>
      </c>
    </row>
    <row r="1005" spans="1:20" ht="16.5" customHeight="1" x14ac:dyDescent="0.25">
      <c r="A1005" s="5" t="s">
        <v>6863</v>
      </c>
      <c r="B1005" s="20" t="s">
        <v>5862</v>
      </c>
      <c r="C1005" s="4" t="s">
        <v>8797</v>
      </c>
      <c r="D1005" s="4" t="s">
        <v>9025</v>
      </c>
      <c r="E1005" s="12" t="s">
        <v>407</v>
      </c>
      <c r="F1005" s="75" t="s">
        <v>6723</v>
      </c>
      <c r="G1005" s="3">
        <v>64</v>
      </c>
      <c r="H1005" s="3" t="s">
        <v>404</v>
      </c>
      <c r="I1005" s="13" t="s">
        <v>225</v>
      </c>
      <c r="J1005" s="72">
        <v>1.4</v>
      </c>
      <c r="K1005" s="14" t="s">
        <v>5196</v>
      </c>
      <c r="L1005" s="9">
        <v>219.5</v>
      </c>
      <c r="M1005" s="3">
        <v>273.77999999999997</v>
      </c>
      <c r="N1005" s="17" t="s">
        <v>5863</v>
      </c>
      <c r="O1005" s="18" t="s">
        <v>5861</v>
      </c>
      <c r="P1005" s="49">
        <f t="shared" si="61"/>
        <v>3.3372183814435701</v>
      </c>
      <c r="Q1005" s="1">
        <f t="shared" si="62"/>
        <v>4.4086768778829821</v>
      </c>
      <c r="R1005" s="1">
        <f t="shared" si="64"/>
        <v>4.6310941009791531</v>
      </c>
      <c r="S1005" s="10">
        <f t="shared" si="63"/>
        <v>3.8729476296632765</v>
      </c>
      <c r="T1005" s="45" cm="1">
        <f t="array" ref="T1005">SUMPRODUCT(P1005:S1005 * P$3:S$3) / SUM(P$3:S$3)</f>
        <v>4.0720054326687505</v>
      </c>
    </row>
    <row r="1006" spans="1:20" ht="16.5" customHeight="1" x14ac:dyDescent="0.25">
      <c r="A1006" s="5" t="s">
        <v>6863</v>
      </c>
      <c r="B1006" s="20" t="s">
        <v>5865</v>
      </c>
      <c r="C1006" s="4" t="s">
        <v>8797</v>
      </c>
      <c r="D1006" s="4" t="s">
        <v>9025</v>
      </c>
      <c r="E1006" s="12" t="s">
        <v>407</v>
      </c>
      <c r="F1006" s="75" t="s">
        <v>6723</v>
      </c>
      <c r="G1006" s="3">
        <v>64</v>
      </c>
      <c r="H1006" s="3" t="s">
        <v>404</v>
      </c>
      <c r="I1006" s="13" t="s">
        <v>6741</v>
      </c>
      <c r="J1006" s="72">
        <v>1.4</v>
      </c>
      <c r="K1006" s="14" t="s">
        <v>5196</v>
      </c>
      <c r="L1006" s="9">
        <v>220.4</v>
      </c>
      <c r="M1006" s="3">
        <v>273.77999999999997</v>
      </c>
      <c r="N1006" s="17" t="s">
        <v>5866</v>
      </c>
      <c r="O1006" s="18" t="s">
        <v>5864</v>
      </c>
      <c r="P1006" s="49">
        <f t="shared" si="61"/>
        <v>3.3427314508489347</v>
      </c>
      <c r="Q1006" s="1">
        <f t="shared" si="62"/>
        <v>4.4114334125856649</v>
      </c>
      <c r="R1006" s="1">
        <f t="shared" si="64"/>
        <v>4.633850635681835</v>
      </c>
      <c r="S1006" s="10">
        <f t="shared" si="63"/>
        <v>3.8770824317172998</v>
      </c>
      <c r="T1006" s="45" cm="1">
        <f t="array" ref="T1006">SUMPRODUCT(P1006:S1006 * P$3:S$3) / SUM(P$3:S$3)</f>
        <v>4.0757161524608234</v>
      </c>
    </row>
    <row r="1007" spans="1:20" ht="16.5" customHeight="1" x14ac:dyDescent="0.25">
      <c r="A1007" s="5" t="s">
        <v>6863</v>
      </c>
      <c r="B1007" s="20" t="s">
        <v>5868</v>
      </c>
      <c r="C1007" s="4" t="s">
        <v>8797</v>
      </c>
      <c r="D1007" s="4" t="s">
        <v>9025</v>
      </c>
      <c r="E1007" s="12" t="s">
        <v>407</v>
      </c>
      <c r="F1007" s="75" t="s">
        <v>6723</v>
      </c>
      <c r="G1007" s="3">
        <v>64</v>
      </c>
      <c r="H1007" s="3" t="s">
        <v>404</v>
      </c>
      <c r="I1007" s="13" t="s">
        <v>6743</v>
      </c>
      <c r="J1007" s="72">
        <v>1.4</v>
      </c>
      <c r="K1007" s="14" t="s">
        <v>5196</v>
      </c>
      <c r="L1007" s="9">
        <v>264</v>
      </c>
      <c r="M1007" s="3">
        <v>309.52</v>
      </c>
      <c r="N1007" s="17" t="s">
        <v>5869</v>
      </c>
      <c r="O1007" s="18" t="s">
        <v>5867</v>
      </c>
      <c r="P1007" s="49">
        <f t="shared" si="61"/>
        <v>3.3488659643949523</v>
      </c>
      <c r="Q1007" s="1">
        <f t="shared" si="62"/>
        <v>4.4145006693586737</v>
      </c>
      <c r="R1007" s="1">
        <f t="shared" si="64"/>
        <v>4.6369178924548438</v>
      </c>
      <c r="S1007" s="10">
        <f t="shared" si="63"/>
        <v>3.8816833168768134</v>
      </c>
      <c r="T1007" s="45" cm="1">
        <f t="array" ref="T1007">SUMPRODUCT(P1007:S1007 * P$3:S$3) / SUM(P$3:S$3)</f>
        <v>4.0798451519629504</v>
      </c>
    </row>
    <row r="1008" spans="1:20" ht="16.5" customHeight="1" x14ac:dyDescent="0.25">
      <c r="A1008" s="5" t="s">
        <v>6832</v>
      </c>
      <c r="B1008" s="20" t="s">
        <v>5572</v>
      </c>
      <c r="C1008" s="4" t="s">
        <v>8797</v>
      </c>
      <c r="D1008" s="4" t="s">
        <v>9025</v>
      </c>
      <c r="E1008" s="12" t="s">
        <v>407</v>
      </c>
      <c r="F1008" s="75" t="s">
        <v>6723</v>
      </c>
      <c r="G1008" s="3">
        <v>64</v>
      </c>
      <c r="H1008" s="3" t="s">
        <v>404</v>
      </c>
      <c r="I1008" s="13" t="s">
        <v>225</v>
      </c>
      <c r="J1008" s="72">
        <v>1.4</v>
      </c>
      <c r="L1008" s="9">
        <v>246.1</v>
      </c>
      <c r="M1008" s="3">
        <v>285.69</v>
      </c>
      <c r="N1008" s="17" t="s">
        <v>5573</v>
      </c>
      <c r="O1008" s="18" t="s">
        <v>5571</v>
      </c>
      <c r="P1008" s="49">
        <f t="shared" si="61"/>
        <v>3.3372183814435701</v>
      </c>
      <c r="Q1008" s="1">
        <f t="shared" si="62"/>
        <v>4.4086768778829821</v>
      </c>
      <c r="R1008" s="1">
        <f t="shared" si="64"/>
        <v>4.6310941009791531</v>
      </c>
      <c r="S1008" s="10">
        <f t="shared" si="63"/>
        <v>3.8729476296632765</v>
      </c>
      <c r="T1008" s="45" cm="1">
        <f t="array" ref="T1008">SUMPRODUCT(P1008:S1008 * P$3:S$3) / SUM(P$3:S$3)</f>
        <v>4.0720054326687505</v>
      </c>
    </row>
    <row r="1009" spans="1:20" ht="16.5" customHeight="1" x14ac:dyDescent="0.25">
      <c r="A1009" s="5" t="s">
        <v>6832</v>
      </c>
      <c r="B1009" s="20" t="s">
        <v>5575</v>
      </c>
      <c r="C1009" s="4" t="s">
        <v>8797</v>
      </c>
      <c r="D1009" s="4" t="s">
        <v>9025</v>
      </c>
      <c r="E1009" s="12" t="s">
        <v>407</v>
      </c>
      <c r="F1009" s="75" t="s">
        <v>6723</v>
      </c>
      <c r="G1009" s="3">
        <v>64</v>
      </c>
      <c r="H1009" s="3" t="s">
        <v>404</v>
      </c>
      <c r="I1009" s="13" t="s">
        <v>6741</v>
      </c>
      <c r="J1009" s="72">
        <v>1.4</v>
      </c>
      <c r="L1009" s="9">
        <v>209.6</v>
      </c>
      <c r="M1009" s="3">
        <v>423</v>
      </c>
      <c r="N1009" s="17" t="s">
        <v>5576</v>
      </c>
      <c r="O1009" s="18" t="s">
        <v>5574</v>
      </c>
      <c r="P1009" s="49">
        <f t="shared" si="61"/>
        <v>3.3427314508489347</v>
      </c>
      <c r="Q1009" s="1">
        <f t="shared" si="62"/>
        <v>4.4114334125856649</v>
      </c>
      <c r="R1009" s="1">
        <f t="shared" si="64"/>
        <v>4.633850635681835</v>
      </c>
      <c r="S1009" s="10">
        <f t="shared" si="63"/>
        <v>3.8770824317172998</v>
      </c>
      <c r="T1009" s="45" cm="1">
        <f t="array" ref="T1009">SUMPRODUCT(P1009:S1009 * P$3:S$3) / SUM(P$3:S$3)</f>
        <v>4.0757161524608234</v>
      </c>
    </row>
    <row r="1010" spans="1:20" ht="16.5" customHeight="1" x14ac:dyDescent="0.25">
      <c r="A1010" s="5" t="s">
        <v>6832</v>
      </c>
      <c r="B1010" s="20" t="s">
        <v>5634</v>
      </c>
      <c r="C1010" s="4" t="s">
        <v>8797</v>
      </c>
      <c r="D1010" s="4" t="s">
        <v>9025</v>
      </c>
      <c r="E1010" s="12" t="s">
        <v>407</v>
      </c>
      <c r="F1010" s="75" t="s">
        <v>6723</v>
      </c>
      <c r="G1010" s="3">
        <v>64</v>
      </c>
      <c r="H1010" s="3" t="s">
        <v>404</v>
      </c>
      <c r="I1010" s="13" t="s">
        <v>6739</v>
      </c>
      <c r="J1010" s="72">
        <v>1.35</v>
      </c>
      <c r="L1010" s="9">
        <v>179.29</v>
      </c>
      <c r="M1010" s="3">
        <v>276.27999999999997</v>
      </c>
      <c r="N1010" s="17" t="s">
        <v>5635</v>
      </c>
      <c r="O1010" s="18" t="s">
        <v>5633</v>
      </c>
      <c r="P1010" s="49">
        <f t="shared" si="61"/>
        <v>3.3295599480694316</v>
      </c>
      <c r="Q1010" s="1">
        <f t="shared" si="62"/>
        <v>4.4057820529954359</v>
      </c>
      <c r="R1010" s="1">
        <f t="shared" si="64"/>
        <v>4.628199276091606</v>
      </c>
      <c r="S1010" s="10">
        <f t="shared" si="63"/>
        <v>3.8676710005324342</v>
      </c>
      <c r="T1010" s="45" cm="1">
        <f t="array" ref="T1010">SUMPRODUCT(P1010:S1010 * P$3:S$3) / SUM(P$3:S$3)</f>
        <v>4.067461666382</v>
      </c>
    </row>
    <row r="1011" spans="1:20" ht="16.5" customHeight="1" x14ac:dyDescent="0.25">
      <c r="A1011" s="5" t="s">
        <v>6832</v>
      </c>
      <c r="B1011" s="20" t="s">
        <v>5637</v>
      </c>
      <c r="C1011" s="4" t="s">
        <v>8797</v>
      </c>
      <c r="D1011" s="4" t="s">
        <v>9025</v>
      </c>
      <c r="E1011" s="12" t="s">
        <v>407</v>
      </c>
      <c r="F1011" s="75" t="s">
        <v>6723</v>
      </c>
      <c r="G1011" s="3">
        <v>64</v>
      </c>
      <c r="H1011" s="3" t="s">
        <v>404</v>
      </c>
      <c r="I1011" s="13" t="s">
        <v>225</v>
      </c>
      <c r="J1011" s="72">
        <v>1.4</v>
      </c>
      <c r="L1011" s="9">
        <v>194.86</v>
      </c>
      <c r="M1011" s="3">
        <v>319</v>
      </c>
      <c r="N1011" s="17" t="s">
        <v>5638</v>
      </c>
      <c r="O1011" s="18" t="s">
        <v>5636</v>
      </c>
      <c r="P1011" s="49">
        <f t="shared" si="61"/>
        <v>3.3372183814435701</v>
      </c>
      <c r="Q1011" s="1">
        <f t="shared" si="62"/>
        <v>4.4086768778829821</v>
      </c>
      <c r="R1011" s="1">
        <f t="shared" si="64"/>
        <v>4.6310941009791531</v>
      </c>
      <c r="S1011" s="10">
        <f t="shared" si="63"/>
        <v>3.8729476296632765</v>
      </c>
      <c r="T1011" s="45" cm="1">
        <f t="array" ref="T1011">SUMPRODUCT(P1011:S1011 * P$3:S$3) / SUM(P$3:S$3)</f>
        <v>4.0720054326687505</v>
      </c>
    </row>
    <row r="1012" spans="1:20" ht="16.5" customHeight="1" x14ac:dyDescent="0.25">
      <c r="A1012" s="5" t="s">
        <v>6832</v>
      </c>
      <c r="B1012" s="20" t="s">
        <v>5639</v>
      </c>
      <c r="C1012" s="4" t="s">
        <v>8797</v>
      </c>
      <c r="D1012" s="4" t="s">
        <v>9025</v>
      </c>
      <c r="E1012" s="12" t="s">
        <v>407</v>
      </c>
      <c r="F1012" s="75" t="s">
        <v>6723</v>
      </c>
      <c r="G1012" s="3">
        <v>64</v>
      </c>
      <c r="H1012" s="3" t="s">
        <v>404</v>
      </c>
      <c r="I1012" s="13" t="s">
        <v>225</v>
      </c>
      <c r="J1012" s="72">
        <v>1.4</v>
      </c>
      <c r="L1012" s="9">
        <v>233.99</v>
      </c>
      <c r="M1012" s="3">
        <v>285.69</v>
      </c>
      <c r="N1012" s="17" t="s">
        <v>5640</v>
      </c>
      <c r="O1012" s="18" t="s">
        <v>5636</v>
      </c>
      <c r="P1012" s="49">
        <f t="shared" si="61"/>
        <v>3.3372183814435701</v>
      </c>
      <c r="Q1012" s="1">
        <f t="shared" si="62"/>
        <v>4.4086768778829821</v>
      </c>
      <c r="R1012" s="1">
        <f t="shared" si="64"/>
        <v>4.6310941009791531</v>
      </c>
      <c r="S1012" s="10">
        <f t="shared" si="63"/>
        <v>3.8729476296632765</v>
      </c>
      <c r="T1012" s="45" cm="1">
        <f t="array" ref="T1012">SUMPRODUCT(P1012:S1012 * P$3:S$3) / SUM(P$3:S$3)</f>
        <v>4.0720054326687505</v>
      </c>
    </row>
    <row r="1013" spans="1:20" ht="16.5" customHeight="1" x14ac:dyDescent="0.25">
      <c r="A1013" s="5" t="s">
        <v>6832</v>
      </c>
      <c r="B1013" s="20" t="s">
        <v>5642</v>
      </c>
      <c r="C1013" s="4" t="s">
        <v>8797</v>
      </c>
      <c r="D1013" s="4" t="s">
        <v>9025</v>
      </c>
      <c r="E1013" s="12" t="s">
        <v>407</v>
      </c>
      <c r="F1013" s="75" t="s">
        <v>6723</v>
      </c>
      <c r="G1013" s="3">
        <v>64</v>
      </c>
      <c r="H1013" s="3" t="s">
        <v>404</v>
      </c>
      <c r="I1013" s="13" t="s">
        <v>6741</v>
      </c>
      <c r="J1013" s="72">
        <v>1.4</v>
      </c>
      <c r="L1013" s="9">
        <v>203.34</v>
      </c>
      <c r="M1013" s="3">
        <v>301</v>
      </c>
      <c r="N1013" s="17" t="s">
        <v>5643</v>
      </c>
      <c r="O1013" s="18" t="s">
        <v>5641</v>
      </c>
      <c r="P1013" s="49">
        <f t="shared" si="61"/>
        <v>3.3427314508489347</v>
      </c>
      <c r="Q1013" s="1">
        <f t="shared" si="62"/>
        <v>4.4114334125856649</v>
      </c>
      <c r="R1013" s="1">
        <f t="shared" si="64"/>
        <v>4.633850635681835</v>
      </c>
      <c r="S1013" s="10">
        <f t="shared" si="63"/>
        <v>3.8770824317172998</v>
      </c>
      <c r="T1013" s="45" cm="1">
        <f t="array" ref="T1013">SUMPRODUCT(P1013:S1013 * P$3:S$3) / SUM(P$3:S$3)</f>
        <v>4.0757161524608234</v>
      </c>
    </row>
    <row r="1014" spans="1:20" ht="16.5" customHeight="1" x14ac:dyDescent="0.25">
      <c r="A1014" s="5" t="s">
        <v>6805</v>
      </c>
      <c r="B1014" s="20" t="s">
        <v>5156</v>
      </c>
      <c r="C1014" s="4" t="s">
        <v>8797</v>
      </c>
      <c r="D1014" s="4" t="s">
        <v>9025</v>
      </c>
      <c r="E1014" s="12" t="s">
        <v>407</v>
      </c>
      <c r="F1014" s="75" t="s">
        <v>6723</v>
      </c>
      <c r="G1014" s="3">
        <v>64</v>
      </c>
      <c r="H1014" s="3" t="s">
        <v>404</v>
      </c>
      <c r="I1014" s="13" t="s">
        <v>225</v>
      </c>
      <c r="J1014" s="72">
        <v>1.4</v>
      </c>
      <c r="L1014" s="9">
        <v>217.7</v>
      </c>
      <c r="M1014" s="3">
        <v>263.55</v>
      </c>
      <c r="N1014" s="17" t="s">
        <v>5157</v>
      </c>
      <c r="O1014" s="18" t="s">
        <v>5155</v>
      </c>
      <c r="P1014" s="49">
        <f t="shared" si="61"/>
        <v>3.3372183814435701</v>
      </c>
      <c r="Q1014" s="1">
        <f t="shared" si="62"/>
        <v>4.4086768778829821</v>
      </c>
      <c r="R1014" s="1">
        <f t="shared" si="64"/>
        <v>4.6310941009791531</v>
      </c>
      <c r="S1014" s="10">
        <f t="shared" si="63"/>
        <v>3.8729476296632765</v>
      </c>
      <c r="T1014" s="45" cm="1">
        <f t="array" ref="T1014">SUMPRODUCT(P1014:S1014 * P$3:S$3) / SUM(P$3:S$3)</f>
        <v>4.0720054326687505</v>
      </c>
    </row>
    <row r="1015" spans="1:20" ht="16.5" customHeight="1" x14ac:dyDescent="0.25">
      <c r="A1015" s="5" t="s">
        <v>6805</v>
      </c>
      <c r="B1015" s="20" t="s">
        <v>5174</v>
      </c>
      <c r="C1015" s="4" t="s">
        <v>8797</v>
      </c>
      <c r="D1015" s="4" t="s">
        <v>9025</v>
      </c>
      <c r="E1015" s="12" t="s">
        <v>407</v>
      </c>
      <c r="F1015" s="75" t="s">
        <v>6723</v>
      </c>
      <c r="G1015" s="3">
        <v>64</v>
      </c>
      <c r="H1015" s="3" t="s">
        <v>404</v>
      </c>
      <c r="I1015" s="13" t="s">
        <v>225</v>
      </c>
      <c r="J1015" s="72">
        <v>1.4</v>
      </c>
      <c r="L1015" s="9">
        <v>217.7</v>
      </c>
      <c r="M1015" s="3">
        <v>399.89</v>
      </c>
      <c r="N1015" s="17" t="s">
        <v>5175</v>
      </c>
      <c r="O1015" s="18" t="s">
        <v>5173</v>
      </c>
      <c r="P1015" s="49">
        <f t="shared" si="61"/>
        <v>3.3372183814435701</v>
      </c>
      <c r="Q1015" s="1">
        <f t="shared" si="62"/>
        <v>4.4086768778829821</v>
      </c>
      <c r="R1015" s="1">
        <f t="shared" si="64"/>
        <v>4.6310941009791531</v>
      </c>
      <c r="S1015" s="10">
        <f t="shared" si="63"/>
        <v>3.8729476296632765</v>
      </c>
      <c r="T1015" s="45" cm="1">
        <f t="array" ref="T1015">SUMPRODUCT(P1015:S1015 * P$3:S$3) / SUM(P$3:S$3)</f>
        <v>4.0720054326687505</v>
      </c>
    </row>
    <row r="1016" spans="1:20" ht="16.5" customHeight="1" x14ac:dyDescent="0.25">
      <c r="A1016" s="5" t="s">
        <v>6805</v>
      </c>
      <c r="B1016" s="20" t="s">
        <v>5177</v>
      </c>
      <c r="C1016" s="4" t="s">
        <v>8797</v>
      </c>
      <c r="D1016" s="4" t="s">
        <v>9025</v>
      </c>
      <c r="E1016" s="12" t="s">
        <v>407</v>
      </c>
      <c r="F1016" s="75" t="s">
        <v>6723</v>
      </c>
      <c r="G1016" s="3">
        <v>64</v>
      </c>
      <c r="H1016" s="3" t="s">
        <v>404</v>
      </c>
      <c r="I1016" s="13" t="s">
        <v>6741</v>
      </c>
      <c r="J1016" s="72">
        <v>1.4</v>
      </c>
      <c r="L1016" s="9">
        <v>224.9</v>
      </c>
      <c r="M1016" s="3">
        <v>397</v>
      </c>
      <c r="N1016" s="17" t="s">
        <v>5178</v>
      </c>
      <c r="O1016" s="18" t="s">
        <v>5176</v>
      </c>
      <c r="P1016" s="49">
        <f t="shared" si="61"/>
        <v>3.3427314508489347</v>
      </c>
      <c r="Q1016" s="1">
        <f t="shared" si="62"/>
        <v>4.4114334125856649</v>
      </c>
      <c r="R1016" s="1">
        <f t="shared" si="64"/>
        <v>4.633850635681835</v>
      </c>
      <c r="S1016" s="10">
        <f t="shared" si="63"/>
        <v>3.8770824317172998</v>
      </c>
      <c r="T1016" s="45" cm="1">
        <f t="array" ref="T1016">SUMPRODUCT(P1016:S1016 * P$3:S$3) / SUM(P$3:S$3)</f>
        <v>4.0757161524608234</v>
      </c>
    </row>
    <row r="1017" spans="1:20" ht="16.5" customHeight="1" x14ac:dyDescent="0.25">
      <c r="A1017" s="5" t="s">
        <v>6805</v>
      </c>
      <c r="B1017" s="20" t="s">
        <v>5247</v>
      </c>
      <c r="C1017" s="4" t="s">
        <v>8797</v>
      </c>
      <c r="D1017" s="4" t="s">
        <v>9025</v>
      </c>
      <c r="E1017" s="12" t="s">
        <v>407</v>
      </c>
      <c r="F1017" s="75" t="s">
        <v>6723</v>
      </c>
      <c r="G1017" s="3">
        <v>64</v>
      </c>
      <c r="H1017" s="3" t="s">
        <v>404</v>
      </c>
      <c r="I1017" s="13" t="s">
        <v>6741</v>
      </c>
      <c r="J1017" s="72">
        <v>1.4</v>
      </c>
      <c r="K1017" s="14" t="s">
        <v>5196</v>
      </c>
      <c r="L1017" s="9">
        <v>232.56</v>
      </c>
      <c r="M1017" s="3">
        <v>413.22</v>
      </c>
      <c r="N1017" s="17" t="s">
        <v>5248</v>
      </c>
      <c r="O1017" s="18" t="s">
        <v>5246</v>
      </c>
      <c r="P1017" s="49">
        <f t="shared" si="61"/>
        <v>3.3427314508489347</v>
      </c>
      <c r="Q1017" s="1">
        <f t="shared" si="62"/>
        <v>4.4114334125856649</v>
      </c>
      <c r="R1017" s="1">
        <f t="shared" si="64"/>
        <v>4.633850635681835</v>
      </c>
      <c r="S1017" s="10">
        <f t="shared" si="63"/>
        <v>3.8770824317172998</v>
      </c>
      <c r="T1017" s="45" cm="1">
        <f t="array" ref="T1017">SUMPRODUCT(P1017:S1017 * P$3:S$3) / SUM(P$3:S$3)</f>
        <v>4.0757161524608234</v>
      </c>
    </row>
    <row r="1018" spans="1:20" ht="16.5" customHeight="1" x14ac:dyDescent="0.25">
      <c r="A1018" s="5" t="s">
        <v>6805</v>
      </c>
      <c r="B1018" s="20" t="s">
        <v>5250</v>
      </c>
      <c r="C1018" s="4" t="s">
        <v>8797</v>
      </c>
      <c r="D1018" s="4" t="s">
        <v>9025</v>
      </c>
      <c r="E1018" s="12" t="s">
        <v>407</v>
      </c>
      <c r="F1018" s="75" t="s">
        <v>6723</v>
      </c>
      <c r="G1018" s="3">
        <v>64</v>
      </c>
      <c r="H1018" s="3" t="s">
        <v>404</v>
      </c>
      <c r="I1018" s="13" t="s">
        <v>6743</v>
      </c>
      <c r="J1018" s="72">
        <v>1.4</v>
      </c>
      <c r="K1018" s="14" t="s">
        <v>5196</v>
      </c>
      <c r="L1018" s="9">
        <v>263.81</v>
      </c>
      <c r="M1018" s="3">
        <v>312.74</v>
      </c>
      <c r="N1018" s="17" t="s">
        <v>5251</v>
      </c>
      <c r="O1018" s="18" t="s">
        <v>5249</v>
      </c>
      <c r="P1018" s="49">
        <f t="shared" si="61"/>
        <v>3.3488659643949523</v>
      </c>
      <c r="Q1018" s="1">
        <f t="shared" si="62"/>
        <v>4.4145006693586737</v>
      </c>
      <c r="R1018" s="1">
        <f t="shared" si="64"/>
        <v>4.6369178924548438</v>
      </c>
      <c r="S1018" s="10">
        <f t="shared" si="63"/>
        <v>3.8816833168768134</v>
      </c>
      <c r="T1018" s="45" cm="1">
        <f t="array" ref="T1018">SUMPRODUCT(P1018:S1018 * P$3:S$3) / SUM(P$3:S$3)</f>
        <v>4.0798451519629504</v>
      </c>
    </row>
    <row r="1019" spans="1:20" ht="16.5" customHeight="1" x14ac:dyDescent="0.25">
      <c r="A1019" s="5" t="s">
        <v>6805</v>
      </c>
      <c r="B1019" s="20" t="s">
        <v>5283</v>
      </c>
      <c r="C1019" s="4" t="s">
        <v>8797</v>
      </c>
      <c r="D1019" s="4" t="s">
        <v>9025</v>
      </c>
      <c r="E1019" s="12" t="s">
        <v>407</v>
      </c>
      <c r="F1019" s="75" t="s">
        <v>6723</v>
      </c>
      <c r="G1019" s="3">
        <v>64</v>
      </c>
      <c r="H1019" s="3" t="s">
        <v>404</v>
      </c>
      <c r="I1019" s="13" t="s">
        <v>225</v>
      </c>
      <c r="J1019" s="72">
        <v>1.4</v>
      </c>
      <c r="K1019" s="14" t="s">
        <v>5196</v>
      </c>
      <c r="L1019" s="9">
        <v>224</v>
      </c>
      <c r="M1019" s="3">
        <v>300.37</v>
      </c>
      <c r="N1019" s="17" t="s">
        <v>5284</v>
      </c>
      <c r="O1019" s="18" t="s">
        <v>5282</v>
      </c>
      <c r="P1019" s="49">
        <f t="shared" si="61"/>
        <v>3.3372183814435701</v>
      </c>
      <c r="Q1019" s="1">
        <f t="shared" si="62"/>
        <v>4.4086768778829821</v>
      </c>
      <c r="R1019" s="1">
        <f t="shared" si="64"/>
        <v>4.6310941009791531</v>
      </c>
      <c r="S1019" s="10">
        <f t="shared" si="63"/>
        <v>3.8729476296632765</v>
      </c>
      <c r="T1019" s="45" cm="1">
        <f t="array" ref="T1019">SUMPRODUCT(P1019:S1019 * P$3:S$3) / SUM(P$3:S$3)</f>
        <v>4.0720054326687505</v>
      </c>
    </row>
    <row r="1020" spans="1:20" ht="16.5" customHeight="1" x14ac:dyDescent="0.25">
      <c r="A1020" s="5" t="s">
        <v>6805</v>
      </c>
      <c r="B1020" s="20" t="s">
        <v>5286</v>
      </c>
      <c r="C1020" s="4" t="s">
        <v>8797</v>
      </c>
      <c r="D1020" s="4" t="s">
        <v>9025</v>
      </c>
      <c r="E1020" s="12" t="s">
        <v>407</v>
      </c>
      <c r="F1020" s="75" t="s">
        <v>6723</v>
      </c>
      <c r="G1020" s="3">
        <v>64</v>
      </c>
      <c r="H1020" s="3" t="s">
        <v>404</v>
      </c>
      <c r="I1020" s="13" t="s">
        <v>6741</v>
      </c>
      <c r="J1020" s="72">
        <v>1.4</v>
      </c>
      <c r="K1020" s="14" t="s">
        <v>5196</v>
      </c>
      <c r="L1020" s="9">
        <v>233.77</v>
      </c>
      <c r="M1020" s="3">
        <v>293</v>
      </c>
      <c r="N1020" s="17" t="s">
        <v>5287</v>
      </c>
      <c r="O1020" s="18" t="s">
        <v>5285</v>
      </c>
      <c r="P1020" s="49">
        <f t="shared" si="61"/>
        <v>3.3427314508489347</v>
      </c>
      <c r="Q1020" s="1">
        <f t="shared" si="62"/>
        <v>4.4114334125856649</v>
      </c>
      <c r="R1020" s="1">
        <f t="shared" si="64"/>
        <v>4.633850635681835</v>
      </c>
      <c r="S1020" s="10">
        <f t="shared" si="63"/>
        <v>3.8770824317172998</v>
      </c>
      <c r="T1020" s="45" cm="1">
        <f t="array" ref="T1020">SUMPRODUCT(P1020:S1020 * P$3:S$3) / SUM(P$3:S$3)</f>
        <v>4.0757161524608234</v>
      </c>
    </row>
    <row r="1021" spans="1:20" ht="16.5" customHeight="1" x14ac:dyDescent="0.25">
      <c r="A1021" s="5" t="s">
        <v>6805</v>
      </c>
      <c r="B1021" s="20" t="s">
        <v>5355</v>
      </c>
      <c r="C1021" s="4" t="s">
        <v>8797</v>
      </c>
      <c r="D1021" s="4" t="s">
        <v>9025</v>
      </c>
      <c r="E1021" s="12" t="s">
        <v>407</v>
      </c>
      <c r="F1021" s="75" t="s">
        <v>6723</v>
      </c>
      <c r="G1021" s="3">
        <v>64</v>
      </c>
      <c r="H1021" s="3" t="s">
        <v>404</v>
      </c>
      <c r="I1021" s="13" t="s">
        <v>225</v>
      </c>
      <c r="J1021" s="72">
        <v>1.4</v>
      </c>
      <c r="K1021" s="14" t="s">
        <v>5196</v>
      </c>
      <c r="L1021" s="9">
        <v>224</v>
      </c>
      <c r="M1021" s="3">
        <v>360.23</v>
      </c>
      <c r="N1021" s="17" t="s">
        <v>5356</v>
      </c>
      <c r="O1021" s="18" t="s">
        <v>5354</v>
      </c>
      <c r="P1021" s="49">
        <f t="shared" si="61"/>
        <v>3.3372183814435701</v>
      </c>
      <c r="Q1021" s="1">
        <f t="shared" si="62"/>
        <v>4.4086768778829821</v>
      </c>
      <c r="R1021" s="1">
        <f t="shared" si="64"/>
        <v>4.6310941009791531</v>
      </c>
      <c r="S1021" s="10">
        <f t="shared" si="63"/>
        <v>3.8729476296632765</v>
      </c>
      <c r="T1021" s="45" cm="1">
        <f t="array" ref="T1021">SUMPRODUCT(P1021:S1021 * P$3:S$3) / SUM(P$3:S$3)</f>
        <v>4.0720054326687505</v>
      </c>
    </row>
    <row r="1022" spans="1:20" ht="16.5" customHeight="1" x14ac:dyDescent="0.25">
      <c r="A1022" s="5" t="s">
        <v>6805</v>
      </c>
      <c r="B1022" s="20" t="s">
        <v>5358</v>
      </c>
      <c r="C1022" s="4" t="s">
        <v>8797</v>
      </c>
      <c r="D1022" s="4" t="s">
        <v>9025</v>
      </c>
      <c r="E1022" s="12" t="s">
        <v>407</v>
      </c>
      <c r="F1022" s="75" t="s">
        <v>6723</v>
      </c>
      <c r="G1022" s="3">
        <v>64</v>
      </c>
      <c r="H1022" s="3" t="s">
        <v>404</v>
      </c>
      <c r="I1022" s="13" t="s">
        <v>6741</v>
      </c>
      <c r="J1022" s="72">
        <v>1.4</v>
      </c>
      <c r="K1022" s="14" t="s">
        <v>5196</v>
      </c>
      <c r="L1022" s="9">
        <v>218.72</v>
      </c>
      <c r="M1022" s="3">
        <v>332</v>
      </c>
      <c r="N1022" s="17" t="s">
        <v>5359</v>
      </c>
      <c r="O1022" s="18" t="s">
        <v>5357</v>
      </c>
      <c r="P1022" s="49">
        <f t="shared" si="61"/>
        <v>3.3427314508489347</v>
      </c>
      <c r="Q1022" s="1">
        <f t="shared" si="62"/>
        <v>4.4114334125856649</v>
      </c>
      <c r="R1022" s="1">
        <f t="shared" si="64"/>
        <v>4.633850635681835</v>
      </c>
      <c r="S1022" s="10">
        <f t="shared" si="63"/>
        <v>3.8770824317172998</v>
      </c>
      <c r="T1022" s="45" cm="1">
        <f t="array" ref="T1022">SUMPRODUCT(P1022:S1022 * P$3:S$3) / SUM(P$3:S$3)</f>
        <v>4.0757161524608234</v>
      </c>
    </row>
    <row r="1023" spans="1:20" ht="16.5" customHeight="1" x14ac:dyDescent="0.25">
      <c r="A1023" s="5" t="s">
        <v>6805</v>
      </c>
      <c r="B1023" s="20" t="s">
        <v>5361</v>
      </c>
      <c r="C1023" s="4" t="s">
        <v>8797</v>
      </c>
      <c r="D1023" s="4" t="s">
        <v>9025</v>
      </c>
      <c r="E1023" s="12" t="s">
        <v>407</v>
      </c>
      <c r="F1023" s="75" t="s">
        <v>6723</v>
      </c>
      <c r="G1023" s="3">
        <v>64</v>
      </c>
      <c r="H1023" s="3" t="s">
        <v>404</v>
      </c>
      <c r="I1023" s="13" t="s">
        <v>6743</v>
      </c>
      <c r="J1023" s="72">
        <v>1.4</v>
      </c>
      <c r="K1023" s="14" t="s">
        <v>5196</v>
      </c>
      <c r="L1023" s="9">
        <v>272.61</v>
      </c>
      <c r="M1023" s="3">
        <v>309.52</v>
      </c>
      <c r="N1023" s="17" t="s">
        <v>5362</v>
      </c>
      <c r="O1023" s="18" t="s">
        <v>5360</v>
      </c>
      <c r="P1023" s="49">
        <f t="shared" si="61"/>
        <v>3.3488659643949523</v>
      </c>
      <c r="Q1023" s="1">
        <f t="shared" si="62"/>
        <v>4.4145006693586737</v>
      </c>
      <c r="R1023" s="1">
        <f t="shared" si="64"/>
        <v>4.6369178924548438</v>
      </c>
      <c r="S1023" s="10">
        <f t="shared" si="63"/>
        <v>3.8816833168768134</v>
      </c>
      <c r="T1023" s="45" cm="1">
        <f t="array" ref="T1023">SUMPRODUCT(P1023:S1023 * P$3:S$3) / SUM(P$3:S$3)</f>
        <v>4.0798451519629504</v>
      </c>
    </row>
    <row r="1024" spans="1:20" ht="16.5" customHeight="1" x14ac:dyDescent="0.25">
      <c r="A1024" s="5" t="s">
        <v>6805</v>
      </c>
      <c r="B1024" s="20" t="s">
        <v>5454</v>
      </c>
      <c r="C1024" s="4" t="s">
        <v>8797</v>
      </c>
      <c r="D1024" s="4" t="s">
        <v>9025</v>
      </c>
      <c r="E1024" s="12" t="s">
        <v>407</v>
      </c>
      <c r="F1024" s="75" t="s">
        <v>6723</v>
      </c>
      <c r="G1024" s="3">
        <v>64</v>
      </c>
      <c r="H1024" s="3" t="s">
        <v>404</v>
      </c>
      <c r="I1024" s="13" t="s">
        <v>225</v>
      </c>
      <c r="J1024" s="72">
        <v>1.4</v>
      </c>
      <c r="L1024" s="9">
        <v>220.4</v>
      </c>
      <c r="M1024" s="3">
        <v>439</v>
      </c>
      <c r="N1024" s="17" t="s">
        <v>5455</v>
      </c>
      <c r="O1024" s="18" t="s">
        <v>5453</v>
      </c>
      <c r="P1024" s="49">
        <f t="shared" si="61"/>
        <v>3.3372183814435701</v>
      </c>
      <c r="Q1024" s="1">
        <f t="shared" si="62"/>
        <v>4.4086768778829821</v>
      </c>
      <c r="R1024" s="1">
        <f t="shared" si="64"/>
        <v>4.6310941009791531</v>
      </c>
      <c r="S1024" s="10">
        <f t="shared" si="63"/>
        <v>3.8729476296632765</v>
      </c>
      <c r="T1024" s="45" cm="1">
        <f t="array" ref="T1024">SUMPRODUCT(P1024:S1024 * P$3:S$3) / SUM(P$3:S$3)</f>
        <v>4.0720054326687505</v>
      </c>
    </row>
    <row r="1025" spans="1:20" ht="16.5" customHeight="1" x14ac:dyDescent="0.25">
      <c r="A1025" s="5" t="s">
        <v>6805</v>
      </c>
      <c r="B1025" s="20" t="s">
        <v>5457</v>
      </c>
      <c r="C1025" s="4" t="s">
        <v>8797</v>
      </c>
      <c r="D1025" s="4" t="s">
        <v>9025</v>
      </c>
      <c r="E1025" s="12" t="s">
        <v>407</v>
      </c>
      <c r="F1025" s="75" t="s">
        <v>6723</v>
      </c>
      <c r="G1025" s="3">
        <v>64</v>
      </c>
      <c r="H1025" s="3" t="s">
        <v>404</v>
      </c>
      <c r="I1025" s="13" t="s">
        <v>6741</v>
      </c>
      <c r="J1025" s="72">
        <v>1.4</v>
      </c>
      <c r="L1025" s="9">
        <v>214.84</v>
      </c>
      <c r="M1025" s="3">
        <v>345</v>
      </c>
      <c r="N1025" s="17" t="s">
        <v>5458</v>
      </c>
      <c r="O1025" s="18" t="s">
        <v>5456</v>
      </c>
      <c r="P1025" s="49">
        <f t="shared" si="61"/>
        <v>3.3427314508489347</v>
      </c>
      <c r="Q1025" s="1">
        <f t="shared" si="62"/>
        <v>4.4114334125856649</v>
      </c>
      <c r="R1025" s="1">
        <f t="shared" si="64"/>
        <v>4.633850635681835</v>
      </c>
      <c r="S1025" s="10">
        <f t="shared" si="63"/>
        <v>3.8770824317172998</v>
      </c>
      <c r="T1025" s="45" cm="1">
        <f t="array" ref="T1025">SUMPRODUCT(P1025:S1025 * P$3:S$3) / SUM(P$3:S$3)</f>
        <v>4.0757161524608234</v>
      </c>
    </row>
    <row r="1026" spans="1:20" ht="16.5" customHeight="1" x14ac:dyDescent="0.25">
      <c r="A1026" s="5" t="s">
        <v>6805</v>
      </c>
      <c r="B1026" s="20" t="s">
        <v>5475</v>
      </c>
      <c r="C1026" s="4" t="s">
        <v>8797</v>
      </c>
      <c r="D1026" s="4" t="s">
        <v>9025</v>
      </c>
      <c r="E1026" s="12" t="s">
        <v>407</v>
      </c>
      <c r="F1026" s="75" t="s">
        <v>6723</v>
      </c>
      <c r="G1026" s="3">
        <v>64</v>
      </c>
      <c r="H1026" s="3" t="s">
        <v>404</v>
      </c>
      <c r="I1026" s="13" t="s">
        <v>6741</v>
      </c>
      <c r="J1026" s="72">
        <v>1.4</v>
      </c>
      <c r="K1026" s="14" t="s">
        <v>5476</v>
      </c>
      <c r="L1026" s="9">
        <v>268.3</v>
      </c>
      <c r="M1026" s="3">
        <v>363.99</v>
      </c>
      <c r="N1026" s="17" t="s">
        <v>5477</v>
      </c>
      <c r="O1026" s="18" t="s">
        <v>5474</v>
      </c>
      <c r="P1026" s="49">
        <f t="shared" si="61"/>
        <v>3.3427314508489347</v>
      </c>
      <c r="Q1026" s="1">
        <f t="shared" si="62"/>
        <v>4.4114334125856649</v>
      </c>
      <c r="R1026" s="1">
        <f t="shared" si="64"/>
        <v>4.633850635681835</v>
      </c>
      <c r="S1026" s="10">
        <f t="shared" si="63"/>
        <v>3.8770824317172998</v>
      </c>
      <c r="T1026" s="45" cm="1">
        <f t="array" ref="T1026">SUMPRODUCT(P1026:S1026 * P$3:S$3) / SUM(P$3:S$3)</f>
        <v>4.0757161524608234</v>
      </c>
    </row>
    <row r="1027" spans="1:20" ht="16.5" customHeight="1" x14ac:dyDescent="0.25">
      <c r="A1027" s="5" t="s">
        <v>6805</v>
      </c>
      <c r="B1027" s="20" t="s">
        <v>5479</v>
      </c>
      <c r="C1027" s="4" t="s">
        <v>8797</v>
      </c>
      <c r="D1027" s="4" t="s">
        <v>9025</v>
      </c>
      <c r="E1027" s="12" t="s">
        <v>407</v>
      </c>
      <c r="F1027" s="75" t="s">
        <v>6723</v>
      </c>
      <c r="G1027" s="3">
        <v>64</v>
      </c>
      <c r="H1027" s="3" t="s">
        <v>404</v>
      </c>
      <c r="I1027" s="13" t="s">
        <v>6744</v>
      </c>
      <c r="J1027" s="72">
        <v>1.4</v>
      </c>
      <c r="K1027" s="14" t="s">
        <v>5476</v>
      </c>
      <c r="L1027" s="9">
        <v>385</v>
      </c>
      <c r="M1027" s="3">
        <v>428.65</v>
      </c>
      <c r="N1027" s="17" t="s">
        <v>5480</v>
      </c>
      <c r="O1027" s="18" t="s">
        <v>5478</v>
      </c>
      <c r="P1027" s="49">
        <f t="shared" si="61"/>
        <v>3.3557444048022145</v>
      </c>
      <c r="Q1027" s="1">
        <f t="shared" si="62"/>
        <v>4.4179398895623043</v>
      </c>
      <c r="R1027" s="1">
        <f t="shared" si="64"/>
        <v>4.6403571126584744</v>
      </c>
      <c r="S1027" s="10">
        <f t="shared" si="63"/>
        <v>3.8868421471822598</v>
      </c>
      <c r="T1027" s="45" cm="1">
        <f t="array" ref="T1027">SUMPRODUCT(P1027:S1027 * P$3:S$3) / SUM(P$3:S$3)</f>
        <v>4.0844748714678385</v>
      </c>
    </row>
    <row r="1028" spans="1:20" ht="16.5" customHeight="1" x14ac:dyDescent="0.25">
      <c r="A1028" s="5" t="s">
        <v>6805</v>
      </c>
      <c r="B1028" s="20" t="s">
        <v>5506</v>
      </c>
      <c r="C1028" s="4" t="s">
        <v>8797</v>
      </c>
      <c r="D1028" s="4" t="s">
        <v>9025</v>
      </c>
      <c r="E1028" s="12" t="s">
        <v>407</v>
      </c>
      <c r="F1028" s="75" t="s">
        <v>6723</v>
      </c>
      <c r="G1028" s="3">
        <v>64</v>
      </c>
      <c r="H1028" s="3" t="s">
        <v>404</v>
      </c>
      <c r="I1028" s="13" t="s">
        <v>225</v>
      </c>
      <c r="J1028" s="72">
        <v>1.4</v>
      </c>
      <c r="K1028" s="14" t="s">
        <v>5476</v>
      </c>
      <c r="L1028" s="9">
        <v>230.99</v>
      </c>
      <c r="M1028" s="3">
        <v>337</v>
      </c>
      <c r="N1028" s="17" t="s">
        <v>5507</v>
      </c>
      <c r="O1028" s="18" t="s">
        <v>5505</v>
      </c>
      <c r="P1028" s="49">
        <f t="shared" si="61"/>
        <v>3.3372183814435701</v>
      </c>
      <c r="Q1028" s="1">
        <f t="shared" si="62"/>
        <v>4.4086768778829821</v>
      </c>
      <c r="R1028" s="1">
        <f t="shared" si="64"/>
        <v>4.6310941009791531</v>
      </c>
      <c r="S1028" s="10">
        <f t="shared" si="63"/>
        <v>3.8729476296632765</v>
      </c>
      <c r="T1028" s="45" cm="1">
        <f t="array" ref="T1028">SUMPRODUCT(P1028:S1028 * P$3:S$3) / SUM(P$3:S$3)</f>
        <v>4.0720054326687505</v>
      </c>
    </row>
    <row r="1029" spans="1:20" ht="16.5" customHeight="1" x14ac:dyDescent="0.25">
      <c r="A1029" s="5" t="s">
        <v>6805</v>
      </c>
      <c r="B1029" s="20" t="s">
        <v>5509</v>
      </c>
      <c r="C1029" s="4" t="s">
        <v>8797</v>
      </c>
      <c r="D1029" s="4" t="s">
        <v>9025</v>
      </c>
      <c r="E1029" s="12" t="s">
        <v>407</v>
      </c>
      <c r="F1029" s="75" t="s">
        <v>6723</v>
      </c>
      <c r="G1029" s="3">
        <v>64</v>
      </c>
      <c r="H1029" s="3" t="s">
        <v>404</v>
      </c>
      <c r="I1029" s="13" t="s">
        <v>6741</v>
      </c>
      <c r="J1029" s="72">
        <v>1.4</v>
      </c>
      <c r="K1029" s="14" t="s">
        <v>5476</v>
      </c>
      <c r="L1029" s="9">
        <v>204.9</v>
      </c>
      <c r="M1029" s="3">
        <v>331</v>
      </c>
      <c r="N1029" s="17" t="s">
        <v>5510</v>
      </c>
      <c r="O1029" s="18" t="s">
        <v>5508</v>
      </c>
      <c r="P1029" s="49">
        <f t="shared" si="61"/>
        <v>3.3427314508489347</v>
      </c>
      <c r="Q1029" s="1">
        <f t="shared" si="62"/>
        <v>4.4114334125856649</v>
      </c>
      <c r="R1029" s="1">
        <f t="shared" si="64"/>
        <v>4.633850635681835</v>
      </c>
      <c r="S1029" s="10">
        <f t="shared" si="63"/>
        <v>3.8770824317172998</v>
      </c>
      <c r="T1029" s="45" cm="1">
        <f t="array" ref="T1029">SUMPRODUCT(P1029:S1029 * P$3:S$3) / SUM(P$3:S$3)</f>
        <v>4.0757161524608234</v>
      </c>
    </row>
    <row r="1030" spans="1:20" ht="16.5" customHeight="1" x14ac:dyDescent="0.25">
      <c r="A1030" s="5" t="s">
        <v>6805</v>
      </c>
      <c r="B1030" s="20" t="s">
        <v>5512</v>
      </c>
      <c r="C1030" s="4" t="s">
        <v>8797</v>
      </c>
      <c r="D1030" s="4" t="s">
        <v>9025</v>
      </c>
      <c r="E1030" s="12" t="s">
        <v>407</v>
      </c>
      <c r="F1030" s="75" t="s">
        <v>6723</v>
      </c>
      <c r="G1030" s="3">
        <v>64</v>
      </c>
      <c r="H1030" s="3" t="s">
        <v>404</v>
      </c>
      <c r="I1030" s="13" t="s">
        <v>6744</v>
      </c>
      <c r="J1030" s="72">
        <v>1.4</v>
      </c>
      <c r="K1030" s="14" t="s">
        <v>5476</v>
      </c>
      <c r="L1030" s="9">
        <v>385</v>
      </c>
      <c r="M1030" s="3">
        <v>428.65</v>
      </c>
      <c r="N1030" s="17" t="s">
        <v>5513</v>
      </c>
      <c r="O1030" s="18" t="s">
        <v>5511</v>
      </c>
      <c r="P1030" s="49">
        <f t="shared" si="61"/>
        <v>3.3557444048022145</v>
      </c>
      <c r="Q1030" s="1">
        <f t="shared" si="62"/>
        <v>4.4179398895623043</v>
      </c>
      <c r="R1030" s="1">
        <f t="shared" si="64"/>
        <v>4.6403571126584744</v>
      </c>
      <c r="S1030" s="10">
        <f t="shared" si="63"/>
        <v>3.8868421471822598</v>
      </c>
      <c r="T1030" s="45" cm="1">
        <f t="array" ref="T1030">SUMPRODUCT(P1030:S1030 * P$3:S$3) / SUM(P$3:S$3)</f>
        <v>4.0844748714678385</v>
      </c>
    </row>
    <row r="1031" spans="1:20" ht="16.5" customHeight="1" x14ac:dyDescent="0.25">
      <c r="A1031" s="5" t="s">
        <v>6777</v>
      </c>
      <c r="B1031" s="20" t="s">
        <v>4561</v>
      </c>
      <c r="C1031" s="4" t="s">
        <v>8798</v>
      </c>
      <c r="D1031" s="4" t="s">
        <v>9025</v>
      </c>
      <c r="E1031" s="12" t="s">
        <v>407</v>
      </c>
      <c r="F1031" s="75" t="s">
        <v>6723</v>
      </c>
      <c r="G1031" s="3">
        <v>64</v>
      </c>
      <c r="H1031" s="3" t="s">
        <v>404</v>
      </c>
      <c r="I1031" s="13" t="s">
        <v>6739</v>
      </c>
      <c r="J1031" s="72">
        <v>1.35</v>
      </c>
      <c r="L1031" s="9">
        <v>209.28</v>
      </c>
      <c r="M1031" s="3">
        <v>314</v>
      </c>
      <c r="N1031" s="17" t="s">
        <v>4562</v>
      </c>
      <c r="O1031" s="18" t="s">
        <v>4560</v>
      </c>
      <c r="P1031" s="49">
        <f t="shared" si="61"/>
        <v>3.3295599480694316</v>
      </c>
      <c r="Q1031" s="1">
        <f t="shared" si="62"/>
        <v>4.4057820529954359</v>
      </c>
      <c r="R1031" s="1">
        <f t="shared" si="64"/>
        <v>4.628199276091606</v>
      </c>
      <c r="S1031" s="10">
        <f t="shared" si="63"/>
        <v>3.8676710005324342</v>
      </c>
      <c r="T1031" s="45" cm="1">
        <f t="array" ref="T1031">SUMPRODUCT(P1031:S1031 * P$3:S$3) / SUM(P$3:S$3)</f>
        <v>4.067461666382</v>
      </c>
    </row>
    <row r="1032" spans="1:20" ht="16.5" customHeight="1" x14ac:dyDescent="0.25">
      <c r="A1032" s="5" t="s">
        <v>6777</v>
      </c>
      <c r="B1032" s="20" t="s">
        <v>4564</v>
      </c>
      <c r="C1032" s="4" t="s">
        <v>8798</v>
      </c>
      <c r="D1032" s="4" t="s">
        <v>9025</v>
      </c>
      <c r="E1032" s="12" t="s">
        <v>407</v>
      </c>
      <c r="F1032" s="75" t="s">
        <v>6723</v>
      </c>
      <c r="G1032" s="3">
        <v>64</v>
      </c>
      <c r="H1032" s="3" t="s">
        <v>404</v>
      </c>
      <c r="I1032" s="13" t="s">
        <v>6741</v>
      </c>
      <c r="J1032" s="72">
        <v>1.4</v>
      </c>
      <c r="L1032" s="9">
        <v>215.9</v>
      </c>
      <c r="M1032" s="3">
        <v>340.3</v>
      </c>
      <c r="N1032" s="17" t="s">
        <v>4565</v>
      </c>
      <c r="O1032" s="18" t="s">
        <v>4563</v>
      </c>
      <c r="P1032" s="49">
        <f t="shared" si="61"/>
        <v>3.3427314508489347</v>
      </c>
      <c r="Q1032" s="1">
        <f t="shared" si="62"/>
        <v>4.4114334125856649</v>
      </c>
      <c r="R1032" s="1">
        <f t="shared" si="64"/>
        <v>4.633850635681835</v>
      </c>
      <c r="S1032" s="10">
        <f t="shared" si="63"/>
        <v>3.8770824317172998</v>
      </c>
      <c r="T1032" s="45" cm="1">
        <f t="array" ref="T1032">SUMPRODUCT(P1032:S1032 * P$3:S$3) / SUM(P$3:S$3)</f>
        <v>4.0757161524608234</v>
      </c>
    </row>
    <row r="1033" spans="1:20" ht="16.5" customHeight="1" x14ac:dyDescent="0.25">
      <c r="A1033" s="5" t="s">
        <v>6777</v>
      </c>
      <c r="B1033" s="20" t="s">
        <v>4566</v>
      </c>
      <c r="C1033" s="4" t="s">
        <v>8798</v>
      </c>
      <c r="D1033" s="4" t="s">
        <v>9025</v>
      </c>
      <c r="E1033" s="12" t="s">
        <v>407</v>
      </c>
      <c r="F1033" s="75" t="s">
        <v>6723</v>
      </c>
      <c r="G1033" s="3">
        <v>64</v>
      </c>
      <c r="H1033" s="3" t="s">
        <v>404</v>
      </c>
      <c r="I1033" s="13" t="s">
        <v>6741</v>
      </c>
      <c r="J1033" s="72">
        <v>1.4</v>
      </c>
      <c r="L1033" s="9">
        <v>201.5</v>
      </c>
      <c r="M1033" s="3">
        <v>246.61</v>
      </c>
      <c r="N1033" s="17" t="s">
        <v>4567</v>
      </c>
      <c r="O1033" s="18" t="s">
        <v>4563</v>
      </c>
      <c r="P1033" s="49">
        <f t="shared" si="61"/>
        <v>3.3427314508489347</v>
      </c>
      <c r="Q1033" s="1">
        <f t="shared" si="62"/>
        <v>4.4114334125856649</v>
      </c>
      <c r="R1033" s="1">
        <f t="shared" si="64"/>
        <v>4.633850635681835</v>
      </c>
      <c r="S1033" s="10">
        <f t="shared" si="63"/>
        <v>3.8770824317172998</v>
      </c>
      <c r="T1033" s="45" cm="1">
        <f t="array" ref="T1033">SUMPRODUCT(P1033:S1033 * P$3:S$3) / SUM(P$3:S$3)</f>
        <v>4.0757161524608234</v>
      </c>
    </row>
    <row r="1034" spans="1:20" ht="16.5" customHeight="1" x14ac:dyDescent="0.25">
      <c r="A1034" s="5" t="s">
        <v>6777</v>
      </c>
      <c r="B1034" s="20" t="s">
        <v>4676</v>
      </c>
      <c r="C1034" s="4" t="s">
        <v>8798</v>
      </c>
      <c r="D1034" s="4" t="s">
        <v>9025</v>
      </c>
      <c r="E1034" s="12" t="s">
        <v>407</v>
      </c>
      <c r="F1034" s="75" t="s">
        <v>6723</v>
      </c>
      <c r="G1034" s="3">
        <v>64</v>
      </c>
      <c r="H1034" s="3" t="s">
        <v>404</v>
      </c>
      <c r="I1034" s="13" t="s">
        <v>6739</v>
      </c>
      <c r="J1034" s="72">
        <v>1.35</v>
      </c>
      <c r="L1034" s="9">
        <v>194.89</v>
      </c>
      <c r="M1034" s="3">
        <v>274.25</v>
      </c>
      <c r="N1034" s="17" t="s">
        <v>4677</v>
      </c>
      <c r="O1034" s="18" t="s">
        <v>4675</v>
      </c>
      <c r="P1034" s="49">
        <f t="shared" ref="P1034:P1097" si="65">(((F1034/F$9)^F$7 * F$2 + (I1034/I$9)^I$7 * I$2 + (J1034/J$9)^J$7 * J$2) * (1+M$3*(MIN(H1034,M$2)-1)+M$4*(H1034-MIN(H1034,M$2))) + (G1034/G$9)^G$7 * G$2)  * P$9</f>
        <v>3.3295599480694316</v>
      </c>
      <c r="Q1034" s="1">
        <f t="shared" ref="Q1034:Q1097" si="66">(((F1034/F$9)^F$7 * F$3 + (I1034/I$9)^I$7 * I$3 + (J1034/J$9)^J$7 * J$3) * (1+M$3*(MIN(H1034,M$2)-1)+M$4*(H1034-MIN(H1034,M$2))) + (G1034/G$9)^G$7 * G$3)  * P$9</f>
        <v>4.4057820529954359</v>
      </c>
      <c r="R1034" s="1">
        <f t="shared" si="64"/>
        <v>4.628199276091606</v>
      </c>
      <c r="S1034" s="10">
        <f t="shared" ref="S1034:S1097" si="67">(((F1034/F$9)^F$7 * F$5 + (I1034/I$9)^I$7 * I$5 + (J1034/J$9)^J$7 * J$5) * (1+M$3*(MIN(H1034,M$2)-1)+M$4*(H1034-MIN(H1034,M$2))) + (G1034/G$9)^G$7 * G$5)  * P$9</f>
        <v>3.8676710005324342</v>
      </c>
      <c r="T1034" s="45" cm="1">
        <f t="array" ref="T1034">SUMPRODUCT(P1034:S1034 * P$3:S$3) / SUM(P$3:S$3)</f>
        <v>4.067461666382</v>
      </c>
    </row>
    <row r="1035" spans="1:20" ht="16.5" customHeight="1" x14ac:dyDescent="0.25">
      <c r="A1035" s="5" t="s">
        <v>6777</v>
      </c>
      <c r="B1035" s="20" t="s">
        <v>4679</v>
      </c>
      <c r="C1035" s="4" t="s">
        <v>8798</v>
      </c>
      <c r="D1035" s="4" t="s">
        <v>9025</v>
      </c>
      <c r="E1035" s="12" t="s">
        <v>407</v>
      </c>
      <c r="F1035" s="75" t="s">
        <v>6723</v>
      </c>
      <c r="G1035" s="3">
        <v>64</v>
      </c>
      <c r="H1035" s="3" t="s">
        <v>404</v>
      </c>
      <c r="I1035" s="13" t="s">
        <v>6741</v>
      </c>
      <c r="J1035" s="72">
        <v>1.4</v>
      </c>
      <c r="L1035" s="9">
        <v>201.5</v>
      </c>
      <c r="M1035" s="3">
        <v>246.81</v>
      </c>
      <c r="N1035" s="17" t="s">
        <v>4680</v>
      </c>
      <c r="O1035" s="18" t="s">
        <v>4678</v>
      </c>
      <c r="P1035" s="49">
        <f t="shared" si="65"/>
        <v>3.3427314508489347</v>
      </c>
      <c r="Q1035" s="1">
        <f t="shared" si="66"/>
        <v>4.4114334125856649</v>
      </c>
      <c r="R1035" s="1">
        <f t="shared" si="64"/>
        <v>4.633850635681835</v>
      </c>
      <c r="S1035" s="10">
        <f t="shared" si="67"/>
        <v>3.8770824317172998</v>
      </c>
      <c r="T1035" s="45" cm="1">
        <f t="array" ref="T1035">SUMPRODUCT(P1035:S1035 * P$3:S$3) / SUM(P$3:S$3)</f>
        <v>4.0757161524608234</v>
      </c>
    </row>
    <row r="1036" spans="1:20" ht="16.5" customHeight="1" x14ac:dyDescent="0.25">
      <c r="A1036" s="5" t="s">
        <v>6777</v>
      </c>
      <c r="B1036" s="20" t="s">
        <v>4681</v>
      </c>
      <c r="C1036" s="4" t="s">
        <v>8798</v>
      </c>
      <c r="D1036" s="4" t="s">
        <v>9025</v>
      </c>
      <c r="E1036" s="12" t="s">
        <v>407</v>
      </c>
      <c r="F1036" s="75" t="s">
        <v>6723</v>
      </c>
      <c r="G1036" s="3">
        <v>64</v>
      </c>
      <c r="H1036" s="3" t="s">
        <v>404</v>
      </c>
      <c r="I1036" s="13" t="s">
        <v>6741</v>
      </c>
      <c r="J1036" s="72">
        <v>1.4</v>
      </c>
      <c r="L1036" s="9">
        <v>194.89</v>
      </c>
      <c r="M1036" s="3">
        <v>249</v>
      </c>
      <c r="N1036" s="17" t="s">
        <v>4682</v>
      </c>
      <c r="O1036" s="18" t="s">
        <v>4678</v>
      </c>
      <c r="P1036" s="49">
        <f t="shared" si="65"/>
        <v>3.3427314508489347</v>
      </c>
      <c r="Q1036" s="1">
        <f t="shared" si="66"/>
        <v>4.4114334125856649</v>
      </c>
      <c r="R1036" s="1">
        <f t="shared" si="64"/>
        <v>4.633850635681835</v>
      </c>
      <c r="S1036" s="10">
        <f t="shared" si="67"/>
        <v>3.8770824317172998</v>
      </c>
      <c r="T1036" s="45" cm="1">
        <f t="array" ref="T1036">SUMPRODUCT(P1036:S1036 * P$3:S$3) / SUM(P$3:S$3)</f>
        <v>4.0757161524608234</v>
      </c>
    </row>
    <row r="1037" spans="1:20" ht="16.5" customHeight="1" x14ac:dyDescent="0.25">
      <c r="A1037" s="5" t="s">
        <v>6777</v>
      </c>
      <c r="B1037" s="20" t="s">
        <v>4858</v>
      </c>
      <c r="C1037" s="4" t="s">
        <v>8798</v>
      </c>
      <c r="D1037" s="4" t="s">
        <v>9025</v>
      </c>
      <c r="E1037" s="12" t="s">
        <v>407</v>
      </c>
      <c r="F1037" s="75" t="s">
        <v>6723</v>
      </c>
      <c r="G1037" s="3">
        <v>64</v>
      </c>
      <c r="H1037" s="3" t="s">
        <v>404</v>
      </c>
      <c r="I1037" s="13" t="s">
        <v>6739</v>
      </c>
      <c r="J1037" s="72">
        <v>1.35</v>
      </c>
      <c r="K1037" s="14" t="s">
        <v>4847</v>
      </c>
      <c r="L1037" s="9">
        <v>213.9</v>
      </c>
      <c r="M1037" s="3">
        <v>328</v>
      </c>
      <c r="N1037" s="17" t="s">
        <v>4859</v>
      </c>
      <c r="O1037" s="18" t="s">
        <v>4857</v>
      </c>
      <c r="P1037" s="49">
        <f t="shared" si="65"/>
        <v>3.3295599480694316</v>
      </c>
      <c r="Q1037" s="1">
        <f t="shared" si="66"/>
        <v>4.4057820529954359</v>
      </c>
      <c r="R1037" s="1">
        <f t="shared" si="64"/>
        <v>4.628199276091606</v>
      </c>
      <c r="S1037" s="10">
        <f t="shared" si="67"/>
        <v>3.8676710005324342</v>
      </c>
      <c r="T1037" s="45" cm="1">
        <f t="array" ref="T1037">SUMPRODUCT(P1037:S1037 * P$3:S$3) / SUM(P$3:S$3)</f>
        <v>4.067461666382</v>
      </c>
    </row>
    <row r="1038" spans="1:20" ht="16.5" customHeight="1" x14ac:dyDescent="0.25">
      <c r="A1038" s="5" t="s">
        <v>6777</v>
      </c>
      <c r="B1038" s="20" t="s">
        <v>4861</v>
      </c>
      <c r="C1038" s="4" t="s">
        <v>8798</v>
      </c>
      <c r="D1038" s="4" t="s">
        <v>9025</v>
      </c>
      <c r="E1038" s="12" t="s">
        <v>407</v>
      </c>
      <c r="F1038" s="75" t="s">
        <v>6723</v>
      </c>
      <c r="G1038" s="3">
        <v>64</v>
      </c>
      <c r="H1038" s="3" t="s">
        <v>404</v>
      </c>
      <c r="I1038" s="13" t="s">
        <v>6741</v>
      </c>
      <c r="J1038" s="72">
        <v>1.4</v>
      </c>
      <c r="K1038" s="14" t="s">
        <v>4847</v>
      </c>
      <c r="L1038" s="9">
        <v>199.9</v>
      </c>
      <c r="M1038" s="3">
        <v>324.88</v>
      </c>
      <c r="N1038" s="17" t="s">
        <v>4862</v>
      </c>
      <c r="O1038" s="18" t="s">
        <v>4860</v>
      </c>
      <c r="P1038" s="49">
        <f t="shared" si="65"/>
        <v>3.3427314508489347</v>
      </c>
      <c r="Q1038" s="1">
        <f t="shared" si="66"/>
        <v>4.4114334125856649</v>
      </c>
      <c r="R1038" s="1">
        <f t="shared" si="64"/>
        <v>4.633850635681835</v>
      </c>
      <c r="S1038" s="10">
        <f t="shared" si="67"/>
        <v>3.8770824317172998</v>
      </c>
      <c r="T1038" s="45" cm="1">
        <f t="array" ref="T1038">SUMPRODUCT(P1038:S1038 * P$3:S$3) / SUM(P$3:S$3)</f>
        <v>4.0757161524608234</v>
      </c>
    </row>
    <row r="1039" spans="1:20" ht="16.5" customHeight="1" x14ac:dyDescent="0.25">
      <c r="A1039" s="5" t="s">
        <v>6777</v>
      </c>
      <c r="B1039" s="20" t="s">
        <v>4863</v>
      </c>
      <c r="C1039" s="4" t="s">
        <v>8798</v>
      </c>
      <c r="D1039" s="4" t="s">
        <v>9025</v>
      </c>
      <c r="E1039" s="12" t="s">
        <v>407</v>
      </c>
      <c r="F1039" s="75" t="s">
        <v>6723</v>
      </c>
      <c r="G1039" s="3">
        <v>64</v>
      </c>
      <c r="H1039" s="3" t="s">
        <v>404</v>
      </c>
      <c r="I1039" s="13" t="s">
        <v>6741</v>
      </c>
      <c r="J1039" s="72">
        <v>1.4</v>
      </c>
      <c r="K1039" s="14" t="s">
        <v>4847</v>
      </c>
      <c r="L1039" s="9">
        <v>211.4</v>
      </c>
      <c r="M1039" s="3">
        <v>313.16000000000003</v>
      </c>
      <c r="N1039" s="17" t="s">
        <v>4864</v>
      </c>
      <c r="O1039" s="18" t="s">
        <v>4860</v>
      </c>
      <c r="P1039" s="49">
        <f t="shared" si="65"/>
        <v>3.3427314508489347</v>
      </c>
      <c r="Q1039" s="1">
        <f t="shared" si="66"/>
        <v>4.4114334125856649</v>
      </c>
      <c r="R1039" s="1">
        <f t="shared" si="64"/>
        <v>4.633850635681835</v>
      </c>
      <c r="S1039" s="10">
        <f t="shared" si="67"/>
        <v>3.8770824317172998</v>
      </c>
      <c r="T1039" s="45" cm="1">
        <f t="array" ref="T1039">SUMPRODUCT(P1039:S1039 * P$3:S$3) / SUM(P$3:S$3)</f>
        <v>4.0757161524608234</v>
      </c>
    </row>
    <row r="1040" spans="1:20" ht="16.5" customHeight="1" x14ac:dyDescent="0.25">
      <c r="A1040" s="5" t="s">
        <v>6777</v>
      </c>
      <c r="B1040" s="20" t="s">
        <v>4989</v>
      </c>
      <c r="C1040" s="4" t="s">
        <v>8798</v>
      </c>
      <c r="D1040" s="4" t="s">
        <v>9025</v>
      </c>
      <c r="E1040" s="12" t="s">
        <v>407</v>
      </c>
      <c r="F1040" s="75" t="s">
        <v>6723</v>
      </c>
      <c r="G1040" s="3">
        <v>64</v>
      </c>
      <c r="H1040" s="3" t="s">
        <v>404</v>
      </c>
      <c r="I1040" s="13" t="s">
        <v>6740</v>
      </c>
      <c r="J1040" s="72">
        <v>1.35</v>
      </c>
      <c r="K1040" s="14" t="s">
        <v>4847</v>
      </c>
      <c r="L1040" s="9">
        <v>236.35</v>
      </c>
      <c r="M1040" s="3">
        <v>289.89999999999998</v>
      </c>
      <c r="N1040" s="17" t="s">
        <v>4990</v>
      </c>
      <c r="O1040" s="18" t="s">
        <v>4986</v>
      </c>
      <c r="P1040" s="49">
        <f t="shared" si="65"/>
        <v>3.3215897311837232</v>
      </c>
      <c r="Q1040" s="1">
        <f t="shared" si="66"/>
        <v>4.401796944552582</v>
      </c>
      <c r="R1040" s="1">
        <f t="shared" ref="R1040:R1103" si="68">(((F1040/F$9)^F$7 * F$4 + (I1040/I$9)^I$7 * I$4 + (J1040/J$9)^J$7 * J$4) * (1+M$3*(MIN(H1040,M$2)-1)+M$4*(H1040-MIN(H1040,M$2))) + (G1040/G$9)^G$7 * G$4)  * P$9</f>
        <v>4.624214167648752</v>
      </c>
      <c r="S1040" s="10">
        <f t="shared" si="67"/>
        <v>3.8616933378681528</v>
      </c>
      <c r="T1040" s="45" cm="1">
        <f t="array" ref="T1040">SUMPRODUCT(P1040:S1040 * P$3:S$3) / SUM(P$3:S$3)</f>
        <v>4.0620970973243109</v>
      </c>
    </row>
    <row r="1041" spans="1:20" ht="16.5" customHeight="1" x14ac:dyDescent="0.25">
      <c r="A1041" s="5" t="s">
        <v>6777</v>
      </c>
      <c r="B1041" s="20" t="s">
        <v>4992</v>
      </c>
      <c r="C1041" s="4" t="s">
        <v>8798</v>
      </c>
      <c r="D1041" s="4" t="s">
        <v>9025</v>
      </c>
      <c r="E1041" s="12" t="s">
        <v>407</v>
      </c>
      <c r="F1041" s="75" t="s">
        <v>6723</v>
      </c>
      <c r="G1041" s="3">
        <v>64</v>
      </c>
      <c r="H1041" s="3" t="s">
        <v>404</v>
      </c>
      <c r="I1041" s="13" t="s">
        <v>6739</v>
      </c>
      <c r="J1041" s="72">
        <v>1.35</v>
      </c>
      <c r="K1041" s="14" t="s">
        <v>4847</v>
      </c>
      <c r="L1041" s="9">
        <v>211.4</v>
      </c>
      <c r="M1041" s="3">
        <v>288.55</v>
      </c>
      <c r="N1041" s="17" t="s">
        <v>4993</v>
      </c>
      <c r="O1041" s="18" t="s">
        <v>4991</v>
      </c>
      <c r="P1041" s="49">
        <f t="shared" si="65"/>
        <v>3.3295599480694316</v>
      </c>
      <c r="Q1041" s="1">
        <f t="shared" si="66"/>
        <v>4.4057820529954359</v>
      </c>
      <c r="R1041" s="1">
        <f t="shared" si="68"/>
        <v>4.628199276091606</v>
      </c>
      <c r="S1041" s="10">
        <f t="shared" si="67"/>
        <v>3.8676710005324342</v>
      </c>
      <c r="T1041" s="45" cm="1">
        <f t="array" ref="T1041">SUMPRODUCT(P1041:S1041 * P$3:S$3) / SUM(P$3:S$3)</f>
        <v>4.067461666382</v>
      </c>
    </row>
    <row r="1042" spans="1:20" ht="16.5" customHeight="1" x14ac:dyDescent="0.25">
      <c r="A1042" s="5" t="s">
        <v>6777</v>
      </c>
      <c r="B1042" s="20" t="s">
        <v>4995</v>
      </c>
      <c r="C1042" s="4" t="s">
        <v>8798</v>
      </c>
      <c r="D1042" s="4" t="s">
        <v>9025</v>
      </c>
      <c r="E1042" s="12" t="s">
        <v>407</v>
      </c>
      <c r="F1042" s="75" t="s">
        <v>6723</v>
      </c>
      <c r="G1042" s="3">
        <v>64</v>
      </c>
      <c r="H1042" s="3" t="s">
        <v>404</v>
      </c>
      <c r="I1042" s="13" t="s">
        <v>6741</v>
      </c>
      <c r="J1042" s="72">
        <v>1.4</v>
      </c>
      <c r="K1042" s="14" t="s">
        <v>4847</v>
      </c>
      <c r="L1042" s="9">
        <v>199.9</v>
      </c>
      <c r="M1042" s="3">
        <v>305.75</v>
      </c>
      <c r="N1042" s="17" t="s">
        <v>4996</v>
      </c>
      <c r="O1042" s="18" t="s">
        <v>4994</v>
      </c>
      <c r="P1042" s="49">
        <f t="shared" si="65"/>
        <v>3.3427314508489347</v>
      </c>
      <c r="Q1042" s="1">
        <f t="shared" si="66"/>
        <v>4.4114334125856649</v>
      </c>
      <c r="R1042" s="1">
        <f t="shared" si="68"/>
        <v>4.633850635681835</v>
      </c>
      <c r="S1042" s="10">
        <f t="shared" si="67"/>
        <v>3.8770824317172998</v>
      </c>
      <c r="T1042" s="45" cm="1">
        <f t="array" ref="T1042">SUMPRODUCT(P1042:S1042 * P$3:S$3) / SUM(P$3:S$3)</f>
        <v>4.0757161524608234</v>
      </c>
    </row>
    <row r="1043" spans="1:20" ht="16.5" customHeight="1" x14ac:dyDescent="0.25">
      <c r="A1043" s="5" t="s">
        <v>6777</v>
      </c>
      <c r="B1043" s="20" t="s">
        <v>4997</v>
      </c>
      <c r="C1043" s="4" t="s">
        <v>8798</v>
      </c>
      <c r="D1043" s="4" t="s">
        <v>9025</v>
      </c>
      <c r="E1043" s="12" t="s">
        <v>407</v>
      </c>
      <c r="F1043" s="75" t="s">
        <v>6723</v>
      </c>
      <c r="G1043" s="3">
        <v>64</v>
      </c>
      <c r="H1043" s="3" t="s">
        <v>404</v>
      </c>
      <c r="I1043" s="13" t="s">
        <v>6741</v>
      </c>
      <c r="J1043" s="72">
        <v>1.4</v>
      </c>
      <c r="K1043" s="14" t="s">
        <v>4847</v>
      </c>
      <c r="L1043" s="9">
        <v>211.4</v>
      </c>
      <c r="M1043" s="3">
        <v>337</v>
      </c>
      <c r="N1043" s="17" t="s">
        <v>4998</v>
      </c>
      <c r="O1043" s="18" t="s">
        <v>4994</v>
      </c>
      <c r="P1043" s="49">
        <f t="shared" si="65"/>
        <v>3.3427314508489347</v>
      </c>
      <c r="Q1043" s="1">
        <f t="shared" si="66"/>
        <v>4.4114334125856649</v>
      </c>
      <c r="R1043" s="1">
        <f t="shared" si="68"/>
        <v>4.633850635681835</v>
      </c>
      <c r="S1043" s="10">
        <f t="shared" si="67"/>
        <v>3.8770824317172998</v>
      </c>
      <c r="T1043" s="45" cm="1">
        <f t="array" ref="T1043">SUMPRODUCT(P1043:S1043 * P$3:S$3) / SUM(P$3:S$3)</f>
        <v>4.0757161524608234</v>
      </c>
    </row>
    <row r="1044" spans="1:20" ht="16.5" customHeight="1" x14ac:dyDescent="0.25">
      <c r="A1044" s="5" t="s">
        <v>6748</v>
      </c>
      <c r="B1044" s="20" t="s">
        <v>4333</v>
      </c>
      <c r="C1044" s="4" t="s">
        <v>8798</v>
      </c>
      <c r="D1044" s="4" t="s">
        <v>9025</v>
      </c>
      <c r="E1044" s="12" t="s">
        <v>407</v>
      </c>
      <c r="F1044" s="75" t="s">
        <v>6723</v>
      </c>
      <c r="G1044" s="3">
        <v>64</v>
      </c>
      <c r="H1044" s="3" t="s">
        <v>404</v>
      </c>
      <c r="I1044" s="13" t="s">
        <v>225</v>
      </c>
      <c r="J1044" s="72">
        <v>1.35</v>
      </c>
      <c r="L1044" s="9">
        <v>292.58</v>
      </c>
      <c r="M1044" s="3">
        <v>302.64</v>
      </c>
      <c r="N1044" s="17" t="s">
        <v>4334</v>
      </c>
      <c r="O1044" s="18" t="s">
        <v>4332</v>
      </c>
      <c r="P1044" s="49">
        <f t="shared" si="65"/>
        <v>3.3390871650426166</v>
      </c>
      <c r="Q1044" s="1">
        <f t="shared" si="66"/>
        <v>4.4105456614820282</v>
      </c>
      <c r="R1044" s="1">
        <f t="shared" si="68"/>
        <v>4.6329628845781992</v>
      </c>
      <c r="S1044" s="10">
        <f t="shared" si="67"/>
        <v>3.8748164132623231</v>
      </c>
      <c r="T1044" s="45" cm="1">
        <f t="array" ref="T1044">SUMPRODUCT(P1044:S1044 * P$3:S$3) / SUM(P$3:S$3)</f>
        <v>4.0738742162677966</v>
      </c>
    </row>
    <row r="1045" spans="1:20" ht="16.5" customHeight="1" x14ac:dyDescent="0.25">
      <c r="A1045" s="5" t="s">
        <v>6935</v>
      </c>
      <c r="B1045" s="20" t="s">
        <v>6544</v>
      </c>
      <c r="C1045" s="4" t="s">
        <v>8796</v>
      </c>
      <c r="D1045" s="4" t="s">
        <v>9026</v>
      </c>
      <c r="E1045" s="12" t="s">
        <v>407</v>
      </c>
      <c r="F1045" s="75" t="s">
        <v>6723</v>
      </c>
      <c r="G1045" s="3">
        <v>64</v>
      </c>
      <c r="H1045" s="3" t="s">
        <v>419</v>
      </c>
      <c r="I1045" s="13" t="s">
        <v>6739</v>
      </c>
      <c r="J1045" s="72">
        <v>1.35</v>
      </c>
      <c r="K1045" s="14" t="s">
        <v>6530</v>
      </c>
      <c r="L1045" s="9">
        <v>333.93</v>
      </c>
      <c r="M1045" s="3">
        <v>390.41</v>
      </c>
      <c r="N1045" s="17" t="s">
        <v>6545</v>
      </c>
      <c r="O1045" s="18" t="s">
        <v>6543</v>
      </c>
      <c r="P1045" s="49">
        <f t="shared" si="65"/>
        <v>3.3972093260417262</v>
      </c>
      <c r="Q1045" s="1">
        <f t="shared" si="66"/>
        <v>4.4561591329851238</v>
      </c>
      <c r="R1045" s="1">
        <f t="shared" si="68"/>
        <v>4.6717143741418967</v>
      </c>
      <c r="S1045" s="10">
        <f t="shared" si="67"/>
        <v>3.926684229513425</v>
      </c>
      <c r="T1045" s="45" cm="1">
        <f t="array" ref="T1045">SUMPRODUCT(P1045:S1045 * P$3:S$3) / SUM(P$3:S$3)</f>
        <v>4.1227619292211433</v>
      </c>
    </row>
    <row r="1046" spans="1:20" ht="16.5" customHeight="1" x14ac:dyDescent="0.25">
      <c r="A1046" s="5" t="s">
        <v>6935</v>
      </c>
      <c r="B1046" s="20" t="s">
        <v>6596</v>
      </c>
      <c r="C1046" s="4" t="s">
        <v>8796</v>
      </c>
      <c r="D1046" s="4" t="s">
        <v>9026</v>
      </c>
      <c r="E1046" s="12" t="s">
        <v>407</v>
      </c>
      <c r="F1046" s="75" t="s">
        <v>6723</v>
      </c>
      <c r="G1046" s="3">
        <v>64</v>
      </c>
      <c r="H1046" s="3" t="s">
        <v>419</v>
      </c>
      <c r="I1046" s="13" t="s">
        <v>6739</v>
      </c>
      <c r="J1046" s="72">
        <v>1.35</v>
      </c>
      <c r="K1046" s="14" t="s">
        <v>6530</v>
      </c>
      <c r="L1046" s="9">
        <v>333.93</v>
      </c>
      <c r="M1046" s="3">
        <v>423.52</v>
      </c>
      <c r="N1046" s="17" t="s">
        <v>6597</v>
      </c>
      <c r="O1046" s="18" t="s">
        <v>6595</v>
      </c>
      <c r="P1046" s="49">
        <f t="shared" si="65"/>
        <v>3.3972093260417262</v>
      </c>
      <c r="Q1046" s="1">
        <f t="shared" si="66"/>
        <v>4.4561591329851238</v>
      </c>
      <c r="R1046" s="1">
        <f t="shared" si="68"/>
        <v>4.6717143741418967</v>
      </c>
      <c r="S1046" s="10">
        <f t="shared" si="67"/>
        <v>3.926684229513425</v>
      </c>
      <c r="T1046" s="45" cm="1">
        <f t="array" ref="T1046">SUMPRODUCT(P1046:S1046 * P$3:S$3) / SUM(P$3:S$3)</f>
        <v>4.1227619292211433</v>
      </c>
    </row>
    <row r="1047" spans="1:20" ht="16.5" customHeight="1" x14ac:dyDescent="0.25">
      <c r="A1047" s="5" t="s">
        <v>6910</v>
      </c>
      <c r="B1047" s="20" t="s">
        <v>6064</v>
      </c>
      <c r="C1047" s="4" t="s">
        <v>8796</v>
      </c>
      <c r="D1047" s="4" t="s">
        <v>9026</v>
      </c>
      <c r="E1047" s="12" t="s">
        <v>407</v>
      </c>
      <c r="F1047" s="75" t="s">
        <v>6723</v>
      </c>
      <c r="G1047" s="3">
        <v>64</v>
      </c>
      <c r="H1047" s="3" t="s">
        <v>419</v>
      </c>
      <c r="I1047" s="13" t="s">
        <v>6739</v>
      </c>
      <c r="J1047" s="72">
        <v>1.35</v>
      </c>
      <c r="L1047" s="9">
        <v>239.06</v>
      </c>
      <c r="M1047" s="3">
        <v>301.45</v>
      </c>
      <c r="N1047" s="17" t="s">
        <v>6065</v>
      </c>
      <c r="O1047" s="18" t="s">
        <v>6063</v>
      </c>
      <c r="P1047" s="49">
        <f t="shared" si="65"/>
        <v>3.3972093260417262</v>
      </c>
      <c r="Q1047" s="1">
        <f t="shared" si="66"/>
        <v>4.4561591329851238</v>
      </c>
      <c r="R1047" s="1">
        <f t="shared" si="68"/>
        <v>4.6717143741418967</v>
      </c>
      <c r="S1047" s="10">
        <f t="shared" si="67"/>
        <v>3.926684229513425</v>
      </c>
      <c r="T1047" s="45" cm="1">
        <f t="array" ref="T1047">SUMPRODUCT(P1047:S1047 * P$3:S$3) / SUM(P$3:S$3)</f>
        <v>4.1227619292211433</v>
      </c>
    </row>
    <row r="1048" spans="1:20" ht="16.5" customHeight="1" x14ac:dyDescent="0.25">
      <c r="A1048" s="5" t="s">
        <v>6910</v>
      </c>
      <c r="B1048" s="20" t="s">
        <v>6292</v>
      </c>
      <c r="C1048" s="4" t="s">
        <v>8796</v>
      </c>
      <c r="D1048" s="4" t="s">
        <v>9026</v>
      </c>
      <c r="E1048" s="12" t="s">
        <v>407</v>
      </c>
      <c r="F1048" s="75" t="s">
        <v>6723</v>
      </c>
      <c r="G1048" s="3">
        <v>64</v>
      </c>
      <c r="H1048" s="3" t="s">
        <v>419</v>
      </c>
      <c r="I1048" s="13" t="s">
        <v>6739</v>
      </c>
      <c r="J1048" s="72">
        <v>1.35</v>
      </c>
      <c r="K1048" s="14" t="s">
        <v>6175</v>
      </c>
      <c r="L1048" s="9">
        <v>269</v>
      </c>
      <c r="M1048" s="3">
        <v>320.39</v>
      </c>
      <c r="N1048" s="17" t="s">
        <v>6293</v>
      </c>
      <c r="O1048" s="18" t="s">
        <v>6291</v>
      </c>
      <c r="P1048" s="49">
        <f t="shared" si="65"/>
        <v>3.3972093260417262</v>
      </c>
      <c r="Q1048" s="1">
        <f t="shared" si="66"/>
        <v>4.4561591329851238</v>
      </c>
      <c r="R1048" s="1">
        <f t="shared" si="68"/>
        <v>4.6717143741418967</v>
      </c>
      <c r="S1048" s="10">
        <f t="shared" si="67"/>
        <v>3.926684229513425</v>
      </c>
      <c r="T1048" s="45" cm="1">
        <f t="array" ref="T1048">SUMPRODUCT(P1048:S1048 * P$3:S$3) / SUM(P$3:S$3)</f>
        <v>4.1227619292211433</v>
      </c>
    </row>
    <row r="1049" spans="1:20" ht="16.5" customHeight="1" x14ac:dyDescent="0.25">
      <c r="A1049" s="5" t="s">
        <v>6910</v>
      </c>
      <c r="B1049" s="20" t="s">
        <v>6466</v>
      </c>
      <c r="C1049" s="4" t="s">
        <v>8796</v>
      </c>
      <c r="D1049" s="4" t="s">
        <v>9026</v>
      </c>
      <c r="E1049" s="12" t="s">
        <v>407</v>
      </c>
      <c r="F1049" s="75" t="s">
        <v>6723</v>
      </c>
      <c r="G1049" s="3">
        <v>64</v>
      </c>
      <c r="H1049" s="3" t="s">
        <v>419</v>
      </c>
      <c r="I1049" s="13" t="s">
        <v>6739</v>
      </c>
      <c r="J1049" s="72">
        <v>1.35</v>
      </c>
      <c r="L1049" s="9">
        <v>231.05</v>
      </c>
      <c r="M1049" s="3">
        <v>294.47000000000003</v>
      </c>
      <c r="N1049" s="17" t="s">
        <v>6467</v>
      </c>
      <c r="O1049" s="18" t="s">
        <v>6465</v>
      </c>
      <c r="P1049" s="49">
        <f t="shared" si="65"/>
        <v>3.3972093260417262</v>
      </c>
      <c r="Q1049" s="1">
        <f t="shared" si="66"/>
        <v>4.4561591329851238</v>
      </c>
      <c r="R1049" s="1">
        <f t="shared" si="68"/>
        <v>4.6717143741418967</v>
      </c>
      <c r="S1049" s="10">
        <f t="shared" si="67"/>
        <v>3.926684229513425</v>
      </c>
      <c r="T1049" s="45" cm="1">
        <f t="array" ref="T1049">SUMPRODUCT(P1049:S1049 * P$3:S$3) / SUM(P$3:S$3)</f>
        <v>4.1227619292211433</v>
      </c>
    </row>
    <row r="1050" spans="1:20" ht="16.5" customHeight="1" x14ac:dyDescent="0.25">
      <c r="A1050" s="5" t="s">
        <v>6795</v>
      </c>
      <c r="B1050" s="20" t="s">
        <v>4673</v>
      </c>
      <c r="C1050" s="4" t="s">
        <v>8798</v>
      </c>
      <c r="D1050" s="4" t="s">
        <v>9026</v>
      </c>
      <c r="E1050" s="12" t="s">
        <v>407</v>
      </c>
      <c r="F1050" s="75" t="s">
        <v>6723</v>
      </c>
      <c r="G1050" s="3">
        <v>64</v>
      </c>
      <c r="H1050" s="3" t="s">
        <v>419</v>
      </c>
      <c r="I1050" s="13" t="s">
        <v>6740</v>
      </c>
      <c r="J1050" s="72">
        <v>1.35</v>
      </c>
      <c r="L1050" s="9">
        <v>219.88</v>
      </c>
      <c r="M1050" s="3">
        <v>279.02</v>
      </c>
      <c r="N1050" s="17" t="s">
        <v>4674</v>
      </c>
      <c r="O1050" s="18" t="s">
        <v>4672</v>
      </c>
      <c r="P1050" s="49">
        <f t="shared" si="65"/>
        <v>3.3888043700531609</v>
      </c>
      <c r="Q1050" s="1">
        <f t="shared" si="66"/>
        <v>4.4519566549908411</v>
      </c>
      <c r="R1050" s="1">
        <f t="shared" si="68"/>
        <v>4.667511896147615</v>
      </c>
      <c r="S1050" s="10">
        <f t="shared" si="67"/>
        <v>3.9203805125220015</v>
      </c>
      <c r="T1050" s="45" cm="1">
        <f t="array" ref="T1050">SUMPRODUCT(P1050:S1050 * P$3:S$3) / SUM(P$3:S$3)</f>
        <v>4.1171047473057634</v>
      </c>
    </row>
    <row r="1051" spans="1:20" ht="16.5" customHeight="1" x14ac:dyDescent="0.25">
      <c r="A1051" s="5" t="s">
        <v>6795</v>
      </c>
      <c r="B1051" s="20" t="s">
        <v>4855</v>
      </c>
      <c r="C1051" s="4" t="s">
        <v>8798</v>
      </c>
      <c r="D1051" s="4" t="s">
        <v>9026</v>
      </c>
      <c r="E1051" s="12" t="s">
        <v>407</v>
      </c>
      <c r="F1051" s="75" t="s">
        <v>6723</v>
      </c>
      <c r="G1051" s="3">
        <v>64</v>
      </c>
      <c r="H1051" s="3" t="s">
        <v>419</v>
      </c>
      <c r="I1051" s="13" t="s">
        <v>6740</v>
      </c>
      <c r="J1051" s="72">
        <v>1.35</v>
      </c>
      <c r="K1051" s="14" t="s">
        <v>4847</v>
      </c>
      <c r="L1051" s="9">
        <v>236.69</v>
      </c>
      <c r="M1051" s="3">
        <v>386.78</v>
      </c>
      <c r="N1051" s="17" t="s">
        <v>4856</v>
      </c>
      <c r="O1051" s="18" t="s">
        <v>4854</v>
      </c>
      <c r="P1051" s="49">
        <f t="shared" si="65"/>
        <v>3.3888043700531609</v>
      </c>
      <c r="Q1051" s="1">
        <f t="shared" si="66"/>
        <v>4.4519566549908411</v>
      </c>
      <c r="R1051" s="1">
        <f t="shared" si="68"/>
        <v>4.667511896147615</v>
      </c>
      <c r="S1051" s="10">
        <f t="shared" si="67"/>
        <v>3.9203805125220015</v>
      </c>
      <c r="T1051" s="45" cm="1">
        <f t="array" ref="T1051">SUMPRODUCT(P1051:S1051 * P$3:S$3) / SUM(P$3:S$3)</f>
        <v>4.1171047473057634</v>
      </c>
    </row>
    <row r="1052" spans="1:20" ht="16.5" customHeight="1" x14ac:dyDescent="0.25">
      <c r="A1052" s="5" t="s">
        <v>6795</v>
      </c>
      <c r="B1052" s="20" t="s">
        <v>4987</v>
      </c>
      <c r="C1052" s="4" t="s">
        <v>8798</v>
      </c>
      <c r="D1052" s="4" t="s">
        <v>9026</v>
      </c>
      <c r="E1052" s="12" t="s">
        <v>407</v>
      </c>
      <c r="F1052" s="75" t="s">
        <v>6723</v>
      </c>
      <c r="G1052" s="3">
        <v>64</v>
      </c>
      <c r="H1052" s="3" t="s">
        <v>419</v>
      </c>
      <c r="I1052" s="13" t="s">
        <v>6740</v>
      </c>
      <c r="J1052" s="72">
        <v>1.35</v>
      </c>
      <c r="K1052" s="14" t="s">
        <v>4847</v>
      </c>
      <c r="L1052" s="9">
        <v>239.8</v>
      </c>
      <c r="M1052" s="3">
        <v>348.48</v>
      </c>
      <c r="N1052" s="17" t="s">
        <v>4988</v>
      </c>
      <c r="O1052" s="18" t="s">
        <v>4986</v>
      </c>
      <c r="P1052" s="49">
        <f t="shared" si="65"/>
        <v>3.3888043700531609</v>
      </c>
      <c r="Q1052" s="1">
        <f t="shared" si="66"/>
        <v>4.4519566549908411</v>
      </c>
      <c r="R1052" s="1">
        <f t="shared" si="68"/>
        <v>4.667511896147615</v>
      </c>
      <c r="S1052" s="10">
        <f t="shared" si="67"/>
        <v>3.9203805125220015</v>
      </c>
      <c r="T1052" s="45" cm="1">
        <f t="array" ref="T1052">SUMPRODUCT(P1052:S1052 * P$3:S$3) / SUM(P$3:S$3)</f>
        <v>4.1171047473057634</v>
      </c>
    </row>
    <row r="1053" spans="1:20" ht="16.5" customHeight="1" x14ac:dyDescent="0.25">
      <c r="A1053" s="5" t="s">
        <v>6899</v>
      </c>
      <c r="B1053" s="20" t="s">
        <v>6029</v>
      </c>
      <c r="C1053" s="4" t="s">
        <v>8796</v>
      </c>
      <c r="D1053" s="4" t="s">
        <v>9027</v>
      </c>
      <c r="E1053" s="12" t="s">
        <v>407</v>
      </c>
      <c r="F1053" s="75" t="s">
        <v>6723</v>
      </c>
      <c r="G1053" s="3">
        <v>96</v>
      </c>
      <c r="H1053" s="3" t="s">
        <v>404</v>
      </c>
      <c r="I1053" s="13" t="s">
        <v>6741</v>
      </c>
      <c r="J1053" s="72">
        <v>1.4</v>
      </c>
      <c r="L1053" s="9">
        <v>350</v>
      </c>
      <c r="M1053" s="3">
        <v>406.28</v>
      </c>
      <c r="N1053" s="17" t="s">
        <v>6030</v>
      </c>
      <c r="O1053" s="18" t="s">
        <v>6026</v>
      </c>
      <c r="P1053" s="49">
        <f t="shared" si="65"/>
        <v>4.0284493091861098</v>
      </c>
      <c r="Q1053" s="1">
        <f t="shared" si="66"/>
        <v>5.5542965098142894</v>
      </c>
      <c r="R1053" s="1">
        <f t="shared" si="68"/>
        <v>5.8910000426333227</v>
      </c>
      <c r="S1053" s="10">
        <f t="shared" si="67"/>
        <v>4.7913729095001996</v>
      </c>
      <c r="T1053" s="45" cm="1">
        <f t="array" ref="T1053">SUMPRODUCT(P1053:S1053 * P$3:S$3) / SUM(P$3:S$3)</f>
        <v>5.0779191761843858</v>
      </c>
    </row>
    <row r="1054" spans="1:20" ht="16.5" customHeight="1" x14ac:dyDescent="0.25">
      <c r="A1054" s="5" t="s">
        <v>6899</v>
      </c>
      <c r="B1054" s="20" t="s">
        <v>6260</v>
      </c>
      <c r="C1054" s="4" t="s">
        <v>8796</v>
      </c>
      <c r="D1054" s="4" t="s">
        <v>9027</v>
      </c>
      <c r="E1054" s="12" t="s">
        <v>407</v>
      </c>
      <c r="F1054" s="75" t="s">
        <v>6723</v>
      </c>
      <c r="G1054" s="3">
        <v>96</v>
      </c>
      <c r="H1054" s="3" t="s">
        <v>404</v>
      </c>
      <c r="I1054" s="13" t="s">
        <v>6741</v>
      </c>
      <c r="J1054" s="72">
        <v>1.4</v>
      </c>
      <c r="K1054" s="14" t="s">
        <v>6175</v>
      </c>
      <c r="L1054" s="9">
        <v>360</v>
      </c>
      <c r="M1054" s="3">
        <v>412.88</v>
      </c>
      <c r="N1054" s="17" t="s">
        <v>6261</v>
      </c>
      <c r="O1054" s="18" t="s">
        <v>6257</v>
      </c>
      <c r="P1054" s="49">
        <f t="shared" si="65"/>
        <v>4.0284493091861098</v>
      </c>
      <c r="Q1054" s="1">
        <f t="shared" si="66"/>
        <v>5.5542965098142894</v>
      </c>
      <c r="R1054" s="1">
        <f t="shared" si="68"/>
        <v>5.8910000426333227</v>
      </c>
      <c r="S1054" s="10">
        <f t="shared" si="67"/>
        <v>4.7913729095001996</v>
      </c>
      <c r="T1054" s="45" cm="1">
        <f t="array" ref="T1054">SUMPRODUCT(P1054:S1054 * P$3:S$3) / SUM(P$3:S$3)</f>
        <v>5.0779191761843858</v>
      </c>
    </row>
    <row r="1055" spans="1:20" ht="16.5" customHeight="1" x14ac:dyDescent="0.25">
      <c r="A1055" s="5" t="s">
        <v>6899</v>
      </c>
      <c r="B1055" s="20" t="s">
        <v>6460</v>
      </c>
      <c r="C1055" s="4" t="s">
        <v>8796</v>
      </c>
      <c r="D1055" s="4" t="s">
        <v>9027</v>
      </c>
      <c r="E1055" s="12" t="s">
        <v>407</v>
      </c>
      <c r="F1055" s="75" t="s">
        <v>6723</v>
      </c>
      <c r="G1055" s="3">
        <v>96</v>
      </c>
      <c r="H1055" s="3" t="s">
        <v>404</v>
      </c>
      <c r="I1055" s="13" t="s">
        <v>6741</v>
      </c>
      <c r="J1055" s="72">
        <v>1.4</v>
      </c>
      <c r="L1055" s="9">
        <v>372.18</v>
      </c>
      <c r="M1055" s="3">
        <v>417.74</v>
      </c>
      <c r="N1055" s="17" t="s">
        <v>6461</v>
      </c>
      <c r="O1055" s="18" t="s">
        <v>6459</v>
      </c>
      <c r="P1055" s="49">
        <f t="shared" si="65"/>
        <v>4.0284493091861098</v>
      </c>
      <c r="Q1055" s="1">
        <f t="shared" si="66"/>
        <v>5.5542965098142894</v>
      </c>
      <c r="R1055" s="1">
        <f t="shared" si="68"/>
        <v>5.8910000426333227</v>
      </c>
      <c r="S1055" s="10">
        <f t="shared" si="67"/>
        <v>4.7913729095001996</v>
      </c>
      <c r="T1055" s="45" cm="1">
        <f t="array" ref="T1055">SUMPRODUCT(P1055:S1055 * P$3:S$3) / SUM(P$3:S$3)</f>
        <v>5.0779191761843858</v>
      </c>
    </row>
    <row r="1056" spans="1:20" ht="16.5" customHeight="1" x14ac:dyDescent="0.25">
      <c r="A1056" s="5" t="s">
        <v>6850</v>
      </c>
      <c r="B1056" s="20" t="s">
        <v>5717</v>
      </c>
      <c r="C1056" s="4" t="s">
        <v>8797</v>
      </c>
      <c r="D1056" s="4" t="s">
        <v>9027</v>
      </c>
      <c r="E1056" s="12" t="s">
        <v>407</v>
      </c>
      <c r="F1056" s="75" t="s">
        <v>6723</v>
      </c>
      <c r="G1056" s="3">
        <v>96</v>
      </c>
      <c r="H1056" s="3" t="s">
        <v>404</v>
      </c>
      <c r="I1056" s="13" t="s">
        <v>6741</v>
      </c>
      <c r="J1056" s="72">
        <v>1.35</v>
      </c>
      <c r="K1056" s="14" t="s">
        <v>5196</v>
      </c>
      <c r="L1056" s="9">
        <v>293.39</v>
      </c>
      <c r="M1056" s="3">
        <v>381</v>
      </c>
      <c r="N1056" s="17" t="s">
        <v>5718</v>
      </c>
      <c r="O1056" s="18" t="s">
        <v>5716</v>
      </c>
      <c r="P1056" s="49">
        <f t="shared" si="65"/>
        <v>4.0303180927851567</v>
      </c>
      <c r="Q1056" s="1">
        <f t="shared" si="66"/>
        <v>5.5561652934133354</v>
      </c>
      <c r="R1056" s="1">
        <f t="shared" si="68"/>
        <v>5.8928688262323687</v>
      </c>
      <c r="S1056" s="10">
        <f t="shared" si="67"/>
        <v>4.7932416930992456</v>
      </c>
      <c r="T1056" s="45" cm="1">
        <f t="array" ref="T1056">SUMPRODUCT(P1056:S1056 * P$3:S$3) / SUM(P$3:S$3)</f>
        <v>5.0797879597834328</v>
      </c>
    </row>
    <row r="1057" spans="1:20" ht="16.5" customHeight="1" x14ac:dyDescent="0.25">
      <c r="A1057" s="5" t="s">
        <v>6850</v>
      </c>
      <c r="B1057" s="20" t="s">
        <v>5776</v>
      </c>
      <c r="C1057" s="4" t="s">
        <v>8797</v>
      </c>
      <c r="D1057" s="4" t="s">
        <v>9027</v>
      </c>
      <c r="E1057" s="12" t="s">
        <v>407</v>
      </c>
      <c r="F1057" s="75" t="s">
        <v>6723</v>
      </c>
      <c r="G1057" s="3">
        <v>96</v>
      </c>
      <c r="H1057" s="3" t="s">
        <v>404</v>
      </c>
      <c r="I1057" s="13" t="s">
        <v>6741</v>
      </c>
      <c r="J1057" s="72">
        <v>1.35</v>
      </c>
      <c r="K1057" s="14" t="s">
        <v>5196</v>
      </c>
      <c r="L1057" s="9">
        <v>293.39</v>
      </c>
      <c r="M1057" s="3">
        <v>381</v>
      </c>
      <c r="N1057" s="17" t="s">
        <v>5777</v>
      </c>
      <c r="O1057" s="18" t="s">
        <v>5775</v>
      </c>
      <c r="P1057" s="49">
        <f t="shared" si="65"/>
        <v>4.0303180927851567</v>
      </c>
      <c r="Q1057" s="1">
        <f t="shared" si="66"/>
        <v>5.5561652934133354</v>
      </c>
      <c r="R1057" s="1">
        <f t="shared" si="68"/>
        <v>5.8928688262323687</v>
      </c>
      <c r="S1057" s="10">
        <f t="shared" si="67"/>
        <v>4.7932416930992456</v>
      </c>
      <c r="T1057" s="45" cm="1">
        <f t="array" ref="T1057">SUMPRODUCT(P1057:S1057 * P$3:S$3) / SUM(P$3:S$3)</f>
        <v>5.0797879597834328</v>
      </c>
    </row>
    <row r="1058" spans="1:20" ht="16.5" customHeight="1" x14ac:dyDescent="0.25">
      <c r="A1058" s="5" t="s">
        <v>6760</v>
      </c>
      <c r="B1058" s="20" t="s">
        <v>4369</v>
      </c>
      <c r="C1058" s="4" t="s">
        <v>8798</v>
      </c>
      <c r="D1058" s="4" t="s">
        <v>9027</v>
      </c>
      <c r="E1058" s="12" t="s">
        <v>407</v>
      </c>
      <c r="F1058" s="75" t="s">
        <v>6723</v>
      </c>
      <c r="G1058" s="3">
        <v>96</v>
      </c>
      <c r="H1058" s="3" t="s">
        <v>404</v>
      </c>
      <c r="I1058" s="13" t="s">
        <v>225</v>
      </c>
      <c r="J1058" s="72">
        <v>1.35</v>
      </c>
      <c r="L1058" s="9">
        <v>295.19</v>
      </c>
      <c r="M1058" s="3">
        <v>417</v>
      </c>
      <c r="N1058" s="17" t="s">
        <v>4370</v>
      </c>
      <c r="O1058" s="18" t="s">
        <v>4368</v>
      </c>
      <c r="P1058" s="49">
        <f t="shared" si="65"/>
        <v>4.0248050233797912</v>
      </c>
      <c r="Q1058" s="1">
        <f t="shared" si="66"/>
        <v>5.5534087587106535</v>
      </c>
      <c r="R1058" s="1">
        <f t="shared" si="68"/>
        <v>5.8901122915296868</v>
      </c>
      <c r="S1058" s="10">
        <f t="shared" si="67"/>
        <v>4.7891068910452228</v>
      </c>
      <c r="T1058" s="45" cm="1">
        <f t="array" ref="T1058">SUMPRODUCT(P1058:S1058 * P$3:S$3) / SUM(P$3:S$3)</f>
        <v>5.0760772399913598</v>
      </c>
    </row>
    <row r="1059" spans="1:20" ht="16.5" customHeight="1" x14ac:dyDescent="0.25">
      <c r="A1059" s="5" t="s">
        <v>6760</v>
      </c>
      <c r="B1059" s="20" t="s">
        <v>4484</v>
      </c>
      <c r="C1059" s="4" t="s">
        <v>8798</v>
      </c>
      <c r="D1059" s="4" t="s">
        <v>9027</v>
      </c>
      <c r="E1059" s="12" t="s">
        <v>407</v>
      </c>
      <c r="F1059" s="75" t="s">
        <v>6723</v>
      </c>
      <c r="G1059" s="3">
        <v>96</v>
      </c>
      <c r="H1059" s="3" t="s">
        <v>404</v>
      </c>
      <c r="I1059" s="13" t="s">
        <v>225</v>
      </c>
      <c r="J1059" s="72">
        <v>1.35</v>
      </c>
      <c r="K1059" s="14" t="s">
        <v>4436</v>
      </c>
      <c r="L1059" s="9">
        <v>305.08999999999997</v>
      </c>
      <c r="M1059" s="3">
        <v>432</v>
      </c>
      <c r="N1059" s="17" t="s">
        <v>4485</v>
      </c>
      <c r="O1059" s="18" t="s">
        <v>4483</v>
      </c>
      <c r="P1059" s="49">
        <f t="shared" si="65"/>
        <v>4.0248050233797912</v>
      </c>
      <c r="Q1059" s="1">
        <f t="shared" si="66"/>
        <v>5.5534087587106535</v>
      </c>
      <c r="R1059" s="1">
        <f t="shared" si="68"/>
        <v>5.8901122915296868</v>
      </c>
      <c r="S1059" s="10">
        <f t="shared" si="67"/>
        <v>4.7891068910452228</v>
      </c>
      <c r="T1059" s="45" cm="1">
        <f t="array" ref="T1059">SUMPRODUCT(P1059:S1059 * P$3:S$3) / SUM(P$3:S$3)</f>
        <v>5.0760772399913598</v>
      </c>
    </row>
    <row r="1060" spans="1:20" ht="16.5" customHeight="1" x14ac:dyDescent="0.25">
      <c r="A1060" s="5" t="s">
        <v>6947</v>
      </c>
      <c r="B1060" s="20" t="s">
        <v>6585</v>
      </c>
      <c r="C1060" s="4" t="s">
        <v>8796</v>
      </c>
      <c r="D1060" s="4" t="s">
        <v>9028</v>
      </c>
      <c r="E1060" s="12" t="s">
        <v>407</v>
      </c>
      <c r="F1060" s="75" t="s">
        <v>6723</v>
      </c>
      <c r="G1060" s="3">
        <v>96</v>
      </c>
      <c r="H1060" s="3" t="s">
        <v>419</v>
      </c>
      <c r="I1060" s="13" t="s">
        <v>6741</v>
      </c>
      <c r="J1060" s="72">
        <v>1.4</v>
      </c>
      <c r="K1060" s="14" t="s">
        <v>6530</v>
      </c>
      <c r="L1060" s="9">
        <v>475.5</v>
      </c>
      <c r="M1060" s="3">
        <v>574</v>
      </c>
      <c r="N1060" s="17" t="s">
        <v>6586</v>
      </c>
      <c r="O1060" s="18" t="s">
        <v>6584</v>
      </c>
      <c r="P1060" s="49">
        <f t="shared" si="65"/>
        <v>4.0968171327645591</v>
      </c>
      <c r="Q1060" s="1">
        <f t="shared" si="66"/>
        <v>5.6049818457816265</v>
      </c>
      <c r="R1060" s="1">
        <f t="shared" si="68"/>
        <v>5.9348233966612618</v>
      </c>
      <c r="S1060" s="10">
        <f t="shared" si="67"/>
        <v>4.8508994892730932</v>
      </c>
      <c r="T1060" s="45" cm="1">
        <f t="array" ref="T1060">SUMPRODUCT(P1060:S1060 * P$3:S$3) / SUM(P$3:S$3)</f>
        <v>5.1336696837187397</v>
      </c>
    </row>
    <row r="1061" spans="1:20" ht="16.5" customHeight="1" x14ac:dyDescent="0.25">
      <c r="A1061" s="5" t="s">
        <v>6898</v>
      </c>
      <c r="B1061" s="20" t="s">
        <v>6027</v>
      </c>
      <c r="C1061" s="4" t="s">
        <v>8796</v>
      </c>
      <c r="D1061" s="4" t="s">
        <v>9028</v>
      </c>
      <c r="E1061" s="12" t="s">
        <v>407</v>
      </c>
      <c r="F1061" s="75" t="s">
        <v>6723</v>
      </c>
      <c r="G1061" s="3">
        <v>96</v>
      </c>
      <c r="H1061" s="3" t="s">
        <v>419</v>
      </c>
      <c r="I1061" s="13" t="s">
        <v>6741</v>
      </c>
      <c r="J1061" s="72">
        <v>1.4</v>
      </c>
      <c r="L1061" s="9">
        <v>415.99</v>
      </c>
      <c r="M1061" s="3">
        <v>433.65</v>
      </c>
      <c r="N1061" s="17" t="s">
        <v>6028</v>
      </c>
      <c r="O1061" s="18" t="s">
        <v>6026</v>
      </c>
      <c r="P1061" s="49">
        <f t="shared" si="65"/>
        <v>4.0968171327645591</v>
      </c>
      <c r="Q1061" s="1">
        <f t="shared" si="66"/>
        <v>5.6049818457816265</v>
      </c>
      <c r="R1061" s="1">
        <f t="shared" si="68"/>
        <v>5.9348233966612618</v>
      </c>
      <c r="S1061" s="10">
        <f t="shared" si="67"/>
        <v>4.8508994892730932</v>
      </c>
      <c r="T1061" s="45" cm="1">
        <f t="array" ref="T1061">SUMPRODUCT(P1061:S1061 * P$3:S$3) / SUM(P$3:S$3)</f>
        <v>5.1336696837187397</v>
      </c>
    </row>
    <row r="1062" spans="1:20" ht="16.5" customHeight="1" x14ac:dyDescent="0.25">
      <c r="A1062" s="5" t="s">
        <v>6898</v>
      </c>
      <c r="B1062" s="20" t="s">
        <v>6258</v>
      </c>
      <c r="C1062" s="4" t="s">
        <v>8796</v>
      </c>
      <c r="D1062" s="4" t="s">
        <v>9028</v>
      </c>
      <c r="E1062" s="12" t="s">
        <v>407</v>
      </c>
      <c r="F1062" s="75" t="s">
        <v>6723</v>
      </c>
      <c r="G1062" s="3">
        <v>96</v>
      </c>
      <c r="H1062" s="3" t="s">
        <v>419</v>
      </c>
      <c r="I1062" s="13" t="s">
        <v>6741</v>
      </c>
      <c r="J1062" s="72">
        <v>1.4</v>
      </c>
      <c r="K1062" s="14" t="s">
        <v>6175</v>
      </c>
      <c r="L1062" s="9">
        <v>412.45</v>
      </c>
      <c r="M1062" s="3">
        <v>438.39</v>
      </c>
      <c r="N1062" s="17" t="s">
        <v>6259</v>
      </c>
      <c r="O1062" s="18" t="s">
        <v>6257</v>
      </c>
      <c r="P1062" s="49">
        <f t="shared" si="65"/>
        <v>4.0968171327645591</v>
      </c>
      <c r="Q1062" s="1">
        <f t="shared" si="66"/>
        <v>5.6049818457816265</v>
      </c>
      <c r="R1062" s="1">
        <f t="shared" si="68"/>
        <v>5.9348233966612618</v>
      </c>
      <c r="S1062" s="10">
        <f t="shared" si="67"/>
        <v>4.8508994892730932</v>
      </c>
      <c r="T1062" s="45" cm="1">
        <f t="array" ref="T1062">SUMPRODUCT(P1062:S1062 * P$3:S$3) / SUM(P$3:S$3)</f>
        <v>5.1336696837187397</v>
      </c>
    </row>
    <row r="1063" spans="1:20" ht="16.5" customHeight="1" x14ac:dyDescent="0.25">
      <c r="A1063" s="5" t="s">
        <v>6950</v>
      </c>
      <c r="B1063" s="20" t="s">
        <v>6639</v>
      </c>
      <c r="C1063" s="4" t="s">
        <v>8796</v>
      </c>
      <c r="D1063" s="4" t="s">
        <v>9029</v>
      </c>
      <c r="E1063" s="12" t="s">
        <v>407</v>
      </c>
      <c r="F1063" s="75" t="s">
        <v>6735</v>
      </c>
      <c r="G1063" s="3">
        <v>32</v>
      </c>
      <c r="H1063" s="3" t="s">
        <v>404</v>
      </c>
      <c r="I1063" s="13" t="s">
        <v>6739</v>
      </c>
      <c r="J1063" s="72">
        <v>1.3</v>
      </c>
      <c r="K1063" s="14" t="s">
        <v>6633</v>
      </c>
      <c r="L1063" s="9">
        <v>161.9</v>
      </c>
      <c r="M1063" s="3">
        <v>192.88</v>
      </c>
      <c r="N1063" s="17" t="s">
        <v>6640</v>
      </c>
      <c r="O1063" s="18" t="s">
        <v>6638</v>
      </c>
      <c r="P1063" s="49">
        <f t="shared" si="65"/>
        <v>2.5550920234210954</v>
      </c>
      <c r="Q1063" s="1">
        <f t="shared" si="66"/>
        <v>3.0891645757819659</v>
      </c>
      <c r="R1063" s="1">
        <f t="shared" si="68"/>
        <v>3.1743725554067601</v>
      </c>
      <c r="S1063" s="10">
        <f t="shared" si="67"/>
        <v>2.8221282996015304</v>
      </c>
      <c r="T1063" s="45" cm="1">
        <f t="array" ref="T1063">SUMPRODUCT(P1063:S1063 * P$3:S$3) / SUM(P$3:S$3)</f>
        <v>2.9174022275993252</v>
      </c>
    </row>
    <row r="1064" spans="1:20" ht="16.5" customHeight="1" x14ac:dyDescent="0.25">
      <c r="A1064" s="5" t="s">
        <v>6950</v>
      </c>
      <c r="B1064" s="20" t="s">
        <v>6684</v>
      </c>
      <c r="C1064" s="4" t="s">
        <v>8796</v>
      </c>
      <c r="D1064" s="4" t="s">
        <v>9029</v>
      </c>
      <c r="E1064" s="12" t="s">
        <v>407</v>
      </c>
      <c r="F1064" s="75" t="s">
        <v>6735</v>
      </c>
      <c r="G1064" s="3">
        <v>32</v>
      </c>
      <c r="H1064" s="3" t="s">
        <v>404</v>
      </c>
      <c r="I1064" s="13" t="s">
        <v>6739</v>
      </c>
      <c r="J1064" s="72">
        <v>1.4</v>
      </c>
      <c r="K1064" s="14" t="s">
        <v>6633</v>
      </c>
      <c r="L1064" s="9">
        <v>166.1</v>
      </c>
      <c r="M1064" s="3">
        <v>201.07</v>
      </c>
      <c r="N1064" s="17" t="s">
        <v>6685</v>
      </c>
      <c r="O1064" s="18" t="s">
        <v>6683</v>
      </c>
      <c r="P1064" s="49">
        <f t="shared" si="65"/>
        <v>2.5512476528847188</v>
      </c>
      <c r="Q1064" s="1">
        <f t="shared" si="66"/>
        <v>3.0853202052455893</v>
      </c>
      <c r="R1064" s="1">
        <f t="shared" si="68"/>
        <v>3.1705281848703835</v>
      </c>
      <c r="S1064" s="10">
        <f t="shared" si="67"/>
        <v>2.8182839290651538</v>
      </c>
      <c r="T1064" s="45" cm="1">
        <f t="array" ref="T1064">SUMPRODUCT(P1064:S1064 * P$3:S$3) / SUM(P$3:S$3)</f>
        <v>2.9135578570629481</v>
      </c>
    </row>
    <row r="1065" spans="1:20" ht="16.5" customHeight="1" x14ac:dyDescent="0.25">
      <c r="A1065" s="5" t="s">
        <v>6950</v>
      </c>
      <c r="B1065" s="20" t="s">
        <v>6687</v>
      </c>
      <c r="C1065" s="4" t="s">
        <v>8796</v>
      </c>
      <c r="D1065" s="4" t="s">
        <v>9029</v>
      </c>
      <c r="E1065" s="12" t="s">
        <v>407</v>
      </c>
      <c r="F1065" s="75" t="s">
        <v>6735</v>
      </c>
      <c r="G1065" s="3">
        <v>32</v>
      </c>
      <c r="H1065" s="3" t="s">
        <v>404</v>
      </c>
      <c r="I1065" s="13" t="s">
        <v>6739</v>
      </c>
      <c r="J1065" s="72">
        <v>1.3</v>
      </c>
      <c r="K1065" s="14" t="s">
        <v>6633</v>
      </c>
      <c r="L1065" s="9">
        <v>160.88</v>
      </c>
      <c r="M1065" s="3">
        <v>240</v>
      </c>
      <c r="N1065" s="17" t="s">
        <v>6688</v>
      </c>
      <c r="O1065" s="18" t="s">
        <v>6686</v>
      </c>
      <c r="P1065" s="49">
        <f t="shared" si="65"/>
        <v>2.5550920234210954</v>
      </c>
      <c r="Q1065" s="1">
        <f t="shared" si="66"/>
        <v>3.0891645757819659</v>
      </c>
      <c r="R1065" s="1">
        <f t="shared" si="68"/>
        <v>3.1743725554067601</v>
      </c>
      <c r="S1065" s="10">
        <f t="shared" si="67"/>
        <v>2.8221282996015304</v>
      </c>
      <c r="T1065" s="45" cm="1">
        <f t="array" ref="T1065">SUMPRODUCT(P1065:S1065 * P$3:S$3) / SUM(P$3:S$3)</f>
        <v>2.9174022275993252</v>
      </c>
    </row>
    <row r="1066" spans="1:20" ht="16.5" customHeight="1" x14ac:dyDescent="0.25">
      <c r="A1066" s="5" t="s">
        <v>6921</v>
      </c>
      <c r="B1066" s="20" t="s">
        <v>6123</v>
      </c>
      <c r="C1066" s="4" t="s">
        <v>8796</v>
      </c>
      <c r="D1066" s="4" t="s">
        <v>9029</v>
      </c>
      <c r="E1066" s="12" t="s">
        <v>407</v>
      </c>
      <c r="F1066" s="75" t="s">
        <v>6735</v>
      </c>
      <c r="G1066" s="3">
        <v>32</v>
      </c>
      <c r="H1066" s="3" t="s">
        <v>404</v>
      </c>
      <c r="I1066" s="13" t="s">
        <v>6739</v>
      </c>
      <c r="J1066" s="72">
        <v>1.4</v>
      </c>
      <c r="L1066" s="9">
        <v>112.2</v>
      </c>
      <c r="M1066" s="3">
        <v>135.1</v>
      </c>
      <c r="N1066" s="17" t="s">
        <v>6124</v>
      </c>
      <c r="O1066" s="18" t="s">
        <v>6122</v>
      </c>
      <c r="P1066" s="49">
        <f t="shared" si="65"/>
        <v>2.5512476528847188</v>
      </c>
      <c r="Q1066" s="1">
        <f t="shared" si="66"/>
        <v>3.0853202052455893</v>
      </c>
      <c r="R1066" s="1">
        <f t="shared" si="68"/>
        <v>3.1705281848703835</v>
      </c>
      <c r="S1066" s="10">
        <f t="shared" si="67"/>
        <v>2.8182839290651538</v>
      </c>
      <c r="T1066" s="45" cm="1">
        <f t="array" ref="T1066">SUMPRODUCT(P1066:S1066 * P$3:S$3) / SUM(P$3:S$3)</f>
        <v>2.9135578570629481</v>
      </c>
    </row>
    <row r="1067" spans="1:20" ht="16.5" customHeight="1" x14ac:dyDescent="0.25">
      <c r="A1067" s="5" t="s">
        <v>6921</v>
      </c>
      <c r="B1067" s="20" t="s">
        <v>6126</v>
      </c>
      <c r="C1067" s="4" t="s">
        <v>8796</v>
      </c>
      <c r="D1067" s="4" t="s">
        <v>9029</v>
      </c>
      <c r="E1067" s="12" t="s">
        <v>407</v>
      </c>
      <c r="F1067" s="75" t="s">
        <v>6735</v>
      </c>
      <c r="G1067" s="3">
        <v>32</v>
      </c>
      <c r="H1067" s="3" t="s">
        <v>404</v>
      </c>
      <c r="I1067" s="13" t="s">
        <v>6739</v>
      </c>
      <c r="J1067" s="72">
        <v>1.3</v>
      </c>
      <c r="L1067" s="9">
        <v>125.4</v>
      </c>
      <c r="M1067" s="3">
        <v>189</v>
      </c>
      <c r="N1067" s="17" t="s">
        <v>6127</v>
      </c>
      <c r="O1067" s="18" t="s">
        <v>6125</v>
      </c>
      <c r="P1067" s="49">
        <f t="shared" si="65"/>
        <v>2.5550920234210954</v>
      </c>
      <c r="Q1067" s="1">
        <f t="shared" si="66"/>
        <v>3.0891645757819659</v>
      </c>
      <c r="R1067" s="1">
        <f t="shared" si="68"/>
        <v>3.1743725554067601</v>
      </c>
      <c r="S1067" s="10">
        <f t="shared" si="67"/>
        <v>2.8221282996015304</v>
      </c>
      <c r="T1067" s="45" cm="1">
        <f t="array" ref="T1067">SUMPRODUCT(P1067:S1067 * P$3:S$3) / SUM(P$3:S$3)</f>
        <v>2.9174022275993252</v>
      </c>
    </row>
    <row r="1068" spans="1:20" ht="16.5" customHeight="1" x14ac:dyDescent="0.25">
      <c r="A1068" s="5" t="s">
        <v>6921</v>
      </c>
      <c r="B1068" s="20" t="s">
        <v>6129</v>
      </c>
      <c r="C1068" s="4" t="s">
        <v>8796</v>
      </c>
      <c r="D1068" s="4" t="s">
        <v>9029</v>
      </c>
      <c r="E1068" s="12" t="s">
        <v>407</v>
      </c>
      <c r="F1068" s="75" t="s">
        <v>6735</v>
      </c>
      <c r="G1068" s="3">
        <v>32</v>
      </c>
      <c r="H1068" s="3" t="s">
        <v>404</v>
      </c>
      <c r="I1068" s="13" t="s">
        <v>225</v>
      </c>
      <c r="J1068" s="72">
        <v>1.4</v>
      </c>
      <c r="L1068" s="9">
        <v>128.24</v>
      </c>
      <c r="M1068" s="3">
        <v>150.91999999999999</v>
      </c>
      <c r="N1068" s="17" t="s">
        <v>6130</v>
      </c>
      <c r="O1068" s="18" t="s">
        <v>6128</v>
      </c>
      <c r="P1068" s="49">
        <f t="shared" si="65"/>
        <v>2.5607748698579043</v>
      </c>
      <c r="Q1068" s="1">
        <f t="shared" si="66"/>
        <v>3.090083813732182</v>
      </c>
      <c r="R1068" s="1">
        <f t="shared" si="68"/>
        <v>3.1752917933569758</v>
      </c>
      <c r="S1068" s="10">
        <f t="shared" si="67"/>
        <v>2.8254293417950427</v>
      </c>
      <c r="T1068" s="45" cm="1">
        <f t="array" ref="T1068">SUMPRODUCT(P1068:S1068 * P$3:S$3) / SUM(P$3:S$3)</f>
        <v>2.9199704069487464</v>
      </c>
    </row>
    <row r="1069" spans="1:20" ht="16.5" customHeight="1" x14ac:dyDescent="0.25">
      <c r="A1069" s="5" t="s">
        <v>6921</v>
      </c>
      <c r="B1069" s="20" t="s">
        <v>6198</v>
      </c>
      <c r="C1069" s="4" t="s">
        <v>8796</v>
      </c>
      <c r="D1069" s="4" t="s">
        <v>9029</v>
      </c>
      <c r="E1069" s="12" t="s">
        <v>407</v>
      </c>
      <c r="F1069" s="75" t="s">
        <v>6735</v>
      </c>
      <c r="G1069" s="3">
        <v>32</v>
      </c>
      <c r="H1069" s="3" t="s">
        <v>404</v>
      </c>
      <c r="I1069" s="13" t="s">
        <v>6739</v>
      </c>
      <c r="J1069" s="72">
        <v>1.3</v>
      </c>
      <c r="K1069" s="14" t="s">
        <v>6175</v>
      </c>
      <c r="L1069" s="9">
        <v>142.9</v>
      </c>
      <c r="M1069" s="3">
        <v>174.27</v>
      </c>
      <c r="N1069" s="17" t="s">
        <v>6199</v>
      </c>
      <c r="O1069" s="18" t="s">
        <v>6197</v>
      </c>
      <c r="P1069" s="49">
        <f t="shared" si="65"/>
        <v>2.5550920234210954</v>
      </c>
      <c r="Q1069" s="1">
        <f t="shared" si="66"/>
        <v>3.0891645757819659</v>
      </c>
      <c r="R1069" s="1">
        <f t="shared" si="68"/>
        <v>3.1743725554067601</v>
      </c>
      <c r="S1069" s="10">
        <f t="shared" si="67"/>
        <v>2.8221282996015304</v>
      </c>
      <c r="T1069" s="45" cm="1">
        <f t="array" ref="T1069">SUMPRODUCT(P1069:S1069 * P$3:S$3) / SUM(P$3:S$3)</f>
        <v>2.9174022275993252</v>
      </c>
    </row>
    <row r="1070" spans="1:20" ht="16.5" customHeight="1" x14ac:dyDescent="0.25">
      <c r="A1070" s="5" t="s">
        <v>6921</v>
      </c>
      <c r="B1070" s="20" t="s">
        <v>6354</v>
      </c>
      <c r="C1070" s="4" t="s">
        <v>8796</v>
      </c>
      <c r="D1070" s="4" t="s">
        <v>9029</v>
      </c>
      <c r="E1070" s="12" t="s">
        <v>407</v>
      </c>
      <c r="F1070" s="75" t="s">
        <v>6735</v>
      </c>
      <c r="G1070" s="3">
        <v>32</v>
      </c>
      <c r="H1070" s="3" t="s">
        <v>404</v>
      </c>
      <c r="I1070" s="13" t="s">
        <v>6739</v>
      </c>
      <c r="J1070" s="72">
        <v>1.4</v>
      </c>
      <c r="K1070" s="14" t="s">
        <v>6175</v>
      </c>
      <c r="L1070" s="9">
        <v>116.9</v>
      </c>
      <c r="M1070" s="3">
        <v>153.63</v>
      </c>
      <c r="N1070" s="17" t="s">
        <v>6355</v>
      </c>
      <c r="O1070" s="18" t="s">
        <v>6353</v>
      </c>
      <c r="P1070" s="49">
        <f t="shared" si="65"/>
        <v>2.5512476528847188</v>
      </c>
      <c r="Q1070" s="1">
        <f t="shared" si="66"/>
        <v>3.0853202052455893</v>
      </c>
      <c r="R1070" s="1">
        <f t="shared" si="68"/>
        <v>3.1705281848703835</v>
      </c>
      <c r="S1070" s="10">
        <f t="shared" si="67"/>
        <v>2.8182839290651538</v>
      </c>
      <c r="T1070" s="45" cm="1">
        <f t="array" ref="T1070">SUMPRODUCT(P1070:S1070 * P$3:S$3) / SUM(P$3:S$3)</f>
        <v>2.9135578570629481</v>
      </c>
    </row>
    <row r="1071" spans="1:20" ht="16.5" customHeight="1" x14ac:dyDescent="0.25">
      <c r="A1071" s="5" t="s">
        <v>6921</v>
      </c>
      <c r="B1071" s="20" t="s">
        <v>6357</v>
      </c>
      <c r="C1071" s="4" t="s">
        <v>8796</v>
      </c>
      <c r="D1071" s="4" t="s">
        <v>9029</v>
      </c>
      <c r="E1071" s="12" t="s">
        <v>407</v>
      </c>
      <c r="F1071" s="75" t="s">
        <v>6735</v>
      </c>
      <c r="G1071" s="3">
        <v>32</v>
      </c>
      <c r="H1071" s="3" t="s">
        <v>404</v>
      </c>
      <c r="I1071" s="13" t="s">
        <v>6739</v>
      </c>
      <c r="J1071" s="72">
        <v>1.3</v>
      </c>
      <c r="K1071" s="14" t="s">
        <v>6175</v>
      </c>
      <c r="L1071" s="9">
        <v>137.9</v>
      </c>
      <c r="M1071" s="3">
        <v>216</v>
      </c>
      <c r="N1071" s="17" t="s">
        <v>6358</v>
      </c>
      <c r="O1071" s="18" t="s">
        <v>6356</v>
      </c>
      <c r="P1071" s="49">
        <f t="shared" si="65"/>
        <v>2.5550920234210954</v>
      </c>
      <c r="Q1071" s="1">
        <f t="shared" si="66"/>
        <v>3.0891645757819659</v>
      </c>
      <c r="R1071" s="1">
        <f t="shared" si="68"/>
        <v>3.1743725554067601</v>
      </c>
      <c r="S1071" s="10">
        <f t="shared" si="67"/>
        <v>2.8221282996015304</v>
      </c>
      <c r="T1071" s="45" cm="1">
        <f t="array" ref="T1071">SUMPRODUCT(P1071:S1071 * P$3:S$3) / SUM(P$3:S$3)</f>
        <v>2.9174022275993252</v>
      </c>
    </row>
    <row r="1072" spans="1:20" ht="16.5" customHeight="1" x14ac:dyDescent="0.25">
      <c r="A1072" s="5" t="s">
        <v>6909</v>
      </c>
      <c r="B1072" s="20" t="s">
        <v>6055</v>
      </c>
      <c r="C1072" s="4" t="s">
        <v>8796</v>
      </c>
      <c r="D1072" s="4" t="s">
        <v>9030</v>
      </c>
      <c r="E1072" s="12" t="s">
        <v>407</v>
      </c>
      <c r="F1072" s="75" t="s">
        <v>6735</v>
      </c>
      <c r="G1072" s="3">
        <v>64</v>
      </c>
      <c r="H1072" s="3" t="s">
        <v>404</v>
      </c>
      <c r="I1072" s="13" t="s">
        <v>225</v>
      </c>
      <c r="J1072" s="72">
        <v>1.4</v>
      </c>
      <c r="L1072" s="9">
        <v>229.9</v>
      </c>
      <c r="M1072" s="3">
        <v>299.43</v>
      </c>
      <c r="N1072" s="17" t="s">
        <v>6056</v>
      </c>
      <c r="O1072" s="18" t="s">
        <v>6052</v>
      </c>
      <c r="P1072" s="49">
        <f t="shared" si="65"/>
        <v>3.3639680667250502</v>
      </c>
      <c r="Q1072" s="1">
        <f t="shared" si="66"/>
        <v>4.4287391418440922</v>
      </c>
      <c r="R1072" s="1">
        <f t="shared" si="68"/>
        <v>4.6478126542800773</v>
      </c>
      <c r="S1072" s="10">
        <f t="shared" si="67"/>
        <v>3.8963536042845712</v>
      </c>
      <c r="T1072" s="45" cm="1">
        <f t="array" ref="T1072">SUMPRODUCT(P1072:S1072 * P$3:S$3) / SUM(P$3:S$3)</f>
        <v>4.0938681562161134</v>
      </c>
    </row>
    <row r="1073" spans="1:20" ht="16.5" customHeight="1" x14ac:dyDescent="0.25">
      <c r="A1073" s="5" t="s">
        <v>6909</v>
      </c>
      <c r="B1073" s="20" t="s">
        <v>6283</v>
      </c>
      <c r="C1073" s="4" t="s">
        <v>8796</v>
      </c>
      <c r="D1073" s="4" t="s">
        <v>9030</v>
      </c>
      <c r="E1073" s="12" t="s">
        <v>407</v>
      </c>
      <c r="F1073" s="75" t="s">
        <v>6735</v>
      </c>
      <c r="G1073" s="3">
        <v>64</v>
      </c>
      <c r="H1073" s="3" t="s">
        <v>404</v>
      </c>
      <c r="I1073" s="13" t="s">
        <v>225</v>
      </c>
      <c r="J1073" s="72">
        <v>1.4</v>
      </c>
      <c r="K1073" s="14" t="s">
        <v>6175</v>
      </c>
      <c r="L1073" s="9">
        <v>250.02</v>
      </c>
      <c r="M1073" s="3">
        <v>295.64</v>
      </c>
      <c r="N1073" s="17" t="s">
        <v>6284</v>
      </c>
      <c r="O1073" s="18" t="s">
        <v>6280</v>
      </c>
      <c r="P1073" s="49">
        <f t="shared" si="65"/>
        <v>3.3639680667250502</v>
      </c>
      <c r="Q1073" s="1">
        <f t="shared" si="66"/>
        <v>4.4287391418440922</v>
      </c>
      <c r="R1073" s="1">
        <f t="shared" si="68"/>
        <v>4.6478126542800773</v>
      </c>
      <c r="S1073" s="10">
        <f t="shared" si="67"/>
        <v>3.8963536042845712</v>
      </c>
      <c r="T1073" s="45" cm="1">
        <f t="array" ref="T1073">SUMPRODUCT(P1073:S1073 * P$3:S$3) / SUM(P$3:S$3)</f>
        <v>4.0938681562161134</v>
      </c>
    </row>
    <row r="1074" spans="1:20" ht="16.5" customHeight="1" x14ac:dyDescent="0.25">
      <c r="A1074" s="5" t="s">
        <v>6957</v>
      </c>
      <c r="B1074" s="20" t="s">
        <v>6658</v>
      </c>
      <c r="C1074" s="4" t="s">
        <v>8796</v>
      </c>
      <c r="D1074" s="4" t="s">
        <v>9031</v>
      </c>
      <c r="E1074" s="12" t="s">
        <v>407</v>
      </c>
      <c r="F1074" s="75" t="s">
        <v>6735</v>
      </c>
      <c r="G1074" s="3">
        <v>64</v>
      </c>
      <c r="H1074" s="3" t="s">
        <v>419</v>
      </c>
      <c r="I1074" s="13" t="s">
        <v>225</v>
      </c>
      <c r="J1074" s="72">
        <v>1.4</v>
      </c>
      <c r="K1074" s="14" t="s">
        <v>6633</v>
      </c>
      <c r="L1074" s="9">
        <v>333</v>
      </c>
      <c r="M1074" s="3">
        <v>407.88</v>
      </c>
      <c r="N1074" s="17" t="s">
        <v>6659</v>
      </c>
      <c r="O1074" s="18" t="s">
        <v>6657</v>
      </c>
      <c r="P1074" s="49">
        <f t="shared" si="65"/>
        <v>3.4334942511694693</v>
      </c>
      <c r="Q1074" s="1">
        <f t="shared" si="66"/>
        <v>4.4803684266800703</v>
      </c>
      <c r="R1074" s="1">
        <f t="shared" si="68"/>
        <v>4.6923975729588303</v>
      </c>
      <c r="S1074" s="10">
        <f t="shared" si="67"/>
        <v>3.95693133892477</v>
      </c>
      <c r="T1074" s="45" cm="1">
        <f t="array" ref="T1074">SUMPRODUCT(P1074:S1074 * P$3:S$3) / SUM(P$3:S$3)</f>
        <v>4.1506087730462102</v>
      </c>
    </row>
    <row r="1075" spans="1:20" ht="16.5" customHeight="1" x14ac:dyDescent="0.25">
      <c r="A1075" s="5" t="s">
        <v>6908</v>
      </c>
      <c r="B1075" s="20" t="s">
        <v>6053</v>
      </c>
      <c r="C1075" s="4" t="s">
        <v>8796</v>
      </c>
      <c r="D1075" s="4" t="s">
        <v>9031</v>
      </c>
      <c r="E1075" s="12" t="s">
        <v>407</v>
      </c>
      <c r="F1075" s="75" t="s">
        <v>6735</v>
      </c>
      <c r="G1075" s="3">
        <v>64</v>
      </c>
      <c r="H1075" s="3" t="s">
        <v>419</v>
      </c>
      <c r="I1075" s="13" t="s">
        <v>225</v>
      </c>
      <c r="J1075" s="72">
        <v>1.4</v>
      </c>
      <c r="L1075" s="9">
        <v>249.75</v>
      </c>
      <c r="M1075" s="3">
        <v>276.88</v>
      </c>
      <c r="N1075" s="17" t="s">
        <v>6054</v>
      </c>
      <c r="O1075" s="18" t="s">
        <v>6052</v>
      </c>
      <c r="P1075" s="49">
        <f t="shared" si="65"/>
        <v>3.4334942511694693</v>
      </c>
      <c r="Q1075" s="1">
        <f t="shared" si="66"/>
        <v>4.4803684266800703</v>
      </c>
      <c r="R1075" s="1">
        <f t="shared" si="68"/>
        <v>4.6923975729588303</v>
      </c>
      <c r="S1075" s="10">
        <f t="shared" si="67"/>
        <v>3.95693133892477</v>
      </c>
      <c r="T1075" s="45" cm="1">
        <f t="array" ref="T1075">SUMPRODUCT(P1075:S1075 * P$3:S$3) / SUM(P$3:S$3)</f>
        <v>4.1506087730462102</v>
      </c>
    </row>
    <row r="1076" spans="1:20" ht="16.5" customHeight="1" x14ac:dyDescent="0.25">
      <c r="A1076" s="5" t="s">
        <v>6908</v>
      </c>
      <c r="B1076" s="20" t="s">
        <v>6281</v>
      </c>
      <c r="C1076" s="4" t="s">
        <v>8796</v>
      </c>
      <c r="D1076" s="4" t="s">
        <v>9031</v>
      </c>
      <c r="E1076" s="12" t="s">
        <v>407</v>
      </c>
      <c r="F1076" s="75" t="s">
        <v>6735</v>
      </c>
      <c r="G1076" s="3">
        <v>64</v>
      </c>
      <c r="H1076" s="3" t="s">
        <v>419</v>
      </c>
      <c r="I1076" s="13" t="s">
        <v>225</v>
      </c>
      <c r="J1076" s="72">
        <v>1.4</v>
      </c>
      <c r="K1076" s="14" t="s">
        <v>6175</v>
      </c>
      <c r="L1076" s="9">
        <v>284</v>
      </c>
      <c r="M1076" s="3">
        <v>328.61</v>
      </c>
      <c r="N1076" s="17" t="s">
        <v>6282</v>
      </c>
      <c r="O1076" s="18" t="s">
        <v>6280</v>
      </c>
      <c r="P1076" s="49">
        <f t="shared" si="65"/>
        <v>3.4334942511694693</v>
      </c>
      <c r="Q1076" s="1">
        <f t="shared" si="66"/>
        <v>4.4803684266800703</v>
      </c>
      <c r="R1076" s="1">
        <f t="shared" si="68"/>
        <v>4.6923975729588303</v>
      </c>
      <c r="S1076" s="10">
        <f t="shared" si="67"/>
        <v>3.95693133892477</v>
      </c>
      <c r="T1076" s="45" cm="1">
        <f t="array" ref="T1076">SUMPRODUCT(P1076:S1076 * P$3:S$3) / SUM(P$3:S$3)</f>
        <v>4.1506087730462102</v>
      </c>
    </row>
    <row r="1077" spans="1:20" ht="16.5" customHeight="1" x14ac:dyDescent="0.25">
      <c r="A1077" s="5" t="s">
        <v>6791</v>
      </c>
      <c r="B1077" s="20" t="s">
        <v>4637</v>
      </c>
      <c r="C1077" s="4" t="s">
        <v>8798</v>
      </c>
      <c r="D1077" s="4" t="s">
        <v>9032</v>
      </c>
      <c r="E1077" s="12" t="s">
        <v>407</v>
      </c>
      <c r="F1077" s="75" t="s">
        <v>6722</v>
      </c>
      <c r="G1077" s="3">
        <v>16</v>
      </c>
      <c r="H1077" s="3" t="s">
        <v>6736</v>
      </c>
      <c r="I1077" s="13" t="s">
        <v>225</v>
      </c>
      <c r="J1077" s="72">
        <v>1.4</v>
      </c>
      <c r="L1077" s="9">
        <v>69.900000000000006</v>
      </c>
      <c r="M1077" s="3">
        <v>83.57</v>
      </c>
      <c r="N1077" s="17" t="s">
        <v>4638</v>
      </c>
      <c r="O1077" s="18" t="s">
        <v>4636</v>
      </c>
      <c r="P1077" s="49">
        <f t="shared" si="65"/>
        <v>2.0574411540666322</v>
      </c>
      <c r="Q1077" s="1">
        <f t="shared" si="66"/>
        <v>2.2596197457725657</v>
      </c>
      <c r="R1077" s="1">
        <f t="shared" si="68"/>
        <v>2.2627144089196589</v>
      </c>
      <c r="S1077" s="10">
        <f t="shared" si="67"/>
        <v>2.1585304499195992</v>
      </c>
      <c r="T1077" s="45" cm="1">
        <f t="array" ref="T1077">SUMPRODUCT(P1077:S1077 * P$3:S$3) / SUM(P$3:S$3)</f>
        <v>2.1901109506662184</v>
      </c>
    </row>
    <row r="1078" spans="1:20" ht="16.5" customHeight="1" x14ac:dyDescent="0.25">
      <c r="A1078" s="5" t="s">
        <v>6791</v>
      </c>
      <c r="B1078" s="20" t="s">
        <v>4639</v>
      </c>
      <c r="C1078" s="4" t="s">
        <v>8798</v>
      </c>
      <c r="D1078" s="4" t="s">
        <v>9032</v>
      </c>
      <c r="E1078" s="12" t="s">
        <v>407</v>
      </c>
      <c r="F1078" s="75" t="s">
        <v>6722</v>
      </c>
      <c r="G1078" s="3">
        <v>16</v>
      </c>
      <c r="H1078" s="3" t="s">
        <v>6736</v>
      </c>
      <c r="I1078" s="13" t="s">
        <v>225</v>
      </c>
      <c r="J1078" s="72">
        <v>1.4</v>
      </c>
      <c r="L1078" s="9">
        <v>69.900000000000006</v>
      </c>
      <c r="M1078" s="3">
        <v>109.5</v>
      </c>
      <c r="N1078" s="17" t="s">
        <v>4640</v>
      </c>
      <c r="O1078" s="18" t="s">
        <v>4636</v>
      </c>
      <c r="P1078" s="49">
        <f t="shared" si="65"/>
        <v>2.0574411540666322</v>
      </c>
      <c r="Q1078" s="1">
        <f t="shared" si="66"/>
        <v>2.2596197457725657</v>
      </c>
      <c r="R1078" s="1">
        <f t="shared" si="68"/>
        <v>2.2627144089196589</v>
      </c>
      <c r="S1078" s="10">
        <f t="shared" si="67"/>
        <v>2.1585304499195992</v>
      </c>
      <c r="T1078" s="45" cm="1">
        <f t="array" ref="T1078">SUMPRODUCT(P1078:S1078 * P$3:S$3) / SUM(P$3:S$3)</f>
        <v>2.1901109506662184</v>
      </c>
    </row>
    <row r="1079" spans="1:20" ht="16.5" customHeight="1" x14ac:dyDescent="0.25">
      <c r="A1079" s="5" t="s">
        <v>6791</v>
      </c>
      <c r="B1079" s="20" t="s">
        <v>4789</v>
      </c>
      <c r="C1079" s="4" t="s">
        <v>8798</v>
      </c>
      <c r="D1079" s="4" t="s">
        <v>9032</v>
      </c>
      <c r="E1079" s="12" t="s">
        <v>407</v>
      </c>
      <c r="F1079" s="75" t="s">
        <v>6722</v>
      </c>
      <c r="G1079" s="3">
        <v>16</v>
      </c>
      <c r="H1079" s="3" t="s">
        <v>6736</v>
      </c>
      <c r="I1079" s="13" t="s">
        <v>225</v>
      </c>
      <c r="J1079" s="72">
        <v>1.4</v>
      </c>
      <c r="L1079" s="9">
        <v>67.48</v>
      </c>
      <c r="M1079" s="3">
        <v>114.9</v>
      </c>
      <c r="N1079" s="17" t="s">
        <v>4790</v>
      </c>
      <c r="O1079" s="18" t="s">
        <v>4788</v>
      </c>
      <c r="P1079" s="49">
        <f t="shared" si="65"/>
        <v>2.0574411540666322</v>
      </c>
      <c r="Q1079" s="1">
        <f t="shared" si="66"/>
        <v>2.2596197457725657</v>
      </c>
      <c r="R1079" s="1">
        <f t="shared" si="68"/>
        <v>2.2627144089196589</v>
      </c>
      <c r="S1079" s="10">
        <f t="shared" si="67"/>
        <v>2.1585304499195992</v>
      </c>
      <c r="T1079" s="45" cm="1">
        <f t="array" ref="T1079">SUMPRODUCT(P1079:S1079 * P$3:S$3) / SUM(P$3:S$3)</f>
        <v>2.1901109506662184</v>
      </c>
    </row>
    <row r="1080" spans="1:20" ht="16.5" customHeight="1" x14ac:dyDescent="0.25">
      <c r="A1080" s="5" t="s">
        <v>6791</v>
      </c>
      <c r="B1080" s="20" t="s">
        <v>4791</v>
      </c>
      <c r="C1080" s="4" t="s">
        <v>8798</v>
      </c>
      <c r="D1080" s="4" t="s">
        <v>9032</v>
      </c>
      <c r="E1080" s="12" t="s">
        <v>407</v>
      </c>
      <c r="F1080" s="75" t="s">
        <v>6722</v>
      </c>
      <c r="G1080" s="3">
        <v>16</v>
      </c>
      <c r="H1080" s="3" t="s">
        <v>6736</v>
      </c>
      <c r="I1080" s="13" t="s">
        <v>225</v>
      </c>
      <c r="J1080" s="72">
        <v>1.4</v>
      </c>
      <c r="L1080" s="9">
        <v>69.900000000000006</v>
      </c>
      <c r="M1080" s="3">
        <v>99.9</v>
      </c>
      <c r="N1080" s="17" t="s">
        <v>4792</v>
      </c>
      <c r="O1080" s="18" t="s">
        <v>4788</v>
      </c>
      <c r="P1080" s="49">
        <f t="shared" si="65"/>
        <v>2.0574411540666322</v>
      </c>
      <c r="Q1080" s="1">
        <f t="shared" si="66"/>
        <v>2.2596197457725657</v>
      </c>
      <c r="R1080" s="1">
        <f t="shared" si="68"/>
        <v>2.2627144089196589</v>
      </c>
      <c r="S1080" s="10">
        <f t="shared" si="67"/>
        <v>2.1585304499195992</v>
      </c>
      <c r="T1080" s="45" cm="1">
        <f t="array" ref="T1080">SUMPRODUCT(P1080:S1080 * P$3:S$3) / SUM(P$3:S$3)</f>
        <v>2.1901109506662184</v>
      </c>
    </row>
    <row r="1081" spans="1:20" ht="16.5" customHeight="1" x14ac:dyDescent="0.25">
      <c r="A1081" s="5" t="s">
        <v>6791</v>
      </c>
      <c r="B1081" s="20" t="s">
        <v>4948</v>
      </c>
      <c r="C1081" s="4" t="s">
        <v>8798</v>
      </c>
      <c r="D1081" s="4" t="s">
        <v>9032</v>
      </c>
      <c r="E1081" s="12" t="s">
        <v>407</v>
      </c>
      <c r="F1081" s="75" t="s">
        <v>6722</v>
      </c>
      <c r="G1081" s="3">
        <v>16</v>
      </c>
      <c r="H1081" s="3" t="s">
        <v>6736</v>
      </c>
      <c r="I1081" s="13" t="s">
        <v>225</v>
      </c>
      <c r="J1081" s="72">
        <v>1.4</v>
      </c>
      <c r="K1081" s="14" t="s">
        <v>4847</v>
      </c>
      <c r="L1081" s="9">
        <v>75.900000000000006</v>
      </c>
      <c r="M1081" s="3">
        <v>117.2</v>
      </c>
      <c r="N1081" s="17" t="s">
        <v>4949</v>
      </c>
      <c r="O1081" s="18" t="s">
        <v>4947</v>
      </c>
      <c r="P1081" s="49">
        <f t="shared" si="65"/>
        <v>2.0574411540666322</v>
      </c>
      <c r="Q1081" s="1">
        <f t="shared" si="66"/>
        <v>2.2596197457725657</v>
      </c>
      <c r="R1081" s="1">
        <f t="shared" si="68"/>
        <v>2.2627144089196589</v>
      </c>
      <c r="S1081" s="10">
        <f t="shared" si="67"/>
        <v>2.1585304499195992</v>
      </c>
      <c r="T1081" s="45" cm="1">
        <f t="array" ref="T1081">SUMPRODUCT(P1081:S1081 * P$3:S$3) / SUM(P$3:S$3)</f>
        <v>2.1901109506662184</v>
      </c>
    </row>
    <row r="1082" spans="1:20" ht="16.5" customHeight="1" x14ac:dyDescent="0.25">
      <c r="A1082" s="5" t="s">
        <v>6791</v>
      </c>
      <c r="B1082" s="20" t="s">
        <v>4950</v>
      </c>
      <c r="C1082" s="4" t="s">
        <v>8798</v>
      </c>
      <c r="D1082" s="4" t="s">
        <v>9032</v>
      </c>
      <c r="E1082" s="12" t="s">
        <v>407</v>
      </c>
      <c r="F1082" s="75" t="s">
        <v>6722</v>
      </c>
      <c r="G1082" s="3">
        <v>16</v>
      </c>
      <c r="H1082" s="3" t="s">
        <v>6736</v>
      </c>
      <c r="I1082" s="13" t="s">
        <v>225</v>
      </c>
      <c r="J1082" s="72">
        <v>1.4</v>
      </c>
      <c r="K1082" s="14" t="s">
        <v>4847</v>
      </c>
      <c r="L1082" s="9">
        <v>75.900000000000006</v>
      </c>
      <c r="M1082" s="3">
        <v>116.92</v>
      </c>
      <c r="N1082" s="17" t="s">
        <v>4951</v>
      </c>
      <c r="O1082" s="18" t="s">
        <v>4947</v>
      </c>
      <c r="P1082" s="49">
        <f t="shared" si="65"/>
        <v>2.0574411540666322</v>
      </c>
      <c r="Q1082" s="1">
        <f t="shared" si="66"/>
        <v>2.2596197457725657</v>
      </c>
      <c r="R1082" s="1">
        <f t="shared" si="68"/>
        <v>2.2627144089196589</v>
      </c>
      <c r="S1082" s="10">
        <f t="shared" si="67"/>
        <v>2.1585304499195992</v>
      </c>
      <c r="T1082" s="45" cm="1">
        <f t="array" ref="T1082">SUMPRODUCT(P1082:S1082 * P$3:S$3) / SUM(P$3:S$3)</f>
        <v>2.1901109506662184</v>
      </c>
    </row>
    <row r="1083" spans="1:20" ht="16.5" customHeight="1" x14ac:dyDescent="0.25">
      <c r="A1083" s="5" t="s">
        <v>6791</v>
      </c>
      <c r="B1083" s="20" t="s">
        <v>5103</v>
      </c>
      <c r="C1083" s="4" t="s">
        <v>8798</v>
      </c>
      <c r="D1083" s="4" t="s">
        <v>9032</v>
      </c>
      <c r="E1083" s="12" t="s">
        <v>407</v>
      </c>
      <c r="F1083" s="75" t="s">
        <v>6722</v>
      </c>
      <c r="G1083" s="3">
        <v>16</v>
      </c>
      <c r="H1083" s="3" t="s">
        <v>6736</v>
      </c>
      <c r="I1083" s="13" t="s">
        <v>225</v>
      </c>
      <c r="J1083" s="72">
        <v>1.4</v>
      </c>
      <c r="K1083" s="14" t="s">
        <v>4847</v>
      </c>
      <c r="L1083" s="9">
        <v>75.900000000000006</v>
      </c>
      <c r="M1083" s="3">
        <v>104.42</v>
      </c>
      <c r="N1083" s="17" t="s">
        <v>5104</v>
      </c>
      <c r="O1083" s="18" t="s">
        <v>5102</v>
      </c>
      <c r="P1083" s="49">
        <f t="shared" si="65"/>
        <v>2.0574411540666322</v>
      </c>
      <c r="Q1083" s="1">
        <f t="shared" si="66"/>
        <v>2.2596197457725657</v>
      </c>
      <c r="R1083" s="1">
        <f t="shared" si="68"/>
        <v>2.2627144089196589</v>
      </c>
      <c r="S1083" s="10">
        <f t="shared" si="67"/>
        <v>2.1585304499195992</v>
      </c>
      <c r="T1083" s="45" cm="1">
        <f t="array" ref="T1083">SUMPRODUCT(P1083:S1083 * P$3:S$3) / SUM(P$3:S$3)</f>
        <v>2.1901109506662184</v>
      </c>
    </row>
    <row r="1084" spans="1:20" ht="16.5" customHeight="1" x14ac:dyDescent="0.25">
      <c r="A1084" s="5" t="s">
        <v>6791</v>
      </c>
      <c r="B1084" s="20" t="s">
        <v>5105</v>
      </c>
      <c r="C1084" s="4" t="s">
        <v>8798</v>
      </c>
      <c r="D1084" s="4" t="s">
        <v>9032</v>
      </c>
      <c r="E1084" s="12" t="s">
        <v>407</v>
      </c>
      <c r="F1084" s="75" t="s">
        <v>6722</v>
      </c>
      <c r="G1084" s="3">
        <v>16</v>
      </c>
      <c r="H1084" s="3" t="s">
        <v>6736</v>
      </c>
      <c r="I1084" s="13" t="s">
        <v>225</v>
      </c>
      <c r="J1084" s="72">
        <v>1.4</v>
      </c>
      <c r="K1084" s="14" t="s">
        <v>4847</v>
      </c>
      <c r="L1084" s="9">
        <v>73.02</v>
      </c>
      <c r="M1084" s="3">
        <v>108.9</v>
      </c>
      <c r="N1084" s="17" t="s">
        <v>5106</v>
      </c>
      <c r="O1084" s="18" t="s">
        <v>5102</v>
      </c>
      <c r="P1084" s="49">
        <f t="shared" si="65"/>
        <v>2.0574411540666322</v>
      </c>
      <c r="Q1084" s="1">
        <f t="shared" si="66"/>
        <v>2.2596197457725657</v>
      </c>
      <c r="R1084" s="1">
        <f t="shared" si="68"/>
        <v>2.2627144089196589</v>
      </c>
      <c r="S1084" s="10">
        <f t="shared" si="67"/>
        <v>2.1585304499195992</v>
      </c>
      <c r="T1084" s="45" cm="1">
        <f t="array" ref="T1084">SUMPRODUCT(P1084:S1084 * P$3:S$3) / SUM(P$3:S$3)</f>
        <v>2.1901109506662184</v>
      </c>
    </row>
    <row r="1085" spans="1:20" ht="16.5" customHeight="1" x14ac:dyDescent="0.25">
      <c r="A1085" s="5" t="s">
        <v>6756</v>
      </c>
      <c r="B1085" s="20" t="s">
        <v>4357</v>
      </c>
      <c r="C1085" s="4" t="s">
        <v>8798</v>
      </c>
      <c r="D1085" s="4" t="s">
        <v>9032</v>
      </c>
      <c r="E1085" s="12" t="s">
        <v>407</v>
      </c>
      <c r="F1085" s="75" t="s">
        <v>6722</v>
      </c>
      <c r="G1085" s="3">
        <v>16</v>
      </c>
      <c r="H1085" s="3" t="s">
        <v>6736</v>
      </c>
      <c r="I1085" s="13" t="s">
        <v>225</v>
      </c>
      <c r="J1085" s="72">
        <v>1.4</v>
      </c>
      <c r="L1085" s="9">
        <v>70.900000000000006</v>
      </c>
      <c r="M1085" s="3">
        <v>100.32</v>
      </c>
      <c r="N1085" s="17" t="s">
        <v>4358</v>
      </c>
      <c r="O1085" s="18" t="s">
        <v>4356</v>
      </c>
      <c r="P1085" s="49">
        <f t="shared" si="65"/>
        <v>2.0574411540666322</v>
      </c>
      <c r="Q1085" s="1">
        <f t="shared" si="66"/>
        <v>2.2596197457725657</v>
      </c>
      <c r="R1085" s="1">
        <f t="shared" si="68"/>
        <v>2.2627144089196589</v>
      </c>
      <c r="S1085" s="10">
        <f t="shared" si="67"/>
        <v>2.1585304499195992</v>
      </c>
      <c r="T1085" s="45" cm="1">
        <f t="array" ref="T1085">SUMPRODUCT(P1085:S1085 * P$3:S$3) / SUM(P$3:S$3)</f>
        <v>2.1901109506662184</v>
      </c>
    </row>
    <row r="1086" spans="1:20" ht="16.5" customHeight="1" x14ac:dyDescent="0.25">
      <c r="A1086" s="5" t="s">
        <v>6756</v>
      </c>
      <c r="B1086" s="20" t="s">
        <v>4426</v>
      </c>
      <c r="C1086" s="4" t="s">
        <v>8798</v>
      </c>
      <c r="D1086" s="4" t="s">
        <v>9032</v>
      </c>
      <c r="E1086" s="12" t="s">
        <v>407</v>
      </c>
      <c r="F1086" s="75" t="s">
        <v>6722</v>
      </c>
      <c r="G1086" s="3">
        <v>16</v>
      </c>
      <c r="H1086" s="3" t="s">
        <v>6736</v>
      </c>
      <c r="I1086" s="13" t="s">
        <v>225</v>
      </c>
      <c r="J1086" s="72">
        <v>1.4</v>
      </c>
      <c r="L1086" s="9">
        <v>69.900000000000006</v>
      </c>
      <c r="M1086" s="3">
        <v>111.03</v>
      </c>
      <c r="N1086" s="17" t="s">
        <v>4427</v>
      </c>
      <c r="O1086" s="18" t="s">
        <v>4425</v>
      </c>
      <c r="P1086" s="49">
        <f t="shared" si="65"/>
        <v>2.0574411540666322</v>
      </c>
      <c r="Q1086" s="1">
        <f t="shared" si="66"/>
        <v>2.2596197457725657</v>
      </c>
      <c r="R1086" s="1">
        <f t="shared" si="68"/>
        <v>2.2627144089196589</v>
      </c>
      <c r="S1086" s="10">
        <f t="shared" si="67"/>
        <v>2.1585304499195992</v>
      </c>
      <c r="T1086" s="45" cm="1">
        <f t="array" ref="T1086">SUMPRODUCT(P1086:S1086 * P$3:S$3) / SUM(P$3:S$3)</f>
        <v>2.1901109506662184</v>
      </c>
    </row>
    <row r="1087" spans="1:20" ht="16.5" customHeight="1" x14ac:dyDescent="0.25">
      <c r="A1087" s="5" t="s">
        <v>6756</v>
      </c>
      <c r="B1087" s="20" t="s">
        <v>4469</v>
      </c>
      <c r="C1087" s="4" t="s">
        <v>8798</v>
      </c>
      <c r="D1087" s="4" t="s">
        <v>9032</v>
      </c>
      <c r="E1087" s="12" t="s">
        <v>407</v>
      </c>
      <c r="F1087" s="75" t="s">
        <v>6722</v>
      </c>
      <c r="G1087" s="3">
        <v>16</v>
      </c>
      <c r="H1087" s="3" t="s">
        <v>6736</v>
      </c>
      <c r="I1087" s="13" t="s">
        <v>225</v>
      </c>
      <c r="J1087" s="72">
        <v>1.4</v>
      </c>
      <c r="K1087" s="14" t="s">
        <v>4436</v>
      </c>
      <c r="L1087" s="9">
        <v>76.900000000000006</v>
      </c>
      <c r="M1087" s="3">
        <v>122</v>
      </c>
      <c r="N1087" s="17" t="s">
        <v>4470</v>
      </c>
      <c r="O1087" s="18" t="s">
        <v>4468</v>
      </c>
      <c r="P1087" s="49">
        <f t="shared" si="65"/>
        <v>2.0574411540666322</v>
      </c>
      <c r="Q1087" s="1">
        <f t="shared" si="66"/>
        <v>2.2596197457725657</v>
      </c>
      <c r="R1087" s="1">
        <f t="shared" si="68"/>
        <v>2.2627144089196589</v>
      </c>
      <c r="S1087" s="10">
        <f t="shared" si="67"/>
        <v>2.1585304499195992</v>
      </c>
      <c r="T1087" s="45" cm="1">
        <f t="array" ref="T1087">SUMPRODUCT(P1087:S1087 * P$3:S$3) / SUM(P$3:S$3)</f>
        <v>2.1901109506662184</v>
      </c>
    </row>
    <row r="1088" spans="1:20" ht="16.5" customHeight="1" x14ac:dyDescent="0.25">
      <c r="A1088" s="5" t="s">
        <v>6756</v>
      </c>
      <c r="B1088" s="20" t="s">
        <v>4538</v>
      </c>
      <c r="C1088" s="4" t="s">
        <v>8798</v>
      </c>
      <c r="D1088" s="4" t="s">
        <v>9032</v>
      </c>
      <c r="E1088" s="12" t="s">
        <v>407</v>
      </c>
      <c r="F1088" s="75" t="s">
        <v>6722</v>
      </c>
      <c r="G1088" s="3">
        <v>16</v>
      </c>
      <c r="H1088" s="3" t="s">
        <v>6736</v>
      </c>
      <c r="I1088" s="13" t="s">
        <v>225</v>
      </c>
      <c r="J1088" s="72">
        <v>1.4</v>
      </c>
      <c r="K1088" s="14" t="s">
        <v>4436</v>
      </c>
      <c r="L1088" s="9">
        <v>60.58</v>
      </c>
      <c r="M1088" s="3">
        <v>107.2</v>
      </c>
      <c r="N1088" s="17" t="s">
        <v>4539</v>
      </c>
      <c r="O1088" s="18" t="s">
        <v>4537</v>
      </c>
      <c r="P1088" s="49">
        <f t="shared" si="65"/>
        <v>2.0574411540666322</v>
      </c>
      <c r="Q1088" s="1">
        <f t="shared" si="66"/>
        <v>2.2596197457725657</v>
      </c>
      <c r="R1088" s="1">
        <f t="shared" si="68"/>
        <v>2.2627144089196589</v>
      </c>
      <c r="S1088" s="10">
        <f t="shared" si="67"/>
        <v>2.1585304499195992</v>
      </c>
      <c r="T1088" s="45" cm="1">
        <f t="array" ref="T1088">SUMPRODUCT(P1088:S1088 * P$3:S$3) / SUM(P$3:S$3)</f>
        <v>2.1901109506662184</v>
      </c>
    </row>
    <row r="1089" spans="1:20" ht="16.5" customHeight="1" x14ac:dyDescent="0.25">
      <c r="A1089" s="5" t="s">
        <v>6769</v>
      </c>
      <c r="B1089" s="20" t="s">
        <v>4411</v>
      </c>
      <c r="C1089" s="4" t="s">
        <v>8798</v>
      </c>
      <c r="D1089" s="4" t="s">
        <v>9033</v>
      </c>
      <c r="E1089" s="12" t="s">
        <v>407</v>
      </c>
      <c r="F1089" s="75" t="s">
        <v>6722</v>
      </c>
      <c r="G1089" s="3">
        <v>24</v>
      </c>
      <c r="H1089" s="3" t="s">
        <v>6736</v>
      </c>
      <c r="I1089" s="13" t="s">
        <v>225</v>
      </c>
      <c r="J1089" s="72">
        <v>1.4</v>
      </c>
      <c r="L1089" s="9">
        <v>114.26</v>
      </c>
      <c r="M1089" s="3">
        <v>139.54</v>
      </c>
      <c r="N1089" s="17" t="s">
        <v>4412</v>
      </c>
      <c r="O1089" s="18" t="s">
        <v>4410</v>
      </c>
      <c r="P1089" s="49">
        <f t="shared" si="65"/>
        <v>2.3172796335250534</v>
      </c>
      <c r="Q1089" s="1">
        <f t="shared" si="66"/>
        <v>2.692683878203268</v>
      </c>
      <c r="R1089" s="1">
        <f t="shared" si="68"/>
        <v>2.7390849545934315</v>
      </c>
      <c r="S1089" s="10">
        <f t="shared" si="67"/>
        <v>2.5049817558641605</v>
      </c>
      <c r="T1089" s="45" cm="1">
        <f t="array" ref="T1089">SUMPRODUCT(P1089:S1089 * P$3:S$3) / SUM(P$3:S$3)</f>
        <v>2.5698748821823729</v>
      </c>
    </row>
    <row r="1090" spans="1:20" ht="16.5" customHeight="1" x14ac:dyDescent="0.25">
      <c r="A1090" s="5" t="s">
        <v>6769</v>
      </c>
      <c r="B1090" s="20" t="s">
        <v>4523</v>
      </c>
      <c r="C1090" s="4" t="s">
        <v>8798</v>
      </c>
      <c r="D1090" s="4" t="s">
        <v>9033</v>
      </c>
      <c r="E1090" s="12" t="s">
        <v>407</v>
      </c>
      <c r="F1090" s="75" t="s">
        <v>6722</v>
      </c>
      <c r="G1090" s="3">
        <v>24</v>
      </c>
      <c r="H1090" s="3" t="s">
        <v>6736</v>
      </c>
      <c r="I1090" s="13" t="s">
        <v>225</v>
      </c>
      <c r="J1090" s="72">
        <v>1.4</v>
      </c>
      <c r="K1090" s="14" t="s">
        <v>4436</v>
      </c>
      <c r="L1090" s="9">
        <v>133.75</v>
      </c>
      <c r="M1090" s="3">
        <v>185.79</v>
      </c>
      <c r="N1090" s="17" t="s">
        <v>4524</v>
      </c>
      <c r="O1090" s="18" t="s">
        <v>4522</v>
      </c>
      <c r="P1090" s="49">
        <f t="shared" si="65"/>
        <v>2.3172796335250534</v>
      </c>
      <c r="Q1090" s="1">
        <f t="shared" si="66"/>
        <v>2.692683878203268</v>
      </c>
      <c r="R1090" s="1">
        <f t="shared" si="68"/>
        <v>2.7390849545934315</v>
      </c>
      <c r="S1090" s="10">
        <f t="shared" si="67"/>
        <v>2.5049817558641605</v>
      </c>
      <c r="T1090" s="45" cm="1">
        <f t="array" ref="T1090">SUMPRODUCT(P1090:S1090 * P$3:S$3) / SUM(P$3:S$3)</f>
        <v>2.5698748821823729</v>
      </c>
    </row>
    <row r="1091" spans="1:20" ht="16.5" customHeight="1" x14ac:dyDescent="0.25">
      <c r="A1091" s="5" t="s">
        <v>6786</v>
      </c>
      <c r="B1091" s="20" t="s">
        <v>4610</v>
      </c>
      <c r="C1091" s="4" t="s">
        <v>8798</v>
      </c>
      <c r="D1091" s="4" t="s">
        <v>9034</v>
      </c>
      <c r="E1091" s="12" t="s">
        <v>407</v>
      </c>
      <c r="F1091" s="75" t="s">
        <v>6722</v>
      </c>
      <c r="G1091" s="3">
        <v>32</v>
      </c>
      <c r="H1091" s="3" t="s">
        <v>6736</v>
      </c>
      <c r="I1091" s="13" t="s">
        <v>225</v>
      </c>
      <c r="J1091" s="72">
        <v>1.4</v>
      </c>
      <c r="L1091" s="9">
        <v>131.9</v>
      </c>
      <c r="M1091" s="3">
        <v>151.94999999999999</v>
      </c>
      <c r="N1091" s="17" t="s">
        <v>4611</v>
      </c>
      <c r="O1091" s="18" t="s">
        <v>4609</v>
      </c>
      <c r="P1091" s="49">
        <f t="shared" si="65"/>
        <v>2.5518645626464469</v>
      </c>
      <c r="Q1091" s="1">
        <f t="shared" si="66"/>
        <v>3.0836587600722574</v>
      </c>
      <c r="R1091" s="1">
        <f t="shared" si="68"/>
        <v>3.1691573246493201</v>
      </c>
      <c r="S1091" s="10">
        <f t="shared" si="67"/>
        <v>2.8177616613593521</v>
      </c>
      <c r="T1091" s="45" cm="1">
        <f t="array" ref="T1091">SUMPRODUCT(P1091:S1091 * P$3:S$3) / SUM(P$3:S$3)</f>
        <v>2.9127297785905628</v>
      </c>
    </row>
    <row r="1092" spans="1:20" ht="16.5" customHeight="1" x14ac:dyDescent="0.25">
      <c r="A1092" s="5" t="s">
        <v>6786</v>
      </c>
      <c r="B1092" s="20" t="s">
        <v>4612</v>
      </c>
      <c r="C1092" s="4" t="s">
        <v>8798</v>
      </c>
      <c r="D1092" s="4" t="s">
        <v>9034</v>
      </c>
      <c r="E1092" s="12" t="s">
        <v>407</v>
      </c>
      <c r="F1092" s="75" t="s">
        <v>6722</v>
      </c>
      <c r="G1092" s="3">
        <v>32</v>
      </c>
      <c r="H1092" s="3" t="s">
        <v>6736</v>
      </c>
      <c r="I1092" s="13" t="s">
        <v>225</v>
      </c>
      <c r="J1092" s="72">
        <v>1.4</v>
      </c>
      <c r="L1092" s="9">
        <v>131.9</v>
      </c>
      <c r="M1092" s="3">
        <v>204.97</v>
      </c>
      <c r="N1092" s="17" t="s">
        <v>4613</v>
      </c>
      <c r="O1092" s="18" t="s">
        <v>4609</v>
      </c>
      <c r="P1092" s="49">
        <f t="shared" si="65"/>
        <v>2.5518645626464469</v>
      </c>
      <c r="Q1092" s="1">
        <f t="shared" si="66"/>
        <v>3.0836587600722574</v>
      </c>
      <c r="R1092" s="1">
        <f t="shared" si="68"/>
        <v>3.1691573246493201</v>
      </c>
      <c r="S1092" s="10">
        <f t="shared" si="67"/>
        <v>2.8177616613593521</v>
      </c>
      <c r="T1092" s="45" cm="1">
        <f t="array" ref="T1092">SUMPRODUCT(P1092:S1092 * P$3:S$3) / SUM(P$3:S$3)</f>
        <v>2.9127297785905628</v>
      </c>
    </row>
    <row r="1093" spans="1:20" ht="16.5" customHeight="1" x14ac:dyDescent="0.25">
      <c r="A1093" s="5" t="s">
        <v>6786</v>
      </c>
      <c r="B1093" s="20" t="s">
        <v>4756</v>
      </c>
      <c r="C1093" s="4" t="s">
        <v>8798</v>
      </c>
      <c r="D1093" s="4" t="s">
        <v>9034</v>
      </c>
      <c r="E1093" s="12" t="s">
        <v>407</v>
      </c>
      <c r="F1093" s="75" t="s">
        <v>6722</v>
      </c>
      <c r="G1093" s="3">
        <v>32</v>
      </c>
      <c r="H1093" s="3" t="s">
        <v>6736</v>
      </c>
      <c r="I1093" s="13" t="s">
        <v>225</v>
      </c>
      <c r="J1093" s="72">
        <v>1.4</v>
      </c>
      <c r="L1093" s="9">
        <v>125.39</v>
      </c>
      <c r="M1093" s="3">
        <v>152.51</v>
      </c>
      <c r="N1093" s="17" t="s">
        <v>4757</v>
      </c>
      <c r="O1093" s="18" t="s">
        <v>4755</v>
      </c>
      <c r="P1093" s="49">
        <f t="shared" si="65"/>
        <v>2.5518645626464469</v>
      </c>
      <c r="Q1093" s="1">
        <f t="shared" si="66"/>
        <v>3.0836587600722574</v>
      </c>
      <c r="R1093" s="1">
        <f t="shared" si="68"/>
        <v>3.1691573246493201</v>
      </c>
      <c r="S1093" s="10">
        <f t="shared" si="67"/>
        <v>2.8177616613593521</v>
      </c>
      <c r="T1093" s="45" cm="1">
        <f t="array" ref="T1093">SUMPRODUCT(P1093:S1093 * P$3:S$3) / SUM(P$3:S$3)</f>
        <v>2.9127297785905628</v>
      </c>
    </row>
    <row r="1094" spans="1:20" ht="16.5" customHeight="1" x14ac:dyDescent="0.25">
      <c r="A1094" s="5" t="s">
        <v>6786</v>
      </c>
      <c r="B1094" s="20" t="s">
        <v>4758</v>
      </c>
      <c r="C1094" s="4" t="s">
        <v>8798</v>
      </c>
      <c r="D1094" s="4" t="s">
        <v>9034</v>
      </c>
      <c r="E1094" s="12" t="s">
        <v>407</v>
      </c>
      <c r="F1094" s="75" t="s">
        <v>6722</v>
      </c>
      <c r="G1094" s="3">
        <v>32</v>
      </c>
      <c r="H1094" s="3" t="s">
        <v>6736</v>
      </c>
      <c r="I1094" s="13" t="s">
        <v>225</v>
      </c>
      <c r="J1094" s="72">
        <v>1.4</v>
      </c>
      <c r="L1094" s="9">
        <v>125.65</v>
      </c>
      <c r="M1094" s="3">
        <v>171.11</v>
      </c>
      <c r="N1094" s="17" t="s">
        <v>4759</v>
      </c>
      <c r="O1094" s="18" t="s">
        <v>4755</v>
      </c>
      <c r="P1094" s="49">
        <f t="shared" si="65"/>
        <v>2.5518645626464469</v>
      </c>
      <c r="Q1094" s="1">
        <f t="shared" si="66"/>
        <v>3.0836587600722574</v>
      </c>
      <c r="R1094" s="1">
        <f t="shared" si="68"/>
        <v>3.1691573246493201</v>
      </c>
      <c r="S1094" s="10">
        <f t="shared" si="67"/>
        <v>2.8177616613593521</v>
      </c>
      <c r="T1094" s="45" cm="1">
        <f t="array" ref="T1094">SUMPRODUCT(P1094:S1094 * P$3:S$3) / SUM(P$3:S$3)</f>
        <v>2.9127297785905628</v>
      </c>
    </row>
    <row r="1095" spans="1:20" ht="16.5" customHeight="1" x14ac:dyDescent="0.25">
      <c r="A1095" s="5" t="s">
        <v>6786</v>
      </c>
      <c r="B1095" s="20" t="s">
        <v>4915</v>
      </c>
      <c r="C1095" s="4" t="s">
        <v>8798</v>
      </c>
      <c r="D1095" s="4" t="s">
        <v>9034</v>
      </c>
      <c r="E1095" s="12" t="s">
        <v>407</v>
      </c>
      <c r="F1095" s="75" t="s">
        <v>6722</v>
      </c>
      <c r="G1095" s="3">
        <v>32</v>
      </c>
      <c r="H1095" s="3" t="s">
        <v>6736</v>
      </c>
      <c r="I1095" s="13" t="s">
        <v>225</v>
      </c>
      <c r="J1095" s="72">
        <v>1.4</v>
      </c>
      <c r="K1095" s="14" t="s">
        <v>4847</v>
      </c>
      <c r="L1095" s="9">
        <v>137</v>
      </c>
      <c r="M1095" s="3">
        <v>187.85</v>
      </c>
      <c r="N1095" s="17" t="s">
        <v>4916</v>
      </c>
      <c r="O1095" s="18" t="s">
        <v>4914</v>
      </c>
      <c r="P1095" s="49">
        <f t="shared" si="65"/>
        <v>2.5518645626464469</v>
      </c>
      <c r="Q1095" s="1">
        <f t="shared" si="66"/>
        <v>3.0836587600722574</v>
      </c>
      <c r="R1095" s="1">
        <f t="shared" si="68"/>
        <v>3.1691573246493201</v>
      </c>
      <c r="S1095" s="10">
        <f t="shared" si="67"/>
        <v>2.8177616613593521</v>
      </c>
      <c r="T1095" s="45" cm="1">
        <f t="array" ref="T1095">SUMPRODUCT(P1095:S1095 * P$3:S$3) / SUM(P$3:S$3)</f>
        <v>2.9127297785905628</v>
      </c>
    </row>
    <row r="1096" spans="1:20" ht="16.5" customHeight="1" x14ac:dyDescent="0.25">
      <c r="A1096" s="5" t="s">
        <v>6786</v>
      </c>
      <c r="B1096" s="20" t="s">
        <v>4917</v>
      </c>
      <c r="C1096" s="4" t="s">
        <v>8798</v>
      </c>
      <c r="D1096" s="4" t="s">
        <v>9034</v>
      </c>
      <c r="E1096" s="12" t="s">
        <v>407</v>
      </c>
      <c r="F1096" s="75" t="s">
        <v>6722</v>
      </c>
      <c r="G1096" s="3">
        <v>32</v>
      </c>
      <c r="H1096" s="3" t="s">
        <v>6736</v>
      </c>
      <c r="I1096" s="13" t="s">
        <v>225</v>
      </c>
      <c r="J1096" s="72">
        <v>1.4</v>
      </c>
      <c r="K1096" s="14" t="s">
        <v>4847</v>
      </c>
      <c r="L1096" s="9">
        <v>131.30000000000001</v>
      </c>
      <c r="M1096" s="3">
        <v>166.77</v>
      </c>
      <c r="N1096" s="17" t="s">
        <v>4918</v>
      </c>
      <c r="O1096" s="18" t="s">
        <v>4914</v>
      </c>
      <c r="P1096" s="49">
        <f t="shared" si="65"/>
        <v>2.5518645626464469</v>
      </c>
      <c r="Q1096" s="1">
        <f t="shared" si="66"/>
        <v>3.0836587600722574</v>
      </c>
      <c r="R1096" s="1">
        <f t="shared" si="68"/>
        <v>3.1691573246493201</v>
      </c>
      <c r="S1096" s="10">
        <f t="shared" si="67"/>
        <v>2.8177616613593521</v>
      </c>
      <c r="T1096" s="45" cm="1">
        <f t="array" ref="T1096">SUMPRODUCT(P1096:S1096 * P$3:S$3) / SUM(P$3:S$3)</f>
        <v>2.9127297785905628</v>
      </c>
    </row>
    <row r="1097" spans="1:20" ht="16.5" customHeight="1" x14ac:dyDescent="0.25">
      <c r="A1097" s="5" t="s">
        <v>6786</v>
      </c>
      <c r="B1097" s="20" t="s">
        <v>5072</v>
      </c>
      <c r="C1097" s="4" t="s">
        <v>8798</v>
      </c>
      <c r="D1097" s="4" t="s">
        <v>9034</v>
      </c>
      <c r="E1097" s="12" t="s">
        <v>407</v>
      </c>
      <c r="F1097" s="75" t="s">
        <v>6722</v>
      </c>
      <c r="G1097" s="3">
        <v>32</v>
      </c>
      <c r="H1097" s="3" t="s">
        <v>6736</v>
      </c>
      <c r="I1097" s="13" t="s">
        <v>225</v>
      </c>
      <c r="J1097" s="72">
        <v>1.4</v>
      </c>
      <c r="K1097" s="14" t="s">
        <v>4847</v>
      </c>
      <c r="L1097" s="9">
        <v>131.30000000000001</v>
      </c>
      <c r="M1097" s="3">
        <v>197.09</v>
      </c>
      <c r="N1097" s="17" t="s">
        <v>5073</v>
      </c>
      <c r="O1097" s="18" t="s">
        <v>5071</v>
      </c>
      <c r="P1097" s="49">
        <f t="shared" si="65"/>
        <v>2.5518645626464469</v>
      </c>
      <c r="Q1097" s="1">
        <f t="shared" si="66"/>
        <v>3.0836587600722574</v>
      </c>
      <c r="R1097" s="1">
        <f t="shared" si="68"/>
        <v>3.1691573246493201</v>
      </c>
      <c r="S1097" s="10">
        <f t="shared" si="67"/>
        <v>2.8177616613593521</v>
      </c>
      <c r="T1097" s="45" cm="1">
        <f t="array" ref="T1097">SUMPRODUCT(P1097:S1097 * P$3:S$3) / SUM(P$3:S$3)</f>
        <v>2.9127297785905628</v>
      </c>
    </row>
    <row r="1098" spans="1:20" ht="16.5" customHeight="1" x14ac:dyDescent="0.25">
      <c r="A1098" s="5" t="s">
        <v>6786</v>
      </c>
      <c r="B1098" s="20" t="s">
        <v>5074</v>
      </c>
      <c r="C1098" s="4" t="s">
        <v>8798</v>
      </c>
      <c r="D1098" s="4" t="s">
        <v>9034</v>
      </c>
      <c r="E1098" s="12" t="s">
        <v>407</v>
      </c>
      <c r="F1098" s="75" t="s">
        <v>6722</v>
      </c>
      <c r="G1098" s="3">
        <v>32</v>
      </c>
      <c r="H1098" s="3" t="s">
        <v>6736</v>
      </c>
      <c r="I1098" s="13" t="s">
        <v>225</v>
      </c>
      <c r="J1098" s="72">
        <v>1.4</v>
      </c>
      <c r="K1098" s="14" t="s">
        <v>4847</v>
      </c>
      <c r="L1098" s="9">
        <v>131.75</v>
      </c>
      <c r="M1098" s="3">
        <v>224.84</v>
      </c>
      <c r="N1098" s="17" t="s">
        <v>5075</v>
      </c>
      <c r="O1098" s="18" t="s">
        <v>5071</v>
      </c>
      <c r="P1098" s="49">
        <f t="shared" ref="P1098:P1161" si="69">(((F1098/F$9)^F$7 * F$2 + (I1098/I$9)^I$7 * I$2 + (J1098/J$9)^J$7 * J$2) * (1+M$3*(MIN(H1098,M$2)-1)+M$4*(H1098-MIN(H1098,M$2))) + (G1098/G$9)^G$7 * G$2)  * P$9</f>
        <v>2.5518645626464469</v>
      </c>
      <c r="Q1098" s="1">
        <f t="shared" ref="Q1098:Q1161" si="70">(((F1098/F$9)^F$7 * F$3 + (I1098/I$9)^I$7 * I$3 + (J1098/J$9)^J$7 * J$3) * (1+M$3*(MIN(H1098,M$2)-1)+M$4*(H1098-MIN(H1098,M$2))) + (G1098/G$9)^G$7 * G$3)  * P$9</f>
        <v>3.0836587600722574</v>
      </c>
      <c r="R1098" s="1">
        <f t="shared" si="68"/>
        <v>3.1691573246493201</v>
      </c>
      <c r="S1098" s="10">
        <f t="shared" ref="S1098:S1161" si="71">(((F1098/F$9)^F$7 * F$5 + (I1098/I$9)^I$7 * I$5 + (J1098/J$9)^J$7 * J$5) * (1+M$3*(MIN(H1098,M$2)-1)+M$4*(H1098-MIN(H1098,M$2))) + (G1098/G$9)^G$7 * G$5)  * P$9</f>
        <v>2.8177616613593521</v>
      </c>
      <c r="T1098" s="45" cm="1">
        <f t="array" ref="T1098">SUMPRODUCT(P1098:S1098 * P$3:S$3) / SUM(P$3:S$3)</f>
        <v>2.9127297785905628</v>
      </c>
    </row>
    <row r="1099" spans="1:20" ht="16.5" customHeight="1" x14ac:dyDescent="0.25">
      <c r="A1099" s="5" t="s">
        <v>6752</v>
      </c>
      <c r="B1099" s="20" t="s">
        <v>4345</v>
      </c>
      <c r="C1099" s="4" t="s">
        <v>8798</v>
      </c>
      <c r="D1099" s="4" t="s">
        <v>9034</v>
      </c>
      <c r="E1099" s="12" t="s">
        <v>407</v>
      </c>
      <c r="F1099" s="75" t="s">
        <v>6722</v>
      </c>
      <c r="G1099" s="3">
        <v>32</v>
      </c>
      <c r="H1099" s="3" t="s">
        <v>6736</v>
      </c>
      <c r="I1099" s="13" t="s">
        <v>225</v>
      </c>
      <c r="J1099" s="72">
        <v>1.35</v>
      </c>
      <c r="L1099" s="9">
        <v>133.9</v>
      </c>
      <c r="M1099" s="3">
        <v>184.62</v>
      </c>
      <c r="N1099" s="17" t="s">
        <v>4346</v>
      </c>
      <c r="O1099" s="18" t="s">
        <v>4344</v>
      </c>
      <c r="P1099" s="49">
        <f t="shared" si="69"/>
        <v>2.5536823794200645</v>
      </c>
      <c r="Q1099" s="1">
        <f t="shared" si="70"/>
        <v>3.085476576845875</v>
      </c>
      <c r="R1099" s="1">
        <f t="shared" si="68"/>
        <v>3.1709751414229377</v>
      </c>
      <c r="S1099" s="10">
        <f t="shared" si="71"/>
        <v>2.8195794781329697</v>
      </c>
      <c r="T1099" s="45" cm="1">
        <f t="array" ref="T1099">SUMPRODUCT(P1099:S1099 * P$3:S$3) / SUM(P$3:S$3)</f>
        <v>2.9145475953641813</v>
      </c>
    </row>
    <row r="1100" spans="1:20" ht="16.5" customHeight="1" x14ac:dyDescent="0.25">
      <c r="A1100" s="5" t="s">
        <v>6752</v>
      </c>
      <c r="B1100" s="20" t="s">
        <v>4405</v>
      </c>
      <c r="C1100" s="4" t="s">
        <v>8798</v>
      </c>
      <c r="D1100" s="4" t="s">
        <v>9034</v>
      </c>
      <c r="E1100" s="12" t="s">
        <v>407</v>
      </c>
      <c r="F1100" s="75" t="s">
        <v>6722</v>
      </c>
      <c r="G1100" s="3">
        <v>32</v>
      </c>
      <c r="H1100" s="3" t="s">
        <v>6736</v>
      </c>
      <c r="I1100" s="13" t="s">
        <v>225</v>
      </c>
      <c r="J1100" s="72">
        <v>1.35</v>
      </c>
      <c r="L1100" s="9">
        <v>133.53</v>
      </c>
      <c r="M1100" s="3">
        <v>178.84</v>
      </c>
      <c r="N1100" s="17" t="s">
        <v>4406</v>
      </c>
      <c r="O1100" s="18" t="s">
        <v>4404</v>
      </c>
      <c r="P1100" s="49">
        <f t="shared" si="69"/>
        <v>2.5536823794200645</v>
      </c>
      <c r="Q1100" s="1">
        <f t="shared" si="70"/>
        <v>3.085476576845875</v>
      </c>
      <c r="R1100" s="1">
        <f t="shared" si="68"/>
        <v>3.1709751414229377</v>
      </c>
      <c r="S1100" s="10">
        <f t="shared" si="71"/>
        <v>2.8195794781329697</v>
      </c>
      <c r="T1100" s="45" cm="1">
        <f t="array" ref="T1100">SUMPRODUCT(P1100:S1100 * P$3:S$3) / SUM(P$3:S$3)</f>
        <v>2.9145475953641813</v>
      </c>
    </row>
    <row r="1101" spans="1:20" ht="16.5" customHeight="1" x14ac:dyDescent="0.25">
      <c r="A1101" s="5" t="s">
        <v>6752</v>
      </c>
      <c r="B1101" s="20" t="s">
        <v>4454</v>
      </c>
      <c r="C1101" s="4" t="s">
        <v>8798</v>
      </c>
      <c r="D1101" s="4" t="s">
        <v>9034</v>
      </c>
      <c r="E1101" s="12" t="s">
        <v>407</v>
      </c>
      <c r="F1101" s="75" t="s">
        <v>6722</v>
      </c>
      <c r="G1101" s="3">
        <v>32</v>
      </c>
      <c r="H1101" s="3" t="s">
        <v>6736</v>
      </c>
      <c r="I1101" s="13" t="s">
        <v>225</v>
      </c>
      <c r="J1101" s="72">
        <v>1.35</v>
      </c>
      <c r="K1101" s="14" t="s">
        <v>4436</v>
      </c>
      <c r="L1101" s="9">
        <v>138.9</v>
      </c>
      <c r="M1101" s="3">
        <v>183.62</v>
      </c>
      <c r="N1101" s="17" t="s">
        <v>4455</v>
      </c>
      <c r="O1101" s="18" t="s">
        <v>4453</v>
      </c>
      <c r="P1101" s="49">
        <f t="shared" si="69"/>
        <v>2.5536823794200645</v>
      </c>
      <c r="Q1101" s="1">
        <f t="shared" si="70"/>
        <v>3.085476576845875</v>
      </c>
      <c r="R1101" s="1">
        <f t="shared" si="68"/>
        <v>3.1709751414229377</v>
      </c>
      <c r="S1101" s="10">
        <f t="shared" si="71"/>
        <v>2.8195794781329697</v>
      </c>
      <c r="T1101" s="45" cm="1">
        <f t="array" ref="T1101">SUMPRODUCT(P1101:S1101 * P$3:S$3) / SUM(P$3:S$3)</f>
        <v>2.9145475953641813</v>
      </c>
    </row>
    <row r="1102" spans="1:20" ht="16.5" customHeight="1" x14ac:dyDescent="0.25">
      <c r="A1102" s="5" t="s">
        <v>6752</v>
      </c>
      <c r="B1102" s="20" t="s">
        <v>4514</v>
      </c>
      <c r="C1102" s="4" t="s">
        <v>8798</v>
      </c>
      <c r="D1102" s="4" t="s">
        <v>9034</v>
      </c>
      <c r="E1102" s="12" t="s">
        <v>407</v>
      </c>
      <c r="F1102" s="75" t="s">
        <v>6722</v>
      </c>
      <c r="G1102" s="3">
        <v>32</v>
      </c>
      <c r="H1102" s="3" t="s">
        <v>6736</v>
      </c>
      <c r="I1102" s="13" t="s">
        <v>225</v>
      </c>
      <c r="J1102" s="72">
        <v>1.35</v>
      </c>
      <c r="K1102" s="14" t="s">
        <v>4436</v>
      </c>
      <c r="L1102" s="9">
        <v>138.9</v>
      </c>
      <c r="M1102" s="3">
        <v>183.62</v>
      </c>
      <c r="N1102" s="17" t="s">
        <v>4515</v>
      </c>
      <c r="O1102" s="18" t="s">
        <v>4513</v>
      </c>
      <c r="P1102" s="49">
        <f t="shared" si="69"/>
        <v>2.5536823794200645</v>
      </c>
      <c r="Q1102" s="1">
        <f t="shared" si="70"/>
        <v>3.085476576845875</v>
      </c>
      <c r="R1102" s="1">
        <f t="shared" si="68"/>
        <v>3.1709751414229377</v>
      </c>
      <c r="S1102" s="10">
        <f t="shared" si="71"/>
        <v>2.8195794781329697</v>
      </c>
      <c r="T1102" s="45" cm="1">
        <f t="array" ref="T1102">SUMPRODUCT(P1102:S1102 * P$3:S$3) / SUM(P$3:S$3)</f>
        <v>2.9145475953641813</v>
      </c>
    </row>
    <row r="1103" spans="1:20" ht="16.5" customHeight="1" x14ac:dyDescent="0.25">
      <c r="A1103" s="5" t="s">
        <v>6961</v>
      </c>
      <c r="B1103" s="20" t="s">
        <v>6681</v>
      </c>
      <c r="C1103" s="4" t="s">
        <v>8796</v>
      </c>
      <c r="D1103" s="4" t="s">
        <v>9035</v>
      </c>
      <c r="E1103" s="12" t="s">
        <v>407</v>
      </c>
      <c r="F1103" s="75" t="s">
        <v>6722</v>
      </c>
      <c r="G1103" s="3">
        <v>32</v>
      </c>
      <c r="H1103" s="3" t="s">
        <v>404</v>
      </c>
      <c r="I1103" s="13" t="s">
        <v>225</v>
      </c>
      <c r="J1103" s="72">
        <v>1.4</v>
      </c>
      <c r="K1103" s="14" t="s">
        <v>6633</v>
      </c>
      <c r="L1103" s="9">
        <v>173.9</v>
      </c>
      <c r="M1103" s="3">
        <v>261</v>
      </c>
      <c r="N1103" s="17" t="s">
        <v>6682</v>
      </c>
      <c r="O1103" s="18" t="s">
        <v>6680</v>
      </c>
      <c r="P1103" s="49">
        <f t="shared" si="69"/>
        <v>2.5873524993082109</v>
      </c>
      <c r="Q1103" s="1">
        <f t="shared" si="70"/>
        <v>3.1100170358199115</v>
      </c>
      <c r="R1103" s="1">
        <f t="shared" si="68"/>
        <v>3.1919028117634176</v>
      </c>
      <c r="S1103" s="10">
        <f t="shared" si="71"/>
        <v>2.8486847675640607</v>
      </c>
      <c r="T1103" s="45" cm="1">
        <f t="array" ref="T1103">SUMPRODUCT(P1103:S1103 * P$3:S$3) / SUM(P$3:S$3)</f>
        <v>2.9416925079417853</v>
      </c>
    </row>
    <row r="1104" spans="1:20" ht="16.5" customHeight="1" x14ac:dyDescent="0.25">
      <c r="A1104" s="5" t="s">
        <v>6943</v>
      </c>
      <c r="B1104" s="20" t="s">
        <v>6568</v>
      </c>
      <c r="C1104" s="4" t="s">
        <v>8796</v>
      </c>
      <c r="D1104" s="4" t="s">
        <v>9035</v>
      </c>
      <c r="E1104" s="12" t="s">
        <v>407</v>
      </c>
      <c r="F1104" s="75" t="s">
        <v>6722</v>
      </c>
      <c r="G1104" s="3">
        <v>32</v>
      </c>
      <c r="H1104" s="3" t="s">
        <v>404</v>
      </c>
      <c r="I1104" s="13" t="s">
        <v>225</v>
      </c>
      <c r="J1104" s="72">
        <v>1.4</v>
      </c>
      <c r="K1104" s="14" t="s">
        <v>6530</v>
      </c>
      <c r="L1104" s="9">
        <v>176.63</v>
      </c>
      <c r="M1104" s="3">
        <v>238.05</v>
      </c>
      <c r="N1104" s="17" t="s">
        <v>6569</v>
      </c>
      <c r="O1104" s="18" t="s">
        <v>6567</v>
      </c>
      <c r="P1104" s="49">
        <f t="shared" si="69"/>
        <v>2.5873524993082109</v>
      </c>
      <c r="Q1104" s="1">
        <f t="shared" si="70"/>
        <v>3.1100170358199115</v>
      </c>
      <c r="R1104" s="1">
        <f t="shared" ref="R1104:R1167" si="72">(((F1104/F$9)^F$7 * F$4 + (I1104/I$9)^I$7 * I$4 + (J1104/J$9)^J$7 * J$4) * (1+M$3*(MIN(H1104,M$2)-1)+M$4*(H1104-MIN(H1104,M$2))) + (G1104/G$9)^G$7 * G$4)  * P$9</f>
        <v>3.1919028117634176</v>
      </c>
      <c r="S1104" s="10">
        <f t="shared" si="71"/>
        <v>2.8486847675640607</v>
      </c>
      <c r="T1104" s="45" cm="1">
        <f t="array" ref="T1104">SUMPRODUCT(P1104:S1104 * P$3:S$3) / SUM(P$3:S$3)</f>
        <v>2.9416925079417853</v>
      </c>
    </row>
    <row r="1105" spans="1:20" ht="16.5" customHeight="1" x14ac:dyDescent="0.25">
      <c r="A1105" s="5" t="s">
        <v>6943</v>
      </c>
      <c r="B1105" s="20" t="s">
        <v>6620</v>
      </c>
      <c r="C1105" s="4" t="s">
        <v>8796</v>
      </c>
      <c r="D1105" s="4" t="s">
        <v>9035</v>
      </c>
      <c r="E1105" s="12" t="s">
        <v>407</v>
      </c>
      <c r="F1105" s="75" t="s">
        <v>6722</v>
      </c>
      <c r="G1105" s="3">
        <v>32</v>
      </c>
      <c r="H1105" s="3" t="s">
        <v>404</v>
      </c>
      <c r="I1105" s="13" t="s">
        <v>225</v>
      </c>
      <c r="J1105" s="72">
        <v>1.4</v>
      </c>
      <c r="K1105" s="14" t="s">
        <v>6530</v>
      </c>
      <c r="L1105" s="9">
        <v>180.9</v>
      </c>
      <c r="M1105" s="3">
        <v>217.43</v>
      </c>
      <c r="N1105" s="17" t="s">
        <v>6621</v>
      </c>
      <c r="O1105" s="18" t="s">
        <v>6619</v>
      </c>
      <c r="P1105" s="49">
        <f t="shared" si="69"/>
        <v>2.5873524993082109</v>
      </c>
      <c r="Q1105" s="1">
        <f t="shared" si="70"/>
        <v>3.1100170358199115</v>
      </c>
      <c r="R1105" s="1">
        <f t="shared" si="72"/>
        <v>3.1919028117634176</v>
      </c>
      <c r="S1105" s="10">
        <f t="shared" si="71"/>
        <v>2.8486847675640607</v>
      </c>
      <c r="T1105" s="45" cm="1">
        <f t="array" ref="T1105">SUMPRODUCT(P1105:S1105 * P$3:S$3) / SUM(P$3:S$3)</f>
        <v>2.9416925079417853</v>
      </c>
    </row>
    <row r="1106" spans="1:20" ht="16.5" customHeight="1" x14ac:dyDescent="0.25">
      <c r="A1106" s="5" t="s">
        <v>6884</v>
      </c>
      <c r="B1106" s="20" t="s">
        <v>5975</v>
      </c>
      <c r="C1106" s="4" t="s">
        <v>8796</v>
      </c>
      <c r="D1106" s="4" t="s">
        <v>9035</v>
      </c>
      <c r="E1106" s="12" t="s">
        <v>407</v>
      </c>
      <c r="F1106" s="75" t="s">
        <v>6722</v>
      </c>
      <c r="G1106" s="3">
        <v>32</v>
      </c>
      <c r="H1106" s="3" t="s">
        <v>404</v>
      </c>
      <c r="I1106" s="13" t="s">
        <v>225</v>
      </c>
      <c r="J1106" s="72">
        <v>1.4</v>
      </c>
      <c r="L1106" s="9">
        <v>128.9</v>
      </c>
      <c r="M1106" s="3">
        <v>189.72</v>
      </c>
      <c r="N1106" s="17" t="s">
        <v>5976</v>
      </c>
      <c r="O1106" s="18" t="s">
        <v>5974</v>
      </c>
      <c r="P1106" s="49">
        <f t="shared" si="69"/>
        <v>2.5873524993082109</v>
      </c>
      <c r="Q1106" s="1">
        <f t="shared" si="70"/>
        <v>3.1100170358199115</v>
      </c>
      <c r="R1106" s="1">
        <f t="shared" si="72"/>
        <v>3.1919028117634176</v>
      </c>
      <c r="S1106" s="10">
        <f t="shared" si="71"/>
        <v>2.8486847675640607</v>
      </c>
      <c r="T1106" s="45" cm="1">
        <f t="array" ref="T1106">SUMPRODUCT(P1106:S1106 * P$3:S$3) / SUM(P$3:S$3)</f>
        <v>2.9416925079417853</v>
      </c>
    </row>
    <row r="1107" spans="1:20" ht="16.5" customHeight="1" x14ac:dyDescent="0.25">
      <c r="A1107" s="5" t="s">
        <v>6884</v>
      </c>
      <c r="B1107" s="20" t="s">
        <v>6117</v>
      </c>
      <c r="C1107" s="4" t="s">
        <v>8796</v>
      </c>
      <c r="D1107" s="4" t="s">
        <v>9035</v>
      </c>
      <c r="E1107" s="12" t="s">
        <v>407</v>
      </c>
      <c r="F1107" s="75" t="s">
        <v>6722</v>
      </c>
      <c r="G1107" s="3">
        <v>32</v>
      </c>
      <c r="H1107" s="3" t="s">
        <v>404</v>
      </c>
      <c r="I1107" s="13" t="s">
        <v>6739</v>
      </c>
      <c r="J1107" s="72">
        <v>1.35</v>
      </c>
      <c r="K1107" s="14" t="s">
        <v>450</v>
      </c>
      <c r="L1107" s="9">
        <v>116.46</v>
      </c>
      <c r="M1107" s="3">
        <v>143.97</v>
      </c>
      <c r="N1107" s="17" t="s">
        <v>6118</v>
      </c>
      <c r="O1107" s="18" t="s">
        <v>6116</v>
      </c>
      <c r="P1107" s="49">
        <f t="shared" si="69"/>
        <v>2.5796940659340715</v>
      </c>
      <c r="Q1107" s="1">
        <f t="shared" si="70"/>
        <v>3.1071222109323653</v>
      </c>
      <c r="R1107" s="1">
        <f t="shared" si="72"/>
        <v>3.1890079868758714</v>
      </c>
      <c r="S1107" s="10">
        <f t="shared" si="71"/>
        <v>2.8434081384332188</v>
      </c>
      <c r="T1107" s="45" cm="1">
        <f t="array" ref="T1107">SUMPRODUCT(P1107:S1107 * P$3:S$3) / SUM(P$3:S$3)</f>
        <v>2.9371487416550339</v>
      </c>
    </row>
    <row r="1108" spans="1:20" ht="16.5" customHeight="1" x14ac:dyDescent="0.25">
      <c r="A1108" s="5" t="s">
        <v>6884</v>
      </c>
      <c r="B1108" s="20" t="s">
        <v>6120</v>
      </c>
      <c r="C1108" s="4" t="s">
        <v>8796</v>
      </c>
      <c r="D1108" s="4" t="s">
        <v>9035</v>
      </c>
      <c r="E1108" s="12" t="s">
        <v>407</v>
      </c>
      <c r="F1108" s="75" t="s">
        <v>6722</v>
      </c>
      <c r="G1108" s="3">
        <v>32</v>
      </c>
      <c r="H1108" s="3" t="s">
        <v>404</v>
      </c>
      <c r="I1108" s="13" t="s">
        <v>225</v>
      </c>
      <c r="J1108" s="72">
        <v>1.4</v>
      </c>
      <c r="L1108" s="9">
        <v>124.8</v>
      </c>
      <c r="M1108" s="3">
        <v>196</v>
      </c>
      <c r="N1108" s="17" t="s">
        <v>6121</v>
      </c>
      <c r="O1108" s="18" t="s">
        <v>6119</v>
      </c>
      <c r="P1108" s="49">
        <f t="shared" si="69"/>
        <v>2.5873524993082109</v>
      </c>
      <c r="Q1108" s="1">
        <f t="shared" si="70"/>
        <v>3.1100170358199115</v>
      </c>
      <c r="R1108" s="1">
        <f t="shared" si="72"/>
        <v>3.1919028117634176</v>
      </c>
      <c r="S1108" s="10">
        <f t="shared" si="71"/>
        <v>2.8486847675640607</v>
      </c>
      <c r="T1108" s="45" cm="1">
        <f t="array" ref="T1108">SUMPRODUCT(P1108:S1108 * P$3:S$3) / SUM(P$3:S$3)</f>
        <v>2.9416925079417853</v>
      </c>
    </row>
    <row r="1109" spans="1:20" ht="16.5" customHeight="1" x14ac:dyDescent="0.25">
      <c r="A1109" s="5" t="s">
        <v>6884</v>
      </c>
      <c r="B1109" s="20" t="s">
        <v>6192</v>
      </c>
      <c r="C1109" s="4" t="s">
        <v>8796</v>
      </c>
      <c r="D1109" s="4" t="s">
        <v>9035</v>
      </c>
      <c r="E1109" s="12" t="s">
        <v>407</v>
      </c>
      <c r="F1109" s="75" t="s">
        <v>6722</v>
      </c>
      <c r="G1109" s="3">
        <v>32</v>
      </c>
      <c r="H1109" s="3" t="s">
        <v>404</v>
      </c>
      <c r="I1109" s="13" t="s">
        <v>6739</v>
      </c>
      <c r="J1109" s="72">
        <v>1.35</v>
      </c>
      <c r="K1109" s="14" t="s">
        <v>450</v>
      </c>
      <c r="L1109" s="9">
        <v>123.9</v>
      </c>
      <c r="M1109" s="3">
        <v>158.91</v>
      </c>
      <c r="N1109" s="17" t="s">
        <v>6193</v>
      </c>
      <c r="O1109" s="18" t="s">
        <v>6191</v>
      </c>
      <c r="P1109" s="49">
        <f t="shared" si="69"/>
        <v>2.5796940659340715</v>
      </c>
      <c r="Q1109" s="1">
        <f t="shared" si="70"/>
        <v>3.1071222109323653</v>
      </c>
      <c r="R1109" s="1">
        <f t="shared" si="72"/>
        <v>3.1890079868758714</v>
      </c>
      <c r="S1109" s="10">
        <f t="shared" si="71"/>
        <v>2.8434081384332188</v>
      </c>
      <c r="T1109" s="45" cm="1">
        <f t="array" ref="T1109">SUMPRODUCT(P1109:S1109 * P$3:S$3) / SUM(P$3:S$3)</f>
        <v>2.9371487416550339</v>
      </c>
    </row>
    <row r="1110" spans="1:20" ht="16.5" customHeight="1" x14ac:dyDescent="0.25">
      <c r="A1110" s="5" t="s">
        <v>6884</v>
      </c>
      <c r="B1110" s="20" t="s">
        <v>6195</v>
      </c>
      <c r="C1110" s="4" t="s">
        <v>8796</v>
      </c>
      <c r="D1110" s="4" t="s">
        <v>9035</v>
      </c>
      <c r="E1110" s="12" t="s">
        <v>407</v>
      </c>
      <c r="F1110" s="75" t="s">
        <v>6722</v>
      </c>
      <c r="G1110" s="3">
        <v>32</v>
      </c>
      <c r="H1110" s="3" t="s">
        <v>404</v>
      </c>
      <c r="I1110" s="13" t="s">
        <v>225</v>
      </c>
      <c r="J1110" s="72">
        <v>1.4</v>
      </c>
      <c r="K1110" s="14" t="s">
        <v>6175</v>
      </c>
      <c r="L1110" s="9">
        <v>142.9</v>
      </c>
      <c r="M1110" s="3">
        <v>177.31</v>
      </c>
      <c r="N1110" s="17" t="s">
        <v>6196</v>
      </c>
      <c r="O1110" s="18" t="s">
        <v>6194</v>
      </c>
      <c r="P1110" s="49">
        <f t="shared" si="69"/>
        <v>2.5873524993082109</v>
      </c>
      <c r="Q1110" s="1">
        <f t="shared" si="70"/>
        <v>3.1100170358199115</v>
      </c>
      <c r="R1110" s="1">
        <f t="shared" si="72"/>
        <v>3.1919028117634176</v>
      </c>
      <c r="S1110" s="10">
        <f t="shared" si="71"/>
        <v>2.8486847675640607</v>
      </c>
      <c r="T1110" s="45" cm="1">
        <f t="array" ref="T1110">SUMPRODUCT(P1110:S1110 * P$3:S$3) / SUM(P$3:S$3)</f>
        <v>2.9416925079417853</v>
      </c>
    </row>
    <row r="1111" spans="1:20" ht="16.5" customHeight="1" x14ac:dyDescent="0.25">
      <c r="A1111" s="5" t="s">
        <v>6884</v>
      </c>
      <c r="B1111" s="20" t="s">
        <v>6348</v>
      </c>
      <c r="C1111" s="4" t="s">
        <v>8796</v>
      </c>
      <c r="D1111" s="4" t="s">
        <v>9035</v>
      </c>
      <c r="E1111" s="12" t="s">
        <v>407</v>
      </c>
      <c r="F1111" s="75" t="s">
        <v>6722</v>
      </c>
      <c r="G1111" s="3">
        <v>32</v>
      </c>
      <c r="H1111" s="3" t="s">
        <v>404</v>
      </c>
      <c r="I1111" s="13" t="s">
        <v>6739</v>
      </c>
      <c r="J1111" s="72">
        <v>1.35</v>
      </c>
      <c r="K1111" s="14" t="s">
        <v>450</v>
      </c>
      <c r="L1111" s="9">
        <v>118.73</v>
      </c>
      <c r="M1111" s="3">
        <v>155.74</v>
      </c>
      <c r="N1111" s="17" t="s">
        <v>6349</v>
      </c>
      <c r="O1111" s="18" t="s">
        <v>6347</v>
      </c>
      <c r="P1111" s="49">
        <f t="shared" si="69"/>
        <v>2.5796940659340715</v>
      </c>
      <c r="Q1111" s="1">
        <f t="shared" si="70"/>
        <v>3.1071222109323653</v>
      </c>
      <c r="R1111" s="1">
        <f t="shared" si="72"/>
        <v>3.1890079868758714</v>
      </c>
      <c r="S1111" s="10">
        <f t="shared" si="71"/>
        <v>2.8434081384332188</v>
      </c>
      <c r="T1111" s="45" cm="1">
        <f t="array" ref="T1111">SUMPRODUCT(P1111:S1111 * P$3:S$3) / SUM(P$3:S$3)</f>
        <v>2.9371487416550339</v>
      </c>
    </row>
    <row r="1112" spans="1:20" ht="16.5" customHeight="1" x14ac:dyDescent="0.25">
      <c r="A1112" s="5" t="s">
        <v>6884</v>
      </c>
      <c r="B1112" s="20" t="s">
        <v>6351</v>
      </c>
      <c r="C1112" s="4" t="s">
        <v>8796</v>
      </c>
      <c r="D1112" s="4" t="s">
        <v>9035</v>
      </c>
      <c r="E1112" s="12" t="s">
        <v>407</v>
      </c>
      <c r="F1112" s="75" t="s">
        <v>6722</v>
      </c>
      <c r="G1112" s="3">
        <v>32</v>
      </c>
      <c r="H1112" s="3" t="s">
        <v>404</v>
      </c>
      <c r="I1112" s="13" t="s">
        <v>225</v>
      </c>
      <c r="J1112" s="72">
        <v>1.4</v>
      </c>
      <c r="K1112" s="14" t="s">
        <v>6175</v>
      </c>
      <c r="L1112" s="9">
        <v>138.13</v>
      </c>
      <c r="M1112" s="3">
        <v>218</v>
      </c>
      <c r="N1112" s="17" t="s">
        <v>6352</v>
      </c>
      <c r="O1112" s="18" t="s">
        <v>6350</v>
      </c>
      <c r="P1112" s="49">
        <f t="shared" si="69"/>
        <v>2.5873524993082109</v>
      </c>
      <c r="Q1112" s="1">
        <f t="shared" si="70"/>
        <v>3.1100170358199115</v>
      </c>
      <c r="R1112" s="1">
        <f t="shared" si="72"/>
        <v>3.1919028117634176</v>
      </c>
      <c r="S1112" s="10">
        <f t="shared" si="71"/>
        <v>2.8486847675640607</v>
      </c>
      <c r="T1112" s="45" cm="1">
        <f t="array" ref="T1112">SUMPRODUCT(P1112:S1112 * P$3:S$3) / SUM(P$3:S$3)</f>
        <v>2.9416925079417853</v>
      </c>
    </row>
    <row r="1113" spans="1:20" ht="16.5" customHeight="1" x14ac:dyDescent="0.25">
      <c r="A1113" s="5" t="s">
        <v>6884</v>
      </c>
      <c r="B1113" s="20" t="s">
        <v>6421</v>
      </c>
      <c r="C1113" s="4" t="s">
        <v>8796</v>
      </c>
      <c r="D1113" s="4" t="s">
        <v>9035</v>
      </c>
      <c r="E1113" s="12" t="s">
        <v>407</v>
      </c>
      <c r="F1113" s="75" t="s">
        <v>6722</v>
      </c>
      <c r="G1113" s="3">
        <v>32</v>
      </c>
      <c r="H1113" s="3" t="s">
        <v>404</v>
      </c>
      <c r="I1113" s="13" t="s">
        <v>6739</v>
      </c>
      <c r="J1113" s="72">
        <v>1.35</v>
      </c>
      <c r="K1113" s="14" t="s">
        <v>6175</v>
      </c>
      <c r="L1113" s="9">
        <v>114.99</v>
      </c>
      <c r="M1113" s="3">
        <v>156.15</v>
      </c>
      <c r="N1113" s="17" t="s">
        <v>6422</v>
      </c>
      <c r="O1113" s="18" t="s">
        <v>6420</v>
      </c>
      <c r="P1113" s="49">
        <f t="shared" si="69"/>
        <v>2.5796940659340715</v>
      </c>
      <c r="Q1113" s="1">
        <f t="shared" si="70"/>
        <v>3.1071222109323653</v>
      </c>
      <c r="R1113" s="1">
        <f t="shared" si="72"/>
        <v>3.1890079868758714</v>
      </c>
      <c r="S1113" s="10">
        <f t="shared" si="71"/>
        <v>2.8434081384332188</v>
      </c>
      <c r="T1113" s="45" cm="1">
        <f t="array" ref="T1113">SUMPRODUCT(P1113:S1113 * P$3:S$3) / SUM(P$3:S$3)</f>
        <v>2.9371487416550339</v>
      </c>
    </row>
    <row r="1114" spans="1:20" ht="16.5" customHeight="1" x14ac:dyDescent="0.25">
      <c r="A1114" s="5" t="s">
        <v>6884</v>
      </c>
      <c r="B1114" s="20" t="s">
        <v>6424</v>
      </c>
      <c r="C1114" s="4" t="s">
        <v>8796</v>
      </c>
      <c r="D1114" s="4" t="s">
        <v>9035</v>
      </c>
      <c r="E1114" s="12" t="s">
        <v>407</v>
      </c>
      <c r="F1114" s="75" t="s">
        <v>6722</v>
      </c>
      <c r="G1114" s="3">
        <v>32</v>
      </c>
      <c r="H1114" s="3" t="s">
        <v>404</v>
      </c>
      <c r="I1114" s="13" t="s">
        <v>225</v>
      </c>
      <c r="J1114" s="72">
        <v>1.4</v>
      </c>
      <c r="K1114" s="14" t="s">
        <v>6175</v>
      </c>
      <c r="L1114" s="9">
        <v>124.99</v>
      </c>
      <c r="M1114" s="3">
        <v>179.8</v>
      </c>
      <c r="N1114" s="17" t="s">
        <v>6425</v>
      </c>
      <c r="O1114" s="18" t="s">
        <v>6423</v>
      </c>
      <c r="P1114" s="49">
        <f t="shared" si="69"/>
        <v>2.5873524993082109</v>
      </c>
      <c r="Q1114" s="1">
        <f t="shared" si="70"/>
        <v>3.1100170358199115</v>
      </c>
      <c r="R1114" s="1">
        <f t="shared" si="72"/>
        <v>3.1919028117634176</v>
      </c>
      <c r="S1114" s="10">
        <f t="shared" si="71"/>
        <v>2.8486847675640607</v>
      </c>
      <c r="T1114" s="45" cm="1">
        <f t="array" ref="T1114">SUMPRODUCT(P1114:S1114 * P$3:S$3) / SUM(P$3:S$3)</f>
        <v>2.9416925079417853</v>
      </c>
    </row>
    <row r="1115" spans="1:20" ht="16.5" customHeight="1" x14ac:dyDescent="0.25">
      <c r="A1115" s="5" t="s">
        <v>6884</v>
      </c>
      <c r="B1115" s="20" t="s">
        <v>6427</v>
      </c>
      <c r="C1115" s="4" t="s">
        <v>8796</v>
      </c>
      <c r="D1115" s="4" t="s">
        <v>9035</v>
      </c>
      <c r="E1115" s="12" t="s">
        <v>407</v>
      </c>
      <c r="F1115" s="75" t="s">
        <v>6722</v>
      </c>
      <c r="G1115" s="3">
        <v>32</v>
      </c>
      <c r="H1115" s="3" t="s">
        <v>404</v>
      </c>
      <c r="I1115" s="13" t="s">
        <v>6741</v>
      </c>
      <c r="J1115" s="72">
        <v>1.4</v>
      </c>
      <c r="K1115" s="14" t="s">
        <v>6175</v>
      </c>
      <c r="L1115" s="9">
        <v>158.91</v>
      </c>
      <c r="M1115" s="3">
        <v>200.89</v>
      </c>
      <c r="N1115" s="17" t="s">
        <v>6428</v>
      </c>
      <c r="O1115" s="18" t="s">
        <v>6426</v>
      </c>
      <c r="P1115" s="49">
        <f t="shared" si="69"/>
        <v>2.5928655687135755</v>
      </c>
      <c r="Q1115" s="1">
        <f t="shared" si="70"/>
        <v>3.1127735705225943</v>
      </c>
      <c r="R1115" s="1">
        <f t="shared" si="72"/>
        <v>3.1946593464660999</v>
      </c>
      <c r="S1115" s="10">
        <f t="shared" si="71"/>
        <v>2.8528195696180845</v>
      </c>
      <c r="T1115" s="45" cm="1">
        <f t="array" ref="T1115">SUMPRODUCT(P1115:S1115 * P$3:S$3) / SUM(P$3:S$3)</f>
        <v>2.9454032277338578</v>
      </c>
    </row>
    <row r="1116" spans="1:20" ht="16.5" customHeight="1" x14ac:dyDescent="0.25">
      <c r="A1116" s="5" t="s">
        <v>6884</v>
      </c>
      <c r="B1116" s="20" t="s">
        <v>6484</v>
      </c>
      <c r="C1116" s="4" t="s">
        <v>8796</v>
      </c>
      <c r="D1116" s="4" t="s">
        <v>9035</v>
      </c>
      <c r="E1116" s="12" t="s">
        <v>407</v>
      </c>
      <c r="F1116" s="75" t="s">
        <v>6722</v>
      </c>
      <c r="G1116" s="3">
        <v>32</v>
      </c>
      <c r="H1116" s="3" t="s">
        <v>404</v>
      </c>
      <c r="I1116" s="13" t="s">
        <v>6739</v>
      </c>
      <c r="J1116" s="72">
        <v>1.35</v>
      </c>
      <c r="L1116" s="9">
        <v>99.99</v>
      </c>
      <c r="M1116" s="3">
        <v>146.80000000000001</v>
      </c>
      <c r="N1116" s="17" t="s">
        <v>6485</v>
      </c>
      <c r="O1116" s="18" t="s">
        <v>6483</v>
      </c>
      <c r="P1116" s="49">
        <f t="shared" si="69"/>
        <v>2.5796940659340715</v>
      </c>
      <c r="Q1116" s="1">
        <f t="shared" si="70"/>
        <v>3.1071222109323653</v>
      </c>
      <c r="R1116" s="1">
        <f t="shared" si="72"/>
        <v>3.1890079868758714</v>
      </c>
      <c r="S1116" s="10">
        <f t="shared" si="71"/>
        <v>2.8434081384332188</v>
      </c>
      <c r="T1116" s="45" cm="1">
        <f t="array" ref="T1116">SUMPRODUCT(P1116:S1116 * P$3:S$3) / SUM(P$3:S$3)</f>
        <v>2.9371487416550339</v>
      </c>
    </row>
    <row r="1117" spans="1:20" ht="16.5" customHeight="1" x14ac:dyDescent="0.25">
      <c r="A1117" s="5" t="s">
        <v>6884</v>
      </c>
      <c r="B1117" s="20" t="s">
        <v>6487</v>
      </c>
      <c r="C1117" s="4" t="s">
        <v>8796</v>
      </c>
      <c r="D1117" s="4" t="s">
        <v>9035</v>
      </c>
      <c r="E1117" s="12" t="s">
        <v>407</v>
      </c>
      <c r="F1117" s="75" t="s">
        <v>6722</v>
      </c>
      <c r="G1117" s="3">
        <v>32</v>
      </c>
      <c r="H1117" s="3" t="s">
        <v>404</v>
      </c>
      <c r="I1117" s="13" t="s">
        <v>225</v>
      </c>
      <c r="J1117" s="72">
        <v>1.4</v>
      </c>
      <c r="L1117" s="9">
        <v>114.99</v>
      </c>
      <c r="M1117" s="3">
        <v>171.6</v>
      </c>
      <c r="N1117" s="17" t="s">
        <v>6488</v>
      </c>
      <c r="O1117" s="18" t="s">
        <v>6486</v>
      </c>
      <c r="P1117" s="49">
        <f t="shared" si="69"/>
        <v>2.5873524993082109</v>
      </c>
      <c r="Q1117" s="1">
        <f t="shared" si="70"/>
        <v>3.1100170358199115</v>
      </c>
      <c r="R1117" s="1">
        <f t="shared" si="72"/>
        <v>3.1919028117634176</v>
      </c>
      <c r="S1117" s="10">
        <f t="shared" si="71"/>
        <v>2.8486847675640607</v>
      </c>
      <c r="T1117" s="45" cm="1">
        <f t="array" ref="T1117">SUMPRODUCT(P1117:S1117 * P$3:S$3) / SUM(P$3:S$3)</f>
        <v>2.9416925079417853</v>
      </c>
    </row>
    <row r="1118" spans="1:20" ht="16.5" customHeight="1" x14ac:dyDescent="0.25">
      <c r="A1118" s="5" t="s">
        <v>6884</v>
      </c>
      <c r="B1118" s="20" t="s">
        <v>6490</v>
      </c>
      <c r="C1118" s="4" t="s">
        <v>8796</v>
      </c>
      <c r="D1118" s="4" t="s">
        <v>9035</v>
      </c>
      <c r="E1118" s="12" t="s">
        <v>407</v>
      </c>
      <c r="F1118" s="75" t="s">
        <v>6722</v>
      </c>
      <c r="G1118" s="3">
        <v>32</v>
      </c>
      <c r="H1118" s="3" t="s">
        <v>404</v>
      </c>
      <c r="I1118" s="13" t="s">
        <v>6741</v>
      </c>
      <c r="J1118" s="72">
        <v>1.4</v>
      </c>
      <c r="L1118" s="9">
        <v>147.93</v>
      </c>
      <c r="M1118" s="3">
        <v>180.92</v>
      </c>
      <c r="N1118" s="17" t="s">
        <v>6491</v>
      </c>
      <c r="O1118" s="18" t="s">
        <v>6489</v>
      </c>
      <c r="P1118" s="49">
        <f t="shared" si="69"/>
        <v>2.5928655687135755</v>
      </c>
      <c r="Q1118" s="1">
        <f t="shared" si="70"/>
        <v>3.1127735705225943</v>
      </c>
      <c r="R1118" s="1">
        <f t="shared" si="72"/>
        <v>3.1946593464660999</v>
      </c>
      <c r="S1118" s="10">
        <f t="shared" si="71"/>
        <v>2.8528195696180845</v>
      </c>
      <c r="T1118" s="45" cm="1">
        <f t="array" ref="T1118">SUMPRODUCT(P1118:S1118 * P$3:S$3) / SUM(P$3:S$3)</f>
        <v>2.9454032277338578</v>
      </c>
    </row>
    <row r="1119" spans="1:20" ht="16.5" customHeight="1" x14ac:dyDescent="0.25">
      <c r="A1119" s="5" t="s">
        <v>6868</v>
      </c>
      <c r="B1119" s="20" t="s">
        <v>5889</v>
      </c>
      <c r="C1119" s="4" t="s">
        <v>8797</v>
      </c>
      <c r="D1119" s="4" t="s">
        <v>9035</v>
      </c>
      <c r="E1119" s="12" t="s">
        <v>407</v>
      </c>
      <c r="F1119" s="75" t="s">
        <v>6722</v>
      </c>
      <c r="G1119" s="3">
        <v>32</v>
      </c>
      <c r="H1119" s="3" t="s">
        <v>404</v>
      </c>
      <c r="I1119" s="13" t="s">
        <v>225</v>
      </c>
      <c r="J1119" s="72">
        <v>1.4</v>
      </c>
      <c r="L1119" s="9">
        <v>122.71</v>
      </c>
      <c r="M1119" s="3">
        <v>171.07</v>
      </c>
      <c r="N1119" s="17" t="s">
        <v>5890</v>
      </c>
      <c r="O1119" s="18" t="s">
        <v>5888</v>
      </c>
      <c r="P1119" s="49">
        <f t="shared" si="69"/>
        <v>2.5873524993082109</v>
      </c>
      <c r="Q1119" s="1">
        <f t="shared" si="70"/>
        <v>3.1100170358199115</v>
      </c>
      <c r="R1119" s="1">
        <f t="shared" si="72"/>
        <v>3.1919028117634176</v>
      </c>
      <c r="S1119" s="10">
        <f t="shared" si="71"/>
        <v>2.8486847675640607</v>
      </c>
      <c r="T1119" s="45" cm="1">
        <f t="array" ref="T1119">SUMPRODUCT(P1119:S1119 * P$3:S$3) / SUM(P$3:S$3)</f>
        <v>2.9416925079417853</v>
      </c>
    </row>
    <row r="1120" spans="1:20" ht="16.5" customHeight="1" x14ac:dyDescent="0.25">
      <c r="A1120" s="5" t="s">
        <v>6868</v>
      </c>
      <c r="B1120" s="20" t="s">
        <v>5919</v>
      </c>
      <c r="C1120" s="4" t="s">
        <v>8797</v>
      </c>
      <c r="D1120" s="4" t="s">
        <v>9035</v>
      </c>
      <c r="E1120" s="12" t="s">
        <v>407</v>
      </c>
      <c r="F1120" s="75" t="s">
        <v>6722</v>
      </c>
      <c r="G1120" s="3">
        <v>32</v>
      </c>
      <c r="H1120" s="3" t="s">
        <v>404</v>
      </c>
      <c r="I1120" s="13" t="s">
        <v>225</v>
      </c>
      <c r="J1120" s="72">
        <v>1.4</v>
      </c>
      <c r="L1120" s="9">
        <v>118.86</v>
      </c>
      <c r="M1120" s="3">
        <v>171.07</v>
      </c>
      <c r="N1120" s="17" t="s">
        <v>5920</v>
      </c>
      <c r="O1120" s="18" t="s">
        <v>5918</v>
      </c>
      <c r="P1120" s="49">
        <f t="shared" si="69"/>
        <v>2.5873524993082109</v>
      </c>
      <c r="Q1120" s="1">
        <f t="shared" si="70"/>
        <v>3.1100170358199115</v>
      </c>
      <c r="R1120" s="1">
        <f t="shared" si="72"/>
        <v>3.1919028117634176</v>
      </c>
      <c r="S1120" s="10">
        <f t="shared" si="71"/>
        <v>2.8486847675640607</v>
      </c>
      <c r="T1120" s="45" cm="1">
        <f t="array" ref="T1120">SUMPRODUCT(P1120:S1120 * P$3:S$3) / SUM(P$3:S$3)</f>
        <v>2.9416925079417853</v>
      </c>
    </row>
    <row r="1121" spans="1:20" ht="16.5" customHeight="1" x14ac:dyDescent="0.25">
      <c r="A1121" s="5" t="s">
        <v>6868</v>
      </c>
      <c r="B1121" s="20" t="s">
        <v>5921</v>
      </c>
      <c r="C1121" s="4" t="s">
        <v>8797</v>
      </c>
      <c r="D1121" s="4" t="s">
        <v>9035</v>
      </c>
      <c r="E1121" s="12" t="s">
        <v>407</v>
      </c>
      <c r="F1121" s="75" t="s">
        <v>6722</v>
      </c>
      <c r="G1121" s="3">
        <v>32</v>
      </c>
      <c r="H1121" s="3" t="s">
        <v>404</v>
      </c>
      <c r="I1121" s="13" t="s">
        <v>225</v>
      </c>
      <c r="J1121" s="72">
        <v>1.4</v>
      </c>
      <c r="L1121" s="9">
        <v>116.8</v>
      </c>
      <c r="M1121" s="3">
        <v>149.99</v>
      </c>
      <c r="N1121" s="17" t="s">
        <v>5922</v>
      </c>
      <c r="O1121" s="18" t="s">
        <v>5918</v>
      </c>
      <c r="P1121" s="49">
        <f t="shared" si="69"/>
        <v>2.5873524993082109</v>
      </c>
      <c r="Q1121" s="1">
        <f t="shared" si="70"/>
        <v>3.1100170358199115</v>
      </c>
      <c r="R1121" s="1">
        <f t="shared" si="72"/>
        <v>3.1919028117634176</v>
      </c>
      <c r="S1121" s="10">
        <f t="shared" si="71"/>
        <v>2.8486847675640607</v>
      </c>
      <c r="T1121" s="45" cm="1">
        <f t="array" ref="T1121">SUMPRODUCT(P1121:S1121 * P$3:S$3) / SUM(P$3:S$3)</f>
        <v>2.9416925079417853</v>
      </c>
    </row>
    <row r="1122" spans="1:20" ht="16.5" customHeight="1" x14ac:dyDescent="0.25">
      <c r="A1122" s="5" t="s">
        <v>6857</v>
      </c>
      <c r="B1122" s="20" t="s">
        <v>5743</v>
      </c>
      <c r="C1122" s="4" t="s">
        <v>8797</v>
      </c>
      <c r="D1122" s="4" t="s">
        <v>9035</v>
      </c>
      <c r="E1122" s="12" t="s">
        <v>407</v>
      </c>
      <c r="F1122" s="75" t="s">
        <v>6722</v>
      </c>
      <c r="G1122" s="3">
        <v>32</v>
      </c>
      <c r="H1122" s="3" t="s">
        <v>404</v>
      </c>
      <c r="I1122" s="13" t="s">
        <v>6739</v>
      </c>
      <c r="J1122" s="72">
        <v>1.35</v>
      </c>
      <c r="K1122" s="14" t="s">
        <v>5196</v>
      </c>
      <c r="L1122" s="9">
        <v>113.91</v>
      </c>
      <c r="M1122" s="3">
        <v>145</v>
      </c>
      <c r="N1122" s="17" t="s">
        <v>5744</v>
      </c>
      <c r="O1122" s="18" t="s">
        <v>5742</v>
      </c>
      <c r="P1122" s="49">
        <f t="shared" si="69"/>
        <v>2.5796940659340715</v>
      </c>
      <c r="Q1122" s="1">
        <f t="shared" si="70"/>
        <v>3.1071222109323653</v>
      </c>
      <c r="R1122" s="1">
        <f t="shared" si="72"/>
        <v>3.1890079868758714</v>
      </c>
      <c r="S1122" s="10">
        <f t="shared" si="71"/>
        <v>2.8434081384332188</v>
      </c>
      <c r="T1122" s="45" cm="1">
        <f t="array" ref="T1122">SUMPRODUCT(P1122:S1122 * P$3:S$3) / SUM(P$3:S$3)</f>
        <v>2.9371487416550339</v>
      </c>
    </row>
    <row r="1123" spans="1:20" ht="16.5" customHeight="1" x14ac:dyDescent="0.25">
      <c r="A1123" s="5" t="s">
        <v>6857</v>
      </c>
      <c r="B1123" s="20" t="s">
        <v>5746</v>
      </c>
      <c r="C1123" s="4" t="s">
        <v>8797</v>
      </c>
      <c r="D1123" s="4" t="s">
        <v>9035</v>
      </c>
      <c r="E1123" s="12" t="s">
        <v>407</v>
      </c>
      <c r="F1123" s="75" t="s">
        <v>6722</v>
      </c>
      <c r="G1123" s="3">
        <v>32</v>
      </c>
      <c r="H1123" s="3" t="s">
        <v>404</v>
      </c>
      <c r="I1123" s="13" t="s">
        <v>225</v>
      </c>
      <c r="J1123" s="72">
        <v>1.4</v>
      </c>
      <c r="K1123" s="14" t="s">
        <v>5196</v>
      </c>
      <c r="L1123" s="9">
        <v>124.02</v>
      </c>
      <c r="M1123" s="3">
        <v>149.99</v>
      </c>
      <c r="N1123" s="17" t="s">
        <v>5747</v>
      </c>
      <c r="O1123" s="18" t="s">
        <v>5745</v>
      </c>
      <c r="P1123" s="49">
        <f t="shared" si="69"/>
        <v>2.5873524993082109</v>
      </c>
      <c r="Q1123" s="1">
        <f t="shared" si="70"/>
        <v>3.1100170358199115</v>
      </c>
      <c r="R1123" s="1">
        <f t="shared" si="72"/>
        <v>3.1919028117634176</v>
      </c>
      <c r="S1123" s="10">
        <f t="shared" si="71"/>
        <v>2.8486847675640607</v>
      </c>
      <c r="T1123" s="45" cm="1">
        <f t="array" ref="T1123">SUMPRODUCT(P1123:S1123 * P$3:S$3) / SUM(P$3:S$3)</f>
        <v>2.9416925079417853</v>
      </c>
    </row>
    <row r="1124" spans="1:20" ht="16.5" customHeight="1" x14ac:dyDescent="0.25">
      <c r="A1124" s="5" t="s">
        <v>6857</v>
      </c>
      <c r="B1124" s="20" t="s">
        <v>5805</v>
      </c>
      <c r="C1124" s="4" t="s">
        <v>8797</v>
      </c>
      <c r="D1124" s="4" t="s">
        <v>9035</v>
      </c>
      <c r="E1124" s="12" t="s">
        <v>407</v>
      </c>
      <c r="F1124" s="75" t="s">
        <v>6722</v>
      </c>
      <c r="G1124" s="3">
        <v>32</v>
      </c>
      <c r="H1124" s="3" t="s">
        <v>404</v>
      </c>
      <c r="I1124" s="13" t="s">
        <v>6739</v>
      </c>
      <c r="J1124" s="72">
        <v>1.35</v>
      </c>
      <c r="K1124" s="14" t="s">
        <v>5196</v>
      </c>
      <c r="L1124" s="9">
        <v>115.09</v>
      </c>
      <c r="M1124" s="3">
        <v>177.83</v>
      </c>
      <c r="N1124" s="17" t="s">
        <v>5806</v>
      </c>
      <c r="O1124" s="18" t="s">
        <v>5804</v>
      </c>
      <c r="P1124" s="49">
        <f t="shared" si="69"/>
        <v>2.5796940659340715</v>
      </c>
      <c r="Q1124" s="1">
        <f t="shared" si="70"/>
        <v>3.1071222109323653</v>
      </c>
      <c r="R1124" s="1">
        <f t="shared" si="72"/>
        <v>3.1890079868758714</v>
      </c>
      <c r="S1124" s="10">
        <f t="shared" si="71"/>
        <v>2.8434081384332188</v>
      </c>
      <c r="T1124" s="45" cm="1">
        <f t="array" ref="T1124">SUMPRODUCT(P1124:S1124 * P$3:S$3) / SUM(P$3:S$3)</f>
        <v>2.9371487416550339</v>
      </c>
    </row>
    <row r="1125" spans="1:20" ht="16.5" customHeight="1" x14ac:dyDescent="0.25">
      <c r="A1125" s="5" t="s">
        <v>6857</v>
      </c>
      <c r="B1125" s="20" t="s">
        <v>5808</v>
      </c>
      <c r="C1125" s="4" t="s">
        <v>8797</v>
      </c>
      <c r="D1125" s="4" t="s">
        <v>9035</v>
      </c>
      <c r="E1125" s="12" t="s">
        <v>407</v>
      </c>
      <c r="F1125" s="75" t="s">
        <v>6722</v>
      </c>
      <c r="G1125" s="3">
        <v>32</v>
      </c>
      <c r="H1125" s="3" t="s">
        <v>404</v>
      </c>
      <c r="I1125" s="13" t="s">
        <v>225</v>
      </c>
      <c r="J1125" s="72">
        <v>1.4</v>
      </c>
      <c r="K1125" s="14" t="s">
        <v>5196</v>
      </c>
      <c r="L1125" s="9">
        <v>124.06</v>
      </c>
      <c r="M1125" s="3">
        <v>149.99</v>
      </c>
      <c r="N1125" s="17" t="s">
        <v>5809</v>
      </c>
      <c r="O1125" s="18" t="s">
        <v>5807</v>
      </c>
      <c r="P1125" s="49">
        <f t="shared" si="69"/>
        <v>2.5873524993082109</v>
      </c>
      <c r="Q1125" s="1">
        <f t="shared" si="70"/>
        <v>3.1100170358199115</v>
      </c>
      <c r="R1125" s="1">
        <f t="shared" si="72"/>
        <v>3.1919028117634176</v>
      </c>
      <c r="S1125" s="10">
        <f t="shared" si="71"/>
        <v>2.8486847675640607</v>
      </c>
      <c r="T1125" s="45" cm="1">
        <f t="array" ref="T1125">SUMPRODUCT(P1125:S1125 * P$3:S$3) / SUM(P$3:S$3)</f>
        <v>2.9416925079417853</v>
      </c>
    </row>
    <row r="1126" spans="1:20" ht="16.5" customHeight="1" x14ac:dyDescent="0.25">
      <c r="A1126" s="5" t="s">
        <v>6864</v>
      </c>
      <c r="B1126" s="20" t="s">
        <v>5844</v>
      </c>
      <c r="C1126" s="4" t="s">
        <v>8797</v>
      </c>
      <c r="D1126" s="4" t="s">
        <v>9035</v>
      </c>
      <c r="E1126" s="12" t="s">
        <v>407</v>
      </c>
      <c r="F1126" s="75" t="s">
        <v>6722</v>
      </c>
      <c r="G1126" s="3">
        <v>32</v>
      </c>
      <c r="H1126" s="3" t="s">
        <v>404</v>
      </c>
      <c r="I1126" s="13" t="s">
        <v>225</v>
      </c>
      <c r="J1126" s="72">
        <v>1.4</v>
      </c>
      <c r="K1126" s="14" t="s">
        <v>5196</v>
      </c>
      <c r="L1126" s="9">
        <v>132.24</v>
      </c>
      <c r="M1126" s="3">
        <v>143.80000000000001</v>
      </c>
      <c r="N1126" s="17" t="s">
        <v>5845</v>
      </c>
      <c r="O1126" s="18" t="s">
        <v>5843</v>
      </c>
      <c r="P1126" s="49">
        <f t="shared" si="69"/>
        <v>2.5873524993082109</v>
      </c>
      <c r="Q1126" s="1">
        <f t="shared" si="70"/>
        <v>3.1100170358199115</v>
      </c>
      <c r="R1126" s="1">
        <f t="shared" si="72"/>
        <v>3.1919028117634176</v>
      </c>
      <c r="S1126" s="10">
        <f t="shared" si="71"/>
        <v>2.8486847675640607</v>
      </c>
      <c r="T1126" s="45" cm="1">
        <f t="array" ref="T1126">SUMPRODUCT(P1126:S1126 * P$3:S$3) / SUM(P$3:S$3)</f>
        <v>2.9416925079417853</v>
      </c>
    </row>
    <row r="1127" spans="1:20" ht="16.5" customHeight="1" x14ac:dyDescent="0.25">
      <c r="A1127" s="5" t="s">
        <v>6836</v>
      </c>
      <c r="B1127" s="20" t="s">
        <v>5593</v>
      </c>
      <c r="C1127" s="4" t="s">
        <v>8797</v>
      </c>
      <c r="D1127" s="4" t="s">
        <v>9035</v>
      </c>
      <c r="E1127" s="12" t="s">
        <v>407</v>
      </c>
      <c r="F1127" s="75" t="s">
        <v>6722</v>
      </c>
      <c r="G1127" s="3">
        <v>32</v>
      </c>
      <c r="H1127" s="3" t="s">
        <v>404</v>
      </c>
      <c r="I1127" s="13" t="s">
        <v>6739</v>
      </c>
      <c r="J1127" s="72">
        <v>1.35</v>
      </c>
      <c r="L1127" s="9">
        <v>105.33</v>
      </c>
      <c r="M1127" s="3">
        <v>138.11000000000001</v>
      </c>
      <c r="N1127" s="17" t="s">
        <v>5594</v>
      </c>
      <c r="O1127" s="18" t="s">
        <v>5592</v>
      </c>
      <c r="P1127" s="49">
        <f t="shared" si="69"/>
        <v>2.5796940659340715</v>
      </c>
      <c r="Q1127" s="1">
        <f t="shared" si="70"/>
        <v>3.1071222109323653</v>
      </c>
      <c r="R1127" s="1">
        <f t="shared" si="72"/>
        <v>3.1890079868758714</v>
      </c>
      <c r="S1127" s="10">
        <f t="shared" si="71"/>
        <v>2.8434081384332188</v>
      </c>
      <c r="T1127" s="45" cm="1">
        <f t="array" ref="T1127">SUMPRODUCT(P1127:S1127 * P$3:S$3) / SUM(P$3:S$3)</f>
        <v>2.9371487416550339</v>
      </c>
    </row>
    <row r="1128" spans="1:20" ht="16.5" customHeight="1" x14ac:dyDescent="0.25">
      <c r="A1128" s="5" t="s">
        <v>6836</v>
      </c>
      <c r="B1128" s="20" t="s">
        <v>5678</v>
      </c>
      <c r="C1128" s="4" t="s">
        <v>8797</v>
      </c>
      <c r="D1128" s="4" t="s">
        <v>9035</v>
      </c>
      <c r="E1128" s="12" t="s">
        <v>407</v>
      </c>
      <c r="F1128" s="75" t="s">
        <v>6722</v>
      </c>
      <c r="G1128" s="3">
        <v>32</v>
      </c>
      <c r="H1128" s="3" t="s">
        <v>404</v>
      </c>
      <c r="I1128" s="13" t="s">
        <v>225</v>
      </c>
      <c r="J1128" s="72">
        <v>1.4</v>
      </c>
      <c r="L1128" s="9">
        <v>114.42</v>
      </c>
      <c r="M1128" s="3">
        <v>155.94999999999999</v>
      </c>
      <c r="N1128" s="17" t="s">
        <v>5679</v>
      </c>
      <c r="O1128" s="18" t="s">
        <v>5677</v>
      </c>
      <c r="P1128" s="49">
        <f t="shared" si="69"/>
        <v>2.5873524993082109</v>
      </c>
      <c r="Q1128" s="1">
        <f t="shared" si="70"/>
        <v>3.1100170358199115</v>
      </c>
      <c r="R1128" s="1">
        <f t="shared" si="72"/>
        <v>3.1919028117634176</v>
      </c>
      <c r="S1128" s="10">
        <f t="shared" si="71"/>
        <v>2.8486847675640607</v>
      </c>
      <c r="T1128" s="45" cm="1">
        <f t="array" ref="T1128">SUMPRODUCT(P1128:S1128 * P$3:S$3) / SUM(P$3:S$3)</f>
        <v>2.9416925079417853</v>
      </c>
    </row>
    <row r="1129" spans="1:20" ht="16.5" customHeight="1" x14ac:dyDescent="0.25">
      <c r="A1129" s="5" t="s">
        <v>6806</v>
      </c>
      <c r="B1129" s="20" t="s">
        <v>5159</v>
      </c>
      <c r="C1129" s="4" t="s">
        <v>8797</v>
      </c>
      <c r="D1129" s="4" t="s">
        <v>9035</v>
      </c>
      <c r="E1129" s="12" t="s">
        <v>407</v>
      </c>
      <c r="F1129" s="75" t="s">
        <v>6722</v>
      </c>
      <c r="G1129" s="3">
        <v>32</v>
      </c>
      <c r="H1129" s="3" t="s">
        <v>404</v>
      </c>
      <c r="I1129" s="13" t="s">
        <v>225</v>
      </c>
      <c r="J1129" s="72">
        <v>1.4</v>
      </c>
      <c r="L1129" s="9">
        <v>126.83</v>
      </c>
      <c r="M1129" s="3">
        <v>237</v>
      </c>
      <c r="N1129" s="17" t="s">
        <v>5160</v>
      </c>
      <c r="O1129" s="18" t="s">
        <v>5158</v>
      </c>
      <c r="P1129" s="49">
        <f t="shared" si="69"/>
        <v>2.5873524993082109</v>
      </c>
      <c r="Q1129" s="1">
        <f t="shared" si="70"/>
        <v>3.1100170358199115</v>
      </c>
      <c r="R1129" s="1">
        <f t="shared" si="72"/>
        <v>3.1919028117634176</v>
      </c>
      <c r="S1129" s="10">
        <f t="shared" si="71"/>
        <v>2.8486847675640607</v>
      </c>
      <c r="T1129" s="45" cm="1">
        <f t="array" ref="T1129">SUMPRODUCT(P1129:S1129 * P$3:S$3) / SUM(P$3:S$3)</f>
        <v>2.9416925079417853</v>
      </c>
    </row>
    <row r="1130" spans="1:20" ht="16.5" customHeight="1" x14ac:dyDescent="0.25">
      <c r="A1130" s="5" t="s">
        <v>6806</v>
      </c>
      <c r="B1130" s="20" t="s">
        <v>5183</v>
      </c>
      <c r="C1130" s="4" t="s">
        <v>8797</v>
      </c>
      <c r="D1130" s="4" t="s">
        <v>9035</v>
      </c>
      <c r="E1130" s="12" t="s">
        <v>407</v>
      </c>
      <c r="F1130" s="75" t="s">
        <v>6722</v>
      </c>
      <c r="G1130" s="3">
        <v>32</v>
      </c>
      <c r="H1130" s="3" t="s">
        <v>404</v>
      </c>
      <c r="I1130" s="13" t="s">
        <v>225</v>
      </c>
      <c r="J1130" s="72">
        <v>1.4</v>
      </c>
      <c r="L1130" s="9">
        <v>119.21</v>
      </c>
      <c r="M1130" s="3">
        <v>177</v>
      </c>
      <c r="N1130" s="17" t="s">
        <v>5184</v>
      </c>
      <c r="O1130" s="18" t="s">
        <v>5182</v>
      </c>
      <c r="P1130" s="49">
        <f t="shared" si="69"/>
        <v>2.5873524993082109</v>
      </c>
      <c r="Q1130" s="1">
        <f t="shared" si="70"/>
        <v>3.1100170358199115</v>
      </c>
      <c r="R1130" s="1">
        <f t="shared" si="72"/>
        <v>3.1919028117634176</v>
      </c>
      <c r="S1130" s="10">
        <f t="shared" si="71"/>
        <v>2.8486847675640607</v>
      </c>
      <c r="T1130" s="45" cm="1">
        <f t="array" ref="T1130">SUMPRODUCT(P1130:S1130 * P$3:S$3) / SUM(P$3:S$3)</f>
        <v>2.9416925079417853</v>
      </c>
    </row>
    <row r="1131" spans="1:20" ht="16.5" customHeight="1" x14ac:dyDescent="0.25">
      <c r="A1131" s="5" t="s">
        <v>6806</v>
      </c>
      <c r="B1131" s="20" t="s">
        <v>5217</v>
      </c>
      <c r="C1131" s="4" t="s">
        <v>8797</v>
      </c>
      <c r="D1131" s="4" t="s">
        <v>9035</v>
      </c>
      <c r="E1131" s="12" t="s">
        <v>407</v>
      </c>
      <c r="F1131" s="75" t="s">
        <v>6722</v>
      </c>
      <c r="G1131" s="3">
        <v>32</v>
      </c>
      <c r="H1131" s="3" t="s">
        <v>404</v>
      </c>
      <c r="I1131" s="13" t="s">
        <v>225</v>
      </c>
      <c r="J1131" s="72">
        <v>1.4</v>
      </c>
      <c r="K1131" s="14" t="s">
        <v>5196</v>
      </c>
      <c r="L1131" s="9">
        <v>151.01</v>
      </c>
      <c r="M1131" s="3">
        <v>217.76</v>
      </c>
      <c r="N1131" s="17" t="s">
        <v>5218</v>
      </c>
      <c r="O1131" s="18" t="s">
        <v>5216</v>
      </c>
      <c r="P1131" s="49">
        <f t="shared" si="69"/>
        <v>2.5873524993082109</v>
      </c>
      <c r="Q1131" s="1">
        <f t="shared" si="70"/>
        <v>3.1100170358199115</v>
      </c>
      <c r="R1131" s="1">
        <f t="shared" si="72"/>
        <v>3.1919028117634176</v>
      </c>
      <c r="S1131" s="10">
        <f t="shared" si="71"/>
        <v>2.8486847675640607</v>
      </c>
      <c r="T1131" s="45" cm="1">
        <f t="array" ref="T1131">SUMPRODUCT(P1131:S1131 * P$3:S$3) / SUM(P$3:S$3)</f>
        <v>2.9416925079417853</v>
      </c>
    </row>
    <row r="1132" spans="1:20" ht="16.5" customHeight="1" x14ac:dyDescent="0.25">
      <c r="A1132" s="5" t="s">
        <v>6806</v>
      </c>
      <c r="B1132" s="20" t="s">
        <v>5220</v>
      </c>
      <c r="C1132" s="4" t="s">
        <v>8797</v>
      </c>
      <c r="D1132" s="4" t="s">
        <v>9035</v>
      </c>
      <c r="E1132" s="12" t="s">
        <v>407</v>
      </c>
      <c r="F1132" s="75" t="s">
        <v>6722</v>
      </c>
      <c r="G1132" s="3">
        <v>32</v>
      </c>
      <c r="H1132" s="3" t="s">
        <v>404</v>
      </c>
      <c r="I1132" s="13" t="s">
        <v>6741</v>
      </c>
      <c r="J1132" s="72">
        <v>1.4</v>
      </c>
      <c r="K1132" s="14" t="s">
        <v>5196</v>
      </c>
      <c r="L1132" s="9">
        <v>153.80000000000001</v>
      </c>
      <c r="M1132" s="3">
        <v>181.9</v>
      </c>
      <c r="N1132" s="17" t="s">
        <v>5221</v>
      </c>
      <c r="O1132" s="18" t="s">
        <v>5219</v>
      </c>
      <c r="P1132" s="49">
        <f t="shared" si="69"/>
        <v>2.5928655687135755</v>
      </c>
      <c r="Q1132" s="1">
        <f t="shared" si="70"/>
        <v>3.1127735705225943</v>
      </c>
      <c r="R1132" s="1">
        <f t="shared" si="72"/>
        <v>3.1946593464660999</v>
      </c>
      <c r="S1132" s="10">
        <f t="shared" si="71"/>
        <v>2.8528195696180845</v>
      </c>
      <c r="T1132" s="45" cm="1">
        <f t="array" ref="T1132">SUMPRODUCT(P1132:S1132 * P$3:S$3) / SUM(P$3:S$3)</f>
        <v>2.9454032277338578</v>
      </c>
    </row>
    <row r="1133" spans="1:20" ht="16.5" customHeight="1" x14ac:dyDescent="0.25">
      <c r="A1133" s="5" t="s">
        <v>6806</v>
      </c>
      <c r="B1133" s="20" t="s">
        <v>5229</v>
      </c>
      <c r="C1133" s="4" t="s">
        <v>8797</v>
      </c>
      <c r="D1133" s="4" t="s">
        <v>9035</v>
      </c>
      <c r="E1133" s="12" t="s">
        <v>407</v>
      </c>
      <c r="F1133" s="75" t="s">
        <v>6722</v>
      </c>
      <c r="G1133" s="3">
        <v>32</v>
      </c>
      <c r="H1133" s="3" t="s">
        <v>404</v>
      </c>
      <c r="I1133" s="13" t="s">
        <v>6741</v>
      </c>
      <c r="J1133" s="72">
        <v>1.4</v>
      </c>
      <c r="K1133" s="14" t="s">
        <v>5196</v>
      </c>
      <c r="L1133" s="9">
        <v>161.47999999999999</v>
      </c>
      <c r="M1133" s="3">
        <v>210.78</v>
      </c>
      <c r="N1133" s="17" t="s">
        <v>5230</v>
      </c>
      <c r="O1133" s="18" t="s">
        <v>5228</v>
      </c>
      <c r="P1133" s="49">
        <f t="shared" si="69"/>
        <v>2.5928655687135755</v>
      </c>
      <c r="Q1133" s="1">
        <f t="shared" si="70"/>
        <v>3.1127735705225943</v>
      </c>
      <c r="R1133" s="1">
        <f t="shared" si="72"/>
        <v>3.1946593464660999</v>
      </c>
      <c r="S1133" s="10">
        <f t="shared" si="71"/>
        <v>2.8528195696180845</v>
      </c>
      <c r="T1133" s="45" cm="1">
        <f t="array" ref="T1133">SUMPRODUCT(P1133:S1133 * P$3:S$3) / SUM(P$3:S$3)</f>
        <v>2.9454032277338578</v>
      </c>
    </row>
    <row r="1134" spans="1:20" ht="16.5" customHeight="1" x14ac:dyDescent="0.25">
      <c r="A1134" s="5" t="s">
        <v>6806</v>
      </c>
      <c r="B1134" s="20" t="s">
        <v>5238</v>
      </c>
      <c r="C1134" s="4" t="s">
        <v>8797</v>
      </c>
      <c r="D1134" s="4" t="s">
        <v>9035</v>
      </c>
      <c r="E1134" s="12" t="s">
        <v>407</v>
      </c>
      <c r="F1134" s="75" t="s">
        <v>6722</v>
      </c>
      <c r="G1134" s="3">
        <v>32</v>
      </c>
      <c r="H1134" s="3" t="s">
        <v>404</v>
      </c>
      <c r="I1134" s="13" t="s">
        <v>6741</v>
      </c>
      <c r="J1134" s="72">
        <v>1.4</v>
      </c>
      <c r="K1134" s="14" t="s">
        <v>5196</v>
      </c>
      <c r="L1134" s="9">
        <v>178.64</v>
      </c>
      <c r="M1134" s="3">
        <v>214.99</v>
      </c>
      <c r="N1134" s="17" t="s">
        <v>5239</v>
      </c>
      <c r="O1134" s="18" t="s">
        <v>5237</v>
      </c>
      <c r="P1134" s="49">
        <f t="shared" si="69"/>
        <v>2.5928655687135755</v>
      </c>
      <c r="Q1134" s="1">
        <f t="shared" si="70"/>
        <v>3.1127735705225943</v>
      </c>
      <c r="R1134" s="1">
        <f t="shared" si="72"/>
        <v>3.1946593464660999</v>
      </c>
      <c r="S1134" s="10">
        <f t="shared" si="71"/>
        <v>2.8528195696180845</v>
      </c>
      <c r="T1134" s="45" cm="1">
        <f t="array" ref="T1134">SUMPRODUCT(P1134:S1134 * P$3:S$3) / SUM(P$3:S$3)</f>
        <v>2.9454032277338578</v>
      </c>
    </row>
    <row r="1135" spans="1:20" ht="16.5" customHeight="1" x14ac:dyDescent="0.25">
      <c r="A1135" s="5" t="s">
        <v>6806</v>
      </c>
      <c r="B1135" s="20" t="s">
        <v>5268</v>
      </c>
      <c r="C1135" s="4" t="s">
        <v>8797</v>
      </c>
      <c r="D1135" s="4" t="s">
        <v>9035</v>
      </c>
      <c r="E1135" s="12" t="s">
        <v>407</v>
      </c>
      <c r="F1135" s="75" t="s">
        <v>6722</v>
      </c>
      <c r="G1135" s="3">
        <v>32</v>
      </c>
      <c r="H1135" s="3" t="s">
        <v>404</v>
      </c>
      <c r="I1135" s="13" t="s">
        <v>225</v>
      </c>
      <c r="J1135" s="72">
        <v>1.4</v>
      </c>
      <c r="K1135" s="14" t="s">
        <v>5196</v>
      </c>
      <c r="L1135" s="9">
        <v>128.6</v>
      </c>
      <c r="M1135" s="3">
        <v>245.99</v>
      </c>
      <c r="N1135" s="17" t="s">
        <v>5269</v>
      </c>
      <c r="O1135" s="18" t="s">
        <v>5267</v>
      </c>
      <c r="P1135" s="49">
        <f t="shared" si="69"/>
        <v>2.5873524993082109</v>
      </c>
      <c r="Q1135" s="1">
        <f t="shared" si="70"/>
        <v>3.1100170358199115</v>
      </c>
      <c r="R1135" s="1">
        <f t="shared" si="72"/>
        <v>3.1919028117634176</v>
      </c>
      <c r="S1135" s="10">
        <f t="shared" si="71"/>
        <v>2.8486847675640607</v>
      </c>
      <c r="T1135" s="45" cm="1">
        <f t="array" ref="T1135">SUMPRODUCT(P1135:S1135 * P$3:S$3) / SUM(P$3:S$3)</f>
        <v>2.9416925079417853</v>
      </c>
    </row>
    <row r="1136" spans="1:20" ht="16.5" customHeight="1" x14ac:dyDescent="0.25">
      <c r="A1136" s="5" t="s">
        <v>6806</v>
      </c>
      <c r="B1136" s="20" t="s">
        <v>5271</v>
      </c>
      <c r="C1136" s="4" t="s">
        <v>8797</v>
      </c>
      <c r="D1136" s="4" t="s">
        <v>9035</v>
      </c>
      <c r="E1136" s="12" t="s">
        <v>407</v>
      </c>
      <c r="F1136" s="75" t="s">
        <v>6722</v>
      </c>
      <c r="G1136" s="3">
        <v>32</v>
      </c>
      <c r="H1136" s="3" t="s">
        <v>404</v>
      </c>
      <c r="I1136" s="13" t="s">
        <v>6741</v>
      </c>
      <c r="J1136" s="72">
        <v>1.4</v>
      </c>
      <c r="K1136" s="14" t="s">
        <v>5196</v>
      </c>
      <c r="L1136" s="9">
        <v>137.6</v>
      </c>
      <c r="M1136" s="3">
        <v>176.21</v>
      </c>
      <c r="N1136" s="17" t="s">
        <v>5272</v>
      </c>
      <c r="O1136" s="18" t="s">
        <v>5270</v>
      </c>
      <c r="P1136" s="49">
        <f t="shared" si="69"/>
        <v>2.5928655687135755</v>
      </c>
      <c r="Q1136" s="1">
        <f t="shared" si="70"/>
        <v>3.1127735705225943</v>
      </c>
      <c r="R1136" s="1">
        <f t="shared" si="72"/>
        <v>3.1946593464660999</v>
      </c>
      <c r="S1136" s="10">
        <f t="shared" si="71"/>
        <v>2.8528195696180845</v>
      </c>
      <c r="T1136" s="45" cm="1">
        <f t="array" ref="T1136">SUMPRODUCT(P1136:S1136 * P$3:S$3) / SUM(P$3:S$3)</f>
        <v>2.9454032277338578</v>
      </c>
    </row>
    <row r="1137" spans="1:20" ht="16.5" customHeight="1" x14ac:dyDescent="0.25">
      <c r="A1137" s="5" t="s">
        <v>6806</v>
      </c>
      <c r="B1137" s="20" t="s">
        <v>5313</v>
      </c>
      <c r="C1137" s="4" t="s">
        <v>8797</v>
      </c>
      <c r="D1137" s="4" t="s">
        <v>9035</v>
      </c>
      <c r="E1137" s="12" t="s">
        <v>407</v>
      </c>
      <c r="F1137" s="75" t="s">
        <v>6722</v>
      </c>
      <c r="G1137" s="3">
        <v>32</v>
      </c>
      <c r="H1137" s="3" t="s">
        <v>404</v>
      </c>
      <c r="I1137" s="13" t="s">
        <v>225</v>
      </c>
      <c r="J1137" s="72">
        <v>1.4</v>
      </c>
      <c r="K1137" s="14" t="s">
        <v>5196</v>
      </c>
      <c r="L1137" s="9">
        <v>121.73</v>
      </c>
      <c r="M1137" s="3">
        <v>183</v>
      </c>
      <c r="N1137" s="17" t="s">
        <v>5314</v>
      </c>
      <c r="O1137" s="18" t="s">
        <v>5312</v>
      </c>
      <c r="P1137" s="49">
        <f t="shared" si="69"/>
        <v>2.5873524993082109</v>
      </c>
      <c r="Q1137" s="1">
        <f t="shared" si="70"/>
        <v>3.1100170358199115</v>
      </c>
      <c r="R1137" s="1">
        <f t="shared" si="72"/>
        <v>3.1919028117634176</v>
      </c>
      <c r="S1137" s="10">
        <f t="shared" si="71"/>
        <v>2.8486847675640607</v>
      </c>
      <c r="T1137" s="45" cm="1">
        <f t="array" ref="T1137">SUMPRODUCT(P1137:S1137 * P$3:S$3) / SUM(P$3:S$3)</f>
        <v>2.9416925079417853</v>
      </c>
    </row>
    <row r="1138" spans="1:20" ht="16.5" customHeight="1" x14ac:dyDescent="0.25">
      <c r="A1138" s="5" t="s">
        <v>6806</v>
      </c>
      <c r="B1138" s="20" t="s">
        <v>5415</v>
      </c>
      <c r="C1138" s="4" t="s">
        <v>8797</v>
      </c>
      <c r="D1138" s="4" t="s">
        <v>9035</v>
      </c>
      <c r="E1138" s="12" t="s">
        <v>407</v>
      </c>
      <c r="F1138" s="75" t="s">
        <v>6722</v>
      </c>
      <c r="G1138" s="3">
        <v>32</v>
      </c>
      <c r="H1138" s="3" t="s">
        <v>404</v>
      </c>
      <c r="I1138" s="13" t="s">
        <v>225</v>
      </c>
      <c r="J1138" s="72">
        <v>1.4</v>
      </c>
      <c r="K1138" s="14" t="s">
        <v>5196</v>
      </c>
      <c r="L1138" s="9">
        <v>119.9</v>
      </c>
      <c r="M1138" s="3">
        <v>188</v>
      </c>
      <c r="N1138" s="17" t="s">
        <v>5416</v>
      </c>
      <c r="O1138" s="18" t="s">
        <v>5414</v>
      </c>
      <c r="P1138" s="49">
        <f t="shared" si="69"/>
        <v>2.5873524993082109</v>
      </c>
      <c r="Q1138" s="1">
        <f t="shared" si="70"/>
        <v>3.1100170358199115</v>
      </c>
      <c r="R1138" s="1">
        <f t="shared" si="72"/>
        <v>3.1919028117634176</v>
      </c>
      <c r="S1138" s="10">
        <f t="shared" si="71"/>
        <v>2.8486847675640607</v>
      </c>
      <c r="T1138" s="45" cm="1">
        <f t="array" ref="T1138">SUMPRODUCT(P1138:S1138 * P$3:S$3) / SUM(P$3:S$3)</f>
        <v>2.9416925079417853</v>
      </c>
    </row>
    <row r="1139" spans="1:20" ht="16.5" customHeight="1" x14ac:dyDescent="0.25">
      <c r="A1139" s="5" t="s">
        <v>6806</v>
      </c>
      <c r="B1139" s="20" t="s">
        <v>5418</v>
      </c>
      <c r="C1139" s="4" t="s">
        <v>8797</v>
      </c>
      <c r="D1139" s="4" t="s">
        <v>9035</v>
      </c>
      <c r="E1139" s="12" t="s">
        <v>407</v>
      </c>
      <c r="F1139" s="75" t="s">
        <v>6722</v>
      </c>
      <c r="G1139" s="3">
        <v>32</v>
      </c>
      <c r="H1139" s="3" t="s">
        <v>404</v>
      </c>
      <c r="I1139" s="13" t="s">
        <v>6741</v>
      </c>
      <c r="J1139" s="72">
        <v>1.4</v>
      </c>
      <c r="K1139" s="14" t="s">
        <v>5196</v>
      </c>
      <c r="L1139" s="9">
        <v>140.86000000000001</v>
      </c>
      <c r="M1139" s="3">
        <v>207.46</v>
      </c>
      <c r="N1139" s="17" t="s">
        <v>5419</v>
      </c>
      <c r="O1139" s="18" t="s">
        <v>5417</v>
      </c>
      <c r="P1139" s="49">
        <f t="shared" si="69"/>
        <v>2.5928655687135755</v>
      </c>
      <c r="Q1139" s="1">
        <f t="shared" si="70"/>
        <v>3.1127735705225943</v>
      </c>
      <c r="R1139" s="1">
        <f t="shared" si="72"/>
        <v>3.1946593464660999</v>
      </c>
      <c r="S1139" s="10">
        <f t="shared" si="71"/>
        <v>2.8528195696180845</v>
      </c>
      <c r="T1139" s="45" cm="1">
        <f t="array" ref="T1139">SUMPRODUCT(P1139:S1139 * P$3:S$3) / SUM(P$3:S$3)</f>
        <v>2.9454032277338578</v>
      </c>
    </row>
    <row r="1140" spans="1:20" ht="16.5" customHeight="1" x14ac:dyDescent="0.25">
      <c r="A1140" s="5" t="s">
        <v>6806</v>
      </c>
      <c r="B1140" s="20" t="s">
        <v>5488</v>
      </c>
      <c r="C1140" s="4" t="s">
        <v>8797</v>
      </c>
      <c r="D1140" s="4" t="s">
        <v>9035</v>
      </c>
      <c r="E1140" s="12" t="s">
        <v>407</v>
      </c>
      <c r="F1140" s="75" t="s">
        <v>6722</v>
      </c>
      <c r="G1140" s="3">
        <v>32</v>
      </c>
      <c r="H1140" s="3" t="s">
        <v>404</v>
      </c>
      <c r="I1140" s="13" t="s">
        <v>225</v>
      </c>
      <c r="J1140" s="72">
        <v>1.4</v>
      </c>
      <c r="K1140" s="14" t="s">
        <v>5476</v>
      </c>
      <c r="L1140" s="9">
        <v>140.74</v>
      </c>
      <c r="M1140" s="3">
        <v>264.17</v>
      </c>
      <c r="N1140" s="17" t="s">
        <v>5489</v>
      </c>
      <c r="O1140" s="18" t="s">
        <v>5487</v>
      </c>
      <c r="P1140" s="49">
        <f t="shared" si="69"/>
        <v>2.5873524993082109</v>
      </c>
      <c r="Q1140" s="1">
        <f t="shared" si="70"/>
        <v>3.1100170358199115</v>
      </c>
      <c r="R1140" s="1">
        <f t="shared" si="72"/>
        <v>3.1919028117634176</v>
      </c>
      <c r="S1140" s="10">
        <f t="shared" si="71"/>
        <v>2.8486847675640607</v>
      </c>
      <c r="T1140" s="45" cm="1">
        <f t="array" ref="T1140">SUMPRODUCT(P1140:S1140 * P$3:S$3) / SUM(P$3:S$3)</f>
        <v>2.9416925079417853</v>
      </c>
    </row>
    <row r="1141" spans="1:20" ht="16.5" customHeight="1" x14ac:dyDescent="0.25">
      <c r="A1141" s="5" t="s">
        <v>6806</v>
      </c>
      <c r="B1141" s="20" t="s">
        <v>5491</v>
      </c>
      <c r="C1141" s="4" t="s">
        <v>8797</v>
      </c>
      <c r="D1141" s="4" t="s">
        <v>9035</v>
      </c>
      <c r="E1141" s="12" t="s">
        <v>407</v>
      </c>
      <c r="F1141" s="75" t="s">
        <v>6722</v>
      </c>
      <c r="G1141" s="3">
        <v>32</v>
      </c>
      <c r="H1141" s="3" t="s">
        <v>404</v>
      </c>
      <c r="I1141" s="13" t="s">
        <v>6741</v>
      </c>
      <c r="J1141" s="72">
        <v>1.4</v>
      </c>
      <c r="K1141" s="14" t="s">
        <v>5476</v>
      </c>
      <c r="L1141" s="9">
        <v>139.4</v>
      </c>
      <c r="M1141" s="3">
        <v>193.52</v>
      </c>
      <c r="N1141" s="17" t="s">
        <v>5492</v>
      </c>
      <c r="O1141" s="18" t="s">
        <v>5490</v>
      </c>
      <c r="P1141" s="49">
        <f t="shared" si="69"/>
        <v>2.5928655687135755</v>
      </c>
      <c r="Q1141" s="1">
        <f t="shared" si="70"/>
        <v>3.1127735705225943</v>
      </c>
      <c r="R1141" s="1">
        <f t="shared" si="72"/>
        <v>3.1946593464660999</v>
      </c>
      <c r="S1141" s="10">
        <f t="shared" si="71"/>
        <v>2.8528195696180845</v>
      </c>
      <c r="T1141" s="45" cm="1">
        <f t="array" ref="T1141">SUMPRODUCT(P1141:S1141 * P$3:S$3) / SUM(P$3:S$3)</f>
        <v>2.9454032277338578</v>
      </c>
    </row>
    <row r="1142" spans="1:20" ht="16.5" customHeight="1" x14ac:dyDescent="0.25">
      <c r="A1142" s="5" t="s">
        <v>6806</v>
      </c>
      <c r="B1142" s="20" t="s">
        <v>5530</v>
      </c>
      <c r="C1142" s="4" t="s">
        <v>8797</v>
      </c>
      <c r="D1142" s="4" t="s">
        <v>9035</v>
      </c>
      <c r="E1142" s="12" t="s">
        <v>407</v>
      </c>
      <c r="F1142" s="75" t="s">
        <v>6722</v>
      </c>
      <c r="G1142" s="3">
        <v>32</v>
      </c>
      <c r="H1142" s="3" t="s">
        <v>404</v>
      </c>
      <c r="I1142" s="13" t="s">
        <v>225</v>
      </c>
      <c r="J1142" s="72">
        <v>1.4</v>
      </c>
      <c r="K1142" s="14" t="s">
        <v>5476</v>
      </c>
      <c r="L1142" s="9">
        <v>139.30000000000001</v>
      </c>
      <c r="M1142" s="3">
        <v>171.47</v>
      </c>
      <c r="N1142" s="17" t="s">
        <v>5531</v>
      </c>
      <c r="O1142" s="18" t="s">
        <v>5529</v>
      </c>
      <c r="P1142" s="49">
        <f t="shared" si="69"/>
        <v>2.5873524993082109</v>
      </c>
      <c r="Q1142" s="1">
        <f t="shared" si="70"/>
        <v>3.1100170358199115</v>
      </c>
      <c r="R1142" s="1">
        <f t="shared" si="72"/>
        <v>3.1919028117634176</v>
      </c>
      <c r="S1142" s="10">
        <f t="shared" si="71"/>
        <v>2.8486847675640607</v>
      </c>
      <c r="T1142" s="45" cm="1">
        <f t="array" ref="T1142">SUMPRODUCT(P1142:S1142 * P$3:S$3) / SUM(P$3:S$3)</f>
        <v>2.9416925079417853</v>
      </c>
    </row>
    <row r="1143" spans="1:20" ht="16.5" customHeight="1" x14ac:dyDescent="0.25">
      <c r="A1143" s="5" t="s">
        <v>6806</v>
      </c>
      <c r="B1143" s="20" t="s">
        <v>5533</v>
      </c>
      <c r="C1143" s="4" t="s">
        <v>8797</v>
      </c>
      <c r="D1143" s="4" t="s">
        <v>9035</v>
      </c>
      <c r="E1143" s="12" t="s">
        <v>407</v>
      </c>
      <c r="F1143" s="75" t="s">
        <v>6722</v>
      </c>
      <c r="G1143" s="3">
        <v>32</v>
      </c>
      <c r="H1143" s="3" t="s">
        <v>404</v>
      </c>
      <c r="I1143" s="13" t="s">
        <v>6741</v>
      </c>
      <c r="J1143" s="72">
        <v>1.4</v>
      </c>
      <c r="K1143" s="14" t="s">
        <v>5476</v>
      </c>
      <c r="L1143" s="9">
        <v>146.9</v>
      </c>
      <c r="M1143" s="3">
        <v>176.41</v>
      </c>
      <c r="N1143" s="17" t="s">
        <v>5534</v>
      </c>
      <c r="O1143" s="18" t="s">
        <v>5532</v>
      </c>
      <c r="P1143" s="49">
        <f t="shared" si="69"/>
        <v>2.5928655687135755</v>
      </c>
      <c r="Q1143" s="1">
        <f t="shared" si="70"/>
        <v>3.1127735705225943</v>
      </c>
      <c r="R1143" s="1">
        <f t="shared" si="72"/>
        <v>3.1946593464660999</v>
      </c>
      <c r="S1143" s="10">
        <f t="shared" si="71"/>
        <v>2.8528195696180845</v>
      </c>
      <c r="T1143" s="45" cm="1">
        <f t="array" ref="T1143">SUMPRODUCT(P1143:S1143 * P$3:S$3) / SUM(P$3:S$3)</f>
        <v>2.9454032277338578</v>
      </c>
    </row>
    <row r="1144" spans="1:20" ht="16.5" customHeight="1" x14ac:dyDescent="0.25">
      <c r="A1144" s="5" t="s">
        <v>6782</v>
      </c>
      <c r="B1144" s="20" t="s">
        <v>4588</v>
      </c>
      <c r="C1144" s="4" t="s">
        <v>8798</v>
      </c>
      <c r="D1144" s="4" t="s">
        <v>9035</v>
      </c>
      <c r="E1144" s="12" t="s">
        <v>407</v>
      </c>
      <c r="F1144" s="75" t="s">
        <v>6722</v>
      </c>
      <c r="G1144" s="3">
        <v>32</v>
      </c>
      <c r="H1144" s="3" t="s">
        <v>404</v>
      </c>
      <c r="I1144" s="13" t="s">
        <v>225</v>
      </c>
      <c r="J1144" s="72">
        <v>1.4</v>
      </c>
      <c r="L1144" s="9">
        <v>138.9</v>
      </c>
      <c r="M1144" s="3">
        <v>212.8</v>
      </c>
      <c r="N1144" s="17" t="s">
        <v>4589</v>
      </c>
      <c r="O1144" s="18" t="s">
        <v>4587</v>
      </c>
      <c r="P1144" s="49">
        <f t="shared" si="69"/>
        <v>2.5873524993082109</v>
      </c>
      <c r="Q1144" s="1">
        <f t="shared" si="70"/>
        <v>3.1100170358199115</v>
      </c>
      <c r="R1144" s="1">
        <f t="shared" si="72"/>
        <v>3.1919028117634176</v>
      </c>
      <c r="S1144" s="10">
        <f t="shared" si="71"/>
        <v>2.8486847675640607</v>
      </c>
      <c r="T1144" s="45" cm="1">
        <f t="array" ref="T1144">SUMPRODUCT(P1144:S1144 * P$3:S$3) / SUM(P$3:S$3)</f>
        <v>2.9416925079417853</v>
      </c>
    </row>
    <row r="1145" spans="1:20" ht="16.5" customHeight="1" x14ac:dyDescent="0.25">
      <c r="A1145" s="5" t="s">
        <v>6782</v>
      </c>
      <c r="B1145" s="20" t="s">
        <v>4590</v>
      </c>
      <c r="C1145" s="4" t="s">
        <v>8798</v>
      </c>
      <c r="D1145" s="4" t="s">
        <v>9035</v>
      </c>
      <c r="E1145" s="12" t="s">
        <v>407</v>
      </c>
      <c r="F1145" s="75" t="s">
        <v>6722</v>
      </c>
      <c r="G1145" s="3">
        <v>32</v>
      </c>
      <c r="H1145" s="3" t="s">
        <v>404</v>
      </c>
      <c r="I1145" s="13" t="s">
        <v>225</v>
      </c>
      <c r="J1145" s="72">
        <v>1.4</v>
      </c>
      <c r="L1145" s="9">
        <v>131.9</v>
      </c>
      <c r="M1145" s="3">
        <v>163.58000000000001</v>
      </c>
      <c r="N1145" s="17" t="s">
        <v>4591</v>
      </c>
      <c r="O1145" s="18" t="s">
        <v>4587</v>
      </c>
      <c r="P1145" s="49">
        <f t="shared" si="69"/>
        <v>2.5873524993082109</v>
      </c>
      <c r="Q1145" s="1">
        <f t="shared" si="70"/>
        <v>3.1100170358199115</v>
      </c>
      <c r="R1145" s="1">
        <f t="shared" si="72"/>
        <v>3.1919028117634176</v>
      </c>
      <c r="S1145" s="10">
        <f t="shared" si="71"/>
        <v>2.8486847675640607</v>
      </c>
      <c r="T1145" s="45" cm="1">
        <f t="array" ref="T1145">SUMPRODUCT(P1145:S1145 * P$3:S$3) / SUM(P$3:S$3)</f>
        <v>2.9416925079417853</v>
      </c>
    </row>
    <row r="1146" spans="1:20" ht="16.5" customHeight="1" x14ac:dyDescent="0.25">
      <c r="A1146" s="5" t="s">
        <v>6782</v>
      </c>
      <c r="B1146" s="20" t="s">
        <v>4705</v>
      </c>
      <c r="C1146" s="4" t="s">
        <v>8798</v>
      </c>
      <c r="D1146" s="4" t="s">
        <v>9035</v>
      </c>
      <c r="E1146" s="12" t="s">
        <v>407</v>
      </c>
      <c r="F1146" s="75" t="s">
        <v>6722</v>
      </c>
      <c r="G1146" s="3">
        <v>32</v>
      </c>
      <c r="H1146" s="3" t="s">
        <v>404</v>
      </c>
      <c r="I1146" s="13" t="s">
        <v>225</v>
      </c>
      <c r="J1146" s="72">
        <v>1.4</v>
      </c>
      <c r="L1146" s="9">
        <v>131.30000000000001</v>
      </c>
      <c r="M1146" s="3">
        <v>154.82</v>
      </c>
      <c r="N1146" s="17" t="s">
        <v>4706</v>
      </c>
      <c r="O1146" s="18" t="s">
        <v>4704</v>
      </c>
      <c r="P1146" s="49">
        <f t="shared" si="69"/>
        <v>2.5873524993082109</v>
      </c>
      <c r="Q1146" s="1">
        <f t="shared" si="70"/>
        <v>3.1100170358199115</v>
      </c>
      <c r="R1146" s="1">
        <f t="shared" si="72"/>
        <v>3.1919028117634176</v>
      </c>
      <c r="S1146" s="10">
        <f t="shared" si="71"/>
        <v>2.8486847675640607</v>
      </c>
      <c r="T1146" s="45" cm="1">
        <f t="array" ref="T1146">SUMPRODUCT(P1146:S1146 * P$3:S$3) / SUM(P$3:S$3)</f>
        <v>2.9416925079417853</v>
      </c>
    </row>
    <row r="1147" spans="1:20" ht="16.5" customHeight="1" x14ac:dyDescent="0.25">
      <c r="A1147" s="5" t="s">
        <v>6782</v>
      </c>
      <c r="B1147" s="20" t="s">
        <v>4707</v>
      </c>
      <c r="C1147" s="4" t="s">
        <v>8798</v>
      </c>
      <c r="D1147" s="4" t="s">
        <v>9035</v>
      </c>
      <c r="E1147" s="12" t="s">
        <v>407</v>
      </c>
      <c r="F1147" s="75" t="s">
        <v>6722</v>
      </c>
      <c r="G1147" s="3">
        <v>32</v>
      </c>
      <c r="H1147" s="3" t="s">
        <v>404</v>
      </c>
      <c r="I1147" s="13" t="s">
        <v>225</v>
      </c>
      <c r="J1147" s="72">
        <v>1.4</v>
      </c>
      <c r="L1147" s="9">
        <v>129.88</v>
      </c>
      <c r="M1147" s="3">
        <v>154.9</v>
      </c>
      <c r="N1147" s="17" t="s">
        <v>4708</v>
      </c>
      <c r="O1147" s="18" t="s">
        <v>4704</v>
      </c>
      <c r="P1147" s="49">
        <f t="shared" si="69"/>
        <v>2.5873524993082109</v>
      </c>
      <c r="Q1147" s="1">
        <f t="shared" si="70"/>
        <v>3.1100170358199115</v>
      </c>
      <c r="R1147" s="1">
        <f t="shared" si="72"/>
        <v>3.1919028117634176</v>
      </c>
      <c r="S1147" s="10">
        <f t="shared" si="71"/>
        <v>2.8486847675640607</v>
      </c>
      <c r="T1147" s="45" cm="1">
        <f t="array" ref="T1147">SUMPRODUCT(P1147:S1147 * P$3:S$3) / SUM(P$3:S$3)</f>
        <v>2.9416925079417853</v>
      </c>
    </row>
    <row r="1148" spans="1:20" ht="16.5" customHeight="1" x14ac:dyDescent="0.25">
      <c r="A1148" s="5" t="s">
        <v>6782</v>
      </c>
      <c r="B1148" s="20" t="s">
        <v>4887</v>
      </c>
      <c r="C1148" s="4" t="s">
        <v>8798</v>
      </c>
      <c r="D1148" s="4" t="s">
        <v>9035</v>
      </c>
      <c r="E1148" s="12" t="s">
        <v>407</v>
      </c>
      <c r="F1148" s="75" t="s">
        <v>6722</v>
      </c>
      <c r="G1148" s="3">
        <v>32</v>
      </c>
      <c r="H1148" s="3" t="s">
        <v>404</v>
      </c>
      <c r="I1148" s="13" t="s">
        <v>225</v>
      </c>
      <c r="J1148" s="72">
        <v>1.4</v>
      </c>
      <c r="K1148" s="14" t="s">
        <v>4847</v>
      </c>
      <c r="L1148" s="9">
        <v>143</v>
      </c>
      <c r="M1148" s="3">
        <v>203.79</v>
      </c>
      <c r="N1148" s="17" t="s">
        <v>4888</v>
      </c>
      <c r="O1148" s="18" t="s">
        <v>4886</v>
      </c>
      <c r="P1148" s="49">
        <f t="shared" si="69"/>
        <v>2.5873524993082109</v>
      </c>
      <c r="Q1148" s="1">
        <f t="shared" si="70"/>
        <v>3.1100170358199115</v>
      </c>
      <c r="R1148" s="1">
        <f t="shared" si="72"/>
        <v>3.1919028117634176</v>
      </c>
      <c r="S1148" s="10">
        <f t="shared" si="71"/>
        <v>2.8486847675640607</v>
      </c>
      <c r="T1148" s="45" cm="1">
        <f t="array" ref="T1148">SUMPRODUCT(P1148:S1148 * P$3:S$3) / SUM(P$3:S$3)</f>
        <v>2.9416925079417853</v>
      </c>
    </row>
    <row r="1149" spans="1:20" ht="16.5" customHeight="1" x14ac:dyDescent="0.25">
      <c r="A1149" s="5" t="s">
        <v>6782</v>
      </c>
      <c r="B1149" s="20" t="s">
        <v>4889</v>
      </c>
      <c r="C1149" s="4" t="s">
        <v>8798</v>
      </c>
      <c r="D1149" s="4" t="s">
        <v>9035</v>
      </c>
      <c r="E1149" s="12" t="s">
        <v>407</v>
      </c>
      <c r="F1149" s="75" t="s">
        <v>6722</v>
      </c>
      <c r="G1149" s="3">
        <v>32</v>
      </c>
      <c r="H1149" s="3" t="s">
        <v>404</v>
      </c>
      <c r="I1149" s="13" t="s">
        <v>225</v>
      </c>
      <c r="J1149" s="72">
        <v>1.4</v>
      </c>
      <c r="K1149" s="14" t="s">
        <v>4847</v>
      </c>
      <c r="L1149" s="9">
        <v>145.79</v>
      </c>
      <c r="M1149" s="3">
        <v>203.79</v>
      </c>
      <c r="N1149" s="17" t="s">
        <v>4890</v>
      </c>
      <c r="O1149" s="18" t="s">
        <v>4886</v>
      </c>
      <c r="P1149" s="49">
        <f t="shared" si="69"/>
        <v>2.5873524993082109</v>
      </c>
      <c r="Q1149" s="1">
        <f t="shared" si="70"/>
        <v>3.1100170358199115</v>
      </c>
      <c r="R1149" s="1">
        <f t="shared" si="72"/>
        <v>3.1919028117634176</v>
      </c>
      <c r="S1149" s="10">
        <f t="shared" si="71"/>
        <v>2.8486847675640607</v>
      </c>
      <c r="T1149" s="45" cm="1">
        <f t="array" ref="T1149">SUMPRODUCT(P1149:S1149 * P$3:S$3) / SUM(P$3:S$3)</f>
        <v>2.9416925079417853</v>
      </c>
    </row>
    <row r="1150" spans="1:20" ht="16.5" customHeight="1" x14ac:dyDescent="0.25">
      <c r="A1150" s="5" t="s">
        <v>6782</v>
      </c>
      <c r="B1150" s="20" t="s">
        <v>5021</v>
      </c>
      <c r="C1150" s="4" t="s">
        <v>8798</v>
      </c>
      <c r="D1150" s="4" t="s">
        <v>9035</v>
      </c>
      <c r="E1150" s="12" t="s">
        <v>407</v>
      </c>
      <c r="F1150" s="75" t="s">
        <v>6722</v>
      </c>
      <c r="G1150" s="3">
        <v>32</v>
      </c>
      <c r="H1150" s="3" t="s">
        <v>404</v>
      </c>
      <c r="I1150" s="13" t="s">
        <v>225</v>
      </c>
      <c r="J1150" s="72">
        <v>1.4</v>
      </c>
      <c r="K1150" s="14" t="s">
        <v>4847</v>
      </c>
      <c r="L1150" s="9">
        <v>141.19</v>
      </c>
      <c r="M1150" s="3">
        <v>211.94</v>
      </c>
      <c r="N1150" s="17" t="s">
        <v>5022</v>
      </c>
      <c r="O1150" s="18" t="s">
        <v>5020</v>
      </c>
      <c r="P1150" s="49">
        <f t="shared" si="69"/>
        <v>2.5873524993082109</v>
      </c>
      <c r="Q1150" s="1">
        <f t="shared" si="70"/>
        <v>3.1100170358199115</v>
      </c>
      <c r="R1150" s="1">
        <f t="shared" si="72"/>
        <v>3.1919028117634176</v>
      </c>
      <c r="S1150" s="10">
        <f t="shared" si="71"/>
        <v>2.8486847675640607</v>
      </c>
      <c r="T1150" s="45" cm="1">
        <f t="array" ref="T1150">SUMPRODUCT(P1150:S1150 * P$3:S$3) / SUM(P$3:S$3)</f>
        <v>2.9416925079417853</v>
      </c>
    </row>
    <row r="1151" spans="1:20" ht="16.5" customHeight="1" x14ac:dyDescent="0.25">
      <c r="A1151" s="5" t="s">
        <v>6782</v>
      </c>
      <c r="B1151" s="20" t="s">
        <v>5023</v>
      </c>
      <c r="C1151" s="4" t="s">
        <v>8798</v>
      </c>
      <c r="D1151" s="4" t="s">
        <v>9035</v>
      </c>
      <c r="E1151" s="12" t="s">
        <v>407</v>
      </c>
      <c r="F1151" s="75" t="s">
        <v>6722</v>
      </c>
      <c r="G1151" s="3">
        <v>32</v>
      </c>
      <c r="H1151" s="3" t="s">
        <v>404</v>
      </c>
      <c r="I1151" s="13" t="s">
        <v>225</v>
      </c>
      <c r="J1151" s="72">
        <v>1.4</v>
      </c>
      <c r="K1151" s="14" t="s">
        <v>4847</v>
      </c>
      <c r="L1151" s="9">
        <v>143</v>
      </c>
      <c r="M1151" s="3">
        <v>203.79</v>
      </c>
      <c r="N1151" s="17" t="s">
        <v>5024</v>
      </c>
      <c r="O1151" s="18" t="s">
        <v>5020</v>
      </c>
      <c r="P1151" s="49">
        <f t="shared" si="69"/>
        <v>2.5873524993082109</v>
      </c>
      <c r="Q1151" s="1">
        <f t="shared" si="70"/>
        <v>3.1100170358199115</v>
      </c>
      <c r="R1151" s="1">
        <f t="shared" si="72"/>
        <v>3.1919028117634176</v>
      </c>
      <c r="S1151" s="10">
        <f t="shared" si="71"/>
        <v>2.8486847675640607</v>
      </c>
      <c r="T1151" s="45" cm="1">
        <f t="array" ref="T1151">SUMPRODUCT(P1151:S1151 * P$3:S$3) / SUM(P$3:S$3)</f>
        <v>2.9416925079417853</v>
      </c>
    </row>
    <row r="1152" spans="1:20" ht="16.5" customHeight="1" x14ac:dyDescent="0.25">
      <c r="A1152" s="5" t="s">
        <v>6751</v>
      </c>
      <c r="B1152" s="20" t="s">
        <v>4342</v>
      </c>
      <c r="C1152" s="4" t="s">
        <v>8798</v>
      </c>
      <c r="D1152" s="4" t="s">
        <v>9035</v>
      </c>
      <c r="E1152" s="12" t="s">
        <v>407</v>
      </c>
      <c r="F1152" s="75" t="s">
        <v>6722</v>
      </c>
      <c r="G1152" s="3">
        <v>32</v>
      </c>
      <c r="H1152" s="3" t="s">
        <v>404</v>
      </c>
      <c r="I1152" s="13" t="s">
        <v>225</v>
      </c>
      <c r="J1152" s="72">
        <v>1.4</v>
      </c>
      <c r="L1152" s="9">
        <v>134.9</v>
      </c>
      <c r="M1152" s="3">
        <v>196.81</v>
      </c>
      <c r="N1152" s="17" t="s">
        <v>4343</v>
      </c>
      <c r="O1152" s="18" t="s">
        <v>4341</v>
      </c>
      <c r="P1152" s="49">
        <f t="shared" si="69"/>
        <v>2.5873524993082109</v>
      </c>
      <c r="Q1152" s="1">
        <f t="shared" si="70"/>
        <v>3.1100170358199115</v>
      </c>
      <c r="R1152" s="1">
        <f t="shared" si="72"/>
        <v>3.1919028117634176</v>
      </c>
      <c r="S1152" s="10">
        <f t="shared" si="71"/>
        <v>2.8486847675640607</v>
      </c>
      <c r="T1152" s="45" cm="1">
        <f t="array" ref="T1152">SUMPRODUCT(P1152:S1152 * P$3:S$3) / SUM(P$3:S$3)</f>
        <v>2.9416925079417853</v>
      </c>
    </row>
    <row r="1153" spans="1:20" ht="16.5" customHeight="1" x14ac:dyDescent="0.25">
      <c r="A1153" s="5" t="s">
        <v>6751</v>
      </c>
      <c r="B1153" s="20" t="s">
        <v>4393</v>
      </c>
      <c r="C1153" s="4" t="s">
        <v>8798</v>
      </c>
      <c r="D1153" s="4" t="s">
        <v>9035</v>
      </c>
      <c r="E1153" s="12" t="s">
        <v>407</v>
      </c>
      <c r="F1153" s="75" t="s">
        <v>6722</v>
      </c>
      <c r="G1153" s="3">
        <v>32</v>
      </c>
      <c r="H1153" s="3" t="s">
        <v>404</v>
      </c>
      <c r="I1153" s="13" t="s">
        <v>225</v>
      </c>
      <c r="J1153" s="72">
        <v>1.4</v>
      </c>
      <c r="L1153" s="9">
        <v>130.76</v>
      </c>
      <c r="M1153" s="3">
        <v>158.13</v>
      </c>
      <c r="N1153" s="17" t="s">
        <v>4394</v>
      </c>
      <c r="O1153" s="18" t="s">
        <v>4392</v>
      </c>
      <c r="P1153" s="49">
        <f t="shared" si="69"/>
        <v>2.5873524993082109</v>
      </c>
      <c r="Q1153" s="1">
        <f t="shared" si="70"/>
        <v>3.1100170358199115</v>
      </c>
      <c r="R1153" s="1">
        <f t="shared" si="72"/>
        <v>3.1919028117634176</v>
      </c>
      <c r="S1153" s="10">
        <f t="shared" si="71"/>
        <v>2.8486847675640607</v>
      </c>
      <c r="T1153" s="45" cm="1">
        <f t="array" ref="T1153">SUMPRODUCT(P1153:S1153 * P$3:S$3) / SUM(P$3:S$3)</f>
        <v>2.9416925079417853</v>
      </c>
    </row>
    <row r="1154" spans="1:20" ht="16.5" customHeight="1" x14ac:dyDescent="0.25">
      <c r="A1154" s="5" t="s">
        <v>6751</v>
      </c>
      <c r="B1154" s="20" t="s">
        <v>4451</v>
      </c>
      <c r="C1154" s="4" t="s">
        <v>8798</v>
      </c>
      <c r="D1154" s="4" t="s">
        <v>9035</v>
      </c>
      <c r="E1154" s="12" t="s">
        <v>407</v>
      </c>
      <c r="F1154" s="75" t="s">
        <v>6722</v>
      </c>
      <c r="G1154" s="3">
        <v>32</v>
      </c>
      <c r="H1154" s="3" t="s">
        <v>404</v>
      </c>
      <c r="I1154" s="13" t="s">
        <v>225</v>
      </c>
      <c r="J1154" s="72">
        <v>1.4</v>
      </c>
      <c r="K1154" s="14" t="s">
        <v>4436</v>
      </c>
      <c r="L1154" s="9">
        <v>143.9</v>
      </c>
      <c r="M1154" s="3">
        <v>206.1</v>
      </c>
      <c r="N1154" s="17" t="s">
        <v>4452</v>
      </c>
      <c r="O1154" s="18" t="s">
        <v>4450</v>
      </c>
      <c r="P1154" s="49">
        <f t="shared" si="69"/>
        <v>2.5873524993082109</v>
      </c>
      <c r="Q1154" s="1">
        <f t="shared" si="70"/>
        <v>3.1100170358199115</v>
      </c>
      <c r="R1154" s="1">
        <f t="shared" si="72"/>
        <v>3.1919028117634176</v>
      </c>
      <c r="S1154" s="10">
        <f t="shared" si="71"/>
        <v>2.8486847675640607</v>
      </c>
      <c r="T1154" s="45" cm="1">
        <f t="array" ref="T1154">SUMPRODUCT(P1154:S1154 * P$3:S$3) / SUM(P$3:S$3)</f>
        <v>2.9416925079417853</v>
      </c>
    </row>
    <row r="1155" spans="1:20" ht="16.5" customHeight="1" x14ac:dyDescent="0.25">
      <c r="A1155" s="5" t="s">
        <v>6751</v>
      </c>
      <c r="B1155" s="20" t="s">
        <v>4505</v>
      </c>
      <c r="C1155" s="4" t="s">
        <v>8798</v>
      </c>
      <c r="D1155" s="4" t="s">
        <v>9035</v>
      </c>
      <c r="E1155" s="12" t="s">
        <v>407</v>
      </c>
      <c r="F1155" s="75" t="s">
        <v>6722</v>
      </c>
      <c r="G1155" s="3">
        <v>32</v>
      </c>
      <c r="H1155" s="3" t="s">
        <v>404</v>
      </c>
      <c r="I1155" s="13" t="s">
        <v>225</v>
      </c>
      <c r="J1155" s="72">
        <v>1.4</v>
      </c>
      <c r="K1155" s="14" t="s">
        <v>4436</v>
      </c>
      <c r="L1155" s="9">
        <v>143.61000000000001</v>
      </c>
      <c r="M1155" s="3">
        <v>170.17</v>
      </c>
      <c r="N1155" s="17" t="s">
        <v>4506</v>
      </c>
      <c r="O1155" s="18" t="s">
        <v>4504</v>
      </c>
      <c r="P1155" s="49">
        <f t="shared" si="69"/>
        <v>2.5873524993082109</v>
      </c>
      <c r="Q1155" s="1">
        <f t="shared" si="70"/>
        <v>3.1100170358199115</v>
      </c>
      <c r="R1155" s="1">
        <f t="shared" si="72"/>
        <v>3.1919028117634176</v>
      </c>
      <c r="S1155" s="10">
        <f t="shared" si="71"/>
        <v>2.8486847675640607</v>
      </c>
      <c r="T1155" s="45" cm="1">
        <f t="array" ref="T1155">SUMPRODUCT(P1155:S1155 * P$3:S$3) / SUM(P$3:S$3)</f>
        <v>2.9416925079417853</v>
      </c>
    </row>
    <row r="1156" spans="1:20" ht="16.5" customHeight="1" x14ac:dyDescent="0.25">
      <c r="A1156" s="5" t="s">
        <v>6766</v>
      </c>
      <c r="B1156" s="20" t="s">
        <v>4399</v>
      </c>
      <c r="C1156" s="4" t="s">
        <v>8798</v>
      </c>
      <c r="D1156" s="4" t="s">
        <v>9036</v>
      </c>
      <c r="E1156" s="12" t="s">
        <v>407</v>
      </c>
      <c r="F1156" s="75" t="s">
        <v>6722</v>
      </c>
      <c r="G1156" s="3">
        <v>48</v>
      </c>
      <c r="H1156" s="3" t="s">
        <v>6736</v>
      </c>
      <c r="I1156" s="13" t="s">
        <v>225</v>
      </c>
      <c r="J1156" s="72">
        <v>1.4</v>
      </c>
      <c r="L1156" s="9">
        <v>183.5</v>
      </c>
      <c r="M1156" s="3">
        <v>270</v>
      </c>
      <c r="N1156" s="17" t="s">
        <v>4400</v>
      </c>
      <c r="O1156" s="18" t="s">
        <v>4398</v>
      </c>
      <c r="P1156" s="49">
        <f t="shared" si="69"/>
        <v>2.9739734178577737</v>
      </c>
      <c r="Q1156" s="1">
        <f t="shared" si="70"/>
        <v>3.7871735187578017</v>
      </c>
      <c r="R1156" s="1">
        <f t="shared" si="72"/>
        <v>3.9430235592034188</v>
      </c>
      <c r="S1156" s="10">
        <f t="shared" si="71"/>
        <v>3.3805734683077877</v>
      </c>
      <c r="T1156" s="45" cm="1">
        <f t="array" ref="T1156">SUMPRODUCT(P1156:S1156 * P$3:S$3) / SUM(P$3:S$3)</f>
        <v>3.5296581054378868</v>
      </c>
    </row>
    <row r="1157" spans="1:20" ht="16.5" customHeight="1" x14ac:dyDescent="0.25">
      <c r="A1157" s="5" t="s">
        <v>6766</v>
      </c>
      <c r="B1157" s="20" t="s">
        <v>4508</v>
      </c>
      <c r="C1157" s="4" t="s">
        <v>8798</v>
      </c>
      <c r="D1157" s="4" t="s">
        <v>9036</v>
      </c>
      <c r="E1157" s="12" t="s">
        <v>407</v>
      </c>
      <c r="F1157" s="75" t="s">
        <v>6722</v>
      </c>
      <c r="G1157" s="3">
        <v>48</v>
      </c>
      <c r="H1157" s="3" t="s">
        <v>6736</v>
      </c>
      <c r="I1157" s="13" t="s">
        <v>225</v>
      </c>
      <c r="J1157" s="72">
        <v>1.4</v>
      </c>
      <c r="K1157" s="14" t="s">
        <v>4436</v>
      </c>
      <c r="L1157" s="9">
        <v>200.9</v>
      </c>
      <c r="M1157" s="3">
        <v>257.01</v>
      </c>
      <c r="N1157" s="17" t="s">
        <v>4509</v>
      </c>
      <c r="O1157" s="18" t="s">
        <v>4507</v>
      </c>
      <c r="P1157" s="49">
        <f t="shared" si="69"/>
        <v>2.9739734178577737</v>
      </c>
      <c r="Q1157" s="1">
        <f t="shared" si="70"/>
        <v>3.7871735187578017</v>
      </c>
      <c r="R1157" s="1">
        <f t="shared" si="72"/>
        <v>3.9430235592034188</v>
      </c>
      <c r="S1157" s="10">
        <f t="shared" si="71"/>
        <v>3.3805734683077877</v>
      </c>
      <c r="T1157" s="45" cm="1">
        <f t="array" ref="T1157">SUMPRODUCT(P1157:S1157 * P$3:S$3) / SUM(P$3:S$3)</f>
        <v>3.5296581054378868</v>
      </c>
    </row>
    <row r="1158" spans="1:20" ht="16.5" customHeight="1" x14ac:dyDescent="0.25">
      <c r="A1158" s="5" t="s">
        <v>6914</v>
      </c>
      <c r="B1158" s="20" t="s">
        <v>6087</v>
      </c>
      <c r="C1158" s="4" t="s">
        <v>8796</v>
      </c>
      <c r="D1158" s="4" t="s">
        <v>9037</v>
      </c>
      <c r="E1158" s="12" t="s">
        <v>407</v>
      </c>
      <c r="F1158" s="75" t="s">
        <v>6722</v>
      </c>
      <c r="G1158" s="3">
        <v>48</v>
      </c>
      <c r="H1158" s="3" t="s">
        <v>404</v>
      </c>
      <c r="I1158" s="13" t="s">
        <v>6739</v>
      </c>
      <c r="J1158" s="72">
        <v>1.4</v>
      </c>
      <c r="L1158" s="9">
        <v>185.5</v>
      </c>
      <c r="M1158" s="3">
        <v>216.94</v>
      </c>
      <c r="N1158" s="17" t="s">
        <v>6088</v>
      </c>
      <c r="O1158" s="18" t="s">
        <v>6086</v>
      </c>
      <c r="P1158" s="49">
        <f t="shared" si="69"/>
        <v>2.9999341375463517</v>
      </c>
      <c r="Q1158" s="1">
        <f t="shared" si="70"/>
        <v>3.8087681860188636</v>
      </c>
      <c r="R1158" s="1">
        <f t="shared" si="72"/>
        <v>3.9610054378309236</v>
      </c>
      <c r="S1158" s="10">
        <f t="shared" si="71"/>
        <v>3.4043511617826079</v>
      </c>
      <c r="T1158" s="45" cm="1">
        <f t="array" ref="T1158">SUMPRODUCT(P1158:S1158 * P$3:S$3) / SUM(P$3:S$3)</f>
        <v>3.552208284903311</v>
      </c>
    </row>
    <row r="1159" spans="1:20" ht="16.5" customHeight="1" x14ac:dyDescent="0.25">
      <c r="A1159" s="5" t="s">
        <v>6914</v>
      </c>
      <c r="B1159" s="20" t="s">
        <v>6318</v>
      </c>
      <c r="C1159" s="4" t="s">
        <v>8796</v>
      </c>
      <c r="D1159" s="4" t="s">
        <v>9037</v>
      </c>
      <c r="E1159" s="12" t="s">
        <v>407</v>
      </c>
      <c r="F1159" s="75" t="s">
        <v>6722</v>
      </c>
      <c r="G1159" s="3">
        <v>48</v>
      </c>
      <c r="H1159" s="3" t="s">
        <v>404</v>
      </c>
      <c r="I1159" s="13" t="s">
        <v>6739</v>
      </c>
      <c r="J1159" s="72">
        <v>1.4</v>
      </c>
      <c r="K1159" s="14" t="s">
        <v>6175</v>
      </c>
      <c r="L1159" s="9">
        <v>215.9</v>
      </c>
      <c r="M1159" s="3">
        <v>228.26</v>
      </c>
      <c r="N1159" s="17" t="s">
        <v>6319</v>
      </c>
      <c r="O1159" s="18" t="s">
        <v>6317</v>
      </c>
      <c r="P1159" s="49">
        <f t="shared" si="69"/>
        <v>2.9999341375463517</v>
      </c>
      <c r="Q1159" s="1">
        <f t="shared" si="70"/>
        <v>3.8087681860188636</v>
      </c>
      <c r="R1159" s="1">
        <f t="shared" si="72"/>
        <v>3.9610054378309236</v>
      </c>
      <c r="S1159" s="10">
        <f t="shared" si="71"/>
        <v>3.4043511617826079</v>
      </c>
      <c r="T1159" s="45" cm="1">
        <f t="array" ref="T1159">SUMPRODUCT(P1159:S1159 * P$3:S$3) / SUM(P$3:S$3)</f>
        <v>3.552208284903311</v>
      </c>
    </row>
    <row r="1160" spans="1:20" ht="16.5" customHeight="1" x14ac:dyDescent="0.25">
      <c r="A1160" s="5" t="s">
        <v>6844</v>
      </c>
      <c r="B1160" s="20" t="s">
        <v>5663</v>
      </c>
      <c r="C1160" s="4" t="s">
        <v>8797</v>
      </c>
      <c r="D1160" s="4" t="s">
        <v>9037</v>
      </c>
      <c r="E1160" s="12" t="s">
        <v>407</v>
      </c>
      <c r="F1160" s="75" t="s">
        <v>6722</v>
      </c>
      <c r="G1160" s="3">
        <v>48</v>
      </c>
      <c r="H1160" s="3" t="s">
        <v>404</v>
      </c>
      <c r="I1160" s="13" t="s">
        <v>6739</v>
      </c>
      <c r="J1160" s="72">
        <v>1.4</v>
      </c>
      <c r="L1160" s="9">
        <v>147.46</v>
      </c>
      <c r="M1160" s="3">
        <v>203.87</v>
      </c>
      <c r="N1160" s="17" t="s">
        <v>5664</v>
      </c>
      <c r="O1160" s="18" t="s">
        <v>5662</v>
      </c>
      <c r="P1160" s="49">
        <f t="shared" si="69"/>
        <v>2.9999341375463517</v>
      </c>
      <c r="Q1160" s="1">
        <f t="shared" si="70"/>
        <v>3.8087681860188636</v>
      </c>
      <c r="R1160" s="1">
        <f t="shared" si="72"/>
        <v>3.9610054378309236</v>
      </c>
      <c r="S1160" s="10">
        <f t="shared" si="71"/>
        <v>3.4043511617826079</v>
      </c>
      <c r="T1160" s="45" cm="1">
        <f t="array" ref="T1160">SUMPRODUCT(P1160:S1160 * P$3:S$3) / SUM(P$3:S$3)</f>
        <v>3.552208284903311</v>
      </c>
    </row>
    <row r="1161" spans="1:20" ht="16.5" customHeight="1" x14ac:dyDescent="0.25">
      <c r="A1161" s="5" t="s">
        <v>6828</v>
      </c>
      <c r="B1161" s="20" t="s">
        <v>5385</v>
      </c>
      <c r="C1161" s="4" t="s">
        <v>8797</v>
      </c>
      <c r="D1161" s="4" t="s">
        <v>9037</v>
      </c>
      <c r="E1161" s="12" t="s">
        <v>407</v>
      </c>
      <c r="F1161" s="75" t="s">
        <v>6722</v>
      </c>
      <c r="G1161" s="3">
        <v>48</v>
      </c>
      <c r="H1161" s="3" t="s">
        <v>404</v>
      </c>
      <c r="I1161" s="13" t="s">
        <v>6739</v>
      </c>
      <c r="J1161" s="72">
        <v>1.4</v>
      </c>
      <c r="K1161" s="14" t="s">
        <v>5196</v>
      </c>
      <c r="L1161" s="9">
        <v>154.26</v>
      </c>
      <c r="M1161" s="3">
        <v>301.74</v>
      </c>
      <c r="N1161" s="17" t="s">
        <v>5386</v>
      </c>
      <c r="O1161" s="18" t="s">
        <v>5384</v>
      </c>
      <c r="P1161" s="49">
        <f t="shared" si="69"/>
        <v>2.9999341375463517</v>
      </c>
      <c r="Q1161" s="1">
        <f t="shared" si="70"/>
        <v>3.8087681860188636</v>
      </c>
      <c r="R1161" s="1">
        <f t="shared" si="72"/>
        <v>3.9610054378309236</v>
      </c>
      <c r="S1161" s="10">
        <f t="shared" si="71"/>
        <v>3.4043511617826079</v>
      </c>
      <c r="T1161" s="45" cm="1">
        <f t="array" ref="T1161">SUMPRODUCT(P1161:S1161 * P$3:S$3) / SUM(P$3:S$3)</f>
        <v>3.552208284903311</v>
      </c>
    </row>
    <row r="1162" spans="1:20" ht="16.5" customHeight="1" x14ac:dyDescent="0.25">
      <c r="A1162" s="5" t="s">
        <v>6828</v>
      </c>
      <c r="B1162" s="20" t="s">
        <v>5388</v>
      </c>
      <c r="C1162" s="4" t="s">
        <v>8797</v>
      </c>
      <c r="D1162" s="4" t="s">
        <v>9037</v>
      </c>
      <c r="E1162" s="12" t="s">
        <v>407</v>
      </c>
      <c r="F1162" s="75" t="s">
        <v>6722</v>
      </c>
      <c r="G1162" s="3">
        <v>48</v>
      </c>
      <c r="H1162" s="3" t="s">
        <v>404</v>
      </c>
      <c r="I1162" s="13" t="s">
        <v>225</v>
      </c>
      <c r="J1162" s="72">
        <v>1.35</v>
      </c>
      <c r="K1162" s="14" t="s">
        <v>5196</v>
      </c>
      <c r="L1162" s="9">
        <v>170.5</v>
      </c>
      <c r="M1162" s="3">
        <v>268.58</v>
      </c>
      <c r="N1162" s="17" t="s">
        <v>5389</v>
      </c>
      <c r="O1162" s="18" t="s">
        <v>5387</v>
      </c>
      <c r="P1162" s="49">
        <f t="shared" ref="P1162:P1225" si="73">(((F1162/F$9)^F$7 * F$2 + (I1162/I$9)^I$7 * I$2 + (J1162/J$9)^J$7 * J$2) * (1+M$3*(MIN(H1162,M$2)-1)+M$4*(H1162-MIN(H1162,M$2))) + (G1162/G$9)^G$7 * G$2)  * P$9</f>
        <v>3.0113301381185833</v>
      </c>
      <c r="Q1162" s="1">
        <f t="shared" ref="Q1162:Q1225" si="74">(((F1162/F$9)^F$7 * F$3 + (I1162/I$9)^I$7 * I$3 + (J1162/J$9)^J$7 * J$3) * (1+M$3*(MIN(H1162,M$2)-1)+M$4*(H1162-MIN(H1162,M$2))) + (G1162/G$9)^G$7 * G$3)  * P$9</f>
        <v>3.8154005781045024</v>
      </c>
      <c r="R1162" s="1">
        <f t="shared" si="72"/>
        <v>3.9676378299165624</v>
      </c>
      <c r="S1162" s="10">
        <f t="shared" ref="S1162:S1225" si="75">(((F1162/F$9)^F$7 * F$5 + (I1162/I$9)^I$7 * I$5 + (J1162/J$9)^J$7 * J$5) * (1+M$3*(MIN(H1162,M$2)-1)+M$4*(H1162-MIN(H1162,M$2))) + (G1162/G$9)^G$7 * G$5)  * P$9</f>
        <v>3.4133653581115428</v>
      </c>
      <c r="T1162" s="45" cm="1">
        <f t="array" ref="T1162">SUMPRODUCT(P1162:S1162 * P$3:S$3) / SUM(P$3:S$3)</f>
        <v>3.5604896183881554</v>
      </c>
    </row>
    <row r="1163" spans="1:20" ht="16.5" customHeight="1" x14ac:dyDescent="0.25">
      <c r="A1163" s="5" t="s">
        <v>6828</v>
      </c>
      <c r="B1163" s="20" t="s">
        <v>5482</v>
      </c>
      <c r="C1163" s="4" t="s">
        <v>8797</v>
      </c>
      <c r="D1163" s="4" t="s">
        <v>9037</v>
      </c>
      <c r="E1163" s="12" t="s">
        <v>407</v>
      </c>
      <c r="F1163" s="75" t="s">
        <v>6722</v>
      </c>
      <c r="G1163" s="3">
        <v>48</v>
      </c>
      <c r="H1163" s="3" t="s">
        <v>404</v>
      </c>
      <c r="I1163" s="13" t="s">
        <v>225</v>
      </c>
      <c r="J1163" s="72">
        <v>1.35</v>
      </c>
      <c r="K1163" s="14" t="s">
        <v>5476</v>
      </c>
      <c r="L1163" s="9">
        <v>172.4</v>
      </c>
      <c r="M1163" s="3">
        <v>228.96</v>
      </c>
      <c r="N1163" s="17" t="s">
        <v>5483</v>
      </c>
      <c r="O1163" s="18" t="s">
        <v>5481</v>
      </c>
      <c r="P1163" s="49">
        <f t="shared" si="73"/>
        <v>3.0113301381185833</v>
      </c>
      <c r="Q1163" s="1">
        <f t="shared" si="74"/>
        <v>3.8154005781045024</v>
      </c>
      <c r="R1163" s="1">
        <f t="shared" si="72"/>
        <v>3.9676378299165624</v>
      </c>
      <c r="S1163" s="10">
        <f t="shared" si="75"/>
        <v>3.4133653581115428</v>
      </c>
      <c r="T1163" s="45" cm="1">
        <f t="array" ref="T1163">SUMPRODUCT(P1163:S1163 * P$3:S$3) / SUM(P$3:S$3)</f>
        <v>3.5604896183881554</v>
      </c>
    </row>
    <row r="1164" spans="1:20" ht="16.5" customHeight="1" x14ac:dyDescent="0.25">
      <c r="A1164" s="5" t="s">
        <v>6828</v>
      </c>
      <c r="B1164" s="20" t="s">
        <v>5515</v>
      </c>
      <c r="C1164" s="4" t="s">
        <v>8797</v>
      </c>
      <c r="D1164" s="4" t="s">
        <v>9037</v>
      </c>
      <c r="E1164" s="12" t="s">
        <v>407</v>
      </c>
      <c r="F1164" s="75" t="s">
        <v>6722</v>
      </c>
      <c r="G1164" s="3">
        <v>48</v>
      </c>
      <c r="H1164" s="3" t="s">
        <v>404</v>
      </c>
      <c r="I1164" s="13" t="s">
        <v>225</v>
      </c>
      <c r="J1164" s="72">
        <v>1.35</v>
      </c>
      <c r="K1164" s="14" t="s">
        <v>5476</v>
      </c>
      <c r="L1164" s="9">
        <v>170.9</v>
      </c>
      <c r="M1164" s="3">
        <v>235.5</v>
      </c>
      <c r="N1164" s="17" t="s">
        <v>5516</v>
      </c>
      <c r="O1164" s="18" t="s">
        <v>5514</v>
      </c>
      <c r="P1164" s="49">
        <f t="shared" si="73"/>
        <v>3.0113301381185833</v>
      </c>
      <c r="Q1164" s="1">
        <f t="shared" si="74"/>
        <v>3.8154005781045024</v>
      </c>
      <c r="R1164" s="1">
        <f t="shared" si="72"/>
        <v>3.9676378299165624</v>
      </c>
      <c r="S1164" s="10">
        <f t="shared" si="75"/>
        <v>3.4133653581115428</v>
      </c>
      <c r="T1164" s="45" cm="1">
        <f t="array" ref="T1164">SUMPRODUCT(P1164:S1164 * P$3:S$3) / SUM(P$3:S$3)</f>
        <v>3.5604896183881554</v>
      </c>
    </row>
    <row r="1165" spans="1:20" ht="16.5" customHeight="1" x14ac:dyDescent="0.25">
      <c r="A1165" s="5" t="s">
        <v>6762</v>
      </c>
      <c r="B1165" s="20" t="s">
        <v>4378</v>
      </c>
      <c r="C1165" s="4" t="s">
        <v>8798</v>
      </c>
      <c r="D1165" s="4" t="s">
        <v>9037</v>
      </c>
      <c r="E1165" s="12" t="s">
        <v>407</v>
      </c>
      <c r="F1165" s="75" t="s">
        <v>6722</v>
      </c>
      <c r="G1165" s="3">
        <v>48</v>
      </c>
      <c r="H1165" s="3" t="s">
        <v>404</v>
      </c>
      <c r="I1165" s="13" t="s">
        <v>225</v>
      </c>
      <c r="J1165" s="72">
        <v>1.4</v>
      </c>
      <c r="L1165" s="9">
        <v>277.42</v>
      </c>
      <c r="M1165" s="3">
        <v>289.76</v>
      </c>
      <c r="N1165" s="17" t="s">
        <v>4379</v>
      </c>
      <c r="O1165" s="18" t="s">
        <v>4377</v>
      </c>
      <c r="P1165" s="49">
        <f t="shared" si="73"/>
        <v>3.0094613545195372</v>
      </c>
      <c r="Q1165" s="1">
        <f t="shared" si="74"/>
        <v>3.8135317945054563</v>
      </c>
      <c r="R1165" s="1">
        <f t="shared" si="72"/>
        <v>3.9657690463175164</v>
      </c>
      <c r="S1165" s="10">
        <f t="shared" si="75"/>
        <v>3.4114965745124968</v>
      </c>
      <c r="T1165" s="45" cm="1">
        <f t="array" ref="T1165">SUMPRODUCT(P1165:S1165 * P$3:S$3) / SUM(P$3:S$3)</f>
        <v>3.5586208347891093</v>
      </c>
    </row>
    <row r="1166" spans="1:20" ht="16.5" customHeight="1" x14ac:dyDescent="0.25">
      <c r="A1166" s="5" t="s">
        <v>6956</v>
      </c>
      <c r="B1166" s="20" t="s">
        <v>6655</v>
      </c>
      <c r="C1166" s="4" t="s">
        <v>8796</v>
      </c>
      <c r="D1166" s="4" t="s">
        <v>9038</v>
      </c>
      <c r="E1166" s="12" t="s">
        <v>407</v>
      </c>
      <c r="F1166" s="75" t="s">
        <v>6722</v>
      </c>
      <c r="G1166" s="3">
        <v>64</v>
      </c>
      <c r="H1166" s="3" t="s">
        <v>404</v>
      </c>
      <c r="I1166" s="13" t="s">
        <v>225</v>
      </c>
      <c r="J1166" s="72">
        <v>1.4</v>
      </c>
      <c r="K1166" s="14" t="s">
        <v>6633</v>
      </c>
      <c r="L1166" s="9">
        <v>279</v>
      </c>
      <c r="M1166" s="3">
        <v>357.06</v>
      </c>
      <c r="N1166" s="17" t="s">
        <v>6656</v>
      </c>
      <c r="O1166" s="18" t="s">
        <v>6652</v>
      </c>
      <c r="P1166" s="49">
        <f t="shared" si="73"/>
        <v>3.3905456961753568</v>
      </c>
      <c r="Q1166" s="1">
        <f t="shared" si="74"/>
        <v>4.4486723639318217</v>
      </c>
      <c r="R1166" s="1">
        <f t="shared" si="72"/>
        <v>4.6644236726865191</v>
      </c>
      <c r="S1166" s="10">
        <f t="shared" si="75"/>
        <v>3.9196090300535893</v>
      </c>
      <c r="T1166" s="45" cm="1">
        <f t="array" ref="T1166">SUMPRODUCT(P1166:S1166 * P$3:S$3) / SUM(P$3:S$3)</f>
        <v>4.1155902572091527</v>
      </c>
    </row>
    <row r="1167" spans="1:20" ht="16.5" customHeight="1" x14ac:dyDescent="0.25">
      <c r="A1167" s="5" t="s">
        <v>6934</v>
      </c>
      <c r="B1167" s="20" t="s">
        <v>6541</v>
      </c>
      <c r="C1167" s="4" t="s">
        <v>8796</v>
      </c>
      <c r="D1167" s="4" t="s">
        <v>9038</v>
      </c>
      <c r="E1167" s="12" t="s">
        <v>407</v>
      </c>
      <c r="F1167" s="75" t="s">
        <v>6722</v>
      </c>
      <c r="G1167" s="3">
        <v>64</v>
      </c>
      <c r="H1167" s="3" t="s">
        <v>404</v>
      </c>
      <c r="I1167" s="13" t="s">
        <v>225</v>
      </c>
      <c r="J1167" s="72">
        <v>1.4</v>
      </c>
      <c r="K1167" s="14" t="s">
        <v>6530</v>
      </c>
      <c r="L1167" s="9">
        <v>283.41000000000003</v>
      </c>
      <c r="M1167" s="3">
        <v>364.9</v>
      </c>
      <c r="N1167" s="17" t="s">
        <v>6542</v>
      </c>
      <c r="O1167" s="18" t="s">
        <v>6538</v>
      </c>
      <c r="P1167" s="49">
        <f t="shared" si="73"/>
        <v>3.3905456961753568</v>
      </c>
      <c r="Q1167" s="1">
        <f t="shared" si="74"/>
        <v>4.4486723639318217</v>
      </c>
      <c r="R1167" s="1">
        <f t="shared" si="72"/>
        <v>4.6644236726865191</v>
      </c>
      <c r="S1167" s="10">
        <f t="shared" si="75"/>
        <v>3.9196090300535893</v>
      </c>
      <c r="T1167" s="45" cm="1">
        <f t="array" ref="T1167">SUMPRODUCT(P1167:S1167 * P$3:S$3) / SUM(P$3:S$3)</f>
        <v>4.1155902572091527</v>
      </c>
    </row>
    <row r="1168" spans="1:20" ht="16.5" customHeight="1" x14ac:dyDescent="0.25">
      <c r="A1168" s="5" t="s">
        <v>6934</v>
      </c>
      <c r="B1168" s="20" t="s">
        <v>6593</v>
      </c>
      <c r="C1168" s="4" t="s">
        <v>8796</v>
      </c>
      <c r="D1168" s="4" t="s">
        <v>9038</v>
      </c>
      <c r="E1168" s="12" t="s">
        <v>407</v>
      </c>
      <c r="F1168" s="75" t="s">
        <v>6722</v>
      </c>
      <c r="G1168" s="3">
        <v>64</v>
      </c>
      <c r="H1168" s="3" t="s">
        <v>404</v>
      </c>
      <c r="I1168" s="13" t="s">
        <v>225</v>
      </c>
      <c r="J1168" s="72">
        <v>1.4</v>
      </c>
      <c r="K1168" s="14" t="s">
        <v>6530</v>
      </c>
      <c r="L1168" s="9">
        <v>295.58999999999997</v>
      </c>
      <c r="M1168" s="3">
        <v>368.93</v>
      </c>
      <c r="N1168" s="17" t="s">
        <v>6594</v>
      </c>
      <c r="O1168" s="18" t="s">
        <v>6590</v>
      </c>
      <c r="P1168" s="49">
        <f t="shared" si="73"/>
        <v>3.3905456961753568</v>
      </c>
      <c r="Q1168" s="1">
        <f t="shared" si="74"/>
        <v>4.4486723639318217</v>
      </c>
      <c r="R1168" s="1">
        <f t="shared" ref="R1168:R1231" si="76">(((F1168/F$9)^F$7 * F$4 + (I1168/I$9)^I$7 * I$4 + (J1168/J$9)^J$7 * J$4) * (1+M$3*(MIN(H1168,M$2)-1)+M$4*(H1168-MIN(H1168,M$2))) + (G1168/G$9)^G$7 * G$4)  * P$9</f>
        <v>4.6644236726865191</v>
      </c>
      <c r="S1168" s="10">
        <f t="shared" si="75"/>
        <v>3.9196090300535893</v>
      </c>
      <c r="T1168" s="45" cm="1">
        <f t="array" ref="T1168">SUMPRODUCT(P1168:S1168 * P$3:S$3) / SUM(P$3:S$3)</f>
        <v>4.1155902572091527</v>
      </c>
    </row>
    <row r="1169" spans="1:20" ht="16.5" customHeight="1" x14ac:dyDescent="0.25">
      <c r="A1169" s="5" t="s">
        <v>6907</v>
      </c>
      <c r="B1169" s="20" t="s">
        <v>6050</v>
      </c>
      <c r="C1169" s="4" t="s">
        <v>8796</v>
      </c>
      <c r="D1169" s="4" t="s">
        <v>9038</v>
      </c>
      <c r="E1169" s="12" t="s">
        <v>407</v>
      </c>
      <c r="F1169" s="75" t="s">
        <v>6722</v>
      </c>
      <c r="G1169" s="3">
        <v>64</v>
      </c>
      <c r="H1169" s="3" t="s">
        <v>404</v>
      </c>
      <c r="I1169" s="13" t="s">
        <v>225</v>
      </c>
      <c r="J1169" s="72">
        <v>1.4</v>
      </c>
      <c r="L1169" s="9">
        <v>224.99</v>
      </c>
      <c r="M1169" s="3">
        <v>355</v>
      </c>
      <c r="N1169" s="17" t="s">
        <v>6051</v>
      </c>
      <c r="O1169" s="18" t="s">
        <v>6047</v>
      </c>
      <c r="P1169" s="49">
        <f t="shared" si="73"/>
        <v>3.3905456961753568</v>
      </c>
      <c r="Q1169" s="1">
        <f t="shared" si="74"/>
        <v>4.4486723639318217</v>
      </c>
      <c r="R1169" s="1">
        <f t="shared" si="76"/>
        <v>4.6644236726865191</v>
      </c>
      <c r="S1169" s="10">
        <f t="shared" si="75"/>
        <v>3.9196090300535893</v>
      </c>
      <c r="T1169" s="45" cm="1">
        <f t="array" ref="T1169">SUMPRODUCT(P1169:S1169 * P$3:S$3) / SUM(P$3:S$3)</f>
        <v>4.1155902572091527</v>
      </c>
    </row>
    <row r="1170" spans="1:20" ht="16.5" customHeight="1" x14ac:dyDescent="0.25">
      <c r="A1170" s="5" t="s">
        <v>6907</v>
      </c>
      <c r="B1170" s="20" t="s">
        <v>6174</v>
      </c>
      <c r="C1170" s="4" t="s">
        <v>8796</v>
      </c>
      <c r="D1170" s="4" t="s">
        <v>9038</v>
      </c>
      <c r="E1170" s="12" t="s">
        <v>407</v>
      </c>
      <c r="F1170" s="75" t="s">
        <v>6722</v>
      </c>
      <c r="G1170" s="3">
        <v>64</v>
      </c>
      <c r="H1170" s="3" t="s">
        <v>404</v>
      </c>
      <c r="I1170" s="13" t="s">
        <v>225</v>
      </c>
      <c r="J1170" s="72">
        <v>1.4</v>
      </c>
      <c r="K1170" s="14" t="s">
        <v>6175</v>
      </c>
      <c r="L1170" s="9">
        <v>239.99</v>
      </c>
      <c r="M1170" s="3">
        <v>295.3</v>
      </c>
      <c r="N1170" s="17" t="s">
        <v>6176</v>
      </c>
      <c r="O1170" s="18" t="s">
        <v>6173</v>
      </c>
      <c r="P1170" s="49">
        <f t="shared" si="73"/>
        <v>3.3905456961753568</v>
      </c>
      <c r="Q1170" s="1">
        <f t="shared" si="74"/>
        <v>4.4486723639318217</v>
      </c>
      <c r="R1170" s="1">
        <f t="shared" si="76"/>
        <v>4.6644236726865191</v>
      </c>
      <c r="S1170" s="10">
        <f t="shared" si="75"/>
        <v>3.9196090300535893</v>
      </c>
      <c r="T1170" s="45" cm="1">
        <f t="array" ref="T1170">SUMPRODUCT(P1170:S1170 * P$3:S$3) / SUM(P$3:S$3)</f>
        <v>4.1155902572091527</v>
      </c>
    </row>
    <row r="1171" spans="1:20" ht="16.5" customHeight="1" x14ac:dyDescent="0.25">
      <c r="A1171" s="5" t="s">
        <v>6907</v>
      </c>
      <c r="B1171" s="20" t="s">
        <v>6278</v>
      </c>
      <c r="C1171" s="4" t="s">
        <v>8796</v>
      </c>
      <c r="D1171" s="4" t="s">
        <v>9038</v>
      </c>
      <c r="E1171" s="12" t="s">
        <v>407</v>
      </c>
      <c r="F1171" s="75" t="s">
        <v>6722</v>
      </c>
      <c r="G1171" s="3">
        <v>64</v>
      </c>
      <c r="H1171" s="3" t="s">
        <v>404</v>
      </c>
      <c r="I1171" s="13" t="s">
        <v>225</v>
      </c>
      <c r="J1171" s="72">
        <v>1.4</v>
      </c>
      <c r="K1171" s="14" t="s">
        <v>6175</v>
      </c>
      <c r="L1171" s="9">
        <v>239.99</v>
      </c>
      <c r="M1171" s="3">
        <v>308.88</v>
      </c>
      <c r="N1171" s="17" t="s">
        <v>6279</v>
      </c>
      <c r="O1171" s="18" t="s">
        <v>6275</v>
      </c>
      <c r="P1171" s="49">
        <f t="shared" si="73"/>
        <v>3.3905456961753568</v>
      </c>
      <c r="Q1171" s="1">
        <f t="shared" si="74"/>
        <v>4.4486723639318217</v>
      </c>
      <c r="R1171" s="1">
        <f t="shared" si="76"/>
        <v>4.6644236726865191</v>
      </c>
      <c r="S1171" s="10">
        <f t="shared" si="75"/>
        <v>3.9196090300535893</v>
      </c>
      <c r="T1171" s="45" cm="1">
        <f t="array" ref="T1171">SUMPRODUCT(P1171:S1171 * P$3:S$3) / SUM(P$3:S$3)</f>
        <v>4.1155902572091527</v>
      </c>
    </row>
    <row r="1172" spans="1:20" ht="16.5" customHeight="1" x14ac:dyDescent="0.25">
      <c r="A1172" s="5" t="s">
        <v>6862</v>
      </c>
      <c r="B1172" s="20" t="s">
        <v>5785</v>
      </c>
      <c r="C1172" s="4" t="s">
        <v>8797</v>
      </c>
      <c r="D1172" s="4" t="s">
        <v>9038</v>
      </c>
      <c r="E1172" s="12" t="s">
        <v>407</v>
      </c>
      <c r="F1172" s="75" t="s">
        <v>6722</v>
      </c>
      <c r="G1172" s="3">
        <v>64</v>
      </c>
      <c r="H1172" s="3" t="s">
        <v>404</v>
      </c>
      <c r="I1172" s="13" t="s">
        <v>225</v>
      </c>
      <c r="J1172" s="72">
        <v>1.4</v>
      </c>
      <c r="K1172" s="14" t="s">
        <v>5196</v>
      </c>
      <c r="L1172" s="9">
        <v>237.73</v>
      </c>
      <c r="M1172" s="3">
        <v>361</v>
      </c>
      <c r="N1172" s="17" t="s">
        <v>5786</v>
      </c>
      <c r="O1172" s="18" t="s">
        <v>5784</v>
      </c>
      <c r="P1172" s="49">
        <f t="shared" si="73"/>
        <v>3.3905456961753568</v>
      </c>
      <c r="Q1172" s="1">
        <f t="shared" si="74"/>
        <v>4.4486723639318217</v>
      </c>
      <c r="R1172" s="1">
        <f t="shared" si="76"/>
        <v>4.6644236726865191</v>
      </c>
      <c r="S1172" s="10">
        <f t="shared" si="75"/>
        <v>3.9196090300535893</v>
      </c>
      <c r="T1172" s="45" cm="1">
        <f t="array" ref="T1172">SUMPRODUCT(P1172:S1172 * P$3:S$3) / SUM(P$3:S$3)</f>
        <v>4.1155902572091527</v>
      </c>
    </row>
    <row r="1173" spans="1:20" ht="16.5" customHeight="1" x14ac:dyDescent="0.25">
      <c r="A1173" s="5" t="s">
        <v>6842</v>
      </c>
      <c r="B1173" s="20" t="s">
        <v>5631</v>
      </c>
      <c r="C1173" s="4" t="s">
        <v>8797</v>
      </c>
      <c r="D1173" s="4" t="s">
        <v>9038</v>
      </c>
      <c r="E1173" s="12" t="s">
        <v>407</v>
      </c>
      <c r="F1173" s="75" t="s">
        <v>6722</v>
      </c>
      <c r="G1173" s="3">
        <v>64</v>
      </c>
      <c r="H1173" s="3" t="s">
        <v>404</v>
      </c>
      <c r="I1173" s="13" t="s">
        <v>225</v>
      </c>
      <c r="J1173" s="72">
        <v>1.4</v>
      </c>
      <c r="L1173" s="9">
        <v>214.47</v>
      </c>
      <c r="M1173" s="3">
        <v>301.88</v>
      </c>
      <c r="N1173" s="17" t="s">
        <v>5632</v>
      </c>
      <c r="O1173" s="18" t="s">
        <v>5630</v>
      </c>
      <c r="P1173" s="49">
        <f t="shared" si="73"/>
        <v>3.3905456961753568</v>
      </c>
      <c r="Q1173" s="1">
        <f t="shared" si="74"/>
        <v>4.4486723639318217</v>
      </c>
      <c r="R1173" s="1">
        <f t="shared" si="76"/>
        <v>4.6644236726865191</v>
      </c>
      <c r="S1173" s="10">
        <f t="shared" si="75"/>
        <v>3.9196090300535893</v>
      </c>
      <c r="T1173" s="45" cm="1">
        <f t="array" ref="T1173">SUMPRODUCT(P1173:S1173 * P$3:S$3) / SUM(P$3:S$3)</f>
        <v>4.1155902572091527</v>
      </c>
    </row>
    <row r="1174" spans="1:20" ht="16.5" customHeight="1" x14ac:dyDescent="0.25">
      <c r="A1174" s="5" t="s">
        <v>6811</v>
      </c>
      <c r="B1174" s="20" t="s">
        <v>5199</v>
      </c>
      <c r="C1174" s="4" t="s">
        <v>8797</v>
      </c>
      <c r="D1174" s="4" t="s">
        <v>9038</v>
      </c>
      <c r="E1174" s="12" t="s">
        <v>407</v>
      </c>
      <c r="F1174" s="75" t="s">
        <v>6722</v>
      </c>
      <c r="G1174" s="3">
        <v>64</v>
      </c>
      <c r="H1174" s="3" t="s">
        <v>404</v>
      </c>
      <c r="I1174" s="13" t="s">
        <v>225</v>
      </c>
      <c r="J1174" s="72">
        <v>1.4</v>
      </c>
      <c r="K1174" s="14" t="s">
        <v>5196</v>
      </c>
      <c r="L1174" s="9">
        <v>275.89</v>
      </c>
      <c r="M1174" s="3">
        <v>467.75</v>
      </c>
      <c r="N1174" s="17" t="s">
        <v>5200</v>
      </c>
      <c r="O1174" s="18" t="s">
        <v>5198</v>
      </c>
      <c r="P1174" s="49">
        <f t="shared" si="73"/>
        <v>3.3905456961753568</v>
      </c>
      <c r="Q1174" s="1">
        <f t="shared" si="74"/>
        <v>4.4486723639318217</v>
      </c>
      <c r="R1174" s="1">
        <f t="shared" si="76"/>
        <v>4.6644236726865191</v>
      </c>
      <c r="S1174" s="10">
        <f t="shared" si="75"/>
        <v>3.9196090300535893</v>
      </c>
      <c r="T1174" s="45" cm="1">
        <f t="array" ref="T1174">SUMPRODUCT(P1174:S1174 * P$3:S$3) / SUM(P$3:S$3)</f>
        <v>4.1155902572091527</v>
      </c>
    </row>
    <row r="1175" spans="1:20" ht="16.5" customHeight="1" x14ac:dyDescent="0.25">
      <c r="A1175" s="5" t="s">
        <v>6811</v>
      </c>
      <c r="B1175" s="20" t="s">
        <v>5244</v>
      </c>
      <c r="C1175" s="4" t="s">
        <v>8797</v>
      </c>
      <c r="D1175" s="4" t="s">
        <v>9038</v>
      </c>
      <c r="E1175" s="12" t="s">
        <v>407</v>
      </c>
      <c r="F1175" s="75" t="s">
        <v>6722</v>
      </c>
      <c r="G1175" s="3">
        <v>64</v>
      </c>
      <c r="H1175" s="3" t="s">
        <v>404</v>
      </c>
      <c r="I1175" s="13" t="s">
        <v>225</v>
      </c>
      <c r="J1175" s="72">
        <v>1.4</v>
      </c>
      <c r="K1175" s="14" t="s">
        <v>5196</v>
      </c>
      <c r="L1175" s="9">
        <v>237.59</v>
      </c>
      <c r="M1175" s="3">
        <v>309.52</v>
      </c>
      <c r="N1175" s="17" t="s">
        <v>5245</v>
      </c>
      <c r="O1175" s="18" t="s">
        <v>5243</v>
      </c>
      <c r="P1175" s="49">
        <f t="shared" si="73"/>
        <v>3.3905456961753568</v>
      </c>
      <c r="Q1175" s="1">
        <f t="shared" si="74"/>
        <v>4.4486723639318217</v>
      </c>
      <c r="R1175" s="1">
        <f t="shared" si="76"/>
        <v>4.6644236726865191</v>
      </c>
      <c r="S1175" s="10">
        <f t="shared" si="75"/>
        <v>3.9196090300535893</v>
      </c>
      <c r="T1175" s="45" cm="1">
        <f t="array" ref="T1175">SUMPRODUCT(P1175:S1175 * P$3:S$3) / SUM(P$3:S$3)</f>
        <v>4.1155902572091527</v>
      </c>
    </row>
    <row r="1176" spans="1:20" ht="16.5" customHeight="1" x14ac:dyDescent="0.25">
      <c r="A1176" s="5" t="s">
        <v>6811</v>
      </c>
      <c r="B1176" s="20" t="s">
        <v>5280</v>
      </c>
      <c r="C1176" s="4" t="s">
        <v>8797</v>
      </c>
      <c r="D1176" s="4" t="s">
        <v>9038</v>
      </c>
      <c r="E1176" s="12" t="s">
        <v>407</v>
      </c>
      <c r="F1176" s="75" t="s">
        <v>6722</v>
      </c>
      <c r="G1176" s="3">
        <v>64</v>
      </c>
      <c r="H1176" s="3" t="s">
        <v>404</v>
      </c>
      <c r="I1176" s="13" t="s">
        <v>225</v>
      </c>
      <c r="J1176" s="72">
        <v>1.4</v>
      </c>
      <c r="K1176" s="14" t="s">
        <v>5196</v>
      </c>
      <c r="L1176" s="9">
        <v>234.89</v>
      </c>
      <c r="M1176" s="3">
        <v>350</v>
      </c>
      <c r="N1176" s="17" t="s">
        <v>5281</v>
      </c>
      <c r="O1176" s="18" t="s">
        <v>5279</v>
      </c>
      <c r="P1176" s="49">
        <f t="shared" si="73"/>
        <v>3.3905456961753568</v>
      </c>
      <c r="Q1176" s="1">
        <f t="shared" si="74"/>
        <v>4.4486723639318217</v>
      </c>
      <c r="R1176" s="1">
        <f t="shared" si="76"/>
        <v>4.6644236726865191</v>
      </c>
      <c r="S1176" s="10">
        <f t="shared" si="75"/>
        <v>3.9196090300535893</v>
      </c>
      <c r="T1176" s="45" cm="1">
        <f t="array" ref="T1176">SUMPRODUCT(P1176:S1176 * P$3:S$3) / SUM(P$3:S$3)</f>
        <v>4.1155902572091527</v>
      </c>
    </row>
    <row r="1177" spans="1:20" ht="16.5" customHeight="1" x14ac:dyDescent="0.25">
      <c r="A1177" s="5" t="s">
        <v>6811</v>
      </c>
      <c r="B1177" s="20" t="s">
        <v>5352</v>
      </c>
      <c r="C1177" s="4" t="s">
        <v>8797</v>
      </c>
      <c r="D1177" s="4" t="s">
        <v>9038</v>
      </c>
      <c r="E1177" s="12" t="s">
        <v>407</v>
      </c>
      <c r="F1177" s="75" t="s">
        <v>6722</v>
      </c>
      <c r="G1177" s="3">
        <v>64</v>
      </c>
      <c r="H1177" s="3" t="s">
        <v>404</v>
      </c>
      <c r="I1177" s="13" t="s">
        <v>225</v>
      </c>
      <c r="J1177" s="72">
        <v>1.4</v>
      </c>
      <c r="K1177" s="14" t="s">
        <v>5196</v>
      </c>
      <c r="L1177" s="9">
        <v>232.08</v>
      </c>
      <c r="M1177" s="3">
        <v>345</v>
      </c>
      <c r="N1177" s="17" t="s">
        <v>5353</v>
      </c>
      <c r="O1177" s="18" t="s">
        <v>5351</v>
      </c>
      <c r="P1177" s="49">
        <f t="shared" si="73"/>
        <v>3.3905456961753568</v>
      </c>
      <c r="Q1177" s="1">
        <f t="shared" si="74"/>
        <v>4.4486723639318217</v>
      </c>
      <c r="R1177" s="1">
        <f t="shared" si="76"/>
        <v>4.6644236726865191</v>
      </c>
      <c r="S1177" s="10">
        <f t="shared" si="75"/>
        <v>3.9196090300535893</v>
      </c>
      <c r="T1177" s="45" cm="1">
        <f t="array" ref="T1177">SUMPRODUCT(P1177:S1177 * P$3:S$3) / SUM(P$3:S$3)</f>
        <v>4.1155902572091527</v>
      </c>
    </row>
    <row r="1178" spans="1:20" ht="16.5" customHeight="1" x14ac:dyDescent="0.25">
      <c r="A1178" s="5" t="s">
        <v>6776</v>
      </c>
      <c r="B1178" s="20" t="s">
        <v>4556</v>
      </c>
      <c r="C1178" s="4" t="s">
        <v>8798</v>
      </c>
      <c r="D1178" s="4" t="s">
        <v>9038</v>
      </c>
      <c r="E1178" s="12" t="s">
        <v>407</v>
      </c>
      <c r="F1178" s="75" t="s">
        <v>6722</v>
      </c>
      <c r="G1178" s="3">
        <v>64</v>
      </c>
      <c r="H1178" s="3" t="s">
        <v>404</v>
      </c>
      <c r="I1178" s="13" t="s">
        <v>225</v>
      </c>
      <c r="J1178" s="72">
        <v>1.4</v>
      </c>
      <c r="L1178" s="9">
        <v>244.79</v>
      </c>
      <c r="M1178" s="3">
        <v>356</v>
      </c>
      <c r="N1178" s="17" t="s">
        <v>4557</v>
      </c>
      <c r="O1178" s="18" t="s">
        <v>4555</v>
      </c>
      <c r="P1178" s="49">
        <f t="shared" si="73"/>
        <v>3.3905456961753568</v>
      </c>
      <c r="Q1178" s="1">
        <f t="shared" si="74"/>
        <v>4.4486723639318217</v>
      </c>
      <c r="R1178" s="1">
        <f t="shared" si="76"/>
        <v>4.6644236726865191</v>
      </c>
      <c r="S1178" s="10">
        <f t="shared" si="75"/>
        <v>3.9196090300535893</v>
      </c>
      <c r="T1178" s="45" cm="1">
        <f t="array" ref="T1178">SUMPRODUCT(P1178:S1178 * P$3:S$3) / SUM(P$3:S$3)</f>
        <v>4.1155902572091527</v>
      </c>
    </row>
    <row r="1179" spans="1:20" ht="16.5" customHeight="1" x14ac:dyDescent="0.25">
      <c r="A1179" s="5" t="s">
        <v>6776</v>
      </c>
      <c r="B1179" s="20" t="s">
        <v>4558</v>
      </c>
      <c r="C1179" s="4" t="s">
        <v>8798</v>
      </c>
      <c r="D1179" s="4" t="s">
        <v>9038</v>
      </c>
      <c r="E1179" s="12" t="s">
        <v>407</v>
      </c>
      <c r="F1179" s="75" t="s">
        <v>6722</v>
      </c>
      <c r="G1179" s="3">
        <v>64</v>
      </c>
      <c r="H1179" s="3" t="s">
        <v>404</v>
      </c>
      <c r="I1179" s="13" t="s">
        <v>225</v>
      </c>
      <c r="J1179" s="72">
        <v>1.4</v>
      </c>
      <c r="L1179" s="9">
        <v>244.79</v>
      </c>
      <c r="M1179" s="3">
        <v>360.21</v>
      </c>
      <c r="N1179" s="17" t="s">
        <v>4559</v>
      </c>
      <c r="O1179" s="18" t="s">
        <v>4555</v>
      </c>
      <c r="P1179" s="49">
        <f t="shared" si="73"/>
        <v>3.3905456961753568</v>
      </c>
      <c r="Q1179" s="1">
        <f t="shared" si="74"/>
        <v>4.4486723639318217</v>
      </c>
      <c r="R1179" s="1">
        <f t="shared" si="76"/>
        <v>4.6644236726865191</v>
      </c>
      <c r="S1179" s="10">
        <f t="shared" si="75"/>
        <v>3.9196090300535893</v>
      </c>
      <c r="T1179" s="45" cm="1">
        <f t="array" ref="T1179">SUMPRODUCT(P1179:S1179 * P$3:S$3) / SUM(P$3:S$3)</f>
        <v>4.1155902572091527</v>
      </c>
    </row>
    <row r="1180" spans="1:20" ht="16.5" customHeight="1" x14ac:dyDescent="0.25">
      <c r="A1180" s="5" t="s">
        <v>6776</v>
      </c>
      <c r="B1180" s="20" t="s">
        <v>4668</v>
      </c>
      <c r="C1180" s="4" t="s">
        <v>8798</v>
      </c>
      <c r="D1180" s="4" t="s">
        <v>9038</v>
      </c>
      <c r="E1180" s="12" t="s">
        <v>407</v>
      </c>
      <c r="F1180" s="75" t="s">
        <v>6722</v>
      </c>
      <c r="G1180" s="3">
        <v>64</v>
      </c>
      <c r="H1180" s="3" t="s">
        <v>404</v>
      </c>
      <c r="I1180" s="13" t="s">
        <v>225</v>
      </c>
      <c r="J1180" s="72">
        <v>1.4</v>
      </c>
      <c r="L1180" s="9">
        <v>242.09</v>
      </c>
      <c r="M1180" s="3">
        <v>335</v>
      </c>
      <c r="N1180" s="17" t="s">
        <v>4669</v>
      </c>
      <c r="O1180" s="18" t="s">
        <v>4667</v>
      </c>
      <c r="P1180" s="49">
        <f t="shared" si="73"/>
        <v>3.3905456961753568</v>
      </c>
      <c r="Q1180" s="1">
        <f t="shared" si="74"/>
        <v>4.4486723639318217</v>
      </c>
      <c r="R1180" s="1">
        <f t="shared" si="76"/>
        <v>4.6644236726865191</v>
      </c>
      <c r="S1180" s="10">
        <f t="shared" si="75"/>
        <v>3.9196090300535893</v>
      </c>
      <c r="T1180" s="45" cm="1">
        <f t="array" ref="T1180">SUMPRODUCT(P1180:S1180 * P$3:S$3) / SUM(P$3:S$3)</f>
        <v>4.1155902572091527</v>
      </c>
    </row>
    <row r="1181" spans="1:20" ht="16.5" customHeight="1" x14ac:dyDescent="0.25">
      <c r="A1181" s="5" t="s">
        <v>6776</v>
      </c>
      <c r="B1181" s="20" t="s">
        <v>4670</v>
      </c>
      <c r="C1181" s="4" t="s">
        <v>8798</v>
      </c>
      <c r="D1181" s="4" t="s">
        <v>9038</v>
      </c>
      <c r="E1181" s="12" t="s">
        <v>407</v>
      </c>
      <c r="F1181" s="75" t="s">
        <v>6722</v>
      </c>
      <c r="G1181" s="3">
        <v>64</v>
      </c>
      <c r="H1181" s="3" t="s">
        <v>404</v>
      </c>
      <c r="I1181" s="13" t="s">
        <v>225</v>
      </c>
      <c r="J1181" s="72">
        <v>1.4</v>
      </c>
      <c r="L1181" s="9">
        <v>241.48</v>
      </c>
      <c r="M1181" s="3">
        <v>339</v>
      </c>
      <c r="N1181" s="17" t="s">
        <v>4671</v>
      </c>
      <c r="O1181" s="18" t="s">
        <v>4667</v>
      </c>
      <c r="P1181" s="49">
        <f t="shared" si="73"/>
        <v>3.3905456961753568</v>
      </c>
      <c r="Q1181" s="1">
        <f t="shared" si="74"/>
        <v>4.4486723639318217</v>
      </c>
      <c r="R1181" s="1">
        <f t="shared" si="76"/>
        <v>4.6644236726865191</v>
      </c>
      <c r="S1181" s="10">
        <f t="shared" si="75"/>
        <v>3.9196090300535893</v>
      </c>
      <c r="T1181" s="45" cm="1">
        <f t="array" ref="T1181">SUMPRODUCT(P1181:S1181 * P$3:S$3) / SUM(P$3:S$3)</f>
        <v>4.1155902572091527</v>
      </c>
    </row>
    <row r="1182" spans="1:20" ht="16.5" customHeight="1" x14ac:dyDescent="0.25">
      <c r="A1182" s="5" t="s">
        <v>6776</v>
      </c>
      <c r="B1182" s="20" t="s">
        <v>4850</v>
      </c>
      <c r="C1182" s="4" t="s">
        <v>8798</v>
      </c>
      <c r="D1182" s="4" t="s">
        <v>9038</v>
      </c>
      <c r="E1182" s="12" t="s">
        <v>407</v>
      </c>
      <c r="F1182" s="75" t="s">
        <v>6722</v>
      </c>
      <c r="G1182" s="3">
        <v>64</v>
      </c>
      <c r="H1182" s="3" t="s">
        <v>404</v>
      </c>
      <c r="I1182" s="13" t="s">
        <v>225</v>
      </c>
      <c r="J1182" s="72">
        <v>1.4</v>
      </c>
      <c r="K1182" s="14" t="s">
        <v>4847</v>
      </c>
      <c r="L1182" s="9">
        <v>254.69</v>
      </c>
      <c r="M1182" s="3">
        <v>362.91</v>
      </c>
      <c r="N1182" s="17" t="s">
        <v>4851</v>
      </c>
      <c r="O1182" s="18" t="s">
        <v>4849</v>
      </c>
      <c r="P1182" s="49">
        <f t="shared" si="73"/>
        <v>3.3905456961753568</v>
      </c>
      <c r="Q1182" s="1">
        <f t="shared" si="74"/>
        <v>4.4486723639318217</v>
      </c>
      <c r="R1182" s="1">
        <f t="shared" si="76"/>
        <v>4.6644236726865191</v>
      </c>
      <c r="S1182" s="10">
        <f t="shared" si="75"/>
        <v>3.9196090300535893</v>
      </c>
      <c r="T1182" s="45" cm="1">
        <f t="array" ref="T1182">SUMPRODUCT(P1182:S1182 * P$3:S$3) / SUM(P$3:S$3)</f>
        <v>4.1155902572091527</v>
      </c>
    </row>
    <row r="1183" spans="1:20" ht="16.5" customHeight="1" x14ac:dyDescent="0.25">
      <c r="A1183" s="5" t="s">
        <v>6776</v>
      </c>
      <c r="B1183" s="20" t="s">
        <v>4852</v>
      </c>
      <c r="C1183" s="4" t="s">
        <v>8798</v>
      </c>
      <c r="D1183" s="4" t="s">
        <v>9038</v>
      </c>
      <c r="E1183" s="12" t="s">
        <v>407</v>
      </c>
      <c r="F1183" s="75" t="s">
        <v>6722</v>
      </c>
      <c r="G1183" s="3">
        <v>64</v>
      </c>
      <c r="H1183" s="3" t="s">
        <v>404</v>
      </c>
      <c r="I1183" s="13" t="s">
        <v>225</v>
      </c>
      <c r="J1183" s="72">
        <v>1.4</v>
      </c>
      <c r="K1183" s="14" t="s">
        <v>4847</v>
      </c>
      <c r="L1183" s="9">
        <v>254.69</v>
      </c>
      <c r="M1183" s="3">
        <v>378.08</v>
      </c>
      <c r="N1183" s="17" t="s">
        <v>4853</v>
      </c>
      <c r="O1183" s="18" t="s">
        <v>4849</v>
      </c>
      <c r="P1183" s="49">
        <f t="shared" si="73"/>
        <v>3.3905456961753568</v>
      </c>
      <c r="Q1183" s="1">
        <f t="shared" si="74"/>
        <v>4.4486723639318217</v>
      </c>
      <c r="R1183" s="1">
        <f t="shared" si="76"/>
        <v>4.6644236726865191</v>
      </c>
      <c r="S1183" s="10">
        <f t="shared" si="75"/>
        <v>3.9196090300535893</v>
      </c>
      <c r="T1183" s="45" cm="1">
        <f t="array" ref="T1183">SUMPRODUCT(P1183:S1183 * P$3:S$3) / SUM(P$3:S$3)</f>
        <v>4.1155902572091527</v>
      </c>
    </row>
    <row r="1184" spans="1:20" ht="16.5" customHeight="1" x14ac:dyDescent="0.25">
      <c r="A1184" s="5" t="s">
        <v>6776</v>
      </c>
      <c r="B1184" s="20" t="s">
        <v>4982</v>
      </c>
      <c r="C1184" s="4" t="s">
        <v>8798</v>
      </c>
      <c r="D1184" s="4" t="s">
        <v>9038</v>
      </c>
      <c r="E1184" s="12" t="s">
        <v>407</v>
      </c>
      <c r="F1184" s="75" t="s">
        <v>6722</v>
      </c>
      <c r="G1184" s="3">
        <v>64</v>
      </c>
      <c r="H1184" s="3" t="s">
        <v>404</v>
      </c>
      <c r="I1184" s="13" t="s">
        <v>225</v>
      </c>
      <c r="J1184" s="72">
        <v>1.4</v>
      </c>
      <c r="K1184" s="14" t="s">
        <v>4847</v>
      </c>
      <c r="L1184" s="9">
        <v>251.99</v>
      </c>
      <c r="M1184" s="3">
        <v>359.49</v>
      </c>
      <c r="N1184" s="17" t="s">
        <v>4983</v>
      </c>
      <c r="O1184" s="18" t="s">
        <v>4981</v>
      </c>
      <c r="P1184" s="49">
        <f t="shared" si="73"/>
        <v>3.3905456961753568</v>
      </c>
      <c r="Q1184" s="1">
        <f t="shared" si="74"/>
        <v>4.4486723639318217</v>
      </c>
      <c r="R1184" s="1">
        <f t="shared" si="76"/>
        <v>4.6644236726865191</v>
      </c>
      <c r="S1184" s="10">
        <f t="shared" si="75"/>
        <v>3.9196090300535893</v>
      </c>
      <c r="T1184" s="45" cm="1">
        <f t="array" ref="T1184">SUMPRODUCT(P1184:S1184 * P$3:S$3) / SUM(P$3:S$3)</f>
        <v>4.1155902572091527</v>
      </c>
    </row>
    <row r="1185" spans="1:20" ht="16.5" customHeight="1" x14ac:dyDescent="0.25">
      <c r="A1185" s="5" t="s">
        <v>6776</v>
      </c>
      <c r="B1185" s="20" t="s">
        <v>4984</v>
      </c>
      <c r="C1185" s="4" t="s">
        <v>8798</v>
      </c>
      <c r="D1185" s="4" t="s">
        <v>9038</v>
      </c>
      <c r="E1185" s="12" t="s">
        <v>407</v>
      </c>
      <c r="F1185" s="75" t="s">
        <v>6722</v>
      </c>
      <c r="G1185" s="3">
        <v>64</v>
      </c>
      <c r="H1185" s="3" t="s">
        <v>404</v>
      </c>
      <c r="I1185" s="13" t="s">
        <v>225</v>
      </c>
      <c r="J1185" s="72">
        <v>1.4</v>
      </c>
      <c r="K1185" s="14" t="s">
        <v>4847</v>
      </c>
      <c r="L1185" s="9">
        <v>254.69</v>
      </c>
      <c r="M1185" s="3">
        <v>363</v>
      </c>
      <c r="N1185" s="17" t="s">
        <v>4985</v>
      </c>
      <c r="O1185" s="18" t="s">
        <v>4981</v>
      </c>
      <c r="P1185" s="49">
        <f t="shared" si="73"/>
        <v>3.3905456961753568</v>
      </c>
      <c r="Q1185" s="1">
        <f t="shared" si="74"/>
        <v>4.4486723639318217</v>
      </c>
      <c r="R1185" s="1">
        <f t="shared" si="76"/>
        <v>4.6644236726865191</v>
      </c>
      <c r="S1185" s="10">
        <f t="shared" si="75"/>
        <v>3.9196090300535893</v>
      </c>
      <c r="T1185" s="45" cm="1">
        <f t="array" ref="T1185">SUMPRODUCT(P1185:S1185 * P$3:S$3) / SUM(P$3:S$3)</f>
        <v>4.1155902572091527</v>
      </c>
    </row>
    <row r="1186" spans="1:20" ht="16.5" customHeight="1" x14ac:dyDescent="0.25">
      <c r="A1186" s="5" t="s">
        <v>6747</v>
      </c>
      <c r="B1186" s="20" t="s">
        <v>4330</v>
      </c>
      <c r="C1186" s="4" t="s">
        <v>8798</v>
      </c>
      <c r="D1186" s="4" t="s">
        <v>9038</v>
      </c>
      <c r="E1186" s="12" t="s">
        <v>407</v>
      </c>
      <c r="F1186" s="75" t="s">
        <v>6722</v>
      </c>
      <c r="G1186" s="3">
        <v>64</v>
      </c>
      <c r="H1186" s="3" t="s">
        <v>404</v>
      </c>
      <c r="I1186" s="13" t="s">
        <v>225</v>
      </c>
      <c r="J1186" s="72">
        <v>1.35</v>
      </c>
      <c r="L1186" s="9">
        <v>266</v>
      </c>
      <c r="M1186" s="3">
        <v>355.15</v>
      </c>
      <c r="N1186" s="17" t="s">
        <v>4331</v>
      </c>
      <c r="O1186" s="18" t="s">
        <v>4329</v>
      </c>
      <c r="P1186" s="49">
        <f t="shared" si="73"/>
        <v>3.3924144797744029</v>
      </c>
      <c r="Q1186" s="1">
        <f t="shared" si="74"/>
        <v>4.4505411475308687</v>
      </c>
      <c r="R1186" s="1">
        <f t="shared" si="76"/>
        <v>4.6662924562855652</v>
      </c>
      <c r="S1186" s="10">
        <f t="shared" si="75"/>
        <v>3.9214778136526358</v>
      </c>
      <c r="T1186" s="45" cm="1">
        <f t="array" ref="T1186">SUMPRODUCT(P1186:S1186 * P$3:S$3) / SUM(P$3:S$3)</f>
        <v>4.1174590408081997</v>
      </c>
    </row>
    <row r="1187" spans="1:20" ht="16.5" customHeight="1" x14ac:dyDescent="0.25">
      <c r="A1187" s="5" t="s">
        <v>6747</v>
      </c>
      <c r="B1187" s="20" t="s">
        <v>4372</v>
      </c>
      <c r="C1187" s="4" t="s">
        <v>8798</v>
      </c>
      <c r="D1187" s="4" t="s">
        <v>9038</v>
      </c>
      <c r="E1187" s="12" t="s">
        <v>407</v>
      </c>
      <c r="F1187" s="75" t="s">
        <v>6722</v>
      </c>
      <c r="G1187" s="3">
        <v>64</v>
      </c>
      <c r="H1187" s="3" t="s">
        <v>404</v>
      </c>
      <c r="I1187" s="13" t="s">
        <v>225</v>
      </c>
      <c r="J1187" s="72">
        <v>1.4</v>
      </c>
      <c r="L1187" s="9">
        <v>244.79</v>
      </c>
      <c r="M1187" s="3">
        <v>346</v>
      </c>
      <c r="N1187" s="17" t="s">
        <v>4373</v>
      </c>
      <c r="O1187" s="18" t="s">
        <v>4371</v>
      </c>
      <c r="P1187" s="49">
        <f t="shared" si="73"/>
        <v>3.3905456961753568</v>
      </c>
      <c r="Q1187" s="1">
        <f t="shared" si="74"/>
        <v>4.4486723639318217</v>
      </c>
      <c r="R1187" s="1">
        <f t="shared" si="76"/>
        <v>4.6644236726865191</v>
      </c>
      <c r="S1187" s="10">
        <f t="shared" si="75"/>
        <v>3.9196090300535893</v>
      </c>
      <c r="T1187" s="45" cm="1">
        <f t="array" ref="T1187">SUMPRODUCT(P1187:S1187 * P$3:S$3) / SUM(P$3:S$3)</f>
        <v>4.1155902572091527</v>
      </c>
    </row>
    <row r="1188" spans="1:20" ht="16.5" customHeight="1" x14ac:dyDescent="0.25">
      <c r="A1188" s="5" t="s">
        <v>6747</v>
      </c>
      <c r="B1188" s="20" t="s">
        <v>4435</v>
      </c>
      <c r="C1188" s="4" t="s">
        <v>8798</v>
      </c>
      <c r="D1188" s="4" t="s">
        <v>9038</v>
      </c>
      <c r="E1188" s="12" t="s">
        <v>407</v>
      </c>
      <c r="F1188" s="75" t="s">
        <v>6722</v>
      </c>
      <c r="G1188" s="3">
        <v>64</v>
      </c>
      <c r="H1188" s="3" t="s">
        <v>404</v>
      </c>
      <c r="I1188" s="13" t="s">
        <v>225</v>
      </c>
      <c r="J1188" s="72">
        <v>1.35</v>
      </c>
      <c r="K1188" s="14" t="s">
        <v>4436</v>
      </c>
      <c r="L1188" s="9">
        <v>276.97000000000003</v>
      </c>
      <c r="M1188" s="3">
        <v>362</v>
      </c>
      <c r="N1188" s="17" t="s">
        <v>4437</v>
      </c>
      <c r="O1188" s="18" t="s">
        <v>4434</v>
      </c>
      <c r="P1188" s="49">
        <f t="shared" si="73"/>
        <v>3.3924144797744029</v>
      </c>
      <c r="Q1188" s="1">
        <f t="shared" si="74"/>
        <v>4.4505411475308687</v>
      </c>
      <c r="R1188" s="1">
        <f t="shared" si="76"/>
        <v>4.6662924562855652</v>
      </c>
      <c r="S1188" s="10">
        <f t="shared" si="75"/>
        <v>3.9214778136526358</v>
      </c>
      <c r="T1188" s="45" cm="1">
        <f t="array" ref="T1188">SUMPRODUCT(P1188:S1188 * P$3:S$3) / SUM(P$3:S$3)</f>
        <v>4.1174590408081997</v>
      </c>
    </row>
    <row r="1189" spans="1:20" ht="16.5" customHeight="1" x14ac:dyDescent="0.25">
      <c r="A1189" s="5" t="s">
        <v>6747</v>
      </c>
      <c r="B1189" s="20" t="s">
        <v>4487</v>
      </c>
      <c r="C1189" s="4" t="s">
        <v>8798</v>
      </c>
      <c r="D1189" s="4" t="s">
        <v>9038</v>
      </c>
      <c r="E1189" s="12" t="s">
        <v>407</v>
      </c>
      <c r="F1189" s="75" t="s">
        <v>6722</v>
      </c>
      <c r="G1189" s="3">
        <v>64</v>
      </c>
      <c r="H1189" s="3" t="s">
        <v>404</v>
      </c>
      <c r="I1189" s="13" t="s">
        <v>225</v>
      </c>
      <c r="J1189" s="72">
        <v>1.35</v>
      </c>
      <c r="K1189" s="14" t="s">
        <v>4436</v>
      </c>
      <c r="L1189" s="9">
        <v>257.39</v>
      </c>
      <c r="M1189" s="3">
        <v>364</v>
      </c>
      <c r="N1189" s="17" t="s">
        <v>4488</v>
      </c>
      <c r="O1189" s="18" t="s">
        <v>4486</v>
      </c>
      <c r="P1189" s="49">
        <f t="shared" si="73"/>
        <v>3.3924144797744029</v>
      </c>
      <c r="Q1189" s="1">
        <f t="shared" si="74"/>
        <v>4.4505411475308687</v>
      </c>
      <c r="R1189" s="1">
        <f t="shared" si="76"/>
        <v>4.6662924562855652</v>
      </c>
      <c r="S1189" s="10">
        <f t="shared" si="75"/>
        <v>3.9214778136526358</v>
      </c>
      <c r="T1189" s="45" cm="1">
        <f t="array" ref="T1189">SUMPRODUCT(P1189:S1189 * P$3:S$3) / SUM(P$3:S$3)</f>
        <v>4.1174590408081997</v>
      </c>
    </row>
    <row r="1190" spans="1:20" ht="16.5" customHeight="1" x14ac:dyDescent="0.25">
      <c r="A1190" s="5" t="s">
        <v>6955</v>
      </c>
      <c r="B1190" s="20" t="s">
        <v>6653</v>
      </c>
      <c r="C1190" s="4" t="s">
        <v>8796</v>
      </c>
      <c r="D1190" s="4" t="s">
        <v>9039</v>
      </c>
      <c r="E1190" s="12" t="s">
        <v>407</v>
      </c>
      <c r="F1190" s="75" t="s">
        <v>6722</v>
      </c>
      <c r="G1190" s="3">
        <v>64</v>
      </c>
      <c r="H1190" s="3" t="s">
        <v>419</v>
      </c>
      <c r="I1190" s="13" t="s">
        <v>225</v>
      </c>
      <c r="J1190" s="72">
        <v>1.4</v>
      </c>
      <c r="K1190" s="14" t="s">
        <v>6633</v>
      </c>
      <c r="L1190" s="9">
        <v>339</v>
      </c>
      <c r="M1190" s="3">
        <v>394.45</v>
      </c>
      <c r="N1190" s="17" t="s">
        <v>6654</v>
      </c>
      <c r="O1190" s="18" t="s">
        <v>6652</v>
      </c>
      <c r="P1190" s="49">
        <f t="shared" si="73"/>
        <v>3.4615215694988835</v>
      </c>
      <c r="Q1190" s="1">
        <f t="shared" si="74"/>
        <v>4.5013889154271309</v>
      </c>
      <c r="R1190" s="1">
        <f t="shared" si="76"/>
        <v>4.7099146469147142</v>
      </c>
      <c r="S1190" s="10">
        <f t="shared" si="75"/>
        <v>3.9814552424630074</v>
      </c>
      <c r="T1190" s="45" cm="1">
        <f t="array" ref="T1190">SUMPRODUCT(P1190:S1190 * P$3:S$3) / SUM(P$3:S$3)</f>
        <v>4.1735157159115968</v>
      </c>
    </row>
    <row r="1191" spans="1:20" ht="16.5" customHeight="1" x14ac:dyDescent="0.25">
      <c r="A1191" s="5" t="s">
        <v>6933</v>
      </c>
      <c r="B1191" s="20" t="s">
        <v>6539</v>
      </c>
      <c r="C1191" s="4" t="s">
        <v>8796</v>
      </c>
      <c r="D1191" s="4" t="s">
        <v>9039</v>
      </c>
      <c r="E1191" s="12" t="s">
        <v>407</v>
      </c>
      <c r="F1191" s="75" t="s">
        <v>6722</v>
      </c>
      <c r="G1191" s="3">
        <v>64</v>
      </c>
      <c r="H1191" s="3" t="s">
        <v>419</v>
      </c>
      <c r="I1191" s="13" t="s">
        <v>225</v>
      </c>
      <c r="J1191" s="72">
        <v>1.4</v>
      </c>
      <c r="K1191" s="14" t="s">
        <v>6530</v>
      </c>
      <c r="L1191" s="9">
        <v>362.67</v>
      </c>
      <c r="M1191" s="3">
        <v>438</v>
      </c>
      <c r="N1191" s="17" t="s">
        <v>6540</v>
      </c>
      <c r="O1191" s="18" t="s">
        <v>6538</v>
      </c>
      <c r="P1191" s="49">
        <f t="shared" si="73"/>
        <v>3.4615215694988835</v>
      </c>
      <c r="Q1191" s="1">
        <f t="shared" si="74"/>
        <v>4.5013889154271309</v>
      </c>
      <c r="R1191" s="1">
        <f t="shared" si="76"/>
        <v>4.7099146469147142</v>
      </c>
      <c r="S1191" s="10">
        <f t="shared" si="75"/>
        <v>3.9814552424630074</v>
      </c>
      <c r="T1191" s="45" cm="1">
        <f t="array" ref="T1191">SUMPRODUCT(P1191:S1191 * P$3:S$3) / SUM(P$3:S$3)</f>
        <v>4.1735157159115968</v>
      </c>
    </row>
    <row r="1192" spans="1:20" ht="16.5" customHeight="1" x14ac:dyDescent="0.25">
      <c r="A1192" s="5" t="s">
        <v>6933</v>
      </c>
      <c r="B1192" s="20" t="s">
        <v>6591</v>
      </c>
      <c r="C1192" s="4" t="s">
        <v>8796</v>
      </c>
      <c r="D1192" s="4" t="s">
        <v>9039</v>
      </c>
      <c r="E1192" s="12" t="s">
        <v>407</v>
      </c>
      <c r="F1192" s="75" t="s">
        <v>6722</v>
      </c>
      <c r="G1192" s="3">
        <v>64</v>
      </c>
      <c r="H1192" s="3" t="s">
        <v>419</v>
      </c>
      <c r="I1192" s="13" t="s">
        <v>225</v>
      </c>
      <c r="J1192" s="72">
        <v>1.4</v>
      </c>
      <c r="K1192" s="14" t="s">
        <v>6530</v>
      </c>
      <c r="L1192" s="9">
        <v>362.67</v>
      </c>
      <c r="M1192" s="3">
        <v>438.44</v>
      </c>
      <c r="N1192" s="17" t="s">
        <v>6592</v>
      </c>
      <c r="O1192" s="18" t="s">
        <v>6590</v>
      </c>
      <c r="P1192" s="49">
        <f t="shared" si="73"/>
        <v>3.4615215694988835</v>
      </c>
      <c r="Q1192" s="1">
        <f t="shared" si="74"/>
        <v>4.5013889154271309</v>
      </c>
      <c r="R1192" s="1">
        <f t="shared" si="76"/>
        <v>4.7099146469147142</v>
      </c>
      <c r="S1192" s="10">
        <f t="shared" si="75"/>
        <v>3.9814552424630074</v>
      </c>
      <c r="T1192" s="45" cm="1">
        <f t="array" ref="T1192">SUMPRODUCT(P1192:S1192 * P$3:S$3) / SUM(P$3:S$3)</f>
        <v>4.1735157159115968</v>
      </c>
    </row>
    <row r="1193" spans="1:20" ht="16.5" customHeight="1" x14ac:dyDescent="0.25">
      <c r="A1193" s="5" t="s">
        <v>6906</v>
      </c>
      <c r="B1193" s="20" t="s">
        <v>6048</v>
      </c>
      <c r="C1193" s="4" t="s">
        <v>8796</v>
      </c>
      <c r="D1193" s="4" t="s">
        <v>9039</v>
      </c>
      <c r="E1193" s="12" t="s">
        <v>407</v>
      </c>
      <c r="F1193" s="75" t="s">
        <v>6722</v>
      </c>
      <c r="G1193" s="3">
        <v>64</v>
      </c>
      <c r="H1193" s="3" t="s">
        <v>419</v>
      </c>
      <c r="I1193" s="13" t="s">
        <v>225</v>
      </c>
      <c r="J1193" s="72">
        <v>1.4</v>
      </c>
      <c r="L1193" s="9">
        <v>262.01</v>
      </c>
      <c r="M1193" s="3">
        <v>309.27999999999997</v>
      </c>
      <c r="N1193" s="17" t="s">
        <v>6049</v>
      </c>
      <c r="O1193" s="18" t="s">
        <v>6047</v>
      </c>
      <c r="P1193" s="49">
        <f t="shared" si="73"/>
        <v>3.4615215694988835</v>
      </c>
      <c r="Q1193" s="1">
        <f t="shared" si="74"/>
        <v>4.5013889154271309</v>
      </c>
      <c r="R1193" s="1">
        <f t="shared" si="76"/>
        <v>4.7099146469147142</v>
      </c>
      <c r="S1193" s="10">
        <f t="shared" si="75"/>
        <v>3.9814552424630074</v>
      </c>
      <c r="T1193" s="45" cm="1">
        <f t="array" ref="T1193">SUMPRODUCT(P1193:S1193 * P$3:S$3) / SUM(P$3:S$3)</f>
        <v>4.1735157159115968</v>
      </c>
    </row>
    <row r="1194" spans="1:20" ht="16.5" customHeight="1" x14ac:dyDescent="0.25">
      <c r="A1194" s="5" t="s">
        <v>6906</v>
      </c>
      <c r="B1194" s="20" t="s">
        <v>6276</v>
      </c>
      <c r="C1194" s="4" t="s">
        <v>8796</v>
      </c>
      <c r="D1194" s="4" t="s">
        <v>9039</v>
      </c>
      <c r="E1194" s="12" t="s">
        <v>407</v>
      </c>
      <c r="F1194" s="75" t="s">
        <v>6722</v>
      </c>
      <c r="G1194" s="3">
        <v>64</v>
      </c>
      <c r="H1194" s="3" t="s">
        <v>419</v>
      </c>
      <c r="I1194" s="13" t="s">
        <v>225</v>
      </c>
      <c r="J1194" s="72">
        <v>1.4</v>
      </c>
      <c r="K1194" s="14" t="s">
        <v>6175</v>
      </c>
      <c r="L1194" s="9">
        <v>304.70999999999998</v>
      </c>
      <c r="M1194" s="3">
        <v>345.54</v>
      </c>
      <c r="N1194" s="17" t="s">
        <v>6277</v>
      </c>
      <c r="O1194" s="18" t="s">
        <v>6275</v>
      </c>
      <c r="P1194" s="49">
        <f t="shared" si="73"/>
        <v>3.4615215694988835</v>
      </c>
      <c r="Q1194" s="1">
        <f t="shared" si="74"/>
        <v>4.5013889154271309</v>
      </c>
      <c r="R1194" s="1">
        <f t="shared" si="76"/>
        <v>4.7099146469147142</v>
      </c>
      <c r="S1194" s="10">
        <f t="shared" si="75"/>
        <v>3.9814552424630074</v>
      </c>
      <c r="T1194" s="45" cm="1">
        <f t="array" ref="T1194">SUMPRODUCT(P1194:S1194 * P$3:S$3) / SUM(P$3:S$3)</f>
        <v>4.1735157159115968</v>
      </c>
    </row>
    <row r="1195" spans="1:20" ht="16.5" customHeight="1" x14ac:dyDescent="0.25">
      <c r="A1195" s="5" t="s">
        <v>6931</v>
      </c>
      <c r="B1195" s="20" t="s">
        <v>6533</v>
      </c>
      <c r="C1195" s="4" t="s">
        <v>8796</v>
      </c>
      <c r="D1195" s="4" t="s">
        <v>9040</v>
      </c>
      <c r="E1195" s="12" t="s">
        <v>407</v>
      </c>
      <c r="F1195" s="75" t="s">
        <v>6722</v>
      </c>
      <c r="G1195" s="3">
        <v>96</v>
      </c>
      <c r="H1195" s="3" t="s">
        <v>404</v>
      </c>
      <c r="I1195" s="13" t="s">
        <v>225</v>
      </c>
      <c r="J1195" s="72">
        <v>1.4</v>
      </c>
      <c r="K1195" s="14" t="s">
        <v>6530</v>
      </c>
      <c r="L1195" s="9">
        <v>440.37</v>
      </c>
      <c r="M1195" s="3">
        <v>498.08</v>
      </c>
      <c r="N1195" s="17" t="s">
        <v>6534</v>
      </c>
      <c r="O1195" s="18" t="s">
        <v>6532</v>
      </c>
      <c r="P1195" s="49">
        <f t="shared" si="73"/>
        <v>4.0762635545125319</v>
      </c>
      <c r="Q1195" s="1">
        <f t="shared" si="74"/>
        <v>5.5915354611604471</v>
      </c>
      <c r="R1195" s="1">
        <f t="shared" si="76"/>
        <v>5.9215730796380068</v>
      </c>
      <c r="S1195" s="10">
        <f t="shared" si="75"/>
        <v>4.833899507836489</v>
      </c>
      <c r="T1195" s="45" cm="1">
        <f t="array" ref="T1195">SUMPRODUCT(P1195:S1195 * P$3:S$3) / SUM(P$3:S$3)</f>
        <v>5.117793280932716</v>
      </c>
    </row>
    <row r="1196" spans="1:20" ht="16.5" customHeight="1" x14ac:dyDescent="0.25">
      <c r="A1196" s="5" t="s">
        <v>6931</v>
      </c>
      <c r="B1196" s="20" t="s">
        <v>6582</v>
      </c>
      <c r="C1196" s="4" t="s">
        <v>8796</v>
      </c>
      <c r="D1196" s="4" t="s">
        <v>9040</v>
      </c>
      <c r="E1196" s="12" t="s">
        <v>407</v>
      </c>
      <c r="F1196" s="75" t="s">
        <v>6722</v>
      </c>
      <c r="G1196" s="3">
        <v>96</v>
      </c>
      <c r="H1196" s="3" t="s">
        <v>404</v>
      </c>
      <c r="I1196" s="13" t="s">
        <v>225</v>
      </c>
      <c r="J1196" s="72">
        <v>1.4</v>
      </c>
      <c r="K1196" s="14" t="s">
        <v>6530</v>
      </c>
      <c r="L1196" s="9">
        <v>432.21</v>
      </c>
      <c r="M1196" s="3">
        <v>655</v>
      </c>
      <c r="N1196" s="17" t="s">
        <v>6583</v>
      </c>
      <c r="O1196" s="18" t="s">
        <v>6579</v>
      </c>
      <c r="P1196" s="49">
        <f t="shared" si="73"/>
        <v>4.0762635545125319</v>
      </c>
      <c r="Q1196" s="1">
        <f t="shared" si="74"/>
        <v>5.5915354611604471</v>
      </c>
      <c r="R1196" s="1">
        <f t="shared" si="76"/>
        <v>5.9215730796380068</v>
      </c>
      <c r="S1196" s="10">
        <f t="shared" si="75"/>
        <v>4.833899507836489</v>
      </c>
      <c r="T1196" s="45" cm="1">
        <f t="array" ref="T1196">SUMPRODUCT(P1196:S1196 * P$3:S$3) / SUM(P$3:S$3)</f>
        <v>5.117793280932716</v>
      </c>
    </row>
    <row r="1197" spans="1:20" ht="16.5" customHeight="1" x14ac:dyDescent="0.25">
      <c r="A1197" s="5" t="s">
        <v>6897</v>
      </c>
      <c r="B1197" s="20" t="s">
        <v>6024</v>
      </c>
      <c r="C1197" s="4" t="s">
        <v>8796</v>
      </c>
      <c r="D1197" s="4" t="s">
        <v>9040</v>
      </c>
      <c r="E1197" s="12" t="s">
        <v>407</v>
      </c>
      <c r="F1197" s="75" t="s">
        <v>6722</v>
      </c>
      <c r="G1197" s="3">
        <v>96</v>
      </c>
      <c r="H1197" s="3" t="s">
        <v>404</v>
      </c>
      <c r="I1197" s="13" t="s">
        <v>225</v>
      </c>
      <c r="J1197" s="72">
        <v>1.4</v>
      </c>
      <c r="L1197" s="9">
        <v>362.67</v>
      </c>
      <c r="M1197" s="3">
        <v>413.31</v>
      </c>
      <c r="N1197" s="17" t="s">
        <v>6025</v>
      </c>
      <c r="O1197" s="18" t="s">
        <v>6021</v>
      </c>
      <c r="P1197" s="49">
        <f t="shared" si="73"/>
        <v>4.0762635545125319</v>
      </c>
      <c r="Q1197" s="1">
        <f t="shared" si="74"/>
        <v>5.5915354611604471</v>
      </c>
      <c r="R1197" s="1">
        <f t="shared" si="76"/>
        <v>5.9215730796380068</v>
      </c>
      <c r="S1197" s="10">
        <f t="shared" si="75"/>
        <v>4.833899507836489</v>
      </c>
      <c r="T1197" s="45" cm="1">
        <f t="array" ref="T1197">SUMPRODUCT(P1197:S1197 * P$3:S$3) / SUM(P$3:S$3)</f>
        <v>5.117793280932716</v>
      </c>
    </row>
    <row r="1198" spans="1:20" ht="16.5" customHeight="1" x14ac:dyDescent="0.25">
      <c r="A1198" s="5" t="s">
        <v>6897</v>
      </c>
      <c r="B1198" s="20" t="s">
        <v>6255</v>
      </c>
      <c r="C1198" s="4" t="s">
        <v>8796</v>
      </c>
      <c r="D1198" s="4" t="s">
        <v>9040</v>
      </c>
      <c r="E1198" s="12" t="s">
        <v>407</v>
      </c>
      <c r="F1198" s="75" t="s">
        <v>6722</v>
      </c>
      <c r="G1198" s="3">
        <v>96</v>
      </c>
      <c r="H1198" s="3" t="s">
        <v>404</v>
      </c>
      <c r="I1198" s="13" t="s">
        <v>225</v>
      </c>
      <c r="J1198" s="72">
        <v>1.4</v>
      </c>
      <c r="K1198" s="14" t="s">
        <v>6175</v>
      </c>
      <c r="L1198" s="9">
        <v>374</v>
      </c>
      <c r="M1198" s="3">
        <v>435.41</v>
      </c>
      <c r="N1198" s="17" t="s">
        <v>6256</v>
      </c>
      <c r="O1198" s="18" t="s">
        <v>6252</v>
      </c>
      <c r="P1198" s="49">
        <f t="shared" si="73"/>
        <v>4.0762635545125319</v>
      </c>
      <c r="Q1198" s="1">
        <f t="shared" si="74"/>
        <v>5.5915354611604471</v>
      </c>
      <c r="R1198" s="1">
        <f t="shared" si="76"/>
        <v>5.9215730796380068</v>
      </c>
      <c r="S1198" s="10">
        <f t="shared" si="75"/>
        <v>4.833899507836489</v>
      </c>
      <c r="T1198" s="45" cm="1">
        <f t="array" ref="T1198">SUMPRODUCT(P1198:S1198 * P$3:S$3) / SUM(P$3:S$3)</f>
        <v>5.117793280932716</v>
      </c>
    </row>
    <row r="1199" spans="1:20" ht="16.5" customHeight="1" x14ac:dyDescent="0.25">
      <c r="A1199" s="5" t="s">
        <v>6849</v>
      </c>
      <c r="B1199" s="20" t="s">
        <v>5714</v>
      </c>
      <c r="C1199" s="4" t="s">
        <v>8797</v>
      </c>
      <c r="D1199" s="4" t="s">
        <v>9040</v>
      </c>
      <c r="E1199" s="12" t="s">
        <v>407</v>
      </c>
      <c r="F1199" s="75" t="s">
        <v>6722</v>
      </c>
      <c r="G1199" s="3">
        <v>96</v>
      </c>
      <c r="H1199" s="3" t="s">
        <v>404</v>
      </c>
      <c r="I1199" s="13" t="s">
        <v>225</v>
      </c>
      <c r="J1199" s="72">
        <v>1.35</v>
      </c>
      <c r="K1199" s="14" t="s">
        <v>5196</v>
      </c>
      <c r="L1199" s="9">
        <v>320</v>
      </c>
      <c r="M1199" s="3">
        <v>437.4</v>
      </c>
      <c r="N1199" s="17" t="s">
        <v>5715</v>
      </c>
      <c r="O1199" s="18" t="s">
        <v>5713</v>
      </c>
      <c r="P1199" s="49">
        <f t="shared" si="73"/>
        <v>4.0781323381115779</v>
      </c>
      <c r="Q1199" s="1">
        <f t="shared" si="74"/>
        <v>5.5934042447594932</v>
      </c>
      <c r="R1199" s="1">
        <f t="shared" si="76"/>
        <v>5.9234418632370529</v>
      </c>
      <c r="S1199" s="10">
        <f t="shared" si="75"/>
        <v>4.8357682914355351</v>
      </c>
      <c r="T1199" s="45" cm="1">
        <f t="array" ref="T1199">SUMPRODUCT(P1199:S1199 * P$3:S$3) / SUM(P$3:S$3)</f>
        <v>5.1196620645317621</v>
      </c>
    </row>
    <row r="1200" spans="1:20" ht="16.5" customHeight="1" x14ac:dyDescent="0.25">
      <c r="A1200" s="5" t="s">
        <v>6849</v>
      </c>
      <c r="B1200" s="20" t="s">
        <v>5773</v>
      </c>
      <c r="C1200" s="4" t="s">
        <v>8797</v>
      </c>
      <c r="D1200" s="4" t="s">
        <v>9040</v>
      </c>
      <c r="E1200" s="12" t="s">
        <v>407</v>
      </c>
      <c r="F1200" s="75" t="s">
        <v>6722</v>
      </c>
      <c r="G1200" s="3">
        <v>96</v>
      </c>
      <c r="H1200" s="3" t="s">
        <v>404</v>
      </c>
      <c r="I1200" s="13" t="s">
        <v>225</v>
      </c>
      <c r="J1200" s="72">
        <v>1.35</v>
      </c>
      <c r="K1200" s="14" t="s">
        <v>5196</v>
      </c>
      <c r="L1200" s="9">
        <v>303.17</v>
      </c>
      <c r="M1200" s="3">
        <v>422</v>
      </c>
      <c r="N1200" s="17" t="s">
        <v>5774</v>
      </c>
      <c r="O1200" s="18" t="s">
        <v>5772</v>
      </c>
      <c r="P1200" s="49">
        <f t="shared" si="73"/>
        <v>4.0781323381115779</v>
      </c>
      <c r="Q1200" s="1">
        <f t="shared" si="74"/>
        <v>5.5934042447594932</v>
      </c>
      <c r="R1200" s="1">
        <f t="shared" si="76"/>
        <v>5.9234418632370529</v>
      </c>
      <c r="S1200" s="10">
        <f t="shared" si="75"/>
        <v>4.8357682914355351</v>
      </c>
      <c r="T1200" s="45" cm="1">
        <f t="array" ref="T1200">SUMPRODUCT(P1200:S1200 * P$3:S$3) / SUM(P$3:S$3)</f>
        <v>5.1196620645317621</v>
      </c>
    </row>
    <row r="1201" spans="1:20" ht="16.5" customHeight="1" x14ac:dyDescent="0.25">
      <c r="A1201" s="5" t="s">
        <v>6810</v>
      </c>
      <c r="B1201" s="20" t="s">
        <v>5195</v>
      </c>
      <c r="C1201" s="4" t="s">
        <v>8797</v>
      </c>
      <c r="D1201" s="4" t="s">
        <v>9040</v>
      </c>
      <c r="E1201" s="12" t="s">
        <v>407</v>
      </c>
      <c r="F1201" s="75" t="s">
        <v>6722</v>
      </c>
      <c r="G1201" s="3">
        <v>96</v>
      </c>
      <c r="H1201" s="3" t="s">
        <v>404</v>
      </c>
      <c r="I1201" s="13" t="s">
        <v>225</v>
      </c>
      <c r="J1201" s="72">
        <v>1.35</v>
      </c>
      <c r="K1201" s="14" t="s">
        <v>5196</v>
      </c>
      <c r="L1201" s="9">
        <v>357</v>
      </c>
      <c r="M1201" s="3">
        <v>470.62</v>
      </c>
      <c r="N1201" s="17" t="s">
        <v>5197</v>
      </c>
      <c r="O1201" s="18" t="s">
        <v>5194</v>
      </c>
      <c r="P1201" s="49">
        <f t="shared" si="73"/>
        <v>4.0781323381115779</v>
      </c>
      <c r="Q1201" s="1">
        <f t="shared" si="74"/>
        <v>5.5934042447594932</v>
      </c>
      <c r="R1201" s="1">
        <f t="shared" si="76"/>
        <v>5.9234418632370529</v>
      </c>
      <c r="S1201" s="10">
        <f t="shared" si="75"/>
        <v>4.8357682914355351</v>
      </c>
      <c r="T1201" s="45" cm="1">
        <f t="array" ref="T1201">SUMPRODUCT(P1201:S1201 * P$3:S$3) / SUM(P$3:S$3)</f>
        <v>5.1196620645317621</v>
      </c>
    </row>
    <row r="1202" spans="1:20" ht="16.5" customHeight="1" x14ac:dyDescent="0.25">
      <c r="A1202" s="5" t="s">
        <v>6810</v>
      </c>
      <c r="B1202" s="20" t="s">
        <v>5343</v>
      </c>
      <c r="C1202" s="4" t="s">
        <v>8797</v>
      </c>
      <c r="D1202" s="4" t="s">
        <v>9040</v>
      </c>
      <c r="E1202" s="12" t="s">
        <v>407</v>
      </c>
      <c r="F1202" s="75" t="s">
        <v>6722</v>
      </c>
      <c r="G1202" s="3">
        <v>96</v>
      </c>
      <c r="H1202" s="3" t="s">
        <v>404</v>
      </c>
      <c r="I1202" s="13" t="s">
        <v>225</v>
      </c>
      <c r="J1202" s="72">
        <v>1.35</v>
      </c>
      <c r="K1202" s="14" t="s">
        <v>5196</v>
      </c>
      <c r="L1202" s="9">
        <v>317.39999999999998</v>
      </c>
      <c r="M1202" s="3">
        <v>523.04999999999995</v>
      </c>
      <c r="N1202" s="17" t="s">
        <v>5344</v>
      </c>
      <c r="O1202" s="18" t="s">
        <v>5342</v>
      </c>
      <c r="P1202" s="49">
        <f t="shared" si="73"/>
        <v>4.0781323381115779</v>
      </c>
      <c r="Q1202" s="1">
        <f t="shared" si="74"/>
        <v>5.5934042447594932</v>
      </c>
      <c r="R1202" s="1">
        <f t="shared" si="76"/>
        <v>5.9234418632370529</v>
      </c>
      <c r="S1202" s="10">
        <f t="shared" si="75"/>
        <v>4.8357682914355351</v>
      </c>
      <c r="T1202" s="45" cm="1">
        <f t="array" ref="T1202">SUMPRODUCT(P1202:S1202 * P$3:S$3) / SUM(P$3:S$3)</f>
        <v>5.1196620645317621</v>
      </c>
    </row>
    <row r="1203" spans="1:20" ht="16.5" customHeight="1" x14ac:dyDescent="0.25">
      <c r="A1203" s="5" t="s">
        <v>6759</v>
      </c>
      <c r="B1203" s="20" t="s">
        <v>4366</v>
      </c>
      <c r="C1203" s="4" t="s">
        <v>8798</v>
      </c>
      <c r="D1203" s="4" t="s">
        <v>9040</v>
      </c>
      <c r="E1203" s="12" t="s">
        <v>407</v>
      </c>
      <c r="F1203" s="75" t="s">
        <v>6722</v>
      </c>
      <c r="G1203" s="3">
        <v>96</v>
      </c>
      <c r="H1203" s="3" t="s">
        <v>404</v>
      </c>
      <c r="I1203" s="13" t="s">
        <v>225</v>
      </c>
      <c r="J1203" s="72">
        <v>1.4</v>
      </c>
      <c r="L1203" s="9">
        <v>355.48</v>
      </c>
      <c r="M1203" s="3">
        <v>493.13</v>
      </c>
      <c r="N1203" s="17" t="s">
        <v>4367</v>
      </c>
      <c r="O1203" s="18" t="s">
        <v>4365</v>
      </c>
      <c r="P1203" s="49">
        <f t="shared" si="73"/>
        <v>4.0762635545125319</v>
      </c>
      <c r="Q1203" s="1">
        <f t="shared" si="74"/>
        <v>5.5915354611604471</v>
      </c>
      <c r="R1203" s="1">
        <f t="shared" si="76"/>
        <v>5.9215730796380068</v>
      </c>
      <c r="S1203" s="10">
        <f t="shared" si="75"/>
        <v>4.833899507836489</v>
      </c>
      <c r="T1203" s="45" cm="1">
        <f t="array" ref="T1203">SUMPRODUCT(P1203:S1203 * P$3:S$3) / SUM(P$3:S$3)</f>
        <v>5.117793280932716</v>
      </c>
    </row>
    <row r="1204" spans="1:20" ht="16.5" customHeight="1" x14ac:dyDescent="0.25">
      <c r="A1204" s="5" t="s">
        <v>6759</v>
      </c>
      <c r="B1204" s="20" t="s">
        <v>4481</v>
      </c>
      <c r="C1204" s="4" t="s">
        <v>8798</v>
      </c>
      <c r="D1204" s="4" t="s">
        <v>9040</v>
      </c>
      <c r="E1204" s="12" t="s">
        <v>407</v>
      </c>
      <c r="F1204" s="75" t="s">
        <v>6722</v>
      </c>
      <c r="G1204" s="3">
        <v>96</v>
      </c>
      <c r="H1204" s="3" t="s">
        <v>404</v>
      </c>
      <c r="I1204" s="13" t="s">
        <v>225</v>
      </c>
      <c r="J1204" s="72">
        <v>1.4</v>
      </c>
      <c r="K1204" s="14" t="s">
        <v>4436</v>
      </c>
      <c r="L1204" s="9">
        <v>368.99</v>
      </c>
      <c r="M1204" s="3">
        <v>482.65</v>
      </c>
      <c r="N1204" s="17" t="s">
        <v>4482</v>
      </c>
      <c r="O1204" s="18" t="s">
        <v>4480</v>
      </c>
      <c r="P1204" s="49">
        <f t="shared" si="73"/>
        <v>4.0762635545125319</v>
      </c>
      <c r="Q1204" s="1">
        <f t="shared" si="74"/>
        <v>5.5915354611604471</v>
      </c>
      <c r="R1204" s="1">
        <f t="shared" si="76"/>
        <v>5.9215730796380068</v>
      </c>
      <c r="S1204" s="10">
        <f t="shared" si="75"/>
        <v>4.833899507836489</v>
      </c>
      <c r="T1204" s="45" cm="1">
        <f t="array" ref="T1204">SUMPRODUCT(P1204:S1204 * P$3:S$3) / SUM(P$3:S$3)</f>
        <v>5.117793280932716</v>
      </c>
    </row>
    <row r="1205" spans="1:20" ht="16.5" customHeight="1" x14ac:dyDescent="0.25">
      <c r="A1205" s="5" t="s">
        <v>6946</v>
      </c>
      <c r="B1205" s="20" t="s">
        <v>6580</v>
      </c>
      <c r="C1205" s="4" t="s">
        <v>8796</v>
      </c>
      <c r="D1205" s="4" t="s">
        <v>9041</v>
      </c>
      <c r="E1205" s="12" t="s">
        <v>407</v>
      </c>
      <c r="F1205" s="75" t="s">
        <v>6722</v>
      </c>
      <c r="G1205" s="3">
        <v>96</v>
      </c>
      <c r="H1205" s="3" t="s">
        <v>419</v>
      </c>
      <c r="I1205" s="13" t="s">
        <v>225</v>
      </c>
      <c r="J1205" s="72">
        <v>1.4</v>
      </c>
      <c r="K1205" s="14" t="s">
        <v>6530</v>
      </c>
      <c r="L1205" s="9">
        <v>524.09</v>
      </c>
      <c r="M1205" s="3">
        <v>631.73</v>
      </c>
      <c r="N1205" s="17" t="s">
        <v>6581</v>
      </c>
      <c r="O1205" s="18" t="s">
        <v>6579</v>
      </c>
      <c r="P1205" s="49">
        <f t="shared" si="73"/>
        <v>4.1472394278360589</v>
      </c>
      <c r="Q1205" s="1">
        <f t="shared" si="74"/>
        <v>5.6442520126557554</v>
      </c>
      <c r="R1205" s="1">
        <f t="shared" si="76"/>
        <v>5.9670640538662019</v>
      </c>
      <c r="S1205" s="10">
        <f t="shared" si="75"/>
        <v>4.8957457202459072</v>
      </c>
      <c r="T1205" s="45" cm="1">
        <f t="array" ref="T1205">SUMPRODUCT(P1205:S1205 * P$3:S$3) / SUM(P$3:S$3)</f>
        <v>5.17571873963516</v>
      </c>
    </row>
    <row r="1206" spans="1:20" ht="16.5" customHeight="1" x14ac:dyDescent="0.25">
      <c r="A1206" s="5" t="s">
        <v>6896</v>
      </c>
      <c r="B1206" s="20" t="s">
        <v>6022</v>
      </c>
      <c r="C1206" s="4" t="s">
        <v>8796</v>
      </c>
      <c r="D1206" s="4" t="s">
        <v>9041</v>
      </c>
      <c r="E1206" s="12" t="s">
        <v>407</v>
      </c>
      <c r="F1206" s="75" t="s">
        <v>6722</v>
      </c>
      <c r="G1206" s="3">
        <v>96</v>
      </c>
      <c r="H1206" s="3" t="s">
        <v>419</v>
      </c>
      <c r="I1206" s="13" t="s">
        <v>225</v>
      </c>
      <c r="J1206" s="72">
        <v>1.4</v>
      </c>
      <c r="L1206" s="9">
        <v>367.16</v>
      </c>
      <c r="M1206" s="3">
        <v>431.26</v>
      </c>
      <c r="N1206" s="17" t="s">
        <v>6023</v>
      </c>
      <c r="O1206" s="18" t="s">
        <v>6021</v>
      </c>
      <c r="P1206" s="49">
        <f t="shared" si="73"/>
        <v>4.1472394278360589</v>
      </c>
      <c r="Q1206" s="1">
        <f t="shared" si="74"/>
        <v>5.6442520126557554</v>
      </c>
      <c r="R1206" s="1">
        <f t="shared" si="76"/>
        <v>5.9670640538662019</v>
      </c>
      <c r="S1206" s="10">
        <f t="shared" si="75"/>
        <v>4.8957457202459072</v>
      </c>
      <c r="T1206" s="45" cm="1">
        <f t="array" ref="T1206">SUMPRODUCT(P1206:S1206 * P$3:S$3) / SUM(P$3:S$3)</f>
        <v>5.17571873963516</v>
      </c>
    </row>
    <row r="1207" spans="1:20" ht="16.5" customHeight="1" x14ac:dyDescent="0.25">
      <c r="A1207" s="5" t="s">
        <v>6896</v>
      </c>
      <c r="B1207" s="20" t="s">
        <v>6253</v>
      </c>
      <c r="C1207" s="4" t="s">
        <v>8796</v>
      </c>
      <c r="D1207" s="4" t="s">
        <v>9041</v>
      </c>
      <c r="E1207" s="12" t="s">
        <v>407</v>
      </c>
      <c r="F1207" s="75" t="s">
        <v>6722</v>
      </c>
      <c r="G1207" s="3">
        <v>96</v>
      </c>
      <c r="H1207" s="3" t="s">
        <v>419</v>
      </c>
      <c r="I1207" s="13" t="s">
        <v>225</v>
      </c>
      <c r="J1207" s="72">
        <v>1.4</v>
      </c>
      <c r="K1207" s="14" t="s">
        <v>6175</v>
      </c>
      <c r="L1207" s="9">
        <v>376.86</v>
      </c>
      <c r="M1207" s="3">
        <v>462.97</v>
      </c>
      <c r="N1207" s="17" t="s">
        <v>6254</v>
      </c>
      <c r="O1207" s="18" t="s">
        <v>6252</v>
      </c>
      <c r="P1207" s="49">
        <f t="shared" si="73"/>
        <v>4.1472394278360589</v>
      </c>
      <c r="Q1207" s="1">
        <f t="shared" si="74"/>
        <v>5.6442520126557554</v>
      </c>
      <c r="R1207" s="1">
        <f t="shared" si="76"/>
        <v>5.9670640538662019</v>
      </c>
      <c r="S1207" s="10">
        <f t="shared" si="75"/>
        <v>4.8957457202459072</v>
      </c>
      <c r="T1207" s="45" cm="1">
        <f t="array" ref="T1207">SUMPRODUCT(P1207:S1207 * P$3:S$3) / SUM(P$3:S$3)</f>
        <v>5.17571873963516</v>
      </c>
    </row>
    <row r="1208" spans="1:20" ht="16.5" customHeight="1" x14ac:dyDescent="0.25">
      <c r="A1208" s="5" t="s">
        <v>6960</v>
      </c>
      <c r="B1208" s="20" t="s">
        <v>6678</v>
      </c>
      <c r="C1208" s="4" t="s">
        <v>8796</v>
      </c>
      <c r="D1208" s="4" t="s">
        <v>9042</v>
      </c>
      <c r="E1208" s="12" t="s">
        <v>407</v>
      </c>
      <c r="F1208" s="75" t="s">
        <v>6732</v>
      </c>
      <c r="G1208" s="3">
        <v>32</v>
      </c>
      <c r="H1208" s="3" t="s">
        <v>404</v>
      </c>
      <c r="I1208" s="13" t="s">
        <v>225</v>
      </c>
      <c r="J1208" s="72">
        <v>1.4</v>
      </c>
      <c r="K1208" s="14" t="s">
        <v>6633</v>
      </c>
      <c r="L1208" s="9">
        <v>203.83</v>
      </c>
      <c r="M1208" s="3">
        <v>203.83</v>
      </c>
      <c r="N1208" s="17" t="s">
        <v>6679</v>
      </c>
      <c r="O1208" s="18" t="s">
        <v>6677</v>
      </c>
      <c r="P1208" s="49">
        <f t="shared" si="73"/>
        <v>2.6137645070220912</v>
      </c>
      <c r="Q1208" s="1">
        <f t="shared" si="74"/>
        <v>3.1298260416053223</v>
      </c>
      <c r="R1208" s="1">
        <f t="shared" si="76"/>
        <v>3.208410316584593</v>
      </c>
      <c r="S1208" s="10">
        <f t="shared" si="75"/>
        <v>2.8717952743137065</v>
      </c>
      <c r="T1208" s="45" cm="1">
        <f t="array" ref="T1208">SUMPRODUCT(P1208:S1208 * P$3:S$3) / SUM(P$3:S$3)</f>
        <v>2.96327924501563</v>
      </c>
    </row>
    <row r="1209" spans="1:20" ht="16.5" customHeight="1" x14ac:dyDescent="0.25">
      <c r="A1209" s="5" t="s">
        <v>6942</v>
      </c>
      <c r="B1209" s="20" t="s">
        <v>6565</v>
      </c>
      <c r="C1209" s="4" t="s">
        <v>8796</v>
      </c>
      <c r="D1209" s="4" t="s">
        <v>9042</v>
      </c>
      <c r="E1209" s="12" t="s">
        <v>407</v>
      </c>
      <c r="F1209" s="75" t="s">
        <v>6732</v>
      </c>
      <c r="G1209" s="3">
        <v>32</v>
      </c>
      <c r="H1209" s="3" t="s">
        <v>404</v>
      </c>
      <c r="I1209" s="13" t="s">
        <v>225</v>
      </c>
      <c r="J1209" s="72">
        <v>1.4</v>
      </c>
      <c r="K1209" s="14" t="s">
        <v>6530</v>
      </c>
      <c r="L1209" s="9">
        <v>185.9</v>
      </c>
      <c r="M1209" s="3">
        <v>243.74</v>
      </c>
      <c r="N1209" s="17" t="s">
        <v>6566</v>
      </c>
      <c r="O1209" s="18" t="s">
        <v>6564</v>
      </c>
      <c r="P1209" s="49">
        <f t="shared" si="73"/>
        <v>2.6137645070220912</v>
      </c>
      <c r="Q1209" s="1">
        <f t="shared" si="74"/>
        <v>3.1298260416053223</v>
      </c>
      <c r="R1209" s="1">
        <f t="shared" si="76"/>
        <v>3.208410316584593</v>
      </c>
      <c r="S1209" s="10">
        <f t="shared" si="75"/>
        <v>2.8717952743137065</v>
      </c>
      <c r="T1209" s="45" cm="1">
        <f t="array" ref="T1209">SUMPRODUCT(P1209:S1209 * P$3:S$3) / SUM(P$3:S$3)</f>
        <v>2.96327924501563</v>
      </c>
    </row>
    <row r="1210" spans="1:20" ht="16.5" customHeight="1" x14ac:dyDescent="0.25">
      <c r="A1210" s="5" t="s">
        <v>6942</v>
      </c>
      <c r="B1210" s="20" t="s">
        <v>6617</v>
      </c>
      <c r="C1210" s="4" t="s">
        <v>8796</v>
      </c>
      <c r="D1210" s="4" t="s">
        <v>9042</v>
      </c>
      <c r="E1210" s="12" t="s">
        <v>407</v>
      </c>
      <c r="F1210" s="75" t="s">
        <v>6732</v>
      </c>
      <c r="G1210" s="3">
        <v>32</v>
      </c>
      <c r="H1210" s="3" t="s">
        <v>404</v>
      </c>
      <c r="I1210" s="13" t="s">
        <v>225</v>
      </c>
      <c r="J1210" s="72">
        <v>1.4</v>
      </c>
      <c r="K1210" s="14" t="s">
        <v>6530</v>
      </c>
      <c r="L1210" s="9">
        <v>187.7</v>
      </c>
      <c r="M1210" s="3">
        <v>229.35</v>
      </c>
      <c r="N1210" s="17" t="s">
        <v>6618</v>
      </c>
      <c r="O1210" s="18" t="s">
        <v>6616</v>
      </c>
      <c r="P1210" s="49">
        <f t="shared" si="73"/>
        <v>2.6137645070220912</v>
      </c>
      <c r="Q1210" s="1">
        <f t="shared" si="74"/>
        <v>3.1298260416053223</v>
      </c>
      <c r="R1210" s="1">
        <f t="shared" si="76"/>
        <v>3.208410316584593</v>
      </c>
      <c r="S1210" s="10">
        <f t="shared" si="75"/>
        <v>2.8717952743137065</v>
      </c>
      <c r="T1210" s="45" cm="1">
        <f t="array" ref="T1210">SUMPRODUCT(P1210:S1210 * P$3:S$3) / SUM(P$3:S$3)</f>
        <v>2.96327924501563</v>
      </c>
    </row>
    <row r="1211" spans="1:20" ht="16.5" customHeight="1" x14ac:dyDescent="0.25">
      <c r="A1211" s="5" t="s">
        <v>6920</v>
      </c>
      <c r="B1211" s="20" t="s">
        <v>6114</v>
      </c>
      <c r="C1211" s="4" t="s">
        <v>8796</v>
      </c>
      <c r="D1211" s="4" t="s">
        <v>9042</v>
      </c>
      <c r="E1211" s="12" t="s">
        <v>407</v>
      </c>
      <c r="F1211" s="75" t="s">
        <v>6732</v>
      </c>
      <c r="G1211" s="3">
        <v>32</v>
      </c>
      <c r="H1211" s="3" t="s">
        <v>404</v>
      </c>
      <c r="I1211" s="13" t="s">
        <v>6738</v>
      </c>
      <c r="J1211" s="72">
        <v>1.4</v>
      </c>
      <c r="L1211" s="9">
        <v>125.7</v>
      </c>
      <c r="M1211" s="3">
        <v>163.1</v>
      </c>
      <c r="N1211" s="17" t="s">
        <v>6115</v>
      </c>
      <c r="O1211" s="18" t="s">
        <v>6113</v>
      </c>
      <c r="P1211" s="49">
        <f t="shared" si="73"/>
        <v>2.600084347237491</v>
      </c>
      <c r="Q1211" s="1">
        <f t="shared" si="74"/>
        <v>3.122985961713022</v>
      </c>
      <c r="R1211" s="1">
        <f t="shared" si="76"/>
        <v>3.2015702366922927</v>
      </c>
      <c r="S1211" s="10">
        <f t="shared" si="75"/>
        <v>2.8615351544752565</v>
      </c>
      <c r="T1211" s="45" cm="1">
        <f t="array" ref="T1211">SUMPRODUCT(P1211:S1211 * P$3:S$3) / SUM(P$3:S$3)</f>
        <v>2.9540714451606105</v>
      </c>
    </row>
    <row r="1212" spans="1:20" ht="16.5" customHeight="1" x14ac:dyDescent="0.25">
      <c r="A1212" s="5" t="s">
        <v>6920</v>
      </c>
      <c r="B1212" s="20" t="s">
        <v>6345</v>
      </c>
      <c r="C1212" s="4" t="s">
        <v>8796</v>
      </c>
      <c r="D1212" s="4" t="s">
        <v>9042</v>
      </c>
      <c r="E1212" s="12" t="s">
        <v>407</v>
      </c>
      <c r="F1212" s="75" t="s">
        <v>6732</v>
      </c>
      <c r="G1212" s="3">
        <v>32</v>
      </c>
      <c r="H1212" s="3" t="s">
        <v>404</v>
      </c>
      <c r="I1212" s="13" t="s">
        <v>6738</v>
      </c>
      <c r="J1212" s="72">
        <v>1.4</v>
      </c>
      <c r="K1212" s="14" t="s">
        <v>6175</v>
      </c>
      <c r="L1212" s="9">
        <v>138.99</v>
      </c>
      <c r="M1212" s="3">
        <v>162.06</v>
      </c>
      <c r="N1212" s="17" t="s">
        <v>6346</v>
      </c>
      <c r="O1212" s="18" t="s">
        <v>6344</v>
      </c>
      <c r="P1212" s="49">
        <f t="shared" si="73"/>
        <v>2.600084347237491</v>
      </c>
      <c r="Q1212" s="1">
        <f t="shared" si="74"/>
        <v>3.122985961713022</v>
      </c>
      <c r="R1212" s="1">
        <f t="shared" si="76"/>
        <v>3.2015702366922927</v>
      </c>
      <c r="S1212" s="10">
        <f t="shared" si="75"/>
        <v>2.8615351544752565</v>
      </c>
      <c r="T1212" s="45" cm="1">
        <f t="array" ref="T1212">SUMPRODUCT(P1212:S1212 * P$3:S$3) / SUM(P$3:S$3)</f>
        <v>2.9540714451606105</v>
      </c>
    </row>
    <row r="1213" spans="1:20" ht="16.5" customHeight="1" x14ac:dyDescent="0.25">
      <c r="A1213" s="5" t="s">
        <v>6847</v>
      </c>
      <c r="B1213" s="20" t="s">
        <v>5675</v>
      </c>
      <c r="C1213" s="4" t="s">
        <v>8797</v>
      </c>
      <c r="D1213" s="4" t="s">
        <v>9042</v>
      </c>
      <c r="E1213" s="12" t="s">
        <v>407</v>
      </c>
      <c r="F1213" s="75" t="s">
        <v>6732</v>
      </c>
      <c r="G1213" s="3">
        <v>32</v>
      </c>
      <c r="H1213" s="3" t="s">
        <v>404</v>
      </c>
      <c r="I1213" s="13" t="s">
        <v>6742</v>
      </c>
      <c r="J1213" s="72">
        <v>1.4</v>
      </c>
      <c r="L1213" s="9">
        <v>125.43</v>
      </c>
      <c r="M1213" s="3">
        <v>239.94</v>
      </c>
      <c r="N1213" s="17" t="s">
        <v>5676</v>
      </c>
      <c r="O1213" s="18" t="s">
        <v>5674</v>
      </c>
      <c r="P1213" s="49">
        <f t="shared" si="73"/>
        <v>2.6087766614035619</v>
      </c>
      <c r="Q1213" s="1">
        <f t="shared" si="74"/>
        <v>3.1273321187960574</v>
      </c>
      <c r="R1213" s="1">
        <f t="shared" si="76"/>
        <v>3.2059163937753281</v>
      </c>
      <c r="S1213" s="10">
        <f t="shared" si="75"/>
        <v>2.8680543900998097</v>
      </c>
      <c r="T1213" s="45" cm="1">
        <f t="array" ref="T1213">SUMPRODUCT(P1213:S1213 * P$3:S$3) / SUM(P$3:S$3)</f>
        <v>2.959922041233928</v>
      </c>
    </row>
    <row r="1214" spans="1:20" ht="16.5" customHeight="1" x14ac:dyDescent="0.25">
      <c r="A1214" s="5" t="s">
        <v>6822</v>
      </c>
      <c r="B1214" s="20" t="s">
        <v>5310</v>
      </c>
      <c r="C1214" s="4" t="s">
        <v>8797</v>
      </c>
      <c r="D1214" s="4" t="s">
        <v>9042</v>
      </c>
      <c r="E1214" s="12" t="s">
        <v>407</v>
      </c>
      <c r="F1214" s="75" t="s">
        <v>6732</v>
      </c>
      <c r="G1214" s="3">
        <v>32</v>
      </c>
      <c r="H1214" s="3" t="s">
        <v>404</v>
      </c>
      <c r="I1214" s="13" t="s">
        <v>6742</v>
      </c>
      <c r="J1214" s="72">
        <v>1.4</v>
      </c>
      <c r="K1214" s="14" t="s">
        <v>5196</v>
      </c>
      <c r="L1214" s="9">
        <v>134.9</v>
      </c>
      <c r="M1214" s="3">
        <v>582.9</v>
      </c>
      <c r="N1214" s="17" t="s">
        <v>5311</v>
      </c>
      <c r="O1214" s="18" t="s">
        <v>5309</v>
      </c>
      <c r="P1214" s="49">
        <f t="shared" si="73"/>
        <v>2.6087766614035619</v>
      </c>
      <c r="Q1214" s="1">
        <f t="shared" si="74"/>
        <v>3.1273321187960574</v>
      </c>
      <c r="R1214" s="1">
        <f t="shared" si="76"/>
        <v>3.2059163937753281</v>
      </c>
      <c r="S1214" s="10">
        <f t="shared" si="75"/>
        <v>2.8680543900998097</v>
      </c>
      <c r="T1214" s="45" cm="1">
        <f t="array" ref="T1214">SUMPRODUCT(P1214:S1214 * P$3:S$3) / SUM(P$3:S$3)</f>
        <v>2.959922041233928</v>
      </c>
    </row>
    <row r="1215" spans="1:20" ht="16.5" customHeight="1" x14ac:dyDescent="0.25">
      <c r="A1215" s="5" t="s">
        <v>6822</v>
      </c>
      <c r="B1215" s="20" t="s">
        <v>5412</v>
      </c>
      <c r="C1215" s="4" t="s">
        <v>8797</v>
      </c>
      <c r="D1215" s="4" t="s">
        <v>9042</v>
      </c>
      <c r="E1215" s="12" t="s">
        <v>407</v>
      </c>
      <c r="F1215" s="75" t="s">
        <v>6732</v>
      </c>
      <c r="G1215" s="3">
        <v>32</v>
      </c>
      <c r="H1215" s="3" t="s">
        <v>404</v>
      </c>
      <c r="I1215" s="13" t="s">
        <v>6742</v>
      </c>
      <c r="J1215" s="72">
        <v>1.4</v>
      </c>
      <c r="K1215" s="14" t="s">
        <v>5196</v>
      </c>
      <c r="L1215" s="9">
        <v>138.46</v>
      </c>
      <c r="M1215" s="3">
        <v>204.89</v>
      </c>
      <c r="N1215" s="17" t="s">
        <v>5413</v>
      </c>
      <c r="O1215" s="18" t="s">
        <v>5411</v>
      </c>
      <c r="P1215" s="49">
        <f t="shared" si="73"/>
        <v>2.6087766614035619</v>
      </c>
      <c r="Q1215" s="1">
        <f t="shared" si="74"/>
        <v>3.1273321187960574</v>
      </c>
      <c r="R1215" s="1">
        <f t="shared" si="76"/>
        <v>3.2059163937753281</v>
      </c>
      <c r="S1215" s="10">
        <f t="shared" si="75"/>
        <v>2.8680543900998097</v>
      </c>
      <c r="T1215" s="45" cm="1">
        <f t="array" ref="T1215">SUMPRODUCT(P1215:S1215 * P$3:S$3) / SUM(P$3:S$3)</f>
        <v>2.959922041233928</v>
      </c>
    </row>
    <row r="1216" spans="1:20" ht="16.5" customHeight="1" x14ac:dyDescent="0.25">
      <c r="A1216" s="5" t="s">
        <v>6954</v>
      </c>
      <c r="B1216" s="20" t="s">
        <v>6650</v>
      </c>
      <c r="C1216" s="4" t="s">
        <v>8796</v>
      </c>
      <c r="D1216" s="4" t="s">
        <v>9043</v>
      </c>
      <c r="E1216" s="12" t="s">
        <v>407</v>
      </c>
      <c r="F1216" s="75" t="s">
        <v>6732</v>
      </c>
      <c r="G1216" s="3">
        <v>64</v>
      </c>
      <c r="H1216" s="3" t="s">
        <v>404</v>
      </c>
      <c r="I1216" s="13" t="s">
        <v>225</v>
      </c>
      <c r="J1216" s="72">
        <v>1.4</v>
      </c>
      <c r="K1216" s="14" t="s">
        <v>6633</v>
      </c>
      <c r="L1216" s="9">
        <v>276</v>
      </c>
      <c r="M1216" s="3">
        <v>418</v>
      </c>
      <c r="N1216" s="17" t="s">
        <v>6651</v>
      </c>
      <c r="O1216" s="18" t="s">
        <v>6647</v>
      </c>
      <c r="P1216" s="49">
        <f t="shared" si="73"/>
        <v>3.4169577038892371</v>
      </c>
      <c r="Q1216" s="1">
        <f t="shared" si="74"/>
        <v>4.4684813697172325</v>
      </c>
      <c r="R1216" s="1">
        <f t="shared" si="76"/>
        <v>4.6809311775076941</v>
      </c>
      <c r="S1216" s="10">
        <f t="shared" si="75"/>
        <v>3.9427195368032351</v>
      </c>
      <c r="T1216" s="45" cm="1">
        <f t="array" ref="T1216">SUMPRODUCT(P1216:S1216 * P$3:S$3) / SUM(P$3:S$3)</f>
        <v>4.1371769942829975</v>
      </c>
    </row>
    <row r="1217" spans="1:20" ht="16.5" customHeight="1" x14ac:dyDescent="0.25">
      <c r="A1217" s="5" t="s">
        <v>6932</v>
      </c>
      <c r="B1217" s="20" t="s">
        <v>6536</v>
      </c>
      <c r="C1217" s="4" t="s">
        <v>8796</v>
      </c>
      <c r="D1217" s="4" t="s">
        <v>9043</v>
      </c>
      <c r="E1217" s="12" t="s">
        <v>407</v>
      </c>
      <c r="F1217" s="75" t="s">
        <v>6732</v>
      </c>
      <c r="G1217" s="3">
        <v>64</v>
      </c>
      <c r="H1217" s="3" t="s">
        <v>404</v>
      </c>
      <c r="I1217" s="13" t="s">
        <v>225</v>
      </c>
      <c r="J1217" s="72">
        <v>1.4</v>
      </c>
      <c r="K1217" s="14" t="s">
        <v>6530</v>
      </c>
      <c r="L1217" s="9">
        <v>286.11</v>
      </c>
      <c r="M1217" s="3">
        <v>353.55</v>
      </c>
      <c r="N1217" s="17" t="s">
        <v>6537</v>
      </c>
      <c r="O1217" s="18" t="s">
        <v>6535</v>
      </c>
      <c r="P1217" s="49">
        <f t="shared" si="73"/>
        <v>3.4169577038892371</v>
      </c>
      <c r="Q1217" s="1">
        <f t="shared" si="74"/>
        <v>4.4684813697172325</v>
      </c>
      <c r="R1217" s="1">
        <f t="shared" si="76"/>
        <v>4.6809311775076941</v>
      </c>
      <c r="S1217" s="10">
        <f t="shared" si="75"/>
        <v>3.9427195368032351</v>
      </c>
      <c r="T1217" s="45" cm="1">
        <f t="array" ref="T1217">SUMPRODUCT(P1217:S1217 * P$3:S$3) / SUM(P$3:S$3)</f>
        <v>4.1371769942829975</v>
      </c>
    </row>
    <row r="1218" spans="1:20" ht="16.5" customHeight="1" x14ac:dyDescent="0.25">
      <c r="A1218" s="5" t="s">
        <v>6932</v>
      </c>
      <c r="B1218" s="20" t="s">
        <v>6588</v>
      </c>
      <c r="C1218" s="4" t="s">
        <v>8796</v>
      </c>
      <c r="D1218" s="4" t="s">
        <v>9043</v>
      </c>
      <c r="E1218" s="12" t="s">
        <v>407</v>
      </c>
      <c r="F1218" s="75" t="s">
        <v>6732</v>
      </c>
      <c r="G1218" s="3">
        <v>64</v>
      </c>
      <c r="H1218" s="3" t="s">
        <v>404</v>
      </c>
      <c r="I1218" s="13" t="s">
        <v>225</v>
      </c>
      <c r="J1218" s="72">
        <v>1.4</v>
      </c>
      <c r="K1218" s="14" t="s">
        <v>6530</v>
      </c>
      <c r="L1218" s="9">
        <v>300.36</v>
      </c>
      <c r="M1218" s="3">
        <v>364.45</v>
      </c>
      <c r="N1218" s="17" t="s">
        <v>6589</v>
      </c>
      <c r="O1218" s="18" t="s">
        <v>6587</v>
      </c>
      <c r="P1218" s="49">
        <f t="shared" si="73"/>
        <v>3.4169577038892371</v>
      </c>
      <c r="Q1218" s="1">
        <f t="shared" si="74"/>
        <v>4.4684813697172325</v>
      </c>
      <c r="R1218" s="1">
        <f t="shared" si="76"/>
        <v>4.6809311775076941</v>
      </c>
      <c r="S1218" s="10">
        <f t="shared" si="75"/>
        <v>3.9427195368032351</v>
      </c>
      <c r="T1218" s="45" cm="1">
        <f t="array" ref="T1218">SUMPRODUCT(P1218:S1218 * P$3:S$3) / SUM(P$3:S$3)</f>
        <v>4.1371769942829975</v>
      </c>
    </row>
    <row r="1219" spans="1:20" ht="16.5" customHeight="1" x14ac:dyDescent="0.25">
      <c r="A1219" s="5" t="s">
        <v>6905</v>
      </c>
      <c r="B1219" s="20" t="s">
        <v>6045</v>
      </c>
      <c r="C1219" s="4" t="s">
        <v>8796</v>
      </c>
      <c r="D1219" s="4" t="s">
        <v>9043</v>
      </c>
      <c r="E1219" s="12" t="s">
        <v>407</v>
      </c>
      <c r="F1219" s="75" t="s">
        <v>6732</v>
      </c>
      <c r="G1219" s="3">
        <v>64</v>
      </c>
      <c r="H1219" s="3" t="s">
        <v>404</v>
      </c>
      <c r="I1219" s="13" t="s">
        <v>225</v>
      </c>
      <c r="J1219" s="72">
        <v>1.4</v>
      </c>
      <c r="L1219" s="9">
        <v>240.47</v>
      </c>
      <c r="M1219" s="3">
        <v>344</v>
      </c>
      <c r="N1219" s="17" t="s">
        <v>6046</v>
      </c>
      <c r="O1219" s="18" t="s">
        <v>6042</v>
      </c>
      <c r="P1219" s="49">
        <f t="shared" si="73"/>
        <v>3.4169577038892371</v>
      </c>
      <c r="Q1219" s="1">
        <f t="shared" si="74"/>
        <v>4.4684813697172325</v>
      </c>
      <c r="R1219" s="1">
        <f t="shared" si="76"/>
        <v>4.6809311775076941</v>
      </c>
      <c r="S1219" s="10">
        <f t="shared" si="75"/>
        <v>3.9427195368032351</v>
      </c>
      <c r="T1219" s="45" cm="1">
        <f t="array" ref="T1219">SUMPRODUCT(P1219:S1219 * P$3:S$3) / SUM(P$3:S$3)</f>
        <v>4.1371769942829975</v>
      </c>
    </row>
    <row r="1220" spans="1:20" ht="16.5" customHeight="1" x14ac:dyDescent="0.25">
      <c r="A1220" s="5" t="s">
        <v>6905</v>
      </c>
      <c r="B1220" s="20" t="s">
        <v>6273</v>
      </c>
      <c r="C1220" s="4" t="s">
        <v>8796</v>
      </c>
      <c r="D1220" s="4" t="s">
        <v>9043</v>
      </c>
      <c r="E1220" s="12" t="s">
        <v>407</v>
      </c>
      <c r="F1220" s="75" t="s">
        <v>6732</v>
      </c>
      <c r="G1220" s="3">
        <v>64</v>
      </c>
      <c r="H1220" s="3" t="s">
        <v>404</v>
      </c>
      <c r="I1220" s="13" t="s">
        <v>225</v>
      </c>
      <c r="J1220" s="72">
        <v>1.4</v>
      </c>
      <c r="K1220" s="14" t="s">
        <v>6175</v>
      </c>
      <c r="L1220" s="9">
        <v>262.79000000000002</v>
      </c>
      <c r="M1220" s="3">
        <v>389</v>
      </c>
      <c r="N1220" s="17" t="s">
        <v>6274</v>
      </c>
      <c r="O1220" s="18" t="s">
        <v>6270</v>
      </c>
      <c r="P1220" s="49">
        <f t="shared" si="73"/>
        <v>3.4169577038892371</v>
      </c>
      <c r="Q1220" s="1">
        <f t="shared" si="74"/>
        <v>4.4684813697172325</v>
      </c>
      <c r="R1220" s="1">
        <f t="shared" si="76"/>
        <v>4.6809311775076941</v>
      </c>
      <c r="S1220" s="10">
        <f t="shared" si="75"/>
        <v>3.9427195368032351</v>
      </c>
      <c r="T1220" s="45" cm="1">
        <f t="array" ref="T1220">SUMPRODUCT(P1220:S1220 * P$3:S$3) / SUM(P$3:S$3)</f>
        <v>4.1371769942829975</v>
      </c>
    </row>
    <row r="1221" spans="1:20" ht="16.5" customHeight="1" x14ac:dyDescent="0.25">
      <c r="A1221" s="5" t="s">
        <v>6953</v>
      </c>
      <c r="B1221" s="20" t="s">
        <v>6648</v>
      </c>
      <c r="C1221" s="4" t="s">
        <v>8796</v>
      </c>
      <c r="D1221" s="4" t="s">
        <v>9044</v>
      </c>
      <c r="E1221" s="12" t="s">
        <v>407</v>
      </c>
      <c r="F1221" s="75" t="s">
        <v>6732</v>
      </c>
      <c r="G1221" s="3">
        <v>64</v>
      </c>
      <c r="H1221" s="3" t="s">
        <v>419</v>
      </c>
      <c r="I1221" s="13" t="s">
        <v>225</v>
      </c>
      <c r="J1221" s="72">
        <v>1.4</v>
      </c>
      <c r="K1221" s="14" t="s">
        <v>6633</v>
      </c>
      <c r="L1221" s="9">
        <v>343</v>
      </c>
      <c r="M1221" s="3">
        <v>401.13</v>
      </c>
      <c r="N1221" s="17" t="s">
        <v>6649</v>
      </c>
      <c r="O1221" s="18" t="s">
        <v>6647</v>
      </c>
      <c r="P1221" s="49">
        <f t="shared" si="73"/>
        <v>3.4893742321789754</v>
      </c>
      <c r="Q1221" s="1">
        <f t="shared" si="74"/>
        <v>4.5222784124372</v>
      </c>
      <c r="R1221" s="1">
        <f t="shared" si="76"/>
        <v>4.727322561089772</v>
      </c>
      <c r="S1221" s="10">
        <f t="shared" si="75"/>
        <v>4.0058263223080885</v>
      </c>
      <c r="T1221" s="45" cm="1">
        <f t="array" ref="T1221">SUMPRODUCT(P1221:S1221 * P$3:S$3) / SUM(P$3:S$3)</f>
        <v>4.1962799113712865</v>
      </c>
    </row>
    <row r="1222" spans="1:20" ht="16.5" customHeight="1" x14ac:dyDescent="0.25">
      <c r="A1222" s="5" t="s">
        <v>6904</v>
      </c>
      <c r="B1222" s="20" t="s">
        <v>6043</v>
      </c>
      <c r="C1222" s="4" t="s">
        <v>8796</v>
      </c>
      <c r="D1222" s="4" t="s">
        <v>9044</v>
      </c>
      <c r="E1222" s="12" t="s">
        <v>407</v>
      </c>
      <c r="F1222" s="75" t="s">
        <v>6732</v>
      </c>
      <c r="G1222" s="3">
        <v>64</v>
      </c>
      <c r="H1222" s="3" t="s">
        <v>419</v>
      </c>
      <c r="I1222" s="13" t="s">
        <v>225</v>
      </c>
      <c r="J1222" s="72">
        <v>1.4</v>
      </c>
      <c r="L1222" s="9">
        <v>258</v>
      </c>
      <c r="M1222" s="3">
        <v>311.44</v>
      </c>
      <c r="N1222" s="17" t="s">
        <v>6044</v>
      </c>
      <c r="O1222" s="18" t="s">
        <v>6042</v>
      </c>
      <c r="P1222" s="49">
        <f t="shared" si="73"/>
        <v>3.4893742321789754</v>
      </c>
      <c r="Q1222" s="1">
        <f t="shared" si="74"/>
        <v>4.5222784124372</v>
      </c>
      <c r="R1222" s="1">
        <f t="shared" si="76"/>
        <v>4.727322561089772</v>
      </c>
      <c r="S1222" s="10">
        <f t="shared" si="75"/>
        <v>4.0058263223080885</v>
      </c>
      <c r="T1222" s="45" cm="1">
        <f t="array" ref="T1222">SUMPRODUCT(P1222:S1222 * P$3:S$3) / SUM(P$3:S$3)</f>
        <v>4.1962799113712865</v>
      </c>
    </row>
    <row r="1223" spans="1:20" ht="16.5" customHeight="1" x14ac:dyDescent="0.25">
      <c r="A1223" s="5" t="s">
        <v>6904</v>
      </c>
      <c r="B1223" s="20" t="s">
        <v>6271</v>
      </c>
      <c r="C1223" s="4" t="s">
        <v>8796</v>
      </c>
      <c r="D1223" s="4" t="s">
        <v>9044</v>
      </c>
      <c r="E1223" s="12" t="s">
        <v>407</v>
      </c>
      <c r="F1223" s="75" t="s">
        <v>6732</v>
      </c>
      <c r="G1223" s="3">
        <v>64</v>
      </c>
      <c r="H1223" s="3" t="s">
        <v>419</v>
      </c>
      <c r="I1223" s="13" t="s">
        <v>225</v>
      </c>
      <c r="J1223" s="72">
        <v>1.4</v>
      </c>
      <c r="K1223" s="14" t="s">
        <v>6175</v>
      </c>
      <c r="L1223" s="9">
        <v>291</v>
      </c>
      <c r="M1223" s="3">
        <v>393.83</v>
      </c>
      <c r="N1223" s="17" t="s">
        <v>6272</v>
      </c>
      <c r="O1223" s="18" t="s">
        <v>6270</v>
      </c>
      <c r="P1223" s="49">
        <f t="shared" si="73"/>
        <v>3.4893742321789754</v>
      </c>
      <c r="Q1223" s="1">
        <f t="shared" si="74"/>
        <v>4.5222784124372</v>
      </c>
      <c r="R1223" s="1">
        <f t="shared" si="76"/>
        <v>4.727322561089772</v>
      </c>
      <c r="S1223" s="10">
        <f t="shared" si="75"/>
        <v>4.0058263223080885</v>
      </c>
      <c r="T1223" s="45" cm="1">
        <f t="array" ref="T1223">SUMPRODUCT(P1223:S1223 * P$3:S$3) / SUM(P$3:S$3)</f>
        <v>4.1962799113712865</v>
      </c>
    </row>
    <row r="1224" spans="1:20" ht="16.5" customHeight="1" x14ac:dyDescent="0.25">
      <c r="A1224" s="5" t="s">
        <v>6930</v>
      </c>
      <c r="B1224" s="20" t="s">
        <v>6529</v>
      </c>
      <c r="C1224" s="4" t="s">
        <v>8796</v>
      </c>
      <c r="D1224" s="4" t="s">
        <v>9045</v>
      </c>
      <c r="E1224" s="12" t="s">
        <v>407</v>
      </c>
      <c r="F1224" s="75" t="s">
        <v>6732</v>
      </c>
      <c r="G1224" s="3">
        <v>96</v>
      </c>
      <c r="H1224" s="3" t="s">
        <v>404</v>
      </c>
      <c r="I1224" s="13" t="s">
        <v>225</v>
      </c>
      <c r="J1224" s="72">
        <v>1.4</v>
      </c>
      <c r="K1224" s="14" t="s">
        <v>6530</v>
      </c>
      <c r="L1224" s="9">
        <v>436.98</v>
      </c>
      <c r="M1224" s="3">
        <v>504.35</v>
      </c>
      <c r="N1224" s="17" t="s">
        <v>6531</v>
      </c>
      <c r="O1224" s="18" t="s">
        <v>6528</v>
      </c>
      <c r="P1224" s="49">
        <f t="shared" si="73"/>
        <v>4.1026755622264126</v>
      </c>
      <c r="Q1224" s="1">
        <f t="shared" si="74"/>
        <v>5.611344466945857</v>
      </c>
      <c r="R1224" s="1">
        <f t="shared" si="76"/>
        <v>5.9380805844591817</v>
      </c>
      <c r="S1224" s="10">
        <f t="shared" si="75"/>
        <v>4.8570100145861348</v>
      </c>
      <c r="T1224" s="45" cm="1">
        <f t="array" ref="T1224">SUMPRODUCT(P1224:S1224 * P$3:S$3) / SUM(P$3:S$3)</f>
        <v>5.1393800180065616</v>
      </c>
    </row>
    <row r="1225" spans="1:20" ht="16.5" customHeight="1" x14ac:dyDescent="0.25">
      <c r="A1225" s="5" t="s">
        <v>6930</v>
      </c>
      <c r="B1225" s="20" t="s">
        <v>6577</v>
      </c>
      <c r="C1225" s="4" t="s">
        <v>8796</v>
      </c>
      <c r="D1225" s="4" t="s">
        <v>9045</v>
      </c>
      <c r="E1225" s="12" t="s">
        <v>407</v>
      </c>
      <c r="F1225" s="75" t="s">
        <v>6732</v>
      </c>
      <c r="G1225" s="3">
        <v>96</v>
      </c>
      <c r="H1225" s="3" t="s">
        <v>404</v>
      </c>
      <c r="I1225" s="13" t="s">
        <v>225</v>
      </c>
      <c r="J1225" s="72">
        <v>1.4</v>
      </c>
      <c r="K1225" s="14" t="s">
        <v>6530</v>
      </c>
      <c r="L1225" s="9">
        <v>436.98</v>
      </c>
      <c r="M1225" s="3">
        <v>503.46</v>
      </c>
      <c r="N1225" s="17" t="s">
        <v>6578</v>
      </c>
      <c r="O1225" s="18" t="s">
        <v>6576</v>
      </c>
      <c r="P1225" s="49">
        <f t="shared" si="73"/>
        <v>4.1026755622264126</v>
      </c>
      <c r="Q1225" s="1">
        <f t="shared" si="74"/>
        <v>5.611344466945857</v>
      </c>
      <c r="R1225" s="1">
        <f t="shared" si="76"/>
        <v>5.9380805844591817</v>
      </c>
      <c r="S1225" s="10">
        <f t="shared" si="75"/>
        <v>4.8570100145861348</v>
      </c>
      <c r="T1225" s="45" cm="1">
        <f t="array" ref="T1225">SUMPRODUCT(P1225:S1225 * P$3:S$3) / SUM(P$3:S$3)</f>
        <v>5.1393800180065616</v>
      </c>
    </row>
    <row r="1226" spans="1:20" ht="16.5" customHeight="1" x14ac:dyDescent="0.25">
      <c r="A1226" s="5" t="s">
        <v>6895</v>
      </c>
      <c r="B1226" s="20" t="s">
        <v>6019</v>
      </c>
      <c r="C1226" s="4" t="s">
        <v>8796</v>
      </c>
      <c r="D1226" s="4" t="s">
        <v>9045</v>
      </c>
      <c r="E1226" s="12" t="s">
        <v>407</v>
      </c>
      <c r="F1226" s="75" t="s">
        <v>6732</v>
      </c>
      <c r="G1226" s="3">
        <v>96</v>
      </c>
      <c r="H1226" s="3" t="s">
        <v>404</v>
      </c>
      <c r="I1226" s="13" t="s">
        <v>225</v>
      </c>
      <c r="J1226" s="72">
        <v>1.4</v>
      </c>
      <c r="L1226" s="9">
        <v>366</v>
      </c>
      <c r="M1226" s="3">
        <v>420</v>
      </c>
      <c r="N1226" s="17" t="s">
        <v>6020</v>
      </c>
      <c r="O1226" s="18" t="s">
        <v>6018</v>
      </c>
      <c r="P1226" s="49">
        <f t="shared" ref="P1226:P1289" si="77">(((F1226/F$9)^F$7 * F$2 + (I1226/I$9)^I$7 * I$2 + (J1226/J$9)^J$7 * J$2) * (1+M$3*(MIN(H1226,M$2)-1)+M$4*(H1226-MIN(H1226,M$2))) + (G1226/G$9)^G$7 * G$2)  * P$9</f>
        <v>4.1026755622264126</v>
      </c>
      <c r="Q1226" s="1">
        <f t="shared" ref="Q1226:Q1289" si="78">(((F1226/F$9)^F$7 * F$3 + (I1226/I$9)^I$7 * I$3 + (J1226/J$9)^J$7 * J$3) * (1+M$3*(MIN(H1226,M$2)-1)+M$4*(H1226-MIN(H1226,M$2))) + (G1226/G$9)^G$7 * G$3)  * P$9</f>
        <v>5.611344466945857</v>
      </c>
      <c r="R1226" s="1">
        <f t="shared" si="76"/>
        <v>5.9380805844591817</v>
      </c>
      <c r="S1226" s="10">
        <f t="shared" ref="S1226:S1289" si="79">(((F1226/F$9)^F$7 * F$5 + (I1226/I$9)^I$7 * I$5 + (J1226/J$9)^J$7 * J$5) * (1+M$3*(MIN(H1226,M$2)-1)+M$4*(H1226-MIN(H1226,M$2))) + (G1226/G$9)^G$7 * G$5)  * P$9</f>
        <v>4.8570100145861348</v>
      </c>
      <c r="T1226" s="45" cm="1">
        <f t="array" ref="T1226">SUMPRODUCT(P1226:S1226 * P$3:S$3) / SUM(P$3:S$3)</f>
        <v>5.1393800180065616</v>
      </c>
    </row>
    <row r="1227" spans="1:20" ht="16.5" customHeight="1" x14ac:dyDescent="0.25">
      <c r="A1227" s="5" t="s">
        <v>6895</v>
      </c>
      <c r="B1227" s="20" t="s">
        <v>6250</v>
      </c>
      <c r="C1227" s="4" t="s">
        <v>8796</v>
      </c>
      <c r="D1227" s="4" t="s">
        <v>9045</v>
      </c>
      <c r="E1227" s="12" t="s">
        <v>407</v>
      </c>
      <c r="F1227" s="75" t="s">
        <v>6732</v>
      </c>
      <c r="G1227" s="3">
        <v>96</v>
      </c>
      <c r="H1227" s="3" t="s">
        <v>404</v>
      </c>
      <c r="I1227" s="13" t="s">
        <v>225</v>
      </c>
      <c r="J1227" s="72">
        <v>1.4</v>
      </c>
      <c r="K1227" s="14" t="s">
        <v>6175</v>
      </c>
      <c r="L1227" s="9">
        <v>376</v>
      </c>
      <c r="M1227" s="3">
        <v>487.18</v>
      </c>
      <c r="N1227" s="17" t="s">
        <v>6251</v>
      </c>
      <c r="O1227" s="18" t="s">
        <v>6249</v>
      </c>
      <c r="P1227" s="49">
        <f t="shared" si="77"/>
        <v>4.1026755622264126</v>
      </c>
      <c r="Q1227" s="1">
        <f t="shared" si="78"/>
        <v>5.611344466945857</v>
      </c>
      <c r="R1227" s="1">
        <f t="shared" si="76"/>
        <v>5.9380805844591817</v>
      </c>
      <c r="S1227" s="10">
        <f t="shared" si="79"/>
        <v>4.8570100145861348</v>
      </c>
      <c r="T1227" s="45" cm="1">
        <f t="array" ref="T1227">SUMPRODUCT(P1227:S1227 * P$3:S$3) / SUM(P$3:S$3)</f>
        <v>5.1393800180065616</v>
      </c>
    </row>
    <row r="1228" spans="1:20" ht="16.5" customHeight="1" x14ac:dyDescent="0.25">
      <c r="A1228" s="5" t="s">
        <v>6790</v>
      </c>
      <c r="B1228" s="20" t="s">
        <v>4632</v>
      </c>
      <c r="C1228" s="4" t="s">
        <v>8798</v>
      </c>
      <c r="D1228" s="4" t="s">
        <v>9046</v>
      </c>
      <c r="E1228" s="12" t="s">
        <v>407</v>
      </c>
      <c r="F1228" s="75" t="s">
        <v>6725</v>
      </c>
      <c r="G1228" s="3">
        <v>16</v>
      </c>
      <c r="H1228" s="3" t="s">
        <v>6736</v>
      </c>
      <c r="I1228" s="13" t="s">
        <v>6742</v>
      </c>
      <c r="J1228" s="72">
        <v>1.4</v>
      </c>
      <c r="L1228" s="9">
        <v>68.8</v>
      </c>
      <c r="M1228" s="3">
        <v>103.16</v>
      </c>
      <c r="N1228" s="17" t="s">
        <v>4633</v>
      </c>
      <c r="O1228" s="18" t="s">
        <v>4631</v>
      </c>
      <c r="P1228" s="49">
        <f t="shared" si="77"/>
        <v>2.1038174387328072</v>
      </c>
      <c r="Q1228" s="1">
        <f t="shared" si="78"/>
        <v>2.2956149126385208</v>
      </c>
      <c r="R1228" s="1">
        <f t="shared" si="76"/>
        <v>2.2923060635191805</v>
      </c>
      <c r="S1228" s="10">
        <f t="shared" si="79"/>
        <v>2.1997161756856638</v>
      </c>
      <c r="T1228" s="45" cm="1">
        <f t="array" ref="T1228">SUMPRODUCT(P1228:S1228 * P$3:S$3) / SUM(P$3:S$3)</f>
        <v>2.2287144256527984</v>
      </c>
    </row>
    <row r="1229" spans="1:20" ht="16.5" customHeight="1" x14ac:dyDescent="0.25">
      <c r="A1229" s="5" t="s">
        <v>6790</v>
      </c>
      <c r="B1229" s="20" t="s">
        <v>4634</v>
      </c>
      <c r="C1229" s="4" t="s">
        <v>8798</v>
      </c>
      <c r="D1229" s="4" t="s">
        <v>9046</v>
      </c>
      <c r="E1229" s="12" t="s">
        <v>407</v>
      </c>
      <c r="F1229" s="75" t="s">
        <v>6725</v>
      </c>
      <c r="G1229" s="3">
        <v>16</v>
      </c>
      <c r="H1229" s="3" t="s">
        <v>6736</v>
      </c>
      <c r="I1229" s="13" t="s">
        <v>6742</v>
      </c>
      <c r="J1229" s="72">
        <v>1.4</v>
      </c>
      <c r="L1229" s="9">
        <v>75.900000000000006</v>
      </c>
      <c r="M1229" s="3">
        <v>119.98</v>
      </c>
      <c r="N1229" s="17" t="s">
        <v>4635</v>
      </c>
      <c r="O1229" s="18" t="s">
        <v>4631</v>
      </c>
      <c r="P1229" s="49">
        <f t="shared" si="77"/>
        <v>2.1038174387328072</v>
      </c>
      <c r="Q1229" s="1">
        <f t="shared" si="78"/>
        <v>2.2956149126385208</v>
      </c>
      <c r="R1229" s="1">
        <f t="shared" si="76"/>
        <v>2.2923060635191805</v>
      </c>
      <c r="S1229" s="10">
        <f t="shared" si="79"/>
        <v>2.1997161756856638</v>
      </c>
      <c r="T1229" s="45" cm="1">
        <f t="array" ref="T1229">SUMPRODUCT(P1229:S1229 * P$3:S$3) / SUM(P$3:S$3)</f>
        <v>2.2287144256527984</v>
      </c>
    </row>
    <row r="1230" spans="1:20" ht="16.5" customHeight="1" x14ac:dyDescent="0.25">
      <c r="A1230" s="5" t="s">
        <v>6790</v>
      </c>
      <c r="B1230" s="20" t="s">
        <v>4784</v>
      </c>
      <c r="C1230" s="4" t="s">
        <v>8798</v>
      </c>
      <c r="D1230" s="4" t="s">
        <v>9046</v>
      </c>
      <c r="E1230" s="12" t="s">
        <v>407</v>
      </c>
      <c r="F1230" s="75" t="s">
        <v>6725</v>
      </c>
      <c r="G1230" s="3">
        <v>16</v>
      </c>
      <c r="H1230" s="3" t="s">
        <v>6736</v>
      </c>
      <c r="I1230" s="13" t="s">
        <v>6742</v>
      </c>
      <c r="J1230" s="72">
        <v>1.4</v>
      </c>
      <c r="L1230" s="9">
        <v>74.8</v>
      </c>
      <c r="M1230" s="3">
        <v>107.83</v>
      </c>
      <c r="N1230" s="17" t="s">
        <v>4785</v>
      </c>
      <c r="O1230" s="18" t="s">
        <v>4783</v>
      </c>
      <c r="P1230" s="49">
        <f t="shared" si="77"/>
        <v>2.1038174387328072</v>
      </c>
      <c r="Q1230" s="1">
        <f t="shared" si="78"/>
        <v>2.2956149126385208</v>
      </c>
      <c r="R1230" s="1">
        <f t="shared" si="76"/>
        <v>2.2923060635191805</v>
      </c>
      <c r="S1230" s="10">
        <f t="shared" si="79"/>
        <v>2.1997161756856638</v>
      </c>
      <c r="T1230" s="45" cm="1">
        <f t="array" ref="T1230">SUMPRODUCT(P1230:S1230 * P$3:S$3) / SUM(P$3:S$3)</f>
        <v>2.2287144256527984</v>
      </c>
    </row>
    <row r="1231" spans="1:20" ht="16.5" customHeight="1" x14ac:dyDescent="0.25">
      <c r="A1231" s="5" t="s">
        <v>6790</v>
      </c>
      <c r="B1231" s="20" t="s">
        <v>4786</v>
      </c>
      <c r="C1231" s="4" t="s">
        <v>8798</v>
      </c>
      <c r="D1231" s="4" t="s">
        <v>9046</v>
      </c>
      <c r="E1231" s="12" t="s">
        <v>407</v>
      </c>
      <c r="F1231" s="75" t="s">
        <v>6725</v>
      </c>
      <c r="G1231" s="3">
        <v>16</v>
      </c>
      <c r="H1231" s="3" t="s">
        <v>6736</v>
      </c>
      <c r="I1231" s="13" t="s">
        <v>6742</v>
      </c>
      <c r="J1231" s="72">
        <v>1.4</v>
      </c>
      <c r="L1231" s="9">
        <v>75.5</v>
      </c>
      <c r="M1231" s="3">
        <v>95.86</v>
      </c>
      <c r="N1231" s="17" t="s">
        <v>4787</v>
      </c>
      <c r="O1231" s="18" t="s">
        <v>4783</v>
      </c>
      <c r="P1231" s="49">
        <f t="shared" si="77"/>
        <v>2.1038174387328072</v>
      </c>
      <c r="Q1231" s="1">
        <f t="shared" si="78"/>
        <v>2.2956149126385208</v>
      </c>
      <c r="R1231" s="1">
        <f t="shared" si="76"/>
        <v>2.2923060635191805</v>
      </c>
      <c r="S1231" s="10">
        <f t="shared" si="79"/>
        <v>2.1997161756856638</v>
      </c>
      <c r="T1231" s="45" cm="1">
        <f t="array" ref="T1231">SUMPRODUCT(P1231:S1231 * P$3:S$3) / SUM(P$3:S$3)</f>
        <v>2.2287144256527984</v>
      </c>
    </row>
    <row r="1232" spans="1:20" ht="16.5" customHeight="1" x14ac:dyDescent="0.25">
      <c r="A1232" s="5" t="s">
        <v>6790</v>
      </c>
      <c r="B1232" s="20" t="s">
        <v>4943</v>
      </c>
      <c r="C1232" s="4" t="s">
        <v>8798</v>
      </c>
      <c r="D1232" s="4" t="s">
        <v>9046</v>
      </c>
      <c r="E1232" s="12" t="s">
        <v>407</v>
      </c>
      <c r="F1232" s="75" t="s">
        <v>6725</v>
      </c>
      <c r="G1232" s="3">
        <v>16</v>
      </c>
      <c r="H1232" s="3" t="s">
        <v>6736</v>
      </c>
      <c r="I1232" s="13" t="s">
        <v>6742</v>
      </c>
      <c r="J1232" s="72">
        <v>1.4</v>
      </c>
      <c r="K1232" s="14" t="s">
        <v>4847</v>
      </c>
      <c r="L1232" s="9">
        <v>74.900000000000006</v>
      </c>
      <c r="M1232" s="3">
        <v>125.9</v>
      </c>
      <c r="N1232" s="17" t="s">
        <v>4944</v>
      </c>
      <c r="O1232" s="18" t="s">
        <v>4942</v>
      </c>
      <c r="P1232" s="49">
        <f t="shared" si="77"/>
        <v>2.1038174387328072</v>
      </c>
      <c r="Q1232" s="1">
        <f t="shared" si="78"/>
        <v>2.2956149126385208</v>
      </c>
      <c r="R1232" s="1">
        <f t="shared" ref="R1232:R1295" si="80">(((F1232/F$9)^F$7 * F$4 + (I1232/I$9)^I$7 * I$4 + (J1232/J$9)^J$7 * J$4) * (1+M$3*(MIN(H1232,M$2)-1)+M$4*(H1232-MIN(H1232,M$2))) + (G1232/G$9)^G$7 * G$4)  * P$9</f>
        <v>2.2923060635191805</v>
      </c>
      <c r="S1232" s="10">
        <f t="shared" si="79"/>
        <v>2.1997161756856638</v>
      </c>
      <c r="T1232" s="45" cm="1">
        <f t="array" ref="T1232">SUMPRODUCT(P1232:S1232 * P$3:S$3) / SUM(P$3:S$3)</f>
        <v>2.2287144256527984</v>
      </c>
    </row>
    <row r="1233" spans="1:20" ht="16.5" customHeight="1" x14ac:dyDescent="0.25">
      <c r="A1233" s="5" t="s">
        <v>6790</v>
      </c>
      <c r="B1233" s="20" t="s">
        <v>4945</v>
      </c>
      <c r="C1233" s="4" t="s">
        <v>8798</v>
      </c>
      <c r="D1233" s="4" t="s">
        <v>9046</v>
      </c>
      <c r="E1233" s="12" t="s">
        <v>407</v>
      </c>
      <c r="F1233" s="75" t="s">
        <v>6725</v>
      </c>
      <c r="G1233" s="3">
        <v>16</v>
      </c>
      <c r="H1233" s="3" t="s">
        <v>6736</v>
      </c>
      <c r="I1233" s="13" t="s">
        <v>6742</v>
      </c>
      <c r="J1233" s="72">
        <v>1.4</v>
      </c>
      <c r="K1233" s="14" t="s">
        <v>4847</v>
      </c>
      <c r="L1233" s="9">
        <v>80.900000000000006</v>
      </c>
      <c r="M1233" s="3">
        <v>124.86</v>
      </c>
      <c r="N1233" s="17" t="s">
        <v>4946</v>
      </c>
      <c r="O1233" s="18" t="s">
        <v>4942</v>
      </c>
      <c r="P1233" s="49">
        <f t="shared" si="77"/>
        <v>2.1038174387328072</v>
      </c>
      <c r="Q1233" s="1">
        <f t="shared" si="78"/>
        <v>2.2956149126385208</v>
      </c>
      <c r="R1233" s="1">
        <f t="shared" si="80"/>
        <v>2.2923060635191805</v>
      </c>
      <c r="S1233" s="10">
        <f t="shared" si="79"/>
        <v>2.1997161756856638</v>
      </c>
      <c r="T1233" s="45" cm="1">
        <f t="array" ref="T1233">SUMPRODUCT(P1233:S1233 * P$3:S$3) / SUM(P$3:S$3)</f>
        <v>2.2287144256527984</v>
      </c>
    </row>
    <row r="1234" spans="1:20" ht="16.5" customHeight="1" x14ac:dyDescent="0.25">
      <c r="A1234" s="5" t="s">
        <v>6790</v>
      </c>
      <c r="B1234" s="20" t="s">
        <v>5098</v>
      </c>
      <c r="C1234" s="4" t="s">
        <v>8798</v>
      </c>
      <c r="D1234" s="4" t="s">
        <v>9046</v>
      </c>
      <c r="E1234" s="12" t="s">
        <v>407</v>
      </c>
      <c r="F1234" s="75" t="s">
        <v>6725</v>
      </c>
      <c r="G1234" s="3">
        <v>16</v>
      </c>
      <c r="H1234" s="3" t="s">
        <v>6736</v>
      </c>
      <c r="I1234" s="13" t="s">
        <v>6742</v>
      </c>
      <c r="J1234" s="72">
        <v>1.4</v>
      </c>
      <c r="K1234" s="14" t="s">
        <v>4847</v>
      </c>
      <c r="L1234" s="9">
        <v>76.400000000000006</v>
      </c>
      <c r="M1234" s="3">
        <v>114.6</v>
      </c>
      <c r="N1234" s="17" t="s">
        <v>5099</v>
      </c>
      <c r="O1234" s="18" t="s">
        <v>5097</v>
      </c>
      <c r="P1234" s="49">
        <f t="shared" si="77"/>
        <v>2.1038174387328072</v>
      </c>
      <c r="Q1234" s="1">
        <f t="shared" si="78"/>
        <v>2.2956149126385208</v>
      </c>
      <c r="R1234" s="1">
        <f t="shared" si="80"/>
        <v>2.2923060635191805</v>
      </c>
      <c r="S1234" s="10">
        <f t="shared" si="79"/>
        <v>2.1997161756856638</v>
      </c>
      <c r="T1234" s="45" cm="1">
        <f t="array" ref="T1234">SUMPRODUCT(P1234:S1234 * P$3:S$3) / SUM(P$3:S$3)</f>
        <v>2.2287144256527984</v>
      </c>
    </row>
    <row r="1235" spans="1:20" ht="16.5" customHeight="1" x14ac:dyDescent="0.25">
      <c r="A1235" s="5" t="s">
        <v>6790</v>
      </c>
      <c r="B1235" s="20" t="s">
        <v>5100</v>
      </c>
      <c r="C1235" s="4" t="s">
        <v>8798</v>
      </c>
      <c r="D1235" s="4" t="s">
        <v>9046</v>
      </c>
      <c r="E1235" s="12" t="s">
        <v>407</v>
      </c>
      <c r="F1235" s="75" t="s">
        <v>6725</v>
      </c>
      <c r="G1235" s="3">
        <v>16</v>
      </c>
      <c r="H1235" s="3" t="s">
        <v>6736</v>
      </c>
      <c r="I1235" s="13" t="s">
        <v>6742</v>
      </c>
      <c r="J1235" s="72">
        <v>1.4</v>
      </c>
      <c r="K1235" s="14" t="s">
        <v>4847</v>
      </c>
      <c r="L1235" s="9">
        <v>80.900000000000006</v>
      </c>
      <c r="M1235" s="3">
        <v>125.9</v>
      </c>
      <c r="N1235" s="17" t="s">
        <v>5101</v>
      </c>
      <c r="O1235" s="18" t="s">
        <v>5097</v>
      </c>
      <c r="P1235" s="49">
        <f t="shared" si="77"/>
        <v>2.1038174387328072</v>
      </c>
      <c r="Q1235" s="1">
        <f t="shared" si="78"/>
        <v>2.2956149126385208</v>
      </c>
      <c r="R1235" s="1">
        <f t="shared" si="80"/>
        <v>2.2923060635191805</v>
      </c>
      <c r="S1235" s="10">
        <f t="shared" si="79"/>
        <v>2.1997161756856638</v>
      </c>
      <c r="T1235" s="45" cm="1">
        <f t="array" ref="T1235">SUMPRODUCT(P1235:S1235 * P$3:S$3) / SUM(P$3:S$3)</f>
        <v>2.2287144256527984</v>
      </c>
    </row>
    <row r="1236" spans="1:20" ht="16.5" customHeight="1" x14ac:dyDescent="0.25">
      <c r="A1236" s="5" t="s">
        <v>6770</v>
      </c>
      <c r="B1236" s="20" t="s">
        <v>4423</v>
      </c>
      <c r="C1236" s="4" t="s">
        <v>8798</v>
      </c>
      <c r="D1236" s="4" t="s">
        <v>9046</v>
      </c>
      <c r="E1236" s="12" t="s">
        <v>407</v>
      </c>
      <c r="F1236" s="75" t="s">
        <v>6725</v>
      </c>
      <c r="G1236" s="3">
        <v>16</v>
      </c>
      <c r="H1236" s="3" t="s">
        <v>6736</v>
      </c>
      <c r="I1236" s="13" t="s">
        <v>6739</v>
      </c>
      <c r="J1236" s="72">
        <v>1.4</v>
      </c>
      <c r="L1236" s="9">
        <v>76.900000000000006</v>
      </c>
      <c r="M1236" s="3">
        <v>98.03</v>
      </c>
      <c r="N1236" s="17" t="s">
        <v>4424</v>
      </c>
      <c r="O1236" s="18" t="s">
        <v>4422</v>
      </c>
      <c r="P1236" s="49">
        <f t="shared" si="77"/>
        <v>2.0994018684150961</v>
      </c>
      <c r="Q1236" s="1">
        <f t="shared" si="78"/>
        <v>2.2934071274796657</v>
      </c>
      <c r="R1236" s="1">
        <f t="shared" si="80"/>
        <v>2.290098278360325</v>
      </c>
      <c r="S1236" s="10">
        <f t="shared" si="79"/>
        <v>2.1964044979473809</v>
      </c>
      <c r="T1236" s="45" cm="1">
        <f t="array" ref="T1236">SUMPRODUCT(P1236:S1236 * P$3:S$3) / SUM(P$3:S$3)</f>
        <v>2.225742407169724</v>
      </c>
    </row>
    <row r="1237" spans="1:20" ht="16.5" customHeight="1" x14ac:dyDescent="0.25">
      <c r="A1237" s="5" t="s">
        <v>6770</v>
      </c>
      <c r="B1237" s="20" t="s">
        <v>4466</v>
      </c>
      <c r="C1237" s="4" t="s">
        <v>8798</v>
      </c>
      <c r="D1237" s="4" t="s">
        <v>9046</v>
      </c>
      <c r="E1237" s="12" t="s">
        <v>407</v>
      </c>
      <c r="F1237" s="75" t="s">
        <v>6725</v>
      </c>
      <c r="G1237" s="3">
        <v>16</v>
      </c>
      <c r="H1237" s="3" t="s">
        <v>6736</v>
      </c>
      <c r="I1237" s="13" t="s">
        <v>6739</v>
      </c>
      <c r="J1237" s="72">
        <v>1.4</v>
      </c>
      <c r="K1237" s="14" t="s">
        <v>4436</v>
      </c>
      <c r="L1237" s="9">
        <v>82.9</v>
      </c>
      <c r="M1237" s="3">
        <v>114.91</v>
      </c>
      <c r="N1237" s="17" t="s">
        <v>4467</v>
      </c>
      <c r="O1237" s="18" t="s">
        <v>4465</v>
      </c>
      <c r="P1237" s="49">
        <f t="shared" si="77"/>
        <v>2.0994018684150961</v>
      </c>
      <c r="Q1237" s="1">
        <f t="shared" si="78"/>
        <v>2.2934071274796657</v>
      </c>
      <c r="R1237" s="1">
        <f t="shared" si="80"/>
        <v>2.290098278360325</v>
      </c>
      <c r="S1237" s="10">
        <f t="shared" si="79"/>
        <v>2.1964044979473809</v>
      </c>
      <c r="T1237" s="45" cm="1">
        <f t="array" ref="T1237">SUMPRODUCT(P1237:S1237 * P$3:S$3) / SUM(P$3:S$3)</f>
        <v>2.225742407169724</v>
      </c>
    </row>
    <row r="1238" spans="1:20" ht="16.5" customHeight="1" x14ac:dyDescent="0.25">
      <c r="A1238" s="5" t="s">
        <v>6770</v>
      </c>
      <c r="B1238" s="20" t="s">
        <v>4535</v>
      </c>
      <c r="C1238" s="4" t="s">
        <v>8798</v>
      </c>
      <c r="D1238" s="4" t="s">
        <v>9046</v>
      </c>
      <c r="E1238" s="12" t="s">
        <v>407</v>
      </c>
      <c r="F1238" s="75" t="s">
        <v>6725</v>
      </c>
      <c r="G1238" s="3">
        <v>16</v>
      </c>
      <c r="H1238" s="3" t="s">
        <v>6736</v>
      </c>
      <c r="I1238" s="13" t="s">
        <v>6739</v>
      </c>
      <c r="J1238" s="72">
        <v>1.4</v>
      </c>
      <c r="K1238" s="14" t="s">
        <v>4436</v>
      </c>
      <c r="L1238" s="9">
        <v>80</v>
      </c>
      <c r="M1238" s="3">
        <v>128.43</v>
      </c>
      <c r="N1238" s="17" t="s">
        <v>4536</v>
      </c>
      <c r="O1238" s="18" t="s">
        <v>4534</v>
      </c>
      <c r="P1238" s="49">
        <f t="shared" si="77"/>
        <v>2.0994018684150961</v>
      </c>
      <c r="Q1238" s="1">
        <f t="shared" si="78"/>
        <v>2.2934071274796657</v>
      </c>
      <c r="R1238" s="1">
        <f t="shared" si="80"/>
        <v>2.290098278360325</v>
      </c>
      <c r="S1238" s="10">
        <f t="shared" si="79"/>
        <v>2.1964044979473809</v>
      </c>
      <c r="T1238" s="45" cm="1">
        <f t="array" ref="T1238">SUMPRODUCT(P1238:S1238 * P$3:S$3) / SUM(P$3:S$3)</f>
        <v>2.225742407169724</v>
      </c>
    </row>
    <row r="1239" spans="1:20" ht="16.5" customHeight="1" x14ac:dyDescent="0.25">
      <c r="A1239" s="5" t="s">
        <v>6919</v>
      </c>
      <c r="B1239" s="20" t="s">
        <v>6111</v>
      </c>
      <c r="C1239" s="4" t="s">
        <v>8796</v>
      </c>
      <c r="D1239" s="4" t="s">
        <v>9047</v>
      </c>
      <c r="E1239" s="12" t="s">
        <v>407</v>
      </c>
      <c r="F1239" s="75" t="s">
        <v>6725</v>
      </c>
      <c r="G1239" s="3">
        <v>32</v>
      </c>
      <c r="H1239" s="3" t="s">
        <v>404</v>
      </c>
      <c r="I1239" s="13" t="s">
        <v>6740</v>
      </c>
      <c r="J1239" s="72">
        <v>1.4</v>
      </c>
      <c r="L1239" s="9">
        <v>135.59</v>
      </c>
      <c r="M1239" s="3">
        <v>155.65</v>
      </c>
      <c r="N1239" s="17" t="s">
        <v>6112</v>
      </c>
      <c r="O1239" s="18" t="s">
        <v>6110</v>
      </c>
      <c r="P1239" s="49">
        <f t="shared" si="77"/>
        <v>2.6225194653975592</v>
      </c>
      <c r="Q1239" s="1">
        <f t="shared" si="78"/>
        <v>3.1407666188516465</v>
      </c>
      <c r="R1239" s="1">
        <f t="shared" si="80"/>
        <v>3.216069344801622</v>
      </c>
      <c r="S1239" s="10">
        <f t="shared" si="79"/>
        <v>2.8816430421246024</v>
      </c>
      <c r="T1239" s="45" cm="1">
        <f t="array" ref="T1239">SUMPRODUCT(P1239:S1239 * P$3:S$3) / SUM(P$3:S$3)</f>
        <v>2.9729584081867668</v>
      </c>
    </row>
    <row r="1240" spans="1:20" ht="16.5" customHeight="1" x14ac:dyDescent="0.25">
      <c r="A1240" s="5" t="s">
        <v>6919</v>
      </c>
      <c r="B1240" s="20" t="s">
        <v>6342</v>
      </c>
      <c r="C1240" s="4" t="s">
        <v>8796</v>
      </c>
      <c r="D1240" s="4" t="s">
        <v>9047</v>
      </c>
      <c r="E1240" s="12" t="s">
        <v>407</v>
      </c>
      <c r="F1240" s="75" t="s">
        <v>6725</v>
      </c>
      <c r="G1240" s="3">
        <v>32</v>
      </c>
      <c r="H1240" s="3" t="s">
        <v>404</v>
      </c>
      <c r="I1240" s="13" t="s">
        <v>6740</v>
      </c>
      <c r="J1240" s="72">
        <v>1.4</v>
      </c>
      <c r="K1240" s="14" t="s">
        <v>6175</v>
      </c>
      <c r="L1240" s="9">
        <v>148.32</v>
      </c>
      <c r="M1240" s="3">
        <v>173.29</v>
      </c>
      <c r="N1240" s="17" t="s">
        <v>6343</v>
      </c>
      <c r="O1240" s="18" t="s">
        <v>6341</v>
      </c>
      <c r="P1240" s="49">
        <f t="shared" si="77"/>
        <v>2.6225194653975592</v>
      </c>
      <c r="Q1240" s="1">
        <f t="shared" si="78"/>
        <v>3.1407666188516465</v>
      </c>
      <c r="R1240" s="1">
        <f t="shared" si="80"/>
        <v>3.216069344801622</v>
      </c>
      <c r="S1240" s="10">
        <f t="shared" si="79"/>
        <v>2.8816430421246024</v>
      </c>
      <c r="T1240" s="45" cm="1">
        <f t="array" ref="T1240">SUMPRODUCT(P1240:S1240 * P$3:S$3) / SUM(P$3:S$3)</f>
        <v>2.9729584081867668</v>
      </c>
    </row>
    <row r="1241" spans="1:20" ht="16.5" customHeight="1" x14ac:dyDescent="0.25">
      <c r="A1241" s="5" t="s">
        <v>6846</v>
      </c>
      <c r="B1241" s="20" t="s">
        <v>5672</v>
      </c>
      <c r="C1241" s="4" t="s">
        <v>8797</v>
      </c>
      <c r="D1241" s="4" t="s">
        <v>9047</v>
      </c>
      <c r="E1241" s="12" t="s">
        <v>407</v>
      </c>
      <c r="F1241" s="75" t="s">
        <v>6725</v>
      </c>
      <c r="G1241" s="3">
        <v>32</v>
      </c>
      <c r="H1241" s="3" t="s">
        <v>404</v>
      </c>
      <c r="I1241" s="13" t="s">
        <v>6742</v>
      </c>
      <c r="J1241" s="72">
        <v>1.4</v>
      </c>
      <c r="L1241" s="9">
        <v>125.95</v>
      </c>
      <c r="M1241" s="3">
        <v>157.38999999999999</v>
      </c>
      <c r="N1241" s="17" t="s">
        <v>5673</v>
      </c>
      <c r="O1241" s="18" t="s">
        <v>5671</v>
      </c>
      <c r="P1241" s="49">
        <f t="shared" si="77"/>
        <v>2.6350290536379228</v>
      </c>
      <c r="Q1241" s="1">
        <f t="shared" si="78"/>
        <v>3.1470214129718284</v>
      </c>
      <c r="R1241" s="1">
        <f t="shared" si="80"/>
        <v>3.2223241389218042</v>
      </c>
      <c r="S1241" s="10">
        <f t="shared" si="79"/>
        <v>2.8910252333048758</v>
      </c>
      <c r="T1241" s="45" cm="1">
        <f t="array" ref="T1241">SUMPRODUCT(P1241:S1241 * P$3:S$3) / SUM(P$3:S$3)</f>
        <v>2.98137832334855</v>
      </c>
    </row>
    <row r="1242" spans="1:20" ht="16.5" customHeight="1" x14ac:dyDescent="0.25">
      <c r="A1242" s="5" t="s">
        <v>6821</v>
      </c>
      <c r="B1242" s="20" t="s">
        <v>5307</v>
      </c>
      <c r="C1242" s="4" t="s">
        <v>8797</v>
      </c>
      <c r="D1242" s="4" t="s">
        <v>9047</v>
      </c>
      <c r="E1242" s="12" t="s">
        <v>407</v>
      </c>
      <c r="F1242" s="75" t="s">
        <v>6725</v>
      </c>
      <c r="G1242" s="3">
        <v>32</v>
      </c>
      <c r="H1242" s="3" t="s">
        <v>404</v>
      </c>
      <c r="I1242" s="13" t="s">
        <v>6742</v>
      </c>
      <c r="J1242" s="72">
        <v>1.4</v>
      </c>
      <c r="K1242" s="14" t="s">
        <v>5196</v>
      </c>
      <c r="L1242" s="9">
        <v>122.3</v>
      </c>
      <c r="M1242" s="3">
        <v>254.09</v>
      </c>
      <c r="N1242" s="17" t="s">
        <v>5308</v>
      </c>
      <c r="O1242" s="18" t="s">
        <v>5306</v>
      </c>
      <c r="P1242" s="49">
        <f t="shared" si="77"/>
        <v>2.6350290536379228</v>
      </c>
      <c r="Q1242" s="1">
        <f t="shared" si="78"/>
        <v>3.1470214129718284</v>
      </c>
      <c r="R1242" s="1">
        <f t="shared" si="80"/>
        <v>3.2223241389218042</v>
      </c>
      <c r="S1242" s="10">
        <f t="shared" si="79"/>
        <v>2.8910252333048758</v>
      </c>
      <c r="T1242" s="45" cm="1">
        <f t="array" ref="T1242">SUMPRODUCT(P1242:S1242 * P$3:S$3) / SUM(P$3:S$3)</f>
        <v>2.98137832334855</v>
      </c>
    </row>
    <row r="1243" spans="1:20" ht="16.5" customHeight="1" x14ac:dyDescent="0.25">
      <c r="A1243" s="5" t="s">
        <v>6821</v>
      </c>
      <c r="B1243" s="20" t="s">
        <v>5409</v>
      </c>
      <c r="C1243" s="4" t="s">
        <v>8797</v>
      </c>
      <c r="D1243" s="4" t="s">
        <v>9047</v>
      </c>
      <c r="E1243" s="12" t="s">
        <v>407</v>
      </c>
      <c r="F1243" s="75" t="s">
        <v>6725</v>
      </c>
      <c r="G1243" s="3">
        <v>32</v>
      </c>
      <c r="H1243" s="3" t="s">
        <v>404</v>
      </c>
      <c r="I1243" s="13" t="s">
        <v>6742</v>
      </c>
      <c r="J1243" s="72">
        <v>1.4</v>
      </c>
      <c r="K1243" s="14" t="s">
        <v>5196</v>
      </c>
      <c r="L1243" s="9">
        <v>135.9</v>
      </c>
      <c r="M1243" s="3">
        <v>215</v>
      </c>
      <c r="N1243" s="17" t="s">
        <v>5410</v>
      </c>
      <c r="O1243" s="18" t="s">
        <v>5408</v>
      </c>
      <c r="P1243" s="49">
        <f t="shared" si="77"/>
        <v>2.6350290536379228</v>
      </c>
      <c r="Q1243" s="1">
        <f t="shared" si="78"/>
        <v>3.1470214129718284</v>
      </c>
      <c r="R1243" s="1">
        <f t="shared" si="80"/>
        <v>3.2223241389218042</v>
      </c>
      <c r="S1243" s="10">
        <f t="shared" si="79"/>
        <v>2.8910252333048758</v>
      </c>
      <c r="T1243" s="45" cm="1">
        <f t="array" ref="T1243">SUMPRODUCT(P1243:S1243 * P$3:S$3) / SUM(P$3:S$3)</f>
        <v>2.98137832334855</v>
      </c>
    </row>
    <row r="1244" spans="1:20" ht="16.5" customHeight="1" x14ac:dyDescent="0.25">
      <c r="A1244" s="5" t="s">
        <v>6781</v>
      </c>
      <c r="B1244" s="20" t="s">
        <v>4583</v>
      </c>
      <c r="C1244" s="4" t="s">
        <v>8798</v>
      </c>
      <c r="D1244" s="4" t="s">
        <v>9047</v>
      </c>
      <c r="E1244" s="12" t="s">
        <v>407</v>
      </c>
      <c r="F1244" s="75" t="s">
        <v>6725</v>
      </c>
      <c r="G1244" s="3">
        <v>32</v>
      </c>
      <c r="H1244" s="3" t="s">
        <v>404</v>
      </c>
      <c r="I1244" s="13" t="s">
        <v>6742</v>
      </c>
      <c r="J1244" s="72">
        <v>1.4</v>
      </c>
      <c r="L1244" s="9">
        <v>150.9</v>
      </c>
      <c r="M1244" s="3">
        <v>195.44</v>
      </c>
      <c r="N1244" s="17" t="s">
        <v>4584</v>
      </c>
      <c r="O1244" s="18" t="s">
        <v>4582</v>
      </c>
      <c r="P1244" s="49">
        <f t="shared" si="77"/>
        <v>2.6350290536379228</v>
      </c>
      <c r="Q1244" s="1">
        <f t="shared" si="78"/>
        <v>3.1470214129718284</v>
      </c>
      <c r="R1244" s="1">
        <f t="shared" si="80"/>
        <v>3.2223241389218042</v>
      </c>
      <c r="S1244" s="10">
        <f t="shared" si="79"/>
        <v>2.8910252333048758</v>
      </c>
      <c r="T1244" s="45" cm="1">
        <f t="array" ref="T1244">SUMPRODUCT(P1244:S1244 * P$3:S$3) / SUM(P$3:S$3)</f>
        <v>2.98137832334855</v>
      </c>
    </row>
    <row r="1245" spans="1:20" ht="16.5" customHeight="1" x14ac:dyDescent="0.25">
      <c r="A1245" s="5" t="s">
        <v>6781</v>
      </c>
      <c r="B1245" s="20" t="s">
        <v>4585</v>
      </c>
      <c r="C1245" s="4" t="s">
        <v>8798</v>
      </c>
      <c r="D1245" s="4" t="s">
        <v>9047</v>
      </c>
      <c r="E1245" s="12" t="s">
        <v>407</v>
      </c>
      <c r="F1245" s="75" t="s">
        <v>6725</v>
      </c>
      <c r="G1245" s="3">
        <v>32</v>
      </c>
      <c r="H1245" s="3" t="s">
        <v>404</v>
      </c>
      <c r="I1245" s="13" t="s">
        <v>6742</v>
      </c>
      <c r="J1245" s="72">
        <v>1.4</v>
      </c>
      <c r="L1245" s="9">
        <v>143</v>
      </c>
      <c r="M1245" s="3">
        <v>181.63</v>
      </c>
      <c r="N1245" s="17" t="s">
        <v>4586</v>
      </c>
      <c r="O1245" s="18" t="s">
        <v>4582</v>
      </c>
      <c r="P1245" s="49">
        <f t="shared" si="77"/>
        <v>2.6350290536379228</v>
      </c>
      <c r="Q1245" s="1">
        <f t="shared" si="78"/>
        <v>3.1470214129718284</v>
      </c>
      <c r="R1245" s="1">
        <f t="shared" si="80"/>
        <v>3.2223241389218042</v>
      </c>
      <c r="S1245" s="10">
        <f t="shared" si="79"/>
        <v>2.8910252333048758</v>
      </c>
      <c r="T1245" s="45" cm="1">
        <f t="array" ref="T1245">SUMPRODUCT(P1245:S1245 * P$3:S$3) / SUM(P$3:S$3)</f>
        <v>2.98137832334855</v>
      </c>
    </row>
    <row r="1246" spans="1:20" ht="16.5" customHeight="1" x14ac:dyDescent="0.25">
      <c r="A1246" s="5" t="s">
        <v>6781</v>
      </c>
      <c r="B1246" s="20" t="s">
        <v>4700</v>
      </c>
      <c r="C1246" s="4" t="s">
        <v>8798</v>
      </c>
      <c r="D1246" s="4" t="s">
        <v>9047</v>
      </c>
      <c r="E1246" s="12" t="s">
        <v>407</v>
      </c>
      <c r="F1246" s="75" t="s">
        <v>6725</v>
      </c>
      <c r="G1246" s="3">
        <v>32</v>
      </c>
      <c r="H1246" s="3" t="s">
        <v>404</v>
      </c>
      <c r="I1246" s="13" t="s">
        <v>6742</v>
      </c>
      <c r="J1246" s="72">
        <v>1.4</v>
      </c>
      <c r="L1246" s="9">
        <v>149.85</v>
      </c>
      <c r="M1246" s="3">
        <v>183.51</v>
      </c>
      <c r="N1246" s="17" t="s">
        <v>4701</v>
      </c>
      <c r="O1246" s="18" t="s">
        <v>4699</v>
      </c>
      <c r="P1246" s="49">
        <f t="shared" si="77"/>
        <v>2.6350290536379228</v>
      </c>
      <c r="Q1246" s="1">
        <f t="shared" si="78"/>
        <v>3.1470214129718284</v>
      </c>
      <c r="R1246" s="1">
        <f t="shared" si="80"/>
        <v>3.2223241389218042</v>
      </c>
      <c r="S1246" s="10">
        <f t="shared" si="79"/>
        <v>2.8910252333048758</v>
      </c>
      <c r="T1246" s="45" cm="1">
        <f t="array" ref="T1246">SUMPRODUCT(P1246:S1246 * P$3:S$3) / SUM(P$3:S$3)</f>
        <v>2.98137832334855</v>
      </c>
    </row>
    <row r="1247" spans="1:20" ht="16.5" customHeight="1" x14ac:dyDescent="0.25">
      <c r="A1247" s="5" t="s">
        <v>6781</v>
      </c>
      <c r="B1247" s="20" t="s">
        <v>4702</v>
      </c>
      <c r="C1247" s="4" t="s">
        <v>8798</v>
      </c>
      <c r="D1247" s="4" t="s">
        <v>9047</v>
      </c>
      <c r="E1247" s="12" t="s">
        <v>407</v>
      </c>
      <c r="F1247" s="75" t="s">
        <v>6725</v>
      </c>
      <c r="G1247" s="3">
        <v>32</v>
      </c>
      <c r="H1247" s="3" t="s">
        <v>404</v>
      </c>
      <c r="I1247" s="13" t="s">
        <v>6742</v>
      </c>
      <c r="J1247" s="72">
        <v>1.4</v>
      </c>
      <c r="L1247" s="9">
        <v>143</v>
      </c>
      <c r="M1247" s="3">
        <v>172.84</v>
      </c>
      <c r="N1247" s="17" t="s">
        <v>4703</v>
      </c>
      <c r="O1247" s="18" t="s">
        <v>4699</v>
      </c>
      <c r="P1247" s="49">
        <f t="shared" si="77"/>
        <v>2.6350290536379228</v>
      </c>
      <c r="Q1247" s="1">
        <f t="shared" si="78"/>
        <v>3.1470214129718284</v>
      </c>
      <c r="R1247" s="1">
        <f t="shared" si="80"/>
        <v>3.2223241389218042</v>
      </c>
      <c r="S1247" s="10">
        <f t="shared" si="79"/>
        <v>2.8910252333048758</v>
      </c>
      <c r="T1247" s="45" cm="1">
        <f t="array" ref="T1247">SUMPRODUCT(P1247:S1247 * P$3:S$3) / SUM(P$3:S$3)</f>
        <v>2.98137832334855</v>
      </c>
    </row>
    <row r="1248" spans="1:20" ht="16.5" customHeight="1" x14ac:dyDescent="0.25">
      <c r="A1248" s="5" t="s">
        <v>6781</v>
      </c>
      <c r="B1248" s="20" t="s">
        <v>4882</v>
      </c>
      <c r="C1248" s="4" t="s">
        <v>8798</v>
      </c>
      <c r="D1248" s="4" t="s">
        <v>9047</v>
      </c>
      <c r="E1248" s="12" t="s">
        <v>407</v>
      </c>
      <c r="F1248" s="75" t="s">
        <v>6725</v>
      </c>
      <c r="G1248" s="3">
        <v>32</v>
      </c>
      <c r="H1248" s="3" t="s">
        <v>404</v>
      </c>
      <c r="I1248" s="13" t="s">
        <v>6742</v>
      </c>
      <c r="J1248" s="72">
        <v>1.4</v>
      </c>
      <c r="K1248" s="14" t="s">
        <v>4847</v>
      </c>
      <c r="L1248" s="9">
        <v>161.9</v>
      </c>
      <c r="M1248" s="3">
        <v>242.2</v>
      </c>
      <c r="N1248" s="17" t="s">
        <v>4883</v>
      </c>
      <c r="O1248" s="18" t="s">
        <v>4881</v>
      </c>
      <c r="P1248" s="49">
        <f t="shared" si="77"/>
        <v>2.6350290536379228</v>
      </c>
      <c r="Q1248" s="1">
        <f t="shared" si="78"/>
        <v>3.1470214129718284</v>
      </c>
      <c r="R1248" s="1">
        <f t="shared" si="80"/>
        <v>3.2223241389218042</v>
      </c>
      <c r="S1248" s="10">
        <f t="shared" si="79"/>
        <v>2.8910252333048758</v>
      </c>
      <c r="T1248" s="45" cm="1">
        <f t="array" ref="T1248">SUMPRODUCT(P1248:S1248 * P$3:S$3) / SUM(P$3:S$3)</f>
        <v>2.98137832334855</v>
      </c>
    </row>
    <row r="1249" spans="1:20" ht="16.5" customHeight="1" x14ac:dyDescent="0.25">
      <c r="A1249" s="5" t="s">
        <v>6781</v>
      </c>
      <c r="B1249" s="20" t="s">
        <v>4884</v>
      </c>
      <c r="C1249" s="4" t="s">
        <v>8798</v>
      </c>
      <c r="D1249" s="4" t="s">
        <v>9047</v>
      </c>
      <c r="E1249" s="12" t="s">
        <v>407</v>
      </c>
      <c r="F1249" s="75" t="s">
        <v>6725</v>
      </c>
      <c r="G1249" s="3">
        <v>32</v>
      </c>
      <c r="H1249" s="3" t="s">
        <v>404</v>
      </c>
      <c r="I1249" s="13" t="s">
        <v>6742</v>
      </c>
      <c r="J1249" s="72">
        <v>1.4</v>
      </c>
      <c r="K1249" s="14" t="s">
        <v>4847</v>
      </c>
      <c r="L1249" s="9">
        <v>161.9</v>
      </c>
      <c r="M1249" s="3">
        <v>230.33</v>
      </c>
      <c r="N1249" s="17" t="s">
        <v>4885</v>
      </c>
      <c r="O1249" s="18" t="s">
        <v>4881</v>
      </c>
      <c r="P1249" s="49">
        <f t="shared" si="77"/>
        <v>2.6350290536379228</v>
      </c>
      <c r="Q1249" s="1">
        <f t="shared" si="78"/>
        <v>3.1470214129718284</v>
      </c>
      <c r="R1249" s="1">
        <f t="shared" si="80"/>
        <v>3.2223241389218042</v>
      </c>
      <c r="S1249" s="10">
        <f t="shared" si="79"/>
        <v>2.8910252333048758</v>
      </c>
      <c r="T1249" s="45" cm="1">
        <f t="array" ref="T1249">SUMPRODUCT(P1249:S1249 * P$3:S$3) / SUM(P$3:S$3)</f>
        <v>2.98137832334855</v>
      </c>
    </row>
    <row r="1250" spans="1:20" ht="16.5" customHeight="1" x14ac:dyDescent="0.25">
      <c r="A1250" s="5" t="s">
        <v>6781</v>
      </c>
      <c r="B1250" s="20" t="s">
        <v>5016</v>
      </c>
      <c r="C1250" s="4" t="s">
        <v>8798</v>
      </c>
      <c r="D1250" s="4" t="s">
        <v>9047</v>
      </c>
      <c r="E1250" s="12" t="s">
        <v>407</v>
      </c>
      <c r="F1250" s="75" t="s">
        <v>6725</v>
      </c>
      <c r="G1250" s="3">
        <v>32</v>
      </c>
      <c r="H1250" s="3" t="s">
        <v>404</v>
      </c>
      <c r="I1250" s="13" t="s">
        <v>6742</v>
      </c>
      <c r="J1250" s="72">
        <v>1.4</v>
      </c>
      <c r="K1250" s="14" t="s">
        <v>4847</v>
      </c>
      <c r="L1250" s="9">
        <v>152.9</v>
      </c>
      <c r="M1250" s="3">
        <v>224.96</v>
      </c>
      <c r="N1250" s="17" t="s">
        <v>5017</v>
      </c>
      <c r="O1250" s="18" t="s">
        <v>5015</v>
      </c>
      <c r="P1250" s="49">
        <f t="shared" si="77"/>
        <v>2.6350290536379228</v>
      </c>
      <c r="Q1250" s="1">
        <f t="shared" si="78"/>
        <v>3.1470214129718284</v>
      </c>
      <c r="R1250" s="1">
        <f t="shared" si="80"/>
        <v>3.2223241389218042</v>
      </c>
      <c r="S1250" s="10">
        <f t="shared" si="79"/>
        <v>2.8910252333048758</v>
      </c>
      <c r="T1250" s="45" cm="1">
        <f t="array" ref="T1250">SUMPRODUCT(P1250:S1250 * P$3:S$3) / SUM(P$3:S$3)</f>
        <v>2.98137832334855</v>
      </c>
    </row>
    <row r="1251" spans="1:20" ht="16.5" customHeight="1" x14ac:dyDescent="0.25">
      <c r="A1251" s="5" t="s">
        <v>6781</v>
      </c>
      <c r="B1251" s="20" t="s">
        <v>5018</v>
      </c>
      <c r="C1251" s="4" t="s">
        <v>8798</v>
      </c>
      <c r="D1251" s="4" t="s">
        <v>9047</v>
      </c>
      <c r="E1251" s="12" t="s">
        <v>407</v>
      </c>
      <c r="F1251" s="75" t="s">
        <v>6725</v>
      </c>
      <c r="G1251" s="3">
        <v>32</v>
      </c>
      <c r="H1251" s="3" t="s">
        <v>404</v>
      </c>
      <c r="I1251" s="13" t="s">
        <v>6742</v>
      </c>
      <c r="J1251" s="72">
        <v>1.4</v>
      </c>
      <c r="K1251" s="14" t="s">
        <v>4847</v>
      </c>
      <c r="L1251" s="9">
        <v>152.9</v>
      </c>
      <c r="M1251" s="3">
        <v>218.6</v>
      </c>
      <c r="N1251" s="17" t="s">
        <v>5019</v>
      </c>
      <c r="O1251" s="18" t="s">
        <v>5015</v>
      </c>
      <c r="P1251" s="49">
        <f t="shared" si="77"/>
        <v>2.6350290536379228</v>
      </c>
      <c r="Q1251" s="1">
        <f t="shared" si="78"/>
        <v>3.1470214129718284</v>
      </c>
      <c r="R1251" s="1">
        <f t="shared" si="80"/>
        <v>3.2223241389218042</v>
      </c>
      <c r="S1251" s="10">
        <f t="shared" si="79"/>
        <v>2.8910252333048758</v>
      </c>
      <c r="T1251" s="45" cm="1">
        <f t="array" ref="T1251">SUMPRODUCT(P1251:S1251 * P$3:S$3) / SUM(P$3:S$3)</f>
        <v>2.98137832334855</v>
      </c>
    </row>
    <row r="1252" spans="1:20" ht="16.5" customHeight="1" x14ac:dyDescent="0.25">
      <c r="A1252" s="5" t="s">
        <v>6750</v>
      </c>
      <c r="B1252" s="20" t="s">
        <v>4339</v>
      </c>
      <c r="C1252" s="4" t="s">
        <v>8798</v>
      </c>
      <c r="D1252" s="4" t="s">
        <v>9047</v>
      </c>
      <c r="E1252" s="12" t="s">
        <v>407</v>
      </c>
      <c r="F1252" s="75" t="s">
        <v>6725</v>
      </c>
      <c r="G1252" s="3">
        <v>32</v>
      </c>
      <c r="H1252" s="3" t="s">
        <v>404</v>
      </c>
      <c r="I1252" s="13" t="s">
        <v>6739</v>
      </c>
      <c r="J1252" s="72">
        <v>1.4</v>
      </c>
      <c r="L1252" s="9">
        <v>152.9</v>
      </c>
      <c r="M1252" s="3">
        <v>234.46</v>
      </c>
      <c r="N1252" s="66" t="s">
        <v>4340</v>
      </c>
      <c r="O1252" s="18" t="s">
        <v>4338</v>
      </c>
      <c r="P1252" s="49">
        <f t="shared" si="77"/>
        <v>2.6304896822832671</v>
      </c>
      <c r="Q1252" s="1">
        <f t="shared" si="78"/>
        <v>3.1447517272945005</v>
      </c>
      <c r="R1252" s="1">
        <f t="shared" si="80"/>
        <v>3.2200544532444759</v>
      </c>
      <c r="S1252" s="10">
        <f t="shared" si="79"/>
        <v>2.8876207047888833</v>
      </c>
      <c r="T1252" s="45" cm="1">
        <f t="array" ref="T1252">SUMPRODUCT(P1252:S1252 * P$3:S$3) / SUM(P$3:S$3)</f>
        <v>2.9783229772444546</v>
      </c>
    </row>
    <row r="1253" spans="1:20" ht="16.5" customHeight="1" x14ac:dyDescent="0.25">
      <c r="A1253" s="5" t="s">
        <v>6750</v>
      </c>
      <c r="B1253" s="20" t="s">
        <v>4390</v>
      </c>
      <c r="C1253" s="4" t="s">
        <v>8798</v>
      </c>
      <c r="D1253" s="4" t="s">
        <v>9047</v>
      </c>
      <c r="E1253" s="12" t="s">
        <v>407</v>
      </c>
      <c r="F1253" s="75" t="s">
        <v>6725</v>
      </c>
      <c r="G1253" s="3">
        <v>32</v>
      </c>
      <c r="H1253" s="3" t="s">
        <v>404</v>
      </c>
      <c r="I1253" s="13" t="s">
        <v>6739</v>
      </c>
      <c r="J1253" s="72">
        <v>1.4</v>
      </c>
      <c r="L1253" s="9">
        <v>144.86000000000001</v>
      </c>
      <c r="M1253" s="3">
        <v>179.33</v>
      </c>
      <c r="N1253" s="17" t="s">
        <v>4391</v>
      </c>
      <c r="O1253" s="18" t="s">
        <v>4389</v>
      </c>
      <c r="P1253" s="49">
        <f t="shared" si="77"/>
        <v>2.6304896822832671</v>
      </c>
      <c r="Q1253" s="1">
        <f t="shared" si="78"/>
        <v>3.1447517272945005</v>
      </c>
      <c r="R1253" s="1">
        <f t="shared" si="80"/>
        <v>3.2200544532444759</v>
      </c>
      <c r="S1253" s="10">
        <f t="shared" si="79"/>
        <v>2.8876207047888833</v>
      </c>
      <c r="T1253" s="45" cm="1">
        <f t="array" ref="T1253">SUMPRODUCT(P1253:S1253 * P$3:S$3) / SUM(P$3:S$3)</f>
        <v>2.9783229772444546</v>
      </c>
    </row>
    <row r="1254" spans="1:20" ht="16.5" customHeight="1" x14ac:dyDescent="0.25">
      <c r="A1254" s="5" t="s">
        <v>6750</v>
      </c>
      <c r="B1254" s="20" t="s">
        <v>4448</v>
      </c>
      <c r="C1254" s="4" t="s">
        <v>8798</v>
      </c>
      <c r="D1254" s="4" t="s">
        <v>9047</v>
      </c>
      <c r="E1254" s="12" t="s">
        <v>407</v>
      </c>
      <c r="F1254" s="75" t="s">
        <v>6725</v>
      </c>
      <c r="G1254" s="3">
        <v>32</v>
      </c>
      <c r="H1254" s="3" t="s">
        <v>404</v>
      </c>
      <c r="I1254" s="13" t="s">
        <v>6739</v>
      </c>
      <c r="J1254" s="72">
        <v>1.4</v>
      </c>
      <c r="K1254" s="14" t="s">
        <v>4436</v>
      </c>
      <c r="L1254" s="9">
        <v>164.9</v>
      </c>
      <c r="M1254" s="3">
        <v>227.31</v>
      </c>
      <c r="N1254" s="17" t="s">
        <v>4449</v>
      </c>
      <c r="O1254" s="18" t="s">
        <v>4447</v>
      </c>
      <c r="P1254" s="49">
        <f t="shared" si="77"/>
        <v>2.6304896822832671</v>
      </c>
      <c r="Q1254" s="1">
        <f t="shared" si="78"/>
        <v>3.1447517272945005</v>
      </c>
      <c r="R1254" s="1">
        <f t="shared" si="80"/>
        <v>3.2200544532444759</v>
      </c>
      <c r="S1254" s="10">
        <f t="shared" si="79"/>
        <v>2.8876207047888833</v>
      </c>
      <c r="T1254" s="45" cm="1">
        <f t="array" ref="T1254">SUMPRODUCT(P1254:S1254 * P$3:S$3) / SUM(P$3:S$3)</f>
        <v>2.9783229772444546</v>
      </c>
    </row>
    <row r="1255" spans="1:20" ht="16.5" customHeight="1" x14ac:dyDescent="0.25">
      <c r="A1255" s="5" t="s">
        <v>6750</v>
      </c>
      <c r="B1255" s="20" t="s">
        <v>4502</v>
      </c>
      <c r="C1255" s="4" t="s">
        <v>8798</v>
      </c>
      <c r="D1255" s="4" t="s">
        <v>9047</v>
      </c>
      <c r="E1255" s="12" t="s">
        <v>407</v>
      </c>
      <c r="F1255" s="75" t="s">
        <v>6725</v>
      </c>
      <c r="G1255" s="3">
        <v>32</v>
      </c>
      <c r="H1255" s="3" t="s">
        <v>404</v>
      </c>
      <c r="I1255" s="13" t="s">
        <v>6739</v>
      </c>
      <c r="J1255" s="72">
        <v>1.4</v>
      </c>
      <c r="K1255" s="14" t="s">
        <v>4436</v>
      </c>
      <c r="L1255" s="9">
        <v>164.9</v>
      </c>
      <c r="M1255" s="3">
        <v>211.86</v>
      </c>
      <c r="N1255" s="17" t="s">
        <v>4503</v>
      </c>
      <c r="O1255" s="18" t="s">
        <v>4501</v>
      </c>
      <c r="P1255" s="49">
        <f t="shared" si="77"/>
        <v>2.6304896822832671</v>
      </c>
      <c r="Q1255" s="1">
        <f t="shared" si="78"/>
        <v>3.1447517272945005</v>
      </c>
      <c r="R1255" s="1">
        <f t="shared" si="80"/>
        <v>3.2200544532444759</v>
      </c>
      <c r="S1255" s="10">
        <f t="shared" si="79"/>
        <v>2.8876207047888833</v>
      </c>
      <c r="T1255" s="45" cm="1">
        <f t="array" ref="T1255">SUMPRODUCT(P1255:S1255 * P$3:S$3) / SUM(P$3:S$3)</f>
        <v>2.9783229772444546</v>
      </c>
    </row>
    <row r="1256" spans="1:20" ht="16.5" customHeight="1" x14ac:dyDescent="0.25">
      <c r="A1256" s="5" t="s">
        <v>6843</v>
      </c>
      <c r="B1256" s="20" t="s">
        <v>5660</v>
      </c>
      <c r="C1256" s="4" t="s">
        <v>8797</v>
      </c>
      <c r="D1256" s="4" t="s">
        <v>9048</v>
      </c>
      <c r="E1256" s="12" t="s">
        <v>407</v>
      </c>
      <c r="F1256" s="75" t="s">
        <v>6725</v>
      </c>
      <c r="G1256" s="3">
        <v>48</v>
      </c>
      <c r="H1256" s="3" t="s">
        <v>404</v>
      </c>
      <c r="I1256" s="13" t="s">
        <v>6742</v>
      </c>
      <c r="J1256" s="72">
        <v>1.35</v>
      </c>
      <c r="L1256" s="9">
        <v>179.39</v>
      </c>
      <c r="M1256" s="3">
        <v>209.99</v>
      </c>
      <c r="N1256" s="17" t="s">
        <v>5661</v>
      </c>
      <c r="O1256" s="18" t="s">
        <v>5659</v>
      </c>
      <c r="P1256" s="49">
        <f t="shared" si="77"/>
        <v>3.0590066924482961</v>
      </c>
      <c r="Q1256" s="1">
        <f t="shared" si="78"/>
        <v>3.8524049552564188</v>
      </c>
      <c r="R1256" s="1">
        <f t="shared" si="80"/>
        <v>3.9980591570749491</v>
      </c>
      <c r="S1256" s="10">
        <f t="shared" si="79"/>
        <v>3.4557058238523575</v>
      </c>
      <c r="T1256" s="45" cm="1">
        <f t="array" ref="T1256">SUMPRODUCT(P1256:S1256 * P$3:S$3) / SUM(P$3:S$3)</f>
        <v>3.6001754337949192</v>
      </c>
    </row>
    <row r="1257" spans="1:20" ht="16.5" customHeight="1" x14ac:dyDescent="0.25">
      <c r="A1257" s="5" t="s">
        <v>6827</v>
      </c>
      <c r="B1257" s="20" t="s">
        <v>5382</v>
      </c>
      <c r="C1257" s="4" t="s">
        <v>8797</v>
      </c>
      <c r="D1257" s="4" t="s">
        <v>9048</v>
      </c>
      <c r="E1257" s="12" t="s">
        <v>407</v>
      </c>
      <c r="F1257" s="75" t="s">
        <v>6725</v>
      </c>
      <c r="G1257" s="3">
        <v>48</v>
      </c>
      <c r="H1257" s="3" t="s">
        <v>404</v>
      </c>
      <c r="I1257" s="13" t="s">
        <v>6742</v>
      </c>
      <c r="J1257" s="72">
        <v>1.35</v>
      </c>
      <c r="K1257" s="14" t="s">
        <v>5196</v>
      </c>
      <c r="L1257" s="9">
        <v>172.5</v>
      </c>
      <c r="M1257" s="3">
        <v>319.91000000000003</v>
      </c>
      <c r="N1257" s="17" t="s">
        <v>5383</v>
      </c>
      <c r="O1257" s="18" t="s">
        <v>5381</v>
      </c>
      <c r="P1257" s="49">
        <f t="shared" si="77"/>
        <v>3.0590066924482961</v>
      </c>
      <c r="Q1257" s="1">
        <f t="shared" si="78"/>
        <v>3.8524049552564188</v>
      </c>
      <c r="R1257" s="1">
        <f t="shared" si="80"/>
        <v>3.9980591570749491</v>
      </c>
      <c r="S1257" s="10">
        <f t="shared" si="79"/>
        <v>3.4557058238523575</v>
      </c>
      <c r="T1257" s="45" cm="1">
        <f t="array" ref="T1257">SUMPRODUCT(P1257:S1257 * P$3:S$3) / SUM(P$3:S$3)</f>
        <v>3.6001754337949192</v>
      </c>
    </row>
    <row r="1258" spans="1:20" ht="16.5" customHeight="1" x14ac:dyDescent="0.25">
      <c r="A1258" s="5" t="s">
        <v>6952</v>
      </c>
      <c r="B1258" s="20" t="s">
        <v>6645</v>
      </c>
      <c r="C1258" s="4" t="s">
        <v>8796</v>
      </c>
      <c r="D1258" s="4" t="s">
        <v>9049</v>
      </c>
      <c r="E1258" s="12" t="s">
        <v>407</v>
      </c>
      <c r="F1258" s="75" t="s">
        <v>6725</v>
      </c>
      <c r="G1258" s="3">
        <v>64</v>
      </c>
      <c r="H1258" s="3" t="s">
        <v>404</v>
      </c>
      <c r="I1258" s="13" t="s">
        <v>6740</v>
      </c>
      <c r="J1258" s="72">
        <v>1.4</v>
      </c>
      <c r="K1258" s="14" t="s">
        <v>6633</v>
      </c>
      <c r="L1258" s="9">
        <v>288</v>
      </c>
      <c r="M1258" s="3">
        <v>344.85</v>
      </c>
      <c r="N1258" s="17" t="s">
        <v>6646</v>
      </c>
      <c r="O1258" s="18" t="s">
        <v>6644</v>
      </c>
      <c r="P1258" s="49">
        <f t="shared" si="77"/>
        <v>3.4257126622647052</v>
      </c>
      <c r="Q1258" s="1">
        <f t="shared" si="78"/>
        <v>4.4794219469635568</v>
      </c>
      <c r="R1258" s="1">
        <f t="shared" si="80"/>
        <v>4.6885902057247231</v>
      </c>
      <c r="S1258" s="10">
        <f t="shared" si="79"/>
        <v>3.952567304614131</v>
      </c>
      <c r="T1258" s="45" cm="1">
        <f t="array" ref="T1258">SUMPRODUCT(P1258:S1258 * P$3:S$3) / SUM(P$3:S$3)</f>
        <v>4.1468561574541329</v>
      </c>
    </row>
    <row r="1259" spans="1:20" ht="16.5" customHeight="1" x14ac:dyDescent="0.25">
      <c r="A1259" s="5" t="s">
        <v>6903</v>
      </c>
      <c r="B1259" s="20" t="s">
        <v>6040</v>
      </c>
      <c r="C1259" s="4" t="s">
        <v>8796</v>
      </c>
      <c r="D1259" s="4" t="s">
        <v>9049</v>
      </c>
      <c r="E1259" s="12" t="s">
        <v>407</v>
      </c>
      <c r="F1259" s="75" t="s">
        <v>6725</v>
      </c>
      <c r="G1259" s="3">
        <v>64</v>
      </c>
      <c r="H1259" s="3" t="s">
        <v>404</v>
      </c>
      <c r="I1259" s="13" t="s">
        <v>225</v>
      </c>
      <c r="J1259" s="72">
        <v>1.45</v>
      </c>
      <c r="L1259" s="9">
        <v>241.89</v>
      </c>
      <c r="M1259" s="3">
        <v>297.42</v>
      </c>
      <c r="N1259" s="17" t="s">
        <v>6041</v>
      </c>
      <c r="O1259" s="18" t="s">
        <v>6039</v>
      </c>
      <c r="P1259" s="49">
        <f t="shared" si="77"/>
        <v>3.4414388269010328</v>
      </c>
      <c r="Q1259" s="1">
        <f t="shared" si="78"/>
        <v>4.4863993946704372</v>
      </c>
      <c r="R1259" s="1">
        <f t="shared" si="80"/>
        <v>4.6955676534316044</v>
      </c>
      <c r="S1259" s="10">
        <f t="shared" si="79"/>
        <v>3.9639191107857359</v>
      </c>
      <c r="T1259" s="45" cm="1">
        <f t="array" ref="T1259">SUMPRODUCT(P1259:S1259 * P$3:S$3) / SUM(P$3:S$3)</f>
        <v>4.1568620071750537</v>
      </c>
    </row>
    <row r="1260" spans="1:20" ht="16.5" customHeight="1" x14ac:dyDescent="0.25">
      <c r="A1260" s="5" t="s">
        <v>6841</v>
      </c>
      <c r="B1260" s="20" t="s">
        <v>5628</v>
      </c>
      <c r="C1260" s="4" t="s">
        <v>8797</v>
      </c>
      <c r="D1260" s="4" t="s">
        <v>9049</v>
      </c>
      <c r="E1260" s="12" t="s">
        <v>407</v>
      </c>
      <c r="F1260" s="75" t="s">
        <v>6725</v>
      </c>
      <c r="G1260" s="3">
        <v>64</v>
      </c>
      <c r="H1260" s="3" t="s">
        <v>404</v>
      </c>
      <c r="I1260" s="13" t="s">
        <v>6742</v>
      </c>
      <c r="J1260" s="72">
        <v>1.4</v>
      </c>
      <c r="L1260" s="9">
        <v>243.52</v>
      </c>
      <c r="M1260" s="3">
        <v>295</v>
      </c>
      <c r="N1260" s="17" t="s">
        <v>5629</v>
      </c>
      <c r="O1260" s="18" t="s">
        <v>5627</v>
      </c>
      <c r="P1260" s="49">
        <f t="shared" si="77"/>
        <v>3.4382222505050688</v>
      </c>
      <c r="Q1260" s="1">
        <f t="shared" si="78"/>
        <v>4.4856767410837382</v>
      </c>
      <c r="R1260" s="1">
        <f t="shared" si="80"/>
        <v>4.6948449998449053</v>
      </c>
      <c r="S1260" s="10">
        <f t="shared" si="79"/>
        <v>3.9619494957944044</v>
      </c>
      <c r="T1260" s="45" cm="1">
        <f t="array" ref="T1260">SUMPRODUCT(P1260:S1260 * P$3:S$3) / SUM(P$3:S$3)</f>
        <v>4.1552760726159175</v>
      </c>
    </row>
    <row r="1261" spans="1:20" ht="16.5" customHeight="1" x14ac:dyDescent="0.25">
      <c r="A1261" s="5" t="s">
        <v>6826</v>
      </c>
      <c r="B1261" s="20" t="s">
        <v>5349</v>
      </c>
      <c r="C1261" s="4" t="s">
        <v>8797</v>
      </c>
      <c r="D1261" s="4" t="s">
        <v>9049</v>
      </c>
      <c r="E1261" s="12" t="s">
        <v>407</v>
      </c>
      <c r="F1261" s="75" t="s">
        <v>6725</v>
      </c>
      <c r="G1261" s="3">
        <v>64</v>
      </c>
      <c r="H1261" s="3" t="s">
        <v>404</v>
      </c>
      <c r="I1261" s="13" t="s">
        <v>6742</v>
      </c>
      <c r="J1261" s="72">
        <v>1.4</v>
      </c>
      <c r="K1261" s="14" t="s">
        <v>5196</v>
      </c>
      <c r="L1261" s="9">
        <v>254.8</v>
      </c>
      <c r="M1261" s="3">
        <v>350.15</v>
      </c>
      <c r="N1261" s="17" t="s">
        <v>5350</v>
      </c>
      <c r="O1261" s="18" t="s">
        <v>5348</v>
      </c>
      <c r="P1261" s="49">
        <f t="shared" si="77"/>
        <v>3.4382222505050688</v>
      </c>
      <c r="Q1261" s="1">
        <f t="shared" si="78"/>
        <v>4.4856767410837382</v>
      </c>
      <c r="R1261" s="1">
        <f t="shared" si="80"/>
        <v>4.6948449998449053</v>
      </c>
      <c r="S1261" s="10">
        <f t="shared" si="79"/>
        <v>3.9619494957944044</v>
      </c>
      <c r="T1261" s="45" cm="1">
        <f t="array" ref="T1261">SUMPRODUCT(P1261:S1261 * P$3:S$3) / SUM(P$3:S$3)</f>
        <v>4.1552760726159175</v>
      </c>
    </row>
    <row r="1262" spans="1:20" ht="16.5" customHeight="1" x14ac:dyDescent="0.25">
      <c r="A1262" s="5" t="s">
        <v>6894</v>
      </c>
      <c r="B1262" s="20" t="s">
        <v>6016</v>
      </c>
      <c r="C1262" s="4" t="s">
        <v>8796</v>
      </c>
      <c r="D1262" s="4" t="s">
        <v>9050</v>
      </c>
      <c r="E1262" s="12" t="s">
        <v>407</v>
      </c>
      <c r="F1262" s="75" t="s">
        <v>6725</v>
      </c>
      <c r="G1262" s="3">
        <v>96</v>
      </c>
      <c r="H1262" s="3" t="s">
        <v>404</v>
      </c>
      <c r="I1262" s="13" t="s">
        <v>6740</v>
      </c>
      <c r="J1262" s="72">
        <v>1.4</v>
      </c>
      <c r="L1262" s="9">
        <v>369</v>
      </c>
      <c r="M1262" s="3">
        <v>425.38</v>
      </c>
      <c r="N1262" s="17" t="s">
        <v>6017</v>
      </c>
      <c r="O1262" s="18" t="s">
        <v>6015</v>
      </c>
      <c r="P1262" s="49">
        <f t="shared" si="77"/>
        <v>4.1114305206018802</v>
      </c>
      <c r="Q1262" s="1">
        <f t="shared" si="78"/>
        <v>5.6222850441921812</v>
      </c>
      <c r="R1262" s="1">
        <f t="shared" si="80"/>
        <v>5.9457396126762108</v>
      </c>
      <c r="S1262" s="10">
        <f t="shared" si="79"/>
        <v>4.8668577823970303</v>
      </c>
      <c r="T1262" s="45" cm="1">
        <f t="array" ref="T1262">SUMPRODUCT(P1262:S1262 * P$3:S$3) / SUM(P$3:S$3)</f>
        <v>5.1490591811776962</v>
      </c>
    </row>
    <row r="1263" spans="1:20" ht="16.5" customHeight="1" x14ac:dyDescent="0.25">
      <c r="A1263" s="5" t="s">
        <v>6894</v>
      </c>
      <c r="B1263" s="20" t="s">
        <v>6247</v>
      </c>
      <c r="C1263" s="4" t="s">
        <v>8796</v>
      </c>
      <c r="D1263" s="4" t="s">
        <v>9050</v>
      </c>
      <c r="E1263" s="12" t="s">
        <v>407</v>
      </c>
      <c r="F1263" s="75" t="s">
        <v>6725</v>
      </c>
      <c r="G1263" s="3">
        <v>96</v>
      </c>
      <c r="H1263" s="3" t="s">
        <v>404</v>
      </c>
      <c r="I1263" s="13" t="s">
        <v>6740</v>
      </c>
      <c r="J1263" s="72">
        <v>1.4</v>
      </c>
      <c r="K1263" s="14" t="s">
        <v>6175</v>
      </c>
      <c r="L1263" s="9">
        <v>385</v>
      </c>
      <c r="M1263" s="3">
        <v>442.49</v>
      </c>
      <c r="N1263" s="17" t="s">
        <v>6248</v>
      </c>
      <c r="O1263" s="18" t="s">
        <v>6246</v>
      </c>
      <c r="P1263" s="49">
        <f t="shared" si="77"/>
        <v>4.1114305206018802</v>
      </c>
      <c r="Q1263" s="1">
        <f t="shared" si="78"/>
        <v>5.6222850441921812</v>
      </c>
      <c r="R1263" s="1">
        <f t="shared" si="80"/>
        <v>5.9457396126762108</v>
      </c>
      <c r="S1263" s="10">
        <f t="shared" si="79"/>
        <v>4.8668577823970303</v>
      </c>
      <c r="T1263" s="45" cm="1">
        <f t="array" ref="T1263">SUMPRODUCT(P1263:S1263 * P$3:S$3) / SUM(P$3:S$3)</f>
        <v>5.1490591811776962</v>
      </c>
    </row>
    <row r="1264" spans="1:20" ht="16.5" customHeight="1" x14ac:dyDescent="0.25">
      <c r="A1264" s="5" t="s">
        <v>6839</v>
      </c>
      <c r="B1264" s="20" t="s">
        <v>5622</v>
      </c>
      <c r="C1264" s="4" t="s">
        <v>8797</v>
      </c>
      <c r="D1264" s="4" t="s">
        <v>9050</v>
      </c>
      <c r="E1264" s="12" t="s">
        <v>407</v>
      </c>
      <c r="F1264" s="75" t="s">
        <v>6725</v>
      </c>
      <c r="G1264" s="3">
        <v>96</v>
      </c>
      <c r="H1264" s="3" t="s">
        <v>404</v>
      </c>
      <c r="I1264" s="13" t="s">
        <v>6742</v>
      </c>
      <c r="J1264" s="72">
        <v>1.35</v>
      </c>
      <c r="L1264" s="9">
        <v>361.29</v>
      </c>
      <c r="M1264" s="3">
        <v>564.35</v>
      </c>
      <c r="N1264" s="17" t="s">
        <v>5623</v>
      </c>
      <c r="O1264" s="18" t="s">
        <v>5621</v>
      </c>
      <c r="P1264" s="49">
        <f t="shared" si="77"/>
        <v>4.1258088924412908</v>
      </c>
      <c r="Q1264" s="1">
        <f t="shared" si="78"/>
        <v>5.6304086219114096</v>
      </c>
      <c r="R1264" s="1">
        <f t="shared" si="80"/>
        <v>5.95386319039544</v>
      </c>
      <c r="S1264" s="10">
        <f t="shared" si="79"/>
        <v>4.8781087571763502</v>
      </c>
      <c r="T1264" s="45" cm="1">
        <f t="array" ref="T1264">SUMPRODUCT(P1264:S1264 * P$3:S$3) / SUM(P$3:S$3)</f>
        <v>5.1593478799385268</v>
      </c>
    </row>
    <row r="1265" spans="1:20" ht="16.5" customHeight="1" x14ac:dyDescent="0.25">
      <c r="A1265" s="5" t="s">
        <v>6824</v>
      </c>
      <c r="B1265" s="20" t="s">
        <v>5340</v>
      </c>
      <c r="C1265" s="4" t="s">
        <v>8797</v>
      </c>
      <c r="D1265" s="4" t="s">
        <v>9050</v>
      </c>
      <c r="E1265" s="12" t="s">
        <v>407</v>
      </c>
      <c r="F1265" s="75" t="s">
        <v>6725</v>
      </c>
      <c r="G1265" s="3">
        <v>96</v>
      </c>
      <c r="H1265" s="3" t="s">
        <v>404</v>
      </c>
      <c r="I1265" s="13" t="s">
        <v>6742</v>
      </c>
      <c r="J1265" s="72">
        <v>1.35</v>
      </c>
      <c r="K1265" s="14" t="s">
        <v>5196</v>
      </c>
      <c r="L1265" s="9">
        <v>379.57</v>
      </c>
      <c r="M1265" s="3">
        <v>505.79</v>
      </c>
      <c r="N1265" s="17" t="s">
        <v>5341</v>
      </c>
      <c r="O1265" s="18" t="s">
        <v>5339</v>
      </c>
      <c r="P1265" s="49">
        <f t="shared" si="77"/>
        <v>4.1258088924412908</v>
      </c>
      <c r="Q1265" s="1">
        <f t="shared" si="78"/>
        <v>5.6304086219114096</v>
      </c>
      <c r="R1265" s="1">
        <f t="shared" si="80"/>
        <v>5.95386319039544</v>
      </c>
      <c r="S1265" s="10">
        <f t="shared" si="79"/>
        <v>4.8781087571763502</v>
      </c>
      <c r="T1265" s="45" cm="1">
        <f t="array" ref="T1265">SUMPRODUCT(P1265:S1265 * P$3:S$3) / SUM(P$3:S$3)</f>
        <v>5.1593478799385268</v>
      </c>
    </row>
    <row r="1266" spans="1:20" ht="16.5" customHeight="1" x14ac:dyDescent="0.25">
      <c r="A1266" s="5" t="s">
        <v>6941</v>
      </c>
      <c r="B1266" s="20" t="s">
        <v>6562</v>
      </c>
      <c r="C1266" s="4" t="s">
        <v>8796</v>
      </c>
      <c r="D1266" s="4" t="s">
        <v>9051</v>
      </c>
      <c r="E1266" s="12" t="s">
        <v>407</v>
      </c>
      <c r="F1266" s="75" t="s">
        <v>6734</v>
      </c>
      <c r="G1266" s="3">
        <v>32</v>
      </c>
      <c r="H1266" s="3" t="s">
        <v>404</v>
      </c>
      <c r="I1266" s="13" t="s">
        <v>6742</v>
      </c>
      <c r="J1266" s="72">
        <v>1.45</v>
      </c>
      <c r="K1266" s="14" t="s">
        <v>6530</v>
      </c>
      <c r="L1266" s="9">
        <v>198.9</v>
      </c>
      <c r="M1266" s="3">
        <v>241.41</v>
      </c>
      <c r="N1266" s="17" t="s">
        <v>6563</v>
      </c>
      <c r="O1266" s="18" t="s">
        <v>6561</v>
      </c>
      <c r="P1266" s="49">
        <f t="shared" si="77"/>
        <v>2.6593561797611427</v>
      </c>
      <c r="Q1266" s="1">
        <f t="shared" si="78"/>
        <v>3.1648239402586018</v>
      </c>
      <c r="R1266" s="1">
        <f t="shared" si="80"/>
        <v>3.2368643667903543</v>
      </c>
      <c r="S1266" s="10">
        <f t="shared" si="79"/>
        <v>2.9120900600098722</v>
      </c>
      <c r="T1266" s="45" cm="1">
        <f t="array" ref="T1266">SUMPRODUCT(P1266:S1266 * P$3:S$3) / SUM(P$3:S$3)</f>
        <v>3.0009374733989818</v>
      </c>
    </row>
    <row r="1267" spans="1:20" ht="16.5" customHeight="1" x14ac:dyDescent="0.25">
      <c r="A1267" s="5" t="s">
        <v>6941</v>
      </c>
      <c r="B1267" s="20" t="s">
        <v>6614</v>
      </c>
      <c r="C1267" s="4" t="s">
        <v>8796</v>
      </c>
      <c r="D1267" s="4" t="s">
        <v>9051</v>
      </c>
      <c r="E1267" s="12" t="s">
        <v>407</v>
      </c>
      <c r="F1267" s="75" t="s">
        <v>6734</v>
      </c>
      <c r="G1267" s="3">
        <v>32</v>
      </c>
      <c r="H1267" s="3" t="s">
        <v>404</v>
      </c>
      <c r="I1267" s="13" t="s">
        <v>6742</v>
      </c>
      <c r="J1267" s="72">
        <v>1.45</v>
      </c>
      <c r="K1267" s="14" t="s">
        <v>6530</v>
      </c>
      <c r="L1267" s="9">
        <v>200.94</v>
      </c>
      <c r="M1267" s="3">
        <v>239.94</v>
      </c>
      <c r="N1267" s="17" t="s">
        <v>6615</v>
      </c>
      <c r="O1267" s="18" t="s">
        <v>6613</v>
      </c>
      <c r="P1267" s="49">
        <f t="shared" si="77"/>
        <v>2.6593561797611427</v>
      </c>
      <c r="Q1267" s="1">
        <f t="shared" si="78"/>
        <v>3.1648239402586018</v>
      </c>
      <c r="R1267" s="1">
        <f t="shared" si="80"/>
        <v>3.2368643667903543</v>
      </c>
      <c r="S1267" s="10">
        <f t="shared" si="79"/>
        <v>2.9120900600098722</v>
      </c>
      <c r="T1267" s="45" cm="1">
        <f t="array" ref="T1267">SUMPRODUCT(P1267:S1267 * P$3:S$3) / SUM(P$3:S$3)</f>
        <v>3.0009374733989818</v>
      </c>
    </row>
    <row r="1268" spans="1:20" ht="16.5" customHeight="1" x14ac:dyDescent="0.25">
      <c r="A1268" s="5" t="s">
        <v>6918</v>
      </c>
      <c r="B1268" s="20" t="s">
        <v>6105</v>
      </c>
      <c r="C1268" s="4" t="s">
        <v>8796</v>
      </c>
      <c r="D1268" s="4" t="s">
        <v>9051</v>
      </c>
      <c r="E1268" s="12" t="s">
        <v>407</v>
      </c>
      <c r="F1268" s="75" t="s">
        <v>6734</v>
      </c>
      <c r="G1268" s="3">
        <v>32</v>
      </c>
      <c r="H1268" s="3" t="s">
        <v>404</v>
      </c>
      <c r="I1268" s="13" t="s">
        <v>6740</v>
      </c>
      <c r="J1268" s="72">
        <v>1.4</v>
      </c>
      <c r="L1268" s="9">
        <v>140.51</v>
      </c>
      <c r="M1268" s="3">
        <v>164.87</v>
      </c>
      <c r="N1268" s="17" t="s">
        <v>6106</v>
      </c>
      <c r="O1268" s="18" t="s">
        <v>6104</v>
      </c>
      <c r="P1268" s="49">
        <f t="shared" si="77"/>
        <v>2.6486178607433439</v>
      </c>
      <c r="Q1268" s="1">
        <f t="shared" si="78"/>
        <v>3.1603404153609853</v>
      </c>
      <c r="R1268" s="1">
        <f t="shared" si="80"/>
        <v>3.2323808418927378</v>
      </c>
      <c r="S1268" s="10">
        <f t="shared" si="79"/>
        <v>2.9044791380521646</v>
      </c>
      <c r="T1268" s="45" cm="1">
        <f t="array" ref="T1268">SUMPRODUCT(P1268:S1268 * P$3:S$3) / SUM(P$3:S$3)</f>
        <v>2.9942888274597639</v>
      </c>
    </row>
    <row r="1269" spans="1:20" ht="16.5" customHeight="1" x14ac:dyDescent="0.25">
      <c r="A1269" s="5" t="s">
        <v>6918</v>
      </c>
      <c r="B1269" s="20" t="s">
        <v>6108</v>
      </c>
      <c r="C1269" s="4" t="s">
        <v>8796</v>
      </c>
      <c r="D1269" s="4" t="s">
        <v>9051</v>
      </c>
      <c r="E1269" s="12" t="s">
        <v>407</v>
      </c>
      <c r="F1269" s="75" t="s">
        <v>6734</v>
      </c>
      <c r="G1269" s="3">
        <v>32</v>
      </c>
      <c r="H1269" s="3" t="s">
        <v>404</v>
      </c>
      <c r="I1269" s="13" t="s">
        <v>6742</v>
      </c>
      <c r="J1269" s="72">
        <v>1.45</v>
      </c>
      <c r="L1269" s="9">
        <v>141.9</v>
      </c>
      <c r="M1269" s="3">
        <v>187.56</v>
      </c>
      <c r="N1269" s="17" t="s">
        <v>6109</v>
      </c>
      <c r="O1269" s="18" t="s">
        <v>6107</v>
      </c>
      <c r="P1269" s="49">
        <f t="shared" si="77"/>
        <v>2.6593561797611427</v>
      </c>
      <c r="Q1269" s="1">
        <f t="shared" si="78"/>
        <v>3.1648239402586018</v>
      </c>
      <c r="R1269" s="1">
        <f t="shared" si="80"/>
        <v>3.2368643667903543</v>
      </c>
      <c r="S1269" s="10">
        <f t="shared" si="79"/>
        <v>2.9120900600098722</v>
      </c>
      <c r="T1269" s="45" cm="1">
        <f t="array" ref="T1269">SUMPRODUCT(P1269:S1269 * P$3:S$3) / SUM(P$3:S$3)</f>
        <v>3.0009374733989818</v>
      </c>
    </row>
    <row r="1270" spans="1:20" ht="16.5" customHeight="1" x14ac:dyDescent="0.25">
      <c r="A1270" s="5" t="s">
        <v>6918</v>
      </c>
      <c r="B1270" s="20" t="s">
        <v>6336</v>
      </c>
      <c r="C1270" s="4" t="s">
        <v>8796</v>
      </c>
      <c r="D1270" s="4" t="s">
        <v>9051</v>
      </c>
      <c r="E1270" s="12" t="s">
        <v>407</v>
      </c>
      <c r="F1270" s="75" t="s">
        <v>6734</v>
      </c>
      <c r="G1270" s="3">
        <v>32</v>
      </c>
      <c r="H1270" s="3" t="s">
        <v>404</v>
      </c>
      <c r="I1270" s="13" t="s">
        <v>6740</v>
      </c>
      <c r="J1270" s="72">
        <v>1.4</v>
      </c>
      <c r="K1270" s="14" t="s">
        <v>6175</v>
      </c>
      <c r="L1270" s="9">
        <v>155.01</v>
      </c>
      <c r="M1270" s="3">
        <v>203.24</v>
      </c>
      <c r="N1270" s="17" t="s">
        <v>6337</v>
      </c>
      <c r="O1270" s="18" t="s">
        <v>6335</v>
      </c>
      <c r="P1270" s="49">
        <f t="shared" si="77"/>
        <v>2.6486178607433439</v>
      </c>
      <c r="Q1270" s="1">
        <f t="shared" si="78"/>
        <v>3.1603404153609853</v>
      </c>
      <c r="R1270" s="1">
        <f t="shared" si="80"/>
        <v>3.2323808418927378</v>
      </c>
      <c r="S1270" s="10">
        <f t="shared" si="79"/>
        <v>2.9044791380521646</v>
      </c>
      <c r="T1270" s="45" cm="1">
        <f t="array" ref="T1270">SUMPRODUCT(P1270:S1270 * P$3:S$3) / SUM(P$3:S$3)</f>
        <v>2.9942888274597639</v>
      </c>
    </row>
    <row r="1271" spans="1:20" ht="16.5" customHeight="1" x14ac:dyDescent="0.25">
      <c r="A1271" s="5" t="s">
        <v>6918</v>
      </c>
      <c r="B1271" s="20" t="s">
        <v>6339</v>
      </c>
      <c r="C1271" s="4" t="s">
        <v>8796</v>
      </c>
      <c r="D1271" s="4" t="s">
        <v>9051</v>
      </c>
      <c r="E1271" s="12" t="s">
        <v>407</v>
      </c>
      <c r="F1271" s="75" t="s">
        <v>6734</v>
      </c>
      <c r="G1271" s="3">
        <v>32</v>
      </c>
      <c r="H1271" s="3" t="s">
        <v>404</v>
      </c>
      <c r="I1271" s="13" t="s">
        <v>6742</v>
      </c>
      <c r="J1271" s="72">
        <v>1.45</v>
      </c>
      <c r="K1271" s="14" t="s">
        <v>6175</v>
      </c>
      <c r="L1271" s="9">
        <v>154.9</v>
      </c>
      <c r="M1271" s="3">
        <v>206.56</v>
      </c>
      <c r="N1271" s="17" t="s">
        <v>6340</v>
      </c>
      <c r="O1271" s="18" t="s">
        <v>6338</v>
      </c>
      <c r="P1271" s="49">
        <f t="shared" si="77"/>
        <v>2.6593561797611427</v>
      </c>
      <c r="Q1271" s="1">
        <f t="shared" si="78"/>
        <v>3.1648239402586018</v>
      </c>
      <c r="R1271" s="1">
        <f t="shared" si="80"/>
        <v>3.2368643667903543</v>
      </c>
      <c r="S1271" s="10">
        <f t="shared" si="79"/>
        <v>2.9120900600098722</v>
      </c>
      <c r="T1271" s="45" cm="1">
        <f t="array" ref="T1271">SUMPRODUCT(P1271:S1271 * P$3:S$3) / SUM(P$3:S$3)</f>
        <v>3.0009374733989818</v>
      </c>
    </row>
    <row r="1272" spans="1:20" ht="16.5" customHeight="1" x14ac:dyDescent="0.25">
      <c r="A1272" s="5" t="s">
        <v>6938</v>
      </c>
      <c r="B1272" s="20" t="s">
        <v>6553</v>
      </c>
      <c r="C1272" s="4" t="s">
        <v>8796</v>
      </c>
      <c r="D1272" s="4" t="s">
        <v>9052</v>
      </c>
      <c r="E1272" s="12" t="s">
        <v>407</v>
      </c>
      <c r="F1272" s="75" t="s">
        <v>6734</v>
      </c>
      <c r="G1272" s="3">
        <v>48</v>
      </c>
      <c r="H1272" s="3" t="s">
        <v>404</v>
      </c>
      <c r="I1272" s="13" t="s">
        <v>6739</v>
      </c>
      <c r="J1272" s="72">
        <v>1.4</v>
      </c>
      <c r="K1272" s="14" t="s">
        <v>6530</v>
      </c>
      <c r="L1272" s="9">
        <v>252.41</v>
      </c>
      <c r="M1272" s="3">
        <v>327.39</v>
      </c>
      <c r="N1272" s="17" t="s">
        <v>6554</v>
      </c>
      <c r="O1272" s="18" t="s">
        <v>6552</v>
      </c>
      <c r="P1272" s="49">
        <f t="shared" si="77"/>
        <v>3.0786969328403786</v>
      </c>
      <c r="Q1272" s="1">
        <f t="shared" si="78"/>
        <v>3.8678402824893841</v>
      </c>
      <c r="R1272" s="1">
        <f t="shared" si="80"/>
        <v>4.0102321848896905</v>
      </c>
      <c r="S1272" s="10">
        <f t="shared" si="79"/>
        <v>3.4732686076648811</v>
      </c>
      <c r="T1272" s="45" cm="1">
        <f t="array" ref="T1272">SUMPRODUCT(P1272:S1272 * P$3:S$3) / SUM(P$3:S$3)</f>
        <v>3.6165817233647752</v>
      </c>
    </row>
    <row r="1273" spans="1:20" ht="16.5" customHeight="1" x14ac:dyDescent="0.25">
      <c r="A1273" s="5" t="s">
        <v>6938</v>
      </c>
      <c r="B1273" s="20" t="s">
        <v>6605</v>
      </c>
      <c r="C1273" s="4" t="s">
        <v>8796</v>
      </c>
      <c r="D1273" s="4" t="s">
        <v>9052</v>
      </c>
      <c r="E1273" s="12" t="s">
        <v>407</v>
      </c>
      <c r="F1273" s="75" t="s">
        <v>6734</v>
      </c>
      <c r="G1273" s="3">
        <v>48</v>
      </c>
      <c r="H1273" s="3" t="s">
        <v>404</v>
      </c>
      <c r="I1273" s="13" t="s">
        <v>6739</v>
      </c>
      <c r="J1273" s="72">
        <v>1.4</v>
      </c>
      <c r="K1273" s="14" t="s">
        <v>6530</v>
      </c>
      <c r="L1273" s="9">
        <v>252.41</v>
      </c>
      <c r="M1273" s="3">
        <v>312.60000000000002</v>
      </c>
      <c r="N1273" s="17" t="s">
        <v>6606</v>
      </c>
      <c r="O1273" s="18" t="s">
        <v>6604</v>
      </c>
      <c r="P1273" s="49">
        <f t="shared" si="77"/>
        <v>3.0786969328403786</v>
      </c>
      <c r="Q1273" s="1">
        <f t="shared" si="78"/>
        <v>3.8678402824893841</v>
      </c>
      <c r="R1273" s="1">
        <f t="shared" si="80"/>
        <v>4.0102321848896905</v>
      </c>
      <c r="S1273" s="10">
        <f t="shared" si="79"/>
        <v>3.4732686076648811</v>
      </c>
      <c r="T1273" s="45" cm="1">
        <f t="array" ref="T1273">SUMPRODUCT(P1273:S1273 * P$3:S$3) / SUM(P$3:S$3)</f>
        <v>3.6165817233647752</v>
      </c>
    </row>
    <row r="1274" spans="1:20" ht="16.5" customHeight="1" x14ac:dyDescent="0.25">
      <c r="A1274" s="5" t="s">
        <v>6913</v>
      </c>
      <c r="B1274" s="20" t="s">
        <v>6084</v>
      </c>
      <c r="C1274" s="4" t="s">
        <v>8796</v>
      </c>
      <c r="D1274" s="4" t="s">
        <v>9052</v>
      </c>
      <c r="E1274" s="12" t="s">
        <v>407</v>
      </c>
      <c r="F1274" s="75" t="s">
        <v>6734</v>
      </c>
      <c r="G1274" s="3">
        <v>48</v>
      </c>
      <c r="H1274" s="3" t="s">
        <v>404</v>
      </c>
      <c r="I1274" s="13" t="s">
        <v>6740</v>
      </c>
      <c r="J1274" s="72">
        <v>1.4</v>
      </c>
      <c r="L1274" s="9">
        <v>196.05</v>
      </c>
      <c r="M1274" s="3">
        <v>260.66000000000003</v>
      </c>
      <c r="N1274" s="17" t="s">
        <v>6085</v>
      </c>
      <c r="O1274" s="18" t="s">
        <v>6083</v>
      </c>
      <c r="P1274" s="49">
        <f t="shared" si="77"/>
        <v>3.0707267159546703</v>
      </c>
      <c r="Q1274" s="1">
        <f t="shared" si="78"/>
        <v>3.8638551740465297</v>
      </c>
      <c r="R1274" s="1">
        <f t="shared" si="80"/>
        <v>4.0062470764468365</v>
      </c>
      <c r="S1274" s="10">
        <f t="shared" si="79"/>
        <v>3.4672909450006002</v>
      </c>
      <c r="T1274" s="45" cm="1">
        <f t="array" ref="T1274">SUMPRODUCT(P1274:S1274 * P$3:S$3) / SUM(P$3:S$3)</f>
        <v>3.6112171543070866</v>
      </c>
    </row>
    <row r="1275" spans="1:20" ht="16.5" customHeight="1" x14ac:dyDescent="0.25">
      <c r="A1275" s="5" t="s">
        <v>6913</v>
      </c>
      <c r="B1275" s="20" t="s">
        <v>6312</v>
      </c>
      <c r="C1275" s="4" t="s">
        <v>8796</v>
      </c>
      <c r="D1275" s="4" t="s">
        <v>9052</v>
      </c>
      <c r="E1275" s="12" t="s">
        <v>407</v>
      </c>
      <c r="F1275" s="75" t="s">
        <v>6734</v>
      </c>
      <c r="G1275" s="3">
        <v>48</v>
      </c>
      <c r="H1275" s="3" t="s">
        <v>404</v>
      </c>
      <c r="I1275" s="13" t="s">
        <v>6740</v>
      </c>
      <c r="J1275" s="72">
        <v>1.4</v>
      </c>
      <c r="K1275" s="14" t="s">
        <v>6175</v>
      </c>
      <c r="L1275" s="9">
        <v>207.92</v>
      </c>
      <c r="M1275" s="3">
        <v>250.27</v>
      </c>
      <c r="N1275" s="17" t="s">
        <v>6313</v>
      </c>
      <c r="O1275" s="18" t="s">
        <v>6311</v>
      </c>
      <c r="P1275" s="49">
        <f t="shared" si="77"/>
        <v>3.0707267159546703</v>
      </c>
      <c r="Q1275" s="1">
        <f t="shared" si="78"/>
        <v>3.8638551740465297</v>
      </c>
      <c r="R1275" s="1">
        <f t="shared" si="80"/>
        <v>4.0062470764468365</v>
      </c>
      <c r="S1275" s="10">
        <f t="shared" si="79"/>
        <v>3.4672909450006002</v>
      </c>
      <c r="T1275" s="45" cm="1">
        <f t="array" ref="T1275">SUMPRODUCT(P1275:S1275 * P$3:S$3) / SUM(P$3:S$3)</f>
        <v>3.6112171543070866</v>
      </c>
    </row>
    <row r="1276" spans="1:20" ht="16.5" customHeight="1" x14ac:dyDescent="0.25">
      <c r="A1276" s="5" t="s">
        <v>6913</v>
      </c>
      <c r="B1276" s="20" t="s">
        <v>6315</v>
      </c>
      <c r="C1276" s="4" t="s">
        <v>8796</v>
      </c>
      <c r="D1276" s="4" t="s">
        <v>9052</v>
      </c>
      <c r="E1276" s="12" t="s">
        <v>407</v>
      </c>
      <c r="F1276" s="75" t="s">
        <v>6734</v>
      </c>
      <c r="G1276" s="3">
        <v>48</v>
      </c>
      <c r="H1276" s="3" t="s">
        <v>404</v>
      </c>
      <c r="I1276" s="13" t="s">
        <v>6739</v>
      </c>
      <c r="J1276" s="72">
        <v>1.4</v>
      </c>
      <c r="K1276" s="14" t="s">
        <v>6175</v>
      </c>
      <c r="L1276" s="9">
        <v>213.19</v>
      </c>
      <c r="M1276" s="3">
        <v>238.9</v>
      </c>
      <c r="N1276" s="17" t="s">
        <v>6316</v>
      </c>
      <c r="O1276" s="18" t="s">
        <v>6314</v>
      </c>
      <c r="P1276" s="49">
        <f t="shared" si="77"/>
        <v>3.0786969328403786</v>
      </c>
      <c r="Q1276" s="1">
        <f t="shared" si="78"/>
        <v>3.8678402824893841</v>
      </c>
      <c r="R1276" s="1">
        <f t="shared" si="80"/>
        <v>4.0102321848896905</v>
      </c>
      <c r="S1276" s="10">
        <f t="shared" si="79"/>
        <v>3.4732686076648811</v>
      </c>
      <c r="T1276" s="45" cm="1">
        <f t="array" ref="T1276">SUMPRODUCT(P1276:S1276 * P$3:S$3) / SUM(P$3:S$3)</f>
        <v>3.6165817233647752</v>
      </c>
    </row>
    <row r="1277" spans="1:20" ht="16.5" customHeight="1" x14ac:dyDescent="0.25">
      <c r="A1277" s="5" t="s">
        <v>6945</v>
      </c>
      <c r="B1277" s="20" t="s">
        <v>6574</v>
      </c>
      <c r="C1277" s="4" t="s">
        <v>8796</v>
      </c>
      <c r="D1277" s="4" t="s">
        <v>9053</v>
      </c>
      <c r="E1277" s="12" t="s">
        <v>407</v>
      </c>
      <c r="F1277" s="75" t="s">
        <v>6734</v>
      </c>
      <c r="G1277" s="3">
        <v>96</v>
      </c>
      <c r="H1277" s="3" t="s">
        <v>404</v>
      </c>
      <c r="I1277" s="13" t="s">
        <v>6740</v>
      </c>
      <c r="J1277" s="72">
        <v>1.4</v>
      </c>
      <c r="K1277" s="14" t="s">
        <v>6530</v>
      </c>
      <c r="L1277" s="9">
        <v>454.76</v>
      </c>
      <c r="M1277" s="3">
        <v>519.63</v>
      </c>
      <c r="N1277" s="17" t="s">
        <v>6575</v>
      </c>
      <c r="O1277" s="18" t="s">
        <v>6573</v>
      </c>
      <c r="P1277" s="49">
        <f t="shared" si="77"/>
        <v>4.1375289159476649</v>
      </c>
      <c r="Q1277" s="1">
        <f t="shared" si="78"/>
        <v>5.64185884070152</v>
      </c>
      <c r="R1277" s="1">
        <f t="shared" si="80"/>
        <v>5.9620511097673266</v>
      </c>
      <c r="S1277" s="10">
        <f t="shared" si="79"/>
        <v>4.8896938783245929</v>
      </c>
      <c r="T1277" s="45" cm="1">
        <f t="array" ref="T1277">SUMPRODUCT(P1277:S1277 * P$3:S$3) / SUM(P$3:S$3)</f>
        <v>5.1703896004506937</v>
      </c>
    </row>
    <row r="1278" spans="1:20" ht="16.5" customHeight="1" x14ac:dyDescent="0.25">
      <c r="A1278" s="5" t="s">
        <v>6893</v>
      </c>
      <c r="B1278" s="20" t="s">
        <v>6013</v>
      </c>
      <c r="C1278" s="4" t="s">
        <v>8796</v>
      </c>
      <c r="D1278" s="4" t="s">
        <v>9053</v>
      </c>
      <c r="E1278" s="12" t="s">
        <v>407</v>
      </c>
      <c r="F1278" s="75" t="s">
        <v>6734</v>
      </c>
      <c r="G1278" s="3">
        <v>96</v>
      </c>
      <c r="H1278" s="3" t="s">
        <v>404</v>
      </c>
      <c r="I1278" s="13" t="s">
        <v>6740</v>
      </c>
      <c r="J1278" s="72">
        <v>1.4</v>
      </c>
      <c r="L1278" s="9">
        <v>395.46</v>
      </c>
      <c r="M1278" s="3">
        <v>439.72</v>
      </c>
      <c r="N1278" s="17" t="s">
        <v>6014</v>
      </c>
      <c r="O1278" s="18" t="s">
        <v>6012</v>
      </c>
      <c r="P1278" s="49">
        <f t="shared" si="77"/>
        <v>4.1375289159476649</v>
      </c>
      <c r="Q1278" s="1">
        <f t="shared" si="78"/>
        <v>5.64185884070152</v>
      </c>
      <c r="R1278" s="1">
        <f t="shared" si="80"/>
        <v>5.9620511097673266</v>
      </c>
      <c r="S1278" s="10">
        <f t="shared" si="79"/>
        <v>4.8896938783245929</v>
      </c>
      <c r="T1278" s="45" cm="1">
        <f t="array" ref="T1278">SUMPRODUCT(P1278:S1278 * P$3:S$3) / SUM(P$3:S$3)</f>
        <v>5.1703896004506937</v>
      </c>
    </row>
    <row r="1279" spans="1:20" ht="16.5" customHeight="1" x14ac:dyDescent="0.25">
      <c r="A1279" s="5" t="s">
        <v>6893</v>
      </c>
      <c r="B1279" s="20" t="s">
        <v>6244</v>
      </c>
      <c r="C1279" s="4" t="s">
        <v>8796</v>
      </c>
      <c r="D1279" s="4" t="s">
        <v>9053</v>
      </c>
      <c r="E1279" s="12" t="s">
        <v>407</v>
      </c>
      <c r="F1279" s="75" t="s">
        <v>6734</v>
      </c>
      <c r="G1279" s="3">
        <v>96</v>
      </c>
      <c r="H1279" s="3" t="s">
        <v>404</v>
      </c>
      <c r="I1279" s="13" t="s">
        <v>6740</v>
      </c>
      <c r="J1279" s="72">
        <v>1.4</v>
      </c>
      <c r="K1279" s="14" t="s">
        <v>6175</v>
      </c>
      <c r="L1279" s="9">
        <v>416.5</v>
      </c>
      <c r="M1279" s="3">
        <v>508.37</v>
      </c>
      <c r="N1279" s="17" t="s">
        <v>6245</v>
      </c>
      <c r="O1279" s="18" t="s">
        <v>6243</v>
      </c>
      <c r="P1279" s="49">
        <f t="shared" si="77"/>
        <v>4.1375289159476649</v>
      </c>
      <c r="Q1279" s="1">
        <f t="shared" si="78"/>
        <v>5.64185884070152</v>
      </c>
      <c r="R1279" s="1">
        <f t="shared" si="80"/>
        <v>5.9620511097673266</v>
      </c>
      <c r="S1279" s="10">
        <f t="shared" si="79"/>
        <v>4.8896938783245929</v>
      </c>
      <c r="T1279" s="45" cm="1">
        <f t="array" ref="T1279">SUMPRODUCT(P1279:S1279 * P$3:S$3) / SUM(P$3:S$3)</f>
        <v>5.1703896004506937</v>
      </c>
    </row>
    <row r="1280" spans="1:20" ht="16.5" customHeight="1" x14ac:dyDescent="0.25">
      <c r="A1280" s="5" t="s">
        <v>6755</v>
      </c>
      <c r="B1280" s="20" t="s">
        <v>4354</v>
      </c>
      <c r="C1280" s="4" t="s">
        <v>8798</v>
      </c>
      <c r="D1280" s="4" t="s">
        <v>9054</v>
      </c>
      <c r="E1280" s="12" t="s">
        <v>407</v>
      </c>
      <c r="F1280" s="75" t="s">
        <v>6727</v>
      </c>
      <c r="G1280" s="3">
        <v>16</v>
      </c>
      <c r="H1280" s="3" t="s">
        <v>6736</v>
      </c>
      <c r="I1280" s="13" t="s">
        <v>6738</v>
      </c>
      <c r="J1280" s="72">
        <v>1.45</v>
      </c>
      <c r="L1280" s="9">
        <v>87.9</v>
      </c>
      <c r="M1280" s="3">
        <v>122.75</v>
      </c>
      <c r="N1280" s="17" t="s">
        <v>4355</v>
      </c>
      <c r="O1280" s="18" t="s">
        <v>4353</v>
      </c>
      <c r="P1280" s="49">
        <f t="shared" si="77"/>
        <v>2.1442677933420375</v>
      </c>
      <c r="Q1280" s="1">
        <f t="shared" si="78"/>
        <v>2.3276357508885237</v>
      </c>
      <c r="R1280" s="1">
        <f t="shared" si="80"/>
        <v>2.3179983308264567</v>
      </c>
      <c r="S1280" s="10">
        <f t="shared" si="79"/>
        <v>2.2359517721152811</v>
      </c>
      <c r="T1280" s="45" cm="1">
        <f t="array" ref="T1280">SUMPRODUCT(P1280:S1280 * P$3:S$3) / SUM(P$3:S$3)</f>
        <v>2.2626795471128838</v>
      </c>
    </row>
    <row r="1281" spans="1:20" ht="16.5" customHeight="1" x14ac:dyDescent="0.25">
      <c r="A1281" s="5" t="s">
        <v>6755</v>
      </c>
      <c r="B1281" s="20" t="s">
        <v>4420</v>
      </c>
      <c r="C1281" s="4" t="s">
        <v>8798</v>
      </c>
      <c r="D1281" s="4" t="s">
        <v>9054</v>
      </c>
      <c r="E1281" s="12" t="s">
        <v>407</v>
      </c>
      <c r="F1281" s="75" t="s">
        <v>6727</v>
      </c>
      <c r="G1281" s="3">
        <v>16</v>
      </c>
      <c r="H1281" s="3" t="s">
        <v>6736</v>
      </c>
      <c r="I1281" s="13" t="s">
        <v>6738</v>
      </c>
      <c r="J1281" s="72">
        <v>1.45</v>
      </c>
      <c r="L1281" s="9">
        <v>87.9</v>
      </c>
      <c r="M1281" s="3">
        <v>122.24</v>
      </c>
      <c r="N1281" s="17" t="s">
        <v>4421</v>
      </c>
      <c r="O1281" s="18" t="s">
        <v>4419</v>
      </c>
      <c r="P1281" s="49">
        <f t="shared" si="77"/>
        <v>2.1442677933420375</v>
      </c>
      <c r="Q1281" s="1">
        <f t="shared" si="78"/>
        <v>2.3276357508885237</v>
      </c>
      <c r="R1281" s="1">
        <f t="shared" si="80"/>
        <v>2.3179983308264567</v>
      </c>
      <c r="S1281" s="10">
        <f t="shared" si="79"/>
        <v>2.2359517721152811</v>
      </c>
      <c r="T1281" s="45" cm="1">
        <f t="array" ref="T1281">SUMPRODUCT(P1281:S1281 * P$3:S$3) / SUM(P$3:S$3)</f>
        <v>2.2626795471128838</v>
      </c>
    </row>
    <row r="1282" spans="1:20" ht="16.5" customHeight="1" x14ac:dyDescent="0.25">
      <c r="A1282" s="5" t="s">
        <v>6755</v>
      </c>
      <c r="B1282" s="20" t="s">
        <v>4463</v>
      </c>
      <c r="C1282" s="4" t="s">
        <v>8798</v>
      </c>
      <c r="D1282" s="4" t="s">
        <v>9054</v>
      </c>
      <c r="E1282" s="12" t="s">
        <v>407</v>
      </c>
      <c r="F1282" s="75" t="s">
        <v>6727</v>
      </c>
      <c r="G1282" s="3">
        <v>16</v>
      </c>
      <c r="H1282" s="3" t="s">
        <v>6736</v>
      </c>
      <c r="I1282" s="13" t="s">
        <v>6738</v>
      </c>
      <c r="J1282" s="72">
        <v>1.45</v>
      </c>
      <c r="K1282" s="14" t="s">
        <v>4436</v>
      </c>
      <c r="L1282" s="9">
        <v>93.9</v>
      </c>
      <c r="M1282" s="3">
        <v>132.09</v>
      </c>
      <c r="N1282" s="17" t="s">
        <v>4464</v>
      </c>
      <c r="O1282" s="18" t="s">
        <v>4462</v>
      </c>
      <c r="P1282" s="49">
        <f t="shared" si="77"/>
        <v>2.1442677933420375</v>
      </c>
      <c r="Q1282" s="1">
        <f t="shared" si="78"/>
        <v>2.3276357508885237</v>
      </c>
      <c r="R1282" s="1">
        <f t="shared" si="80"/>
        <v>2.3179983308264567</v>
      </c>
      <c r="S1282" s="10">
        <f t="shared" si="79"/>
        <v>2.2359517721152811</v>
      </c>
      <c r="T1282" s="45" cm="1">
        <f t="array" ref="T1282">SUMPRODUCT(P1282:S1282 * P$3:S$3) / SUM(P$3:S$3)</f>
        <v>2.2626795471128838</v>
      </c>
    </row>
    <row r="1283" spans="1:20" ht="16.5" customHeight="1" x14ac:dyDescent="0.25">
      <c r="A1283" s="5" t="s">
        <v>6755</v>
      </c>
      <c r="B1283" s="20" t="s">
        <v>4532</v>
      </c>
      <c r="C1283" s="4" t="s">
        <v>8798</v>
      </c>
      <c r="D1283" s="4" t="s">
        <v>9054</v>
      </c>
      <c r="E1283" s="12" t="s">
        <v>407</v>
      </c>
      <c r="F1283" s="75" t="s">
        <v>6727</v>
      </c>
      <c r="G1283" s="3">
        <v>16</v>
      </c>
      <c r="H1283" s="3" t="s">
        <v>6736</v>
      </c>
      <c r="I1283" s="13" t="s">
        <v>6738</v>
      </c>
      <c r="J1283" s="72">
        <v>1.45</v>
      </c>
      <c r="K1283" s="14" t="s">
        <v>4436</v>
      </c>
      <c r="L1283" s="9">
        <v>93.9</v>
      </c>
      <c r="M1283" s="3">
        <v>143.05000000000001</v>
      </c>
      <c r="N1283" s="17" t="s">
        <v>4533</v>
      </c>
      <c r="O1283" s="18" t="s">
        <v>4531</v>
      </c>
      <c r="P1283" s="49">
        <f t="shared" si="77"/>
        <v>2.1442677933420375</v>
      </c>
      <c r="Q1283" s="1">
        <f t="shared" si="78"/>
        <v>2.3276357508885237</v>
      </c>
      <c r="R1283" s="1">
        <f t="shared" si="80"/>
        <v>2.3179983308264567</v>
      </c>
      <c r="S1283" s="10">
        <f t="shared" si="79"/>
        <v>2.2359517721152811</v>
      </c>
      <c r="T1283" s="45" cm="1">
        <f t="array" ref="T1283">SUMPRODUCT(P1283:S1283 * P$3:S$3) / SUM(P$3:S$3)</f>
        <v>2.2626795471128838</v>
      </c>
    </row>
    <row r="1284" spans="1:20" ht="16.5" customHeight="1" x14ac:dyDescent="0.25">
      <c r="A1284" s="5" t="s">
        <v>6768</v>
      </c>
      <c r="B1284" s="20" t="s">
        <v>4408</v>
      </c>
      <c r="C1284" s="4" t="s">
        <v>8798</v>
      </c>
      <c r="D1284" s="4" t="s">
        <v>9055</v>
      </c>
      <c r="E1284" s="12" t="s">
        <v>407</v>
      </c>
      <c r="F1284" s="75" t="s">
        <v>6727</v>
      </c>
      <c r="G1284" s="3">
        <v>24</v>
      </c>
      <c r="H1284" s="3" t="s">
        <v>6736</v>
      </c>
      <c r="I1284" s="13" t="s">
        <v>6738</v>
      </c>
      <c r="J1284" s="72">
        <v>1.45</v>
      </c>
      <c r="L1284" s="9">
        <v>127.39</v>
      </c>
      <c r="M1284" s="3">
        <v>190.26</v>
      </c>
      <c r="N1284" s="17" t="s">
        <v>4409</v>
      </c>
      <c r="O1284" s="18" t="s">
        <v>4407</v>
      </c>
      <c r="P1284" s="49">
        <f t="shared" si="77"/>
        <v>2.4041062728004592</v>
      </c>
      <c r="Q1284" s="1">
        <f t="shared" si="78"/>
        <v>2.7606998833192256</v>
      </c>
      <c r="R1284" s="1">
        <f t="shared" si="80"/>
        <v>2.7943688765002292</v>
      </c>
      <c r="S1284" s="10">
        <f t="shared" si="79"/>
        <v>2.5824030780598424</v>
      </c>
      <c r="T1284" s="45" cm="1">
        <f t="array" ref="T1284">SUMPRODUCT(P1284:S1284 * P$3:S$3) / SUM(P$3:S$3)</f>
        <v>2.6424434786290378</v>
      </c>
    </row>
    <row r="1285" spans="1:20" ht="16.5" customHeight="1" x14ac:dyDescent="0.25">
      <c r="A1285" s="5" t="s">
        <v>6768</v>
      </c>
      <c r="B1285" s="20" t="s">
        <v>4520</v>
      </c>
      <c r="C1285" s="4" t="s">
        <v>8798</v>
      </c>
      <c r="D1285" s="4" t="s">
        <v>9055</v>
      </c>
      <c r="E1285" s="12" t="s">
        <v>407</v>
      </c>
      <c r="F1285" s="75" t="s">
        <v>6727</v>
      </c>
      <c r="G1285" s="3">
        <v>24</v>
      </c>
      <c r="H1285" s="3" t="s">
        <v>6736</v>
      </c>
      <c r="I1285" s="13" t="s">
        <v>6738</v>
      </c>
      <c r="J1285" s="72">
        <v>1.45</v>
      </c>
      <c r="K1285" s="14" t="s">
        <v>4436</v>
      </c>
      <c r="L1285" s="9">
        <v>123.18</v>
      </c>
      <c r="M1285" s="3">
        <v>197.18</v>
      </c>
      <c r="N1285" s="17" t="s">
        <v>4521</v>
      </c>
      <c r="O1285" s="18" t="s">
        <v>4519</v>
      </c>
      <c r="P1285" s="49">
        <f t="shared" si="77"/>
        <v>2.4041062728004592</v>
      </c>
      <c r="Q1285" s="1">
        <f t="shared" si="78"/>
        <v>2.7606998833192256</v>
      </c>
      <c r="R1285" s="1">
        <f t="shared" si="80"/>
        <v>2.7943688765002292</v>
      </c>
      <c r="S1285" s="10">
        <f t="shared" si="79"/>
        <v>2.5824030780598424</v>
      </c>
      <c r="T1285" s="45" cm="1">
        <f t="array" ref="T1285">SUMPRODUCT(P1285:S1285 * P$3:S$3) / SUM(P$3:S$3)</f>
        <v>2.6424434786290378</v>
      </c>
    </row>
    <row r="1286" spans="1:20" ht="16.5" customHeight="1" x14ac:dyDescent="0.25">
      <c r="A1286" s="5" t="s">
        <v>6959</v>
      </c>
      <c r="B1286" s="20" t="s">
        <v>6675</v>
      </c>
      <c r="C1286" s="4" t="s">
        <v>8796</v>
      </c>
      <c r="D1286" s="4" t="s">
        <v>9056</v>
      </c>
      <c r="E1286" s="12" t="s">
        <v>407</v>
      </c>
      <c r="F1286" s="75" t="s">
        <v>6727</v>
      </c>
      <c r="G1286" s="3">
        <v>32</v>
      </c>
      <c r="H1286" s="3" t="s">
        <v>404</v>
      </c>
      <c r="I1286" s="13" t="s">
        <v>6742</v>
      </c>
      <c r="J1286" s="72">
        <v>1.45</v>
      </c>
      <c r="K1286" s="14" t="s">
        <v>6633</v>
      </c>
      <c r="L1286" s="9">
        <v>197.9</v>
      </c>
      <c r="M1286" s="3">
        <v>259.57</v>
      </c>
      <c r="N1286" s="17" t="s">
        <v>6676</v>
      </c>
      <c r="O1286" s="18" t="s">
        <v>6674</v>
      </c>
      <c r="P1286" s="49">
        <f t="shared" si="77"/>
        <v>2.6853058445050726</v>
      </c>
      <c r="Q1286" s="1">
        <f t="shared" si="78"/>
        <v>3.1842861888165492</v>
      </c>
      <c r="R1286" s="1">
        <f t="shared" si="80"/>
        <v>3.25308290725531</v>
      </c>
      <c r="S1286" s="10">
        <f t="shared" si="79"/>
        <v>2.9347960166608109</v>
      </c>
      <c r="T1286" s="45" cm="1">
        <f t="array" ref="T1286">SUMPRODUCT(P1286:S1286 * P$3:S$3) / SUM(P$3:S$3)</f>
        <v>3.0221463340070014</v>
      </c>
    </row>
    <row r="1287" spans="1:20" ht="16.5" customHeight="1" x14ac:dyDescent="0.25">
      <c r="A1287" s="5" t="s">
        <v>6940</v>
      </c>
      <c r="B1287" s="20" t="s">
        <v>6559</v>
      </c>
      <c r="C1287" s="4" t="s">
        <v>8796</v>
      </c>
      <c r="D1287" s="4" t="s">
        <v>9056</v>
      </c>
      <c r="E1287" s="12" t="s">
        <v>407</v>
      </c>
      <c r="F1287" s="75" t="s">
        <v>6727</v>
      </c>
      <c r="G1287" s="3">
        <v>32</v>
      </c>
      <c r="H1287" s="3" t="s">
        <v>404</v>
      </c>
      <c r="I1287" s="13" t="s">
        <v>6742</v>
      </c>
      <c r="J1287" s="72">
        <v>1.45</v>
      </c>
      <c r="K1287" s="14" t="s">
        <v>6530</v>
      </c>
      <c r="L1287" s="9">
        <v>206.85</v>
      </c>
      <c r="M1287" s="3">
        <v>267.64</v>
      </c>
      <c r="N1287" s="17" t="s">
        <v>6560</v>
      </c>
      <c r="O1287" s="18" t="s">
        <v>6558</v>
      </c>
      <c r="P1287" s="49">
        <f t="shared" si="77"/>
        <v>2.6853058445050726</v>
      </c>
      <c r="Q1287" s="1">
        <f t="shared" si="78"/>
        <v>3.1842861888165492</v>
      </c>
      <c r="R1287" s="1">
        <f t="shared" si="80"/>
        <v>3.25308290725531</v>
      </c>
      <c r="S1287" s="10">
        <f t="shared" si="79"/>
        <v>2.9347960166608109</v>
      </c>
      <c r="T1287" s="45" cm="1">
        <f t="array" ref="T1287">SUMPRODUCT(P1287:S1287 * P$3:S$3) / SUM(P$3:S$3)</f>
        <v>3.0221463340070014</v>
      </c>
    </row>
    <row r="1288" spans="1:20" ht="16.5" customHeight="1" x14ac:dyDescent="0.25">
      <c r="A1288" s="5" t="s">
        <v>6940</v>
      </c>
      <c r="B1288" s="20" t="s">
        <v>6611</v>
      </c>
      <c r="C1288" s="4" t="s">
        <v>8796</v>
      </c>
      <c r="D1288" s="4" t="s">
        <v>9056</v>
      </c>
      <c r="E1288" s="12" t="s">
        <v>407</v>
      </c>
      <c r="F1288" s="75" t="s">
        <v>6727</v>
      </c>
      <c r="G1288" s="3">
        <v>32</v>
      </c>
      <c r="H1288" s="3" t="s">
        <v>404</v>
      </c>
      <c r="I1288" s="13" t="s">
        <v>6742</v>
      </c>
      <c r="J1288" s="72">
        <v>1.45</v>
      </c>
      <c r="K1288" s="14" t="s">
        <v>6530</v>
      </c>
      <c r="L1288" s="9">
        <v>206.12</v>
      </c>
      <c r="M1288" s="3">
        <v>318</v>
      </c>
      <c r="N1288" s="17" t="s">
        <v>6612</v>
      </c>
      <c r="O1288" s="18" t="s">
        <v>6610</v>
      </c>
      <c r="P1288" s="49">
        <f t="shared" si="77"/>
        <v>2.6853058445050726</v>
      </c>
      <c r="Q1288" s="1">
        <f t="shared" si="78"/>
        <v>3.1842861888165492</v>
      </c>
      <c r="R1288" s="1">
        <f t="shared" si="80"/>
        <v>3.25308290725531</v>
      </c>
      <c r="S1288" s="10">
        <f t="shared" si="79"/>
        <v>2.9347960166608109</v>
      </c>
      <c r="T1288" s="45" cm="1">
        <f t="array" ref="T1288">SUMPRODUCT(P1288:S1288 * P$3:S$3) / SUM(P$3:S$3)</f>
        <v>3.0221463340070014</v>
      </c>
    </row>
    <row r="1289" spans="1:20" ht="16.5" customHeight="1" x14ac:dyDescent="0.25">
      <c r="A1289" s="5" t="s">
        <v>6917</v>
      </c>
      <c r="B1289" s="20" t="s">
        <v>6102</v>
      </c>
      <c r="C1289" s="4" t="s">
        <v>8796</v>
      </c>
      <c r="D1289" s="4" t="s">
        <v>9056</v>
      </c>
      <c r="E1289" s="12" t="s">
        <v>407</v>
      </c>
      <c r="F1289" s="75" t="s">
        <v>6727</v>
      </c>
      <c r="G1289" s="3">
        <v>32</v>
      </c>
      <c r="H1289" s="3" t="s">
        <v>404</v>
      </c>
      <c r="I1289" s="13" t="s">
        <v>6742</v>
      </c>
      <c r="J1289" s="72">
        <v>1.45</v>
      </c>
      <c r="L1289" s="9">
        <v>139.88999999999999</v>
      </c>
      <c r="M1289" s="3">
        <v>204.82</v>
      </c>
      <c r="N1289" s="17" t="s">
        <v>6103</v>
      </c>
      <c r="O1289" s="18" t="s">
        <v>6101</v>
      </c>
      <c r="P1289" s="49">
        <f t="shared" si="77"/>
        <v>2.6853058445050726</v>
      </c>
      <c r="Q1289" s="1">
        <f t="shared" si="78"/>
        <v>3.1842861888165492</v>
      </c>
      <c r="R1289" s="1">
        <f t="shared" si="80"/>
        <v>3.25308290725531</v>
      </c>
      <c r="S1289" s="10">
        <f t="shared" si="79"/>
        <v>2.9347960166608109</v>
      </c>
      <c r="T1289" s="45" cm="1">
        <f t="array" ref="T1289">SUMPRODUCT(P1289:S1289 * P$3:S$3) / SUM(P$3:S$3)</f>
        <v>3.0221463340070014</v>
      </c>
    </row>
    <row r="1290" spans="1:20" ht="16.5" customHeight="1" x14ac:dyDescent="0.25">
      <c r="A1290" s="5" t="s">
        <v>6917</v>
      </c>
      <c r="B1290" s="20" t="s">
        <v>6333</v>
      </c>
      <c r="C1290" s="4" t="s">
        <v>8796</v>
      </c>
      <c r="D1290" s="4" t="s">
        <v>9056</v>
      </c>
      <c r="E1290" s="12" t="s">
        <v>407</v>
      </c>
      <c r="F1290" s="75" t="s">
        <v>6727</v>
      </c>
      <c r="G1290" s="3">
        <v>32</v>
      </c>
      <c r="H1290" s="3" t="s">
        <v>404</v>
      </c>
      <c r="I1290" s="13" t="s">
        <v>6742</v>
      </c>
      <c r="J1290" s="72">
        <v>1.45</v>
      </c>
      <c r="K1290" s="14" t="s">
        <v>6175</v>
      </c>
      <c r="L1290" s="9">
        <v>149.9</v>
      </c>
      <c r="M1290" s="3">
        <v>242</v>
      </c>
      <c r="N1290" s="17" t="s">
        <v>6334</v>
      </c>
      <c r="O1290" s="18" t="s">
        <v>6332</v>
      </c>
      <c r="P1290" s="49">
        <f t="shared" ref="P1290:P1353" si="81">(((F1290/F$9)^F$7 * F$2 + (I1290/I$9)^I$7 * I$2 + (J1290/J$9)^J$7 * J$2) * (1+M$3*(MIN(H1290,M$2)-1)+M$4*(H1290-MIN(H1290,M$2))) + (G1290/G$9)^G$7 * G$2)  * P$9</f>
        <v>2.6853058445050726</v>
      </c>
      <c r="Q1290" s="1">
        <f t="shared" ref="Q1290:Q1353" si="82">(((F1290/F$9)^F$7 * F$3 + (I1290/I$9)^I$7 * I$3 + (J1290/J$9)^J$7 * J$3) * (1+M$3*(MIN(H1290,M$2)-1)+M$4*(H1290-MIN(H1290,M$2))) + (G1290/G$9)^G$7 * G$3)  * P$9</f>
        <v>3.1842861888165492</v>
      </c>
      <c r="R1290" s="1">
        <f t="shared" si="80"/>
        <v>3.25308290725531</v>
      </c>
      <c r="S1290" s="10">
        <f t="shared" ref="S1290:S1353" si="83">(((F1290/F$9)^F$7 * F$5 + (I1290/I$9)^I$7 * I$5 + (J1290/J$9)^J$7 * J$5) * (1+M$3*(MIN(H1290,M$2)-1)+M$4*(H1290-MIN(H1290,M$2))) + (G1290/G$9)^G$7 * G$5)  * P$9</f>
        <v>2.9347960166608109</v>
      </c>
      <c r="T1290" s="45" cm="1">
        <f t="array" ref="T1290">SUMPRODUCT(P1290:S1290 * P$3:S$3) / SUM(P$3:S$3)</f>
        <v>3.0221463340070014</v>
      </c>
    </row>
    <row r="1291" spans="1:20" ht="16.5" customHeight="1" x14ac:dyDescent="0.25">
      <c r="A1291" s="5" t="s">
        <v>6815</v>
      </c>
      <c r="B1291" s="20" t="s">
        <v>5214</v>
      </c>
      <c r="C1291" s="4" t="s">
        <v>8797</v>
      </c>
      <c r="D1291" s="4" t="s">
        <v>9056</v>
      </c>
      <c r="E1291" s="12" t="s">
        <v>407</v>
      </c>
      <c r="F1291" s="75" t="s">
        <v>6727</v>
      </c>
      <c r="G1291" s="3">
        <v>32</v>
      </c>
      <c r="H1291" s="3" t="s">
        <v>404</v>
      </c>
      <c r="I1291" s="13" t="s">
        <v>6742</v>
      </c>
      <c r="J1291" s="72">
        <v>1.4</v>
      </c>
      <c r="K1291" s="14" t="s">
        <v>5196</v>
      </c>
      <c r="L1291" s="9">
        <v>168.88</v>
      </c>
      <c r="M1291" s="3">
        <v>220.38</v>
      </c>
      <c r="N1291" s="17" t="s">
        <v>5215</v>
      </c>
      <c r="O1291" s="18" t="s">
        <v>5213</v>
      </c>
      <c r="P1291" s="49">
        <f t="shared" si="81"/>
        <v>2.6870771137276384</v>
      </c>
      <c r="Q1291" s="1">
        <f t="shared" si="82"/>
        <v>3.1860574580391146</v>
      </c>
      <c r="R1291" s="1">
        <f t="shared" si="80"/>
        <v>3.2548541764778758</v>
      </c>
      <c r="S1291" s="10">
        <f t="shared" si="83"/>
        <v>2.9365672858833762</v>
      </c>
      <c r="T1291" s="45" cm="1">
        <f t="array" ref="T1291">SUMPRODUCT(P1291:S1291 * P$3:S$3) / SUM(P$3:S$3)</f>
        <v>3.0239176032295663</v>
      </c>
    </row>
    <row r="1292" spans="1:20" ht="16.5" customHeight="1" x14ac:dyDescent="0.25">
      <c r="A1292" s="5" t="s">
        <v>6815</v>
      </c>
      <c r="B1292" s="20" t="s">
        <v>5304</v>
      </c>
      <c r="C1292" s="4" t="s">
        <v>8797</v>
      </c>
      <c r="D1292" s="4" t="s">
        <v>9056</v>
      </c>
      <c r="E1292" s="12" t="s">
        <v>407</v>
      </c>
      <c r="F1292" s="75" t="s">
        <v>6727</v>
      </c>
      <c r="G1292" s="3">
        <v>32</v>
      </c>
      <c r="H1292" s="3" t="s">
        <v>404</v>
      </c>
      <c r="I1292" s="13" t="s">
        <v>6742</v>
      </c>
      <c r="J1292" s="72">
        <v>1.4</v>
      </c>
      <c r="K1292" s="14" t="s">
        <v>5196</v>
      </c>
      <c r="L1292" s="9">
        <v>140.38</v>
      </c>
      <c r="M1292" s="3">
        <v>211</v>
      </c>
      <c r="N1292" s="17" t="s">
        <v>5305</v>
      </c>
      <c r="O1292" s="18" t="s">
        <v>5303</v>
      </c>
      <c r="P1292" s="49">
        <f t="shared" si="81"/>
        <v>2.6870771137276384</v>
      </c>
      <c r="Q1292" s="1">
        <f t="shared" si="82"/>
        <v>3.1860574580391146</v>
      </c>
      <c r="R1292" s="1">
        <f t="shared" si="80"/>
        <v>3.2548541764778758</v>
      </c>
      <c r="S1292" s="10">
        <f t="shared" si="83"/>
        <v>2.9365672858833762</v>
      </c>
      <c r="T1292" s="45" cm="1">
        <f t="array" ref="T1292">SUMPRODUCT(P1292:S1292 * P$3:S$3) / SUM(P$3:S$3)</f>
        <v>3.0239176032295663</v>
      </c>
    </row>
    <row r="1293" spans="1:20" ht="16.5" customHeight="1" x14ac:dyDescent="0.25">
      <c r="A1293" s="5" t="s">
        <v>6815</v>
      </c>
      <c r="B1293" s="20" t="s">
        <v>5406</v>
      </c>
      <c r="C1293" s="4" t="s">
        <v>8797</v>
      </c>
      <c r="D1293" s="4" t="s">
        <v>9056</v>
      </c>
      <c r="E1293" s="12" t="s">
        <v>407</v>
      </c>
      <c r="F1293" s="75" t="s">
        <v>6727</v>
      </c>
      <c r="G1293" s="3">
        <v>32</v>
      </c>
      <c r="H1293" s="3" t="s">
        <v>404</v>
      </c>
      <c r="I1293" s="13" t="s">
        <v>6742</v>
      </c>
      <c r="J1293" s="72">
        <v>1.4</v>
      </c>
      <c r="K1293" s="14" t="s">
        <v>5196</v>
      </c>
      <c r="L1293" s="9">
        <v>134.9</v>
      </c>
      <c r="M1293" s="3">
        <v>213</v>
      </c>
      <c r="N1293" s="17" t="s">
        <v>5407</v>
      </c>
      <c r="O1293" s="18" t="s">
        <v>5405</v>
      </c>
      <c r="P1293" s="49">
        <f t="shared" si="81"/>
        <v>2.6870771137276384</v>
      </c>
      <c r="Q1293" s="1">
        <f t="shared" si="82"/>
        <v>3.1860574580391146</v>
      </c>
      <c r="R1293" s="1">
        <f t="shared" si="80"/>
        <v>3.2548541764778758</v>
      </c>
      <c r="S1293" s="10">
        <f t="shared" si="83"/>
        <v>2.9365672858833762</v>
      </c>
      <c r="T1293" s="45" cm="1">
        <f t="array" ref="T1293">SUMPRODUCT(P1293:S1293 * P$3:S$3) / SUM(P$3:S$3)</f>
        <v>3.0239176032295663</v>
      </c>
    </row>
    <row r="1294" spans="1:20" ht="16.5" customHeight="1" x14ac:dyDescent="0.25">
      <c r="A1294" s="5" t="s">
        <v>6815</v>
      </c>
      <c r="B1294" s="20" t="s">
        <v>5527</v>
      </c>
      <c r="C1294" s="4" t="s">
        <v>8797</v>
      </c>
      <c r="D1294" s="4" t="s">
        <v>9056</v>
      </c>
      <c r="E1294" s="12" t="s">
        <v>407</v>
      </c>
      <c r="F1294" s="75" t="s">
        <v>6727</v>
      </c>
      <c r="G1294" s="3">
        <v>32</v>
      </c>
      <c r="H1294" s="3" t="s">
        <v>404</v>
      </c>
      <c r="I1294" s="13" t="s">
        <v>6742</v>
      </c>
      <c r="J1294" s="72">
        <v>1.4</v>
      </c>
      <c r="K1294" s="14" t="s">
        <v>5476</v>
      </c>
      <c r="L1294" s="9">
        <v>151.59</v>
      </c>
      <c r="M1294" s="3">
        <v>190</v>
      </c>
      <c r="N1294" s="17" t="s">
        <v>5528</v>
      </c>
      <c r="O1294" s="18" t="s">
        <v>5526</v>
      </c>
      <c r="P1294" s="49">
        <f t="shared" si="81"/>
        <v>2.6870771137276384</v>
      </c>
      <c r="Q1294" s="1">
        <f t="shared" si="82"/>
        <v>3.1860574580391146</v>
      </c>
      <c r="R1294" s="1">
        <f t="shared" si="80"/>
        <v>3.2548541764778758</v>
      </c>
      <c r="S1294" s="10">
        <f t="shared" si="83"/>
        <v>2.9365672858833762</v>
      </c>
      <c r="T1294" s="45" cm="1">
        <f t="array" ref="T1294">SUMPRODUCT(P1294:S1294 * P$3:S$3) / SUM(P$3:S$3)</f>
        <v>3.0239176032295663</v>
      </c>
    </row>
    <row r="1295" spans="1:20" ht="16.5" customHeight="1" x14ac:dyDescent="0.25">
      <c r="A1295" s="5" t="s">
        <v>6764</v>
      </c>
      <c r="B1295" s="20" t="s">
        <v>4387</v>
      </c>
      <c r="C1295" s="4" t="s">
        <v>8798</v>
      </c>
      <c r="D1295" s="4" t="s">
        <v>9056</v>
      </c>
      <c r="E1295" s="12" t="s">
        <v>407</v>
      </c>
      <c r="F1295" s="75" t="s">
        <v>6727</v>
      </c>
      <c r="G1295" s="3">
        <v>32</v>
      </c>
      <c r="H1295" s="3" t="s">
        <v>404</v>
      </c>
      <c r="I1295" s="13" t="s">
        <v>6738</v>
      </c>
      <c r="J1295" s="72">
        <v>1.45</v>
      </c>
      <c r="L1295" s="9">
        <v>165.5</v>
      </c>
      <c r="M1295" s="3">
        <v>245.24</v>
      </c>
      <c r="N1295" s="17" t="s">
        <v>4388</v>
      </c>
      <c r="O1295" s="18" t="s">
        <v>4386</v>
      </c>
      <c r="P1295" s="49">
        <f t="shared" si="81"/>
        <v>2.6766135303390013</v>
      </c>
      <c r="Q1295" s="1">
        <f t="shared" si="82"/>
        <v>3.1799400317335134</v>
      </c>
      <c r="R1295" s="1">
        <f t="shared" si="80"/>
        <v>3.2487367501722746</v>
      </c>
      <c r="S1295" s="10">
        <f t="shared" si="83"/>
        <v>2.9282767810362573</v>
      </c>
      <c r="T1295" s="45" cm="1">
        <f t="array" ref="T1295">SUMPRODUCT(P1295:S1295 * P$3:S$3) / SUM(P$3:S$3)</f>
        <v>3.0162957379336839</v>
      </c>
    </row>
    <row r="1296" spans="1:20" ht="16.5" customHeight="1" x14ac:dyDescent="0.25">
      <c r="A1296" s="5" t="s">
        <v>6764</v>
      </c>
      <c r="B1296" s="20" t="s">
        <v>4445</v>
      </c>
      <c r="C1296" s="4" t="s">
        <v>8798</v>
      </c>
      <c r="D1296" s="4" t="s">
        <v>9056</v>
      </c>
      <c r="E1296" s="12" t="s">
        <v>407</v>
      </c>
      <c r="F1296" s="75" t="s">
        <v>6727</v>
      </c>
      <c r="G1296" s="3">
        <v>32</v>
      </c>
      <c r="H1296" s="3" t="s">
        <v>404</v>
      </c>
      <c r="I1296" s="13" t="s">
        <v>6738</v>
      </c>
      <c r="J1296" s="72">
        <v>1.45</v>
      </c>
      <c r="K1296" s="14" t="s">
        <v>4436</v>
      </c>
      <c r="L1296" s="9">
        <v>186.9</v>
      </c>
      <c r="M1296" s="3">
        <v>238.6</v>
      </c>
      <c r="N1296" s="17" t="s">
        <v>4446</v>
      </c>
      <c r="O1296" s="18" t="s">
        <v>4444</v>
      </c>
      <c r="P1296" s="49">
        <f t="shared" si="81"/>
        <v>2.6766135303390013</v>
      </c>
      <c r="Q1296" s="1">
        <f t="shared" si="82"/>
        <v>3.1799400317335134</v>
      </c>
      <c r="R1296" s="1">
        <f t="shared" ref="R1296:R1359" si="84">(((F1296/F$9)^F$7 * F$4 + (I1296/I$9)^I$7 * I$4 + (J1296/J$9)^J$7 * J$4) * (1+M$3*(MIN(H1296,M$2)-1)+M$4*(H1296-MIN(H1296,M$2))) + (G1296/G$9)^G$7 * G$4)  * P$9</f>
        <v>3.2487367501722746</v>
      </c>
      <c r="S1296" s="10">
        <f t="shared" si="83"/>
        <v>2.9282767810362573</v>
      </c>
      <c r="T1296" s="45" cm="1">
        <f t="array" ref="T1296">SUMPRODUCT(P1296:S1296 * P$3:S$3) / SUM(P$3:S$3)</f>
        <v>3.0162957379336839</v>
      </c>
    </row>
    <row r="1297" spans="1:20" ht="16.5" customHeight="1" x14ac:dyDescent="0.25">
      <c r="A1297" s="5" t="s">
        <v>6764</v>
      </c>
      <c r="B1297" s="20" t="s">
        <v>4499</v>
      </c>
      <c r="C1297" s="4" t="s">
        <v>8798</v>
      </c>
      <c r="D1297" s="4" t="s">
        <v>9056</v>
      </c>
      <c r="E1297" s="12" t="s">
        <v>407</v>
      </c>
      <c r="F1297" s="75" t="s">
        <v>6727</v>
      </c>
      <c r="G1297" s="3">
        <v>32</v>
      </c>
      <c r="H1297" s="3" t="s">
        <v>404</v>
      </c>
      <c r="I1297" s="13" t="s">
        <v>6738</v>
      </c>
      <c r="J1297" s="72">
        <v>1.45</v>
      </c>
      <c r="K1297" s="14" t="s">
        <v>4436</v>
      </c>
      <c r="L1297" s="9">
        <v>175.4</v>
      </c>
      <c r="M1297" s="3">
        <v>240.26</v>
      </c>
      <c r="N1297" s="17" t="s">
        <v>4500</v>
      </c>
      <c r="O1297" s="18" t="s">
        <v>4498</v>
      </c>
      <c r="P1297" s="49">
        <f t="shared" si="81"/>
        <v>2.6766135303390013</v>
      </c>
      <c r="Q1297" s="1">
        <f t="shared" si="82"/>
        <v>3.1799400317335134</v>
      </c>
      <c r="R1297" s="1">
        <f t="shared" si="84"/>
        <v>3.2487367501722746</v>
      </c>
      <c r="S1297" s="10">
        <f t="shared" si="83"/>
        <v>2.9282767810362573</v>
      </c>
      <c r="T1297" s="45" cm="1">
        <f t="array" ref="T1297">SUMPRODUCT(P1297:S1297 * P$3:S$3) / SUM(P$3:S$3)</f>
        <v>3.0162957379336839</v>
      </c>
    </row>
    <row r="1298" spans="1:20" ht="16.5" customHeight="1" x14ac:dyDescent="0.25">
      <c r="A1298" s="5" t="s">
        <v>6937</v>
      </c>
      <c r="B1298" s="20" t="s">
        <v>6550</v>
      </c>
      <c r="C1298" s="4" t="s">
        <v>8796</v>
      </c>
      <c r="D1298" s="4" t="s">
        <v>9057</v>
      </c>
      <c r="E1298" s="12" t="s">
        <v>407</v>
      </c>
      <c r="F1298" s="75" t="s">
        <v>6727</v>
      </c>
      <c r="G1298" s="3">
        <v>48</v>
      </c>
      <c r="H1298" s="3" t="s">
        <v>404</v>
      </c>
      <c r="I1298" s="13" t="s">
        <v>6739</v>
      </c>
      <c r="J1298" s="72">
        <v>1.4</v>
      </c>
      <c r="K1298" s="14" t="s">
        <v>6530</v>
      </c>
      <c r="L1298" s="9">
        <v>257.18</v>
      </c>
      <c r="M1298" s="3">
        <v>313.57</v>
      </c>
      <c r="N1298" s="17" t="s">
        <v>6551</v>
      </c>
      <c r="O1298" s="18" t="s">
        <v>6549</v>
      </c>
      <c r="P1298" s="49">
        <f t="shared" si="81"/>
        <v>3.1046465975843085</v>
      </c>
      <c r="Q1298" s="1">
        <f t="shared" si="82"/>
        <v>3.8873025310473306</v>
      </c>
      <c r="R1298" s="1">
        <f t="shared" si="84"/>
        <v>4.0264507253546462</v>
      </c>
      <c r="S1298" s="10">
        <f t="shared" si="83"/>
        <v>3.4959745643158198</v>
      </c>
      <c r="T1298" s="45" cm="1">
        <f t="array" ref="T1298">SUMPRODUCT(P1298:S1298 * P$3:S$3) / SUM(P$3:S$3)</f>
        <v>3.6377905839727949</v>
      </c>
    </row>
    <row r="1299" spans="1:20" ht="16.5" customHeight="1" x14ac:dyDescent="0.25">
      <c r="A1299" s="5" t="s">
        <v>6937</v>
      </c>
      <c r="B1299" s="20" t="s">
        <v>6602</v>
      </c>
      <c r="C1299" s="4" t="s">
        <v>8796</v>
      </c>
      <c r="D1299" s="4" t="s">
        <v>9057</v>
      </c>
      <c r="E1299" s="12" t="s">
        <v>407</v>
      </c>
      <c r="F1299" s="75" t="s">
        <v>6727</v>
      </c>
      <c r="G1299" s="3">
        <v>48</v>
      </c>
      <c r="H1299" s="3" t="s">
        <v>404</v>
      </c>
      <c r="I1299" s="13" t="s">
        <v>6739</v>
      </c>
      <c r="J1299" s="72">
        <v>1.4</v>
      </c>
      <c r="K1299" s="14" t="s">
        <v>6530</v>
      </c>
      <c r="L1299" s="9">
        <v>255.43</v>
      </c>
      <c r="M1299" s="3">
        <v>292.99</v>
      </c>
      <c r="N1299" s="17" t="s">
        <v>6603</v>
      </c>
      <c r="O1299" s="18" t="s">
        <v>6601</v>
      </c>
      <c r="P1299" s="49">
        <f t="shared" si="81"/>
        <v>3.1046465975843085</v>
      </c>
      <c r="Q1299" s="1">
        <f t="shared" si="82"/>
        <v>3.8873025310473306</v>
      </c>
      <c r="R1299" s="1">
        <f t="shared" si="84"/>
        <v>4.0264507253546462</v>
      </c>
      <c r="S1299" s="10">
        <f t="shared" si="83"/>
        <v>3.4959745643158198</v>
      </c>
      <c r="T1299" s="45" cm="1">
        <f t="array" ref="T1299">SUMPRODUCT(P1299:S1299 * P$3:S$3) / SUM(P$3:S$3)</f>
        <v>3.6377905839727949</v>
      </c>
    </row>
    <row r="1300" spans="1:20" ht="16.5" customHeight="1" x14ac:dyDescent="0.25">
      <c r="A1300" s="5" t="s">
        <v>6927</v>
      </c>
      <c r="B1300" s="20" t="s">
        <v>6309</v>
      </c>
      <c r="C1300" s="4" t="s">
        <v>8796</v>
      </c>
      <c r="D1300" s="4" t="s">
        <v>9057</v>
      </c>
      <c r="E1300" s="12" t="s">
        <v>407</v>
      </c>
      <c r="F1300" s="75" t="s">
        <v>6727</v>
      </c>
      <c r="G1300" s="3">
        <v>48</v>
      </c>
      <c r="H1300" s="3" t="s">
        <v>404</v>
      </c>
      <c r="I1300" s="13" t="s">
        <v>6739</v>
      </c>
      <c r="J1300" s="72">
        <v>1.4</v>
      </c>
      <c r="K1300" s="14" t="s">
        <v>6175</v>
      </c>
      <c r="L1300" s="9">
        <v>212.88</v>
      </c>
      <c r="M1300" s="3">
        <v>244.38</v>
      </c>
      <c r="N1300" s="17" t="s">
        <v>6310</v>
      </c>
      <c r="O1300" s="18" t="s">
        <v>6308</v>
      </c>
      <c r="P1300" s="49">
        <f t="shared" si="81"/>
        <v>3.1046465975843085</v>
      </c>
      <c r="Q1300" s="1">
        <f t="shared" si="82"/>
        <v>3.8873025310473306</v>
      </c>
      <c r="R1300" s="1">
        <f t="shared" si="84"/>
        <v>4.0264507253546462</v>
      </c>
      <c r="S1300" s="10">
        <f t="shared" si="83"/>
        <v>3.4959745643158198</v>
      </c>
      <c r="T1300" s="45" cm="1">
        <f t="array" ref="T1300">SUMPRODUCT(P1300:S1300 * P$3:S$3) / SUM(P$3:S$3)</f>
        <v>3.6377905839727949</v>
      </c>
    </row>
    <row r="1301" spans="1:20" ht="16.5" customHeight="1" x14ac:dyDescent="0.25">
      <c r="A1301" s="5" t="s">
        <v>6814</v>
      </c>
      <c r="B1301" s="20" t="s">
        <v>5208</v>
      </c>
      <c r="C1301" s="4" t="s">
        <v>8797</v>
      </c>
      <c r="D1301" s="4" t="s">
        <v>9057</v>
      </c>
      <c r="E1301" s="12" t="s">
        <v>407</v>
      </c>
      <c r="F1301" s="75" t="s">
        <v>6727</v>
      </c>
      <c r="G1301" s="3">
        <v>48</v>
      </c>
      <c r="H1301" s="3" t="s">
        <v>404</v>
      </c>
      <c r="I1301" s="13" t="s">
        <v>6739</v>
      </c>
      <c r="J1301" s="72">
        <v>1.35</v>
      </c>
      <c r="K1301" s="14" t="s">
        <v>5196</v>
      </c>
      <c r="L1301" s="9">
        <v>198.8</v>
      </c>
      <c r="M1301" s="3">
        <v>281.77</v>
      </c>
      <c r="N1301" s="17" t="s">
        <v>5209</v>
      </c>
      <c r="O1301" s="18" t="s">
        <v>5207</v>
      </c>
      <c r="P1301" s="49">
        <f t="shared" si="81"/>
        <v>3.106515381183355</v>
      </c>
      <c r="Q1301" s="1">
        <f t="shared" si="82"/>
        <v>3.8891713146463771</v>
      </c>
      <c r="R1301" s="1">
        <f t="shared" si="84"/>
        <v>4.0283195089536932</v>
      </c>
      <c r="S1301" s="10">
        <f t="shared" si="83"/>
        <v>3.4978433479148663</v>
      </c>
      <c r="T1301" s="45" cm="1">
        <f t="array" ref="T1301">SUMPRODUCT(P1301:S1301 * P$3:S$3) / SUM(P$3:S$3)</f>
        <v>3.6396593675718409</v>
      </c>
    </row>
    <row r="1302" spans="1:20" ht="16.5" customHeight="1" x14ac:dyDescent="0.25">
      <c r="A1302" s="5" t="s">
        <v>6814</v>
      </c>
      <c r="B1302" s="20" t="s">
        <v>5265</v>
      </c>
      <c r="C1302" s="4" t="s">
        <v>8797</v>
      </c>
      <c r="D1302" s="4" t="s">
        <v>9057</v>
      </c>
      <c r="E1302" s="12" t="s">
        <v>407</v>
      </c>
      <c r="F1302" s="75" t="s">
        <v>6727</v>
      </c>
      <c r="G1302" s="3">
        <v>48</v>
      </c>
      <c r="H1302" s="3" t="s">
        <v>404</v>
      </c>
      <c r="I1302" s="13" t="s">
        <v>6739</v>
      </c>
      <c r="J1302" s="72">
        <v>1.35</v>
      </c>
      <c r="K1302" s="14" t="s">
        <v>5196</v>
      </c>
      <c r="L1302" s="9">
        <v>178.1</v>
      </c>
      <c r="M1302" s="3">
        <v>255</v>
      </c>
      <c r="N1302" s="17" t="s">
        <v>5266</v>
      </c>
      <c r="O1302" s="18" t="s">
        <v>5264</v>
      </c>
      <c r="P1302" s="49">
        <f t="shared" si="81"/>
        <v>3.106515381183355</v>
      </c>
      <c r="Q1302" s="1">
        <f t="shared" si="82"/>
        <v>3.8891713146463771</v>
      </c>
      <c r="R1302" s="1">
        <f t="shared" si="84"/>
        <v>4.0283195089536932</v>
      </c>
      <c r="S1302" s="10">
        <f t="shared" si="83"/>
        <v>3.4978433479148663</v>
      </c>
      <c r="T1302" s="45" cm="1">
        <f t="array" ref="T1302">SUMPRODUCT(P1302:S1302 * P$3:S$3) / SUM(P$3:S$3)</f>
        <v>3.6396593675718409</v>
      </c>
    </row>
    <row r="1303" spans="1:20" ht="16.5" customHeight="1" x14ac:dyDescent="0.25">
      <c r="A1303" s="5" t="s">
        <v>6761</v>
      </c>
      <c r="B1303" s="20" t="s">
        <v>4375</v>
      </c>
      <c r="C1303" s="4" t="s">
        <v>8798</v>
      </c>
      <c r="D1303" s="4" t="s">
        <v>9057</v>
      </c>
      <c r="E1303" s="12" t="s">
        <v>407</v>
      </c>
      <c r="F1303" s="75" t="s">
        <v>6727</v>
      </c>
      <c r="G1303" s="3">
        <v>48</v>
      </c>
      <c r="H1303" s="3" t="s">
        <v>404</v>
      </c>
      <c r="I1303" s="13" t="s">
        <v>6738</v>
      </c>
      <c r="J1303" s="72">
        <v>1.45</v>
      </c>
      <c r="L1303" s="9">
        <v>255</v>
      </c>
      <c r="M1303" s="3">
        <v>384.76</v>
      </c>
      <c r="N1303" s="17" t="s">
        <v>4376</v>
      </c>
      <c r="O1303" s="18" t="s">
        <v>4374</v>
      </c>
      <c r="P1303" s="49">
        <f t="shared" si="81"/>
        <v>3.0987223855503281</v>
      </c>
      <c r="Q1303" s="1">
        <f t="shared" si="82"/>
        <v>3.8834547904190577</v>
      </c>
      <c r="R1303" s="1">
        <f t="shared" si="84"/>
        <v>4.0226029847263733</v>
      </c>
      <c r="S1303" s="10">
        <f t="shared" si="83"/>
        <v>3.4910885879846929</v>
      </c>
      <c r="T1303" s="45" cm="1">
        <f t="array" ref="T1303">SUMPRODUCT(P1303:S1303 * P$3:S$3) / SUM(P$3:S$3)</f>
        <v>3.633224064781007</v>
      </c>
    </row>
    <row r="1304" spans="1:20" ht="16.5" customHeight="1" x14ac:dyDescent="0.25">
      <c r="A1304" s="5" t="s">
        <v>6761</v>
      </c>
      <c r="B1304" s="20" t="s">
        <v>4490</v>
      </c>
      <c r="C1304" s="4" t="s">
        <v>8798</v>
      </c>
      <c r="D1304" s="4" t="s">
        <v>9057</v>
      </c>
      <c r="E1304" s="12" t="s">
        <v>407</v>
      </c>
      <c r="F1304" s="75" t="s">
        <v>6727</v>
      </c>
      <c r="G1304" s="3">
        <v>48</v>
      </c>
      <c r="H1304" s="3" t="s">
        <v>404</v>
      </c>
      <c r="I1304" s="13" t="s">
        <v>6738</v>
      </c>
      <c r="J1304" s="72">
        <v>1.45</v>
      </c>
      <c r="K1304" s="14" t="s">
        <v>4436</v>
      </c>
      <c r="L1304" s="9">
        <v>266</v>
      </c>
      <c r="M1304" s="3">
        <v>398.68</v>
      </c>
      <c r="N1304" s="17" t="s">
        <v>4491</v>
      </c>
      <c r="O1304" s="18" t="s">
        <v>4489</v>
      </c>
      <c r="P1304" s="49">
        <f t="shared" si="81"/>
        <v>3.0987223855503281</v>
      </c>
      <c r="Q1304" s="1">
        <f t="shared" si="82"/>
        <v>3.8834547904190577</v>
      </c>
      <c r="R1304" s="1">
        <f t="shared" si="84"/>
        <v>4.0226029847263733</v>
      </c>
      <c r="S1304" s="10">
        <f t="shared" si="83"/>
        <v>3.4910885879846929</v>
      </c>
      <c r="T1304" s="45" cm="1">
        <f t="array" ref="T1304">SUMPRODUCT(P1304:S1304 * P$3:S$3) / SUM(P$3:S$3)</f>
        <v>3.633224064781007</v>
      </c>
    </row>
    <row r="1305" spans="1:20" ht="16.5" customHeight="1" x14ac:dyDescent="0.25">
      <c r="A1305" s="5" t="s">
        <v>6926</v>
      </c>
      <c r="B1305" s="20" t="s">
        <v>6241</v>
      </c>
      <c r="C1305" s="4" t="s">
        <v>8796</v>
      </c>
      <c r="D1305" s="4" t="s">
        <v>9058</v>
      </c>
      <c r="E1305" s="12" t="s">
        <v>407</v>
      </c>
      <c r="F1305" s="75" t="s">
        <v>6727</v>
      </c>
      <c r="G1305" s="3">
        <v>96</v>
      </c>
      <c r="H1305" s="3" t="s">
        <v>404</v>
      </c>
      <c r="I1305" s="13" t="s">
        <v>6740</v>
      </c>
      <c r="J1305" s="72">
        <v>1.4</v>
      </c>
      <c r="K1305" s="14" t="s">
        <v>6175</v>
      </c>
      <c r="L1305" s="9">
        <v>409.43</v>
      </c>
      <c r="M1305" s="3">
        <v>468.99</v>
      </c>
      <c r="N1305" s="17" t="s">
        <v>6242</v>
      </c>
      <c r="O1305" s="18" t="s">
        <v>6240</v>
      </c>
      <c r="P1305" s="49">
        <f t="shared" si="81"/>
        <v>4.1634785806915948</v>
      </c>
      <c r="Q1305" s="1">
        <f t="shared" si="82"/>
        <v>5.6613210892594674</v>
      </c>
      <c r="R1305" s="1">
        <f t="shared" si="84"/>
        <v>5.9782696502322832</v>
      </c>
      <c r="S1305" s="10">
        <f t="shared" si="83"/>
        <v>4.9123998349755311</v>
      </c>
      <c r="T1305" s="45" cm="1">
        <f t="array" ref="T1305">SUMPRODUCT(P1305:S1305 * P$3:S$3) / SUM(P$3:S$3)</f>
        <v>5.1915984610587138</v>
      </c>
    </row>
    <row r="1306" spans="1:20" ht="16.5" customHeight="1" x14ac:dyDescent="0.25">
      <c r="A1306" s="5" t="s">
        <v>6754</v>
      </c>
      <c r="B1306" s="20" t="s">
        <v>4351</v>
      </c>
      <c r="C1306" s="4" t="s">
        <v>8798</v>
      </c>
      <c r="D1306" s="4" t="s">
        <v>9059</v>
      </c>
      <c r="E1306" s="12" t="s">
        <v>407</v>
      </c>
      <c r="F1306" s="75" t="s">
        <v>6724</v>
      </c>
      <c r="G1306" s="3">
        <v>16</v>
      </c>
      <c r="H1306" s="3" t="s">
        <v>6736</v>
      </c>
      <c r="I1306" s="13" t="s">
        <v>6738</v>
      </c>
      <c r="J1306" s="72">
        <v>1.45</v>
      </c>
      <c r="L1306" s="9">
        <v>82.28</v>
      </c>
      <c r="M1306" s="3">
        <v>149.19999999999999</v>
      </c>
      <c r="N1306" s="17" t="s">
        <v>4352</v>
      </c>
      <c r="O1306" s="18" t="s">
        <v>4350</v>
      </c>
      <c r="P1306" s="49">
        <f t="shared" si="81"/>
        <v>2.1943366197106999</v>
      </c>
      <c r="Q1306" s="1">
        <f t="shared" si="82"/>
        <v>2.3651873706650202</v>
      </c>
      <c r="R1306" s="1">
        <f t="shared" si="84"/>
        <v>2.3492913473068704</v>
      </c>
      <c r="S1306" s="10">
        <f t="shared" si="83"/>
        <v>2.2797619951878603</v>
      </c>
      <c r="T1306" s="45" cm="1">
        <f t="array" ref="T1306">SUMPRODUCT(P1306:S1306 * P$3:S$3) / SUM(P$3:S$3)</f>
        <v>2.3036011840488095</v>
      </c>
    </row>
    <row r="1307" spans="1:20" ht="16.5" customHeight="1" x14ac:dyDescent="0.25">
      <c r="A1307" s="5" t="s">
        <v>6754</v>
      </c>
      <c r="B1307" s="20" t="s">
        <v>4417</v>
      </c>
      <c r="C1307" s="4" t="s">
        <v>8798</v>
      </c>
      <c r="D1307" s="4" t="s">
        <v>9059</v>
      </c>
      <c r="E1307" s="12" t="s">
        <v>407</v>
      </c>
      <c r="F1307" s="75" t="s">
        <v>6724</v>
      </c>
      <c r="G1307" s="3">
        <v>16</v>
      </c>
      <c r="H1307" s="3" t="s">
        <v>6736</v>
      </c>
      <c r="I1307" s="13" t="s">
        <v>6738</v>
      </c>
      <c r="J1307" s="72">
        <v>1.45</v>
      </c>
      <c r="L1307" s="9">
        <v>97.1</v>
      </c>
      <c r="M1307" s="3">
        <v>138.44</v>
      </c>
      <c r="N1307" s="17" t="s">
        <v>4418</v>
      </c>
      <c r="O1307" s="18" t="s">
        <v>4416</v>
      </c>
      <c r="P1307" s="49">
        <f t="shared" si="81"/>
        <v>2.1943366197106999</v>
      </c>
      <c r="Q1307" s="1">
        <f t="shared" si="82"/>
        <v>2.3651873706650202</v>
      </c>
      <c r="R1307" s="1">
        <f t="shared" si="84"/>
        <v>2.3492913473068704</v>
      </c>
      <c r="S1307" s="10">
        <f t="shared" si="83"/>
        <v>2.2797619951878603</v>
      </c>
      <c r="T1307" s="45" cm="1">
        <f t="array" ref="T1307">SUMPRODUCT(P1307:S1307 * P$3:S$3) / SUM(P$3:S$3)</f>
        <v>2.3036011840488095</v>
      </c>
    </row>
    <row r="1308" spans="1:20" ht="16.5" customHeight="1" x14ac:dyDescent="0.25">
      <c r="A1308" s="5" t="s">
        <v>6754</v>
      </c>
      <c r="B1308" s="20" t="s">
        <v>4460</v>
      </c>
      <c r="C1308" s="4" t="s">
        <v>8798</v>
      </c>
      <c r="D1308" s="4" t="s">
        <v>9059</v>
      </c>
      <c r="E1308" s="12" t="s">
        <v>407</v>
      </c>
      <c r="F1308" s="75" t="s">
        <v>6724</v>
      </c>
      <c r="G1308" s="3">
        <v>16</v>
      </c>
      <c r="H1308" s="3" t="s">
        <v>6736</v>
      </c>
      <c r="I1308" s="13" t="s">
        <v>6738</v>
      </c>
      <c r="J1308" s="72">
        <v>1.45</v>
      </c>
      <c r="K1308" s="14" t="s">
        <v>4436</v>
      </c>
      <c r="L1308" s="9">
        <v>86.97</v>
      </c>
      <c r="M1308" s="3">
        <v>156.16</v>
      </c>
      <c r="N1308" s="17" t="s">
        <v>4461</v>
      </c>
      <c r="O1308" s="18" t="s">
        <v>4459</v>
      </c>
      <c r="P1308" s="49">
        <f t="shared" si="81"/>
        <v>2.1943366197106999</v>
      </c>
      <c r="Q1308" s="1">
        <f t="shared" si="82"/>
        <v>2.3651873706650202</v>
      </c>
      <c r="R1308" s="1">
        <f t="shared" si="84"/>
        <v>2.3492913473068704</v>
      </c>
      <c r="S1308" s="10">
        <f t="shared" si="83"/>
        <v>2.2797619951878603</v>
      </c>
      <c r="T1308" s="45" cm="1">
        <f t="array" ref="T1308">SUMPRODUCT(P1308:S1308 * P$3:S$3) / SUM(P$3:S$3)</f>
        <v>2.3036011840488095</v>
      </c>
    </row>
    <row r="1309" spans="1:20" ht="16.5" customHeight="1" x14ac:dyDescent="0.25">
      <c r="A1309" s="5" t="s">
        <v>6754</v>
      </c>
      <c r="B1309" s="20" t="s">
        <v>4529</v>
      </c>
      <c r="C1309" s="4" t="s">
        <v>8798</v>
      </c>
      <c r="D1309" s="4" t="s">
        <v>9059</v>
      </c>
      <c r="E1309" s="12" t="s">
        <v>407</v>
      </c>
      <c r="F1309" s="75" t="s">
        <v>6724</v>
      </c>
      <c r="G1309" s="3">
        <v>16</v>
      </c>
      <c r="H1309" s="3" t="s">
        <v>6736</v>
      </c>
      <c r="I1309" s="13" t="s">
        <v>6738</v>
      </c>
      <c r="J1309" s="72">
        <v>1.45</v>
      </c>
      <c r="K1309" s="14" t="s">
        <v>4436</v>
      </c>
      <c r="L1309" s="9">
        <v>104.9</v>
      </c>
      <c r="M1309" s="3">
        <v>156.16</v>
      </c>
      <c r="N1309" s="17" t="s">
        <v>4530</v>
      </c>
      <c r="O1309" s="18" t="s">
        <v>4528</v>
      </c>
      <c r="P1309" s="49">
        <f t="shared" si="81"/>
        <v>2.1943366197106999</v>
      </c>
      <c r="Q1309" s="1">
        <f t="shared" si="82"/>
        <v>2.3651873706650202</v>
      </c>
      <c r="R1309" s="1">
        <f t="shared" si="84"/>
        <v>2.3492913473068704</v>
      </c>
      <c r="S1309" s="10">
        <f t="shared" si="83"/>
        <v>2.2797619951878603</v>
      </c>
      <c r="T1309" s="45" cm="1">
        <f t="array" ref="T1309">SUMPRODUCT(P1309:S1309 * P$3:S$3) / SUM(P$3:S$3)</f>
        <v>2.3036011840488095</v>
      </c>
    </row>
    <row r="1310" spans="1:20" ht="16.5" customHeight="1" x14ac:dyDescent="0.25">
      <c r="A1310" s="5" t="s">
        <v>6809</v>
      </c>
      <c r="B1310" s="20" t="s">
        <v>5180</v>
      </c>
      <c r="C1310" s="4" t="s">
        <v>8797</v>
      </c>
      <c r="D1310" s="4" t="s">
        <v>9060</v>
      </c>
      <c r="E1310" s="12" t="s">
        <v>407</v>
      </c>
      <c r="F1310" s="75" t="s">
        <v>6724</v>
      </c>
      <c r="G1310" s="3">
        <v>32</v>
      </c>
      <c r="H1310" s="3" t="s">
        <v>404</v>
      </c>
      <c r="I1310" s="13" t="s">
        <v>6739</v>
      </c>
      <c r="J1310" s="72">
        <v>1.4</v>
      </c>
      <c r="L1310" s="9">
        <v>148.4</v>
      </c>
      <c r="M1310" s="3">
        <v>184.69</v>
      </c>
      <c r="N1310" s="17" t="s">
        <v>5181</v>
      </c>
      <c r="O1310" s="18" t="s">
        <v>5179</v>
      </c>
      <c r="P1310" s="49">
        <f t="shared" si="81"/>
        <v>2.7340103676117935</v>
      </c>
      <c r="Q1310" s="1">
        <f t="shared" si="82"/>
        <v>3.222392241290895</v>
      </c>
      <c r="R1310" s="1">
        <f t="shared" si="84"/>
        <v>3.2847548815748051</v>
      </c>
      <c r="S1310" s="10">
        <f t="shared" si="83"/>
        <v>2.978201304451344</v>
      </c>
      <c r="T1310" s="45" cm="1">
        <f t="array" ref="T1310">SUMPRODUCT(P1310:S1310 * P$3:S$3) / SUM(P$3:S$3)</f>
        <v>3.0629312296764226</v>
      </c>
    </row>
    <row r="1311" spans="1:20" ht="16.5" customHeight="1" x14ac:dyDescent="0.25">
      <c r="A1311" s="5" t="s">
        <v>6809</v>
      </c>
      <c r="B1311" s="20" t="s">
        <v>5211</v>
      </c>
      <c r="C1311" s="4" t="s">
        <v>8797</v>
      </c>
      <c r="D1311" s="4" t="s">
        <v>9060</v>
      </c>
      <c r="E1311" s="12" t="s">
        <v>407</v>
      </c>
      <c r="F1311" s="75" t="s">
        <v>6724</v>
      </c>
      <c r="G1311" s="3">
        <v>32</v>
      </c>
      <c r="H1311" s="3" t="s">
        <v>404</v>
      </c>
      <c r="I1311" s="13" t="s">
        <v>6739</v>
      </c>
      <c r="J1311" s="72">
        <v>1.4</v>
      </c>
      <c r="K1311" s="14" t="s">
        <v>5196</v>
      </c>
      <c r="L1311" s="9">
        <v>167.53</v>
      </c>
      <c r="M1311" s="3">
        <v>214.46</v>
      </c>
      <c r="N1311" s="17" t="s">
        <v>5212</v>
      </c>
      <c r="O1311" s="18" t="s">
        <v>5210</v>
      </c>
      <c r="P1311" s="49">
        <f t="shared" si="81"/>
        <v>2.7340103676117935</v>
      </c>
      <c r="Q1311" s="1">
        <f t="shared" si="82"/>
        <v>3.222392241290895</v>
      </c>
      <c r="R1311" s="1">
        <f t="shared" si="84"/>
        <v>3.2847548815748051</v>
      </c>
      <c r="S1311" s="10">
        <f t="shared" si="83"/>
        <v>2.978201304451344</v>
      </c>
      <c r="T1311" s="45" cm="1">
        <f t="array" ref="T1311">SUMPRODUCT(P1311:S1311 * P$3:S$3) / SUM(P$3:S$3)</f>
        <v>3.0629312296764226</v>
      </c>
    </row>
    <row r="1312" spans="1:20" ht="16.5" customHeight="1" x14ac:dyDescent="0.25">
      <c r="A1312" s="5" t="s">
        <v>6809</v>
      </c>
      <c r="B1312" s="20" t="s">
        <v>5301</v>
      </c>
      <c r="C1312" s="4" t="s">
        <v>8797</v>
      </c>
      <c r="D1312" s="4" t="s">
        <v>9060</v>
      </c>
      <c r="E1312" s="12" t="s">
        <v>407</v>
      </c>
      <c r="F1312" s="75" t="s">
        <v>6724</v>
      </c>
      <c r="G1312" s="3">
        <v>32</v>
      </c>
      <c r="H1312" s="3" t="s">
        <v>404</v>
      </c>
      <c r="I1312" s="13" t="s">
        <v>6739</v>
      </c>
      <c r="J1312" s="72">
        <v>1.4</v>
      </c>
      <c r="K1312" s="14" t="s">
        <v>5196</v>
      </c>
      <c r="L1312" s="9">
        <v>148.93</v>
      </c>
      <c r="M1312" s="3">
        <v>238.26</v>
      </c>
      <c r="N1312" s="17" t="s">
        <v>5302</v>
      </c>
      <c r="O1312" s="18" t="s">
        <v>5300</v>
      </c>
      <c r="P1312" s="49">
        <f t="shared" si="81"/>
        <v>2.7340103676117935</v>
      </c>
      <c r="Q1312" s="1">
        <f t="shared" si="82"/>
        <v>3.222392241290895</v>
      </c>
      <c r="R1312" s="1">
        <f t="shared" si="84"/>
        <v>3.2847548815748051</v>
      </c>
      <c r="S1312" s="10">
        <f t="shared" si="83"/>
        <v>2.978201304451344</v>
      </c>
      <c r="T1312" s="45" cm="1">
        <f t="array" ref="T1312">SUMPRODUCT(P1312:S1312 * P$3:S$3) / SUM(P$3:S$3)</f>
        <v>3.0629312296764226</v>
      </c>
    </row>
    <row r="1313" spans="1:20" ht="16.5" customHeight="1" x14ac:dyDescent="0.25">
      <c r="A1313" s="5" t="s">
        <v>6809</v>
      </c>
      <c r="B1313" s="20" t="s">
        <v>5403</v>
      </c>
      <c r="C1313" s="4" t="s">
        <v>8797</v>
      </c>
      <c r="D1313" s="4" t="s">
        <v>9060</v>
      </c>
      <c r="E1313" s="12" t="s">
        <v>407</v>
      </c>
      <c r="F1313" s="75" t="s">
        <v>6724</v>
      </c>
      <c r="G1313" s="3">
        <v>32</v>
      </c>
      <c r="H1313" s="3" t="s">
        <v>404</v>
      </c>
      <c r="I1313" s="13" t="s">
        <v>6739</v>
      </c>
      <c r="J1313" s="72">
        <v>1.4</v>
      </c>
      <c r="K1313" s="14" t="s">
        <v>5196</v>
      </c>
      <c r="L1313" s="9">
        <v>152.79</v>
      </c>
      <c r="M1313" s="3">
        <v>292</v>
      </c>
      <c r="N1313" s="17" t="s">
        <v>5404</v>
      </c>
      <c r="O1313" s="18" t="s">
        <v>5402</v>
      </c>
      <c r="P1313" s="49">
        <f t="shared" si="81"/>
        <v>2.7340103676117935</v>
      </c>
      <c r="Q1313" s="1">
        <f t="shared" si="82"/>
        <v>3.222392241290895</v>
      </c>
      <c r="R1313" s="1">
        <f t="shared" si="84"/>
        <v>3.2847548815748051</v>
      </c>
      <c r="S1313" s="10">
        <f t="shared" si="83"/>
        <v>2.978201304451344</v>
      </c>
      <c r="T1313" s="45" cm="1">
        <f t="array" ref="T1313">SUMPRODUCT(P1313:S1313 * P$3:S$3) / SUM(P$3:S$3)</f>
        <v>3.0629312296764226</v>
      </c>
    </row>
    <row r="1314" spans="1:20" ht="16.5" customHeight="1" x14ac:dyDescent="0.25">
      <c r="A1314" s="5" t="s">
        <v>6749</v>
      </c>
      <c r="B1314" s="20" t="s">
        <v>4336</v>
      </c>
      <c r="C1314" s="4" t="s">
        <v>8798</v>
      </c>
      <c r="D1314" s="4" t="s">
        <v>9060</v>
      </c>
      <c r="E1314" s="12" t="s">
        <v>407</v>
      </c>
      <c r="F1314" s="75" t="s">
        <v>6724</v>
      </c>
      <c r="G1314" s="3">
        <v>32</v>
      </c>
      <c r="H1314" s="3" t="s">
        <v>404</v>
      </c>
      <c r="I1314" s="13" t="s">
        <v>6738</v>
      </c>
      <c r="J1314" s="72">
        <v>1.45</v>
      </c>
      <c r="L1314" s="9">
        <v>198.9</v>
      </c>
      <c r="M1314" s="3">
        <v>298.83999999999997</v>
      </c>
      <c r="N1314" s="17" t="s">
        <v>4337</v>
      </c>
      <c r="O1314" s="18" t="s">
        <v>4335</v>
      </c>
      <c r="P1314" s="49">
        <f t="shared" si="81"/>
        <v>2.7280861555778131</v>
      </c>
      <c r="Q1314" s="1">
        <f t="shared" si="82"/>
        <v>3.2185445006626221</v>
      </c>
      <c r="R1314" s="1">
        <f t="shared" si="84"/>
        <v>3.2809071409465318</v>
      </c>
      <c r="S1314" s="10">
        <f t="shared" si="83"/>
        <v>2.9733153281202176</v>
      </c>
      <c r="T1314" s="45" cm="1">
        <f t="array" ref="T1314">SUMPRODUCT(P1314:S1314 * P$3:S$3) / SUM(P$3:S$3)</f>
        <v>3.0583647104846361</v>
      </c>
    </row>
    <row r="1315" spans="1:20" ht="16.5" customHeight="1" x14ac:dyDescent="0.25">
      <c r="A1315" s="5" t="s">
        <v>6749</v>
      </c>
      <c r="B1315" s="20" t="s">
        <v>4384</v>
      </c>
      <c r="C1315" s="4" t="s">
        <v>8798</v>
      </c>
      <c r="D1315" s="4" t="s">
        <v>9060</v>
      </c>
      <c r="E1315" s="12" t="s">
        <v>407</v>
      </c>
      <c r="F1315" s="75" t="s">
        <v>6724</v>
      </c>
      <c r="G1315" s="3">
        <v>32</v>
      </c>
      <c r="H1315" s="3" t="s">
        <v>404</v>
      </c>
      <c r="I1315" s="13" t="s">
        <v>6738</v>
      </c>
      <c r="J1315" s="72">
        <v>1.45</v>
      </c>
      <c r="L1315" s="9">
        <v>198.9</v>
      </c>
      <c r="M1315" s="3">
        <v>261.23</v>
      </c>
      <c r="N1315" s="17" t="s">
        <v>4385</v>
      </c>
      <c r="O1315" s="18" t="s">
        <v>4383</v>
      </c>
      <c r="P1315" s="49">
        <f t="shared" si="81"/>
        <v>2.7280861555778131</v>
      </c>
      <c r="Q1315" s="1">
        <f t="shared" si="82"/>
        <v>3.2185445006626221</v>
      </c>
      <c r="R1315" s="1">
        <f t="shared" si="84"/>
        <v>3.2809071409465318</v>
      </c>
      <c r="S1315" s="10">
        <f t="shared" si="83"/>
        <v>2.9733153281202176</v>
      </c>
      <c r="T1315" s="45" cm="1">
        <f t="array" ref="T1315">SUMPRODUCT(P1315:S1315 * P$3:S$3) / SUM(P$3:S$3)</f>
        <v>3.0583647104846361</v>
      </c>
    </row>
    <row r="1316" spans="1:20" ht="16.5" customHeight="1" x14ac:dyDescent="0.25">
      <c r="A1316" s="5" t="s">
        <v>6749</v>
      </c>
      <c r="B1316" s="20" t="s">
        <v>4442</v>
      </c>
      <c r="C1316" s="4" t="s">
        <v>8798</v>
      </c>
      <c r="D1316" s="4" t="s">
        <v>9060</v>
      </c>
      <c r="E1316" s="12" t="s">
        <v>407</v>
      </c>
      <c r="F1316" s="75" t="s">
        <v>6724</v>
      </c>
      <c r="G1316" s="3">
        <v>32</v>
      </c>
      <c r="H1316" s="3" t="s">
        <v>404</v>
      </c>
      <c r="I1316" s="13" t="s">
        <v>6738</v>
      </c>
      <c r="J1316" s="72">
        <v>1.45</v>
      </c>
      <c r="K1316" s="14" t="s">
        <v>4436</v>
      </c>
      <c r="L1316" s="9">
        <v>209.9</v>
      </c>
      <c r="M1316" s="3">
        <v>312.76</v>
      </c>
      <c r="N1316" s="17" t="s">
        <v>4443</v>
      </c>
      <c r="O1316" s="18" t="s">
        <v>4441</v>
      </c>
      <c r="P1316" s="49">
        <f t="shared" si="81"/>
        <v>2.7280861555778131</v>
      </c>
      <c r="Q1316" s="1">
        <f t="shared" si="82"/>
        <v>3.2185445006626221</v>
      </c>
      <c r="R1316" s="1">
        <f t="shared" si="84"/>
        <v>3.2809071409465318</v>
      </c>
      <c r="S1316" s="10">
        <f t="shared" si="83"/>
        <v>2.9733153281202176</v>
      </c>
      <c r="T1316" s="45" cm="1">
        <f t="array" ref="T1316">SUMPRODUCT(P1316:S1316 * P$3:S$3) / SUM(P$3:S$3)</f>
        <v>3.0583647104846361</v>
      </c>
    </row>
    <row r="1317" spans="1:20" ht="16.5" customHeight="1" x14ac:dyDescent="0.25">
      <c r="A1317" s="5" t="s">
        <v>6749</v>
      </c>
      <c r="B1317" s="20" t="s">
        <v>4496</v>
      </c>
      <c r="C1317" s="4" t="s">
        <v>8798</v>
      </c>
      <c r="D1317" s="4" t="s">
        <v>9060</v>
      </c>
      <c r="E1317" s="12" t="s">
        <v>407</v>
      </c>
      <c r="F1317" s="75" t="s">
        <v>6724</v>
      </c>
      <c r="G1317" s="3">
        <v>32</v>
      </c>
      <c r="H1317" s="3" t="s">
        <v>404</v>
      </c>
      <c r="I1317" s="13" t="s">
        <v>6738</v>
      </c>
      <c r="J1317" s="72">
        <v>1.45</v>
      </c>
      <c r="K1317" s="14" t="s">
        <v>4436</v>
      </c>
      <c r="L1317" s="9">
        <v>207.63</v>
      </c>
      <c r="M1317" s="3">
        <v>280.12</v>
      </c>
      <c r="N1317" s="17" t="s">
        <v>4497</v>
      </c>
      <c r="O1317" s="18" t="s">
        <v>4495</v>
      </c>
      <c r="P1317" s="49">
        <f t="shared" si="81"/>
        <v>2.7280861555778131</v>
      </c>
      <c r="Q1317" s="1">
        <f t="shared" si="82"/>
        <v>3.2185445006626221</v>
      </c>
      <c r="R1317" s="1">
        <f t="shared" si="84"/>
        <v>3.2809071409465318</v>
      </c>
      <c r="S1317" s="10">
        <f t="shared" si="83"/>
        <v>2.9733153281202176</v>
      </c>
      <c r="T1317" s="45" cm="1">
        <f t="array" ref="T1317">SUMPRODUCT(P1317:S1317 * P$3:S$3) / SUM(P$3:S$3)</f>
        <v>3.0583647104846361</v>
      </c>
    </row>
    <row r="1318" spans="1:20" ht="16.5" customHeight="1" x14ac:dyDescent="0.25">
      <c r="A1318" s="5" t="s">
        <v>6818</v>
      </c>
      <c r="B1318" s="20" t="s">
        <v>5262</v>
      </c>
      <c r="C1318" s="4" t="s">
        <v>8797</v>
      </c>
      <c r="D1318" s="4" t="s">
        <v>9061</v>
      </c>
      <c r="E1318" s="12" t="s">
        <v>407</v>
      </c>
      <c r="F1318" s="75" t="s">
        <v>6724</v>
      </c>
      <c r="G1318" s="3">
        <v>48</v>
      </c>
      <c r="H1318" s="3" t="s">
        <v>404</v>
      </c>
      <c r="I1318" s="13" t="s">
        <v>6738</v>
      </c>
      <c r="J1318" s="72">
        <v>1.35</v>
      </c>
      <c r="K1318" s="14" t="s">
        <v>5196</v>
      </c>
      <c r="L1318" s="9">
        <v>203.3</v>
      </c>
      <c r="M1318" s="3">
        <v>424.13</v>
      </c>
      <c r="N1318" s="17" t="s">
        <v>5263</v>
      </c>
      <c r="O1318" s="18" t="s">
        <v>5261</v>
      </c>
      <c r="P1318" s="49">
        <f t="shared" si="81"/>
        <v>3.1538350636107513</v>
      </c>
      <c r="Q1318" s="1">
        <f t="shared" si="82"/>
        <v>3.9256993121697783</v>
      </c>
      <c r="R1318" s="1">
        <f t="shared" si="84"/>
        <v>4.0584134283222424</v>
      </c>
      <c r="S1318" s="10">
        <f t="shared" si="83"/>
        <v>3.5397671878902646</v>
      </c>
      <c r="T1318" s="45" cm="1">
        <f t="array" ref="T1318">SUMPRODUCT(P1318:S1318 * P$3:S$3) / SUM(P$3:S$3)</f>
        <v>3.6789330901535711</v>
      </c>
    </row>
    <row r="1319" spans="1:20" ht="16.5" customHeight="1" x14ac:dyDescent="0.25">
      <c r="A1319" s="5" t="s">
        <v>6818</v>
      </c>
      <c r="B1319" s="20" t="s">
        <v>5379</v>
      </c>
      <c r="C1319" s="4" t="s">
        <v>8797</v>
      </c>
      <c r="D1319" s="4" t="s">
        <v>9061</v>
      </c>
      <c r="E1319" s="12" t="s">
        <v>407</v>
      </c>
      <c r="F1319" s="75" t="s">
        <v>6724</v>
      </c>
      <c r="G1319" s="3">
        <v>48</v>
      </c>
      <c r="H1319" s="3" t="s">
        <v>404</v>
      </c>
      <c r="I1319" s="13" t="s">
        <v>6738</v>
      </c>
      <c r="J1319" s="72">
        <v>1.35</v>
      </c>
      <c r="K1319" s="14" t="s">
        <v>5196</v>
      </c>
      <c r="L1319" s="9">
        <v>203.3</v>
      </c>
      <c r="M1319" s="3">
        <v>421.7</v>
      </c>
      <c r="N1319" s="17" t="s">
        <v>5380</v>
      </c>
      <c r="O1319" s="18" t="s">
        <v>5378</v>
      </c>
      <c r="P1319" s="49">
        <f t="shared" si="81"/>
        <v>3.1538350636107513</v>
      </c>
      <c r="Q1319" s="1">
        <f t="shared" si="82"/>
        <v>3.9256993121697783</v>
      </c>
      <c r="R1319" s="1">
        <f t="shared" si="84"/>
        <v>4.0584134283222424</v>
      </c>
      <c r="S1319" s="10">
        <f t="shared" si="83"/>
        <v>3.5397671878902646</v>
      </c>
      <c r="T1319" s="45" cm="1">
        <f t="array" ref="T1319">SUMPRODUCT(P1319:S1319 * P$3:S$3) / SUM(P$3:S$3)</f>
        <v>3.6789330901535711</v>
      </c>
    </row>
    <row r="1320" spans="1:20" ht="16.5" customHeight="1" x14ac:dyDescent="0.25">
      <c r="A1320" s="5" t="s">
        <v>6820</v>
      </c>
      <c r="B1320" s="20" t="s">
        <v>5298</v>
      </c>
      <c r="C1320" s="4" t="s">
        <v>8797</v>
      </c>
      <c r="D1320" s="4" t="s">
        <v>9062</v>
      </c>
      <c r="E1320" s="12" t="s">
        <v>407</v>
      </c>
      <c r="F1320" s="75" t="s">
        <v>6731</v>
      </c>
      <c r="G1320" s="3">
        <v>32</v>
      </c>
      <c r="H1320" s="3" t="s">
        <v>404</v>
      </c>
      <c r="I1320" s="13" t="s">
        <v>6739</v>
      </c>
      <c r="J1320" s="72">
        <v>1.45</v>
      </c>
      <c r="K1320" s="14" t="s">
        <v>5196</v>
      </c>
      <c r="L1320" s="9">
        <v>160.9</v>
      </c>
      <c r="M1320" s="3">
        <v>299</v>
      </c>
      <c r="N1320" s="17" t="s">
        <v>5299</v>
      </c>
      <c r="O1320" s="18" t="s">
        <v>5297</v>
      </c>
      <c r="P1320" s="49">
        <f t="shared" si="81"/>
        <v>2.7577710939284032</v>
      </c>
      <c r="Q1320" s="1">
        <f t="shared" si="82"/>
        <v>3.2397699687227117</v>
      </c>
      <c r="R1320" s="1">
        <f t="shared" si="84"/>
        <v>3.298941109564224</v>
      </c>
      <c r="S1320" s="10">
        <f t="shared" si="83"/>
        <v>2.9987705313255573</v>
      </c>
      <c r="T1320" s="45" cm="1">
        <f t="array" ref="T1320">SUMPRODUCT(P1320:S1320 * P$3:S$3) / SUM(P$3:S$3)</f>
        <v>3.0820274568079915</v>
      </c>
    </row>
    <row r="1321" spans="1:20" ht="16.5" customHeight="1" x14ac:dyDescent="0.25">
      <c r="A1321" s="5" t="s">
        <v>6820</v>
      </c>
      <c r="B1321" s="20" t="s">
        <v>5400</v>
      </c>
      <c r="C1321" s="4" t="s">
        <v>8797</v>
      </c>
      <c r="D1321" s="4" t="s">
        <v>9062</v>
      </c>
      <c r="E1321" s="12" t="s">
        <v>407</v>
      </c>
      <c r="F1321" s="75" t="s">
        <v>6731</v>
      </c>
      <c r="G1321" s="3">
        <v>32</v>
      </c>
      <c r="H1321" s="3" t="s">
        <v>404</v>
      </c>
      <c r="I1321" s="13" t="s">
        <v>6739</v>
      </c>
      <c r="J1321" s="72">
        <v>1.45</v>
      </c>
      <c r="K1321" s="14" t="s">
        <v>5196</v>
      </c>
      <c r="L1321" s="9">
        <v>160.9</v>
      </c>
      <c r="M1321" s="3">
        <v>206.11</v>
      </c>
      <c r="N1321" s="17" t="s">
        <v>5401</v>
      </c>
      <c r="O1321" s="18" t="s">
        <v>5399</v>
      </c>
      <c r="P1321" s="49">
        <f t="shared" si="81"/>
        <v>2.7577710939284032</v>
      </c>
      <c r="Q1321" s="1">
        <f t="shared" si="82"/>
        <v>3.2397699687227117</v>
      </c>
      <c r="R1321" s="1">
        <f t="shared" si="84"/>
        <v>3.298941109564224</v>
      </c>
      <c r="S1321" s="10">
        <f t="shared" si="83"/>
        <v>2.9987705313255573</v>
      </c>
      <c r="T1321" s="45" cm="1">
        <f t="array" ref="T1321">SUMPRODUCT(P1321:S1321 * P$3:S$3) / SUM(P$3:S$3)</f>
        <v>3.0820274568079915</v>
      </c>
    </row>
    <row r="1322" spans="1:20" ht="16.5" customHeight="1" x14ac:dyDescent="0.25">
      <c r="A1322" s="5" t="s">
        <v>6753</v>
      </c>
      <c r="B1322" s="20" t="s">
        <v>4348</v>
      </c>
      <c r="C1322" s="4" t="s">
        <v>8798</v>
      </c>
      <c r="D1322" s="4" t="s">
        <v>9063</v>
      </c>
      <c r="E1322" s="12" t="s">
        <v>407</v>
      </c>
      <c r="F1322" s="75" t="s">
        <v>6726</v>
      </c>
      <c r="G1322" s="3">
        <v>16</v>
      </c>
      <c r="H1322" s="3" t="s">
        <v>6736</v>
      </c>
      <c r="I1322" s="13" t="s">
        <v>6738</v>
      </c>
      <c r="J1322" s="72">
        <v>1.45</v>
      </c>
      <c r="L1322" s="9">
        <v>116.9</v>
      </c>
      <c r="M1322" s="3">
        <v>169.7</v>
      </c>
      <c r="N1322" s="17" t="s">
        <v>4349</v>
      </c>
      <c r="O1322" s="18" t="s">
        <v>4347</v>
      </c>
      <c r="P1322" s="49">
        <f t="shared" si="81"/>
        <v>2.2438809048202626</v>
      </c>
      <c r="Q1322" s="1">
        <f t="shared" si="82"/>
        <v>2.4023455844971924</v>
      </c>
      <c r="R1322" s="1">
        <f t="shared" si="84"/>
        <v>2.3802565255003474</v>
      </c>
      <c r="S1322" s="10">
        <f t="shared" si="83"/>
        <v>2.3231132446587277</v>
      </c>
      <c r="T1322" s="45" cm="1">
        <f t="array" ref="T1322">SUMPRODUCT(P1322:S1322 * P$3:S$3) / SUM(P$3:S$3)</f>
        <v>2.3440941093787404</v>
      </c>
    </row>
    <row r="1323" spans="1:20" ht="16.5" customHeight="1" x14ac:dyDescent="0.25">
      <c r="A1323" s="5" t="s">
        <v>6753</v>
      </c>
      <c r="B1323" s="20" t="s">
        <v>4414</v>
      </c>
      <c r="C1323" s="4" t="s">
        <v>8798</v>
      </c>
      <c r="D1323" s="4" t="s">
        <v>9063</v>
      </c>
      <c r="E1323" s="12" t="s">
        <v>407</v>
      </c>
      <c r="F1323" s="75" t="s">
        <v>6726</v>
      </c>
      <c r="G1323" s="3">
        <v>16</v>
      </c>
      <c r="H1323" s="3" t="s">
        <v>6736</v>
      </c>
      <c r="I1323" s="13" t="s">
        <v>6738</v>
      </c>
      <c r="J1323" s="72">
        <v>1.45</v>
      </c>
      <c r="L1323" s="9">
        <v>116.9</v>
      </c>
      <c r="M1323" s="3">
        <v>169.7</v>
      </c>
      <c r="N1323" s="17" t="s">
        <v>4415</v>
      </c>
      <c r="O1323" s="18" t="s">
        <v>4413</v>
      </c>
      <c r="P1323" s="49">
        <f t="shared" si="81"/>
        <v>2.2438809048202626</v>
      </c>
      <c r="Q1323" s="1">
        <f t="shared" si="82"/>
        <v>2.4023455844971924</v>
      </c>
      <c r="R1323" s="1">
        <f t="shared" si="84"/>
        <v>2.3802565255003474</v>
      </c>
      <c r="S1323" s="10">
        <f t="shared" si="83"/>
        <v>2.3231132446587277</v>
      </c>
      <c r="T1323" s="45" cm="1">
        <f t="array" ref="T1323">SUMPRODUCT(P1323:S1323 * P$3:S$3) / SUM(P$3:S$3)</f>
        <v>2.3440941093787404</v>
      </c>
    </row>
    <row r="1324" spans="1:20" ht="16.5" customHeight="1" x14ac:dyDescent="0.25">
      <c r="A1324" s="5" t="s">
        <v>6753</v>
      </c>
      <c r="B1324" s="20" t="s">
        <v>4457</v>
      </c>
      <c r="C1324" s="4" t="s">
        <v>8798</v>
      </c>
      <c r="D1324" s="4" t="s">
        <v>9063</v>
      </c>
      <c r="E1324" s="12" t="s">
        <v>407</v>
      </c>
      <c r="F1324" s="75" t="s">
        <v>6726</v>
      </c>
      <c r="G1324" s="3">
        <v>16</v>
      </c>
      <c r="H1324" s="3" t="s">
        <v>6736</v>
      </c>
      <c r="I1324" s="13" t="s">
        <v>6738</v>
      </c>
      <c r="J1324" s="72">
        <v>1.45</v>
      </c>
      <c r="K1324" s="14" t="s">
        <v>4436</v>
      </c>
      <c r="L1324" s="9">
        <v>121.9</v>
      </c>
      <c r="M1324" s="3">
        <v>176.66</v>
      </c>
      <c r="N1324" s="17" t="s">
        <v>4458</v>
      </c>
      <c r="O1324" s="18" t="s">
        <v>4456</v>
      </c>
      <c r="P1324" s="49">
        <f t="shared" si="81"/>
        <v>2.2438809048202626</v>
      </c>
      <c r="Q1324" s="1">
        <f t="shared" si="82"/>
        <v>2.4023455844971924</v>
      </c>
      <c r="R1324" s="1">
        <f t="shared" si="84"/>
        <v>2.3802565255003474</v>
      </c>
      <c r="S1324" s="10">
        <f t="shared" si="83"/>
        <v>2.3231132446587277</v>
      </c>
      <c r="T1324" s="45" cm="1">
        <f t="array" ref="T1324">SUMPRODUCT(P1324:S1324 * P$3:S$3) / SUM(P$3:S$3)</f>
        <v>2.3440941093787404</v>
      </c>
    </row>
    <row r="1325" spans="1:20" ht="16.5" customHeight="1" x14ac:dyDescent="0.25">
      <c r="A1325" s="5" t="s">
        <v>6753</v>
      </c>
      <c r="B1325" s="20" t="s">
        <v>4526</v>
      </c>
      <c r="C1325" s="4" t="s">
        <v>8798</v>
      </c>
      <c r="D1325" s="4" t="s">
        <v>9063</v>
      </c>
      <c r="E1325" s="12" t="s">
        <v>407</v>
      </c>
      <c r="F1325" s="75" t="s">
        <v>6726</v>
      </c>
      <c r="G1325" s="3">
        <v>16</v>
      </c>
      <c r="H1325" s="3" t="s">
        <v>6736</v>
      </c>
      <c r="I1325" s="13" t="s">
        <v>6738</v>
      </c>
      <c r="J1325" s="72">
        <v>1.45</v>
      </c>
      <c r="K1325" s="14" t="s">
        <v>4436</v>
      </c>
      <c r="L1325" s="9">
        <v>121.9</v>
      </c>
      <c r="M1325" s="3">
        <v>169.89</v>
      </c>
      <c r="N1325" s="17" t="s">
        <v>4527</v>
      </c>
      <c r="O1325" s="18" t="s">
        <v>4525</v>
      </c>
      <c r="P1325" s="49">
        <f t="shared" si="81"/>
        <v>2.2438809048202626</v>
      </c>
      <c r="Q1325" s="1">
        <f t="shared" si="82"/>
        <v>2.4023455844971924</v>
      </c>
      <c r="R1325" s="1">
        <f t="shared" si="84"/>
        <v>2.3802565255003474</v>
      </c>
      <c r="S1325" s="10">
        <f t="shared" si="83"/>
        <v>2.3231132446587277</v>
      </c>
      <c r="T1325" s="45" cm="1">
        <f t="array" ref="T1325">SUMPRODUCT(P1325:S1325 * P$3:S$3) / SUM(P$3:S$3)</f>
        <v>2.3440941093787404</v>
      </c>
    </row>
    <row r="1326" spans="1:20" ht="16.5" customHeight="1" x14ac:dyDescent="0.25">
      <c r="A1326" s="5" t="s">
        <v>6817</v>
      </c>
      <c r="B1326" s="20" t="s">
        <v>5235</v>
      </c>
      <c r="C1326" s="4" t="s">
        <v>8797</v>
      </c>
      <c r="D1326" s="4" t="s">
        <v>9064</v>
      </c>
      <c r="E1326" s="12" t="s">
        <v>407</v>
      </c>
      <c r="F1326" s="75" t="s">
        <v>6726</v>
      </c>
      <c r="G1326" s="3">
        <v>32</v>
      </c>
      <c r="H1326" s="3" t="s">
        <v>404</v>
      </c>
      <c r="I1326" s="13" t="s">
        <v>6738</v>
      </c>
      <c r="J1326" s="72">
        <v>1.45</v>
      </c>
      <c r="K1326" s="14" t="s">
        <v>5196</v>
      </c>
      <c r="L1326" s="9">
        <v>214.78</v>
      </c>
      <c r="M1326" s="3">
        <v>249.99</v>
      </c>
      <c r="N1326" s="17" t="s">
        <v>5236</v>
      </c>
      <c r="O1326" s="18" t="s">
        <v>5234</v>
      </c>
      <c r="P1326" s="49">
        <f t="shared" si="81"/>
        <v>2.7790195327932512</v>
      </c>
      <c r="Q1326" s="1">
        <f t="shared" si="82"/>
        <v>3.2567445335742011</v>
      </c>
      <c r="R1326" s="1">
        <f t="shared" si="84"/>
        <v>3.3127405017061808</v>
      </c>
      <c r="S1326" s="10">
        <f t="shared" si="83"/>
        <v>3.0178820331837262</v>
      </c>
      <c r="T1326" s="45" cm="1">
        <f t="array" ref="T1326">SUMPRODUCT(P1326:S1326 * P$3:S$3) / SUM(P$3:S$3)</f>
        <v>3.0999929514780229</v>
      </c>
    </row>
    <row r="1327" spans="1:20" ht="16.5" customHeight="1" x14ac:dyDescent="0.25">
      <c r="A1327" s="5" t="s">
        <v>6817</v>
      </c>
      <c r="B1327" s="20" t="s">
        <v>5295</v>
      </c>
      <c r="C1327" s="4" t="s">
        <v>8797</v>
      </c>
      <c r="D1327" s="4" t="s">
        <v>9064</v>
      </c>
      <c r="E1327" s="12" t="s">
        <v>407</v>
      </c>
      <c r="F1327" s="75" t="s">
        <v>6726</v>
      </c>
      <c r="G1327" s="3">
        <v>32</v>
      </c>
      <c r="H1327" s="3" t="s">
        <v>404</v>
      </c>
      <c r="I1327" s="13" t="s">
        <v>6738</v>
      </c>
      <c r="J1327" s="72">
        <v>1.45</v>
      </c>
      <c r="K1327" s="14" t="s">
        <v>5196</v>
      </c>
      <c r="L1327" s="9">
        <v>169.9</v>
      </c>
      <c r="M1327" s="3">
        <v>248.96</v>
      </c>
      <c r="N1327" s="17" t="s">
        <v>5296</v>
      </c>
      <c r="O1327" s="18" t="s">
        <v>5294</v>
      </c>
      <c r="P1327" s="49">
        <f t="shared" si="81"/>
        <v>2.7790195327932512</v>
      </c>
      <c r="Q1327" s="1">
        <f t="shared" si="82"/>
        <v>3.2567445335742011</v>
      </c>
      <c r="R1327" s="1">
        <f t="shared" si="84"/>
        <v>3.3127405017061808</v>
      </c>
      <c r="S1327" s="10">
        <f t="shared" si="83"/>
        <v>3.0178820331837262</v>
      </c>
      <c r="T1327" s="45" cm="1">
        <f t="array" ref="T1327">SUMPRODUCT(P1327:S1327 * P$3:S$3) / SUM(P$3:S$3)</f>
        <v>3.0999929514780229</v>
      </c>
    </row>
    <row r="1328" spans="1:20" ht="16.5" customHeight="1" x14ac:dyDescent="0.25">
      <c r="A1328" s="5" t="s">
        <v>6817</v>
      </c>
      <c r="B1328" s="20" t="s">
        <v>5397</v>
      </c>
      <c r="C1328" s="4" t="s">
        <v>8797</v>
      </c>
      <c r="D1328" s="4" t="s">
        <v>9064</v>
      </c>
      <c r="E1328" s="12" t="s">
        <v>407</v>
      </c>
      <c r="F1328" s="75" t="s">
        <v>6726</v>
      </c>
      <c r="G1328" s="3">
        <v>32</v>
      </c>
      <c r="H1328" s="3" t="s">
        <v>404</v>
      </c>
      <c r="I1328" s="13" t="s">
        <v>6738</v>
      </c>
      <c r="J1328" s="72">
        <v>1.45</v>
      </c>
      <c r="K1328" s="14" t="s">
        <v>5196</v>
      </c>
      <c r="L1328" s="9">
        <v>174.52</v>
      </c>
      <c r="M1328" s="3">
        <v>998.9</v>
      </c>
      <c r="N1328" s="17" t="s">
        <v>5398</v>
      </c>
      <c r="O1328" s="18" t="s">
        <v>5396</v>
      </c>
      <c r="P1328" s="49">
        <f t="shared" si="81"/>
        <v>2.7790195327932512</v>
      </c>
      <c r="Q1328" s="1">
        <f t="shared" si="82"/>
        <v>3.2567445335742011</v>
      </c>
      <c r="R1328" s="1">
        <f t="shared" si="84"/>
        <v>3.3127405017061808</v>
      </c>
      <c r="S1328" s="10">
        <f t="shared" si="83"/>
        <v>3.0178820331837262</v>
      </c>
      <c r="T1328" s="45" cm="1">
        <f t="array" ref="T1328">SUMPRODUCT(P1328:S1328 * P$3:S$3) / SUM(P$3:S$3)</f>
        <v>3.0999929514780229</v>
      </c>
    </row>
    <row r="1329" spans="1:20" ht="16.5" customHeight="1" x14ac:dyDescent="0.25">
      <c r="A1329" s="5" t="s">
        <v>6817</v>
      </c>
      <c r="B1329" s="20" t="s">
        <v>5524</v>
      </c>
      <c r="C1329" s="4" t="s">
        <v>8797</v>
      </c>
      <c r="D1329" s="4" t="s">
        <v>9064</v>
      </c>
      <c r="E1329" s="12" t="s">
        <v>407</v>
      </c>
      <c r="F1329" s="75" t="s">
        <v>6726</v>
      </c>
      <c r="G1329" s="3">
        <v>32</v>
      </c>
      <c r="H1329" s="3" t="s">
        <v>404</v>
      </c>
      <c r="I1329" s="13" t="s">
        <v>6738</v>
      </c>
      <c r="J1329" s="72">
        <v>1.45</v>
      </c>
      <c r="K1329" s="14" t="s">
        <v>5476</v>
      </c>
      <c r="L1329" s="9">
        <v>182.9</v>
      </c>
      <c r="M1329" s="3">
        <v>214.69</v>
      </c>
      <c r="N1329" s="17" t="s">
        <v>5525</v>
      </c>
      <c r="O1329" s="18" t="s">
        <v>5523</v>
      </c>
      <c r="P1329" s="49">
        <f t="shared" si="81"/>
        <v>2.7790195327932512</v>
      </c>
      <c r="Q1329" s="1">
        <f t="shared" si="82"/>
        <v>3.2567445335742011</v>
      </c>
      <c r="R1329" s="1">
        <f t="shared" si="84"/>
        <v>3.3127405017061808</v>
      </c>
      <c r="S1329" s="10">
        <f t="shared" si="83"/>
        <v>3.0178820331837262</v>
      </c>
      <c r="T1329" s="45" cm="1">
        <f t="array" ref="T1329">SUMPRODUCT(P1329:S1329 * P$3:S$3) / SUM(P$3:S$3)</f>
        <v>3.0999929514780229</v>
      </c>
    </row>
    <row r="1330" spans="1:20" ht="16.5" customHeight="1" x14ac:dyDescent="0.25">
      <c r="A1330" s="5" t="s">
        <v>6763</v>
      </c>
      <c r="B1330" s="20" t="s">
        <v>4381</v>
      </c>
      <c r="C1330" s="4" t="s">
        <v>8798</v>
      </c>
      <c r="D1330" s="4" t="s">
        <v>9064</v>
      </c>
      <c r="E1330" s="12" t="s">
        <v>407</v>
      </c>
      <c r="F1330" s="75" t="s">
        <v>6726</v>
      </c>
      <c r="G1330" s="3">
        <v>32</v>
      </c>
      <c r="H1330" s="3" t="s">
        <v>404</v>
      </c>
      <c r="I1330" s="13" t="s">
        <v>6738</v>
      </c>
      <c r="J1330" s="72">
        <v>1.45</v>
      </c>
      <c r="L1330" s="9">
        <v>216.8</v>
      </c>
      <c r="M1330" s="3">
        <v>320.52</v>
      </c>
      <c r="N1330" s="17" t="s">
        <v>4382</v>
      </c>
      <c r="O1330" s="18" t="s">
        <v>4380</v>
      </c>
      <c r="P1330" s="49">
        <f t="shared" si="81"/>
        <v>2.7790195327932512</v>
      </c>
      <c r="Q1330" s="1">
        <f t="shared" si="82"/>
        <v>3.2567445335742011</v>
      </c>
      <c r="R1330" s="1">
        <f t="shared" si="84"/>
        <v>3.3127405017061808</v>
      </c>
      <c r="S1330" s="10">
        <f t="shared" si="83"/>
        <v>3.0178820331837262</v>
      </c>
      <c r="T1330" s="45" cm="1">
        <f t="array" ref="T1330">SUMPRODUCT(P1330:S1330 * P$3:S$3) / SUM(P$3:S$3)</f>
        <v>3.0999929514780229</v>
      </c>
    </row>
    <row r="1331" spans="1:20" ht="16.5" customHeight="1" x14ac:dyDescent="0.25">
      <c r="A1331" s="5" t="s">
        <v>6763</v>
      </c>
      <c r="B1331" s="20" t="s">
        <v>4439</v>
      </c>
      <c r="C1331" s="4" t="s">
        <v>8798</v>
      </c>
      <c r="D1331" s="4" t="s">
        <v>9064</v>
      </c>
      <c r="E1331" s="12" t="s">
        <v>407</v>
      </c>
      <c r="F1331" s="75" t="s">
        <v>6726</v>
      </c>
      <c r="G1331" s="3">
        <v>32</v>
      </c>
      <c r="H1331" s="3" t="s">
        <v>404</v>
      </c>
      <c r="I1331" s="13" t="s">
        <v>6738</v>
      </c>
      <c r="J1331" s="72">
        <v>1.45</v>
      </c>
      <c r="K1331" s="14" t="s">
        <v>4436</v>
      </c>
      <c r="L1331" s="9">
        <v>243.9</v>
      </c>
      <c r="M1331" s="3">
        <v>353.86</v>
      </c>
      <c r="N1331" s="17" t="s">
        <v>4440</v>
      </c>
      <c r="O1331" s="18" t="s">
        <v>4438</v>
      </c>
      <c r="P1331" s="49">
        <f t="shared" si="81"/>
        <v>2.7790195327932512</v>
      </c>
      <c r="Q1331" s="1">
        <f t="shared" si="82"/>
        <v>3.2567445335742011</v>
      </c>
      <c r="R1331" s="1">
        <f t="shared" si="84"/>
        <v>3.3127405017061808</v>
      </c>
      <c r="S1331" s="10">
        <f t="shared" si="83"/>
        <v>3.0178820331837262</v>
      </c>
      <c r="T1331" s="45" cm="1">
        <f t="array" ref="T1331">SUMPRODUCT(P1331:S1331 * P$3:S$3) / SUM(P$3:S$3)</f>
        <v>3.0999929514780229</v>
      </c>
    </row>
    <row r="1332" spans="1:20" ht="16.5" customHeight="1" x14ac:dyDescent="0.25">
      <c r="A1332" s="5" t="s">
        <v>6763</v>
      </c>
      <c r="B1332" s="20" t="s">
        <v>4493</v>
      </c>
      <c r="C1332" s="4" t="s">
        <v>8798</v>
      </c>
      <c r="D1332" s="4" t="s">
        <v>9064</v>
      </c>
      <c r="E1332" s="12" t="s">
        <v>407</v>
      </c>
      <c r="F1332" s="75" t="s">
        <v>6726</v>
      </c>
      <c r="G1332" s="3">
        <v>32</v>
      </c>
      <c r="H1332" s="3" t="s">
        <v>404</v>
      </c>
      <c r="I1332" s="13" t="s">
        <v>6738</v>
      </c>
      <c r="J1332" s="72">
        <v>1.45</v>
      </c>
      <c r="K1332" s="14" t="s">
        <v>4436</v>
      </c>
      <c r="L1332" s="9">
        <v>243.9</v>
      </c>
      <c r="M1332" s="3">
        <v>341</v>
      </c>
      <c r="N1332" s="17" t="s">
        <v>4494</v>
      </c>
      <c r="O1332" s="18" t="s">
        <v>4492</v>
      </c>
      <c r="P1332" s="49">
        <f t="shared" si="81"/>
        <v>2.7790195327932512</v>
      </c>
      <c r="Q1332" s="1">
        <f t="shared" si="82"/>
        <v>3.2567445335742011</v>
      </c>
      <c r="R1332" s="1">
        <f t="shared" si="84"/>
        <v>3.3127405017061808</v>
      </c>
      <c r="S1332" s="10">
        <f t="shared" si="83"/>
        <v>3.0178820331837262</v>
      </c>
      <c r="T1332" s="45" cm="1">
        <f t="array" ref="T1332">SUMPRODUCT(P1332:S1332 * P$3:S$3) / SUM(P$3:S$3)</f>
        <v>3.0999929514780229</v>
      </c>
    </row>
    <row r="1333" spans="1:20" ht="16.5" customHeight="1" x14ac:dyDescent="0.25">
      <c r="A1333" s="5" t="s">
        <v>6890</v>
      </c>
      <c r="B1333" s="20" t="s">
        <v>6004</v>
      </c>
      <c r="C1333" s="4" t="s">
        <v>8796</v>
      </c>
      <c r="D1333" s="4" t="s">
        <v>9065</v>
      </c>
      <c r="E1333" s="12" t="s">
        <v>407</v>
      </c>
      <c r="F1333" s="75" t="s">
        <v>6726</v>
      </c>
      <c r="G1333" s="3">
        <v>48</v>
      </c>
      <c r="H1333" s="3" t="s">
        <v>404</v>
      </c>
      <c r="I1333" s="13" t="s">
        <v>6738</v>
      </c>
      <c r="J1333" s="72">
        <v>1.4</v>
      </c>
      <c r="L1333" s="9">
        <v>291.39</v>
      </c>
      <c r="M1333" s="3">
        <v>356.63</v>
      </c>
      <c r="N1333" s="17" t="s">
        <v>6005</v>
      </c>
      <c r="O1333" s="18" t="s">
        <v>6003</v>
      </c>
      <c r="P1333" s="49">
        <f t="shared" si="81"/>
        <v>3.2028996572271433</v>
      </c>
      <c r="Q1333" s="1">
        <f t="shared" si="82"/>
        <v>3.9620305614823108</v>
      </c>
      <c r="R1333" s="1">
        <f t="shared" si="84"/>
        <v>4.0883780054828449</v>
      </c>
      <c r="S1333" s="10">
        <f t="shared" si="83"/>
        <v>3.5824651093547271</v>
      </c>
      <c r="T1333" s="45" cm="1">
        <f t="array" ref="T1333">SUMPRODUCT(P1333:S1333 * P$3:S$3) / SUM(P$3:S$3)</f>
        <v>3.7186925475479122</v>
      </c>
    </row>
    <row r="1334" spans="1:20" ht="16.5" customHeight="1" x14ac:dyDescent="0.25">
      <c r="A1334" s="5" t="s">
        <v>6890</v>
      </c>
      <c r="B1334" s="20" t="s">
        <v>6232</v>
      </c>
      <c r="C1334" s="4" t="s">
        <v>8796</v>
      </c>
      <c r="D1334" s="4" t="s">
        <v>9065</v>
      </c>
      <c r="E1334" s="12" t="s">
        <v>407</v>
      </c>
      <c r="F1334" s="75" t="s">
        <v>6726</v>
      </c>
      <c r="G1334" s="3">
        <v>48</v>
      </c>
      <c r="H1334" s="3" t="s">
        <v>404</v>
      </c>
      <c r="I1334" s="13" t="s">
        <v>6738</v>
      </c>
      <c r="J1334" s="72">
        <v>1.4</v>
      </c>
      <c r="K1334" s="14" t="s">
        <v>6175</v>
      </c>
      <c r="L1334" s="9">
        <v>293.26</v>
      </c>
      <c r="M1334" s="3">
        <v>369.14</v>
      </c>
      <c r="N1334" s="17" t="s">
        <v>6233</v>
      </c>
      <c r="O1334" s="18" t="s">
        <v>6231</v>
      </c>
      <c r="P1334" s="49">
        <f t="shared" si="81"/>
        <v>3.2028996572271433</v>
      </c>
      <c r="Q1334" s="1">
        <f t="shared" si="82"/>
        <v>3.9620305614823108</v>
      </c>
      <c r="R1334" s="1">
        <f t="shared" si="84"/>
        <v>4.0883780054828449</v>
      </c>
      <c r="S1334" s="10">
        <f t="shared" si="83"/>
        <v>3.5824651093547271</v>
      </c>
      <c r="T1334" s="45" cm="1">
        <f t="array" ref="T1334">SUMPRODUCT(P1334:S1334 * P$3:S$3) / SUM(P$3:S$3)</f>
        <v>3.7186925475479122</v>
      </c>
    </row>
    <row r="1335" spans="1:20" ht="16.5" customHeight="1" x14ac:dyDescent="0.25">
      <c r="A1335" s="5" t="s">
        <v>6816</v>
      </c>
      <c r="B1335" s="20" t="s">
        <v>5226</v>
      </c>
      <c r="C1335" s="4" t="s">
        <v>8797</v>
      </c>
      <c r="D1335" s="4" t="s">
        <v>9065</v>
      </c>
      <c r="E1335" s="12" t="s">
        <v>407</v>
      </c>
      <c r="F1335" s="75" t="s">
        <v>6726</v>
      </c>
      <c r="G1335" s="3">
        <v>48</v>
      </c>
      <c r="H1335" s="3" t="s">
        <v>404</v>
      </c>
      <c r="I1335" s="13" t="s">
        <v>6740</v>
      </c>
      <c r="J1335" s="72">
        <v>1.4</v>
      </c>
      <c r="K1335" s="14" t="s">
        <v>5196</v>
      </c>
      <c r="L1335" s="9">
        <v>259.11</v>
      </c>
      <c r="M1335" s="3">
        <v>317.55</v>
      </c>
      <c r="N1335" s="17" t="s">
        <v>5227</v>
      </c>
      <c r="O1335" s="18" t="s">
        <v>5225</v>
      </c>
      <c r="P1335" s="49">
        <f t="shared" si="81"/>
        <v>3.1990823831528505</v>
      </c>
      <c r="Q1335" s="1">
        <f t="shared" si="82"/>
        <v>3.960121924445164</v>
      </c>
      <c r="R1335" s="1">
        <f t="shared" si="84"/>
        <v>4.086469368445699</v>
      </c>
      <c r="S1335" s="10">
        <f t="shared" si="83"/>
        <v>3.5796021537990077</v>
      </c>
      <c r="T1335" s="45" cm="1">
        <f t="array" ref="T1335">SUMPRODUCT(P1335:S1335 * P$3:S$3) / SUM(P$3:S$3)</f>
        <v>3.7161232284594452</v>
      </c>
    </row>
    <row r="1336" spans="1:20" ht="16.5" customHeight="1" x14ac:dyDescent="0.25">
      <c r="A1336" s="5" t="s">
        <v>6816</v>
      </c>
      <c r="B1336" s="20" t="s">
        <v>5259</v>
      </c>
      <c r="C1336" s="4" t="s">
        <v>8797</v>
      </c>
      <c r="D1336" s="4" t="s">
        <v>9065</v>
      </c>
      <c r="E1336" s="12" t="s">
        <v>407</v>
      </c>
      <c r="F1336" s="75" t="s">
        <v>6726</v>
      </c>
      <c r="G1336" s="3">
        <v>48</v>
      </c>
      <c r="H1336" s="3" t="s">
        <v>404</v>
      </c>
      <c r="I1336" s="13" t="s">
        <v>6740</v>
      </c>
      <c r="J1336" s="72">
        <v>1.35</v>
      </c>
      <c r="K1336" s="14" t="s">
        <v>5196</v>
      </c>
      <c r="L1336" s="9">
        <v>234.89</v>
      </c>
      <c r="M1336" s="3">
        <v>459.27</v>
      </c>
      <c r="N1336" s="17" t="s">
        <v>5260</v>
      </c>
      <c r="O1336" s="18" t="s">
        <v>5258</v>
      </c>
      <c r="P1336" s="49">
        <f t="shared" si="81"/>
        <v>3.2009511667518966</v>
      </c>
      <c r="Q1336" s="1">
        <f t="shared" si="82"/>
        <v>3.9619907080442105</v>
      </c>
      <c r="R1336" s="1">
        <f t="shared" si="84"/>
        <v>4.088338152044745</v>
      </c>
      <c r="S1336" s="10">
        <f t="shared" si="83"/>
        <v>3.5814709373980538</v>
      </c>
      <c r="T1336" s="45" cm="1">
        <f t="array" ref="T1336">SUMPRODUCT(P1336:S1336 * P$3:S$3) / SUM(P$3:S$3)</f>
        <v>3.7179920120584922</v>
      </c>
    </row>
    <row r="1337" spans="1:20" ht="16.5" customHeight="1" x14ac:dyDescent="0.25">
      <c r="A1337" s="5" t="s">
        <v>6816</v>
      </c>
      <c r="B1337" s="20" t="s">
        <v>5292</v>
      </c>
      <c r="C1337" s="4" t="s">
        <v>8797</v>
      </c>
      <c r="D1337" s="4" t="s">
        <v>9065</v>
      </c>
      <c r="E1337" s="12" t="s">
        <v>407</v>
      </c>
      <c r="F1337" s="75" t="s">
        <v>6726</v>
      </c>
      <c r="G1337" s="3">
        <v>48</v>
      </c>
      <c r="H1337" s="3" t="s">
        <v>404</v>
      </c>
      <c r="I1337" s="13" t="s">
        <v>6740</v>
      </c>
      <c r="J1337" s="72">
        <v>1.35</v>
      </c>
      <c r="K1337" s="14" t="s">
        <v>5196</v>
      </c>
      <c r="L1337" s="9">
        <v>240.36</v>
      </c>
      <c r="M1337" s="3">
        <v>357.49</v>
      </c>
      <c r="N1337" s="17" t="s">
        <v>5293</v>
      </c>
      <c r="O1337" s="18" t="s">
        <v>5291</v>
      </c>
      <c r="P1337" s="49">
        <f t="shared" si="81"/>
        <v>3.2009511667518966</v>
      </c>
      <c r="Q1337" s="1">
        <f t="shared" si="82"/>
        <v>3.9619907080442105</v>
      </c>
      <c r="R1337" s="1">
        <f t="shared" si="84"/>
        <v>4.088338152044745</v>
      </c>
      <c r="S1337" s="10">
        <f t="shared" si="83"/>
        <v>3.5814709373980538</v>
      </c>
      <c r="T1337" s="45" cm="1">
        <f t="array" ref="T1337">SUMPRODUCT(P1337:S1337 * P$3:S$3) / SUM(P$3:S$3)</f>
        <v>3.7179920120584922</v>
      </c>
    </row>
    <row r="1338" spans="1:20" ht="16.5" customHeight="1" x14ac:dyDescent="0.25">
      <c r="A1338" s="5" t="s">
        <v>6816</v>
      </c>
      <c r="B1338" s="20" t="s">
        <v>5376</v>
      </c>
      <c r="C1338" s="4" t="s">
        <v>8797</v>
      </c>
      <c r="D1338" s="4" t="s">
        <v>9065</v>
      </c>
      <c r="E1338" s="12" t="s">
        <v>407</v>
      </c>
      <c r="F1338" s="75" t="s">
        <v>6726</v>
      </c>
      <c r="G1338" s="3">
        <v>48</v>
      </c>
      <c r="H1338" s="3" t="s">
        <v>404</v>
      </c>
      <c r="I1338" s="13" t="s">
        <v>6740</v>
      </c>
      <c r="J1338" s="72">
        <v>1.35</v>
      </c>
      <c r="K1338" s="14" t="s">
        <v>5196</v>
      </c>
      <c r="L1338" s="9">
        <v>235.9</v>
      </c>
      <c r="M1338" s="3">
        <v>449.58</v>
      </c>
      <c r="N1338" s="17" t="s">
        <v>5377</v>
      </c>
      <c r="O1338" s="18" t="s">
        <v>5375</v>
      </c>
      <c r="P1338" s="49">
        <f t="shared" si="81"/>
        <v>3.2009511667518966</v>
      </c>
      <c r="Q1338" s="1">
        <f t="shared" si="82"/>
        <v>3.9619907080442105</v>
      </c>
      <c r="R1338" s="1">
        <f t="shared" si="84"/>
        <v>4.088338152044745</v>
      </c>
      <c r="S1338" s="10">
        <f t="shared" si="83"/>
        <v>3.5814709373980538</v>
      </c>
      <c r="T1338" s="45" cm="1">
        <f t="array" ref="T1338">SUMPRODUCT(P1338:S1338 * P$3:S$3) / SUM(P$3:S$3)</f>
        <v>3.7179920120584922</v>
      </c>
    </row>
    <row r="1339" spans="1:20" ht="16.5" customHeight="1" x14ac:dyDescent="0.25">
      <c r="A1339" s="5" t="s">
        <v>6773</v>
      </c>
      <c r="B1339" s="20" t="s">
        <v>4547</v>
      </c>
      <c r="C1339" s="4" t="s">
        <v>8798</v>
      </c>
      <c r="D1339" s="4" t="s">
        <v>9065</v>
      </c>
      <c r="E1339" s="12" t="s">
        <v>407</v>
      </c>
      <c r="F1339" s="75" t="s">
        <v>6726</v>
      </c>
      <c r="G1339" s="3">
        <v>48</v>
      </c>
      <c r="H1339" s="3" t="s">
        <v>404</v>
      </c>
      <c r="I1339" s="13" t="s">
        <v>6739</v>
      </c>
      <c r="J1339" s="72">
        <v>1.45</v>
      </c>
      <c r="K1339" s="14" t="s">
        <v>4436</v>
      </c>
      <c r="L1339" s="9">
        <v>371.15</v>
      </c>
      <c r="M1339" s="3">
        <v>459</v>
      </c>
      <c r="N1339" s="17" t="s">
        <v>4548</v>
      </c>
      <c r="O1339" s="18" t="s">
        <v>4546</v>
      </c>
      <c r="P1339" s="49">
        <f t="shared" si="81"/>
        <v>3.2052813308159926</v>
      </c>
      <c r="Q1339" s="1">
        <f t="shared" si="82"/>
        <v>3.962335763665453</v>
      </c>
      <c r="R1339" s="1">
        <f t="shared" si="84"/>
        <v>4.0886832076659871</v>
      </c>
      <c r="S1339" s="10">
        <f t="shared" si="83"/>
        <v>3.5838085472407228</v>
      </c>
      <c r="T1339" s="45" cm="1">
        <f t="array" ref="T1339">SUMPRODUCT(P1339:S1339 * P$3:S$3) / SUM(P$3:S$3)</f>
        <v>3.7197165282945681</v>
      </c>
    </row>
    <row r="1340" spans="1:20" ht="16.5" customHeight="1" x14ac:dyDescent="0.25">
      <c r="A1340" s="5" t="s">
        <v>6889</v>
      </c>
      <c r="B1340" s="20" t="s">
        <v>6001</v>
      </c>
      <c r="C1340" s="4" t="s">
        <v>8796</v>
      </c>
      <c r="D1340" s="4" t="s">
        <v>9066</v>
      </c>
      <c r="E1340" s="12" t="s">
        <v>407</v>
      </c>
      <c r="F1340" s="75" t="s">
        <v>6730</v>
      </c>
      <c r="G1340" s="3">
        <v>48</v>
      </c>
      <c r="H1340" s="3" t="s">
        <v>404</v>
      </c>
      <c r="I1340" s="13" t="s">
        <v>6740</v>
      </c>
      <c r="J1340" s="72">
        <v>1.4</v>
      </c>
      <c r="L1340" s="9">
        <v>304.70999999999998</v>
      </c>
      <c r="M1340" s="3">
        <v>366.16</v>
      </c>
      <c r="N1340" s="17" t="s">
        <v>6002</v>
      </c>
      <c r="O1340" s="18" t="s">
        <v>6000</v>
      </c>
      <c r="P1340" s="49">
        <f t="shared" si="81"/>
        <v>3.2243570604252736</v>
      </c>
      <c r="Q1340" s="1">
        <f t="shared" si="82"/>
        <v>3.9790779323994823</v>
      </c>
      <c r="R1340" s="1">
        <f t="shared" si="84"/>
        <v>4.1022660417409629</v>
      </c>
      <c r="S1340" s="10">
        <f t="shared" si="83"/>
        <v>3.6017174964123777</v>
      </c>
      <c r="T1340" s="45" cm="1">
        <f t="array" ref="T1340">SUMPRODUCT(P1340:S1340 * P$3:S$3) / SUM(P$3:S$3)</f>
        <v>3.736780416614792</v>
      </c>
    </row>
    <row r="1341" spans="1:20" ht="16.5" customHeight="1" x14ac:dyDescent="0.25">
      <c r="A1341" s="5" t="s">
        <v>6889</v>
      </c>
      <c r="B1341" s="20" t="s">
        <v>6229</v>
      </c>
      <c r="C1341" s="4" t="s">
        <v>8796</v>
      </c>
      <c r="D1341" s="4" t="s">
        <v>9066</v>
      </c>
      <c r="E1341" s="12" t="s">
        <v>407</v>
      </c>
      <c r="F1341" s="75" t="s">
        <v>6730</v>
      </c>
      <c r="G1341" s="3">
        <v>48</v>
      </c>
      <c r="H1341" s="3" t="s">
        <v>404</v>
      </c>
      <c r="I1341" s="13" t="s">
        <v>6740</v>
      </c>
      <c r="J1341" s="72">
        <v>1.4</v>
      </c>
      <c r="K1341" s="14" t="s">
        <v>6175</v>
      </c>
      <c r="L1341" s="9">
        <v>315.27</v>
      </c>
      <c r="M1341" s="3">
        <v>380.99</v>
      </c>
      <c r="N1341" s="17" t="s">
        <v>6230</v>
      </c>
      <c r="O1341" s="18" t="s">
        <v>6228</v>
      </c>
      <c r="P1341" s="49">
        <f t="shared" si="81"/>
        <v>3.2243570604252736</v>
      </c>
      <c r="Q1341" s="1">
        <f t="shared" si="82"/>
        <v>3.9790779323994823</v>
      </c>
      <c r="R1341" s="1">
        <f t="shared" si="84"/>
        <v>4.1022660417409629</v>
      </c>
      <c r="S1341" s="10">
        <f t="shared" si="83"/>
        <v>3.6017174964123777</v>
      </c>
      <c r="T1341" s="45" cm="1">
        <f t="array" ref="T1341">SUMPRODUCT(P1341:S1341 * P$3:S$3) / SUM(P$3:S$3)</f>
        <v>3.736780416614792</v>
      </c>
    </row>
    <row r="1342" spans="1:20" ht="16.5" customHeight="1" x14ac:dyDescent="0.25">
      <c r="A1342" s="5" t="s">
        <v>6813</v>
      </c>
      <c r="B1342" s="20" t="s">
        <v>5205</v>
      </c>
      <c r="C1342" s="4" t="s">
        <v>8797</v>
      </c>
      <c r="D1342" s="4" t="s">
        <v>9066</v>
      </c>
      <c r="E1342" s="12" t="s">
        <v>407</v>
      </c>
      <c r="F1342" s="75" t="s">
        <v>6730</v>
      </c>
      <c r="G1342" s="3">
        <v>48</v>
      </c>
      <c r="H1342" s="3" t="s">
        <v>404</v>
      </c>
      <c r="I1342" s="13" t="s">
        <v>6740</v>
      </c>
      <c r="J1342" s="72">
        <v>1.35</v>
      </c>
      <c r="K1342" s="14" t="s">
        <v>5196</v>
      </c>
      <c r="L1342" s="9">
        <v>267.29000000000002</v>
      </c>
      <c r="M1342" s="3">
        <v>357.77</v>
      </c>
      <c r="N1342" s="17" t="s">
        <v>5206</v>
      </c>
      <c r="O1342" s="18" t="s">
        <v>5204</v>
      </c>
      <c r="P1342" s="49">
        <f t="shared" si="81"/>
        <v>3.2262258440243201</v>
      </c>
      <c r="Q1342" s="1">
        <f t="shared" si="82"/>
        <v>3.9809467159985283</v>
      </c>
      <c r="R1342" s="1">
        <f t="shared" si="84"/>
        <v>4.1041348253400098</v>
      </c>
      <c r="S1342" s="10">
        <f t="shared" si="83"/>
        <v>3.6035862800114247</v>
      </c>
      <c r="T1342" s="45" cm="1">
        <f t="array" ref="T1342">SUMPRODUCT(P1342:S1342 * P$3:S$3) / SUM(P$3:S$3)</f>
        <v>3.7386492002138381</v>
      </c>
    </row>
    <row r="1343" spans="1:20" ht="16.5" customHeight="1" x14ac:dyDescent="0.25">
      <c r="A1343" s="5" t="s">
        <v>6813</v>
      </c>
      <c r="B1343" s="20" t="s">
        <v>5256</v>
      </c>
      <c r="C1343" s="4" t="s">
        <v>8797</v>
      </c>
      <c r="D1343" s="4" t="s">
        <v>9066</v>
      </c>
      <c r="E1343" s="12" t="s">
        <v>407</v>
      </c>
      <c r="F1343" s="75" t="s">
        <v>6730</v>
      </c>
      <c r="G1343" s="3">
        <v>48</v>
      </c>
      <c r="H1343" s="3" t="s">
        <v>404</v>
      </c>
      <c r="I1343" s="13" t="s">
        <v>6740</v>
      </c>
      <c r="J1343" s="72">
        <v>1.35</v>
      </c>
      <c r="K1343" s="14" t="s">
        <v>5196</v>
      </c>
      <c r="L1343" s="9">
        <v>253.79</v>
      </c>
      <c r="M1343" s="3">
        <v>379.07</v>
      </c>
      <c r="N1343" s="17" t="s">
        <v>5257</v>
      </c>
      <c r="O1343" s="18" t="s">
        <v>5255</v>
      </c>
      <c r="P1343" s="49">
        <f t="shared" si="81"/>
        <v>3.2262258440243201</v>
      </c>
      <c r="Q1343" s="1">
        <f t="shared" si="82"/>
        <v>3.9809467159985283</v>
      </c>
      <c r="R1343" s="1">
        <f t="shared" si="84"/>
        <v>4.1041348253400098</v>
      </c>
      <c r="S1343" s="10">
        <f t="shared" si="83"/>
        <v>3.6035862800114247</v>
      </c>
      <c r="T1343" s="45" cm="1">
        <f t="array" ref="T1343">SUMPRODUCT(P1343:S1343 * P$3:S$3) / SUM(P$3:S$3)</f>
        <v>3.7386492002138381</v>
      </c>
    </row>
    <row r="1344" spans="1:20" ht="16.5" customHeight="1" x14ac:dyDescent="0.25">
      <c r="A1344" s="5" t="s">
        <v>6813</v>
      </c>
      <c r="B1344" s="20" t="s">
        <v>5373</v>
      </c>
      <c r="C1344" s="4" t="s">
        <v>8797</v>
      </c>
      <c r="D1344" s="4" t="s">
        <v>9066</v>
      </c>
      <c r="E1344" s="12" t="s">
        <v>407</v>
      </c>
      <c r="F1344" s="75" t="s">
        <v>6730</v>
      </c>
      <c r="G1344" s="3">
        <v>48</v>
      </c>
      <c r="H1344" s="3" t="s">
        <v>404</v>
      </c>
      <c r="I1344" s="13" t="s">
        <v>6740</v>
      </c>
      <c r="J1344" s="72">
        <v>1.35</v>
      </c>
      <c r="K1344" s="14" t="s">
        <v>5196</v>
      </c>
      <c r="L1344" s="9">
        <v>258.02999999999997</v>
      </c>
      <c r="M1344" s="3">
        <v>336.48</v>
      </c>
      <c r="N1344" s="17" t="s">
        <v>5374</v>
      </c>
      <c r="O1344" s="18" t="s">
        <v>5372</v>
      </c>
      <c r="P1344" s="49">
        <f t="shared" si="81"/>
        <v>3.2262258440243201</v>
      </c>
      <c r="Q1344" s="1">
        <f t="shared" si="82"/>
        <v>3.9809467159985283</v>
      </c>
      <c r="R1344" s="1">
        <f t="shared" si="84"/>
        <v>4.1041348253400098</v>
      </c>
      <c r="S1344" s="10">
        <f t="shared" si="83"/>
        <v>3.6035862800114247</v>
      </c>
      <c r="T1344" s="45" cm="1">
        <f t="array" ref="T1344">SUMPRODUCT(P1344:S1344 * P$3:S$3) / SUM(P$3:S$3)</f>
        <v>3.7386492002138381</v>
      </c>
    </row>
    <row r="1345" spans="1:20" ht="16.5" customHeight="1" x14ac:dyDescent="0.25">
      <c r="A1345" s="5" t="s">
        <v>6813</v>
      </c>
      <c r="B1345" s="20" t="s">
        <v>5560</v>
      </c>
      <c r="C1345" s="4" t="s">
        <v>8797</v>
      </c>
      <c r="D1345" s="4" t="s">
        <v>9066</v>
      </c>
      <c r="E1345" s="12" t="s">
        <v>407</v>
      </c>
      <c r="F1345" s="75" t="s">
        <v>6730</v>
      </c>
      <c r="G1345" s="3">
        <v>48</v>
      </c>
      <c r="H1345" s="3" t="s">
        <v>404</v>
      </c>
      <c r="I1345" s="13" t="s">
        <v>6740</v>
      </c>
      <c r="J1345" s="72">
        <v>1.4</v>
      </c>
      <c r="L1345" s="9">
        <v>251.86</v>
      </c>
      <c r="M1345" s="3">
        <v>306.44</v>
      </c>
      <c r="N1345" s="17" t="s">
        <v>5561</v>
      </c>
      <c r="O1345" s="18" t="s">
        <v>5559</v>
      </c>
      <c r="P1345" s="49">
        <f t="shared" si="81"/>
        <v>3.2243570604252736</v>
      </c>
      <c r="Q1345" s="1">
        <f t="shared" si="82"/>
        <v>3.9790779323994823</v>
      </c>
      <c r="R1345" s="1">
        <f t="shared" si="84"/>
        <v>4.1022660417409629</v>
      </c>
      <c r="S1345" s="10">
        <f t="shared" si="83"/>
        <v>3.6017174964123777</v>
      </c>
      <c r="T1345" s="45" cm="1">
        <f t="array" ref="T1345">SUMPRODUCT(P1345:S1345 * P$3:S$3) / SUM(P$3:S$3)</f>
        <v>3.736780416614792</v>
      </c>
    </row>
    <row r="1346" spans="1:20" ht="16.5" customHeight="1" x14ac:dyDescent="0.25">
      <c r="A1346" s="5" t="s">
        <v>6813</v>
      </c>
      <c r="B1346" s="20" t="s">
        <v>5569</v>
      </c>
      <c r="C1346" s="4" t="s">
        <v>8797</v>
      </c>
      <c r="D1346" s="4" t="s">
        <v>9066</v>
      </c>
      <c r="E1346" s="12" t="s">
        <v>407</v>
      </c>
      <c r="F1346" s="75" t="s">
        <v>6730</v>
      </c>
      <c r="G1346" s="3">
        <v>48</v>
      </c>
      <c r="H1346" s="3" t="s">
        <v>404</v>
      </c>
      <c r="I1346" s="13" t="s">
        <v>6740</v>
      </c>
      <c r="J1346" s="72">
        <v>1.4</v>
      </c>
      <c r="K1346" s="14" t="s">
        <v>5196</v>
      </c>
      <c r="L1346" s="9">
        <v>263.31</v>
      </c>
      <c r="M1346" s="3">
        <v>344.78</v>
      </c>
      <c r="N1346" s="17" t="s">
        <v>5570</v>
      </c>
      <c r="O1346" s="18" t="s">
        <v>5568</v>
      </c>
      <c r="P1346" s="49">
        <f t="shared" si="81"/>
        <v>3.2243570604252736</v>
      </c>
      <c r="Q1346" s="1">
        <f t="shared" si="82"/>
        <v>3.9790779323994823</v>
      </c>
      <c r="R1346" s="1">
        <f t="shared" si="84"/>
        <v>4.1022660417409629</v>
      </c>
      <c r="S1346" s="10">
        <f t="shared" si="83"/>
        <v>3.6017174964123777</v>
      </c>
      <c r="T1346" s="45" cm="1">
        <f t="array" ref="T1346">SUMPRODUCT(P1346:S1346 * P$3:S$3) / SUM(P$3:S$3)</f>
        <v>3.736780416614792</v>
      </c>
    </row>
    <row r="1347" spans="1:20" ht="16.5" customHeight="1" x14ac:dyDescent="0.25">
      <c r="A1347" s="5" t="s">
        <v>6758</v>
      </c>
      <c r="B1347" s="20" t="s">
        <v>4363</v>
      </c>
      <c r="C1347" s="4" t="s">
        <v>8798</v>
      </c>
      <c r="D1347" s="4" t="s">
        <v>9067</v>
      </c>
      <c r="E1347" s="12" t="s">
        <v>407</v>
      </c>
      <c r="F1347" s="75" t="s">
        <v>6728</v>
      </c>
      <c r="G1347" s="3">
        <v>24</v>
      </c>
      <c r="H1347" s="3" t="s">
        <v>6736</v>
      </c>
      <c r="I1347" s="13" t="s">
        <v>6740</v>
      </c>
      <c r="J1347" s="72">
        <v>1.45</v>
      </c>
      <c r="L1347" s="9">
        <v>161.36000000000001</v>
      </c>
      <c r="M1347" s="3">
        <v>194.14</v>
      </c>
      <c r="N1347" s="17" t="s">
        <v>4364</v>
      </c>
      <c r="O1347" s="18" t="s">
        <v>4362</v>
      </c>
      <c r="P1347" s="49">
        <f t="shared" si="81"/>
        <v>2.5490573038542528</v>
      </c>
      <c r="Q1347" s="1">
        <f t="shared" si="82"/>
        <v>2.870341448259456</v>
      </c>
      <c r="R1347" s="1">
        <f t="shared" si="84"/>
        <v>2.8854274167337923</v>
      </c>
      <c r="S1347" s="10">
        <f t="shared" si="83"/>
        <v>2.7096993760568546</v>
      </c>
      <c r="T1347" s="45" cm="1">
        <f t="array" ref="T1347">SUMPRODUCT(P1347:S1347 * P$3:S$3) / SUM(P$3:S$3)</f>
        <v>2.7614486241921687</v>
      </c>
    </row>
    <row r="1348" spans="1:20" ht="16.5" customHeight="1" x14ac:dyDescent="0.25">
      <c r="A1348" s="5" t="s">
        <v>6758</v>
      </c>
      <c r="B1348" s="20" t="s">
        <v>4432</v>
      </c>
      <c r="C1348" s="4" t="s">
        <v>8798</v>
      </c>
      <c r="D1348" s="4" t="s">
        <v>9067</v>
      </c>
      <c r="E1348" s="12" t="s">
        <v>407</v>
      </c>
      <c r="F1348" s="75" t="s">
        <v>6728</v>
      </c>
      <c r="G1348" s="3">
        <v>24</v>
      </c>
      <c r="H1348" s="3" t="s">
        <v>6736</v>
      </c>
      <c r="I1348" s="13" t="s">
        <v>6740</v>
      </c>
      <c r="J1348" s="72">
        <v>1.45</v>
      </c>
      <c r="L1348" s="9">
        <v>161.36000000000001</v>
      </c>
      <c r="M1348" s="3">
        <v>194.14</v>
      </c>
      <c r="N1348" s="17" t="s">
        <v>4433</v>
      </c>
      <c r="O1348" s="18" t="s">
        <v>4431</v>
      </c>
      <c r="P1348" s="49">
        <f t="shared" si="81"/>
        <v>2.5490573038542528</v>
      </c>
      <c r="Q1348" s="1">
        <f t="shared" si="82"/>
        <v>2.870341448259456</v>
      </c>
      <c r="R1348" s="1">
        <f t="shared" si="84"/>
        <v>2.8854274167337923</v>
      </c>
      <c r="S1348" s="10">
        <f t="shared" si="83"/>
        <v>2.7096993760568546</v>
      </c>
      <c r="T1348" s="45" cm="1">
        <f t="array" ref="T1348">SUMPRODUCT(P1348:S1348 * P$3:S$3) / SUM(P$3:S$3)</f>
        <v>2.7614486241921687</v>
      </c>
    </row>
    <row r="1349" spans="1:20" ht="16.5" customHeight="1" x14ac:dyDescent="0.25">
      <c r="A1349" s="5" t="s">
        <v>6758</v>
      </c>
      <c r="B1349" s="20" t="s">
        <v>4478</v>
      </c>
      <c r="C1349" s="4" t="s">
        <v>8798</v>
      </c>
      <c r="D1349" s="4" t="s">
        <v>9067</v>
      </c>
      <c r="E1349" s="12" t="s">
        <v>407</v>
      </c>
      <c r="F1349" s="75" t="s">
        <v>6728</v>
      </c>
      <c r="G1349" s="3">
        <v>24</v>
      </c>
      <c r="H1349" s="3" t="s">
        <v>6736</v>
      </c>
      <c r="I1349" s="13" t="s">
        <v>6740</v>
      </c>
      <c r="J1349" s="72">
        <v>1.45</v>
      </c>
      <c r="K1349" s="14" t="s">
        <v>4436</v>
      </c>
      <c r="L1349" s="9">
        <v>164.84</v>
      </c>
      <c r="M1349" s="3">
        <v>238.04</v>
      </c>
      <c r="N1349" s="17" t="s">
        <v>4479</v>
      </c>
      <c r="O1349" s="18" t="s">
        <v>4477</v>
      </c>
      <c r="P1349" s="49">
        <f t="shared" si="81"/>
        <v>2.5490573038542528</v>
      </c>
      <c r="Q1349" s="1">
        <f t="shared" si="82"/>
        <v>2.870341448259456</v>
      </c>
      <c r="R1349" s="1">
        <f t="shared" si="84"/>
        <v>2.8854274167337923</v>
      </c>
      <c r="S1349" s="10">
        <f t="shared" si="83"/>
        <v>2.7096993760568546</v>
      </c>
      <c r="T1349" s="45" cm="1">
        <f t="array" ref="T1349">SUMPRODUCT(P1349:S1349 * P$3:S$3) / SUM(P$3:S$3)</f>
        <v>2.7614486241921687</v>
      </c>
    </row>
    <row r="1350" spans="1:20" ht="16.5" customHeight="1" x14ac:dyDescent="0.25">
      <c r="A1350" s="5" t="s">
        <v>6758</v>
      </c>
      <c r="B1350" s="20" t="s">
        <v>4544</v>
      </c>
      <c r="C1350" s="4" t="s">
        <v>8798</v>
      </c>
      <c r="D1350" s="4" t="s">
        <v>9067</v>
      </c>
      <c r="E1350" s="12" t="s">
        <v>407</v>
      </c>
      <c r="F1350" s="75" t="s">
        <v>6728</v>
      </c>
      <c r="G1350" s="3">
        <v>24</v>
      </c>
      <c r="H1350" s="3" t="s">
        <v>6736</v>
      </c>
      <c r="I1350" s="13" t="s">
        <v>6740</v>
      </c>
      <c r="J1350" s="72">
        <v>1.45</v>
      </c>
      <c r="K1350" s="14" t="s">
        <v>4436</v>
      </c>
      <c r="L1350" s="9">
        <v>164.85</v>
      </c>
      <c r="M1350" s="3">
        <v>276.69</v>
      </c>
      <c r="N1350" s="17" t="s">
        <v>4545</v>
      </c>
      <c r="O1350" s="18" t="s">
        <v>4543</v>
      </c>
      <c r="P1350" s="49">
        <f t="shared" si="81"/>
        <v>2.5490573038542528</v>
      </c>
      <c r="Q1350" s="1">
        <f t="shared" si="82"/>
        <v>2.870341448259456</v>
      </c>
      <c r="R1350" s="1">
        <f t="shared" si="84"/>
        <v>2.8854274167337923</v>
      </c>
      <c r="S1350" s="10">
        <f t="shared" si="83"/>
        <v>2.7096993760568546</v>
      </c>
      <c r="T1350" s="45" cm="1">
        <f t="array" ref="T1350">SUMPRODUCT(P1350:S1350 * P$3:S$3) / SUM(P$3:S$3)</f>
        <v>2.7614486241921687</v>
      </c>
    </row>
    <row r="1351" spans="1:20" ht="16.5" customHeight="1" x14ac:dyDescent="0.25">
      <c r="A1351" s="5" t="s">
        <v>6888</v>
      </c>
      <c r="B1351" s="20" t="s">
        <v>5998</v>
      </c>
      <c r="C1351" s="4" t="s">
        <v>8796</v>
      </c>
      <c r="D1351" s="4" t="s">
        <v>9068</v>
      </c>
      <c r="E1351" s="12" t="s">
        <v>407</v>
      </c>
      <c r="F1351" s="75" t="s">
        <v>6728</v>
      </c>
      <c r="G1351" s="3">
        <v>48</v>
      </c>
      <c r="H1351" s="3" t="s">
        <v>404</v>
      </c>
      <c r="I1351" s="13" t="s">
        <v>6740</v>
      </c>
      <c r="J1351" s="72">
        <v>1.4</v>
      </c>
      <c r="L1351" s="9">
        <v>363.64</v>
      </c>
      <c r="M1351" s="3">
        <v>409.79</v>
      </c>
      <c r="N1351" s="17" t="s">
        <v>5999</v>
      </c>
      <c r="O1351" s="18" t="s">
        <v>5997</v>
      </c>
      <c r="P1351" s="49">
        <f t="shared" si="81"/>
        <v>3.2495087334263264</v>
      </c>
      <c r="Q1351" s="1">
        <f t="shared" si="82"/>
        <v>3.9979416871502709</v>
      </c>
      <c r="R1351" s="1">
        <f t="shared" si="84"/>
        <v>4.1179858373666214</v>
      </c>
      <c r="S1351" s="10">
        <f t="shared" si="83"/>
        <v>3.6237252102882991</v>
      </c>
      <c r="T1351" s="45" cm="1">
        <f t="array" ref="T1351">SUMPRODUCT(P1351:S1351 * P$3:S$3) / SUM(P$3:S$3)</f>
        <v>3.7573370724329598</v>
      </c>
    </row>
    <row r="1352" spans="1:20" ht="16.5" customHeight="1" x14ac:dyDescent="0.25">
      <c r="A1352" s="5" t="s">
        <v>6888</v>
      </c>
      <c r="B1352" s="20" t="s">
        <v>6226</v>
      </c>
      <c r="C1352" s="4" t="s">
        <v>8796</v>
      </c>
      <c r="D1352" s="4" t="s">
        <v>9068</v>
      </c>
      <c r="E1352" s="12" t="s">
        <v>407</v>
      </c>
      <c r="F1352" s="75" t="s">
        <v>6728</v>
      </c>
      <c r="G1352" s="3">
        <v>48</v>
      </c>
      <c r="H1352" s="3" t="s">
        <v>404</v>
      </c>
      <c r="I1352" s="13" t="s">
        <v>6740</v>
      </c>
      <c r="J1352" s="72">
        <v>1.4</v>
      </c>
      <c r="K1352" s="14" t="s">
        <v>6175</v>
      </c>
      <c r="L1352" s="9">
        <v>379.41</v>
      </c>
      <c r="M1352" s="3">
        <v>449.19</v>
      </c>
      <c r="N1352" s="17" t="s">
        <v>6227</v>
      </c>
      <c r="O1352" s="18" t="s">
        <v>6225</v>
      </c>
      <c r="P1352" s="49">
        <f t="shared" si="81"/>
        <v>3.2495087334263264</v>
      </c>
      <c r="Q1352" s="1">
        <f t="shared" si="82"/>
        <v>3.9979416871502709</v>
      </c>
      <c r="R1352" s="1">
        <f t="shared" si="84"/>
        <v>4.1179858373666214</v>
      </c>
      <c r="S1352" s="10">
        <f t="shared" si="83"/>
        <v>3.6237252102882991</v>
      </c>
      <c r="T1352" s="45" cm="1">
        <f t="array" ref="T1352">SUMPRODUCT(P1352:S1352 * P$3:S$3) / SUM(P$3:S$3)</f>
        <v>3.7573370724329598</v>
      </c>
    </row>
    <row r="1353" spans="1:20" ht="16.5" customHeight="1" x14ac:dyDescent="0.25">
      <c r="A1353" s="5" t="s">
        <v>6812</v>
      </c>
      <c r="B1353" s="20" t="s">
        <v>5202</v>
      </c>
      <c r="C1353" s="4" t="s">
        <v>8797</v>
      </c>
      <c r="D1353" s="4" t="s">
        <v>9068</v>
      </c>
      <c r="E1353" s="12" t="s">
        <v>407</v>
      </c>
      <c r="F1353" s="75" t="s">
        <v>6728</v>
      </c>
      <c r="G1353" s="3">
        <v>48</v>
      </c>
      <c r="H1353" s="3" t="s">
        <v>404</v>
      </c>
      <c r="I1353" s="13" t="s">
        <v>6740</v>
      </c>
      <c r="J1353" s="72">
        <v>1.4</v>
      </c>
      <c r="K1353" s="14" t="s">
        <v>5196</v>
      </c>
      <c r="L1353" s="9">
        <v>289.79000000000002</v>
      </c>
      <c r="M1353" s="3">
        <v>475.21</v>
      </c>
      <c r="N1353" s="17" t="s">
        <v>5203</v>
      </c>
      <c r="O1353" s="18" t="s">
        <v>5201</v>
      </c>
      <c r="P1353" s="49">
        <f t="shared" si="81"/>
        <v>3.2495087334263264</v>
      </c>
      <c r="Q1353" s="1">
        <f t="shared" si="82"/>
        <v>3.9979416871502709</v>
      </c>
      <c r="R1353" s="1">
        <f t="shared" si="84"/>
        <v>4.1179858373666214</v>
      </c>
      <c r="S1353" s="10">
        <f t="shared" si="83"/>
        <v>3.6237252102882991</v>
      </c>
      <c r="T1353" s="45" cm="1">
        <f t="array" ref="T1353">SUMPRODUCT(P1353:S1353 * P$3:S$3) / SUM(P$3:S$3)</f>
        <v>3.7573370724329598</v>
      </c>
    </row>
    <row r="1354" spans="1:20" ht="16.5" customHeight="1" x14ac:dyDescent="0.25">
      <c r="A1354" s="5" t="s">
        <v>6812</v>
      </c>
      <c r="B1354" s="20" t="s">
        <v>5223</v>
      </c>
      <c r="C1354" s="4" t="s">
        <v>8797</v>
      </c>
      <c r="D1354" s="4" t="s">
        <v>9068</v>
      </c>
      <c r="E1354" s="12" t="s">
        <v>407</v>
      </c>
      <c r="F1354" s="75" t="s">
        <v>6728</v>
      </c>
      <c r="G1354" s="3">
        <v>48</v>
      </c>
      <c r="H1354" s="3" t="s">
        <v>404</v>
      </c>
      <c r="I1354" s="13" t="s">
        <v>6740</v>
      </c>
      <c r="J1354" s="72">
        <v>1.4</v>
      </c>
      <c r="K1354" s="14" t="s">
        <v>5196</v>
      </c>
      <c r="L1354" s="9">
        <v>335.49</v>
      </c>
      <c r="M1354" s="3">
        <v>400.89</v>
      </c>
      <c r="N1354" s="17" t="s">
        <v>5224</v>
      </c>
      <c r="O1354" s="18" t="s">
        <v>5222</v>
      </c>
      <c r="P1354" s="49">
        <f t="shared" ref="P1354:P1364" si="85">(((F1354/F$9)^F$7 * F$2 + (I1354/I$9)^I$7 * I$2 + (J1354/J$9)^J$7 * J$2) * (1+M$3*(MIN(H1354,M$2)-1)+M$4*(H1354-MIN(H1354,M$2))) + (G1354/G$9)^G$7 * G$2)  * P$9</f>
        <v>3.2495087334263264</v>
      </c>
      <c r="Q1354" s="1">
        <f t="shared" ref="Q1354:Q1364" si="86">(((F1354/F$9)^F$7 * F$3 + (I1354/I$9)^I$7 * I$3 + (J1354/J$9)^J$7 * J$3) * (1+M$3*(MIN(H1354,M$2)-1)+M$4*(H1354-MIN(H1354,M$2))) + (G1354/G$9)^G$7 * G$3)  * P$9</f>
        <v>3.9979416871502709</v>
      </c>
      <c r="R1354" s="1">
        <f t="shared" si="84"/>
        <v>4.1179858373666214</v>
      </c>
      <c r="S1354" s="10">
        <f t="shared" ref="S1354:S1364" si="87">(((F1354/F$9)^F$7 * F$5 + (I1354/I$9)^I$7 * I$5 + (J1354/J$9)^J$7 * J$5) * (1+M$3*(MIN(H1354,M$2)-1)+M$4*(H1354-MIN(H1354,M$2))) + (G1354/G$9)^G$7 * G$5)  * P$9</f>
        <v>3.6237252102882991</v>
      </c>
      <c r="T1354" s="45" cm="1">
        <f t="array" ref="T1354">SUMPRODUCT(P1354:S1354 * P$3:S$3) / SUM(P$3:S$3)</f>
        <v>3.7573370724329598</v>
      </c>
    </row>
    <row r="1355" spans="1:20" ht="16.5" customHeight="1" x14ac:dyDescent="0.25">
      <c r="A1355" s="5" t="s">
        <v>6812</v>
      </c>
      <c r="B1355" s="20" t="s">
        <v>5253</v>
      </c>
      <c r="C1355" s="4" t="s">
        <v>8797</v>
      </c>
      <c r="D1355" s="4" t="s">
        <v>9068</v>
      </c>
      <c r="E1355" s="12" t="s">
        <v>407</v>
      </c>
      <c r="F1355" s="75" t="s">
        <v>6728</v>
      </c>
      <c r="G1355" s="3">
        <v>48</v>
      </c>
      <c r="H1355" s="3" t="s">
        <v>404</v>
      </c>
      <c r="I1355" s="13" t="s">
        <v>6740</v>
      </c>
      <c r="J1355" s="72">
        <v>1.4</v>
      </c>
      <c r="K1355" s="14" t="s">
        <v>5196</v>
      </c>
      <c r="L1355" s="9">
        <v>277.31</v>
      </c>
      <c r="M1355" s="3">
        <v>355</v>
      </c>
      <c r="N1355" s="17" t="s">
        <v>5254</v>
      </c>
      <c r="O1355" s="18" t="s">
        <v>5252</v>
      </c>
      <c r="P1355" s="49">
        <f t="shared" si="85"/>
        <v>3.2495087334263264</v>
      </c>
      <c r="Q1355" s="1">
        <f t="shared" si="86"/>
        <v>3.9979416871502709</v>
      </c>
      <c r="R1355" s="1">
        <f t="shared" si="84"/>
        <v>4.1179858373666214</v>
      </c>
      <c r="S1355" s="10">
        <f t="shared" si="87"/>
        <v>3.6237252102882991</v>
      </c>
      <c r="T1355" s="45" cm="1">
        <f t="array" ref="T1355">SUMPRODUCT(P1355:S1355 * P$3:S$3) / SUM(P$3:S$3)</f>
        <v>3.7573370724329598</v>
      </c>
    </row>
    <row r="1356" spans="1:20" ht="16.5" customHeight="1" x14ac:dyDescent="0.25">
      <c r="A1356" s="5" t="s">
        <v>6812</v>
      </c>
      <c r="B1356" s="20" t="s">
        <v>5370</v>
      </c>
      <c r="C1356" s="4" t="s">
        <v>8797</v>
      </c>
      <c r="D1356" s="4" t="s">
        <v>9068</v>
      </c>
      <c r="E1356" s="12" t="s">
        <v>407</v>
      </c>
      <c r="F1356" s="75" t="s">
        <v>6728</v>
      </c>
      <c r="G1356" s="3">
        <v>48</v>
      </c>
      <c r="H1356" s="3" t="s">
        <v>404</v>
      </c>
      <c r="I1356" s="13" t="s">
        <v>6740</v>
      </c>
      <c r="J1356" s="72">
        <v>1.4</v>
      </c>
      <c r="K1356" s="14" t="s">
        <v>5196</v>
      </c>
      <c r="L1356" s="9">
        <v>291.64999999999998</v>
      </c>
      <c r="M1356" s="3">
        <v>396.35</v>
      </c>
      <c r="N1356" s="17" t="s">
        <v>5371</v>
      </c>
      <c r="O1356" s="18" t="s">
        <v>5369</v>
      </c>
      <c r="P1356" s="49">
        <f t="shared" si="85"/>
        <v>3.2495087334263264</v>
      </c>
      <c r="Q1356" s="1">
        <f t="shared" si="86"/>
        <v>3.9979416871502709</v>
      </c>
      <c r="R1356" s="1">
        <f t="shared" si="84"/>
        <v>4.1179858373666214</v>
      </c>
      <c r="S1356" s="10">
        <f t="shared" si="87"/>
        <v>3.6237252102882991</v>
      </c>
      <c r="T1356" s="45" cm="1">
        <f t="array" ref="T1356">SUMPRODUCT(P1356:S1356 * P$3:S$3) / SUM(P$3:S$3)</f>
        <v>3.7573370724329598</v>
      </c>
    </row>
    <row r="1357" spans="1:20" ht="16.5" customHeight="1" x14ac:dyDescent="0.25">
      <c r="A1357" s="5" t="s">
        <v>6812</v>
      </c>
      <c r="B1357" s="20" t="s">
        <v>5557</v>
      </c>
      <c r="C1357" s="4" t="s">
        <v>8797</v>
      </c>
      <c r="D1357" s="4" t="s">
        <v>9068</v>
      </c>
      <c r="E1357" s="12" t="s">
        <v>407</v>
      </c>
      <c r="F1357" s="75" t="s">
        <v>6728</v>
      </c>
      <c r="G1357" s="3">
        <v>48</v>
      </c>
      <c r="H1357" s="3" t="s">
        <v>404</v>
      </c>
      <c r="I1357" s="13" t="s">
        <v>6740</v>
      </c>
      <c r="J1357" s="72">
        <v>1.4</v>
      </c>
      <c r="L1357" s="9">
        <v>307.39999999999998</v>
      </c>
      <c r="M1357" s="3">
        <v>405.13</v>
      </c>
      <c r="N1357" s="17" t="s">
        <v>5558</v>
      </c>
      <c r="O1357" s="18" t="s">
        <v>5556</v>
      </c>
      <c r="P1357" s="49">
        <f t="shared" si="85"/>
        <v>3.2495087334263264</v>
      </c>
      <c r="Q1357" s="1">
        <f t="shared" si="86"/>
        <v>3.9979416871502709</v>
      </c>
      <c r="R1357" s="1">
        <f t="shared" si="84"/>
        <v>4.1179858373666214</v>
      </c>
      <c r="S1357" s="10">
        <f t="shared" si="87"/>
        <v>3.6237252102882991</v>
      </c>
      <c r="T1357" s="45" cm="1">
        <f t="array" ref="T1357">SUMPRODUCT(P1357:S1357 * P$3:S$3) / SUM(P$3:S$3)</f>
        <v>3.7573370724329598</v>
      </c>
    </row>
    <row r="1358" spans="1:20" ht="16.5" customHeight="1" x14ac:dyDescent="0.25">
      <c r="A1358" s="5" t="s">
        <v>6812</v>
      </c>
      <c r="B1358" s="20" t="s">
        <v>5566</v>
      </c>
      <c r="C1358" s="4" t="s">
        <v>8797</v>
      </c>
      <c r="D1358" s="4" t="s">
        <v>9068</v>
      </c>
      <c r="E1358" s="12" t="s">
        <v>407</v>
      </c>
      <c r="F1358" s="75" t="s">
        <v>6728</v>
      </c>
      <c r="G1358" s="3">
        <v>48</v>
      </c>
      <c r="H1358" s="3" t="s">
        <v>404</v>
      </c>
      <c r="I1358" s="13" t="s">
        <v>6740</v>
      </c>
      <c r="J1358" s="72">
        <v>1.4</v>
      </c>
      <c r="K1358" s="14" t="s">
        <v>5196</v>
      </c>
      <c r="L1358" s="9">
        <v>314.89999999999998</v>
      </c>
      <c r="M1358" s="3">
        <v>432</v>
      </c>
      <c r="N1358" s="17" t="s">
        <v>5567</v>
      </c>
      <c r="O1358" s="18" t="s">
        <v>5565</v>
      </c>
      <c r="P1358" s="49">
        <f t="shared" si="85"/>
        <v>3.2495087334263264</v>
      </c>
      <c r="Q1358" s="1">
        <f t="shared" si="86"/>
        <v>3.9979416871502709</v>
      </c>
      <c r="R1358" s="1">
        <f t="shared" si="84"/>
        <v>4.1179858373666214</v>
      </c>
      <c r="S1358" s="10">
        <f t="shared" si="87"/>
        <v>3.6237252102882991</v>
      </c>
      <c r="T1358" s="45" cm="1">
        <f t="array" ref="T1358">SUMPRODUCT(P1358:S1358 * P$3:S$3) / SUM(P$3:S$3)</f>
        <v>3.7573370724329598</v>
      </c>
    </row>
    <row r="1359" spans="1:20" ht="16.5" customHeight="1" x14ac:dyDescent="0.25">
      <c r="A1359" s="5" t="s">
        <v>6757</v>
      </c>
      <c r="B1359" s="20" t="s">
        <v>4360</v>
      </c>
      <c r="C1359" s="4" t="s">
        <v>8798</v>
      </c>
      <c r="D1359" s="4" t="s">
        <v>9068</v>
      </c>
      <c r="E1359" s="12" t="s">
        <v>407</v>
      </c>
      <c r="F1359" s="75" t="s">
        <v>6728</v>
      </c>
      <c r="G1359" s="3">
        <v>48</v>
      </c>
      <c r="H1359" s="3" t="s">
        <v>404</v>
      </c>
      <c r="I1359" s="13" t="s">
        <v>6740</v>
      </c>
      <c r="J1359" s="72">
        <v>1.45</v>
      </c>
      <c r="L1359" s="9">
        <v>314.89999999999998</v>
      </c>
      <c r="M1359" s="3">
        <v>440</v>
      </c>
      <c r="N1359" s="17" t="s">
        <v>4361</v>
      </c>
      <c r="O1359" s="18" t="s">
        <v>4359</v>
      </c>
      <c r="P1359" s="49">
        <f t="shared" si="85"/>
        <v>3.2477374642037606</v>
      </c>
      <c r="Q1359" s="1">
        <f t="shared" si="86"/>
        <v>3.996170417927706</v>
      </c>
      <c r="R1359" s="1">
        <f t="shared" si="84"/>
        <v>4.1162145681440556</v>
      </c>
      <c r="S1359" s="10">
        <f t="shared" si="87"/>
        <v>3.6219539410657333</v>
      </c>
      <c r="T1359" s="45" cm="1">
        <f t="array" ref="T1359">SUMPRODUCT(P1359:S1359 * P$3:S$3) / SUM(P$3:S$3)</f>
        <v>3.7555658032103945</v>
      </c>
    </row>
    <row r="1360" spans="1:20" ht="16.5" customHeight="1" x14ac:dyDescent="0.25">
      <c r="A1360" s="5" t="s">
        <v>6757</v>
      </c>
      <c r="B1360" s="20" t="s">
        <v>4429</v>
      </c>
      <c r="C1360" s="4" t="s">
        <v>8798</v>
      </c>
      <c r="D1360" s="4" t="s">
        <v>9068</v>
      </c>
      <c r="E1360" s="12" t="s">
        <v>407</v>
      </c>
      <c r="F1360" s="75" t="s">
        <v>6728</v>
      </c>
      <c r="G1360" s="3">
        <v>48</v>
      </c>
      <c r="H1360" s="3" t="s">
        <v>404</v>
      </c>
      <c r="I1360" s="13" t="s">
        <v>6740</v>
      </c>
      <c r="J1360" s="72">
        <v>1.45</v>
      </c>
      <c r="L1360" s="9">
        <v>314.89999999999998</v>
      </c>
      <c r="M1360" s="3">
        <v>458</v>
      </c>
      <c r="N1360" s="17" t="s">
        <v>4430</v>
      </c>
      <c r="O1360" s="18" t="s">
        <v>4428</v>
      </c>
      <c r="P1360" s="49">
        <f t="shared" si="85"/>
        <v>3.2477374642037606</v>
      </c>
      <c r="Q1360" s="1">
        <f t="shared" si="86"/>
        <v>3.996170417927706</v>
      </c>
      <c r="R1360" s="1">
        <f t="shared" ref="R1360:R1364" si="88">(((F1360/F$9)^F$7 * F$4 + (I1360/I$9)^I$7 * I$4 + (J1360/J$9)^J$7 * J$4) * (1+M$3*(MIN(H1360,M$2)-1)+M$4*(H1360-MIN(H1360,M$2))) + (G1360/G$9)^G$7 * G$4)  * P$9</f>
        <v>4.1162145681440556</v>
      </c>
      <c r="S1360" s="10">
        <f t="shared" si="87"/>
        <v>3.6219539410657333</v>
      </c>
      <c r="T1360" s="45" cm="1">
        <f t="array" ref="T1360">SUMPRODUCT(P1360:S1360 * P$3:S$3) / SUM(P$3:S$3)</f>
        <v>3.7555658032103945</v>
      </c>
    </row>
    <row r="1361" spans="1:20" ht="16.5" customHeight="1" x14ac:dyDescent="0.25">
      <c r="A1361" s="5" t="s">
        <v>6757</v>
      </c>
      <c r="B1361" s="20" t="s">
        <v>4475</v>
      </c>
      <c r="C1361" s="4" t="s">
        <v>8798</v>
      </c>
      <c r="D1361" s="4" t="s">
        <v>9068</v>
      </c>
      <c r="E1361" s="12" t="s">
        <v>407</v>
      </c>
      <c r="F1361" s="75" t="s">
        <v>6728</v>
      </c>
      <c r="G1361" s="3">
        <v>48</v>
      </c>
      <c r="H1361" s="3" t="s">
        <v>404</v>
      </c>
      <c r="I1361" s="13" t="s">
        <v>6740</v>
      </c>
      <c r="J1361" s="72">
        <v>1.45</v>
      </c>
      <c r="K1361" s="14" t="s">
        <v>4436</v>
      </c>
      <c r="L1361" s="9">
        <v>321.88</v>
      </c>
      <c r="M1361" s="3">
        <v>476.31</v>
      </c>
      <c r="N1361" s="17" t="s">
        <v>4476</v>
      </c>
      <c r="O1361" s="18" t="s">
        <v>4474</v>
      </c>
      <c r="P1361" s="49">
        <f t="shared" si="85"/>
        <v>3.2477374642037606</v>
      </c>
      <c r="Q1361" s="1">
        <f t="shared" si="86"/>
        <v>3.996170417927706</v>
      </c>
      <c r="R1361" s="1">
        <f t="shared" si="88"/>
        <v>4.1162145681440556</v>
      </c>
      <c r="S1361" s="10">
        <f t="shared" si="87"/>
        <v>3.6219539410657333</v>
      </c>
      <c r="T1361" s="45" cm="1">
        <f t="array" ref="T1361">SUMPRODUCT(P1361:S1361 * P$3:S$3) / SUM(P$3:S$3)</f>
        <v>3.7555658032103945</v>
      </c>
    </row>
    <row r="1362" spans="1:20" ht="16.5" customHeight="1" x14ac:dyDescent="0.25">
      <c r="A1362" s="5" t="s">
        <v>6757</v>
      </c>
      <c r="B1362" s="20" t="s">
        <v>4541</v>
      </c>
      <c r="C1362" s="4" t="s">
        <v>8798</v>
      </c>
      <c r="D1362" s="4" t="s">
        <v>9068</v>
      </c>
      <c r="E1362" s="12" t="s">
        <v>407</v>
      </c>
      <c r="F1362" s="75" t="s">
        <v>6728</v>
      </c>
      <c r="G1362" s="3">
        <v>48</v>
      </c>
      <c r="H1362" s="3" t="s">
        <v>404</v>
      </c>
      <c r="I1362" s="13" t="s">
        <v>6740</v>
      </c>
      <c r="J1362" s="72">
        <v>1.45</v>
      </c>
      <c r="K1362" s="14" t="s">
        <v>4436</v>
      </c>
      <c r="L1362" s="9">
        <v>321.88</v>
      </c>
      <c r="M1362" s="3">
        <v>452</v>
      </c>
      <c r="N1362" s="17" t="s">
        <v>4542</v>
      </c>
      <c r="O1362" s="18" t="s">
        <v>4540</v>
      </c>
      <c r="P1362" s="49">
        <f t="shared" si="85"/>
        <v>3.2477374642037606</v>
      </c>
      <c r="Q1362" s="1">
        <f t="shared" si="86"/>
        <v>3.996170417927706</v>
      </c>
      <c r="R1362" s="1">
        <f t="shared" si="88"/>
        <v>4.1162145681440556</v>
      </c>
      <c r="S1362" s="10">
        <f t="shared" si="87"/>
        <v>3.6219539410657333</v>
      </c>
      <c r="T1362" s="45" cm="1">
        <f t="array" ref="T1362">SUMPRODUCT(P1362:S1362 * P$3:S$3) / SUM(P$3:S$3)</f>
        <v>3.7555658032103945</v>
      </c>
    </row>
    <row r="1363" spans="1:20" ht="16.5" customHeight="1" x14ac:dyDescent="0.25">
      <c r="A1363" s="5" t="s">
        <v>6831</v>
      </c>
      <c r="B1363" s="20" t="s">
        <v>5554</v>
      </c>
      <c r="C1363" s="4" t="s">
        <v>8797</v>
      </c>
      <c r="D1363" s="4" t="s">
        <v>9069</v>
      </c>
      <c r="E1363" s="12" t="s">
        <v>407</v>
      </c>
      <c r="F1363" s="75" t="s">
        <v>6733</v>
      </c>
      <c r="G1363" s="3">
        <v>48</v>
      </c>
      <c r="H1363" s="3" t="s">
        <v>404</v>
      </c>
      <c r="I1363" s="13" t="s">
        <v>6745</v>
      </c>
      <c r="J1363" s="72">
        <v>1.45</v>
      </c>
      <c r="L1363" s="9">
        <v>350.99</v>
      </c>
      <c r="M1363" s="3">
        <v>442.15</v>
      </c>
      <c r="N1363" s="17" t="s">
        <v>5555</v>
      </c>
      <c r="O1363" s="18" t="s">
        <v>5553</v>
      </c>
      <c r="P1363" s="49">
        <f t="shared" si="85"/>
        <v>3.2941620688666555</v>
      </c>
      <c r="Q1363" s="1">
        <f t="shared" si="86"/>
        <v>4.0318697655174747</v>
      </c>
      <c r="R1363" s="1">
        <f t="shared" si="88"/>
        <v>4.1456703931046643</v>
      </c>
      <c r="S1363" s="10">
        <f t="shared" si="87"/>
        <v>3.6630159171920651</v>
      </c>
      <c r="T1363" s="45" cm="1">
        <f t="array" ref="T1363">SUMPRODUCT(P1363:S1363 * P$3:S$3) / SUM(P$3:S$3)</f>
        <v>3.7940171978440662</v>
      </c>
    </row>
    <row r="1364" spans="1:20" ht="16.5" customHeight="1" x14ac:dyDescent="0.25">
      <c r="A1364" s="5" t="s">
        <v>6831</v>
      </c>
      <c r="B1364" s="20" t="s">
        <v>5563</v>
      </c>
      <c r="C1364" s="4" t="s">
        <v>8797</v>
      </c>
      <c r="D1364" s="4" t="s">
        <v>9069</v>
      </c>
      <c r="E1364" s="12" t="s">
        <v>407</v>
      </c>
      <c r="F1364" s="75" t="s">
        <v>6733</v>
      </c>
      <c r="G1364" s="3">
        <v>48</v>
      </c>
      <c r="H1364" s="3" t="s">
        <v>404</v>
      </c>
      <c r="I1364" s="13" t="s">
        <v>6745</v>
      </c>
      <c r="J1364" s="72">
        <v>1.45</v>
      </c>
      <c r="K1364" s="14" t="s">
        <v>5196</v>
      </c>
      <c r="L1364" s="9">
        <v>349.9</v>
      </c>
      <c r="M1364" s="3">
        <v>463.35</v>
      </c>
      <c r="N1364" s="17" t="s">
        <v>5564</v>
      </c>
      <c r="O1364" s="18" t="s">
        <v>5562</v>
      </c>
      <c r="P1364" s="49">
        <f t="shared" si="85"/>
        <v>3.2941620688666555</v>
      </c>
      <c r="Q1364" s="1">
        <f t="shared" si="86"/>
        <v>4.0318697655174747</v>
      </c>
      <c r="R1364" s="1">
        <f t="shared" si="88"/>
        <v>4.1456703931046643</v>
      </c>
      <c r="S1364" s="10">
        <f t="shared" si="87"/>
        <v>3.6630159171920651</v>
      </c>
      <c r="T1364" s="45" cm="1">
        <f t="array" ref="T1364">SUMPRODUCT(P1364:S1364 * P$3:S$3) / SUM(P$3:S$3)</f>
        <v>3.7940171978440662</v>
      </c>
    </row>
  </sheetData>
  <mergeCells count="2">
    <mergeCell ref="L1:M1"/>
    <mergeCell ref="P1:S1"/>
  </mergeCells>
  <hyperlinks>
    <hyperlink ref="N397" r:id="rId1" xr:uid="{B9FE3100-6CBB-46F3-B624-E5A9E1AE4F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GPUs</vt:lpstr>
      <vt:lpstr>GPUs Products</vt:lpstr>
      <vt:lpstr>CPUs</vt:lpstr>
      <vt:lpstr>CPUs Products</vt:lpstr>
      <vt:lpstr>MBs</vt:lpstr>
      <vt:lpstr>MBs Products</vt:lpstr>
      <vt:lpstr>RAMs</vt:lpstr>
      <vt:lpstr>RAMs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Jovan Mitić</cp:lastModifiedBy>
  <dcterms:modified xsi:type="dcterms:W3CDTF">2025-03-09T18:16:06Z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2025-03-01T14:40:25.245Z</dcterms:created>
  <dcterms:modified xsi:type="dcterms:W3CDTF">2025-03-01T14:40:25.245Z</dcterms:modified>
  <cp:revision>0</cp:revision>
</cp:coreProperties>
</file>